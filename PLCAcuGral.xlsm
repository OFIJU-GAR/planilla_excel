
<file path=[Content_Types].xml><?xml version="1.0" encoding="utf-8"?>
<Types xmlns="http://schemas.openxmlformats.org/package/2006/content-types">
  <Override PartName="/xl/charts/chart6.xml" ContentType="application/vnd.openxmlformats-officedocument.drawingml.chart+xml"/>
  <Override PartName="/xl/worksheets/sheet9.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charts/chart4.xml" ContentType="application/vnd.openxmlformats-officedocument.drawingml.chart+xml"/>
  <Override PartName="/xl/worksheets/sheet7.xml" ContentType="application/vnd.openxmlformats-officedocument.spreadsheetml.worksheet+xml"/>
  <Override PartName="/xl/worksheets/sheet11.xml" ContentType="application/vnd.openxmlformats-officedocument.spreadsheetml.worksheet+xml"/>
  <Override PartName="/xl/charts/chart2.xml" ContentType="application/vnd.openxmlformats-officedocument.drawingml.chart+xml"/>
  <Override PartName="/xl/drawings/drawing4.xml" ContentType="application/vnd.openxmlformats-officedocument.drawing+xml"/>
  <Override PartName="/xl/vbaProject.bin" ContentType="application/vnd.ms-office.vbaProject"/>
  <Override PartName="/xl/ctrlProps/ctrlProp18.xml" ContentType="application/vnd.ms-excel.controlproperties+xml"/>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trlProps/ctrlProp15.xml" ContentType="application/vnd.ms-excel.controlproperties+xml"/>
  <Override PartName="/xl/ctrlProps/ctrlProp9.xml" ContentType="application/vnd.ms-excel.controlproperties+xml"/>
  <Override PartName="/xl/ctrlProps/ctrlProp16.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drawings/drawing1.xml" ContentType="application/vnd.openxmlformats-officedocument.drawing+xml"/>
  <Override PartName="/xl/ctrlProps/ctrlProp7.xml" ContentType="application/vnd.ms-excel.controlproperties+xml"/>
  <Override PartName="/xl/ctrlProps/ctrlProp23.xml" ContentType="application/vnd.ms-excel.controlproperties+xml"/>
  <Override PartName="/xl/ctrlProps/ctrlProp14.xml" ContentType="application/vnd.ms-excel.controlproperties+xml"/>
  <Override PartName="/xl/ctrlProps/ctrlProp22.xml" ContentType="application/vnd.ms-excel.controlproperties+xml"/>
  <Override PartName="/xl/ctrlProps/ctrlProp13.xml" ContentType="application/vnd.ms-excel.controlproperties+xml"/>
  <Override PartName="/xl/ctrlProps/ctrlProp8.xml" ContentType="application/vnd.ms-excel.controlpropertie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alcChain.xml" ContentType="application/vnd.openxmlformats-officedocument.spreadsheetml.calcChain+xml"/>
  <Override PartName="/xl/ctrlProps/ctrlProp6.xml" ContentType="application/vnd.ms-excel.controlproperties+xml"/>
  <Override PartName="/xl/ctrlProps/ctrlProp5.xml" ContentType="application/vnd.ms-excel.controlproperties+xml"/>
  <Override PartName="/xl/ctrlProps/ctrlProp21.xml" ContentType="application/vnd.ms-excel.controlproperties+xml"/>
  <Override PartName="/xl/ctrlProps/ctrlProp12.xml" ContentType="application/vnd.ms-excel.controlproperties+xml"/>
  <Override PartName="/xl/ctrlProps/ctrlProp20.xml" ContentType="application/vnd.ms-excel.controlproperties+xml"/>
  <Override PartName="/xl/ctrlProps/ctrlProp11.xml" ContentType="application/vnd.ms-excel.controlproperties+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ctrlProps/ctrlProp3.xml" ContentType="application/vnd.ms-excel.controlproperties+xml"/>
  <Override PartName="/xl/ctrlProps/ctrlProp2.xml" ContentType="application/vnd.ms-excel.controlproperties+xml"/>
  <Override PartName="/xl/ctrlProps/ctrlProp1.xml" ContentType="application/vnd.ms-excel.controlproperties+xml"/>
  <Override PartName="/docProps/core.xml" ContentType="application/vnd.openxmlformats-package.core-properties+xml"/>
  <Default Extension="bin" ContentType="application/vnd.openxmlformats-officedocument.spreadsheetml.printerSettings"/>
  <Override PartName="/xl/charts/chart5.xml" ContentType="application/vnd.openxmlformats-officedocument.drawingml.chart+xml"/>
  <Override PartName="/xl/ctrlProps/ctrlProp19.xml" ContentType="application/vnd.ms-excel.controlproperties+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charts/chart3.xml" ContentType="application/vnd.openxmlformats-officedocument.drawingml.chart+xml"/>
  <Override PartName="/xl/drawings/drawing5.xml" ContentType="application/vnd.openxmlformats-officedocument.drawing+xml"/>
  <Override PartName="/xl/ctrlProps/ctrlProp17.xml" ContentType="application/vnd.ms-excel.control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fileSharing userName="OFIJUGAR - Lopez Luca, Jose Eduardo" reservationPassword="C71F"/>
  <workbookPr updateLinks="never" codeName="ThisWorkbook" hidePivotFieldList="1" defaultThemeVersion="124226"/>
  <bookViews>
    <workbookView xWindow="14505" yWindow="-15" windowWidth="14340" windowHeight="12675"/>
  </bookViews>
  <sheets>
    <sheet name="EXPEDIENTES" sheetId="1" r:id="rId1"/>
    <sheet name="fiscalias penales" sheetId="2" r:id="rId2"/>
    <sheet name="defensores" sheetId="3" r:id="rId3"/>
    <sheet name="ESTA_DISTI_K" sheetId="13" r:id="rId4"/>
    <sheet name="ESTADISTICAS" sheetId="4" r:id="rId5"/>
    <sheet name="Informe de Gestión" sheetId="11" r:id="rId6"/>
    <sheet name="Jueces" sheetId="5" r:id="rId7"/>
    <sheet name="Internos" sheetId="6" r:id="rId8"/>
    <sheet name="Resultados" sheetId="7" r:id="rId9"/>
    <sheet name="Hoja1" sheetId="8" state="hidden" r:id="rId10"/>
    <sheet name="Hoja2" sheetId="9" state="hidden" r:id="rId11"/>
    <sheet name="NORECIBIDAS" sheetId="10" r:id="rId12"/>
    <sheet name="PLANILLA VACIA PRESOS" sheetId="12" r:id="rId13"/>
  </sheets>
  <functionGroups/>
  <externalReferences>
    <externalReference r:id="rId14"/>
    <externalReference r:id="rId15"/>
    <externalReference r:id="rId16"/>
  </externalReferences>
  <definedNames>
    <definedName name="_xlnm._FilterDatabase" localSheetId="0" hidden="1">EXPEDIENTES!$A$2:$AM$2</definedName>
    <definedName name="A.I._Nº_2___Dr._Flores_Larsen">defensores!$A$1:$A$168</definedName>
    <definedName name="Audiencia_cancelada___inimputabilidad">Resultados!$A$1:$A$49</definedName>
    <definedName name="DOP_1___Dr._Federico_Andres_Gutierrez">defensores!$A$1:$A$318</definedName>
    <definedName name="Dr._Moreno">Internos!$A$2:$A$27</definedName>
    <definedName name="Dra._Lamas">Internos!$A$1:$A$10</definedName>
    <definedName name="Dra._Zunino">Jueces!$A$1:$A$14</definedName>
    <definedName name="Fisc._Delitos._Econ._Dra._Salinas">'fiscalias penales'!$A$1:$A$136</definedName>
    <definedName name="INTERNOS">Internos!$A$1:$A$10</definedName>
    <definedName name="Z_00BE352F_C08F_411B_BE3F_871EE157A2A1_.wvu.FilterData" localSheetId="0" hidden="1">EXPEDIENTES!$A$2:$AL$749</definedName>
    <definedName name="Z_0199CA3F_EFF7_4FF3_938A_24486AD9575F_.wvu.Cols" localSheetId="0" hidden="1">EXPEDIENTES!$O:$P,EXPEDIENTES!$T:$V,EXPEDIENTES!$AC:$AI</definedName>
    <definedName name="Z_0199CA3F_EFF7_4FF3_938A_24486AD9575F_.wvu.FilterData" localSheetId="0" hidden="1">EXPEDIENTES!$A$2:$AL$2</definedName>
    <definedName name="Z_0297E612_3060_4288_97E8_F0D0E374743A_.wvu.FilterData" localSheetId="0" hidden="1">EXPEDIENTES!$A$2:$AL$749</definedName>
    <definedName name="Z_07467DCA_E36E_4A87_BAC7_3D29D63C0BEF_.wvu.FilterData" localSheetId="0" hidden="1">EXPEDIENTES!$A$2:$AL$748</definedName>
    <definedName name="Z_0B3BE858_3929_4D53_8FB3_981EDB492972_.wvu.FilterData" localSheetId="0" hidden="1">EXPEDIENTES!$A$2:$AJ$2</definedName>
    <definedName name="Z_0DE10425_8171_4A65_9B11_AACA328E7729_.wvu.Cols" localSheetId="0" hidden="1">EXPEDIENTES!$O:$P,EXPEDIENTES!$T:$V</definedName>
    <definedName name="Z_0DE10425_8171_4A65_9B11_AACA328E7729_.wvu.FilterData" localSheetId="0" hidden="1">EXPEDIENTES!$A$2:$Z$2</definedName>
    <definedName name="Z_0E700F8E_DE41_4298_B8C8_7851972555E2_.wvu.FilterData" localSheetId="0" hidden="1">EXPEDIENTES!$A$2:$Z$2</definedName>
    <definedName name="Z_0F642EB7_F2AE_4234_B453_FA3B6FF10463_.wvu.FilterData" localSheetId="0" hidden="1">EXPEDIENTES!$A$2:$AL$748</definedName>
    <definedName name="Z_1DA250A1_16FA_48B3_8A4F_5FF4F8C803D3_.wvu.FilterData" localSheetId="0" hidden="1">EXPEDIENTES!$A$2:$Z$2</definedName>
    <definedName name="Z_22F0DDF8_337D_4122_B019_BAE8C0F84C81_.wvu.FilterData" localSheetId="0" hidden="1">EXPEDIENTES!$A$2:$AL$610</definedName>
    <definedName name="Z_285C3E3C_DB29_4E3F_A9A4_A27CA65890A3_.wvu.FilterData" localSheetId="0" hidden="1">EXPEDIENTES!$A$2:$AL$712</definedName>
    <definedName name="Z_2B848683_F3D0_4DC4_B2EC_F7484FABE8B2_.wvu.FilterData" localSheetId="0" hidden="1">EXPEDIENTES!$A$2:$Z$2</definedName>
    <definedName name="Z_2D4E3D38_109D_45C9_AA05_3D1E2B46442C_.wvu.FilterData" localSheetId="0" hidden="1">EXPEDIENTES!$A$2:$Z$2</definedName>
    <definedName name="Z_324AD043_0628_48C1_933F_F71E680DD98B_.wvu.FilterData" localSheetId="0" hidden="1">EXPEDIENTES!$A$2:$AL$2</definedName>
    <definedName name="Z_32B55B46_410F_4935_B35E_3DF96174B4C3_.wvu.FilterData" localSheetId="0" hidden="1">EXPEDIENTES!$A$2:$Z$2</definedName>
    <definedName name="Z_34C07D15_334F_4678_BECB_58C99A205BB8_.wvu.Cols" localSheetId="0" hidden="1">EXPEDIENTES!$A:$A,EXPEDIENTES!$O:$P,EXPEDIENTES!$T:$V</definedName>
    <definedName name="Z_34C07D15_334F_4678_BECB_58C99A205BB8_.wvu.FilterData" localSheetId="0" hidden="1">EXPEDIENTES!$A$2:$Z$2</definedName>
    <definedName name="Z_35F9BBD5_FC3E_4A9D_B7CD_75793ADFE306_.wvu.FilterData" localSheetId="0" hidden="1">EXPEDIENTES!$A$2:$AB$2</definedName>
    <definedName name="Z_36D22B0F_5F9B_40BE_9A48_DF2FE147662C_.wvu.FilterData" localSheetId="0" hidden="1">EXPEDIENTES!$A$2:$AL$749</definedName>
    <definedName name="Z_3769D6D1_AE5C_49DF_AF96_37CFF1466310_.wvu.FilterData" localSheetId="0" hidden="1">EXPEDIENTES!$A$2:$AL$748</definedName>
    <definedName name="Z_3B9475A0_44C8_4216_B4F5_302922D3CFCC_.wvu.FilterData" localSheetId="0" hidden="1">EXPEDIENTES!$A$2:$AL$750</definedName>
    <definedName name="Z_3E9DD8C4_55FB_4182_9933_E70DE58B466D_.wvu.FilterData" localSheetId="0" hidden="1">EXPEDIENTES!$A$2:$Z$2</definedName>
    <definedName name="Z_3F44CA3B_00DD_40EF_8665_30FBA5C08647_.wvu.FilterData" localSheetId="0" hidden="1">EXPEDIENTES!$A$2:$AL$708</definedName>
    <definedName name="Z_3FFDAE1C_DCCD_48F1_B178_505B22831CB5_.wvu.FilterData" localSheetId="0" hidden="1">EXPEDIENTES!$A$2:$AL$746</definedName>
    <definedName name="Z_433B17B4_F2FE_4A54_9451_03C3A77F4744_.wvu.FilterData" localSheetId="0" hidden="1">EXPEDIENTES!$A$2:$Z$2</definedName>
    <definedName name="Z_44B5AC69_E218_4B9E_B437_B30DEAD35AE6_.wvu.FilterData" localSheetId="0" hidden="1">EXPEDIENTES!$A$2:$AL$2</definedName>
    <definedName name="Z_47E06028_9FE0_4A3E_8A1C_C9068B33D364_.wvu.FilterData" localSheetId="0" hidden="1">EXPEDIENTES!$A$2:$AL$748</definedName>
    <definedName name="Z_5236A326_60B8_43E9_955C_897D91BF9AA8_.wvu.FilterData" localSheetId="0" hidden="1">EXPEDIENTES!$A$2:$AB$2</definedName>
    <definedName name="Z_5BF16DBA_4BB4_4498_B7BF_4F2DDC074FBE_.wvu.Cols" localSheetId="0" hidden="1">EXPEDIENTES!$T:$V</definedName>
    <definedName name="Z_5BF16DBA_4BB4_4498_B7BF_4F2DDC074FBE_.wvu.FilterData" localSheetId="0" hidden="1">EXPEDIENTES!$A$2:$Z$2</definedName>
    <definedName name="Z_5DA7D03D_B2B1_4AED_82E0_786DABF1A817_.wvu.FilterData" localSheetId="0" hidden="1">EXPEDIENTES!$A$2:$Z$2</definedName>
    <definedName name="Z_610050DC_EDAE_4A38_BD37_8719A5327435_.wvu.FilterData" localSheetId="0" hidden="1">EXPEDIENTES!$A$2:$AJ$2</definedName>
    <definedName name="Z_66D86107_FE4D_48EF_8C6D_81680A6FD9A4_.wvu.FilterData" localSheetId="0" hidden="1">EXPEDIENTES!$A$2:$AB$2</definedName>
    <definedName name="Z_704E9E2A_CCB4_4CA7_A779_A8D7D4342262_.wvu.FilterData" localSheetId="0" hidden="1">EXPEDIENTES!$A$2:$Z$2</definedName>
    <definedName name="Z_70B71D93_743B_435F_92DB_EE3BB3644611_.wvu.FilterData" localSheetId="0" hidden="1">EXPEDIENTES!$A$2:$Z$2</definedName>
    <definedName name="Z_71582FFD_C12C_4ED4_A902_5273BCA49170_.wvu.FilterData" localSheetId="0" hidden="1">EXPEDIENTES!$A$2:$AJ$2</definedName>
    <definedName name="Z_75D3124E_BB28_467B_A8F6_BB0E9389D44C_.wvu.FilterData" localSheetId="0" hidden="1">EXPEDIENTES!$A$2:$AL$710</definedName>
    <definedName name="Z_760284CE_3DFE_40EE_8D8E_1A045256C1CE_.wvu.FilterData" localSheetId="0" hidden="1">EXPEDIENTES!$A$2:$Z$2</definedName>
    <definedName name="Z_7ADB145F_A73B_47BF_AFD0_10B8FECCDB1F_.wvu.FilterData" localSheetId="0" hidden="1">EXPEDIENTES!$A$2:$Z$2</definedName>
    <definedName name="Z_7E417055_19D0_4A56_B050_D58F7867D59E_.wvu.FilterData" localSheetId="0" hidden="1">EXPEDIENTES!$A$2:$Z$2</definedName>
    <definedName name="Z_857115BD_85EA_4135_A1D7_2869150AED87_.wvu.FilterData" localSheetId="0" hidden="1">EXPEDIENTES!$A$2:$AL$741</definedName>
    <definedName name="Z_863936A3_99A4_4BE6_811E_57E27E7D314C_.wvu.FilterData" localSheetId="0" hidden="1">EXPEDIENTES!$A$2:$AL$708</definedName>
    <definedName name="Z_87D11203_A74D_4153_8383_4F3042E1A7E5_.wvu.FilterData" localSheetId="0" hidden="1">EXPEDIENTES!$A$2:$AJ$354</definedName>
    <definedName name="Z_8889932B_014C_4A7A_B620_114840895FF5_.wvu.Cols" localSheetId="0" hidden="1">EXPEDIENTES!$O:$P,EXPEDIENTES!$T:$V,EXPEDIENTES!$AC:$AI</definedName>
    <definedName name="Z_8889932B_014C_4A7A_B620_114840895FF5_.wvu.FilterData" localSheetId="0" hidden="1">EXPEDIENTES!$A$2:$AL$752</definedName>
    <definedName name="Z_8889932B_014C_4A7A_B620_114840895FF5_.wvu.Rows" localSheetId="0" hidden="1">EXPEDIENTES!$5:$5,EXPEDIENTES!$8:$8,EXPEDIENTES!$11:$11,EXPEDIENTES!$28:$28,EXPEDIENTES!$31:$31,EXPEDIENTES!$37:$37,EXPEDIENTES!$51:$53,EXPEDIENTES!$55:$55,EXPEDIENTES!$60:$61,EXPEDIENTES!$63:$66,EXPEDIENTES!$68:$77,EXPEDIENTES!$79:$106,EXPEDIENTES!$113:$139,EXPEDIENTES!$141:$147,EXPEDIENTES!$149:$168,EXPEDIENTES!$171:$171,EXPEDIENTES!$174:$177,EXPEDIENTES!$179:$181,EXPEDIENTES!$186:$203,EXPEDIENTES!$208:$226,EXPEDIENTES!$228:$239,EXPEDIENTES!$242:$249,EXPEDIENTES!$252:$271,EXPEDIENTES!$273:$274,EXPEDIENTES!$276:$276,EXPEDIENTES!$282:$284,EXPEDIENTES!$286:$293,EXPEDIENTES!$295:$306,EXPEDIENTES!$308:$310,EXPEDIENTES!$312:$313,EXPEDIENTES!$316:$316,EXPEDIENTES!$318:$321,EXPEDIENTES!$324:$345,EXPEDIENTES!$347:$352,EXPEDIENTES!$355:$367,EXPEDIENTES!$369:$369,EXPEDIENTES!$371:$372,EXPEDIENTES!$374:$374,EXPEDIENTES!$376:$376,EXPEDIENTES!$378:$380,EXPEDIENTES!$382:$383,EXPEDIENTES!$388:$395,EXPEDIENTES!$397:$397,EXPEDIENTES!$399:$403,EXPEDIENTES!$405:$407,EXPEDIENTES!$411:$413,EXPEDIENTES!$415:$415,EXPEDIENTES!$419:$420,EXPEDIENTES!$422:$424,EXPEDIENTES!$427:$428,EXPEDIENTES!$431:$432,EXPEDIENTES!$435:$439,EXPEDIENTES!$441:$441,EXPEDIENTES!$447:$447,EXPEDIENTES!$456:$456,EXPEDIENTES!$463:$463,EXPEDIENTES!$467:$469,EXPEDIENTES!$471:$471,EXPEDIENTES!$473:$481,EXPEDIENTES!$486:$489,EXPEDIENTES!$491:$503,EXPEDIENTES!$505:$509,EXPEDIENTES!$511:$516,EXPEDIENTES!$519:$521,EXPEDIENTES!$524:$526,EXPEDIENTES!$529:$535,EXPEDIENTES!$538:$553,EXPEDIENTES!$556:$564,EXPEDIENTES!$566:$575,EXPEDIENTES!$577:$578,EXPEDIENTES!$580:$588,EXPEDIENTES!$590:$591,EXPEDIENTES!$593:$618,EXPEDIENTES!$620:$626,EXPEDIENTES!$628:$632,EXPEDIENTES!$634:$637,EXPEDIENTES!$639:$663,EXPEDIENTES!$666:$690,EXPEDIENTES!$692:$752</definedName>
    <definedName name="Z_8A44BA72_6E51_463C_A6A5_FAD1A4EC19B9_.wvu.FilterData" localSheetId="0" hidden="1">EXPEDIENTES!$A$2:$Z$2</definedName>
    <definedName name="Z_8B17E240_1799_4139_BDA0_B0E0BC561CC9_.wvu.FilterData" localSheetId="0" hidden="1">EXPEDIENTES!$A$2:$AL$742</definedName>
    <definedName name="Z_977EF65F_BE0A_44D8_83A2_09EA063C8798_.wvu.FilterData" localSheetId="0" hidden="1">EXPEDIENTES!$A$2:$AL$712</definedName>
    <definedName name="Z_9AC8942A_D404_475E_A408_F3D6F2A948B6_.wvu.FilterData" localSheetId="0" hidden="1">EXPEDIENTES!$A$2:$AL$748</definedName>
    <definedName name="Z_9D04CE75_AAE2_424E_A723_E3B4254E04EE_.wvu.FilterData" localSheetId="0" hidden="1">EXPEDIENTES!$A$2:$AL$747</definedName>
    <definedName name="Z_9DDDA39F_CE05_4FB6_90B7_C743CD526B46_.wvu.FilterData" localSheetId="0" hidden="1">EXPEDIENTES!$A$2:$Z$2</definedName>
    <definedName name="Z_A0423C84_5A6E_419D_80FC_40F16AA8C0D9_.wvu.FilterData" localSheetId="0" hidden="1">EXPEDIENTES!$A$2:$AL$750</definedName>
    <definedName name="Z_A0E514CA_659D_4EE5_B3E7_A4D0A3BAC720_.wvu.FilterData" localSheetId="0" hidden="1">EXPEDIENTES!$A$2:$Z$2</definedName>
    <definedName name="Z_A19BBF45_9D5B_4928_9BFE_289482AFF742_.wvu.FilterData" localSheetId="0" hidden="1">EXPEDIENTES!$A$2:$Z$2</definedName>
    <definedName name="Z_A282CB93_68AF_40AD_B7E1_8AA7BE67EDE1_.wvu.FilterData" localSheetId="0" hidden="1">EXPEDIENTES!$A$2:$Z$2</definedName>
    <definedName name="Z_A301CBCC_7F1D_47C9_BF85_9DF2F3F59945_.wvu.FilterData" localSheetId="0" hidden="1">EXPEDIENTES!$A$2:$Z$2</definedName>
    <definedName name="Z_A4BFDC39_298C_4C0F_9286_F09C05E714AB_.wvu.FilterData" localSheetId="0" hidden="1">EXPEDIENTES!$A$2:$AL$610</definedName>
    <definedName name="Z_A54F49A8_BE0F_44B2_8434_8C5D1FF53779_.wvu.FilterData" localSheetId="0" hidden="1">EXPEDIENTES!$A$2:$AL$2</definedName>
    <definedName name="Z_AA9A1E2B_4A8E_4265_B7F3_F3CDBC8173A0_.wvu.FilterData" localSheetId="0" hidden="1">EXPEDIENTES!$A$2:$Z$2</definedName>
    <definedName name="Z_ADA1760E_F6B3_4531_AC60_64E6ED41E253_.wvu.FilterData" localSheetId="0" hidden="1">EXPEDIENTES!$A$2:$AB$2</definedName>
    <definedName name="Z_AF7A44E0_746E_47A5_8ED4_58AC62A8BF55_.wvu.FilterData" localSheetId="0" hidden="1">EXPEDIENTES!$A$2:$AB$2</definedName>
    <definedName name="Z_B15F500E_7585_4768_A750_4816891D0E63_.wvu.FilterData" localSheetId="0" hidden="1">EXPEDIENTES!$A$2:$AJ$472</definedName>
    <definedName name="Z_BE99E4E7_8422_4BA8_9F86_F0A6CCED503A_.wvu.FilterData" localSheetId="0" hidden="1">EXPEDIENTES!$A$2:$AL$710</definedName>
    <definedName name="Z_C5A1C707_2D2C_4CA2_8079_1518C2F89BC2_.wvu.FilterData" localSheetId="0" hidden="1">EXPEDIENTES!$A$2:$Z$2</definedName>
    <definedName name="Z_C6C0CE0F_7113_4849_A7F9_DF977555FEB6_.wvu.FilterData" localSheetId="0" hidden="1">EXPEDIENTES!$A$2:$AL$749</definedName>
    <definedName name="Z_C7ED2F2C_4193_48B7_9502_9FB900CD50B3_.wvu.Cols" localSheetId="0" hidden="1">EXPEDIENTES!$O:$P,EXPEDIENTES!$T:$V,EXPEDIENTES!$AC:$AI</definedName>
    <definedName name="Z_C7ED2F2C_4193_48B7_9502_9FB900CD50B3_.wvu.FilterData" localSheetId="0" hidden="1">EXPEDIENTES!$A$2:$AL$749</definedName>
    <definedName name="Z_CC224EA9_23B0_46F2_8D60_F16B49B59C83_.wvu.FilterData" localSheetId="0" hidden="1">EXPEDIENTES!$A$2:$Z$2</definedName>
    <definedName name="Z_CE34BDE7_6302_41C3_99B5_D09AF2F587DC_.wvu.FilterData" localSheetId="0" hidden="1">EXPEDIENTES!$A$2:$AJ$354</definedName>
    <definedName name="Z_CE3E935A_C023_453A_9B4C_8928C79EDC10_.wvu.FilterData" localSheetId="0" hidden="1">EXPEDIENTES!$A$2:$AL$2</definedName>
    <definedName name="Z_CFC07163_3F57_49DC_8005_ACCC0C02371B_.wvu.FilterData" localSheetId="0" hidden="1">EXPEDIENTES!$A$2:$AL$709</definedName>
    <definedName name="Z_D8E7CFEE_EB04_4C5F_AE1E_D5437FD3DC9A_.wvu.FilterData" localSheetId="0" hidden="1">EXPEDIENTES!$A$2:$AL$749</definedName>
    <definedName name="Z_D904C7CA_67DF_48D6_AFDB_2CED9147A2D2_.wvu.FilterData" localSheetId="0" hidden="1">EXPEDIENTES!$A$2:$AB$2</definedName>
    <definedName name="Z_DB4207DD_4199_49C8_82A0_9B1EB1C1B792_.wvu.Cols" localSheetId="0" hidden="1">EXPEDIENTES!$O:$P,EXPEDIENTES!$T:$V</definedName>
    <definedName name="Z_DB4207DD_4199_49C8_82A0_9B1EB1C1B792_.wvu.FilterData" localSheetId="0" hidden="1">EXPEDIENTES!$A$2:$AB$2</definedName>
    <definedName name="Z_E10E13FB_5537_4240_A7CE_FBE96EC091D4_.wvu.FilterData" localSheetId="0" hidden="1">EXPEDIENTES!$A$2:$Z$2</definedName>
    <definedName name="Z_E270D77A_F225_49D6_8728_61ECDE8D6C6E_.wvu.FilterData" localSheetId="0" hidden="1">EXPEDIENTES!$A$2:$AL$705</definedName>
    <definedName name="Z_E3C722E7_9CA2_4B73_BA82_3C0010D9B694_.wvu.FilterData" localSheetId="0" hidden="1">EXPEDIENTES!$A$2:$AL$742</definedName>
    <definedName name="Z_E47F62CB_41C4_4BFC_BE16_7F0351476ADA_.wvu.FilterData" localSheetId="0" hidden="1">EXPEDIENTES!$A$2:$AJ$2</definedName>
    <definedName name="Z_E480EA07_20E4_4E2F_8230_C7D2388681AF_.wvu.FilterData" localSheetId="0" hidden="1">EXPEDIENTES!$A$2:$Z$2</definedName>
    <definedName name="Z_EBA8ECC2_8295_402D_8A0D_2475C4A21578_.wvu.FilterData" localSheetId="0" hidden="1">EXPEDIENTES!$A$2:$AL$752</definedName>
    <definedName name="Z_ECAEEEAD_D048_442A_921E_1D8B2FD47C72_.wvu.FilterData" localSheetId="0" hidden="1">EXPEDIENTES!$A$2:$Z$2</definedName>
    <definedName name="Z_EDEE5C9D_2FD0_4BD7_AE17_649B81C9EBB3_.wvu.FilterData" localSheetId="0" hidden="1">EXPEDIENTES!$A$2:$Z$2</definedName>
    <definedName name="Z_F21B85D3_E6B2_4208_8426_D08E6243B7CD_.wvu.FilterData" localSheetId="0" hidden="1">EXPEDIENTES!$A$2:$AL$748</definedName>
    <definedName name="Z_F6CCBA91_37A5_4AE3_9A12_2E8B54220A5C_.wvu.FilterData" localSheetId="0" hidden="1">EXPEDIENTES!$A$2:$Z$2</definedName>
    <definedName name="Z_FA70DE1B_88CA_44AA_AF70_3F9DE76F8B6F_.wvu.FilterData" localSheetId="0" hidden="1">EXPEDIENTES!$A$2:$Z$2</definedName>
    <definedName name="Z_FCA8654A_9CB2_4DAE_976E_D8AAA8797D8F_.wvu.FilterData" localSheetId="0" hidden="1">EXPEDIENTES!$A$2:$AL$705</definedName>
    <definedName name="Z_FCF06780_AE1F_4B03_839E_9A851AF8A0CD_.wvu.FilterData" localSheetId="0" hidden="1">EXPEDIENTES!$A$2:$AB$2</definedName>
    <definedName name="Z_FDB6698D_1A4F_4CE0_A6B1_6F9CBBE06A7D_.wvu.FilterData" localSheetId="0" hidden="1">EXPEDIENTES!$A$2:$AL$711</definedName>
  </definedNames>
  <calcPr calcId="124519"/>
  <customWorkbookViews>
    <customWorkbookView name="OGA - Eliana Marquez - Vista personalizada" guid="{C7ED2F2C-4193-48B7-9502-9FB900CD50B3}" mergeInterval="0" personalView="1" maximized="1" xWindow="1" yWindow="1" windowWidth="1920" windowHeight="850" activeSheetId="1"/>
    <customWorkbookView name="jelopez - Vista personalizada" guid="{5BF16DBA-4BB4-4498-B7BF-4F2DDC074FBE}" mergeInterval="0" personalView="1" maximized="1" xWindow="1" yWindow="1" windowWidth="1916" windowHeight="808" activeSheetId="1" showComments="commIndAndComment"/>
    <customWorkbookView name="mrobbio - Vista personalizada" guid="{34C07D15-334F-4678-BECB-58C99A205BB8}" mergeInterval="0" personalView="1" maximized="1" xWindow="1" yWindow="1" windowWidth="1600" windowHeight="670" activeSheetId="1"/>
    <customWorkbookView name="jsosava - Vista personalizada" guid="{0DE10425-8171-4A65-9B11-AACA328E7729}" mergeInterval="0" personalView="1" maximized="1" xWindow="1" yWindow="1" windowWidth="1600" windowHeight="670" activeSheetId="1"/>
    <customWorkbookView name="jnieva - Vista personalizada" guid="{DB4207DD-4199-49C8-82A0-9B1EB1C1B792}" mergeInterval="0" personalView="1" maximized="1" xWindow="1" yWindow="1" windowWidth="1600" windowHeight="670" activeSheetId="1"/>
    <customWorkbookView name="OFIJUGAR - Lopez Luca, Jose Eduardo - Vista personalizada" guid="{0199CA3F-EFF7-4FF3-938A-24486AD9575F}" mergeInterval="0" personalView="1" maximized="1" xWindow="1" yWindow="1" windowWidth="1920" windowHeight="842" activeSheetId="4"/>
    <customWorkbookView name="kalancay - Vista personalizada" guid="{8889932B-014C-4A7A-B620-114840895FF5}" mergeInterval="0" personalView="1" maximized="1" xWindow="1" yWindow="1" windowWidth="1920" windowHeight="802" activeSheetId="4"/>
  </customWorkbookViews>
  <fileRecoveryPr autoRecover="0"/>
</workbook>
</file>

<file path=xl/calcChain.xml><?xml version="1.0" encoding="utf-8"?>
<calcChain xmlns="http://schemas.openxmlformats.org/spreadsheetml/2006/main">
  <c r="AM1005" i="1"/>
  <c r="R1005"/>
  <c r="P1005"/>
  <c r="O1005"/>
  <c r="AM1004"/>
  <c r="R1004"/>
  <c r="P1004"/>
  <c r="O1004"/>
  <c r="AM1003"/>
  <c r="R1003"/>
  <c r="P1003"/>
  <c r="O1003"/>
  <c r="AM1002"/>
  <c r="R1002"/>
  <c r="P1002"/>
  <c r="O1002"/>
  <c r="AM1001"/>
  <c r="R1001"/>
  <c r="P1001"/>
  <c r="O1001"/>
  <c r="AM1000"/>
  <c r="R1000"/>
  <c r="P1000"/>
  <c r="O1000"/>
  <c r="AM991" l="1"/>
  <c r="AM992"/>
  <c r="AM993"/>
  <c r="AM994"/>
  <c r="AM995"/>
  <c r="AM996"/>
  <c r="AM997"/>
  <c r="AM998"/>
  <c r="AM999"/>
  <c r="R999"/>
  <c r="O999"/>
  <c r="R998"/>
  <c r="O998"/>
  <c r="R997"/>
  <c r="O997"/>
  <c r="R996"/>
  <c r="O996"/>
  <c r="R995"/>
  <c r="O995"/>
  <c r="R994"/>
  <c r="O994"/>
  <c r="R993"/>
  <c r="O993"/>
  <c r="R992"/>
  <c r="O992"/>
  <c r="R991"/>
  <c r="O991"/>
  <c r="R211"/>
  <c r="E27" i="13"/>
  <c r="E26"/>
  <c r="E25"/>
  <c r="E24"/>
  <c r="E23"/>
  <c r="E22"/>
  <c r="E21"/>
  <c r="E20"/>
  <c r="E13"/>
  <c r="E12"/>
  <c r="E11"/>
  <c r="E10"/>
  <c r="E9"/>
  <c r="E8"/>
  <c r="E7"/>
  <c r="E6"/>
  <c r="P993" i="1"/>
  <c r="P992"/>
  <c r="P999"/>
  <c r="P991"/>
  <c r="P996"/>
  <c r="P995"/>
  <c r="P998"/>
  <c r="P997"/>
  <c r="P994"/>
  <c r="E14" i="13" l="1"/>
  <c r="H38" s="1"/>
  <c r="E28"/>
  <c r="P38" s="1"/>
  <c r="K114" i="1"/>
  <c r="K117"/>
  <c r="K128"/>
  <c r="R306"/>
  <c r="R307"/>
  <c r="R308"/>
  <c r="R309"/>
  <c r="R310"/>
  <c r="R311"/>
  <c r="R312"/>
  <c r="R313"/>
  <c r="R314"/>
  <c r="R315"/>
  <c r="R316"/>
  <c r="R317"/>
  <c r="R318"/>
  <c r="R319"/>
  <c r="R320"/>
  <c r="R321"/>
  <c r="R322"/>
  <c r="R323"/>
  <c r="R324"/>
  <c r="R325"/>
  <c r="R326"/>
  <c r="R327"/>
  <c r="R328"/>
  <c r="R329"/>
  <c r="R330"/>
  <c r="R331"/>
  <c r="R332"/>
  <c r="R333"/>
  <c r="R334"/>
  <c r="R335"/>
  <c r="R336"/>
  <c r="R337"/>
  <c r="R338"/>
  <c r="R339"/>
  <c r="R340"/>
  <c r="R341"/>
  <c r="R342"/>
  <c r="R343"/>
  <c r="R344"/>
  <c r="R345"/>
  <c r="R346"/>
  <c r="R347"/>
  <c r="R348"/>
  <c r="R349"/>
  <c r="R350"/>
  <c r="R351"/>
  <c r="R352"/>
  <c r="R353"/>
  <c r="R354"/>
  <c r="R355"/>
  <c r="R356"/>
  <c r="R357"/>
  <c r="R358"/>
  <c r="R359"/>
  <c r="R360"/>
  <c r="R361"/>
  <c r="R362"/>
  <c r="R363"/>
  <c r="R364"/>
  <c r="R365"/>
  <c r="R366"/>
  <c r="R367"/>
  <c r="R368"/>
  <c r="R369"/>
  <c r="R370"/>
  <c r="R371"/>
  <c r="R372"/>
  <c r="R373"/>
  <c r="R374"/>
  <c r="R375"/>
  <c r="R376"/>
  <c r="R377"/>
  <c r="R378"/>
  <c r="R379"/>
  <c r="R380"/>
  <c r="R381"/>
  <c r="R382"/>
  <c r="R383"/>
  <c r="R384"/>
  <c r="R385"/>
  <c r="R386"/>
  <c r="R387"/>
  <c r="R388"/>
  <c r="R389"/>
  <c r="R390"/>
  <c r="R391"/>
  <c r="R392"/>
  <c r="R393"/>
  <c r="R394"/>
  <c r="R395"/>
  <c r="R396"/>
  <c r="R397"/>
  <c r="R398"/>
  <c r="R399"/>
  <c r="R400"/>
  <c r="R401"/>
  <c r="R402"/>
  <c r="R403"/>
  <c r="R404"/>
  <c r="R405"/>
  <c r="R406"/>
  <c r="R407"/>
  <c r="R408"/>
  <c r="R409"/>
  <c r="R410"/>
  <c r="R411"/>
  <c r="R412"/>
  <c r="R413"/>
  <c r="R414"/>
  <c r="R415"/>
  <c r="R416"/>
  <c r="R417"/>
  <c r="R418"/>
  <c r="R419"/>
  <c r="R420"/>
  <c r="R421"/>
  <c r="R422"/>
  <c r="R423"/>
  <c r="AM29"/>
  <c r="AM30"/>
  <c r="AM31"/>
  <c r="AM32"/>
  <c r="AM33"/>
  <c r="AM34"/>
  <c r="AM35"/>
  <c r="AM36"/>
  <c r="AM37"/>
  <c r="AM38"/>
  <c r="AM39"/>
  <c r="AM40"/>
  <c r="AM41"/>
  <c r="AM42"/>
  <c r="AM43"/>
  <c r="AM44"/>
  <c r="AM45"/>
  <c r="AM46"/>
  <c r="AM47"/>
  <c r="AM48"/>
  <c r="AM49"/>
  <c r="AM50"/>
  <c r="AM51"/>
  <c r="AM52"/>
  <c r="AM53"/>
  <c r="AM54"/>
  <c r="AM55"/>
  <c r="AM56"/>
  <c r="AM57"/>
  <c r="AM58"/>
  <c r="AM59"/>
  <c r="AM60"/>
  <c r="AM61"/>
  <c r="AM62"/>
  <c r="AM63"/>
  <c r="AM64"/>
  <c r="AM65"/>
  <c r="AM66"/>
  <c r="AM67"/>
  <c r="AM68"/>
  <c r="AM69"/>
  <c r="AM70"/>
  <c r="AM71"/>
  <c r="AM72"/>
  <c r="AM73"/>
  <c r="AM74"/>
  <c r="AM75"/>
  <c r="AM76"/>
  <c r="AM77"/>
  <c r="AM78"/>
  <c r="AM79"/>
  <c r="AM80"/>
  <c r="AM81"/>
  <c r="AM82"/>
  <c r="AM83"/>
  <c r="AM84"/>
  <c r="AM85"/>
  <c r="AM86"/>
  <c r="AM87"/>
  <c r="AM88"/>
  <c r="AM89"/>
  <c r="AM90"/>
  <c r="AM91"/>
  <c r="AM92"/>
  <c r="AM93"/>
  <c r="AM94"/>
  <c r="AM95"/>
  <c r="AM96"/>
  <c r="AM97"/>
  <c r="AM98"/>
  <c r="AM99"/>
  <c r="AM100"/>
  <c r="AM101"/>
  <c r="AM102"/>
  <c r="AM103"/>
  <c r="AM104"/>
  <c r="AM105"/>
  <c r="AM106"/>
  <c r="AM107"/>
  <c r="AM108"/>
  <c r="AM109"/>
  <c r="AM110"/>
  <c r="AM111"/>
  <c r="AM112"/>
  <c r="AM113"/>
  <c r="AM114"/>
  <c r="AM115"/>
  <c r="AM116"/>
  <c r="AM117"/>
  <c r="AM118"/>
  <c r="AM119"/>
  <c r="AM120"/>
  <c r="AM121"/>
  <c r="AM122"/>
  <c r="AM123"/>
  <c r="AM124"/>
  <c r="AM125"/>
  <c r="AM126"/>
  <c r="AM127"/>
  <c r="AM128"/>
  <c r="AM129"/>
  <c r="AM130"/>
  <c r="AM131"/>
  <c r="AM132"/>
  <c r="AM133"/>
  <c r="AM134"/>
  <c r="AM135"/>
  <c r="AM136"/>
  <c r="AM137"/>
  <c r="AM138"/>
  <c r="AM139"/>
  <c r="AM140"/>
  <c r="AM141"/>
  <c r="AM142"/>
  <c r="AM143"/>
  <c r="AM144"/>
  <c r="AM145"/>
  <c r="AM146"/>
  <c r="AM147"/>
  <c r="AM148"/>
  <c r="AM149"/>
  <c r="AM150"/>
  <c r="AM151"/>
  <c r="AM152"/>
  <c r="AM153"/>
  <c r="AM154"/>
  <c r="AM155"/>
  <c r="AM156"/>
  <c r="AM157"/>
  <c r="AM158"/>
  <c r="AM159"/>
  <c r="AM160"/>
  <c r="AM161"/>
  <c r="AM162"/>
  <c r="AM163"/>
  <c r="AM164"/>
  <c r="AM165"/>
  <c r="AM166"/>
  <c r="AM167"/>
  <c r="AM168"/>
  <c r="AM169"/>
  <c r="AM170"/>
  <c r="AM171"/>
  <c r="AM172"/>
  <c r="AM173"/>
  <c r="AM174"/>
  <c r="AM175"/>
  <c r="AM176"/>
  <c r="AM177"/>
  <c r="AM178"/>
  <c r="AM179"/>
  <c r="AM180"/>
  <c r="AM181"/>
  <c r="AM182"/>
  <c r="AM183"/>
  <c r="AM184"/>
  <c r="AM185"/>
  <c r="AM186"/>
  <c r="AM187"/>
  <c r="AM188"/>
  <c r="AM189"/>
  <c r="AM190"/>
  <c r="AM191"/>
  <c r="AM192"/>
  <c r="AM193"/>
  <c r="AM194"/>
  <c r="AM195"/>
  <c r="AM196"/>
  <c r="AM197"/>
  <c r="AM198"/>
  <c r="AM199"/>
  <c r="AM200"/>
  <c r="AM201"/>
  <c r="AM202"/>
  <c r="AM203"/>
  <c r="AM204"/>
  <c r="AM205"/>
  <c r="AM206"/>
  <c r="AM207"/>
  <c r="AM208"/>
  <c r="AM209"/>
  <c r="AM210"/>
  <c r="AM211"/>
  <c r="AM212"/>
  <c r="AM213"/>
  <c r="AM214"/>
  <c r="AM215"/>
  <c r="AM216"/>
  <c r="AM217"/>
  <c r="AM218"/>
  <c r="AM219"/>
  <c r="AM220"/>
  <c r="AM221"/>
  <c r="AM222"/>
  <c r="AM223"/>
  <c r="AM224"/>
  <c r="AM225"/>
  <c r="AM226"/>
  <c r="AM227"/>
  <c r="AM228"/>
  <c r="AM229"/>
  <c r="AM230"/>
  <c r="AM231"/>
  <c r="AM232"/>
  <c r="AM233"/>
  <c r="AM234"/>
  <c r="AM235"/>
  <c r="AM236"/>
  <c r="AM237"/>
  <c r="AM238"/>
  <c r="AM239"/>
  <c r="AM240"/>
  <c r="AM241"/>
  <c r="AM242"/>
  <c r="AM243"/>
  <c r="AM244"/>
  <c r="AM245"/>
  <c r="AM246"/>
  <c r="AM247"/>
  <c r="AM248"/>
  <c r="AM249"/>
  <c r="AM250"/>
  <c r="AM251"/>
  <c r="AM252"/>
  <c r="AM253"/>
  <c r="AM254"/>
  <c r="AM255"/>
  <c r="AM256"/>
  <c r="AM257"/>
  <c r="AM258"/>
  <c r="AM259"/>
  <c r="AM260"/>
  <c r="AM261"/>
  <c r="AM262"/>
  <c r="AM263"/>
  <c r="AM264"/>
  <c r="AM265"/>
  <c r="AM266"/>
  <c r="AM267"/>
  <c r="AM268"/>
  <c r="AM269"/>
  <c r="AM270"/>
  <c r="AM271"/>
  <c r="AM272"/>
  <c r="AM273"/>
  <c r="AM274"/>
  <c r="AM275"/>
  <c r="AM276"/>
  <c r="AM277"/>
  <c r="AM278"/>
  <c r="AM279"/>
  <c r="AM280"/>
  <c r="AM281"/>
  <c r="AM282"/>
  <c r="AM283"/>
  <c r="AM284"/>
  <c r="AM285"/>
  <c r="AM286"/>
  <c r="AM287"/>
  <c r="AM288"/>
  <c r="AM289"/>
  <c r="AM290"/>
  <c r="AM291"/>
  <c r="AM292"/>
  <c r="AM293"/>
  <c r="AM294"/>
  <c r="AM295"/>
  <c r="AM296"/>
  <c r="AM297"/>
  <c r="AM298"/>
  <c r="AM299"/>
  <c r="AM300"/>
  <c r="AM301"/>
  <c r="AM302"/>
  <c r="AM303"/>
  <c r="AM304"/>
  <c r="AM305"/>
  <c r="AM306"/>
  <c r="AM307"/>
  <c r="AM308"/>
  <c r="AM309"/>
  <c r="AM310"/>
  <c r="AM311"/>
  <c r="AM312"/>
  <c r="AM313"/>
  <c r="AM314"/>
  <c r="AM315"/>
  <c r="AM316"/>
  <c r="AM317"/>
  <c r="AM318"/>
  <c r="AM319"/>
  <c r="AM320"/>
  <c r="AM321"/>
  <c r="AM322"/>
  <c r="AM323"/>
  <c r="AM324"/>
  <c r="AM325"/>
  <c r="AM326"/>
  <c r="AM327"/>
  <c r="AM328"/>
  <c r="AM329"/>
  <c r="AM330"/>
  <c r="AM331"/>
  <c r="AM332"/>
  <c r="AM333"/>
  <c r="AM334"/>
  <c r="AM335"/>
  <c r="AM336"/>
  <c r="AM337"/>
  <c r="AM338"/>
  <c r="AM339"/>
  <c r="AM340"/>
  <c r="AM341"/>
  <c r="AM342"/>
  <c r="AM343"/>
  <c r="AM344"/>
  <c r="AM345"/>
  <c r="AM346"/>
  <c r="AM347"/>
  <c r="AM348"/>
  <c r="AM349"/>
  <c r="AM350"/>
  <c r="AM351"/>
  <c r="AM352"/>
  <c r="AM353"/>
  <c r="AM354"/>
  <c r="AM355"/>
  <c r="AM356"/>
  <c r="AM357"/>
  <c r="AM358"/>
  <c r="AM359"/>
  <c r="AM360"/>
  <c r="AM361"/>
  <c r="AM362"/>
  <c r="AM363"/>
  <c r="AM364"/>
  <c r="AM365"/>
  <c r="AM366"/>
  <c r="AM367"/>
  <c r="AM368"/>
  <c r="AM369"/>
  <c r="AM370"/>
  <c r="AM371"/>
  <c r="AM372"/>
  <c r="AM373"/>
  <c r="AM374"/>
  <c r="AM375"/>
  <c r="AM376"/>
  <c r="AM377"/>
  <c r="AM378"/>
  <c r="AM379"/>
  <c r="AM380"/>
  <c r="AM381"/>
  <c r="AM382"/>
  <c r="AM383"/>
  <c r="AM384"/>
  <c r="AM385"/>
  <c r="AM386"/>
  <c r="AM387"/>
  <c r="AM388"/>
  <c r="AM389"/>
  <c r="AM390"/>
  <c r="AM391"/>
  <c r="AM392"/>
  <c r="AM393"/>
  <c r="AM394"/>
  <c r="AM395"/>
  <c r="AM396"/>
  <c r="AM397"/>
  <c r="AM398"/>
  <c r="AM399"/>
  <c r="AM400"/>
  <c r="AM401"/>
  <c r="AM402"/>
  <c r="AM403"/>
  <c r="AM404"/>
  <c r="AM405"/>
  <c r="AM406"/>
  <c r="AM407"/>
  <c r="AM408"/>
  <c r="AM409"/>
  <c r="AM410"/>
  <c r="AM411"/>
  <c r="AM412"/>
  <c r="AM413"/>
  <c r="AM414"/>
  <c r="AM415"/>
  <c r="AM416"/>
  <c r="AM417"/>
  <c r="AM418"/>
  <c r="AM419"/>
  <c r="AM420"/>
  <c r="AM421"/>
  <c r="AM422"/>
  <c r="AM423"/>
  <c r="AM424"/>
  <c r="AM425"/>
  <c r="AM426"/>
  <c r="AM427"/>
  <c r="AM428"/>
  <c r="AM429"/>
  <c r="AM430"/>
  <c r="AM431"/>
  <c r="AM432"/>
  <c r="AM433"/>
  <c r="AM434"/>
  <c r="AM435"/>
  <c r="AM436"/>
  <c r="AM437"/>
  <c r="AM438"/>
  <c r="AM439"/>
  <c r="AM440"/>
  <c r="AM441"/>
  <c r="AM442"/>
  <c r="AM443"/>
  <c r="AM444"/>
  <c r="AM445"/>
  <c r="AM446"/>
  <c r="AM447"/>
  <c r="AM448"/>
  <c r="AM449"/>
  <c r="AM450"/>
  <c r="AM451"/>
  <c r="AM452"/>
  <c r="AM453"/>
  <c r="AM454"/>
  <c r="AM455"/>
  <c r="AM456"/>
  <c r="AM457"/>
  <c r="AM458"/>
  <c r="AM459"/>
  <c r="AM460"/>
  <c r="AM461"/>
  <c r="AM462"/>
  <c r="AM463"/>
  <c r="AM464"/>
  <c r="AM465"/>
  <c r="AM466"/>
  <c r="AM467"/>
  <c r="AM468"/>
  <c r="AM469"/>
  <c r="AM470"/>
  <c r="AM471"/>
  <c r="AM472"/>
  <c r="AM473"/>
  <c r="AM474"/>
  <c r="AM475"/>
  <c r="AM476"/>
  <c r="AM477"/>
  <c r="AM478"/>
  <c r="AM479"/>
  <c r="AM480"/>
  <c r="AM481"/>
  <c r="AM482"/>
  <c r="AM483"/>
  <c r="AM484"/>
  <c r="AM485"/>
  <c r="AM486"/>
  <c r="AM487"/>
  <c r="AM488"/>
  <c r="AM489"/>
  <c r="AM490"/>
  <c r="AM491"/>
  <c r="AM492"/>
  <c r="AM493"/>
  <c r="AM494"/>
  <c r="AM495"/>
  <c r="AM496"/>
  <c r="AM497"/>
  <c r="AM498"/>
  <c r="AM499"/>
  <c r="AM500"/>
  <c r="AM501"/>
  <c r="AM502"/>
  <c r="AM503"/>
  <c r="AM504"/>
  <c r="AM505"/>
  <c r="AM506"/>
  <c r="AM507"/>
  <c r="AM508"/>
  <c r="AM509"/>
  <c r="AM510"/>
  <c r="AM511"/>
  <c r="AM512"/>
  <c r="AM513"/>
  <c r="AM514"/>
  <c r="AM515"/>
  <c r="AM516"/>
  <c r="AM517"/>
  <c r="AM518"/>
  <c r="AM519"/>
  <c r="AM520"/>
  <c r="AM521"/>
  <c r="AM522"/>
  <c r="AM523"/>
  <c r="AM524"/>
  <c r="AM525"/>
  <c r="AM526"/>
  <c r="AM527"/>
  <c r="AM528"/>
  <c r="AM529"/>
  <c r="AM530"/>
  <c r="AM531"/>
  <c r="AM532"/>
  <c r="AM533"/>
  <c r="AM534"/>
  <c r="AM535"/>
  <c r="AM536"/>
  <c r="AM537"/>
  <c r="AM538"/>
  <c r="AM539"/>
  <c r="AM540"/>
  <c r="AM541"/>
  <c r="AM542"/>
  <c r="AM543"/>
  <c r="AM544"/>
  <c r="AM545"/>
  <c r="AM546"/>
  <c r="AM547"/>
  <c r="AM548"/>
  <c r="AM549"/>
  <c r="AM550"/>
  <c r="AM551"/>
  <c r="AM552"/>
  <c r="AM553"/>
  <c r="AM554"/>
  <c r="AM555"/>
  <c r="AM556"/>
  <c r="AM557"/>
  <c r="AM558"/>
  <c r="AM559"/>
  <c r="AM560"/>
  <c r="AM561"/>
  <c r="AM562"/>
  <c r="AM563"/>
  <c r="AM564"/>
  <c r="AM565"/>
  <c r="AM566"/>
  <c r="AM567"/>
  <c r="AM568"/>
  <c r="AM569"/>
  <c r="AM570"/>
  <c r="AM571"/>
  <c r="AM572"/>
  <c r="AM573"/>
  <c r="AM574"/>
  <c r="AM575"/>
  <c r="AM576"/>
  <c r="AM577"/>
  <c r="AM578"/>
  <c r="AM579"/>
  <c r="AM580"/>
  <c r="AM581"/>
  <c r="AM582"/>
  <c r="AM583"/>
  <c r="AM584"/>
  <c r="AM585"/>
  <c r="AM586"/>
  <c r="AM587"/>
  <c r="AM588"/>
  <c r="AM589"/>
  <c r="AM590"/>
  <c r="AM591"/>
  <c r="AM592"/>
  <c r="AM593"/>
  <c r="AM594"/>
  <c r="AM595"/>
  <c r="AM596"/>
  <c r="AM597"/>
  <c r="AM598"/>
  <c r="AM599"/>
  <c r="AM600"/>
  <c r="AM601"/>
  <c r="AM602"/>
  <c r="AM603"/>
  <c r="AM604"/>
  <c r="AM605"/>
  <c r="AM606"/>
  <c r="AM607"/>
  <c r="AM608"/>
  <c r="AM609"/>
  <c r="AM610"/>
  <c r="AM611"/>
  <c r="AM612"/>
  <c r="AM613"/>
  <c r="AM614"/>
  <c r="AM615"/>
  <c r="AM616"/>
  <c r="AM617"/>
  <c r="AM618"/>
  <c r="AM619"/>
  <c r="AM620"/>
  <c r="AM621"/>
  <c r="AM622"/>
  <c r="AM623"/>
  <c r="AM624"/>
  <c r="AM625"/>
  <c r="AM626"/>
  <c r="AM627"/>
  <c r="AM628"/>
  <c r="AM629"/>
  <c r="AM630"/>
  <c r="AM631"/>
  <c r="AM632"/>
  <c r="AM633"/>
  <c r="AM634"/>
  <c r="AM635"/>
  <c r="AM636"/>
  <c r="AM637"/>
  <c r="AM638"/>
  <c r="AM639"/>
  <c r="AM640"/>
  <c r="AM641"/>
  <c r="AM642"/>
  <c r="AM643"/>
  <c r="AM644"/>
  <c r="AM645"/>
  <c r="AM646"/>
  <c r="AM647"/>
  <c r="AM648"/>
  <c r="AM649"/>
  <c r="AM650"/>
  <c r="AM651"/>
  <c r="AM652"/>
  <c r="AM653"/>
  <c r="AM654"/>
  <c r="AM655"/>
  <c r="AM656"/>
  <c r="AM657"/>
  <c r="AM658"/>
  <c r="AM659"/>
  <c r="AM660"/>
  <c r="AM661"/>
  <c r="AM662"/>
  <c r="AM663"/>
  <c r="AM664"/>
  <c r="AM665"/>
  <c r="AM666"/>
  <c r="AM667"/>
  <c r="AM668"/>
  <c r="AM669"/>
  <c r="AM670"/>
  <c r="AM671"/>
  <c r="AM672"/>
  <c r="AM673"/>
  <c r="AM674"/>
  <c r="AM675"/>
  <c r="AM676"/>
  <c r="AM677"/>
  <c r="AM678"/>
  <c r="AM679"/>
  <c r="AM680"/>
  <c r="AM681"/>
  <c r="AM682"/>
  <c r="AM683"/>
  <c r="AM684"/>
  <c r="AM685"/>
  <c r="AM686"/>
  <c r="AM687"/>
  <c r="AM688"/>
  <c r="AM689"/>
  <c r="AM690"/>
  <c r="AM691"/>
  <c r="AM692"/>
  <c r="AM693"/>
  <c r="AM694"/>
  <c r="AM695"/>
  <c r="AM696"/>
  <c r="AM697"/>
  <c r="AM698"/>
  <c r="AM699"/>
  <c r="AM700"/>
  <c r="AM701"/>
  <c r="AM702"/>
  <c r="AM703"/>
  <c r="AM704"/>
  <c r="AM705"/>
  <c r="AM706"/>
  <c r="AM707"/>
  <c r="AM708"/>
  <c r="AM709"/>
  <c r="AM710"/>
  <c r="AM711"/>
  <c r="AM712"/>
  <c r="AM713"/>
  <c r="AM714"/>
  <c r="AM715"/>
  <c r="AM716"/>
  <c r="AM717"/>
  <c r="AM718"/>
  <c r="AM719"/>
  <c r="AM720"/>
  <c r="AM721"/>
  <c r="AM722"/>
  <c r="AM723"/>
  <c r="AM724"/>
  <c r="AM725"/>
  <c r="AM726"/>
  <c r="AM727"/>
  <c r="AM728"/>
  <c r="AM729"/>
  <c r="AM730"/>
  <c r="AM731"/>
  <c r="AM732"/>
  <c r="AM733"/>
  <c r="AM734"/>
  <c r="AM735"/>
  <c r="AM736"/>
  <c r="AM737"/>
  <c r="AM738"/>
  <c r="AM739"/>
  <c r="AM740"/>
  <c r="AM741"/>
  <c r="AM742"/>
  <c r="AM743"/>
  <c r="AM744"/>
  <c r="AM745"/>
  <c r="AM746"/>
  <c r="AM747"/>
  <c r="AM748"/>
  <c r="AM749"/>
  <c r="AM750"/>
  <c r="AM751"/>
  <c r="AM752"/>
  <c r="AM753"/>
  <c r="AM754"/>
  <c r="AM755"/>
  <c r="AM756"/>
  <c r="AM757"/>
  <c r="AM758"/>
  <c r="AM759"/>
  <c r="AM760"/>
  <c r="AM761"/>
  <c r="AM762"/>
  <c r="AM763"/>
  <c r="AM764"/>
  <c r="AM765"/>
  <c r="AM766"/>
  <c r="AM767"/>
  <c r="AM768"/>
  <c r="AM769"/>
  <c r="AM770"/>
  <c r="AM771"/>
  <c r="AM772"/>
  <c r="AM773"/>
  <c r="AM774"/>
  <c r="AM775"/>
  <c r="AM776"/>
  <c r="AM777"/>
  <c r="AM778"/>
  <c r="AM779"/>
  <c r="AM780"/>
  <c r="AM781"/>
  <c r="AM782"/>
  <c r="AM783"/>
  <c r="AM784"/>
  <c r="AM785"/>
  <c r="AM786"/>
  <c r="AM787"/>
  <c r="AM788"/>
  <c r="AM789"/>
  <c r="AM790"/>
  <c r="AM791"/>
  <c r="AM792"/>
  <c r="AM793"/>
  <c r="AM794"/>
  <c r="AM795"/>
  <c r="AM796"/>
  <c r="AM797"/>
  <c r="AM798"/>
  <c r="AM799"/>
  <c r="AM800"/>
  <c r="AM801"/>
  <c r="AM802"/>
  <c r="AM803"/>
  <c r="AM804"/>
  <c r="AM805"/>
  <c r="AM806"/>
  <c r="AM807"/>
  <c r="AM808"/>
  <c r="AM809"/>
  <c r="AM810"/>
  <c r="AM811"/>
  <c r="AM812"/>
  <c r="AM813"/>
  <c r="AM814"/>
  <c r="AM815"/>
  <c r="AM816"/>
  <c r="AM817"/>
  <c r="AM818"/>
  <c r="AM819"/>
  <c r="AM820"/>
  <c r="AM821"/>
  <c r="AM822"/>
  <c r="AM823"/>
  <c r="AM824"/>
  <c r="AM825"/>
  <c r="AM826"/>
  <c r="AM827"/>
  <c r="AM828"/>
  <c r="AM829"/>
  <c r="AM830"/>
  <c r="AM831"/>
  <c r="AM832"/>
  <c r="AM833"/>
  <c r="AM834"/>
  <c r="AM835"/>
  <c r="AM836"/>
  <c r="AM837"/>
  <c r="AM838"/>
  <c r="AM839"/>
  <c r="AM840"/>
  <c r="AM841"/>
  <c r="AM842"/>
  <c r="AM843"/>
  <c r="AM844"/>
  <c r="AM845"/>
  <c r="AM846"/>
  <c r="AM847"/>
  <c r="AM848"/>
  <c r="AM849"/>
  <c r="AM850"/>
  <c r="AM851"/>
  <c r="AM852"/>
  <c r="AM853"/>
  <c r="AM854"/>
  <c r="AM855"/>
  <c r="AM856"/>
  <c r="AM857"/>
  <c r="AM858"/>
  <c r="AM859"/>
  <c r="AM860"/>
  <c r="AM861"/>
  <c r="AM862"/>
  <c r="AM863"/>
  <c r="AM864"/>
  <c r="AM865"/>
  <c r="AM866"/>
  <c r="AM867"/>
  <c r="AM868"/>
  <c r="AM869"/>
  <c r="AM870"/>
  <c r="AM871"/>
  <c r="AM872"/>
  <c r="AM873"/>
  <c r="AM874"/>
  <c r="AM875"/>
  <c r="AM876"/>
  <c r="AM877"/>
  <c r="AM878"/>
  <c r="AM879"/>
  <c r="AM880"/>
  <c r="AM881"/>
  <c r="AM882"/>
  <c r="AM883"/>
  <c r="AM884"/>
  <c r="AM885"/>
  <c r="AM886"/>
  <c r="AM887"/>
  <c r="AM888"/>
  <c r="AM889"/>
  <c r="AM890"/>
  <c r="AM891"/>
  <c r="AM892"/>
  <c r="AM893"/>
  <c r="AM894"/>
  <c r="AM895"/>
  <c r="AM896"/>
  <c r="AM897"/>
  <c r="AM898"/>
  <c r="AM899"/>
  <c r="AM900"/>
  <c r="AM901"/>
  <c r="AM902"/>
  <c r="AM903"/>
  <c r="AM904"/>
  <c r="AM905"/>
  <c r="AM906"/>
  <c r="AM907"/>
  <c r="AM908"/>
  <c r="AM909"/>
  <c r="AM910"/>
  <c r="AM911"/>
  <c r="AM912"/>
  <c r="AM913"/>
  <c r="AM914"/>
  <c r="AM915"/>
  <c r="AM916"/>
  <c r="AM917"/>
  <c r="AM918"/>
  <c r="AM919"/>
  <c r="AM920"/>
  <c r="AM921"/>
  <c r="AM922"/>
  <c r="AM923"/>
  <c r="AM924"/>
  <c r="AM925"/>
  <c r="AM926"/>
  <c r="AM927"/>
  <c r="AM928"/>
  <c r="AM929"/>
  <c r="AM930"/>
  <c r="AM931"/>
  <c r="AM932"/>
  <c r="AM933"/>
  <c r="AM934"/>
  <c r="AM935"/>
  <c r="AM936"/>
  <c r="AM937"/>
  <c r="AM938"/>
  <c r="AM939"/>
  <c r="AM940"/>
  <c r="AM941"/>
  <c r="AM942"/>
  <c r="AM943"/>
  <c r="AM944"/>
  <c r="AM945"/>
  <c r="AM946"/>
  <c r="AM947"/>
  <c r="AM948"/>
  <c r="AM949"/>
  <c r="AM950"/>
  <c r="AM951"/>
  <c r="AM952"/>
  <c r="AM953"/>
  <c r="AM954"/>
  <c r="AM955"/>
  <c r="AM956"/>
  <c r="AM957"/>
  <c r="AM958"/>
  <c r="AM959"/>
  <c r="AM960"/>
  <c r="AM961"/>
  <c r="AM962"/>
  <c r="AM963"/>
  <c r="AM964"/>
  <c r="AM965"/>
  <c r="AM966"/>
  <c r="AM967"/>
  <c r="AM968"/>
  <c r="AM969"/>
  <c r="AM970"/>
  <c r="AM971"/>
  <c r="AM972"/>
  <c r="AM973"/>
  <c r="AM974"/>
  <c r="AM975"/>
  <c r="AM976"/>
  <c r="AM977"/>
  <c r="AM978"/>
  <c r="AM979"/>
  <c r="AM980"/>
  <c r="AM981"/>
  <c r="AM982"/>
  <c r="AM983"/>
  <c r="AM984"/>
  <c r="AM985"/>
  <c r="AM986"/>
  <c r="AM987"/>
  <c r="AM988"/>
  <c r="AM989"/>
  <c r="AM990"/>
  <c r="AM4"/>
  <c r="AM5"/>
  <c r="AM6"/>
  <c r="AM7"/>
  <c r="AM8"/>
  <c r="AM9"/>
  <c r="AM10"/>
  <c r="AM11"/>
  <c r="AM12"/>
  <c r="AM13"/>
  <c r="AM14"/>
  <c r="AM15"/>
  <c r="AM16"/>
  <c r="AM17"/>
  <c r="AM18"/>
  <c r="AM19"/>
  <c r="AM20"/>
  <c r="AM21"/>
  <c r="AM22"/>
  <c r="AM23"/>
  <c r="AM24"/>
  <c r="AM25"/>
  <c r="AM26"/>
  <c r="AM27"/>
  <c r="AM3"/>
  <c r="AM28"/>
  <c r="R990"/>
  <c r="P990"/>
  <c r="P40" i="13" l="1"/>
  <c r="P46"/>
  <c r="P43"/>
  <c r="P44"/>
  <c r="P45"/>
  <c r="H43"/>
  <c r="H44"/>
  <c r="H45"/>
  <c r="H46"/>
  <c r="H40"/>
  <c r="G26"/>
  <c r="F26"/>
  <c r="G25"/>
  <c r="F25"/>
  <c r="G24"/>
  <c r="F24"/>
  <c r="G23"/>
  <c r="F23"/>
  <c r="G22"/>
  <c r="F22"/>
  <c r="G21"/>
  <c r="F21"/>
  <c r="G20"/>
  <c r="F20"/>
  <c r="G27"/>
  <c r="F27"/>
  <c r="F12"/>
  <c r="F11"/>
  <c r="F10"/>
  <c r="F9"/>
  <c r="F8"/>
  <c r="F7"/>
  <c r="F6"/>
  <c r="F13"/>
  <c r="E30"/>
  <c r="G11"/>
  <c r="G10"/>
  <c r="G9"/>
  <c r="G8"/>
  <c r="G7"/>
  <c r="G6"/>
  <c r="G13"/>
  <c r="G12"/>
  <c r="O990" i="1"/>
  <c r="R989"/>
  <c r="P989"/>
  <c r="G28" i="13" l="1"/>
  <c r="F28"/>
  <c r="F14"/>
  <c r="G14"/>
  <c r="O989" i="1"/>
  <c r="R988"/>
  <c r="P988"/>
  <c r="F30" i="13" l="1"/>
  <c r="G30"/>
  <c r="O988" i="1"/>
  <c r="I11" i="11"/>
  <c r="I10"/>
  <c r="I9"/>
  <c r="I8"/>
  <c r="I7"/>
  <c r="I6"/>
  <c r="I5"/>
  <c r="H11"/>
  <c r="H10"/>
  <c r="H9"/>
  <c r="H8"/>
  <c r="H7"/>
  <c r="H6"/>
  <c r="H5"/>
  <c r="R987" i="1" l="1"/>
  <c r="O987"/>
  <c r="P73"/>
  <c r="P638"/>
  <c r="P194"/>
  <c r="P152"/>
  <c r="P259"/>
  <c r="P247"/>
  <c r="P251"/>
  <c r="P678"/>
  <c r="P67"/>
  <c r="P358"/>
  <c r="P673"/>
  <c r="P698"/>
  <c r="P893"/>
  <c r="P378"/>
  <c r="P659"/>
  <c r="P267"/>
  <c r="P192"/>
  <c r="P545"/>
  <c r="P964"/>
  <c r="P207"/>
  <c r="P352"/>
  <c r="P592"/>
  <c r="P164"/>
  <c r="P76"/>
  <c r="P296"/>
  <c r="P639"/>
  <c r="P971"/>
  <c r="P740"/>
  <c r="P265"/>
  <c r="P554"/>
  <c r="P534"/>
  <c r="P975"/>
  <c r="P351"/>
  <c r="P82"/>
  <c r="P412"/>
  <c r="P798"/>
  <c r="P305"/>
  <c r="P560"/>
  <c r="P575"/>
  <c r="P835"/>
  <c r="P130"/>
  <c r="P71"/>
  <c r="P175"/>
  <c r="P357"/>
  <c r="P6"/>
  <c r="P237"/>
  <c r="P898"/>
  <c r="P415"/>
  <c r="P945"/>
  <c r="P807"/>
  <c r="P110"/>
  <c r="P11"/>
  <c r="P447"/>
  <c r="P601"/>
  <c r="P135"/>
  <c r="P269"/>
  <c r="P131"/>
  <c r="P541"/>
  <c r="P31"/>
  <c r="P66"/>
  <c r="P211"/>
  <c r="P60"/>
  <c r="P747"/>
  <c r="P666"/>
  <c r="P393"/>
  <c r="P268"/>
  <c r="P25"/>
  <c r="P428"/>
  <c r="P156"/>
  <c r="P489"/>
  <c r="P937"/>
  <c r="P123"/>
  <c r="P749"/>
  <c r="P692"/>
  <c r="P684"/>
  <c r="P480"/>
  <c r="P176"/>
  <c r="P205"/>
  <c r="P754"/>
  <c r="P863"/>
  <c r="P464"/>
  <c r="P28"/>
  <c r="P86"/>
  <c r="P227"/>
  <c r="P22"/>
  <c r="P795"/>
  <c r="P162"/>
  <c r="P868"/>
  <c r="P825"/>
  <c r="P449"/>
  <c r="P517"/>
  <c r="P907"/>
  <c r="P957"/>
  <c r="P856"/>
  <c r="P629"/>
  <c r="P230"/>
  <c r="P854"/>
  <c r="P721"/>
  <c r="P776"/>
  <c r="P404"/>
  <c r="P13"/>
  <c r="P542"/>
  <c r="P792"/>
  <c r="P682"/>
  <c r="P389"/>
  <c r="P555"/>
  <c r="P527"/>
  <c r="P840"/>
  <c r="P107"/>
  <c r="P314"/>
  <c r="P462"/>
  <c r="P374"/>
  <c r="P203"/>
  <c r="P422"/>
  <c r="P707"/>
  <c r="P154"/>
  <c r="P597"/>
  <c r="P821"/>
  <c r="P406"/>
  <c r="P681"/>
  <c r="P875"/>
  <c r="P919"/>
  <c r="P401"/>
  <c r="P252"/>
  <c r="P141"/>
  <c r="P429"/>
  <c r="P566"/>
  <c r="P533"/>
  <c r="P390"/>
  <c r="P621"/>
  <c r="P917"/>
  <c r="P635"/>
  <c r="P470"/>
  <c r="P191"/>
  <c r="P187"/>
  <c r="P603"/>
  <c r="P69"/>
  <c r="P679"/>
  <c r="P235"/>
  <c r="P909"/>
  <c r="P596"/>
  <c r="P720"/>
  <c r="P744"/>
  <c r="P109"/>
  <c r="P332"/>
  <c r="P552"/>
  <c r="P773"/>
  <c r="P356"/>
  <c r="P630"/>
  <c r="P973"/>
  <c r="P775"/>
  <c r="P284"/>
  <c r="P132"/>
  <c r="P179"/>
  <c r="P466"/>
  <c r="P894"/>
  <c r="P758"/>
  <c r="P551"/>
  <c r="P619"/>
  <c r="P366"/>
  <c r="P523"/>
  <c r="P915"/>
  <c r="P124"/>
  <c r="P221"/>
  <c r="P933"/>
  <c r="P870"/>
  <c r="P72"/>
  <c r="P145"/>
  <c r="P89"/>
  <c r="P381"/>
  <c r="P922"/>
  <c r="P926"/>
  <c r="P599"/>
  <c r="P238"/>
  <c r="P445"/>
  <c r="P896"/>
  <c r="P160"/>
  <c r="P454"/>
  <c r="P686"/>
  <c r="P382"/>
  <c r="P32"/>
  <c r="P242"/>
  <c r="P690"/>
  <c r="P153"/>
  <c r="P181"/>
  <c r="P330"/>
  <c r="P138"/>
  <c r="P340"/>
  <c r="P553"/>
  <c r="P148"/>
  <c r="P921"/>
  <c r="P739"/>
  <c r="P768"/>
  <c r="P408"/>
  <c r="P446"/>
  <c r="P136"/>
  <c r="P334"/>
  <c r="P274"/>
  <c r="P232"/>
  <c r="P216"/>
  <c r="P791"/>
  <c r="P58"/>
  <c r="P49"/>
  <c r="P756"/>
  <c r="P972"/>
  <c r="P64"/>
  <c r="P325"/>
  <c r="P127"/>
  <c r="P359"/>
  <c r="P161"/>
  <c r="P960"/>
  <c r="P15"/>
  <c r="P370"/>
  <c r="P890"/>
  <c r="P419"/>
  <c r="P861"/>
  <c r="P670"/>
  <c r="P310"/>
  <c r="P803"/>
  <c r="P485"/>
  <c r="P838"/>
  <c r="P620"/>
  <c r="P514"/>
  <c r="P769"/>
  <c r="P169"/>
  <c r="P697"/>
  <c r="P876"/>
  <c r="P880"/>
  <c r="P65"/>
  <c r="P354"/>
  <c r="P488"/>
  <c r="P529"/>
  <c r="P103"/>
  <c r="P660"/>
  <c r="P872"/>
  <c r="P451"/>
  <c r="P511"/>
  <c r="P611"/>
  <c r="P385"/>
  <c r="P762"/>
  <c r="P764"/>
  <c r="P800"/>
  <c r="P92"/>
  <c r="P473"/>
  <c r="P486"/>
  <c r="P759"/>
  <c r="P506"/>
  <c r="P822"/>
  <c r="P30"/>
  <c r="P222"/>
  <c r="P62"/>
  <c r="P443"/>
  <c r="P841"/>
  <c r="P920"/>
  <c r="P976"/>
  <c r="P869"/>
  <c r="P85"/>
  <c r="P735"/>
  <c r="P912"/>
  <c r="P87"/>
  <c r="P648"/>
  <c r="P827"/>
  <c r="P170"/>
  <c r="P970"/>
  <c r="P229"/>
  <c r="P849"/>
  <c r="P612"/>
  <c r="P190"/>
  <c r="P97"/>
  <c r="P321"/>
  <c r="P830"/>
  <c r="P779"/>
  <c r="P694"/>
  <c r="P166"/>
  <c r="P104"/>
  <c r="P569"/>
  <c r="P829"/>
  <c r="P574"/>
  <c r="P899"/>
  <c r="P750"/>
  <c r="P526"/>
  <c r="P549"/>
  <c r="P371"/>
  <c r="P178"/>
  <c r="P398"/>
  <c r="P974"/>
  <c r="P55"/>
  <c r="P809"/>
  <c r="P225"/>
  <c r="P755"/>
  <c r="P147"/>
  <c r="P106"/>
  <c r="P846"/>
  <c r="P867"/>
  <c r="P652"/>
  <c r="P546"/>
  <c r="P362"/>
  <c r="P941"/>
  <c r="P47"/>
  <c r="P727"/>
  <c r="P20"/>
  <c r="P828"/>
  <c r="P333"/>
  <c r="P801"/>
  <c r="P272"/>
  <c r="P276"/>
  <c r="P202"/>
  <c r="P93"/>
  <c r="P570"/>
  <c r="P425"/>
  <c r="P56"/>
  <c r="P786"/>
  <c r="P642"/>
  <c r="P505"/>
  <c r="P312"/>
  <c r="P847"/>
  <c r="P859"/>
  <c r="P715"/>
  <c r="P871"/>
  <c r="P213"/>
  <c r="P26"/>
  <c r="P214"/>
  <c r="P117"/>
  <c r="P934"/>
  <c r="P633"/>
  <c r="P295"/>
  <c r="P158"/>
  <c r="P487"/>
  <c r="P476"/>
  <c r="P879"/>
  <c r="P118"/>
  <c r="P151"/>
  <c r="P54"/>
  <c r="P966"/>
  <c r="P134"/>
  <c r="P14"/>
  <c r="P395"/>
  <c r="P8"/>
  <c r="P270"/>
  <c r="P710"/>
  <c r="P343"/>
  <c r="P291"/>
  <c r="P556"/>
  <c r="P18"/>
  <c r="P438"/>
  <c r="P29"/>
  <c r="P591"/>
  <c r="P598"/>
  <c r="P491"/>
  <c r="P594"/>
  <c r="P168"/>
  <c r="P220"/>
  <c r="P559"/>
  <c r="P982"/>
  <c r="P409"/>
  <c r="P223"/>
  <c r="P215"/>
  <c r="P641"/>
  <c r="P282"/>
  <c r="P837"/>
  <c r="P500"/>
  <c r="P437"/>
  <c r="P157"/>
  <c r="P184"/>
  <c r="P457"/>
  <c r="P33"/>
  <c r="P568"/>
  <c r="P793"/>
  <c r="P908"/>
  <c r="P654"/>
  <c r="P441"/>
  <c r="P196"/>
  <c r="P853"/>
  <c r="P845"/>
  <c r="P857"/>
  <c r="P376"/>
  <c r="P646"/>
  <c r="P550"/>
  <c r="P782"/>
  <c r="P115"/>
  <c r="P509"/>
  <c r="P48"/>
  <c r="P52"/>
  <c r="P808"/>
  <c r="P319"/>
  <c r="P120"/>
  <c r="P983"/>
  <c r="P723"/>
  <c r="P244"/>
  <c r="P133"/>
  <c r="P927"/>
  <c r="P105"/>
  <c r="P41"/>
  <c r="P585"/>
  <c r="P463"/>
  <c r="P531"/>
  <c r="P78"/>
  <c r="P701"/>
  <c r="P195"/>
  <c r="P114"/>
  <c r="P877"/>
  <c r="P687"/>
  <c r="P593"/>
  <c r="P407"/>
  <c r="P273"/>
  <c r="P627"/>
  <c r="P88"/>
  <c r="P702"/>
  <c r="P538"/>
  <c r="P752"/>
  <c r="P328"/>
  <c r="P39"/>
  <c r="P418"/>
  <c r="P718"/>
  <c r="P987"/>
  <c r="P444"/>
  <c r="P967"/>
  <c r="P218"/>
  <c r="P951"/>
  <c r="P68"/>
  <c r="P948"/>
  <c r="P958"/>
  <c r="P391"/>
  <c r="P102"/>
  <c r="P605"/>
  <c r="P882"/>
  <c r="P369"/>
  <c r="P317"/>
  <c r="P950"/>
  <c r="P602"/>
  <c r="P979"/>
  <c r="P113"/>
  <c r="P383"/>
  <c r="P510"/>
  <c r="P12"/>
  <c r="P212"/>
  <c r="P708"/>
  <c r="P626"/>
  <c r="P189"/>
  <c r="P753"/>
  <c r="P719"/>
  <c r="P432"/>
  <c r="P431"/>
  <c r="P361"/>
  <c r="P930"/>
  <c r="P448"/>
  <c r="P143"/>
  <c r="P492"/>
  <c r="P51"/>
  <c r="P188"/>
  <c r="P634"/>
  <c r="P730"/>
  <c r="P680"/>
  <c r="P116"/>
  <c r="P155"/>
  <c r="P420"/>
  <c r="P780"/>
  <c r="P878"/>
  <c r="P887"/>
  <c r="P430"/>
  <c r="P766"/>
  <c r="P716"/>
  <c r="P246"/>
  <c r="P802"/>
  <c r="P661"/>
  <c r="P3"/>
  <c r="P657"/>
  <c r="P236"/>
  <c r="P731"/>
  <c r="P703"/>
  <c r="P278"/>
  <c r="P297"/>
  <c r="P582"/>
  <c r="P573"/>
  <c r="P499"/>
  <c r="P819"/>
  <c r="P239"/>
  <c r="P981"/>
  <c r="P567"/>
  <c r="P748"/>
  <c r="P465"/>
  <c r="P219"/>
  <c r="P613"/>
  <c r="P700"/>
  <c r="P341"/>
  <c r="P664"/>
  <c r="P728"/>
  <c r="P561"/>
  <c r="P732"/>
  <c r="P886"/>
  <c r="P606"/>
  <c r="P675"/>
  <c r="P815"/>
  <c r="P250"/>
  <c r="P956"/>
  <c r="P928"/>
  <c r="P44"/>
  <c r="P607"/>
  <c r="P583"/>
  <c r="P674"/>
  <c r="P313"/>
  <c r="P483"/>
  <c r="P108"/>
  <c r="P580"/>
  <c r="P392"/>
  <c r="P286"/>
  <c r="P522"/>
  <c r="P513"/>
  <c r="P763"/>
  <c r="P524"/>
  <c r="P262"/>
  <c r="P953"/>
  <c r="P81"/>
  <c r="P146"/>
  <c r="P929"/>
  <c r="P858"/>
  <c r="P42"/>
  <c r="P833"/>
  <c r="P217"/>
  <c r="P844"/>
  <c r="P19"/>
  <c r="P478"/>
  <c r="P668"/>
  <c r="P649"/>
  <c r="P245"/>
  <c r="P713"/>
  <c r="P306"/>
  <c r="P891"/>
  <c r="P45"/>
  <c r="P233"/>
  <c r="P557"/>
  <c r="P609"/>
  <c r="P783"/>
  <c r="P978"/>
  <c r="P811"/>
  <c r="P307"/>
  <c r="P61"/>
  <c r="P761"/>
  <c r="P688"/>
  <c r="P502"/>
  <c r="P460"/>
  <c r="P294"/>
  <c r="P275"/>
  <c r="P589"/>
  <c r="P810"/>
  <c r="P671"/>
  <c r="P387"/>
  <c r="P788"/>
  <c r="P182"/>
  <c r="P939"/>
  <c r="P860"/>
  <c r="P402"/>
  <c r="P254"/>
  <c r="P885"/>
  <c r="P386"/>
  <c r="P471"/>
  <c r="P414"/>
  <c r="P911"/>
  <c r="P112"/>
  <c r="P691"/>
  <c r="P501"/>
  <c r="P774"/>
  <c r="P16"/>
  <c r="P901"/>
  <c r="P977"/>
  <c r="P709"/>
  <c r="P737"/>
  <c r="P266"/>
  <c r="P479"/>
  <c r="P889"/>
  <c r="P344"/>
  <c r="P77"/>
  <c r="P905"/>
  <c r="P647"/>
  <c r="P704"/>
  <c r="P848"/>
  <c r="P784"/>
  <c r="P743"/>
  <c r="P174"/>
  <c r="P932"/>
  <c r="P771"/>
  <c r="P75"/>
  <c r="P923"/>
  <c r="P493"/>
  <c r="P862"/>
  <c r="P411"/>
  <c r="P881"/>
  <c r="P667"/>
  <c r="P503"/>
  <c r="P508"/>
  <c r="P197"/>
  <c r="P442"/>
  <c r="P79"/>
  <c r="P347"/>
  <c r="P302"/>
  <c r="P300"/>
  <c r="P669"/>
  <c r="P658"/>
  <c r="P253"/>
  <c r="P839"/>
  <c r="P662"/>
  <c r="P234"/>
  <c r="P614"/>
  <c r="P625"/>
  <c r="P482"/>
  <c r="P150"/>
  <c r="P427"/>
  <c r="P231"/>
  <c r="P520"/>
  <c r="P588"/>
  <c r="P119"/>
  <c r="P722"/>
  <c r="P91"/>
  <c r="P725"/>
  <c r="P918"/>
  <c r="P843"/>
  <c r="P210"/>
  <c r="P346"/>
  <c r="P820"/>
  <c r="P469"/>
  <c r="P984"/>
  <c r="P279"/>
  <c r="P628"/>
  <c r="P980"/>
  <c r="P337"/>
  <c r="P539"/>
  <c r="P512"/>
  <c r="P916"/>
  <c r="P985"/>
  <c r="P289"/>
  <c r="P590"/>
  <c r="P699"/>
  <c r="P224"/>
  <c r="P255"/>
  <c r="P643"/>
  <c r="P23"/>
  <c r="P27"/>
  <c r="P70"/>
  <c r="P532"/>
  <c r="P34"/>
  <c r="P785"/>
  <c r="P316"/>
  <c r="P57"/>
  <c r="P308"/>
  <c r="P855"/>
  <c r="P298"/>
  <c r="P940"/>
  <c r="P608"/>
  <c r="P637"/>
  <c r="P924"/>
  <c r="P781"/>
  <c r="P121"/>
  <c r="P498"/>
  <c r="P852"/>
  <c r="P38"/>
  <c r="P372"/>
  <c r="P644"/>
  <c r="P410"/>
  <c r="P903"/>
  <c r="P384"/>
  <c r="P832"/>
  <c r="P403"/>
  <c r="P572"/>
  <c r="P323"/>
  <c r="P942"/>
  <c r="P228"/>
  <c r="P814"/>
  <c r="P436"/>
  <c r="P507"/>
  <c r="P198"/>
  <c r="P577"/>
  <c r="P547"/>
  <c r="P576"/>
  <c r="P733"/>
  <c r="P367"/>
  <c r="P349"/>
  <c r="P540"/>
  <c r="P129"/>
  <c r="P17"/>
  <c r="P986"/>
  <c r="P789"/>
  <c r="P353"/>
  <c r="P24"/>
  <c r="P874"/>
  <c r="P315"/>
  <c r="P521"/>
  <c r="P201"/>
  <c r="P651"/>
  <c r="P439"/>
  <c r="P736"/>
  <c r="P622"/>
  <c r="P474"/>
  <c r="P400"/>
  <c r="P373"/>
  <c r="P241"/>
  <c r="P760"/>
  <c r="P122"/>
  <c r="P804"/>
  <c r="P797"/>
  <c r="P518"/>
  <c r="P796"/>
  <c r="P677"/>
  <c r="P144"/>
  <c r="P959"/>
  <c r="P818"/>
  <c r="P831"/>
  <c r="P304"/>
  <c r="P128"/>
  <c r="P159"/>
  <c r="P772"/>
  <c r="P90"/>
  <c r="P525"/>
  <c r="P98"/>
  <c r="P636"/>
  <c r="P417"/>
  <c r="P640"/>
  <c r="P777"/>
  <c r="P468"/>
  <c r="P969"/>
  <c r="P37"/>
  <c r="P535"/>
  <c r="P888"/>
  <c r="P623"/>
  <c r="P490"/>
  <c r="P301"/>
  <c r="P615"/>
  <c r="P426"/>
  <c r="P746"/>
  <c r="P416"/>
  <c r="P938"/>
  <c r="P209"/>
  <c r="P261"/>
  <c r="P794"/>
  <c r="P10"/>
  <c r="P565"/>
  <c r="P883"/>
  <c r="P434"/>
  <c r="P329"/>
  <c r="P595"/>
  <c r="P467"/>
  <c r="P405"/>
  <c r="P149"/>
  <c r="P40"/>
  <c r="P530"/>
  <c r="P892"/>
  <c r="P816"/>
  <c r="P380"/>
  <c r="P770"/>
  <c r="P900"/>
  <c r="P435"/>
  <c r="P954"/>
  <c r="P263"/>
  <c r="P904"/>
  <c r="P741"/>
  <c r="P36"/>
  <c r="P35"/>
  <c r="P936"/>
  <c r="P955"/>
  <c r="P365"/>
  <c r="P399"/>
  <c r="P931"/>
  <c r="P336"/>
  <c r="P895"/>
  <c r="P497"/>
  <c r="P450"/>
  <c r="P83"/>
  <c r="P685"/>
  <c r="P477"/>
  <c r="P481"/>
  <c r="P139"/>
  <c r="P548"/>
  <c r="P790"/>
  <c r="P171"/>
  <c r="P204"/>
  <c r="P632"/>
  <c r="P377"/>
  <c r="P935"/>
  <c r="P805"/>
  <c r="P163"/>
  <c r="P424"/>
  <c r="P851"/>
  <c r="P897"/>
  <c r="P208"/>
  <c r="P394"/>
  <c r="P413"/>
  <c r="P243"/>
  <c r="P581"/>
  <c r="P806"/>
  <c r="P717"/>
  <c r="P787"/>
  <c r="P290"/>
  <c r="P663"/>
  <c r="P865"/>
  <c r="P696"/>
  <c r="P536"/>
  <c r="P5"/>
  <c r="P724"/>
  <c r="P961"/>
  <c r="P21"/>
  <c r="P283"/>
  <c r="P43"/>
  <c r="P271"/>
  <c r="P360"/>
  <c r="P240"/>
  <c r="P303"/>
  <c r="P96"/>
  <c r="P812"/>
  <c r="P645"/>
  <c r="P458"/>
  <c r="P285"/>
  <c r="P456"/>
  <c r="P616"/>
  <c r="P348"/>
  <c r="P200"/>
  <c r="P579"/>
  <c r="P177"/>
  <c r="P142"/>
  <c r="P472"/>
  <c r="P364"/>
  <c r="P516"/>
  <c r="P910"/>
  <c r="P949"/>
  <c r="P519"/>
  <c r="P292"/>
  <c r="P914"/>
  <c r="P461"/>
  <c r="P258"/>
  <c r="P604"/>
  <c r="P322"/>
  <c r="P63"/>
  <c r="P813"/>
  <c r="P455"/>
  <c r="P101"/>
  <c r="P475"/>
  <c r="P689"/>
  <c r="P459"/>
  <c r="P309"/>
  <c r="P111"/>
  <c r="P705"/>
  <c r="P676"/>
  <c r="P338"/>
  <c r="P335"/>
  <c r="P683"/>
  <c r="P355"/>
  <c r="P672"/>
  <c r="P578"/>
  <c r="P388"/>
  <c r="P423"/>
  <c r="P327"/>
  <c r="P95"/>
  <c r="P331"/>
  <c r="P94"/>
  <c r="P324"/>
  <c r="P342"/>
  <c r="P206"/>
  <c r="P287"/>
  <c r="P968"/>
  <c r="P563"/>
  <c r="P277"/>
  <c r="P528"/>
  <c r="P584"/>
  <c r="P864"/>
  <c r="P706"/>
  <c r="P711"/>
  <c r="P257"/>
  <c r="P564"/>
  <c r="P368"/>
  <c r="P281"/>
  <c r="P165"/>
  <c r="P913"/>
  <c r="P952"/>
  <c r="P767"/>
  <c r="P850"/>
  <c r="P440"/>
  <c r="P193"/>
  <c r="P260"/>
  <c r="P84"/>
  <c r="P571"/>
  <c r="P586"/>
  <c r="P544"/>
  <c r="P925"/>
  <c r="P256"/>
  <c r="P299"/>
  <c r="P631"/>
  <c r="P738"/>
  <c r="P650"/>
  <c r="P452"/>
  <c r="P484"/>
  <c r="P712"/>
  <c r="P693"/>
  <c r="P496"/>
  <c r="P504"/>
  <c r="P172"/>
  <c r="P600"/>
  <c r="P734"/>
  <c r="P946"/>
  <c r="P397"/>
  <c r="P453"/>
  <c r="P226"/>
  <c r="P944"/>
  <c r="P834"/>
  <c r="P80"/>
  <c r="P264"/>
  <c r="P318"/>
  <c r="P537"/>
  <c r="P714"/>
  <c r="P902"/>
  <c r="P963"/>
  <c r="P140"/>
  <c r="P866"/>
  <c r="P46"/>
  <c r="P842"/>
  <c r="P167"/>
  <c r="P618"/>
  <c r="P655"/>
  <c r="P288"/>
  <c r="P99"/>
  <c r="P100"/>
  <c r="P757"/>
  <c r="P339"/>
  <c r="P311"/>
  <c r="P7"/>
  <c r="P656"/>
  <c r="P180"/>
  <c r="P326"/>
  <c r="P729"/>
  <c r="P74"/>
  <c r="P375"/>
  <c r="P906"/>
  <c r="P320"/>
  <c r="P751"/>
  <c r="P280"/>
  <c r="P884"/>
  <c r="P587"/>
  <c r="P125"/>
  <c r="P126"/>
  <c r="P543"/>
  <c r="P50"/>
  <c r="P765"/>
  <c r="P185"/>
  <c r="P558"/>
  <c r="P824"/>
  <c r="P624"/>
  <c r="P665"/>
  <c r="P695"/>
  <c r="P186"/>
  <c r="P137"/>
  <c r="P433"/>
  <c r="P826"/>
  <c r="P873"/>
  <c r="P183"/>
  <c r="P53"/>
  <c r="P778"/>
  <c r="P396"/>
  <c r="P817"/>
  <c r="P562"/>
  <c r="P4"/>
  <c r="P345"/>
  <c r="P379"/>
  <c r="P726"/>
  <c r="P653"/>
  <c r="P965"/>
  <c r="P9"/>
  <c r="P515"/>
  <c r="P293"/>
  <c r="P59"/>
  <c r="P962"/>
  <c r="P745"/>
  <c r="P495"/>
  <c r="P421"/>
  <c r="P610"/>
  <c r="P350"/>
  <c r="P742"/>
  <c r="P947"/>
  <c r="P249"/>
  <c r="P173"/>
  <c r="P494"/>
  <c r="P199"/>
  <c r="P836"/>
  <c r="P943"/>
  <c r="P823"/>
  <c r="P363"/>
  <c r="P248"/>
  <c r="P617"/>
  <c r="P799"/>
  <c r="C5" i="4" l="1"/>
  <c r="C13"/>
  <c r="C14"/>
  <c r="R986" i="1"/>
  <c r="O986"/>
  <c r="R985"/>
  <c r="O985"/>
  <c r="R984"/>
  <c r="O984"/>
  <c r="R983"/>
  <c r="O983"/>
  <c r="R982"/>
  <c r="O982"/>
  <c r="R981"/>
  <c r="O981"/>
  <c r="R980"/>
  <c r="O980"/>
  <c r="R979"/>
  <c r="O979"/>
  <c r="R978"/>
  <c r="O978"/>
  <c r="R977"/>
  <c r="O977"/>
  <c r="R976"/>
  <c r="O976"/>
  <c r="R975"/>
  <c r="O975"/>
  <c r="R974"/>
  <c r="O974"/>
  <c r="R973" l="1"/>
  <c r="O973"/>
  <c r="R972"/>
  <c r="O972"/>
  <c r="R971"/>
  <c r="O971"/>
  <c r="R970"/>
  <c r="O970"/>
  <c r="R969"/>
  <c r="O969"/>
  <c r="R968"/>
  <c r="O968"/>
  <c r="R967"/>
  <c r="O967"/>
  <c r="R966" l="1"/>
  <c r="O966"/>
  <c r="R965"/>
  <c r="O965"/>
  <c r="R964"/>
  <c r="O964"/>
  <c r="R963"/>
  <c r="O963"/>
  <c r="R962"/>
  <c r="O962"/>
  <c r="R961"/>
  <c r="O961"/>
  <c r="R960" l="1"/>
  <c r="O960"/>
  <c r="L17" i="4"/>
  <c r="L18"/>
  <c r="L19"/>
  <c r="L20"/>
  <c r="L21"/>
  <c r="L22"/>
  <c r="L23"/>
  <c r="L16"/>
  <c r="L4"/>
  <c r="L5"/>
  <c r="L6"/>
  <c r="L7"/>
  <c r="L8"/>
  <c r="L9"/>
  <c r="L10"/>
  <c r="L3"/>
  <c r="R959" i="1"/>
  <c r="L11" i="4" l="1"/>
  <c r="L24"/>
  <c r="O959" i="1"/>
  <c r="R958"/>
  <c r="O958"/>
  <c r="L26" i="4" l="1"/>
  <c r="R247" i="1"/>
  <c r="O247"/>
  <c r="R957"/>
  <c r="O957"/>
  <c r="R956"/>
  <c r="O956"/>
  <c r="R955" l="1"/>
  <c r="O955"/>
  <c r="R954" l="1"/>
  <c r="O954"/>
  <c r="R953"/>
  <c r="O953"/>
  <c r="R952"/>
  <c r="O952"/>
  <c r="R951"/>
  <c r="O951"/>
  <c r="R950"/>
  <c r="O950"/>
  <c r="R8"/>
  <c r="R949"/>
  <c r="O949"/>
  <c r="R947"/>
  <c r="R948"/>
  <c r="R946"/>
  <c r="O948"/>
  <c r="O947"/>
  <c r="O946"/>
  <c r="R945"/>
  <c r="O945"/>
  <c r="R944"/>
  <c r="O944"/>
  <c r="R943"/>
  <c r="O943"/>
  <c r="R942"/>
  <c r="O942"/>
  <c r="R941" l="1"/>
  <c r="O941"/>
  <c r="R258"/>
  <c r="O258"/>
  <c r="R940"/>
  <c r="O940"/>
  <c r="R939"/>
  <c r="O939"/>
  <c r="R938"/>
  <c r="O938"/>
  <c r="R937"/>
  <c r="O937"/>
  <c r="R936"/>
  <c r="O936"/>
  <c r="R935"/>
  <c r="O935"/>
  <c r="R934"/>
  <c r="O934"/>
  <c r="R933"/>
  <c r="O933"/>
  <c r="R932"/>
  <c r="O932"/>
  <c r="R931" l="1"/>
  <c r="O931"/>
  <c r="C17" i="4"/>
  <c r="R930" i="1" l="1"/>
  <c r="O930"/>
  <c r="R929" l="1"/>
  <c r="O929"/>
  <c r="R928" l="1"/>
  <c r="O928"/>
  <c r="R927" l="1"/>
  <c r="O927"/>
  <c r="R239"/>
  <c r="O239"/>
  <c r="R926" l="1"/>
  <c r="O926"/>
  <c r="R246"/>
  <c r="O246"/>
  <c r="R918"/>
  <c r="O918"/>
  <c r="R917" l="1"/>
  <c r="O917"/>
  <c r="R925"/>
  <c r="O925"/>
  <c r="R924"/>
  <c r="O924"/>
  <c r="R923"/>
  <c r="O923"/>
  <c r="R922"/>
  <c r="O922"/>
  <c r="R921"/>
  <c r="O921"/>
  <c r="R920"/>
  <c r="O920"/>
  <c r="R919"/>
  <c r="O919"/>
  <c r="R243"/>
  <c r="O243"/>
  <c r="R916" l="1"/>
  <c r="O916"/>
  <c r="R915"/>
  <c r="O915"/>
  <c r="R914"/>
  <c r="O914"/>
  <c r="R913"/>
  <c r="O913"/>
  <c r="R912"/>
  <c r="O912"/>
  <c r="R911"/>
  <c r="O911"/>
  <c r="R910" l="1"/>
  <c r="O910"/>
  <c r="R542"/>
  <c r="O542"/>
  <c r="R909"/>
  <c r="O909"/>
  <c r="R908" l="1"/>
  <c r="O908"/>
  <c r="R907"/>
  <c r="O907"/>
  <c r="R906"/>
  <c r="O906"/>
  <c r="R905"/>
  <c r="O905"/>
  <c r="R904"/>
  <c r="O904"/>
  <c r="R3" i="10"/>
  <c r="O3"/>
  <c r="P3"/>
  <c r="C18" i="4" l="1"/>
  <c r="R69" i="1"/>
  <c r="O839"/>
  <c r="R903" l="1"/>
  <c r="O903"/>
  <c r="R902" l="1"/>
  <c r="O902"/>
  <c r="R203"/>
  <c r="O203"/>
  <c r="R901" l="1"/>
  <c r="O901"/>
  <c r="R900"/>
  <c r="O900"/>
  <c r="R827"/>
  <c r="O827"/>
  <c r="R834"/>
  <c r="O834"/>
  <c r="R863"/>
  <c r="O863"/>
  <c r="R862" l="1"/>
  <c r="O862"/>
  <c r="R855"/>
  <c r="R833"/>
  <c r="O833"/>
  <c r="R847"/>
  <c r="O847"/>
  <c r="R832"/>
  <c r="O832"/>
  <c r="R886"/>
  <c r="O886"/>
  <c r="R877"/>
  <c r="O877"/>
  <c r="R842"/>
  <c r="O842"/>
  <c r="R841"/>
  <c r="O841"/>
  <c r="R899"/>
  <c r="O899"/>
  <c r="R898"/>
  <c r="O898"/>
  <c r="R897"/>
  <c r="O897"/>
  <c r="R896"/>
  <c r="O896"/>
  <c r="R895"/>
  <c r="O895"/>
  <c r="R894" l="1"/>
  <c r="O894"/>
  <c r="R893"/>
  <c r="O893"/>
  <c r="R892"/>
  <c r="O892"/>
  <c r="R885"/>
  <c r="O885"/>
  <c r="R891"/>
  <c r="O891"/>
  <c r="R890"/>
  <c r="O890"/>
  <c r="R889"/>
  <c r="O889"/>
  <c r="R831"/>
  <c r="O831"/>
  <c r="R840"/>
  <c r="O840"/>
  <c r="R888"/>
  <c r="O888"/>
  <c r="R830"/>
  <c r="O830"/>
  <c r="R869"/>
  <c r="O869"/>
  <c r="R868"/>
  <c r="O868"/>
  <c r="R879"/>
  <c r="O879"/>
  <c r="R854"/>
  <c r="O854"/>
  <c r="R884"/>
  <c r="O884"/>
  <c r="R876" l="1"/>
  <c r="O876"/>
  <c r="R878"/>
  <c r="O878"/>
  <c r="R883"/>
  <c r="O883"/>
  <c r="R882"/>
  <c r="O882"/>
  <c r="R881"/>
  <c r="O881"/>
  <c r="R245"/>
  <c r="O245"/>
  <c r="R880"/>
  <c r="O880"/>
  <c r="R251"/>
  <c r="O251"/>
  <c r="R853"/>
  <c r="O853"/>
  <c r="R875"/>
  <c r="O875"/>
  <c r="R874"/>
  <c r="O874"/>
  <c r="R873"/>
  <c r="O873"/>
  <c r="R259"/>
  <c r="O259"/>
  <c r="R872"/>
  <c r="O872"/>
  <c r="R871"/>
  <c r="O871"/>
  <c r="R257"/>
  <c r="O257"/>
  <c r="R870"/>
  <c r="O870"/>
  <c r="R861"/>
  <c r="O861"/>
  <c r="R860"/>
  <c r="O860"/>
  <c r="R859"/>
  <c r="O859"/>
  <c r="R858"/>
  <c r="O858"/>
  <c r="R857"/>
  <c r="O857"/>
  <c r="R867"/>
  <c r="O867"/>
  <c r="R866"/>
  <c r="O866"/>
  <c r="R865"/>
  <c r="O865"/>
  <c r="R864" l="1"/>
  <c r="O864"/>
  <c r="R856" l="1"/>
  <c r="O856"/>
  <c r="R846" l="1"/>
  <c r="O846"/>
  <c r="R234"/>
  <c r="O234"/>
  <c r="R852" l="1"/>
  <c r="O852"/>
  <c r="R851"/>
  <c r="O851"/>
  <c r="R850"/>
  <c r="O850"/>
  <c r="R849"/>
  <c r="O849"/>
  <c r="R848"/>
  <c r="O848"/>
  <c r="R227"/>
  <c r="O227"/>
  <c r="R242"/>
  <c r="O242"/>
  <c r="R845"/>
  <c r="O845"/>
  <c r="R844"/>
  <c r="O844"/>
  <c r="R843"/>
  <c r="O843"/>
  <c r="R838"/>
  <c r="O838"/>
  <c r="R837"/>
  <c r="O837"/>
  <c r="R829"/>
  <c r="O829"/>
  <c r="R188" l="1"/>
  <c r="O188"/>
  <c r="R226"/>
  <c r="O226"/>
  <c r="R836"/>
  <c r="O836"/>
  <c r="R835"/>
  <c r="O835"/>
  <c r="R828"/>
  <c r="O828"/>
  <c r="R826"/>
  <c r="O826"/>
  <c r="R825"/>
  <c r="O825"/>
  <c r="R824"/>
  <c r="O824"/>
  <c r="R823" l="1"/>
  <c r="O823"/>
  <c r="R822"/>
  <c r="O822"/>
  <c r="R821"/>
  <c r="O821"/>
  <c r="R820"/>
  <c r="O820"/>
  <c r="R814"/>
  <c r="O814"/>
  <c r="R169"/>
  <c r="O169"/>
  <c r="R812"/>
  <c r="O812"/>
  <c r="R813"/>
  <c r="O813"/>
  <c r="R819"/>
  <c r="O819"/>
  <c r="R818"/>
  <c r="O818"/>
  <c r="R817"/>
  <c r="O817"/>
  <c r="R816"/>
  <c r="O816"/>
  <c r="R815"/>
  <c r="O815"/>
  <c r="R204" l="1"/>
  <c r="O204"/>
  <c r="R811" l="1"/>
  <c r="O811"/>
  <c r="R222"/>
  <c r="O222"/>
  <c r="R810" l="1"/>
  <c r="O810"/>
  <c r="R809"/>
  <c r="O809"/>
  <c r="R808"/>
  <c r="O808"/>
  <c r="R807"/>
  <c r="O807"/>
  <c r="R221"/>
  <c r="O221"/>
  <c r="B23" i="8"/>
  <c r="H6" s="1"/>
  <c r="C23"/>
  <c r="K6" s="1"/>
  <c r="A23"/>
  <c r="E6" s="1"/>
  <c r="B18" i="9"/>
  <c r="C18" s="1"/>
  <c r="J6" s="1"/>
  <c r="B19"/>
  <c r="C19" s="1"/>
  <c r="N6" s="1"/>
  <c r="B17"/>
  <c r="C17" s="1"/>
  <c r="F6" s="1"/>
  <c r="R200" i="1"/>
  <c r="O200"/>
  <c r="R286"/>
  <c r="O286"/>
  <c r="R285"/>
  <c r="O285"/>
  <c r="R594"/>
  <c r="O594"/>
  <c r="R541"/>
  <c r="O541"/>
  <c r="R540"/>
  <c r="O540"/>
  <c r="R539"/>
  <c r="O539"/>
  <c r="R587"/>
  <c r="O587"/>
  <c r="R284"/>
  <c r="O284"/>
  <c r="R209"/>
  <c r="O209"/>
  <c r="R283"/>
  <c r="O283"/>
  <c r="R282"/>
  <c r="O282"/>
  <c r="R571"/>
  <c r="O571"/>
  <c r="R580"/>
  <c r="O580"/>
  <c r="R558"/>
  <c r="O558"/>
  <c r="R570"/>
  <c r="O570"/>
  <c r="F18" i="9" l="1"/>
  <c r="R569" i="1"/>
  <c r="O569"/>
  <c r="R281"/>
  <c r="O281"/>
  <c r="R613"/>
  <c r="O613"/>
  <c r="R500"/>
  <c r="O500"/>
  <c r="R568"/>
  <c r="O568"/>
  <c r="R665"/>
  <c r="O665"/>
  <c r="R554"/>
  <c r="O554"/>
  <c r="R803"/>
  <c r="O803"/>
  <c r="R806"/>
  <c r="O806"/>
  <c r="R802"/>
  <c r="O802"/>
  <c r="R801"/>
  <c r="O801"/>
  <c r="R800"/>
  <c r="O800"/>
  <c r="R799"/>
  <c r="O799"/>
  <c r="R798"/>
  <c r="O798"/>
  <c r="R295"/>
  <c r="O295"/>
  <c r="R499"/>
  <c r="O499"/>
  <c r="R538"/>
  <c r="O538"/>
  <c r="R797"/>
  <c r="O797"/>
  <c r="R805"/>
  <c r="O805"/>
  <c r="R804"/>
  <c r="O804"/>
  <c r="R138"/>
  <c r="O138"/>
  <c r="O855"/>
  <c r="R280"/>
  <c r="O280"/>
  <c r="K280"/>
  <c r="I21" i="4" l="1"/>
  <c r="J23"/>
  <c r="J22"/>
  <c r="J21"/>
  <c r="J20"/>
  <c r="J19"/>
  <c r="J18"/>
  <c r="J17"/>
  <c r="J16"/>
  <c r="I17"/>
  <c r="I18"/>
  <c r="I19"/>
  <c r="I20"/>
  <c r="I22"/>
  <c r="I23"/>
  <c r="I16"/>
  <c r="J10"/>
  <c r="J9"/>
  <c r="J8"/>
  <c r="J7"/>
  <c r="J6"/>
  <c r="J5"/>
  <c r="J4"/>
  <c r="J3"/>
  <c r="I4"/>
  <c r="I5"/>
  <c r="I6"/>
  <c r="I7"/>
  <c r="I8"/>
  <c r="I9"/>
  <c r="I10"/>
  <c r="I3"/>
  <c r="C15"/>
  <c r="C6"/>
  <c r="I24" l="1"/>
  <c r="J24"/>
  <c r="J11"/>
  <c r="I11"/>
  <c r="O567" i="1"/>
  <c r="O510"/>
  <c r="O350"/>
  <c r="O328"/>
  <c r="O612"/>
  <c r="O327"/>
  <c r="O349"/>
  <c r="O326"/>
  <c r="O325"/>
  <c r="O324"/>
  <c r="O279"/>
  <c r="O586"/>
  <c r="O537"/>
  <c r="O509"/>
  <c r="O505"/>
  <c r="O504"/>
  <c r="O503"/>
  <c r="O431"/>
  <c r="O278"/>
  <c r="O566"/>
  <c r="O453"/>
  <c r="O470"/>
  <c r="O170"/>
  <c r="O323"/>
  <c r="O445"/>
  <c r="O553"/>
  <c r="O398"/>
  <c r="O348"/>
  <c r="O536"/>
  <c r="O277"/>
  <c r="O589"/>
  <c r="O322"/>
  <c r="O347"/>
  <c r="O294"/>
  <c r="O229"/>
  <c r="O397"/>
  <c r="O396"/>
  <c r="O395"/>
  <c r="O394"/>
  <c r="O557"/>
  <c r="O393"/>
  <c r="O346"/>
  <c r="O402"/>
  <c r="O345"/>
  <c r="O293"/>
  <c r="O197"/>
  <c r="O205"/>
  <c r="O444"/>
  <c r="O256"/>
  <c r="O796"/>
  <c r="O794"/>
  <c r="O793"/>
  <c r="O792"/>
  <c r="O791"/>
  <c r="O790"/>
  <c r="O789"/>
  <c r="O788"/>
  <c r="O787"/>
  <c r="O786"/>
  <c r="O785"/>
  <c r="O784"/>
  <c r="O783"/>
  <c r="O782"/>
  <c r="O781"/>
  <c r="O780"/>
  <c r="O779"/>
  <c r="O778"/>
  <c r="O777"/>
  <c r="O776"/>
  <c r="O683"/>
  <c r="O682"/>
  <c r="O695"/>
  <c r="O694"/>
  <c r="O693"/>
  <c r="O692"/>
  <c r="O691"/>
  <c r="O770"/>
  <c r="O689"/>
  <c r="O669"/>
  <c r="O668"/>
  <c r="O679"/>
  <c r="O775"/>
  <c r="O774"/>
  <c r="O253"/>
  <c r="O773"/>
  <c r="O228"/>
  <c r="O772"/>
  <c r="O771"/>
  <c r="O769"/>
  <c r="O738"/>
  <c r="O737"/>
  <c r="O736"/>
  <c r="O735"/>
  <c r="O752"/>
  <c r="O768"/>
  <c r="O767"/>
  <c r="O766"/>
  <c r="O765"/>
  <c r="O764"/>
  <c r="O763"/>
  <c r="O762"/>
  <c r="O761"/>
  <c r="O241"/>
  <c r="O760"/>
  <c r="O795"/>
  <c r="O724"/>
  <c r="O751"/>
  <c r="O750"/>
  <c r="O706"/>
  <c r="O759"/>
  <c r="O173"/>
  <c r="O758"/>
  <c r="O757"/>
  <c r="O756"/>
  <c r="O723"/>
  <c r="O755"/>
  <c r="O754"/>
  <c r="O753"/>
  <c r="O639"/>
  <c r="O638"/>
  <c r="O749"/>
  <c r="O199"/>
  <c r="O748"/>
  <c r="O747"/>
  <c r="O746"/>
  <c r="O745"/>
  <c r="O744"/>
  <c r="O743"/>
  <c r="O742"/>
  <c r="O220"/>
  <c r="O741"/>
  <c r="O740"/>
  <c r="O659"/>
  <c r="O664"/>
  <c r="O712"/>
  <c r="O705"/>
  <c r="O704"/>
  <c r="O722"/>
  <c r="O248"/>
  <c r="O734"/>
  <c r="O711"/>
  <c r="O690"/>
  <c r="O637"/>
  <c r="O619"/>
  <c r="O636"/>
  <c r="O618"/>
  <c r="O652"/>
  <c r="O635"/>
  <c r="O620"/>
  <c r="O631"/>
  <c r="O630"/>
  <c r="O700"/>
  <c r="O699"/>
  <c r="O629"/>
  <c r="O733"/>
  <c r="O732"/>
  <c r="O176"/>
  <c r="O731"/>
  <c r="O739"/>
  <c r="O730"/>
  <c r="O225"/>
  <c r="O729"/>
  <c r="O728"/>
  <c r="O249"/>
  <c r="O727"/>
  <c r="O726"/>
  <c r="O725"/>
  <c r="O651"/>
  <c r="O663"/>
  <c r="O208"/>
  <c r="O164"/>
  <c r="O721"/>
  <c r="O720"/>
  <c r="O191"/>
  <c r="O719"/>
  <c r="O718"/>
  <c r="O717"/>
  <c r="O716"/>
  <c r="O715"/>
  <c r="O714"/>
  <c r="O710"/>
  <c r="O709"/>
  <c r="O708"/>
  <c r="O707"/>
  <c r="O163"/>
  <c r="O703"/>
  <c r="O698"/>
  <c r="O702"/>
  <c r="O701"/>
  <c r="O678"/>
  <c r="O634"/>
  <c r="O697"/>
  <c r="O688"/>
  <c r="O687"/>
  <c r="O195"/>
  <c r="O190"/>
  <c r="O686"/>
  <c r="O696"/>
  <c r="O392"/>
  <c r="O391"/>
  <c r="O210"/>
  <c r="O463"/>
  <c r="O628"/>
  <c r="O627"/>
  <c r="O626"/>
  <c r="O625"/>
  <c r="O624"/>
  <c r="O623"/>
  <c r="O681"/>
  <c r="O680"/>
  <c r="O677"/>
  <c r="O196"/>
  <c r="O157"/>
  <c r="O178"/>
  <c r="O685"/>
  <c r="O684"/>
  <c r="O238"/>
  <c r="O430"/>
  <c r="O462"/>
  <c r="O633"/>
  <c r="O622"/>
  <c r="O141"/>
  <c r="O676"/>
  <c r="O675"/>
  <c r="O674"/>
  <c r="O673"/>
  <c r="O189"/>
  <c r="O172"/>
  <c r="O672"/>
  <c r="O671"/>
  <c r="O670"/>
  <c r="O156"/>
  <c r="O202"/>
  <c r="O439"/>
  <c r="O483"/>
  <c r="O496"/>
  <c r="O429"/>
  <c r="O428"/>
  <c r="O650"/>
  <c r="O662"/>
  <c r="O649"/>
  <c r="O667"/>
  <c r="O666"/>
  <c r="O162"/>
  <c r="O648"/>
  <c r="O114"/>
  <c r="O647"/>
  <c r="O646"/>
  <c r="O645"/>
  <c r="O644"/>
  <c r="O658"/>
  <c r="O657"/>
  <c r="O656"/>
  <c r="O655"/>
  <c r="O654"/>
  <c r="O661"/>
  <c r="O653"/>
  <c r="O660"/>
  <c r="O643"/>
  <c r="O194"/>
  <c r="O642"/>
  <c r="O641"/>
  <c r="O640"/>
  <c r="O118"/>
  <c r="O198"/>
  <c r="O117"/>
  <c r="O621"/>
  <c r="O136"/>
  <c r="O252"/>
  <c r="O292"/>
  <c r="O213"/>
  <c r="O401"/>
  <c r="O400"/>
  <c r="O427"/>
  <c r="O212"/>
  <c r="O438"/>
  <c r="O186"/>
  <c r="O128"/>
  <c r="O632"/>
  <c r="O115"/>
  <c r="O578"/>
  <c r="O495"/>
  <c r="O134"/>
  <c r="O161"/>
  <c r="O152"/>
  <c r="O155"/>
  <c r="O135"/>
  <c r="O207"/>
  <c r="O106"/>
  <c r="O116"/>
  <c r="O215"/>
  <c r="O175"/>
  <c r="O151"/>
  <c r="O617"/>
  <c r="O167"/>
  <c r="O154"/>
  <c r="O160"/>
  <c r="O133"/>
  <c r="O112"/>
  <c r="O145"/>
  <c r="O171"/>
  <c r="O616"/>
  <c r="O614"/>
  <c r="O615"/>
  <c r="O109"/>
  <c r="O146"/>
  <c r="O122"/>
  <c r="O127"/>
  <c r="O611"/>
  <c r="O177"/>
  <c r="O610"/>
  <c r="O609"/>
  <c r="O608"/>
  <c r="O607"/>
  <c r="O606"/>
  <c r="O605"/>
  <c r="O103"/>
  <c r="O601"/>
  <c r="O603"/>
  <c r="O206"/>
  <c r="O130"/>
  <c r="O602"/>
  <c r="O600"/>
  <c r="O132"/>
  <c r="O144"/>
  <c r="O599"/>
  <c r="O598"/>
  <c r="O597"/>
  <c r="O139"/>
  <c r="O596"/>
  <c r="O595"/>
  <c r="O110"/>
  <c r="O121"/>
  <c r="O590"/>
  <c r="O593"/>
  <c r="O108"/>
  <c r="O592"/>
  <c r="O187"/>
  <c r="O591"/>
  <c r="O83"/>
  <c r="O76"/>
  <c r="O125"/>
  <c r="O370"/>
  <c r="O193"/>
  <c r="O399"/>
  <c r="O150"/>
  <c r="O588"/>
  <c r="O219"/>
  <c r="O585"/>
  <c r="O584"/>
  <c r="O583"/>
  <c r="O120"/>
  <c r="O579"/>
  <c r="O124"/>
  <c r="O582"/>
  <c r="O581"/>
  <c r="O577"/>
  <c r="O576"/>
  <c r="O575"/>
  <c r="O574"/>
  <c r="O713"/>
  <c r="O573"/>
  <c r="O149"/>
  <c r="O91"/>
  <c r="O572"/>
  <c r="O562"/>
  <c r="O123"/>
  <c r="O561"/>
  <c r="O565"/>
  <c r="O564"/>
  <c r="O113"/>
  <c r="O563"/>
  <c r="O68"/>
  <c r="O560"/>
  <c r="O99"/>
  <c r="O556"/>
  <c r="O559"/>
  <c r="O216"/>
  <c r="O555"/>
  <c r="O90"/>
  <c r="O552"/>
  <c r="O551"/>
  <c r="O508"/>
  <c r="O887"/>
  <c r="O550"/>
  <c r="O549"/>
  <c r="O548"/>
  <c r="O547"/>
  <c r="O546"/>
  <c r="O545"/>
  <c r="O544"/>
  <c r="O604"/>
  <c r="O452"/>
  <c r="O4"/>
  <c r="O502"/>
  <c r="O535"/>
  <c r="O543"/>
  <c r="O233"/>
  <c r="O534"/>
  <c r="O533"/>
  <c r="O94"/>
  <c r="O532"/>
  <c r="O531"/>
  <c r="O530"/>
  <c r="O529"/>
  <c r="O528"/>
  <c r="O527"/>
  <c r="O214"/>
  <c r="O526"/>
  <c r="O525"/>
  <c r="O236"/>
  <c r="O524"/>
  <c r="O523"/>
  <c r="O522"/>
  <c r="O521"/>
  <c r="O237"/>
  <c r="O520"/>
  <c r="O519"/>
  <c r="O518"/>
  <c r="O517"/>
  <c r="O516"/>
  <c r="O218"/>
  <c r="O515"/>
  <c r="O61"/>
  <c r="O98"/>
  <c r="O514"/>
  <c r="O513"/>
  <c r="O512"/>
  <c r="O511"/>
  <c r="O88"/>
  <c r="O501"/>
  <c r="O60"/>
  <c r="O89"/>
  <c r="O507"/>
  <c r="O506"/>
  <c r="O102"/>
  <c r="O498"/>
  <c r="O497"/>
  <c r="O182"/>
  <c r="O17"/>
  <c r="O494"/>
  <c r="O493"/>
  <c r="O482"/>
  <c r="O481"/>
  <c r="O480"/>
  <c r="O479"/>
  <c r="O478"/>
  <c r="O477"/>
  <c r="O476"/>
  <c r="O492"/>
  <c r="O475"/>
  <c r="O491"/>
  <c r="O490"/>
  <c r="O489"/>
  <c r="O488"/>
  <c r="O487"/>
  <c r="O486"/>
  <c r="O485"/>
  <c r="O484"/>
  <c r="O260"/>
  <c r="O474"/>
  <c r="O473"/>
  <c r="O93"/>
  <c r="O166"/>
  <c r="O472"/>
  <c r="O471"/>
  <c r="O48"/>
  <c r="O59"/>
  <c r="O74"/>
  <c r="O75"/>
  <c r="O97"/>
  <c r="O469"/>
  <c r="O47"/>
  <c r="O468"/>
  <c r="O467"/>
  <c r="O82"/>
  <c r="O461"/>
  <c r="O174"/>
  <c r="O460"/>
  <c r="O466"/>
  <c r="O465"/>
  <c r="O464"/>
  <c r="O459"/>
  <c r="O458"/>
  <c r="O457"/>
  <c r="O456"/>
  <c r="O455"/>
  <c r="O454"/>
  <c r="O451"/>
  <c r="O450"/>
  <c r="O449"/>
  <c r="O211"/>
  <c r="O448"/>
  <c r="O143"/>
  <c r="O447"/>
  <c r="O446"/>
  <c r="O57"/>
  <c r="O129"/>
  <c r="O443"/>
  <c r="O165"/>
  <c r="O442"/>
  <c r="O441"/>
  <c r="O440"/>
  <c r="O437"/>
  <c r="O217"/>
  <c r="O426"/>
  <c r="O58"/>
  <c r="O87"/>
  <c r="O436"/>
  <c r="O425"/>
  <c r="O435"/>
  <c r="O434"/>
  <c r="O433"/>
  <c r="O432"/>
  <c r="O424"/>
  <c r="O423"/>
  <c r="O422"/>
  <c r="O421"/>
  <c r="O224"/>
  <c r="O420"/>
  <c r="O86"/>
  <c r="O419"/>
  <c r="O185"/>
  <c r="O418"/>
  <c r="O417"/>
  <c r="O416"/>
  <c r="O415"/>
  <c r="O414"/>
  <c r="O413"/>
  <c r="O412"/>
  <c r="O411"/>
  <c r="O232"/>
  <c r="O410"/>
  <c r="O409"/>
  <c r="O408"/>
  <c r="O407"/>
  <c r="O406"/>
  <c r="O405"/>
  <c r="O404"/>
  <c r="O403"/>
  <c r="O81"/>
  <c r="O45"/>
  <c r="O78"/>
  <c r="O153"/>
  <c r="O390"/>
  <c r="O389"/>
  <c r="O388"/>
  <c r="O184"/>
  <c r="O387"/>
  <c r="O379"/>
  <c r="O378"/>
  <c r="O377"/>
  <c r="O386"/>
  <c r="O385"/>
  <c r="O384"/>
  <c r="O383"/>
  <c r="O382"/>
  <c r="O381"/>
  <c r="O380"/>
  <c r="O376"/>
  <c r="O261"/>
  <c r="O223"/>
  <c r="O104"/>
  <c r="O46"/>
  <c r="O66"/>
  <c r="O14"/>
  <c r="O375"/>
  <c r="O142"/>
  <c r="O374"/>
  <c r="O77"/>
  <c r="O373"/>
  <c r="O119"/>
  <c r="O372"/>
  <c r="O148"/>
  <c r="O371"/>
  <c r="O37"/>
  <c r="O73"/>
  <c r="O244"/>
  <c r="O105"/>
  <c r="O140"/>
  <c r="O369"/>
  <c r="O368"/>
  <c r="O367"/>
  <c r="O366"/>
  <c r="O361"/>
  <c r="O365"/>
  <c r="O364"/>
  <c r="O363"/>
  <c r="O362"/>
  <c r="O360"/>
  <c r="O126"/>
  <c r="O359"/>
  <c r="O358"/>
  <c r="O101"/>
  <c r="O357"/>
  <c r="O356"/>
  <c r="O355"/>
  <c r="O354"/>
  <c r="O353"/>
  <c r="O352"/>
  <c r="O85"/>
  <c r="O351"/>
  <c r="O344"/>
  <c r="O343"/>
  <c r="O342"/>
  <c r="O341"/>
  <c r="O340"/>
  <c r="O339"/>
  <c r="O56"/>
  <c r="O338"/>
  <c r="O337"/>
  <c r="O336"/>
  <c r="O335"/>
  <c r="O334"/>
  <c r="O333"/>
  <c r="O332"/>
  <c r="O331"/>
  <c r="O330"/>
  <c r="O329"/>
  <c r="O240"/>
  <c r="O321"/>
  <c r="O320"/>
  <c r="O319"/>
  <c r="O40"/>
  <c r="O318"/>
  <c r="O317"/>
  <c r="O316"/>
  <c r="O315"/>
  <c r="O314"/>
  <c r="O313"/>
  <c r="O312"/>
  <c r="O311"/>
  <c r="O131"/>
  <c r="O310"/>
  <c r="O65"/>
  <c r="O92"/>
  <c r="O6"/>
  <c r="O309"/>
  <c r="O308"/>
  <c r="O307"/>
  <c r="O306"/>
  <c r="O255"/>
  <c r="O305"/>
  <c r="O304"/>
  <c r="O303"/>
  <c r="O302"/>
  <c r="O301"/>
  <c r="O300"/>
  <c r="O147"/>
  <c r="O192"/>
  <c r="O299"/>
  <c r="O181"/>
  <c r="O298"/>
  <c r="O297"/>
  <c r="O296"/>
  <c r="O291"/>
  <c r="O235"/>
  <c r="O180"/>
  <c r="O3"/>
  <c r="O290"/>
  <c r="O289"/>
  <c r="O288"/>
  <c r="O287"/>
  <c r="O80"/>
  <c r="O179"/>
  <c r="O64"/>
  <c r="O137"/>
  <c r="O231"/>
  <c r="O276"/>
  <c r="O275"/>
  <c r="O44"/>
  <c r="O274"/>
  <c r="O273"/>
  <c r="O272"/>
  <c r="O168"/>
  <c r="O51"/>
  <c r="O271"/>
  <c r="O230"/>
  <c r="O250"/>
  <c r="O270"/>
  <c r="O36"/>
  <c r="O67"/>
  <c r="O201"/>
  <c r="O43"/>
  <c r="O39"/>
  <c r="O29"/>
  <c r="O19"/>
  <c r="O269"/>
  <c r="O72"/>
  <c r="O107"/>
  <c r="O268"/>
  <c r="O267"/>
  <c r="O13"/>
  <c r="O55"/>
  <c r="O63"/>
  <c r="O35"/>
  <c r="O28"/>
  <c r="O96"/>
  <c r="O62"/>
  <c r="O34"/>
  <c r="O9"/>
  <c r="O12"/>
  <c r="O50"/>
  <c r="O254"/>
  <c r="O5"/>
  <c r="O27"/>
  <c r="O79"/>
  <c r="O22"/>
  <c r="O264"/>
  <c r="O266"/>
  <c r="O7"/>
  <c r="O38"/>
  <c r="O265"/>
  <c r="O11"/>
  <c r="O10"/>
  <c r="O42"/>
  <c r="O26"/>
  <c r="O71"/>
  <c r="O25"/>
  <c r="O33"/>
  <c r="O54"/>
  <c r="O84"/>
  <c r="O159"/>
  <c r="O32"/>
  <c r="O24"/>
  <c r="O31"/>
  <c r="O30"/>
  <c r="O41"/>
  <c r="O70"/>
  <c r="O53"/>
  <c r="O52"/>
  <c r="O263"/>
  <c r="O49"/>
  <c r="O23"/>
  <c r="O262"/>
  <c r="O8"/>
  <c r="O158"/>
  <c r="O183"/>
  <c r="O111"/>
  <c r="O95"/>
  <c r="O69"/>
  <c r="O20"/>
  <c r="O21"/>
  <c r="O18"/>
  <c r="O16"/>
  <c r="O15"/>
  <c r="O100"/>
  <c r="R567"/>
  <c r="K567"/>
  <c r="I26" i="4" l="1"/>
  <c r="J26"/>
  <c r="AB30"/>
  <c r="R510" i="1"/>
  <c r="K510"/>
  <c r="K350"/>
  <c r="K328"/>
  <c r="R612"/>
  <c r="K612"/>
  <c r="K327"/>
  <c r="K349"/>
  <c r="K326"/>
  <c r="K325"/>
  <c r="K324"/>
  <c r="R279"/>
  <c r="K279"/>
  <c r="R586"/>
  <c r="K586"/>
  <c r="R537"/>
  <c r="K537"/>
  <c r="R509"/>
  <c r="K509"/>
  <c r="R505"/>
  <c r="K505"/>
  <c r="R504"/>
  <c r="K504"/>
  <c r="R503"/>
  <c r="K503"/>
  <c r="R431"/>
  <c r="K431"/>
  <c r="R278"/>
  <c r="K278"/>
  <c r="R566"/>
  <c r="K566"/>
  <c r="R453"/>
  <c r="K453"/>
  <c r="R470"/>
  <c r="K470"/>
  <c r="R170"/>
  <c r="K170"/>
  <c r="K323"/>
  <c r="R445"/>
  <c r="K445"/>
  <c r="R553"/>
  <c r="K553"/>
  <c r="K398"/>
  <c r="K348"/>
  <c r="R536"/>
  <c r="K536"/>
  <c r="R277"/>
  <c r="K277"/>
  <c r="R589"/>
  <c r="K589"/>
  <c r="K322"/>
  <c r="K347"/>
  <c r="R294"/>
  <c r="K294"/>
  <c r="R229"/>
  <c r="K229"/>
  <c r="K397"/>
  <c r="K396"/>
  <c r="K395"/>
  <c r="K394"/>
  <c r="R557"/>
  <c r="K557"/>
  <c r="K393"/>
  <c r="K346"/>
  <c r="K402"/>
  <c r="K345"/>
  <c r="R293"/>
  <c r="K293"/>
  <c r="R197"/>
  <c r="K197"/>
  <c r="R205"/>
  <c r="K205"/>
  <c r="R444"/>
  <c r="K444"/>
  <c r="R256"/>
  <c r="K256"/>
  <c r="R796"/>
  <c r="K796"/>
  <c r="R794" l="1"/>
  <c r="K794"/>
  <c r="R793" l="1"/>
  <c r="K793"/>
  <c r="R792"/>
  <c r="K792"/>
  <c r="R791"/>
  <c r="K791"/>
  <c r="R790"/>
  <c r="K790"/>
  <c r="R789"/>
  <c r="K789"/>
  <c r="R788"/>
  <c r="K788"/>
  <c r="R787" l="1"/>
  <c r="K787"/>
  <c r="R786"/>
  <c r="K786"/>
  <c r="R785"/>
  <c r="K785"/>
  <c r="R784"/>
  <c r="K784"/>
  <c r="R783"/>
  <c r="K783"/>
  <c r="R782"/>
  <c r="K782"/>
  <c r="R781"/>
  <c r="K781"/>
  <c r="R780"/>
  <c r="K780"/>
  <c r="R779"/>
  <c r="K779"/>
  <c r="R778"/>
  <c r="K778"/>
  <c r="R777"/>
  <c r="K777"/>
  <c r="R776" l="1"/>
  <c r="K776"/>
  <c r="R683"/>
  <c r="K683"/>
  <c r="R682"/>
  <c r="K682"/>
  <c r="R695"/>
  <c r="K695"/>
  <c r="R694"/>
  <c r="K694"/>
  <c r="R693"/>
  <c r="K693"/>
  <c r="R692"/>
  <c r="K692"/>
  <c r="R691"/>
  <c r="K691"/>
  <c r="R770"/>
  <c r="K770"/>
  <c r="R689"/>
  <c r="K689"/>
  <c r="R669"/>
  <c r="K669"/>
  <c r="R668"/>
  <c r="K668"/>
  <c r="R679"/>
  <c r="K679"/>
  <c r="R775"/>
  <c r="K775"/>
  <c r="R774"/>
  <c r="K774"/>
  <c r="R253"/>
  <c r="K253"/>
  <c r="R773"/>
  <c r="K773"/>
  <c r="R228" l="1"/>
  <c r="K228"/>
  <c r="R772"/>
  <c r="K772"/>
  <c r="R771" l="1"/>
  <c r="K771"/>
  <c r="R769"/>
  <c r="K769"/>
  <c r="R738"/>
  <c r="K738"/>
  <c r="R737"/>
  <c r="K737"/>
  <c r="R736"/>
  <c r="K736"/>
  <c r="R735"/>
  <c r="K735"/>
  <c r="R752"/>
  <c r="R768"/>
  <c r="K768"/>
  <c r="R767"/>
  <c r="K767"/>
  <c r="R766"/>
  <c r="K766"/>
  <c r="R765"/>
  <c r="K765"/>
  <c r="R764"/>
  <c r="K764"/>
  <c r="R763"/>
  <c r="K763"/>
  <c r="R762"/>
  <c r="K762"/>
  <c r="R761"/>
  <c r="K761"/>
  <c r="R241"/>
  <c r="K241"/>
  <c r="R760"/>
  <c r="K760"/>
  <c r="R795"/>
  <c r="K795"/>
  <c r="R724"/>
  <c r="K724"/>
  <c r="R751" l="1"/>
  <c r="K751"/>
  <c r="R750"/>
  <c r="K750"/>
  <c r="R706"/>
  <c r="K706"/>
  <c r="C9" i="4" l="1"/>
  <c r="C38"/>
  <c r="R759" i="1"/>
  <c r="K759"/>
  <c r="K173"/>
  <c r="R758"/>
  <c r="K758"/>
  <c r="R757"/>
  <c r="K757"/>
  <c r="R756"/>
  <c r="K756"/>
  <c r="R723"/>
  <c r="K723"/>
  <c r="R755"/>
  <c r="K755"/>
  <c r="R754"/>
  <c r="K754"/>
  <c r="R753"/>
  <c r="K753"/>
  <c r="R639" l="1"/>
  <c r="K639"/>
  <c r="R638"/>
  <c r="K638"/>
  <c r="R749"/>
  <c r="K749"/>
  <c r="R199"/>
  <c r="K199"/>
  <c r="R748"/>
  <c r="K748"/>
  <c r="R747"/>
  <c r="K747"/>
  <c r="R746" l="1"/>
  <c r="K746"/>
  <c r="R745"/>
  <c r="K745"/>
  <c r="R744"/>
  <c r="K744"/>
  <c r="R743" l="1"/>
  <c r="K743"/>
  <c r="R742"/>
  <c r="K742"/>
  <c r="R220" l="1"/>
  <c r="R741"/>
  <c r="K741"/>
  <c r="R740"/>
  <c r="K740"/>
  <c r="R659"/>
  <c r="K659"/>
  <c r="R664"/>
  <c r="K664"/>
  <c r="R712"/>
  <c r="K712"/>
  <c r="R705"/>
  <c r="K705"/>
  <c r="R704"/>
  <c r="K704"/>
  <c r="R722"/>
  <c r="K722"/>
  <c r="R248"/>
  <c r="K248"/>
  <c r="R734"/>
  <c r="K734"/>
  <c r="R711"/>
  <c r="K711"/>
  <c r="R690"/>
  <c r="K690"/>
  <c r="R637"/>
  <c r="K637"/>
  <c r="R619"/>
  <c r="K619"/>
  <c r="R636"/>
  <c r="K636"/>
  <c r="R618"/>
  <c r="K618"/>
  <c r="R652"/>
  <c r="K652"/>
  <c r="R635"/>
  <c r="K635"/>
  <c r="R620"/>
  <c r="K620"/>
  <c r="R631"/>
  <c r="K631"/>
  <c r="R630"/>
  <c r="K630"/>
  <c r="R700"/>
  <c r="K700"/>
  <c r="R699"/>
  <c r="K699"/>
  <c r="R629"/>
  <c r="K629"/>
  <c r="R733"/>
  <c r="K733"/>
  <c r="R732"/>
  <c r="K732"/>
  <c r="K176"/>
  <c r="R731"/>
  <c r="K731"/>
  <c r="R739"/>
  <c r="K739"/>
  <c r="R730"/>
  <c r="K730"/>
  <c r="R225"/>
  <c r="K225"/>
  <c r="R729"/>
  <c r="K729"/>
  <c r="R728"/>
  <c r="K728"/>
  <c r="R249"/>
  <c r="R727" l="1"/>
  <c r="K727"/>
  <c r="R726"/>
  <c r="K726"/>
  <c r="R725"/>
  <c r="K725"/>
  <c r="R641"/>
  <c r="R642"/>
  <c r="R651"/>
  <c r="K651"/>
  <c r="R663"/>
  <c r="K663"/>
  <c r="R208"/>
  <c r="K208"/>
  <c r="R708"/>
  <c r="R709"/>
  <c r="R702"/>
  <c r="R698"/>
  <c r="R703"/>
  <c r="R687"/>
  <c r="R688"/>
  <c r="R697"/>
  <c r="R634"/>
  <c r="R678"/>
  <c r="R210"/>
  <c r="R625"/>
  <c r="R626"/>
  <c r="R627"/>
  <c r="R628"/>
  <c r="R164"/>
  <c r="K164"/>
  <c r="R721"/>
  <c r="K721"/>
  <c r="R720"/>
  <c r="K720"/>
  <c r="R191"/>
  <c r="K191"/>
  <c r="R719"/>
  <c r="K719"/>
  <c r="R718"/>
  <c r="K718"/>
  <c r="R717"/>
  <c r="K717"/>
  <c r="R716"/>
  <c r="K716"/>
  <c r="R715"/>
  <c r="K715"/>
  <c r="R714"/>
  <c r="K714"/>
  <c r="R29" l="1"/>
  <c r="R39"/>
  <c r="R43"/>
  <c r="R201"/>
  <c r="R67"/>
  <c r="R36"/>
  <c r="R270"/>
  <c r="R250"/>
  <c r="R230"/>
  <c r="R271"/>
  <c r="R51"/>
  <c r="R168"/>
  <c r="R272"/>
  <c r="R274"/>
  <c r="R44"/>
  <c r="R275"/>
  <c r="R276"/>
  <c r="R231"/>
  <c r="R137"/>
  <c r="R64"/>
  <c r="R179"/>
  <c r="R80"/>
  <c r="R287"/>
  <c r="R288"/>
  <c r="R289"/>
  <c r="R290"/>
  <c r="R3"/>
  <c r="R180"/>
  <c r="R235"/>
  <c r="R291"/>
  <c r="R296"/>
  <c r="R297"/>
  <c r="R298"/>
  <c r="R181"/>
  <c r="R299"/>
  <c r="R192"/>
  <c r="R147"/>
  <c r="R300"/>
  <c r="R301"/>
  <c r="R302"/>
  <c r="R303"/>
  <c r="R304"/>
  <c r="R305"/>
  <c r="R255"/>
  <c r="R6"/>
  <c r="R92"/>
  <c r="R65"/>
  <c r="R131"/>
  <c r="R40"/>
  <c r="R240"/>
  <c r="R56"/>
  <c r="R85"/>
  <c r="R101"/>
  <c r="R126"/>
  <c r="R140"/>
  <c r="R105"/>
  <c r="R244"/>
  <c r="R73"/>
  <c r="R37"/>
  <c r="R148"/>
  <c r="R119"/>
  <c r="R77"/>
  <c r="R142"/>
  <c r="R14"/>
  <c r="R66"/>
  <c r="R46"/>
  <c r="R104"/>
  <c r="R223"/>
  <c r="R261"/>
  <c r="R184"/>
  <c r="R153"/>
  <c r="R78"/>
  <c r="R45"/>
  <c r="R81"/>
  <c r="R232"/>
  <c r="R185"/>
  <c r="R86"/>
  <c r="R224"/>
  <c r="R424"/>
  <c r="R432"/>
  <c r="R433"/>
  <c r="R434"/>
  <c r="R435"/>
  <c r="R425"/>
  <c r="R436"/>
  <c r="R87"/>
  <c r="R58"/>
  <c r="R426"/>
  <c r="R217"/>
  <c r="R437"/>
  <c r="R440"/>
  <c r="R441"/>
  <c r="R442"/>
  <c r="R165"/>
  <c r="R443"/>
  <c r="R129"/>
  <c r="R57"/>
  <c r="R446"/>
  <c r="R447"/>
  <c r="R143"/>
  <c r="R448"/>
  <c r="R449"/>
  <c r="R450"/>
  <c r="R451"/>
  <c r="R454"/>
  <c r="R455"/>
  <c r="R456"/>
  <c r="R457"/>
  <c r="R458"/>
  <c r="R459"/>
  <c r="R464"/>
  <c r="R465"/>
  <c r="R466"/>
  <c r="R460"/>
  <c r="R174"/>
  <c r="R461"/>
  <c r="R82"/>
  <c r="R467"/>
  <c r="R468"/>
  <c r="R47"/>
  <c r="R469"/>
  <c r="R97"/>
  <c r="R75"/>
  <c r="R74"/>
  <c r="R59"/>
  <c r="R48"/>
  <c r="R471"/>
  <c r="R472"/>
  <c r="R166"/>
  <c r="R93"/>
  <c r="R473"/>
  <c r="R474"/>
  <c r="R260"/>
  <c r="R484"/>
  <c r="R485"/>
  <c r="R486"/>
  <c r="R487"/>
  <c r="R488"/>
  <c r="R489"/>
  <c r="R490"/>
  <c r="R491"/>
  <c r="R475"/>
  <c r="R492"/>
  <c r="R476"/>
  <c r="R477"/>
  <c r="R478"/>
  <c r="R479"/>
  <c r="R480"/>
  <c r="R481"/>
  <c r="R482"/>
  <c r="R493"/>
  <c r="R494"/>
  <c r="R17"/>
  <c r="R182"/>
  <c r="R497"/>
  <c r="R498"/>
  <c r="R102"/>
  <c r="R506"/>
  <c r="R507"/>
  <c r="R89"/>
  <c r="R60"/>
  <c r="R501"/>
  <c r="R88"/>
  <c r="R511"/>
  <c r="R512"/>
  <c r="R513"/>
  <c r="R514"/>
  <c r="R98"/>
  <c r="R61"/>
  <c r="R515"/>
  <c r="R218"/>
  <c r="R516"/>
  <c r="R517"/>
  <c r="R518"/>
  <c r="R519"/>
  <c r="R520"/>
  <c r="R237"/>
  <c r="R521"/>
  <c r="R522"/>
  <c r="R523"/>
  <c r="R524"/>
  <c r="R236"/>
  <c r="R525"/>
  <c r="R214"/>
  <c r="R527"/>
  <c r="R528"/>
  <c r="R529"/>
  <c r="R530"/>
  <c r="R531"/>
  <c r="R532"/>
  <c r="R94"/>
  <c r="R533"/>
  <c r="R534"/>
  <c r="R233"/>
  <c r="R543"/>
  <c r="R535"/>
  <c r="R502"/>
  <c r="R4"/>
  <c r="R452"/>
  <c r="R604"/>
  <c r="R544"/>
  <c r="R545"/>
  <c r="R546"/>
  <c r="R547"/>
  <c r="R548"/>
  <c r="R549"/>
  <c r="R550"/>
  <c r="R887"/>
  <c r="R508"/>
  <c r="R551"/>
  <c r="R552"/>
  <c r="R90"/>
  <c r="R555"/>
  <c r="R216"/>
  <c r="R559"/>
  <c r="R556"/>
  <c r="R99"/>
  <c r="R560"/>
  <c r="R68"/>
  <c r="R563"/>
  <c r="R113"/>
  <c r="R564"/>
  <c r="R565"/>
  <c r="R561"/>
  <c r="R123"/>
  <c r="R562"/>
  <c r="R572"/>
  <c r="R91"/>
  <c r="R149"/>
  <c r="R573"/>
  <c r="R713"/>
  <c r="R574"/>
  <c r="R575"/>
  <c r="R576"/>
  <c r="R577"/>
  <c r="R581"/>
  <c r="R582"/>
  <c r="R124"/>
  <c r="R579"/>
  <c r="R120"/>
  <c r="R583"/>
  <c r="R584"/>
  <c r="R585"/>
  <c r="R219"/>
  <c r="R588"/>
  <c r="R193"/>
  <c r="R125"/>
  <c r="R76"/>
  <c r="R83"/>
  <c r="R591"/>
  <c r="R187"/>
  <c r="R592"/>
  <c r="R108"/>
  <c r="R593"/>
  <c r="R590"/>
  <c r="R121"/>
  <c r="R110"/>
  <c r="R595"/>
  <c r="R596"/>
  <c r="R139"/>
  <c r="R597"/>
  <c r="R598"/>
  <c r="R599"/>
  <c r="R144"/>
  <c r="R132"/>
  <c r="R600"/>
  <c r="R602"/>
  <c r="R130"/>
  <c r="R206"/>
  <c r="R603"/>
  <c r="R601"/>
  <c r="R605"/>
  <c r="R606"/>
  <c r="R607"/>
  <c r="R608"/>
  <c r="R609"/>
  <c r="R610"/>
  <c r="R177"/>
  <c r="R611"/>
  <c r="R127"/>
  <c r="R122"/>
  <c r="R146"/>
  <c r="R109"/>
  <c r="R615"/>
  <c r="R614"/>
  <c r="R616"/>
  <c r="R171"/>
  <c r="R145"/>
  <c r="R112"/>
  <c r="R133"/>
  <c r="R160"/>
  <c r="R154"/>
  <c r="R167"/>
  <c r="R617"/>
  <c r="R151"/>
  <c r="R175"/>
  <c r="R215"/>
  <c r="R116"/>
  <c r="R106"/>
  <c r="R207"/>
  <c r="R135"/>
  <c r="R155"/>
  <c r="R152"/>
  <c r="R161"/>
  <c r="R134"/>
  <c r="R495"/>
  <c r="R578"/>
  <c r="R115"/>
  <c r="R632"/>
  <c r="R128"/>
  <c r="R186"/>
  <c r="R438"/>
  <c r="R427"/>
  <c r="R213"/>
  <c r="R292"/>
  <c r="R252"/>
  <c r="R136"/>
  <c r="R621"/>
  <c r="R117"/>
  <c r="R198"/>
  <c r="R118"/>
  <c r="R640"/>
  <c r="R194"/>
  <c r="R643"/>
  <c r="R660"/>
  <c r="R653"/>
  <c r="R661"/>
  <c r="R654"/>
  <c r="R655"/>
  <c r="R656"/>
  <c r="R657"/>
  <c r="R658"/>
  <c r="R644"/>
  <c r="R645"/>
  <c r="R646"/>
  <c r="R647"/>
  <c r="R114"/>
  <c r="R648"/>
  <c r="R162"/>
  <c r="R666"/>
  <c r="R667"/>
  <c r="R649"/>
  <c r="R662"/>
  <c r="R650"/>
  <c r="R428"/>
  <c r="R429"/>
  <c r="R496"/>
  <c r="R483"/>
  <c r="R439"/>
  <c r="R202"/>
  <c r="R156"/>
  <c r="R670"/>
  <c r="R671"/>
  <c r="R672"/>
  <c r="R172"/>
  <c r="R189"/>
  <c r="R673"/>
  <c r="R674"/>
  <c r="R675"/>
  <c r="R676"/>
  <c r="R141"/>
  <c r="R622"/>
  <c r="R633"/>
  <c r="R462"/>
  <c r="R430"/>
  <c r="R238"/>
  <c r="R684"/>
  <c r="R685"/>
  <c r="R178"/>
  <c r="R157"/>
  <c r="R196"/>
  <c r="R677"/>
  <c r="R680"/>
  <c r="R681"/>
  <c r="R623"/>
  <c r="R624"/>
  <c r="R463"/>
  <c r="R696"/>
  <c r="R686"/>
  <c r="R701"/>
  <c r="R163"/>
  <c r="R707"/>
  <c r="R710"/>
  <c r="R158"/>
  <c r="R183"/>
  <c r="R15"/>
  <c r="R16"/>
  <c r="R18"/>
  <c r="R21"/>
  <c r="R20"/>
  <c r="R111"/>
  <c r="R262"/>
  <c r="R23"/>
  <c r="R49"/>
  <c r="R263"/>
  <c r="R52"/>
  <c r="R53"/>
  <c r="R70"/>
  <c r="R41"/>
  <c r="R30"/>
  <c r="R31"/>
  <c r="R24"/>
  <c r="R32"/>
  <c r="R159"/>
  <c r="R84"/>
  <c r="R54"/>
  <c r="R33"/>
  <c r="R25"/>
  <c r="R71"/>
  <c r="R26"/>
  <c r="R42"/>
  <c r="R10"/>
  <c r="R11"/>
  <c r="R265"/>
  <c r="R38"/>
  <c r="R7"/>
  <c r="R266"/>
  <c r="R264"/>
  <c r="R22"/>
  <c r="R79"/>
  <c r="R27"/>
  <c r="R5"/>
  <c r="R254"/>
  <c r="R50"/>
  <c r="R34"/>
  <c r="R62"/>
  <c r="R96"/>
  <c r="R28"/>
  <c r="R35"/>
  <c r="R63"/>
  <c r="R55"/>
  <c r="R13"/>
  <c r="R267"/>
  <c r="R268"/>
  <c r="R107"/>
  <c r="R72"/>
  <c r="R269"/>
  <c r="R19"/>
  <c r="K710"/>
  <c r="K709"/>
  <c r="P42" i="13" l="1"/>
  <c r="P41"/>
  <c r="J26"/>
  <c r="I27"/>
  <c r="H26"/>
  <c r="J25"/>
  <c r="I26"/>
  <c r="H25"/>
  <c r="J24"/>
  <c r="I25"/>
  <c r="H24"/>
  <c r="J23"/>
  <c r="I24"/>
  <c r="H23"/>
  <c r="J22"/>
  <c r="I23"/>
  <c r="H22"/>
  <c r="J21"/>
  <c r="I22"/>
  <c r="H21"/>
  <c r="I21"/>
  <c r="I20"/>
  <c r="H20"/>
  <c r="J27"/>
  <c r="J20"/>
  <c r="H27"/>
  <c r="C16" i="4"/>
  <c r="C19" s="1"/>
  <c r="K20"/>
  <c r="M20" s="1"/>
  <c r="N20" s="1"/>
  <c r="K16"/>
  <c r="M16" s="1"/>
  <c r="K19"/>
  <c r="M19" s="1"/>
  <c r="N19" s="1"/>
  <c r="K23"/>
  <c r="M23" s="1"/>
  <c r="N23" s="1"/>
  <c r="K18"/>
  <c r="M18" s="1"/>
  <c r="N18" s="1"/>
  <c r="K22"/>
  <c r="M22" s="1"/>
  <c r="N22" s="1"/>
  <c r="K17"/>
  <c r="M17" s="1"/>
  <c r="N17" s="1"/>
  <c r="K21"/>
  <c r="M21" s="1"/>
  <c r="N21" s="1"/>
  <c r="K708" i="1"/>
  <c r="K24" i="13" l="1"/>
  <c r="L24" s="1"/>
  <c r="K23"/>
  <c r="L23" s="1"/>
  <c r="K27"/>
  <c r="L27" s="1"/>
  <c r="K21"/>
  <c r="L21" s="1"/>
  <c r="K26"/>
  <c r="L26" s="1"/>
  <c r="I28"/>
  <c r="K20"/>
  <c r="K25"/>
  <c r="L25" s="1"/>
  <c r="J28"/>
  <c r="K22"/>
  <c r="L22" s="1"/>
  <c r="H28"/>
  <c r="M24" i="4"/>
  <c r="N16"/>
  <c r="N24" s="1"/>
  <c r="K24"/>
  <c r="K707" i="1"/>
  <c r="K163"/>
  <c r="K703"/>
  <c r="K698"/>
  <c r="K702"/>
  <c r="K701"/>
  <c r="K678"/>
  <c r="K634"/>
  <c r="K697"/>
  <c r="K688"/>
  <c r="K687"/>
  <c r="K195"/>
  <c r="K190"/>
  <c r="K686"/>
  <c r="K696"/>
  <c r="K392"/>
  <c r="K391"/>
  <c r="K210"/>
  <c r="K463"/>
  <c r="K628"/>
  <c r="K627"/>
  <c r="K626"/>
  <c r="K625"/>
  <c r="K624"/>
  <c r="K623"/>
  <c r="K681"/>
  <c r="K680"/>
  <c r="K677"/>
  <c r="K196"/>
  <c r="K157"/>
  <c r="K178"/>
  <c r="K685"/>
  <c r="K684"/>
  <c r="K28" i="13" l="1"/>
  <c r="K238" i="1"/>
  <c r="K430"/>
  <c r="K462" l="1"/>
  <c r="K633"/>
  <c r="K622"/>
  <c r="K141"/>
  <c r="K676"/>
  <c r="K675"/>
  <c r="K674"/>
  <c r="K673"/>
  <c r="K189"/>
  <c r="K172"/>
  <c r="K672"/>
  <c r="K671"/>
  <c r="K670"/>
  <c r="K156"/>
  <c r="K202"/>
  <c r="K439"/>
  <c r="K483"/>
  <c r="K496"/>
  <c r="K429"/>
  <c r="K428"/>
  <c r="K650"/>
  <c r="K662" l="1"/>
  <c r="K649"/>
  <c r="K667"/>
  <c r="K666"/>
  <c r="K162"/>
  <c r="K648" l="1"/>
  <c r="K647"/>
  <c r="K646" l="1"/>
  <c r="K645"/>
  <c r="K644"/>
  <c r="K658"/>
  <c r="K657"/>
  <c r="K656"/>
  <c r="K655"/>
  <c r="K654"/>
  <c r="K661"/>
  <c r="K653"/>
  <c r="K660"/>
  <c r="K643" l="1"/>
  <c r="K194"/>
  <c r="K642"/>
  <c r="K641"/>
  <c r="K640"/>
  <c r="K198" l="1"/>
  <c r="K621"/>
  <c r="K136"/>
  <c r="K252"/>
  <c r="K292"/>
  <c r="K213"/>
  <c r="K401"/>
  <c r="K400"/>
  <c r="K427"/>
  <c r="K212"/>
  <c r="K438"/>
  <c r="K186"/>
  <c r="K632"/>
  <c r="AF100"/>
  <c r="AF1" l="1"/>
  <c r="R100" l="1"/>
  <c r="H42" i="13" l="1"/>
  <c r="P47"/>
  <c r="C8" i="4"/>
  <c r="H41" i="13"/>
  <c r="J6"/>
  <c r="J7"/>
  <c r="J8"/>
  <c r="J9"/>
  <c r="J10"/>
  <c r="J11"/>
  <c r="J12"/>
  <c r="J13"/>
  <c r="I6"/>
  <c r="I7"/>
  <c r="I8"/>
  <c r="I9"/>
  <c r="I10"/>
  <c r="I11"/>
  <c r="I12"/>
  <c r="I13"/>
  <c r="C7" i="4"/>
  <c r="C10" s="1"/>
  <c r="H13" i="13"/>
  <c r="H6"/>
  <c r="K6" s="1"/>
  <c r="H7"/>
  <c r="K7" s="1"/>
  <c r="L7" s="1"/>
  <c r="H8"/>
  <c r="K8" s="1"/>
  <c r="L8" s="1"/>
  <c r="H9"/>
  <c r="K9" s="1"/>
  <c r="L9" s="1"/>
  <c r="H10"/>
  <c r="H11"/>
  <c r="H12"/>
  <c r="L20"/>
  <c r="L28" s="1"/>
  <c r="K3" i="4"/>
  <c r="M3" s="1"/>
  <c r="K10"/>
  <c r="M10" s="1"/>
  <c r="N10" s="1"/>
  <c r="K6"/>
  <c r="M6" s="1"/>
  <c r="N6" s="1"/>
  <c r="K4"/>
  <c r="M4" s="1"/>
  <c r="N4" s="1"/>
  <c r="K5"/>
  <c r="M5" s="1"/>
  <c r="N5" s="1"/>
  <c r="K9"/>
  <c r="M9" s="1"/>
  <c r="N9" s="1"/>
  <c r="K7"/>
  <c r="M7" s="1"/>
  <c r="N7" s="1"/>
  <c r="K8"/>
  <c r="M8" s="1"/>
  <c r="N8" s="1"/>
  <c r="C39"/>
  <c r="C40" s="1"/>
  <c r="K100" i="1"/>
  <c r="K10" i="13" l="1"/>
  <c r="L10" s="1"/>
  <c r="H47"/>
  <c r="K11"/>
  <c r="L11" s="1"/>
  <c r="K12"/>
  <c r="L12" s="1"/>
  <c r="K13"/>
  <c r="L13" s="1"/>
  <c r="J14"/>
  <c r="J30" s="1"/>
  <c r="I14"/>
  <c r="I30" s="1"/>
  <c r="H14"/>
  <c r="H30" s="1"/>
  <c r="N3" i="4"/>
  <c r="N11" s="1"/>
  <c r="N26" s="1"/>
  <c r="M11"/>
  <c r="M26" s="1"/>
  <c r="K11"/>
  <c r="K26" s="1"/>
  <c r="C21"/>
  <c r="B1" i="1"/>
  <c r="K14" i="13" l="1"/>
  <c r="K30" s="1"/>
  <c r="L6"/>
  <c r="L14" s="1"/>
  <c r="L30" s="1"/>
  <c r="J11" i="11"/>
  <c r="J8"/>
  <c r="J7"/>
  <c r="D8"/>
  <c r="I37" i="4"/>
  <c r="J32"/>
  <c r="C8" i="11"/>
  <c r="C9"/>
  <c r="C5"/>
  <c r="J31" i="4"/>
  <c r="I32"/>
  <c r="D9" i="11"/>
  <c r="D5"/>
  <c r="I33" i="4"/>
  <c r="C10" i="11"/>
  <c r="C6"/>
  <c r="J33" i="4"/>
  <c r="I31"/>
  <c r="I36"/>
  <c r="D10" i="11"/>
  <c r="D6"/>
  <c r="J34" i="4"/>
  <c r="I34"/>
  <c r="C11" i="11"/>
  <c r="C7"/>
  <c r="J35" i="4"/>
  <c r="J36"/>
  <c r="D11" i="11"/>
  <c r="D7"/>
  <c r="I35" i="4"/>
  <c r="J37"/>
  <c r="C1" i="1"/>
  <c r="H12" i="11" l="1"/>
  <c r="J5"/>
  <c r="I12"/>
  <c r="J10"/>
  <c r="J9"/>
  <c r="J6"/>
  <c r="D12"/>
  <c r="E8"/>
  <c r="I38" i="4"/>
  <c r="E10" i="11"/>
  <c r="E11"/>
  <c r="E6"/>
  <c r="E9"/>
  <c r="C12"/>
  <c r="E5"/>
  <c r="E7"/>
  <c r="J38" i="4"/>
  <c r="AG2" i="1"/>
  <c r="E12" i="11" l="1"/>
  <c r="J12"/>
</calcChain>
</file>

<file path=xl/sharedStrings.xml><?xml version="1.0" encoding="utf-8"?>
<sst xmlns="http://schemas.openxmlformats.org/spreadsheetml/2006/main" count="11156" uniqueCount="3390">
  <si>
    <t>FECHA</t>
  </si>
  <si>
    <t>EXPTE</t>
  </si>
  <si>
    <t>CARATULA</t>
  </si>
  <si>
    <t>HORA</t>
  </si>
  <si>
    <t>182849/23</t>
  </si>
  <si>
    <t>Dr. Cervantes</t>
  </si>
  <si>
    <t>JUEZ INTERVINIENTE</t>
  </si>
  <si>
    <t>Dr. Colombo</t>
  </si>
  <si>
    <t>Dr. Rodriguez Pipino</t>
  </si>
  <si>
    <t>Dr. Pastrana</t>
  </si>
  <si>
    <t>Dra. Lamas</t>
  </si>
  <si>
    <t>182877/23</t>
  </si>
  <si>
    <t xml:space="preserve"> 08:00</t>
  </si>
  <si>
    <t xml:space="preserve"> 13:00</t>
  </si>
  <si>
    <t xml:space="preserve"> 10:00</t>
  </si>
  <si>
    <t xml:space="preserve"> 09:00</t>
  </si>
  <si>
    <t xml:space="preserve"> 11:00</t>
  </si>
  <si>
    <t>Dra. Puertas</t>
  </si>
  <si>
    <t>FISCALIA INTERVINIIENTE</t>
  </si>
  <si>
    <t>DEFENSA INTERVINIENTE</t>
  </si>
  <si>
    <t>SALA DE AUDIENCIA</t>
  </si>
  <si>
    <t>Juicio Abreviado</t>
  </si>
  <si>
    <t>Prisión Preventiva</t>
  </si>
  <si>
    <t>182836/23</t>
  </si>
  <si>
    <t>Dr. Aramayo Vazquez (particular)</t>
  </si>
  <si>
    <t>Fisc. Delitos. Econ. Dra. Salinas</t>
  </si>
  <si>
    <t xml:space="preserve"> 12:00</t>
  </si>
  <si>
    <t>Dr. Ortin Fernandez (particular)</t>
  </si>
  <si>
    <t>Dra. Victoria Flores (particular)</t>
  </si>
  <si>
    <t>TOTAL</t>
  </si>
  <si>
    <t>183031/23</t>
  </si>
  <si>
    <t>Fiscal UFEM - Dra. Monica Poma</t>
  </si>
  <si>
    <t>183276/23</t>
  </si>
  <si>
    <t>183292/23</t>
  </si>
  <si>
    <t xml:space="preserve"> 10:30</t>
  </si>
  <si>
    <t>UFINAR - Dr. Lopez Soto</t>
  </si>
  <si>
    <t>UFINAR - Dr. Torres Rubelt, Gustavo</t>
  </si>
  <si>
    <t>HECHAS O NO</t>
  </si>
  <si>
    <t>182997/23</t>
  </si>
  <si>
    <t>JUZGADO GARANTIAS</t>
  </si>
  <si>
    <t>Dr. Alonso Casimiro (particular)</t>
  </si>
  <si>
    <t xml:space="preserve"> 08:30</t>
  </si>
  <si>
    <t>GAP 1 - Dr. Leandro Flores</t>
  </si>
  <si>
    <t>DOP (interino) Dr. Jaime Lopez Figueroa</t>
  </si>
  <si>
    <t xml:space="preserve">DOP 17 - Dr. Genovese </t>
  </si>
  <si>
    <t>DOP 2 - Dra. Liliana Linares Moron</t>
  </si>
  <si>
    <t>DOP 3 - Dra. Karina Peralta</t>
  </si>
  <si>
    <t>DOP 4 - Dr. Walter Clark</t>
  </si>
  <si>
    <t xml:space="preserve">Dr. Agüero Molina (particular) </t>
  </si>
  <si>
    <t>Dr. Daniel Arnedo (particular)</t>
  </si>
  <si>
    <t>Dr. Diaz Escueto (particular)</t>
  </si>
  <si>
    <t>Dr. Esteban Nieva Haro (particular)</t>
  </si>
  <si>
    <t>Dr. Jose Ricardo Belbruno (particular)</t>
  </si>
  <si>
    <t>Dr. Luciano Romano (particular)</t>
  </si>
  <si>
    <t>Dr. Romano (particular)</t>
  </si>
  <si>
    <t>Dr.Teseyra (particular)</t>
  </si>
  <si>
    <t>Dra. Edith Karina Ortiz (particular)</t>
  </si>
  <si>
    <t>Dra. Rosa Susana Maidana (particular)</t>
  </si>
  <si>
    <t>Dra. Ximena Fernanda Chavez (particular)</t>
  </si>
  <si>
    <t>DOP 15 - Dr. Bonetto</t>
  </si>
  <si>
    <t>DOP 16 - Dra. Carrizo Reyes</t>
  </si>
  <si>
    <t>DOP 11 - Dr. Pedro Curotto</t>
  </si>
  <si>
    <t>DOP 10 - Dra.Bohuid</t>
  </si>
  <si>
    <t>NIEVA</t>
  </si>
  <si>
    <t>MOHAMAD</t>
  </si>
  <si>
    <t xml:space="preserve"> 08:15</t>
  </si>
  <si>
    <t xml:space="preserve"> - </t>
  </si>
  <si>
    <t>DOP 12 - Dra. Patricia Gonzalez</t>
  </si>
  <si>
    <t>REINAGA</t>
  </si>
  <si>
    <t>Dr. Mamani Nelson (particular)</t>
  </si>
  <si>
    <t>Dr. Orfeo Maggio - (particular)</t>
  </si>
  <si>
    <t>FP de Cachi</t>
  </si>
  <si>
    <t>FP de Cerrillos - Dr. Portal</t>
  </si>
  <si>
    <t>FP El Carril - Dr. Portal</t>
  </si>
  <si>
    <t xml:space="preserve">FP Gral. Güemes - Dr. Vilar Rey </t>
  </si>
  <si>
    <t>FP Rosario de Lerma. Dr. Escalante</t>
  </si>
  <si>
    <t>FP UNICROH Dra. Guzman</t>
  </si>
  <si>
    <t>FP VFyG 3 - Gabriela Davalos</t>
  </si>
  <si>
    <t>FP VFyG 4 - Elisa Perez</t>
  </si>
  <si>
    <t>FP VFyG 5. Dra. Liliana Jorge</t>
  </si>
  <si>
    <t>FP VFG 4 Dra. Elisa Perez</t>
  </si>
  <si>
    <t>FP VFG 2 Dra Sodero Calvet</t>
  </si>
  <si>
    <t xml:space="preserve">FP 2 - Ramos Ossorio </t>
  </si>
  <si>
    <t>FP 3 - Dr. Cordoba</t>
  </si>
  <si>
    <t>FP 4  Dr. Facundo Ruiz de los Llanos</t>
  </si>
  <si>
    <t>FP VFyG 2 - Dra. Sodero Calvet</t>
  </si>
  <si>
    <t>FP 6 Dr. Analía Adet Figueroa</t>
  </si>
  <si>
    <t>UDIS 1 - Federico Obeid</t>
  </si>
  <si>
    <t>FP D.S.Lorenzo - Ramos Ossorio (i)</t>
  </si>
  <si>
    <t>FP D.S.Lorenzo - Analía Alisio</t>
  </si>
  <si>
    <t>DOP 13 - Dra. Sandra Ortiz</t>
  </si>
  <si>
    <t>Dr. Rambert Alexis Rios (particular)</t>
  </si>
  <si>
    <t>Libertad con medidas sustitutivas</t>
  </si>
  <si>
    <t>Libertad</t>
  </si>
  <si>
    <t>Probation</t>
  </si>
  <si>
    <t>Juicio Abreviado - Efectiva</t>
  </si>
  <si>
    <t>Juicio Abreviado - Condicional y reglas de conducta</t>
  </si>
  <si>
    <t>Difiere Resolución</t>
  </si>
  <si>
    <t>Juicio Abreviado - Sobreseimiento</t>
  </si>
  <si>
    <t>Suspensión de juicio a prueba</t>
  </si>
  <si>
    <t>Audiencia cancelada - inimputabilidad</t>
  </si>
  <si>
    <t>Suspendida por pedido de las partes</t>
  </si>
  <si>
    <t>Suspendida por otras causas procesales</t>
  </si>
  <si>
    <t>Prision domiciliaria</t>
  </si>
  <si>
    <t>RESULTADO</t>
  </si>
  <si>
    <t>ESTADISTICA - ESPECIE</t>
  </si>
  <si>
    <t>ESTADISTICA GENERO</t>
  </si>
  <si>
    <t>Suspendida</t>
  </si>
  <si>
    <t xml:space="preserve"> _</t>
  </si>
  <si>
    <t xml:space="preserve">Prisión domiciliaria - Medidas sustitutivas: </t>
  </si>
  <si>
    <t>Dr. Atilio Diaz (particular)</t>
  </si>
  <si>
    <t xml:space="preserve"> 11:30</t>
  </si>
  <si>
    <t>OBSERVACIONES</t>
  </si>
  <si>
    <t>ESTADISTICA OBSERVACIONES</t>
  </si>
  <si>
    <t>Suspensión por incomparecencia de las partes</t>
  </si>
  <si>
    <t>HORA REAL INICIO</t>
  </si>
  <si>
    <t>HORA REAL FINAL</t>
  </si>
  <si>
    <t>Difiere Resolución - PRUEBA</t>
  </si>
  <si>
    <t>Dr. Nicolas Fernando Gòmez MP 6413 (particular)</t>
  </si>
  <si>
    <t>Dr. Nicolas Fernando Gomez  (particular)</t>
  </si>
  <si>
    <t>Dr. Olver Martinez MP 1654  (particular)</t>
  </si>
  <si>
    <t>Dr. Cristian Maximiliano Soto MP 7443  (particular)</t>
  </si>
  <si>
    <t>Dr. Santiago Pedroza  (particular)</t>
  </si>
  <si>
    <t>ALANCAY</t>
  </si>
  <si>
    <t>LOPEZ</t>
  </si>
  <si>
    <t>Dr. Agustin Sola Garrido</t>
  </si>
  <si>
    <t>TECNICO ASIGNADO</t>
  </si>
  <si>
    <t>UDIS 4 - Dr. Pablo Rivero</t>
  </si>
  <si>
    <t>182995/23</t>
  </si>
  <si>
    <t>184619/23</t>
  </si>
  <si>
    <t xml:space="preserve"> 08:45</t>
  </si>
  <si>
    <t>DOP 14 - Dra. Marcela Robles</t>
  </si>
  <si>
    <t>184725/23</t>
  </si>
  <si>
    <t>Dr. Miguel Fernando Paez MP5288</t>
  </si>
  <si>
    <t>ALFREDO</t>
  </si>
  <si>
    <t>WALTER</t>
  </si>
  <si>
    <t>FACUNDO</t>
  </si>
  <si>
    <t>NELDO</t>
  </si>
  <si>
    <t>MARTINA</t>
  </si>
  <si>
    <t>DOP 16 - Dra. Celeste Barboza (auxiliar)</t>
  </si>
  <si>
    <t>ASISTENCIA A LA VICTIMA</t>
  </si>
  <si>
    <t>NOTIFICACIONES</t>
  </si>
  <si>
    <t>183065/23</t>
  </si>
  <si>
    <t xml:space="preserve"> 09:30</t>
  </si>
  <si>
    <t>Dra. Zunino</t>
  </si>
  <si>
    <t>Dr. Zerdan</t>
  </si>
  <si>
    <t>Dr. Mascarello</t>
  </si>
  <si>
    <t>Dra. Montoya</t>
  </si>
  <si>
    <t>Dr. Troyano</t>
  </si>
  <si>
    <t>Dra. Espeche</t>
  </si>
  <si>
    <t>Tribunal de Juicio - Sala VII</t>
  </si>
  <si>
    <t>Tribunal de Juicio - Sala II</t>
  </si>
  <si>
    <t>Tribunal de Juicio - Sala IV</t>
  </si>
  <si>
    <t>184674/23</t>
  </si>
  <si>
    <t>184816/23</t>
  </si>
  <si>
    <t>ORDEN DE CARGA</t>
  </si>
  <si>
    <t>Dr. Oropeza Martin Alfredo</t>
  </si>
  <si>
    <t>Dra. Andrea Matilde Godoy MP Nº 5459</t>
  </si>
  <si>
    <t>TJ Sala II</t>
  </si>
  <si>
    <t>Dr. Romani Oscar Alejandro MP Nº 2338</t>
  </si>
  <si>
    <t>Dra. Liliana Aquino (particular)</t>
  </si>
  <si>
    <t>FP Cerrilos - AUX. Dra. Valeria Tanjilevich</t>
  </si>
  <si>
    <t>Dr. Luis María Agüero Molina (particular)</t>
  </si>
  <si>
    <t>Dra. Alicia Caprini (particular)</t>
  </si>
  <si>
    <t>184698/23</t>
  </si>
  <si>
    <t>GAR 3</t>
  </si>
  <si>
    <t>Dra. Gabirela Eugenia Duarte MP 3521</t>
  </si>
  <si>
    <t>Dr. Humacata Lautaro Ezequiel MP 6747</t>
  </si>
  <si>
    <t>180288/22</t>
  </si>
  <si>
    <t>Dra. Cris Morales Socaza MP 5234</t>
  </si>
  <si>
    <t>DOP 2 Dr. Federico Andres Gutierrez (interino)</t>
  </si>
  <si>
    <t>Dr. Poclava, Ricardo Adrián</t>
  </si>
  <si>
    <t>Dr. Arancibia Marcelo Eduardo MP 429</t>
  </si>
  <si>
    <t>185014/23</t>
  </si>
  <si>
    <t>Dr. Rodriguez Osvaldo Simon MP 4129</t>
  </si>
  <si>
    <t>Dr. Gilabert Juan Nahuel MP 7050</t>
  </si>
  <si>
    <t>Dr. Martin D'Andrea MP 5875 y Federico Gensei Higa MP 6342</t>
  </si>
  <si>
    <t>Dr. Gaston Herrera MP 6141</t>
  </si>
  <si>
    <t>184821/23</t>
  </si>
  <si>
    <t xml:space="preserve"> 09:45</t>
  </si>
  <si>
    <t>185001/23</t>
  </si>
  <si>
    <t>FP UDIS 1 - Dr. Rodrigo Esquiu (auxiliar</t>
  </si>
  <si>
    <t>Dr. Federico Gensei Higa MP 6342</t>
  </si>
  <si>
    <t>Tribunal de Juicio - Sala V</t>
  </si>
  <si>
    <t>vocalia 3</t>
  </si>
  <si>
    <t>JUI 5</t>
  </si>
  <si>
    <t>Dr. Federico Diez</t>
  </si>
  <si>
    <t>Tibunal de Juicio - Sala VII</t>
  </si>
  <si>
    <t>vocalia 1</t>
  </si>
  <si>
    <t>Dr. Gerardo Omar Gonzalez MP 1713</t>
  </si>
  <si>
    <t>Juicio Abreviado - Efectiva para uno y Condicional para otro</t>
  </si>
  <si>
    <t>Dr. Mario Fabian Torrente - MP 2618</t>
  </si>
  <si>
    <t>185170/23</t>
  </si>
  <si>
    <t>185176/23</t>
  </si>
  <si>
    <t>185173/23</t>
  </si>
  <si>
    <t>Dra. Ortin Diaz Luciana MP 6318</t>
  </si>
  <si>
    <t>185125/23</t>
  </si>
  <si>
    <t>Dr. Hector Emiliano Vazquez MP 6188</t>
  </si>
  <si>
    <t>Dra. Viviana Tinte MP 5307</t>
  </si>
  <si>
    <t>Dra. Martinez Gabriela MP 6034</t>
  </si>
  <si>
    <t>Dra. Romero Nayar</t>
  </si>
  <si>
    <t>Dr. Pedro Ibarra MP 4313 y Marcelo Fernandez MP 5648</t>
  </si>
  <si>
    <t>Dr. Vercellino Vicente Federico MP Nº 5839</t>
  </si>
  <si>
    <t>Tribunal de Juicio - Sala I</t>
  </si>
  <si>
    <t>vacio</t>
  </si>
  <si>
    <t>Dr. Armiñana</t>
  </si>
  <si>
    <t>Impugnacion - Sala IV</t>
  </si>
  <si>
    <t>vocalia2</t>
  </si>
  <si>
    <t>Dr. Gabriel Roberts MP 2108</t>
  </si>
  <si>
    <t>Dr. Cesar Caro Colomo MP 3038 y Dr. Gabriel Roberts MP 2108</t>
  </si>
  <si>
    <t>185016/23</t>
  </si>
  <si>
    <t>FP Ciberdelincuencia - Dra. Sofia Cornejo</t>
  </si>
  <si>
    <t>Dr. Oscar F. Vilte MP 2200</t>
  </si>
  <si>
    <t>Dr. Javier Aranibar</t>
  </si>
  <si>
    <t>185250/23</t>
  </si>
  <si>
    <t>182999/23</t>
  </si>
  <si>
    <t>Dr. Pablo Alberto Gonzalez MP 4302</t>
  </si>
  <si>
    <t xml:space="preserve"> 10:45</t>
  </si>
  <si>
    <t>185370/23</t>
  </si>
  <si>
    <t>185354/23</t>
  </si>
  <si>
    <t>185355/23</t>
  </si>
  <si>
    <t>Dr. Diego Herrera MP 3615</t>
  </si>
  <si>
    <t>Dr. Agustín Aguilera ( M.P. 6017) y Noelia Solange Shubert (M.P. 7199)</t>
  </si>
  <si>
    <t>DOP 5 - Martha Lopez</t>
  </si>
  <si>
    <t>Dr. Carlos Gutierrez (particular) MP 6379</t>
  </si>
  <si>
    <t>Dr.  JORGE ESTEBAN NIEVA HALVARO N° 5276</t>
  </si>
  <si>
    <t>DOP 6 - Lopez Figueroa, Jaime</t>
  </si>
  <si>
    <t>183911/23</t>
  </si>
  <si>
    <t>Dr. Mario César López Escotorin MP 1012</t>
  </si>
  <si>
    <t>Sobreseimiento</t>
  </si>
  <si>
    <t>185081/23</t>
  </si>
  <si>
    <t>GAR 5</t>
  </si>
  <si>
    <t>vocalia 2</t>
  </si>
  <si>
    <t>185371/23</t>
  </si>
  <si>
    <t>DOP 7 - Dr. Marcelo Di Bez</t>
  </si>
  <si>
    <t>Dr. Cruz Orscar Alberto MP 3708</t>
  </si>
  <si>
    <t>Dr. Montalbetti Dante Humberto MP 2670</t>
  </si>
  <si>
    <t>Dr. Federico Magno (particular)</t>
  </si>
  <si>
    <t>Dr. Luis Fernando Díaz Sabalaga MP 4432</t>
  </si>
  <si>
    <t xml:space="preserve"> 12:30</t>
  </si>
  <si>
    <t>Dra. Diaz Saluagha</t>
  </si>
  <si>
    <t>Dr. Sebastian Fernando Ramos MP 5591</t>
  </si>
  <si>
    <t>Dr. Lopez Brizzio Alvaro MP 6458</t>
  </si>
  <si>
    <t>Dr. Americo Dante Díaz MP 4653</t>
  </si>
  <si>
    <t>Dr. Echenique Juan Manuel Pizarro MP 5375</t>
  </si>
  <si>
    <t>185397/23</t>
  </si>
  <si>
    <t>Dr. Cesar Chavez MP 3130</t>
  </si>
  <si>
    <t>185400/23</t>
  </si>
  <si>
    <t>GAP 2 - Dr. Gabriel Gonzalez</t>
  </si>
  <si>
    <t>Antes: Dra. Siemensen 01/08/23</t>
  </si>
  <si>
    <t>FP VFyG 1 - Dra. Siemsen de Bielke</t>
  </si>
  <si>
    <t>Antes: Dra. Geria 01/08/23</t>
  </si>
  <si>
    <t>FP DD HH - Dra. Geria</t>
  </si>
  <si>
    <t>Antes: Dr. Gabriel Gonzalez 01/08/23</t>
  </si>
  <si>
    <t>FP UDIS 3 - Dra. Sodero Calvet</t>
  </si>
  <si>
    <t>Antes: Dra. Toranzo 01/08/23</t>
  </si>
  <si>
    <t>Dr. Diaz Aranda Alberto Nicolas MP 7308</t>
  </si>
  <si>
    <t>Dr. Quinteros Victor Mario MP 1591</t>
  </si>
  <si>
    <t>184453/23</t>
  </si>
  <si>
    <t>Dr. Damian Estrada</t>
  </si>
  <si>
    <t>DOP 8 - Dra. Maria Cecilia Martinez</t>
  </si>
  <si>
    <t>Dr. Fernando Diaz Zabalaga MP 4432</t>
  </si>
  <si>
    <t>185323/23</t>
  </si>
  <si>
    <t>185625/23</t>
  </si>
  <si>
    <t>185639/23</t>
  </si>
  <si>
    <t>185641/23</t>
  </si>
  <si>
    <t>184901/23</t>
  </si>
  <si>
    <t>Dr. Escudero David M.P 1389</t>
  </si>
  <si>
    <t>185649/23</t>
  </si>
  <si>
    <t>185617/23</t>
  </si>
  <si>
    <t>DOP 9</t>
  </si>
  <si>
    <t>185448/23</t>
  </si>
  <si>
    <t>Dr. Roberto Adrian Reyes</t>
  </si>
  <si>
    <t>185557/23</t>
  </si>
  <si>
    <t>185682/23</t>
  </si>
  <si>
    <t>Dr. Romano Luciano MP 5515</t>
  </si>
  <si>
    <t>Dr GUALPA Raul Adrian MP 4183 - Dr. VIZGARRA CAMPOS Carlos Marcelo MP 5858</t>
  </si>
  <si>
    <t>185744/23</t>
  </si>
  <si>
    <t>185654/23</t>
  </si>
  <si>
    <t>Dr. Aramayo Adrian Exequiel MP 6243</t>
  </si>
  <si>
    <t>177372/22</t>
  </si>
  <si>
    <t>Dr. Llimos Martinis Javier Ignacio MP 5319</t>
  </si>
  <si>
    <t>185688/23</t>
  </si>
  <si>
    <t>Dra Maria Florencia Maggio MP 6273</t>
  </si>
  <si>
    <t>Dr. Eduardo Jesús Romani MP 2564</t>
  </si>
  <si>
    <t>Dras. Sara Natalia Herrera y Rocio Luciana Gimenez</t>
  </si>
  <si>
    <t>185786/23</t>
  </si>
  <si>
    <t>Dra. Alfonsina Erazu</t>
  </si>
  <si>
    <t>185868/23</t>
  </si>
  <si>
    <t>185860/23</t>
  </si>
  <si>
    <t>185940/23</t>
  </si>
  <si>
    <t>Dr. Marcelo Tobio MP 1680</t>
  </si>
  <si>
    <t>185901/23</t>
  </si>
  <si>
    <t>185935/23</t>
  </si>
  <si>
    <t>Dra. Luciana Andolfi MP 5714</t>
  </si>
  <si>
    <t>183127/23</t>
  </si>
  <si>
    <t>185791/23</t>
  </si>
  <si>
    <t>185263/23</t>
  </si>
  <si>
    <t>185960/23</t>
  </si>
  <si>
    <t>185799/23</t>
  </si>
  <si>
    <t>185865/23</t>
  </si>
  <si>
    <t>185880/23</t>
  </si>
  <si>
    <t>185621/23</t>
  </si>
  <si>
    <t>Dra. Albornoz, Laura de los Ángeles (6494)</t>
  </si>
  <si>
    <t>185915/23</t>
  </si>
  <si>
    <t>185309/23</t>
  </si>
  <si>
    <t>Dr. Santucho, Luis Angel MP 7223 y ARAMAYO, Adrina Exequiel</t>
  </si>
  <si>
    <t>Dr. Aguilera Prieto Fernando Agustina MP 6017</t>
  </si>
  <si>
    <t>Dr. Roberto Tomas Aranda y Dr. Facundo Gonzalo Monzon</t>
  </si>
  <si>
    <t>185872/23</t>
  </si>
  <si>
    <t>185923/23</t>
  </si>
  <si>
    <t>Dr. Jorge Antonio Causarano MP 2729</t>
  </si>
  <si>
    <t>185803/23</t>
  </si>
  <si>
    <t>185793/23</t>
  </si>
  <si>
    <t>Dr. Agustin Krause MP 6463</t>
  </si>
  <si>
    <t>Dr. Ramos Gonzalo Emanuel MP 6693</t>
  </si>
  <si>
    <t xml:space="preserve">Dr. Sola Garrido  </t>
  </si>
  <si>
    <t>185977/23</t>
  </si>
  <si>
    <t>Florencia Temporetti MP 5922</t>
  </si>
  <si>
    <t>185565/23</t>
  </si>
  <si>
    <t>186308/23</t>
  </si>
  <si>
    <t>179875/22</t>
  </si>
  <si>
    <t>Dr. Damaris Pareyra Rivera MP 6814</t>
  </si>
  <si>
    <t>Dr. Filipovich, Ricardo MP 6617</t>
  </si>
  <si>
    <t>186249/23</t>
  </si>
  <si>
    <t>Dra. Ana Irazusta</t>
  </si>
  <si>
    <t>Dra. Cecilia Soto</t>
  </si>
  <si>
    <t>Dr. Molina, Marcos MP 4058</t>
  </si>
  <si>
    <t>186192/23</t>
  </si>
  <si>
    <t>186040/23</t>
  </si>
  <si>
    <t>Dr. Belen Rodriguez Alzogaray MP 5118</t>
  </si>
  <si>
    <t>186428/23</t>
  </si>
  <si>
    <t>186384/23</t>
  </si>
  <si>
    <t>186435/23</t>
  </si>
  <si>
    <t>Dr. Ruben Alfaro MP 3021</t>
  </si>
  <si>
    <t>186434/23</t>
  </si>
  <si>
    <t>Dra. Villaroel Lidia Maria MP 2610</t>
  </si>
  <si>
    <t>186447/23</t>
  </si>
  <si>
    <t>Dra. Flores Toranzos</t>
  </si>
  <si>
    <t>Juicio 4 vocal 2</t>
  </si>
  <si>
    <t>Sala 1 Vocal 1</t>
  </si>
  <si>
    <t>Dr. Leonardo Feans</t>
  </si>
  <si>
    <t>Sala 1 vocal 3</t>
  </si>
  <si>
    <t>Dr. Ovejero, Jorge Javier</t>
  </si>
  <si>
    <t>Dra. Maria Eugenia Yaique MP 346</t>
  </si>
  <si>
    <t>Dr. Jose Luis Valle (MP 977) y Dra. Angelica Adriana Gonzalez (MP 3507)</t>
  </si>
  <si>
    <t>Dra. Flores Guzmán Micalea M.P. 7599</t>
  </si>
  <si>
    <t>Dr. Nicolas Juarez Campos MP 3415</t>
  </si>
  <si>
    <t>Dr. Marcelo Fernandez MP 5648</t>
  </si>
  <si>
    <t>Dra. Farias Ana Laura MP 6274 y Dra. Bravo Celesta Agustina MP 6298</t>
  </si>
  <si>
    <t>177583/22</t>
  </si>
  <si>
    <t>186516/23</t>
  </si>
  <si>
    <t>186506/23</t>
  </si>
  <si>
    <t>Dra. Pojasi, Valentina MP 7335</t>
  </si>
  <si>
    <t>Dr. Rodiguez Jose Segundo MP 3033</t>
  </si>
  <si>
    <t>Dr. Lanzalot Velazco Juan Manuel MP 5918</t>
  </si>
  <si>
    <t>Dr. Soto Cristian Maximiliano MP 7443</t>
  </si>
  <si>
    <t>Dr. CARRASCO Andres David MP 5240</t>
  </si>
  <si>
    <t>Dra. Flores Mejía, Laura MP Nº 5780</t>
  </si>
  <si>
    <t>Dr. Rodriguez, Barrionuevo MP 6317</t>
  </si>
  <si>
    <t>Dr. Mario A. Farafan MP Nº 2998</t>
  </si>
  <si>
    <t>Dr. Orfeo Maggio MP 2265</t>
  </si>
  <si>
    <t>Dr. Gonzalo Quinteros Navarro MP 4921</t>
  </si>
  <si>
    <t>Dr. Maximiliano Chavez Toledo MP 6811</t>
  </si>
  <si>
    <t>Dr. Javier Ignacio Llimós Martinis MP 5319</t>
  </si>
  <si>
    <t>186876/23</t>
  </si>
  <si>
    <t>FP VFYG Nº 1 - Dra. Simensen de Bielke</t>
  </si>
  <si>
    <t xml:space="preserve"> </t>
  </si>
  <si>
    <t xml:space="preserve"> 10:07</t>
  </si>
  <si>
    <t>184538/23</t>
  </si>
  <si>
    <t>FP 6 - Dr. Adet Figueroa</t>
  </si>
  <si>
    <t xml:space="preserve"> 09:50</t>
  </si>
  <si>
    <t>184581/23</t>
  </si>
  <si>
    <t>FP UDIS 3 - Dra. Lujan Sodero Calvet</t>
  </si>
  <si>
    <t xml:space="preserve"> 13:17</t>
  </si>
  <si>
    <t>180726/22</t>
  </si>
  <si>
    <t>RIOS Ivan Emanuel - RUIZ Ernesto Julio Ismael - SERVANTES Lucas Alberto por ROBO TRIPLEMENTE CALIFICADO por ser Cometido en Poblado y en Banda - Mediante Lesiones Graves y Con el Uso de Arma</t>
  </si>
  <si>
    <t>FP UDIS 4 - Dr. Pablo Rivero</t>
  </si>
  <si>
    <t xml:space="preserve"> 10:13</t>
  </si>
  <si>
    <t>176556/22</t>
  </si>
  <si>
    <t xml:space="preserve"> 09:54</t>
  </si>
  <si>
    <t>184439/23</t>
  </si>
  <si>
    <t>Dr. Herrera, Gastón MP Nº 6141</t>
  </si>
  <si>
    <t>177494/22</t>
  </si>
  <si>
    <t>FP UFINAR - Dr. Torres Rublet</t>
  </si>
  <si>
    <t xml:space="preserve"> 09:47</t>
  </si>
  <si>
    <t>184550/23</t>
  </si>
  <si>
    <t>FP VFYG 5 - Dra. Liliana Jorge</t>
  </si>
  <si>
    <t xml:space="preserve"> 10:04</t>
  </si>
  <si>
    <t>182448/23</t>
  </si>
  <si>
    <t>186640/23</t>
  </si>
  <si>
    <t>LIQUIN Miguel Angel pr Abuso Sexual Gravemente Ultrajante por la Duracion en el Tiemop Agravado por el Vinculo y la Guarda en perj. De la menor ALL - denuncia Monica Silvina Brito</t>
  </si>
  <si>
    <t xml:space="preserve"> 09:57</t>
  </si>
  <si>
    <t>184427/23</t>
  </si>
  <si>
    <t>FP D.E.C - Dra. Ana Inés Salinas Odorisio</t>
  </si>
  <si>
    <t>181982/22</t>
  </si>
  <si>
    <t>Dr. Facundo Salim MP Nº 6533</t>
  </si>
  <si>
    <t>Defensa</t>
  </si>
  <si>
    <t>Imputado</t>
  </si>
  <si>
    <t>Querellante</t>
  </si>
  <si>
    <t>Vencimiento</t>
  </si>
  <si>
    <t>Asesoria de menore e incapces Nº 4</t>
  </si>
  <si>
    <t xml:space="preserve"> 08:48</t>
  </si>
  <si>
    <t>186602/23</t>
  </si>
  <si>
    <t xml:space="preserve"> 08:44</t>
  </si>
  <si>
    <t>182236/23</t>
  </si>
  <si>
    <t>181586/22</t>
  </si>
  <si>
    <t>186664/23</t>
  </si>
  <si>
    <t>PRESO</t>
  </si>
  <si>
    <t>186928/23</t>
  </si>
  <si>
    <t>BARRERA, ANDREA PAOLA POR ESTAFA, en perjuicio de Diaz la Mata, Tania Karina</t>
  </si>
  <si>
    <t>182421/23</t>
  </si>
  <si>
    <t>08.00</t>
  </si>
  <si>
    <t>186716/23</t>
  </si>
  <si>
    <r>
      <t>PRESO</t>
    </r>
    <r>
      <rPr>
        <sz val="10"/>
        <rFont val="Arial"/>
        <family val="2"/>
      </rPr>
      <t xml:space="preserve"> AGUILAR, ROBERTO EDUARDO por hurto en grado de tentativa en perjuicio de Carrizo, Daniel Esteban</t>
    </r>
  </si>
  <si>
    <t xml:space="preserve"> 08:06</t>
  </si>
  <si>
    <t>163976/20</t>
  </si>
  <si>
    <t>GOROSITO Romina Elizabeth por Estafa y Asociaci{on Ilícita en Concurso real en perj. De SANDOVAL Teresa Ofelia</t>
  </si>
  <si>
    <t>Dr. Cristian Soto MP 7443</t>
  </si>
  <si>
    <t>186437/23</t>
  </si>
  <si>
    <r>
      <t>PRESO</t>
    </r>
    <r>
      <rPr>
        <sz val="10"/>
        <rFont val="Arial"/>
        <family val="2"/>
      </rPr>
      <t xml:space="preserve"> ORTIZ SAMANIEGO Axel  Exequiel por TENENCIA DE ESTUPEFACIENTES con fines de comercializacion en perj.</t>
    </r>
  </si>
  <si>
    <t>175624/21</t>
  </si>
  <si>
    <t>JAIME Jesus Antonio por HURTO SIMPEL en Grado de Tentativa en perj. Sowa Jorge Aldo</t>
  </si>
  <si>
    <t>186420/23</t>
  </si>
  <si>
    <t>dop 15 - Dr. Bonetto</t>
  </si>
  <si>
    <r>
      <t>PRESO</t>
    </r>
    <r>
      <rPr>
        <sz val="10"/>
        <rFont val="Arial"/>
        <family val="2"/>
      </rPr>
      <t xml:space="preserve"> BENITEZ Maximliano Thaiel por ROBO SIMPLE en perj. De ERAZO Rene Federico</t>
    </r>
  </si>
  <si>
    <r>
      <t>PRESO</t>
    </r>
    <r>
      <rPr>
        <sz val="10"/>
        <rFont val="Arial"/>
        <family val="2"/>
      </rPr>
      <t xml:space="preserve"> GARCIA Luciano Gabirel por Abuso Sexual con Acceso Carnal en perj. De RODRIGUEZ Yanet Elizabeth</t>
    </r>
  </si>
  <si>
    <r>
      <t>PRESO</t>
    </r>
    <r>
      <rPr>
        <sz val="10"/>
        <rFont val="Arial"/>
        <family val="2"/>
      </rPr>
      <t xml:space="preserve"> SUAREZ Marcos Samuel y PINO José Edgardo Gabriel por Robo en pej. De Guayta Jorge Lautaro </t>
    </r>
  </si>
  <si>
    <r>
      <t>PRESO</t>
    </r>
    <r>
      <rPr>
        <sz val="10"/>
        <rFont val="Arial"/>
        <family val="2"/>
      </rPr>
      <t xml:space="preserve"> CHOCOVARE Carlos Alberto por COACCION AGRAVADA y Desobediencia Judicial en perj. De FLORES Sandra Noemi</t>
    </r>
  </si>
  <si>
    <r>
      <t>PRESO</t>
    </r>
    <r>
      <rPr>
        <sz val="10"/>
        <rFont val="Arial"/>
        <family val="2"/>
      </rPr>
      <t xml:space="preserve"> ESPINOZA PAREDES Daniela Alejandra y CRUZ Sebastian por ESTAFA REITERADAS (14 hechos) y FALSIFICACION DE INSTRUMENTO PÚBLICO (14 hechos) en perj. De Viviana Vernoica Vidaurre y otros</t>
    </r>
  </si>
  <si>
    <r>
      <t>PRESO</t>
    </r>
    <r>
      <rPr>
        <sz val="10"/>
        <rFont val="Arial"/>
        <family val="2"/>
      </rPr>
      <t xml:space="preserve"> BRAVO Esteban Cristian y GUTIERREZ Gerogina Cecilia</t>
    </r>
  </si>
  <si>
    <r>
      <t>PRESO</t>
    </r>
    <r>
      <rPr>
        <sz val="10"/>
        <rFont val="Arial"/>
        <family val="2"/>
      </rPr>
      <t xml:space="preserve"> GIMENEZ Angel Oscar Gabriel por ABUSO SEXUAL GRAVEMENTE ULTRAJANTE AGRAVADO POR LA GUARDA Y LA CONVIVENCIA CON MENOR DE DIECICOCHO años en Concurso Real con Abuso Sexual Con Acceso Carnal Agravado por la Guarda y la Conviviencia Preexistente con Menores de Diecicohco Años en perj. de la menor ASGG - denuncia Nidia del Valle Maizares</t>
    </r>
  </si>
  <si>
    <r>
      <t>PRESO</t>
    </r>
    <r>
      <rPr>
        <sz val="10"/>
        <rFont val="Arial"/>
        <family val="2"/>
      </rPr>
      <t xml:space="preserve"> GARCIA Ramon Agustin por Violacion de Domicilio - Desobediencia Judicial - Privacion Ilegitima de la Libertad Agravada - Amenazas y Amenazas con Arma Blanca - Daños y Lesiones leves Agravadas por la Relacion de Pareja y por Género en perj. De Correa Vidaurre María de los Angeles</t>
    </r>
  </si>
  <si>
    <r>
      <t>PRESO</t>
    </r>
    <r>
      <rPr>
        <sz val="10"/>
        <rFont val="Arial"/>
        <family val="2"/>
      </rPr>
      <t xml:space="preserve"> SARAPURA, CRISTIAN FABIAN POR ABUSO SEXUAL CON ACCESO CARNAL (DOS HECHOS) EN CONCURSO REAL CON ABUSO SEXUAL SIMPLE (DOS HECHOS) EN PERJUICIO DE Acosta, Griselda Noemi</t>
    </r>
  </si>
  <si>
    <r>
      <t>PRESO</t>
    </r>
    <r>
      <rPr>
        <sz val="10"/>
        <rFont val="Arial"/>
        <family val="2"/>
      </rPr>
      <t xml:space="preserve"> BORJA, JUAN RAMON POR ABUSO SEXUAL CON ACCESO CARNAL AGRAVADO POR EL VINCULO Y SER COMETIDO CONTRA UNA MENOR</t>
    </r>
  </si>
  <si>
    <r>
      <t>PRESO</t>
    </r>
    <r>
      <rPr>
        <sz val="10"/>
        <rFont val="Arial"/>
        <family val="2"/>
      </rPr>
      <t xml:space="preserve"> RUIZ, ERNESTO JULIO ISMAEL POR ROBO SIMPLE Y AMENAZAS EN CONCURSO REAL en perjuicio de Quinteros, Carlos Alejandro y acumulada 180726</t>
    </r>
  </si>
  <si>
    <r>
      <t>PRESO</t>
    </r>
    <r>
      <rPr>
        <sz val="10"/>
        <rFont val="Arial"/>
        <family val="2"/>
      </rPr>
      <t xml:space="preserve"> SALAS Alberto Pantaleon por Abuso Sexual con Acceso Carnal en perj. De Vilte Nora Matilde</t>
    </r>
  </si>
  <si>
    <r>
      <t>PRESO</t>
    </r>
    <r>
      <rPr>
        <sz val="10"/>
        <rFont val="Arial"/>
        <family val="2"/>
      </rPr>
      <t xml:space="preserve"> LAGOS Melisa Marianela - GUTIERREZ Federico Ramón - ISAIRE Tomas Francisco Nahuel  por ttv.  De ROBO en poblado y en Banda en perj. De Lopez Edgardo Rolando y acum 159834/19</t>
    </r>
  </si>
  <si>
    <r>
      <t>PRESO</t>
    </r>
    <r>
      <rPr>
        <sz val="10"/>
        <rFont val="Arial"/>
        <family val="2"/>
      </rPr>
      <t xml:space="preserve"> VILLALBA, JULIO MARTIN POR EL DELITO DE ABUSO SEXUAL GRAVEMENTE ULTRAJANTE POR LA CIRCUNSTANCIA DE SU REALIZACION Y REITERACION AGRAVADO POR LA GUARDA</t>
    </r>
  </si>
  <si>
    <r>
      <t>PRESO</t>
    </r>
    <r>
      <rPr>
        <sz val="10"/>
        <rFont val="Arial"/>
        <family val="2"/>
      </rPr>
      <t xml:space="preserve"> CARI, FABIAN JUAN CARLOS POR HOMICIDIO TRIPLEMENTE CALIFICADO Y ABUSO SEXUAL CON ACCESO CARNAL, VILTE, JORGE JOSE MARIA POR ENCUBRIMIENTO AGRAVADO EN PERJUICIO DE Cardozo, lorena Alejandra</t>
    </r>
  </si>
  <si>
    <r>
      <t>PRESO</t>
    </r>
    <r>
      <rPr>
        <sz val="10"/>
        <rFont val="Arial"/>
        <family val="2"/>
      </rPr>
      <t xml:space="preserve"> CACERES MALDONADO, KEVIN EDUARDO POR DESOBEDIENCIA JUDICIAL en perjuicio de Ontiveros , Julia Estela</t>
    </r>
  </si>
  <si>
    <r>
      <t>PRESO</t>
    </r>
    <r>
      <rPr>
        <sz val="10"/>
        <rFont val="Arial"/>
        <family val="2"/>
      </rPr>
      <t xml:space="preserve"> BUMLAEN Edgar Antonio por Robo en Poblado y en Banda en Perj. De Ivana Beatriz Sosa</t>
    </r>
  </si>
  <si>
    <r>
      <t>PRESO</t>
    </r>
    <r>
      <rPr>
        <sz val="10"/>
        <rFont val="Arial"/>
        <family val="2"/>
      </rPr>
      <t xml:space="preserve"> FLORES, VANESA DE LOS ANGELES; DIPRIMO, DANIELA DEL CARMEN; CORIA, ADRIANA ELIZABETH; DIPRIMO SEBASTIAN JORGE; FLORES, JOSE IGNACIO; QUISPE, SAMUEL ANTONIO; QUISPE MARQUEZ, IGNACIO NICOLAS POR COMERCIALIZACION DE ESTUPEFACIENTES AGRAVADA -FP UFINAR</t>
    </r>
  </si>
  <si>
    <r>
      <t>PRESO</t>
    </r>
    <r>
      <rPr>
        <sz val="10"/>
        <rFont val="Arial"/>
        <family val="2"/>
      </rPr>
      <t xml:space="preserve"> MERCADO, ANGEL ALFREDO POR ROBO CALIFICADO en perjuicio de Ríos, Milagros del Valle</t>
    </r>
  </si>
  <si>
    <r>
      <t>PRESO</t>
    </r>
    <r>
      <rPr>
        <sz val="10"/>
        <rFont val="Arial"/>
        <family val="2"/>
      </rPr>
      <t xml:space="preserve"> ROJAS SALVA, JUAN CARLOS POR DIFUSION Y PRODUCION DE MATERIAL DE ABUSO Y/O EXPLOTACION SEXUAL INFANTIL AGRAVADA POR LA PARTICIPACION DE MENORES DE 13 AÑOS - ABUSO SEXUAL GRAVEMENTE ULTRAJANTE (02 HECHOS) EN PERJUICIO DE L.A.L. (08) - ABUSO SEXUAL CON ACCESO CARNAL (02 HECHOS) EN PERJUICIO DE M.J.E. (12) Y ABUSO SEXUAL SIMPLE, TODO EN CONCURSO REAL - A.V. 81/23 - FISCAL CIBERDELINCUENCIA</t>
    </r>
  </si>
  <si>
    <r>
      <t>PRESO</t>
    </r>
    <r>
      <rPr>
        <sz val="10"/>
        <rFont val="Arial"/>
        <family val="2"/>
      </rPr>
      <t xml:space="preserve"> SULCA, OSCAR OMAR POR LESIONES LEVES AGRAVADAS POR EL USO DE ARMA DE FUEGO Y ABUSO DE ARMAS, TODO EN CONCURSO IDEAL; EN PERJUICIO DE F.L.C. (16) - DEN: CORDOBA, MARTA DEL VALLE</t>
    </r>
  </si>
  <si>
    <t>Dr. Javier N. Massafra MP 1232</t>
  </si>
  <si>
    <r>
      <t>PRESO</t>
    </r>
    <r>
      <rPr>
        <sz val="10"/>
        <rFont val="Arial"/>
        <family val="2"/>
      </rPr>
      <t xml:space="preserve"> GODOY, PABLO EMANUEL POR PRIVACION ILEGITIMA DE LA LIBERATD, DESOBEDIENCIA JUDICIAL,</t>
    </r>
  </si>
  <si>
    <t>Dr. Ricardo Adrián Poclava MP 3103</t>
  </si>
  <si>
    <r>
      <t>PRESO</t>
    </r>
    <r>
      <rPr>
        <sz val="10"/>
        <rFont val="Arial"/>
        <family val="2"/>
      </rPr>
      <t xml:space="preserve"> ROBLES, MAURICIO OSVALDO y PEREZ, NICOLAS ALEJANDRO POR ROBO SIMPLE (DOS HECHOS) EN CONCURSO REAL</t>
    </r>
  </si>
  <si>
    <t>EXPTE. EN OFICINA DEL DR. SOSA VALLEJO</t>
  </si>
  <si>
    <r>
      <t>PRESO</t>
    </r>
    <r>
      <rPr>
        <sz val="10"/>
        <rFont val="Arial"/>
        <family val="2"/>
      </rPr>
      <t xml:space="preserve"> GUTIERREZ, FELIX ANTONIO POR ABUSO SEXUAL CON ACCESO CARNAL en perjuicio de Hipolito Gutierrez</t>
    </r>
  </si>
  <si>
    <r>
      <t>PRESO</t>
    </r>
    <r>
      <rPr>
        <sz val="10"/>
        <rFont val="Arial"/>
        <family val="2"/>
      </rPr>
      <t xml:space="preserve"> RIOS Alexander Facundo Eduardo por HURTO SIMPLE y AMENAZAS CON ARMAS en Concurso Real en perj. De CAMPOS BURGOS Pablo Alberto </t>
    </r>
  </si>
  <si>
    <r>
      <t>PRESO</t>
    </r>
    <r>
      <rPr>
        <sz val="10"/>
        <rFont val="Arial"/>
        <family val="2"/>
      </rPr>
      <t xml:space="preserve"> GIL Walter Benjamin por Abuso Sexual Gravemente Ultrajante en Perj. De RODRIGUEZ Guaygua Janneth Remigia</t>
    </r>
  </si>
  <si>
    <r>
      <t>PRESO</t>
    </r>
    <r>
      <rPr>
        <sz val="10"/>
        <rFont val="Arial"/>
        <family val="2"/>
      </rPr>
      <t xml:space="preserve"> Actuaciones pertenecientes a la Causa GAR Nº 177494/22 Caratulada "DOMINGUEZ Mariela Alejandra y SULCA Javier Rodrigo por TENTENCIA DE ESTUPEFACIENTES con Fines de Comercialización</t>
    </r>
  </si>
  <si>
    <t>PAZ Pablo Andres por Lesiones Agravadas por el Género y la Relacion de Pareja en Perj. De Cabrera Gladys Erminda</t>
  </si>
  <si>
    <t>183906/23</t>
  </si>
  <si>
    <r>
      <t>PRESO</t>
    </r>
    <r>
      <rPr>
        <sz val="10"/>
        <rFont val="Arial"/>
        <family val="2"/>
      </rPr>
      <t xml:space="preserve"> LOPEZ, GABRIELA BEATRIZ POR TENENCIA DE ESTUPEFACIENTES CON FINES DE COMERCIALIZACIÒN EN PERJUICIO DE LA SALUD PUBLICA</t>
    </r>
  </si>
  <si>
    <r>
      <t>PRESO</t>
    </r>
    <r>
      <rPr>
        <sz val="10"/>
        <rFont val="Arial"/>
        <family val="2"/>
      </rPr>
      <t xml:space="preserve"> RODRIGUEZ, EMILIANO DANIEL POR VIOLACION DE DOMICILIO, ROBO, PRIVACION ILEGITIMA DE LA LIBERTAD AGRAVADA POR EL USO DE VIOLENCIA FISICA EN CONCRUSO IDEAK CIB KESUIBES LEVES AGRAVADAS POR LA RELACION PREEXISTENTE Y MEDIAR VIOLENCIA DE GENERO Y ABUSO SEXUAL CON ACCESO CARNAL</t>
    </r>
  </si>
  <si>
    <r>
      <t>PRESO</t>
    </r>
    <r>
      <rPr>
        <sz val="10"/>
        <rFont val="Arial"/>
        <family val="2"/>
      </rPr>
      <t xml:space="preserve"> TERCERO, ANGEL POR ROBO SIMPLE Y AMENAZAS EN PERJUICIO DE </t>
    </r>
  </si>
  <si>
    <r>
      <t>PRESO</t>
    </r>
    <r>
      <rPr>
        <sz val="10"/>
        <rFont val="Arial"/>
        <family val="2"/>
      </rPr>
      <t xml:space="preserve"> ESCALADA, JOSUE FACUNDO POR LOS DELITOS DE DESOBEDIENCIA JUDICIAL, LESIONES LEVES AGRAVADAS POR EL GENERO Y RELACION DE PAREJA, AMENAZA CON ARMA EN CONCURSO REAL</t>
    </r>
  </si>
  <si>
    <t xml:space="preserve"> 12:10</t>
  </si>
  <si>
    <t>185873/22</t>
  </si>
  <si>
    <r>
      <t>PRESO</t>
    </r>
    <r>
      <rPr>
        <sz val="10"/>
        <rFont val="Arial"/>
        <family val="2"/>
      </rPr>
      <t xml:space="preserve"> GUERRERO SANCHEZ, MARCOS ANTONIO POR ABUSO SEXUAL SIMPLE AGRAVADO POR SER MINISTRO DE CULTO RECONOCIDO Y ABUSO SEXUAL CON ACCESO CARNAL EN CONCRUSO REAL EN PERJUICIO DE LA SRA. SAJAMA FLAVIA</t>
    </r>
  </si>
  <si>
    <r>
      <t>PRESO</t>
    </r>
    <r>
      <rPr>
        <sz val="10"/>
        <rFont val="Arial"/>
        <family val="2"/>
      </rPr>
      <t xml:space="preserve"> GONZALEZ, GERMAN EDUARDO POR VIOLACION DE DOMICILIO, LESIONES LEVES, DESOBEDIENCIA JUDICIAL en perjuicio de Quispe, Elzabeth Graciela</t>
    </r>
  </si>
  <si>
    <t>SI</t>
  </si>
  <si>
    <t>OPOSICION (SI / NO)</t>
  </si>
  <si>
    <t>186980/23</t>
  </si>
  <si>
    <r>
      <t>PRESO</t>
    </r>
    <r>
      <rPr>
        <sz val="10"/>
        <rFont val="Arial"/>
        <family val="2"/>
      </rPr>
      <t xml:space="preserve"> SULCA. OSCAR OMAR POR EL DELITO DE TENENCIAN DE ESTUPEFACIENTES CON FINES DE COMERCIALIZACION EN PERJUICIO DE LA SALUD PUBLICA</t>
    </r>
  </si>
  <si>
    <r>
      <t>PRESO</t>
    </r>
    <r>
      <rPr>
        <sz val="10"/>
        <rFont val="Arial"/>
        <family val="2"/>
      </rPr>
      <t xml:space="preserve"> GALLARDO, CARLOS JESUS ANTONIO Y GALLARDO CARLOS ANTONIO POR AMENAZAS CON ARMA, LESIONES LEVES Y PORTACION DE ARMA DE FUEGO EN CONCURSO REAL EN PERJUICIO DE  SALVA, CLAUDA ISABEL</t>
    </r>
  </si>
  <si>
    <t>174592/23</t>
  </si>
  <si>
    <t>LIQUIN, FRANCO NAHUEL POR EL DELITO DE AMENAZAS, LESIONES DOBLEMENTE AGRAVADAS POR LA RELACION DE PAREJA PREEXISTENTE Y POR EL GENERO EN PERJUICIO DE GARCIA, DAIANA MICAELA</t>
  </si>
  <si>
    <t>PALACIOS, EZEQUIEL RAUL POR EL DELITO DE DESOBEDIENCIA JUDICIAL - TRES HECHOS - EN CONCURSO REAL EN PERJUICIO DE VALDEZ, ELBA ETELVINA</t>
  </si>
  <si>
    <t>182824/23</t>
  </si>
  <si>
    <r>
      <t>PRESO</t>
    </r>
    <r>
      <rPr>
        <sz val="10"/>
        <rFont val="Arial"/>
        <family val="2"/>
      </rPr>
      <t xml:space="preserve"> LUANA AYLEN CUELLAR POR EL DELITO DE ROBO CON ARMA EN GRADO DE TENTATIVA, AMENAZAS CON ARMA, ROBO SIMPLE Y ROBO CALIFICADO POR EL USO DE ARMA Y MARCELA MARIA JOSE MANUSO POR EL DELITO DE ROBO SIMPLE Y ROBO CALIFICADO POR EL USO DE ARMA</t>
    </r>
  </si>
  <si>
    <r>
      <t>PRESO</t>
    </r>
    <r>
      <rPr>
        <sz val="10"/>
        <rFont val="Arial"/>
        <family val="2"/>
      </rPr>
      <t xml:space="preserve"> PALMA, JUAN CARLOS POR AMENAZAS CON ARMA EN PERJUICIO DE REYES RIOS, RAMON ALEJANDRO</t>
    </r>
  </si>
  <si>
    <r>
      <t>PRESO</t>
    </r>
    <r>
      <rPr>
        <sz val="10"/>
        <rFont val="Arial"/>
        <family val="2"/>
      </rPr>
      <t xml:space="preserve"> LOPEZ. CARLOS NICASIO POR EL DELITO DE ABUSO SEXUAL CON ACECSO CARNAL AGRAVADO POR EL VINCULO, LA GUARDA Y LA CONVIVENCIA PREEXISTENTE CON UNA MENOR DE 18 AÑOS EN CONCURSO REAL</t>
    </r>
  </si>
  <si>
    <t>MARCIAL, FERNANDO ANDRES POR EL DELITO DE AMENAZAS - DOS HECHOS - Y HURTO SIMPLE EN CONCURSO REAL EN PERJUICIO DE LA SRA. MELANI ADRIANA CANDELARIA QUIROGA</t>
  </si>
  <si>
    <t>181486/23</t>
  </si>
  <si>
    <r>
      <t>PRESO</t>
    </r>
    <r>
      <rPr>
        <sz val="10"/>
        <rFont val="Arial"/>
        <family val="2"/>
      </rPr>
      <t xml:space="preserve"> QUIROGA, ROBERTO MAURICIO POR LESIONES CALIFICADAS  POR HURTO CALIFI CADAS POR PERPETRARSE CON ESCALAMIENTO EN GRADO DE TENTATIVA Y LESIONES CALIFICADAS POR SER COMETIDAS EN CONTRA DE PERSONAL POLCIAL EN CONCURSO REAL con expediente acumulado GAR Nº 185465/23 </t>
    </r>
  </si>
  <si>
    <r>
      <t>PRESO</t>
    </r>
    <r>
      <rPr>
        <sz val="10"/>
        <rFont val="Arial"/>
        <family val="2"/>
      </rPr>
      <t xml:space="preserve"> MAMANI, EMANUEL ALEJANDRO Y FLORES, RODRIGO FABIAN POR EL DELITO DE ROBO CALIFICADO POR EL USO DE ARMA en perjuicio de Torres, Leo Fernando Javier</t>
    </r>
  </si>
  <si>
    <t>Dr. Facundo Eduardo Maciel Cornejo</t>
  </si>
  <si>
    <r>
      <t>PRESO</t>
    </r>
    <r>
      <rPr>
        <sz val="10"/>
        <rFont val="Arial"/>
        <family val="2"/>
      </rPr>
      <t xml:space="preserve"> LIENDRO, DANIEL CARLOS ALBERTO POR EL DELITO TENENCIA DE ESTUPEFACIENTES CON FINES DE COMERCIALIZACION EN PERJUICIO DE LA SALUD PUBLICA</t>
    </r>
  </si>
  <si>
    <t>183945/23</t>
  </si>
  <si>
    <t>SERAPIO, ADRIANA MARCELA POR EL DELITO DE HOMICIDIO CULPOCO POR MALA PRAXIS Y FALSEDAD IDEOLOGICA DE INSTRUMENTO PUBLICO EN CONCURSO IDEAL EN PERJUICIO DE OJEDA, GABRIEL ALEJANDRO y GABRIEL FANCUDO YAÑEZ YAZLLE por incumplimiento de los deberes de funcionario publico</t>
  </si>
  <si>
    <r>
      <t>PRESO</t>
    </r>
    <r>
      <rPr>
        <sz val="10"/>
        <rFont val="Arial"/>
        <family val="2"/>
      </rPr>
      <t xml:space="preserve"> MARQUEZ, NESTOR MARTIN POR EL DELITO DE ROBO AGRAVADO POR EL USO DE ARMA EN GRADO DE TENTATIVA EN PERJUICIO DE </t>
    </r>
  </si>
  <si>
    <t>183557/23</t>
  </si>
  <si>
    <t>LAMAS, CARLOS VICTOR POR ROBO CALIFICADO POR EL USO DE ARMA DE FUEGO, ATENTADO A LA AUTORIDAD AGRAVADO POR EL USO DE ARMA Y PORTACION ILEGAL DE ARMAS DE USO CIVIL</t>
  </si>
  <si>
    <t>184489/23</t>
  </si>
  <si>
    <t>176412/23</t>
  </si>
  <si>
    <t>ROCHA, CRISTIAN NORBERTO ARGENTINO POR LOS DELITOS DE DESOBEDIENCIA JUDICIAL (DOS HECHOS) Y AMENAZA CON ARMA, TODO ELLO EN CONCURSO REAL en perjuicio de Mónica Damiana Romero</t>
  </si>
  <si>
    <t>183831/23</t>
  </si>
  <si>
    <t>LICATA, ROSA FRANCISCA POR HOMICIDIO AGRAVADO POR LA RELACION DE PAREJA en perjuiocio de Aramburu, Julio Cesar</t>
  </si>
  <si>
    <t>183862/23</t>
  </si>
  <si>
    <t>LEAL, NICOLAS LEONARDO POR EL DELITO DE ROBO SIMPLE en perjuicio de Aguierre, Marcos Iván</t>
  </si>
  <si>
    <t>TARITOLAY, DANNY JOSE, POR LESIONES LEVES AGRAVADAS POR LA RELACION DE PAREJA PREVIA Y EL GENERO en perjuicio de Camila Liendro</t>
  </si>
  <si>
    <t>171962/21</t>
  </si>
  <si>
    <t>VILLAGRA, MARCOS DANIEL POR COACCION AGRAVADA POR EL USO DE ARMAS Y LESIONES LEVES AGRAVADAS POR EL GENERO Y POR LA RELACION DE PAREJA</t>
  </si>
  <si>
    <t>181232/22</t>
  </si>
  <si>
    <t>Querella- Dra. Liza Medrano DOVFyG Nº 2</t>
  </si>
  <si>
    <t>GUZMAN, DANIEL RAMON POR PRIVACION ILEGITIMA DE LA LIBERTAD, ROBO SIMPLE Y LESIONES DOBLEMENTE AGRAVADAS POR LA RELACION DE PAREJA Y POR EL GENERO, TODO EN CONCURSO REAL en perjuicio de Terrazas, Graciela Matías</t>
  </si>
  <si>
    <t>Dr. Hernan Facundo Paz MP 6324</t>
  </si>
  <si>
    <t>173128/23</t>
  </si>
  <si>
    <t>PAEZ, AGUSTIN DANIEL POR LOS DELITOS DE LESIONES LEVES AGRAVADAS POR LA RELACION DE PAREJA Y POR VIOLENCIA DE GENERO en perjuicio de Lopez, analía del Valle</t>
  </si>
  <si>
    <t>CONTRERAS, ALESANDRO NAZARENO POR EL DELITO DE ABUSO SEXUAL CON ACCESO CARNAL, PRIVACION ILEGITIMA DE LA LIBERTAD Y AMENAZAS TODO EN CONCURSO REAL en perjuicio de Noelia Soledad Choque</t>
  </si>
  <si>
    <t>173135/23</t>
  </si>
  <si>
    <t>181285/22</t>
  </si>
  <si>
    <t>SOTO, CRISTIAN MAXIMILIANO POR EL DELITO DE LESIONES LEVES AGRAVADAS POR EL VINCULO Y POR VIOLENCIA DE GENERO  en perjuicio de Ortega, Guadalupoe Maximiliano</t>
  </si>
  <si>
    <t>181185/23</t>
  </si>
  <si>
    <t>SOCOLOSKY, RUBEN ORLANDO POR EL DELITO DE ABUSO SEXUAL SIMPLE AGRAVADO POR LA GUARDA Y CONTINUADO en perjuicio de M.L.P.F.</t>
  </si>
  <si>
    <t>186851/23</t>
  </si>
  <si>
    <t xml:space="preserve"> MAIZARES, ANAHI MELINA NAZARENA, POR LOS DELITOS DE HURTO SIMPLE (ONCE HECHOS)</t>
  </si>
  <si>
    <t>183993/23</t>
  </si>
  <si>
    <t>MONTOYA, DANIEL ENRIQUE POR LOS DELITOS DE LESIONES AGRAVADAS POR LA RELACION PREEXISTENTE Y POR CONSTITUIR VIOLENCIA DE GENERO Y COACCION CON ARMA en perjuicio de Sara Patricia Lopez</t>
  </si>
  <si>
    <t>186970/23</t>
  </si>
  <si>
    <t>ESCALADA, JOSUE FACUNDO POR EL DELITO DE COACCION en perjuicio de Inés Beatriz Barba</t>
  </si>
  <si>
    <r>
      <t>PRESO</t>
    </r>
    <r>
      <rPr>
        <sz val="10"/>
        <rFont val="Arial"/>
        <family val="2"/>
      </rPr>
      <t xml:space="preserve"> CORODBA LUZ FLORENCIA ANALIA - CORDOBA Noelia Maribel Milagros - CORDOBA Carlos Mauricio y otros por ESTAFAS REITERADAS EN CONCURSO REAL </t>
    </r>
  </si>
  <si>
    <t>186717/23</t>
  </si>
  <si>
    <t>GUTIERREZ, JULIO POR EL DELITO DE DESOBEDIENCIA JUDICIAL en perjuicio de Ernestina Tolaba</t>
  </si>
  <si>
    <t>Dr. Miguel Nicolás Fernandez MP 7443</t>
  </si>
  <si>
    <t>Dr. Javier Alejandro Caliva Agüero MP 5203</t>
  </si>
  <si>
    <t>181125/22</t>
  </si>
  <si>
    <t>Dr. Cesar Rolando Pablo Caro Colomo MP 3038</t>
  </si>
  <si>
    <t>Dr. Gustavo Miranda MP 529</t>
  </si>
  <si>
    <t>Dra. Eliana Noemí Tejerina MP 7088</t>
  </si>
  <si>
    <r>
      <t>PRESO</t>
    </r>
    <r>
      <rPr>
        <sz val="10"/>
        <rFont val="Arial"/>
        <family val="2"/>
      </rPr>
      <t xml:space="preserve"> SANCHEZ, GUILLERMO CORNELIO POR LESIONES en perjuicio de Perez, Cristina Carola</t>
    </r>
  </si>
  <si>
    <t>C/ LEG DE INV. ORIGNAL 25/23</t>
  </si>
  <si>
    <t>B</t>
  </si>
  <si>
    <t>175501/21</t>
  </si>
  <si>
    <t>TARQUE, WALTER ADRIAN POR AMENAZAS - DOS HECHOS - EN PERJUICIO DE TARQUE MARIA ELIZABETH Y SORIANO HECTOR EN PERJUICIO DE SORIANO DANIEL</t>
  </si>
  <si>
    <t>181191/23</t>
  </si>
  <si>
    <t xml:space="preserve">CAYATA AMBROCIO ABUSO SEXUAL SIMPLE - TRES HECHOS- AGRAVADO POR LA GUARDA  EN PERJUICIO DE </t>
  </si>
  <si>
    <t>185782/23</t>
  </si>
  <si>
    <t>BUSTOS, BRIAN JOSE  POR LOS DELITOS DE LESIONES LEVES AGRAVADAS POR VIOLENCIA DE GENERO Y DESOBEDIENCIA JUDICIAL en perjuiciode Sol Agostina Vega Juarez</t>
  </si>
  <si>
    <t>180062/22</t>
  </si>
  <si>
    <t>MIRABAL, VIRGINIA POR EL DELITO DE USURPACION EN PERJUICIO DE ELIZABETH DEL CARMEN CRUZ</t>
  </si>
  <si>
    <t>185632/23</t>
  </si>
  <si>
    <t>ENRIQUE ALFARO, BRIAN SAMUEL POR EL DELITO DE LESIONES LEVES AGRAVADAS POR LA RELACION DE PAREJA PREEXISTENTE Y POR CONSTITUIR VIOLENCIA DE GENERO en perjuicio de Tamara Jael Salvatierra</t>
  </si>
  <si>
    <t>185702/23</t>
  </si>
  <si>
    <t>186826/23</t>
  </si>
  <si>
    <t>CHOQUE, SERIGIO ALEJANDRO POR LOS DELITOS DE AMENAZAS CON ARMA Y DESOBEDIENCIA JUDICIAL EN CONCURSO REAL en perjuicio de Gutierrez, Ana del Carmen</t>
  </si>
  <si>
    <t>184121/23</t>
  </si>
  <si>
    <t>GARCIA, ANGEL MAURICIO POR VIOLACION DE DOMICILIO, AMENAZAS CON ARMA Y HOMICIDIO CALIFICADO POR SER LA VICTIMA PERSONAL POLICIAL EN GRADO DE TENTATIVA, TODO EN CONCURSO REAL</t>
  </si>
  <si>
    <t>185986/23</t>
  </si>
  <si>
    <t>VIANA, ALEJANDR POR LOS DELITOS DE COACCIUON Y DESOBEDIENCIA JUDICIAL EN CONCURSO REAL en perjuicio de Leañez, Beatriz Margarita</t>
  </si>
  <si>
    <t>181252/23</t>
  </si>
  <si>
    <t>GOMEZ, EMILIANO DANIEL POR ABUSO SEXUAL CON ACCESO CARNAL (DOS HECHOS) en perjuicio de C.R.</t>
  </si>
  <si>
    <t>167726/20</t>
  </si>
  <si>
    <t>CALDERON, EMANUEL JAVIER POR LOS DELITOS DE DESOBEDIENCIA JUDICIAL, DAÑOS Y COACCION Y AMENAZAS Y VIOLACION DE DOMICILIO</t>
  </si>
  <si>
    <t>ROJAS, OMAR ROBERTO POR LESIONES LEVES AGRAVADAS PORF EL VINCULO Y POR VIOLENCIA DE GENERO en perjuicio de María Luján Panozzo</t>
  </si>
  <si>
    <t>184180/23</t>
  </si>
  <si>
    <t>CARLOS ANDRE MACHICADO POR EL DELITO DE ABUSO SEXUAL SIMPLE en perjuicio de Agustina Yamila del Rosario Fabian</t>
  </si>
  <si>
    <t>171543/21</t>
  </si>
  <si>
    <t>RIVEROS, RAFAEL HUMBERTO POR LOS DELITOS DE LESIONES LEVES OCASIONADAS POR CONDUCCION IMPRUDENTE Y/O NEGLIGENTE DE VEHICULO CON MOTOR AGRAVADA POR FUGA Y POR CONDUCIR EN ESTADO DE EBRIEDAD</t>
  </si>
  <si>
    <t>RIVERA, ADRIAN DIEGO POR EL DELITO DE LESIONES LEVES AGRAVADAS POR EL VINCULO Y/O LA RELACION DE PAREJA PREVIA Y POR EL GENERO en perjuicio de Alejandra Liliana Angulo</t>
  </si>
  <si>
    <t>169621/21</t>
  </si>
  <si>
    <t>CARRAZANA, JORGE ORLANDO por el delito de lesiones leves agravadas por el genero y por la relacion de pareja preexistente EN PERJUICIO DE Silvia Rosa Subelza</t>
  </si>
  <si>
    <t>181774/22</t>
  </si>
  <si>
    <t>181803/22</t>
  </si>
  <si>
    <t>YURQUINA, FERNANDO POR EL DELITO DE LESIONES LEVES AGRAVADAS POR LA RELACION DE PAREJA PREEXISTENTE Y POR MEDIAR VIOLENCIA DE GENERO Y AMENAZAS CON ARMAS IMPROPIAS EN CONCURSO REAL en perjuicio de María Villareal</t>
  </si>
  <si>
    <t>SANTANA, ABRIL GUILIANA POR EL DELITO DE ROBO CALIFICADO POR EL USO DE ARMA IMPROPIA en perjuicio de Juan Carlos Gamez</t>
  </si>
  <si>
    <t>183219/23</t>
  </si>
  <si>
    <t>CAMPOS ARROYO, ANGEL ROGELIO POR EL DELITO DE DISTRIBUCION DE MATERIAL DE ABUSO Y/O EXPLOTACION SEXUAL INFANTIL</t>
  </si>
  <si>
    <t>164103/20</t>
  </si>
  <si>
    <t>GUTIERREZ, CESAR MIGUEL POR LOS DELITOS DE AMENAZAS, VIOLACION DE DOMICILIO, DESOBEDIENCIA JUDICIAL (4 HECHOS) EN CONCURSO REAL en perjuicio de Romina Silvana Nuñez</t>
  </si>
  <si>
    <t>JANDULA MARCO DEL PONT, MAXIMO  FRANCISCO POR LESIONES LEVES AGRAVADAS POR EL GENERO Y POR LA RELACION DE PAREJA, DAÑOS, DESOBEDIENCIA JUDICIAL Y AMENAZAS EN CONCURSO REAL en perjuicio de Maira Nalia Mazza</t>
  </si>
  <si>
    <t>173675/21</t>
  </si>
  <si>
    <t>chilo, carlos delfin por los delitos de amenazas y desobediencia judicial EN PERJUICIO DE LA Sra. Vaca</t>
  </si>
  <si>
    <t>175992/22</t>
  </si>
  <si>
    <t>185602/23</t>
  </si>
  <si>
    <t>MARTINEZ HERRERA, OSCAR DANIL, MARTINEZ HERRERA, HORACIO EMMANUEL Y MOYA, GIMENA DEL MILAGRO POR LOS DELITOS LESIONES GRAVES AGRAVADAS POR EL VINCULO, ALEVOSIA Y CONCURSO PREMEDITADO DE DOS O MAS PERSONAS EN CONCURSO IDEAL CON LESIONES GRAVES AGRAVADAS POR ALEVOSIA Y CONCURSO PREMEDITADO DE DOS O MAS PERSONAS en perjuicio de Natalia Perello, I.P. y S.P</t>
  </si>
  <si>
    <t>183799/23</t>
  </si>
  <si>
    <t>VILLAVICENCIO, OSCAR DAVID POR ROBO CALIFICADO POR EL USO DE ARMA BLANCA EN GRADO DE TENTATIVA Y ROBO SIMPLE en perjuicio Victor Hugo Torres</t>
  </si>
  <si>
    <t>170072/21</t>
  </si>
  <si>
    <t>MARTINEZ, SANTIAGO NAHUEL POR ROBO SIMPLE, HURTO SIMPLE, ROBO CALIFICADO POR EL USO DE ARMA, EN CONCURSO REAL Y CABRERA NICOLAS FRANCISCO POR EL DELITO DE ROBO SIMPLE Y ROBO CALIFICADO POR EL USO DE ARMA</t>
  </si>
  <si>
    <t>131483/16</t>
  </si>
  <si>
    <t>MENDILAR, MATIAS JUAN MANUEL; LOIR, NORBERTO CARLOS Y COLQUE, WALTER SEBASTIAN POR HURTO CALIFICADO AGRAVADO POR LA PARTICIPACION DE MENORES DE EDAD Y HURTO CALIFICADO</t>
  </si>
  <si>
    <t>179983/22</t>
  </si>
  <si>
    <t>DAZA, PAOLA ADRIANA POR LESIONES LEVES AGRAVADAS POR EL VINCULO</t>
  </si>
  <si>
    <t>154759/18</t>
  </si>
  <si>
    <t>CABANA, VICTOR HUGO POR ABUSO SEXUAL SIMPLE AGRAVADO POR LA GUARDA (4 HECHOS) EN CONCURSO REAL en perjuicio de M.C.R.S</t>
  </si>
  <si>
    <t>173976/21</t>
  </si>
  <si>
    <r>
      <t>PRESO</t>
    </r>
    <r>
      <rPr>
        <sz val="10"/>
        <rFont val="Arial"/>
        <family val="2"/>
      </rPr>
      <t xml:space="preserve"> AYBAR, DANIEL ALEJANDRO POR LOS DELITOS DE DESOBEDIENCIA JUDICIAL (DOS HECHOS), AMENAZAS CON ARMAS IMPROPIAS (DOS HECHOS), VIOLACION DE DOMICILIO (DOS HECHOS), DAÑOS, LESIONES LEVES AGRAVADAS POR LA RELACION DE PAREJA PREEXISTENTE Y POR MEDIAR VIOLENCIA DE GENERO, PRIVACION ILEGITIMA DE LA LIBERTAD Y ROBO SIMPLE CON CONCURSO REAL en perjuicio de Soledad de los Angeles tarifa</t>
    </r>
  </si>
  <si>
    <t>186926/23</t>
  </si>
  <si>
    <t xml:space="preserve">Dr. Gonzalo Emanuel Ramos MP 6693 </t>
  </si>
  <si>
    <r>
      <t>PRESO</t>
    </r>
    <r>
      <rPr>
        <sz val="10"/>
        <rFont val="Arial"/>
        <family val="2"/>
      </rPr>
      <t xml:space="preserve"> ANAGUA, GUSTAVO POR LOS DELITOS DE LESIONES LEVES AGRAVADAS POR LA REALCION DE PAREJA PREEXISTENTE Y POR MEDIAR VIOLENCIA DE GENERO Y COACCION en perjuicioVanesa del Milagro Chocobar</t>
    </r>
  </si>
  <si>
    <t>Dra. Esther Lourdes Mamani MP 3093</t>
  </si>
  <si>
    <t>186572/23</t>
  </si>
  <si>
    <t>186613/23</t>
  </si>
  <si>
    <t>184714/23</t>
  </si>
  <si>
    <t>GARCIA BAZAN, AGUSTIN POR INCUMPLIMIENTO DE LOS DEBERES DE ASISTENCIA FAMILIAR</t>
  </si>
  <si>
    <t>181278/23</t>
  </si>
  <si>
    <t>VACAZUR, MILO CARLOS ANTONIO POR LOS DELITOS  DE HURTO SIMPLE, PRIVACION ILEGITIMA DE LA LIBERTAD AGRAVADA, DESBEDIENCIA JUDICIAL, AMENAZAS, PRIVACION ILEGITIMA DE LA LIBERTAD AGRAVADA TODO ELLO EN CONCURSO REAL en perjuicio de Roxana Griselda Martinez</t>
  </si>
  <si>
    <t>186790/23</t>
  </si>
  <si>
    <t>GOMEZ MARTINEZ, FERNANDO AGUSTIN POR COACCION Y LESIONES LEVES AGRAVADAS POR EL GENERO Y LA RELACION DE PAREJA TODO EN CONCURSO REAL en perjuicio de Jazmín Guillermina Figueroa Peña</t>
  </si>
  <si>
    <t>184913/23</t>
  </si>
  <si>
    <t>MARTINEZ, FABRICIO POR EL DELITO DE DAÑOS en perjuicio de Carrazana, Tania del Car,en</t>
  </si>
  <si>
    <t>QUIROGA, MATIAS RAMON EDGARDO POR LOS DELITOS DE PRIVACION OLEGITIMA DE LA LIBERTAD AGRAVADA, AMENAZAS CON ARMAS, LESIONES LEVES AGRAVADAS POR LA RELACION DE PAREJA Y EL GENERO, LESIONES LEVES AGRAVADAS POR EL VINCULO, DESOBEDIENCIA JUDICIAL Y RESISTENCIA A LA AUTORIDAD EN CONCURSO REAL</t>
  </si>
  <si>
    <t>165514/20</t>
  </si>
  <si>
    <t>NEBREDA, MATIAS GUILLERMO POR EL DELITO DE ADMINISTRACION INFIEL en perjuicio de Rafael Arenas</t>
  </si>
  <si>
    <t>184986/23</t>
  </si>
  <si>
    <t>herrera brochero, ricardo ruben por el delito de amenazas EN PERJUICIO DE Brenda Victoria de la Fuente</t>
  </si>
  <si>
    <t>181596/22</t>
  </si>
  <si>
    <t>LUIS VARGAS, CESAR BRAGEDA Y JUAN TEVEZ POR EL DELITO DE ROBO CALIFICADO EN POBLADO Y EN BANDA EN GRADO DE TENTATIVA en perjuicio de Ariel Bocci</t>
  </si>
  <si>
    <t>161906/19</t>
  </si>
  <si>
    <t>GUZMAN, LUCAS EMILIO POR EL DELITO DE ROBO SIMPLE EN GRADO DE TENTATIVA en perjuicio de Medina, Pablo David</t>
  </si>
  <si>
    <t>167554/20</t>
  </si>
  <si>
    <t>SANNCHEZ, ANDRES ESTEBAN POR LOS DELITOS DE LESIONES LEVES AGRAVADAS POR LA RELACION DE PAREJA PREEXISTENTE Y LESIONES LEVES AGRAVADAS POR EL VINCULO TODO EN CONCURSO REAL</t>
  </si>
  <si>
    <t>185976/23</t>
  </si>
  <si>
    <t>RIOS, ALEXANDER FACUNDO EDUARDO POR DESOBEDIENCIA JUDICIAL en perjuicio de Sara Patricia Rios</t>
  </si>
  <si>
    <t>176711/22</t>
  </si>
  <si>
    <t>VILCA PAREL, AIDA CATALINA POR EL DELITO DE PECULADO</t>
  </si>
  <si>
    <t>177854/22</t>
  </si>
  <si>
    <t>ARENAS, LUIS ANTONIO POR EL DELITO DE LESIONES LEVES AGRAVADAS POR EL VINCULO</t>
  </si>
  <si>
    <t>182711/23</t>
  </si>
  <si>
    <t>RAMOS, ALVARO JOAQUIN POR EL DELITO DE RESISTENCIA A LA AUTORIDAD Y ENCUBRIMIENTO, AMBOS EN CONCURSO REAL</t>
  </si>
  <si>
    <t>184891/23</t>
  </si>
  <si>
    <t>BURGOS, EMANUEL ROLANDO POR EL DELITO DE AMENAZAS en perjuicio de Verselino, Mariana</t>
  </si>
  <si>
    <t>132185/16</t>
  </si>
  <si>
    <t>MAMANI, CESAR LEONARDO POR EL DELITO DE ABUSO SEXUAL CON ACCESO CARNAL en perjuicio de J.E.T.</t>
  </si>
  <si>
    <t>182697/23</t>
  </si>
  <si>
    <t>CISNEROS, CARLOS DOMINGO  POR EL DELITO DE ROBO SIMPLE en perjuicio de Cahuasiri, Daniel Alejandro</t>
  </si>
  <si>
    <t>156617/18</t>
  </si>
  <si>
    <t>ROSALES, LILIANA NOELIA POR EL DELITO DE FALSA DENUNCIA Y FALSO TESTIMONIO en perjuicio de Gerónimo, Hector Abel</t>
  </si>
  <si>
    <t>184377/23</t>
  </si>
  <si>
    <t>LUNA, RODRIGO NICOLAS POR EL DELITO DE LESIONES LEVES AGRAVADAS POR LA RELACION DE PAREJA PREEXISTENTE Y POR EL GENERO Y VIOLACION DE DOMICILIO EN CONCURSO REAL en perjuicio de Casimiro, Verónica Daniela</t>
  </si>
  <si>
    <t>142227/17</t>
  </si>
  <si>
    <t>YUCA CHOQUE, SANTOS Y CHOCALA, RICARDO ARIEL POR EL DELITO DE ABUSO SEXUAL CON ACCESO CARNAL  en perjuicio de Tamara Belén Rueda</t>
  </si>
  <si>
    <t>184912/23</t>
  </si>
  <si>
    <t>DELGADO, MARTIN IVAN POR EL DELITO DE LESIONES LEVES AGRAVADAS POR LA RELACION PREEXISTENTE Y POR CONSTITUIR VIOLENCIA DE GENERO en perjuicio de Daniela Gonza Salazar</t>
  </si>
  <si>
    <t>163652/20</t>
  </si>
  <si>
    <t>ARIAS, FACUNDO ISMAEL POR EL DELITO DE AMENAZAS Y RETENCION INDEBIDA EN CONCURSO REAL en perjuicio de Pastrana Cecilila Andrea</t>
  </si>
  <si>
    <t>Dr. Vaca</t>
  </si>
  <si>
    <t>GUERRA, MAURO POR EL DELITO DE LESIONES LEVES AGRAVADAS POR LA RELACION DE PAREJA PREEXISTENTE Y POR MEDIAR VIOLENCIA DE GENERO  Y DESOBEDIENCIA JUDICIAL EN CONCURSO REAL en perjuicio de Carla Abigail Lopez</t>
  </si>
  <si>
    <t>180013/22</t>
  </si>
  <si>
    <r>
      <t>PRESO</t>
    </r>
    <r>
      <rPr>
        <sz val="10"/>
        <rFont val="Arial"/>
        <family val="2"/>
      </rPr>
      <t xml:space="preserve"> ANGEL FERNANDO DAVID RAMIREZ, FEDERICO ALEJANDRO RIOJA POR ROBO DOBLEMENTE CALIFICADO POR SER COMETIDO EN POBLADO Y EN BANDA Y CON EL USO DE ARMA Y FRANCO EXEQUIEL ASH POR ENCUBRIMIENTO</t>
    </r>
  </si>
  <si>
    <r>
      <t>PRESO</t>
    </r>
    <r>
      <rPr>
        <sz val="10"/>
        <rFont val="Arial"/>
        <family val="2"/>
      </rPr>
      <t xml:space="preserve"> BRUNO, OMAR JOSE LUIS Y UGARTE GUSTAVO EXEQUIEL POR AMENAZAS</t>
    </r>
  </si>
  <si>
    <r>
      <t>PRESO</t>
    </r>
    <r>
      <rPr>
        <sz val="10"/>
        <rFont val="Arial"/>
        <family val="2"/>
      </rPr>
      <t xml:space="preserve"> IGNACIO, JUAN MARCELO POR ROBO (DOS HECHOS), LESIONES LEVES AGRAVADAS POR LA RELACION DE PAREJA PREVIA Y EL GENERO (DOS HECHSO), DAÑOS Y DESOBEDIENCIA JUDICIAL TODO EN CONCURSO REAL en perjuicio de Narvaez, Emilse Constanza</t>
    </r>
  </si>
  <si>
    <t>185736/23</t>
  </si>
  <si>
    <t>CAÑIZARES, CRISTIAN MARCELO POR LOS DELITOS DE LESIONES LEVES AGRAVADAS POR LA RELACION PREEXISTENTE Y POR CONSTITUIR VIOLENCIA DE GENERO Y AMENAZAS en perjuicio de Isasmendi Ruiz, Macarena Elizabeth</t>
  </si>
  <si>
    <t>183897/23</t>
  </si>
  <si>
    <t>184632/23</t>
  </si>
  <si>
    <t>TOCONAS, GUILLERMO POR LOS DELITOS DE AMENAZAS Y DESOBEDIENCIA JUDICIAL (DOS HECHOS)  en perjuicio de María Concepción Jurado</t>
  </si>
  <si>
    <t>138483/16</t>
  </si>
  <si>
    <t>VILTE, ANTONIO POR EL DELITO DE ABUSO SEXUAL CON ACCESO CARNAL DOBLEMENTE AGRAVADO POR LA GUARDA Y POR LA CONVIVENCIA en perjuicio de Cristina Esther Segundo</t>
  </si>
  <si>
    <t>184476/23</t>
  </si>
  <si>
    <t>CASASOLA, JOSE HERNAN POR LOS DELITOS DE DESOBEDIENCIA JUDICIAL, AMENAZAS Y HURTO, TODO EN CONCURSO REAL en perjuicio de Claudia Fernanda Alarcón</t>
  </si>
  <si>
    <t>183712/23</t>
  </si>
  <si>
    <t>ACTUACIONES REMITIDAS DE SUBSECRETARIA DE PLANEAMIENTO EDUCATIVO S/SITUACION DE TITULOS DOCENTES EN SITUACION IRREGULAR</t>
  </si>
  <si>
    <t>183612/23</t>
  </si>
  <si>
    <t>181383/23</t>
  </si>
  <si>
    <t>Dr. Darío Francisco Palmier MP 1019</t>
  </si>
  <si>
    <r>
      <t>PRESO</t>
    </r>
    <r>
      <rPr>
        <sz val="10"/>
        <rFont val="Arial"/>
        <family val="2"/>
      </rPr>
      <t xml:space="preserve"> CISNEROS, JAVIER GERARDO POR LOS DELITOS ABUSO SEXUAL SIMPLE AGRAVADO POR SER COMETIDO CONTRA  UNA MENOR DE 18 AÑOS APROVECHANDOSE DE LA SITUACION DE CONVIVENCIA PREEXISTENTE-CONTINUADO Y ABUSO  SEXUAL ETC</t>
    </r>
  </si>
  <si>
    <t>VACA, GABRIEL ERNESTO POR EL DELITO DE AMENAZAS</t>
  </si>
  <si>
    <t>CON EXPTE. JUI Nº 159518/19</t>
  </si>
  <si>
    <t>175314/21</t>
  </si>
  <si>
    <t>MERCADO Erica por HURTO CALIFICADO de Vehiculo dejado en la via pública en perj. De Lonzayes Javier</t>
  </si>
  <si>
    <t>171434/21</t>
  </si>
  <si>
    <t>DIAZ, Franco Cristian por FALSIFICACION DE INSTRUMENTEO PUBLICO , denuncia ANGEL ALEJANDRO GUAYMAS</t>
  </si>
  <si>
    <t>186808/23</t>
  </si>
  <si>
    <t>LIENDRO Mirna Ariadna y SALVA Leonel por Robo Simple en Grado de Ttva. En perj. De BARROCO Simona</t>
  </si>
  <si>
    <t xml:space="preserve"> 11:25</t>
  </si>
  <si>
    <t>177154/22</t>
  </si>
  <si>
    <t>RIOS Pablo por DAÑOS en perj. De FLORES Fatima</t>
  </si>
  <si>
    <t>154808/18</t>
  </si>
  <si>
    <t xml:space="preserve">LOAIZA Juan Antonio por Lesiones Leves en Accidente de Transito en perj.  </t>
  </si>
  <si>
    <t>184618/23</t>
  </si>
  <si>
    <t>SUAREZ Diego Omar por INCITACION a l aviolencia y resistencia a la Autoridad en Concurso Ideal, denuncia Crio Insp. Sr. Hoyos Julio Cesar</t>
  </si>
  <si>
    <t>165614/20</t>
  </si>
  <si>
    <t xml:space="preserve">JEIME FELIX Sebastian por Robo Agravado por la Participacion de un Menor y Violacion a la Medidas Adoptadas para impedir la propagacion de una epidemai en Concuro Real y JAIME CARLOS SABINO (menor) por Robo Simple y Violacion a las Medidas Adoptadas para Impedier la Propgacion de una Epidemia en Concurso REal </t>
  </si>
  <si>
    <t>173014/21</t>
  </si>
  <si>
    <t>EZQUIEL MEDINA y Facundo Chaparro por Robo Calificado por Escalamiento en perj. Delgado Gerardo Alberto</t>
  </si>
  <si>
    <r>
      <t>PRESO</t>
    </r>
    <r>
      <rPr>
        <sz val="10"/>
        <rFont val="Arial"/>
        <family val="2"/>
      </rPr>
      <t xml:space="preserve"> Cabello Marquez, Miguel Angel - por hurto simple en perjuicio de Chaile Clemente Salvador</t>
    </r>
  </si>
  <si>
    <t>186126/23</t>
  </si>
  <si>
    <t>DIAZ Sergio Antonio por Homicidio Culpos en Accidente de Transito en perj. De TAPIA Adrian Eduardo</t>
  </si>
  <si>
    <t>182798/23</t>
  </si>
  <si>
    <t>TOLEDO Jose María por VIOLACION DE DOMICILIO en perj. De PAREDES ARTEAGA Ana</t>
  </si>
  <si>
    <t>179996/22</t>
  </si>
  <si>
    <t>HUMANO Enzo Ariel por HURTO SIMPEL en perj. ZULMA Beatriz Verduguez Jaldin</t>
  </si>
  <si>
    <t>179368/22</t>
  </si>
  <si>
    <t>QUISPE Marta Jorgelina por LESIONES LEVES CULPOSAS en perj. NIEVA Elsa Noemi</t>
  </si>
  <si>
    <t xml:space="preserve"> 09:07</t>
  </si>
  <si>
    <t>182858/23</t>
  </si>
  <si>
    <t>POBLETE Maria Carmen por ESTAFA en perj. CASA Vilma Mónica</t>
  </si>
  <si>
    <t>186008/23</t>
  </si>
  <si>
    <t>LEIVA Victor Hugo por AMENAZAS Y DAÑOS todo en Concurso Real en perj. De SEQUEIRA Micaela Noemi</t>
  </si>
  <si>
    <t>Dra. Angelica Adriana Gonzalez (MP 3507)</t>
  </si>
  <si>
    <t xml:space="preserve"> 12:51</t>
  </si>
  <si>
    <t>175698/21</t>
  </si>
  <si>
    <t>ARROYO Silvana Alejandra por LESIONES LEVES en perj. De MEA</t>
  </si>
  <si>
    <t>174183/21</t>
  </si>
  <si>
    <t>MUCHER Ernesto por LESIONES LEVES AGRAVADAS POR EL VINCULO - AMENAZAS - COACCION EN CONCURSO REAL  en perj. De  MUCHER Adriana</t>
  </si>
  <si>
    <t>Dr. Sebastian Lazarechi</t>
  </si>
  <si>
    <t>180023/22</t>
  </si>
  <si>
    <t>CARMONA Rolando Santiago por AMENAZAS CON ARMA en pejr. BORJA Angela Dora</t>
  </si>
  <si>
    <t>183633/23</t>
  </si>
  <si>
    <t>ROGOZINSKI Ian Esteban por AMENAZAS en perj. De VILLAFAÑE Soe Azul Micol</t>
  </si>
  <si>
    <t>Dr. Danilo Sihotto</t>
  </si>
  <si>
    <t xml:space="preserve"> 09:36</t>
  </si>
  <si>
    <t>171025/21</t>
  </si>
  <si>
    <t xml:space="preserve">CANAVIRI Ignacio Zenon ABUSO SEXUAL SIMPLE AGRAVADO POR LA GUARDA en perj. De GALINDO Gabriela Soledad </t>
  </si>
  <si>
    <t xml:space="preserve"> 08.53</t>
  </si>
  <si>
    <r>
      <t>PRESO</t>
    </r>
    <r>
      <rPr>
        <sz val="10"/>
        <rFont val="Arial"/>
        <family val="2"/>
      </rPr>
      <t xml:space="preserve"> VERON Ricardo Humberto por Privacion Ilegtima de la Libertad Agravada por el Uso de Violencia y Amenazas y por Tratarse la Víctima de una persona a quien se le debe un respeto particular en perj. PINTO Ana Fernanda</t>
    </r>
  </si>
  <si>
    <t xml:space="preserve"> 08:24</t>
  </si>
  <si>
    <t>181403/22</t>
  </si>
  <si>
    <t>SUBIRADA Juan Carlos por DESOBEDIENCIA JUDICIAL y AMENAZAS (DOS HECHOS) TODO EN CONCURSO REAL en perj. De Honoria Torres</t>
  </si>
  <si>
    <t xml:space="preserve"> 11:18</t>
  </si>
  <si>
    <t>184430/23</t>
  </si>
  <si>
    <t>186448/23</t>
  </si>
  <si>
    <t>180076/22</t>
  </si>
  <si>
    <t>CARRIZO Fernando Hector por ROBO SIMPLE en Grado de Tentativa en perj. Alejandra Abigail Arteaga</t>
  </si>
  <si>
    <t>185686/23</t>
  </si>
  <si>
    <t>RETAMOSO Gisela Emilce y FLORES Maria Elena por HURTO SIMPLE en perj. De SIMONE Andrea</t>
  </si>
  <si>
    <t>Dr. Miguel Nicolas Fernandez MP 6396</t>
  </si>
  <si>
    <r>
      <t>PRESO</t>
    </r>
    <r>
      <rPr>
        <sz val="10"/>
        <rFont val="Arial"/>
        <family val="2"/>
      </rPr>
      <t xml:space="preserve"> ACOSTA Mauricio Antonio por ABUSO SEXUAL CON ACCESO CARNAL Agravado por la Guarda y Convivencia Preexistente con una menor de 18 años Continuado y ABUSO SEXUAL Gravemente Ultrajante por las Circunstancias de su Realizacion y su Duracion en el tiempo Agravado por la Guarda y Convivencia Preexistente con Una Menro de 18 años</t>
    </r>
  </si>
  <si>
    <r>
      <t>PRESO</t>
    </r>
    <r>
      <rPr>
        <sz val="10"/>
        <rFont val="Arial"/>
        <family val="2"/>
      </rPr>
      <t xml:space="preserve"> PASTRANA Sergio Osvaldo silva Pablo Alejandro y Yasser Amir Yarad por ROBO CALIFICADO en perj. De DIEZ Juarez Luis Sebastian</t>
    </r>
  </si>
  <si>
    <t xml:space="preserve"> 12:33</t>
  </si>
  <si>
    <t>CARDOZO Fernando Agustin por Robo Simple en perj. De Canchi Rosario</t>
  </si>
  <si>
    <t>187176/23</t>
  </si>
  <si>
    <t>Se encuetra en preventiva en Sorteo</t>
  </si>
  <si>
    <r>
      <t>PRESO</t>
    </r>
    <r>
      <rPr>
        <sz val="10"/>
        <rFont val="Arial"/>
        <family val="2"/>
      </rPr>
      <t xml:space="preserve"> ONESTI Jorge Daniel por Lesiones Leves y Hurto simple en Concurso Real en perj. De SURITA Vargas Eduardo Javier</t>
    </r>
  </si>
  <si>
    <t xml:space="preserve"> 12:40</t>
  </si>
  <si>
    <t>131704/16</t>
  </si>
  <si>
    <t>ORIHUEL Claudio Marcelo por ESTAFA en perj. De ARAYA Osvaldo Alonso</t>
  </si>
  <si>
    <t>Dr. Pablo  del Pino MP 4443</t>
  </si>
  <si>
    <t xml:space="preserve"> 23:39</t>
  </si>
  <si>
    <t>180906/22</t>
  </si>
  <si>
    <t>RAPOSO, GUILLERMO SEBASTIAN por el delito de crueldad animal y tenencia ilegitima de armas de fuero en perjuicio de Carlos Monero</t>
  </si>
  <si>
    <t>Querellantes: Dra. Cespedes Cartagena, Carmen Rosa y Dr. Ramayo, Sebastian Alberto</t>
  </si>
  <si>
    <t xml:space="preserve"> 12:38</t>
  </si>
  <si>
    <r>
      <t>PRESO</t>
    </r>
    <r>
      <rPr>
        <sz val="10"/>
        <rFont val="Arial"/>
        <family val="2"/>
      </rPr>
      <t xml:space="preserve"> SANCHEZ, EMANUEL LUIS FERNANDO por amenazas en perjuicio de Isabel del Tránsito Ruiz</t>
    </r>
  </si>
  <si>
    <t xml:space="preserve"> 12:16</t>
  </si>
  <si>
    <t>172114/23</t>
  </si>
  <si>
    <t>SGTO. WALTER PERALTA; AGTE. DANIEL CORDOBA; CABO LEANDRO ANIBAL VEGA Y ASP. AGTE. JOSE PADILLA  por vejaciones calificadas y lesiones leves en concurso ideal</t>
  </si>
  <si>
    <t>Dr. Vazquez, Ariel Ernesto</t>
  </si>
  <si>
    <t xml:space="preserve"> 12:13</t>
  </si>
  <si>
    <t>185783/23</t>
  </si>
  <si>
    <t>VARGAS, LEONARDO EXEQUIEL POR LESIONES LEVES AGRAVADA POR LA RELACION DE PAREJA PREVIA Y POR CONSTITUIR VIOLENCIA DE GENERO, AMENAZAS, COACCION, INCUMPL. DE LOS DEB. DE ASISTENCIA FLIAR. - LEY 13944 Y DAÑOS EN CONCURSO REAL ART.55 EN PERJUICIO DE ORELLANA AGUIRRE, DANIELA FERNANDA</t>
  </si>
  <si>
    <t>Dr. Vaca, Lucas</t>
  </si>
  <si>
    <t xml:space="preserve"> 10:47</t>
  </si>
  <si>
    <t>184665/23</t>
  </si>
  <si>
    <t>CARABAJAL, CRISTIAN LUIS por lesiones leves agravadas</t>
  </si>
  <si>
    <t xml:space="preserve"> 11:40</t>
  </si>
  <si>
    <t>187126/23</t>
  </si>
  <si>
    <t xml:space="preserve"> 10:55</t>
  </si>
  <si>
    <t>187202/23</t>
  </si>
  <si>
    <r>
      <t>PRESO</t>
    </r>
    <r>
      <rPr>
        <sz val="10"/>
        <rFont val="Arial"/>
        <family val="2"/>
      </rPr>
      <t xml:space="preserve"> MORALES Carlos Rodrigo por Robo con Arma en grado de Tentativa y Encubrimiento en perj. De ROLDAN Martin Adolfo</t>
    </r>
  </si>
  <si>
    <t xml:space="preserve"> 12:01</t>
  </si>
  <si>
    <t>182389/23</t>
  </si>
  <si>
    <t>Dr. Palazzo Gutierrez Rodrigo</t>
  </si>
  <si>
    <r>
      <t>PRESO</t>
    </r>
    <r>
      <rPr>
        <sz val="10"/>
        <rFont val="Arial"/>
        <family val="2"/>
      </rPr>
      <t xml:space="preserve"> MORALES Joanathan Ivan por HURTO CALIFICADO por Escalamiento - Resistencia a la Autoridad y AMENAZAS - TODO EN CONCURSO REAL en pejr. Corralon EMI</t>
    </r>
  </si>
  <si>
    <r>
      <t>PRESO</t>
    </r>
    <r>
      <rPr>
        <sz val="10"/>
        <rFont val="Arial"/>
        <family val="2"/>
      </rPr>
      <t xml:space="preserve"> LOPEZ Francisco Cristian por Abuso Sexual Agravado por la guarda en perj. De la menor M de los a.L y por el delito de Abuso Sexual Gravemente Ultrajante Agravado por la guarda en perj. De las niñas ANM, en Concurso Real y Abuso sexual gravemente ULTRAJANTE agravado por la guarda y la convivencia</t>
    </r>
  </si>
  <si>
    <t>186747/23</t>
  </si>
  <si>
    <t xml:space="preserve"> 10:23</t>
  </si>
  <si>
    <t>176835/22</t>
  </si>
  <si>
    <t>BARBERIS Daniel Ernestop por ESTAFA en perj. De BARBARA Paula Karlsson</t>
  </si>
  <si>
    <t xml:space="preserve"> 11:39</t>
  </si>
  <si>
    <t>175445/23</t>
  </si>
  <si>
    <t>MAIDANA Lucas Maximiliano por LESIONES LEVES AGRAVADAS POR LA RELACION DE PAREJA Y POR EL GENERO Y AMENAZAS  EN CONCURSO REAL en perj de GUERRERO Yanet Maribel</t>
  </si>
  <si>
    <t xml:space="preserve"> 11:17</t>
  </si>
  <si>
    <t>184813/23</t>
  </si>
  <si>
    <t xml:space="preserve">NARANJO Jose Hector por el Delito de Lesiones Leves Agravadas por la Realcion de Pareja Preexistente y por Mediar Violencia de Género y Amenazas en Concuruso Real en Perj. </t>
  </si>
  <si>
    <t>Dr. Gustavo Ramon Cejas MP 6745</t>
  </si>
  <si>
    <t xml:space="preserve"> 187103/23</t>
  </si>
  <si>
    <t>FLORES ROMERO, Ruben Alfredo por Desobediencia Judicial en perj. De ROMERO Leon Bernardina</t>
  </si>
  <si>
    <t xml:space="preserve"> 09:03</t>
  </si>
  <si>
    <t>177133/23</t>
  </si>
  <si>
    <t>ALVAREZ Fabio Maximiliano ROBO CALIFICADO en perj. De PERERZ Norma Teresa</t>
  </si>
  <si>
    <t xml:space="preserve"> 09:08</t>
  </si>
  <si>
    <t>183071/23</t>
  </si>
  <si>
    <t>BRUNO Alejandro Arie por LESIONES AMENAZAS en Perj. De AGUIRRE COLQUE Carolina</t>
  </si>
  <si>
    <t xml:space="preserve"> 10:17</t>
  </si>
  <si>
    <t>179373/22</t>
  </si>
  <si>
    <t xml:space="preserve">MEIER Carina Janet  - GARCIA VEGA Luis Nelson por DESOBEDIENCIA JUDICIAL (tres hechos) RUBARCION DE LA POSESION Y AMENAZAS </t>
  </si>
  <si>
    <t>162123/19</t>
  </si>
  <si>
    <t xml:space="preserve">OLMOS Walter y LLUFRA Cristian por el delito de ROBO CALIFICADO DE VEHICULO DEJADON EN  LA VI A </t>
  </si>
  <si>
    <t xml:space="preserve"> 10:02</t>
  </si>
  <si>
    <t>184923/23</t>
  </si>
  <si>
    <t>ROMERO Jesus Antonio por DESOBEDIENCIA JUDICIAL en perj. De CARINA VIZGARRA</t>
  </si>
  <si>
    <t>171399/23</t>
  </si>
  <si>
    <t>MALDONADO Daniel Alejandro por  Desobediencia Judicial (dos hechos) y COACCION en CONCURSO REAL en perj. De Maria de los Angeles Valdiviezo Juarez</t>
  </si>
  <si>
    <t xml:space="preserve"> 10:19</t>
  </si>
  <si>
    <t>180359/22</t>
  </si>
  <si>
    <t>RODRIGUEZ Hugo Nestor por Lesiones Leves Agravadas en perj. De CARDOZO DE RODRIGUEZ FLORA</t>
  </si>
  <si>
    <t xml:space="preserve"> 09:48</t>
  </si>
  <si>
    <t>185861/23</t>
  </si>
  <si>
    <t>CHAUQUI Daniel Gustavo por Lesiones en Perj. De AGUIRRE Jesica Silvana</t>
  </si>
  <si>
    <t xml:space="preserve"> 09:58</t>
  </si>
  <si>
    <t>160976/19</t>
  </si>
  <si>
    <t>VERA Miguel Angel por GROOMING en CONCURSO REAL ABUSO SEXUAL CON ACCESO CARNAL EN CONCURSO REAL Y ABUSO SIMPLE (dos hechos) TODO EN CONCURSO REAL EN perj. De MMP</t>
  </si>
  <si>
    <t xml:space="preserve"> 12:19</t>
  </si>
  <si>
    <t>152239/18</t>
  </si>
  <si>
    <t>BORSATO Segio Enrique por FRAUDE INFORMATICO en perj., de ESPILOCIN Mónica Graciela</t>
  </si>
  <si>
    <t xml:space="preserve"> 12:18</t>
  </si>
  <si>
    <t>173399/21</t>
  </si>
  <si>
    <t>LIENDRO Gabriel Alfredo por LESIONES AGRAVADAS por la Relación de Parjea Preexistnete y por constitutir Violencia de Género y AMENAZAS TODO EN CONCURSO REAL en perj. De CELESETE AURORA ARCAINE</t>
  </si>
  <si>
    <t>181503/23</t>
  </si>
  <si>
    <t>BURGOS Erik Daniel por daños y Privacion Ilegitima de la Libertad Agravada en Concurso Real en perj. De BURGOS NELLY MERCEDES y ZUMBAY Agustina Servanda en perj. De la menor CMB</t>
  </si>
  <si>
    <t xml:space="preserve"> 12:15</t>
  </si>
  <si>
    <t>185013/23</t>
  </si>
  <si>
    <t>BALLESTEROS Claudia Cristian por HURTO SIMPLE en perj. De AYMA Celso Daniel</t>
  </si>
  <si>
    <t>180217/22</t>
  </si>
  <si>
    <t>MITCHELL Nicolas por Incumplimeinto de los Deberes de Asistencia Familiar en perj. De MEDRANO de la Sarna Agustina</t>
  </si>
  <si>
    <t xml:space="preserve"> 10:50</t>
  </si>
  <si>
    <t>178356/22</t>
  </si>
  <si>
    <t>Dra. Elias Cinthia Vanesa MP 3141</t>
  </si>
  <si>
    <r>
      <t>PRESO</t>
    </r>
    <r>
      <rPr>
        <sz val="10"/>
        <rFont val="Arial"/>
        <family val="2"/>
      </rPr>
      <t xml:space="preserve"> CAMPERO OLARTE Omar Orlando por Abuso Sexual Simple y Abuso Sexual Con Acceso Carnal en Perj. De Marmol Silvia Susana</t>
    </r>
  </si>
  <si>
    <t xml:space="preserve"> 11:07</t>
  </si>
  <si>
    <r>
      <t>PRESO</t>
    </r>
    <r>
      <rPr>
        <sz val="10"/>
        <rFont val="Arial"/>
        <family val="2"/>
      </rPr>
      <t xml:space="preserve"> MIRANDA Rafael Alejandro - ALBA Rocio Belen - ALBA Andra Abigail por Tenencia de Estupefaciente con Fines de Comercializacion Agravada por la Participacion de Tres o mas Personas</t>
    </r>
  </si>
  <si>
    <r>
      <t>PRESO</t>
    </r>
    <r>
      <rPr>
        <sz val="10"/>
        <rFont val="Arial"/>
        <family val="2"/>
      </rPr>
      <t xml:space="preserve"> GUARDO Lautaro Nahuel por ROBO SIMPLE en grado de ttva. Y ROBO simpel en perj. De MARIÑO Gonzalo y Alurralde Urtubey Macarena</t>
    </r>
  </si>
  <si>
    <t xml:space="preserve"> 12:48</t>
  </si>
  <si>
    <r>
      <t>PRESO</t>
    </r>
    <r>
      <rPr>
        <sz val="10"/>
        <rFont val="Arial"/>
        <family val="2"/>
      </rPr>
      <t xml:space="preserve"> DURAN Carlos Alfredo por ROBO - HURTO - AMENAZAS CON ARMA - RESISTENCIA A LA AUTORIDAD Y TENENCIA DE ESTUPEFACIENTE CON FINES DE COMERCIALIZACION en Perj. De VERA Maximiliano Danile </t>
    </r>
  </si>
  <si>
    <t>145404/17</t>
  </si>
  <si>
    <t>ARANDA, MARCOS MANUEL, RIOS, CARLOS ISMAEL POR LOS DELITOS DE ROBO DOBLEMENTE AGRAVADO POR SER COMETIDO EN POBLADO Y EN BANDA Y POR LA PARTICIPACION DE UN MENOR DE EDAD EN GRADO DE TENTATIVA Y REVOLLO, LUCAS MARIO (-) POR EL DELITO DE ROBO AGRAVADO POR SER COMETIDO EN POBLADO Y EN BANDA EN GRADO DE TENTATIVA</t>
  </si>
  <si>
    <t>172981/21</t>
  </si>
  <si>
    <t>BRIONES, NESTOR NICOLAS, DELGADO, ISMAEL EDUARDO;  POR EL DELITO DE ROBO SIMPLE en perjuicio de Luciano Alejandro Briones</t>
  </si>
  <si>
    <t>184093/23</t>
  </si>
  <si>
    <t>ARIAS, CLAUDIO RODOLFO POR LOS DELITOS DE LESIONES LEVES AGRAVADAS POR LA RELACION DE PAREJA PREVIA Y POR EL GENERO Y DESOBEDIENCIA JUDICIAL  en perjuicio de Flavia Delicia Peloc</t>
  </si>
  <si>
    <t>187022/23</t>
  </si>
  <si>
    <t xml:space="preserve">HUANG LUGNXIAO POR EL DELITO DE LESIONES LEVES AGRAVADAS POR LA RELACION DE PAREJA Y POR EL GENERO </t>
  </si>
  <si>
    <t>185741/23</t>
  </si>
  <si>
    <t>ALEMAN, FRANCO ANTONIO POR EL DELITO DE AMENAZAS Y DESOBEDIENCIA JUDICIAL en perjuicio de Juana Agripina Cuellar</t>
  </si>
  <si>
    <t>153344/18</t>
  </si>
  <si>
    <t>AGAPITO CASTILLO, ROLANDO POR EL DELITO DE ABUSO SEXUAL SIMPLE AGRAVADO POR LA GUARDA Y LA CONVIVENCIA PREEXISTENTE CON MENOR DE 18 AÑOS en perjuicio de A.A.C.</t>
  </si>
  <si>
    <t>153404/18</t>
  </si>
  <si>
    <t>COLQUE, HORACIO GUILLERMO POR EL DELITO DE ABUSO SEXUAL SIMPLE en pejuicio de J.A.S</t>
  </si>
  <si>
    <t>VILLADA, VICTOR RAMON  POR EL DELITO DE ROBO SIMPLE EN PERJUICIO DE Aldana María Belén Neri</t>
  </si>
  <si>
    <t>183992/23</t>
  </si>
  <si>
    <t>RUIZ, NESTOR RAFAEL POR LOS DELITOS DE DESOBEDIENCIA JUDICIAL (OCHO HECHOS), AMENAZAS Y COACCION TODO EN CONCURSO REAL en perjuicio de Lorena Haydee Rivero</t>
  </si>
  <si>
    <t>186482/23</t>
  </si>
  <si>
    <t>PAMENTEL, RENZO GONZALO POR LOS DELITOS DE LESIONES LEVES AGRAVADAS POR LA RELACION DE PAREJA Y POR VIOLENCIA DE GENERO Y COACCION EN CONCURSO REAL Y AMENAZAS en perjuicio de Verónica Mariela Guerrero</t>
  </si>
  <si>
    <t>187092/23</t>
  </si>
  <si>
    <t>CORDOBA, HUMBERTO JOSE LUIS POR EL DELITO DE VEJACIONES CALIFICADAS POR AMENAZAS  en perjuicio de Walter Benigno Barroso, Maximiliano Barroso y Carla Lucía Barroso</t>
  </si>
  <si>
    <t>185078/23</t>
  </si>
  <si>
    <t>RAMOS, PABLO ADOLFO Y RAMOS, RODRIGO JUSTO ANTONIO POR LOS DELITOS DE DESOBEDIENCIA JUDICAIL, DESOBEDIENCIA JUDICIA Y DESOBEDIENCIA JUDICIAL Y AMENAZAS EN CONCURSO REAL Y DESOBEDIENCIA JUDICIAL en perjuicio de Lorena Soledad Forniels</t>
  </si>
  <si>
    <t>186498/23</t>
  </si>
  <si>
    <t>FARFAN, EXEQUIEL DARIO POR EL DELITO DE LESIONES LEVES AGRAVADAS POR EL GENERO Y LA RELACION DE PAREJA Y DESOBEDIENCIA JUDICIAL en perjuicio de Yesica Celina Bravo</t>
  </si>
  <si>
    <t>187008/23</t>
  </si>
  <si>
    <t>MERILES, EDUARDO ANTONIO POR LOS DELITOS DE DESOBEDIENCIA JUDICIAL (DOS HECHOS) Y VIOLACION DE DOMICILIO TODO EN CONCURSO REAL  en perjuico de Ana Belén Mercedes Galván</t>
  </si>
  <si>
    <t>179878/23</t>
  </si>
  <si>
    <t>PEREZ, MARCELO RICARDO POR LOS DELITOS DE AMENAZAS CON ARMA Y AMENAZAS en perjuicio de Vera, Daiana Gisela</t>
  </si>
  <si>
    <t>185098/23</t>
  </si>
  <si>
    <t>TEJERINA, ORLANDO MODESTO POR LA COMISION DE LOS DELITOS DE AMENAZAS (3 HECHOS) Y DESOBEDIENCIA JUDICIAL, TODO EN CONCURSO REAL en perjuicio de Hoyos, Rosana del Valle; Y HOYOS, ROSANA DEL VALLE por el delito de amenazas en perjuicio de Orlando Modesto Tejerina</t>
  </si>
  <si>
    <t>186898/23</t>
  </si>
  <si>
    <t>ROMERO, JEREMIAS POR EL DELITO DE DESOBEDEINCIA JUDICIAL en perjuicio de J.R.</t>
  </si>
  <si>
    <t>173368/23</t>
  </si>
  <si>
    <t>ALVAREZ, ALBERTO CESAR POR EL DELITO DE EXTORSION POR CHANTAJE</t>
  </si>
  <si>
    <t>161912/19</t>
  </si>
  <si>
    <t>ALDERETE, DAIANA BELEN POR EL DELITO DE ROBO SIMPLE (DOS HECHOS) en perjuicio de Jorge Romero</t>
  </si>
  <si>
    <r>
      <t>PRESO</t>
    </r>
    <r>
      <rPr>
        <sz val="10"/>
        <rFont val="Arial"/>
        <family val="2"/>
      </rPr>
      <t xml:space="preserve"> GARNICA, LUCAS FERNANDO ULISES POR LESINOES Y AMENAZAS CON ARMA AGRAVADA POR EL VINCULO en perjuicio de Barrionuevo, Daniela María</t>
    </r>
  </si>
  <si>
    <t xml:space="preserve"> 10:15</t>
  </si>
  <si>
    <t>Dra. Celeste Bravo - Dra. Ana Laura Farias</t>
  </si>
  <si>
    <r>
      <t>PRESO</t>
    </r>
    <r>
      <rPr>
        <sz val="10"/>
        <rFont val="Arial"/>
        <family val="2"/>
      </rPr>
      <t xml:space="preserve"> ALBIZU Mario Maximiliano por ABUSO SEXUAL CON ACCESO CARNAL en Perj. JHJM Y JHA</t>
    </r>
  </si>
  <si>
    <r>
      <t xml:space="preserve">PRESO </t>
    </r>
    <r>
      <rPr>
        <sz val="10"/>
        <rFont val="Arial"/>
        <family val="2"/>
      </rPr>
      <t>VILLABA, ENRIQUE SEBASTIAN POR ROBO CALIFICADO POR LAS CIRCUANTANCIAS DE HURTO CALIFICADO EN PERJUICIO DE SORUCCO GARCIA, CARMEN SILVIA</t>
    </r>
  </si>
  <si>
    <t xml:space="preserve"> 09:24</t>
  </si>
  <si>
    <t>187100/23</t>
  </si>
  <si>
    <r>
      <t>PRESO</t>
    </r>
    <r>
      <rPr>
        <sz val="10"/>
        <rFont val="Arial"/>
        <family val="2"/>
      </rPr>
      <t xml:space="preserve"> GUZMAN Javier Ernesto por Hurto Calificado por Escalamiento en grado de Tentativa en perj de Mamani Rosario</t>
    </r>
  </si>
  <si>
    <t xml:space="preserve"> 10:36</t>
  </si>
  <si>
    <t>171960/21</t>
  </si>
  <si>
    <t>VARGAS Bejarano Walter - FIGUEROA Victor - TARITOLAY Debora yh ARROYO Prisila por HURTO SIMPLE en perj. De GUYAMAS Milton Leonel</t>
  </si>
  <si>
    <t xml:space="preserve"> 10:40</t>
  </si>
  <si>
    <r>
      <t xml:space="preserve">AGUILERA Roque Alejandro por </t>
    </r>
    <r>
      <rPr>
        <b/>
        <sz val="10"/>
        <rFont val="Arial"/>
        <family val="2"/>
      </rPr>
      <t>Abuso sexual con Acceso canral agravado por la guarda y la convivencia pre-existente (continuado)</t>
    </r>
    <r>
      <rPr>
        <sz val="10"/>
        <rFont val="Arial"/>
        <family val="2"/>
      </rPr>
      <t xml:space="preserve"> en perj de Andrea del Carmen Montial - ABUSO SEXUAL Gravemente Ultrajante Agravado por la guarda y convivencia pre existente en perj. de Angela Gabriela Montial y Abuso Sexual Gravevemente Ultrajante Agravado por le vinculo Guarda y Convivencia preexistente en perj. de su hija menor M.A.M.M todo en concurso Real </t>
    </r>
  </si>
  <si>
    <t>181571/22</t>
  </si>
  <si>
    <t xml:space="preserve">GARAY AINARA Brenda por ESTAFA en perj. De CORDOBA Eduardo </t>
  </si>
  <si>
    <t>185101/23</t>
  </si>
  <si>
    <t>ABAN Daniel ricardo por Abuso Sexual Simpel y abuso sexual con acceso carnale en Concurso Real en perj. De la menor MGCM</t>
  </si>
  <si>
    <t>185083/23</t>
  </si>
  <si>
    <t xml:space="preserve"> 12:02</t>
  </si>
  <si>
    <t>185047/23</t>
  </si>
  <si>
    <t>TARITOLAY Cristian Fabian por Lesiones y Amenasas en perj. De CUELLO Lourdes Anahi</t>
  </si>
  <si>
    <t>185718/23</t>
  </si>
  <si>
    <t>MEDINA Rodrigo Héctor por TENENCIA DE ESTUPEFACIENTES con Fines de Comercializacion</t>
  </si>
  <si>
    <t>185820/23</t>
  </si>
  <si>
    <t>TALAVERA Martin Alejandro por LESIONES LEVES AGRAVADAS por el vinculo Y lesiones Leves Agravadas por el Vinculo y por Violecia de Género  - Amenazas y Desobediencia Judiaicl en CONCURSO REAL en perj. De TOLAVA María del Rosario</t>
  </si>
  <si>
    <t>181524/23</t>
  </si>
  <si>
    <t xml:space="preserve">VAZQUEZ Dora Ofelia por Desobediencia Judicial en perj. De Migliorino Jose Luis </t>
  </si>
  <si>
    <t>180024/23</t>
  </si>
  <si>
    <t>PANTERA Carlos Ariel por USURPACION de TITULOS Y ESTAFAS REITERADAS (cinco hechos) EN CONCURSO IDEAL en perj. De ZURRO Agustina</t>
  </si>
  <si>
    <t>178034/23</t>
  </si>
  <si>
    <t>PEREZ Miguel Enrique por Lesiones Leves agravadas por la Relacion de Pareja preexistente y por Mediar Violencia de Género en perj. De GOMEZ Lorena Maribel</t>
  </si>
  <si>
    <t xml:space="preserve"> 13.05</t>
  </si>
  <si>
    <t xml:space="preserve">PAVONI Cesar Daniel por RESISTENCIA A LA AUTORIDAD en perj. De </t>
  </si>
  <si>
    <t>183128/23</t>
  </si>
  <si>
    <t>CRUZ Tomasa Herlinda por DESOBEDIENCIA JUDICIAL en perj. De ALANCAY Martin Simon</t>
  </si>
  <si>
    <t xml:space="preserve"> 08:52</t>
  </si>
  <si>
    <t>186760/23</t>
  </si>
  <si>
    <r>
      <t>PRESO</t>
    </r>
    <r>
      <rPr>
        <sz val="10"/>
        <rFont val="Arial"/>
        <family val="2"/>
      </rPr>
      <t xml:space="preserve"> FERRONI LARRAN Jose Maria por DAÑOS (tres hechos) LESIONES LEVESA AGRAVADAS POR LA RELACION DE PAREJA PREVIA Y POR EL GÉNERO (CUATRO HECHOS) AMENAZAS (DOS HECHOS) COACCION Y AGRESION CON ARMA IMPROPIA en perj. Del menor BYRON Román Bizgarra Muñoz EN CONCURSO REAL</t>
    </r>
  </si>
  <si>
    <t xml:space="preserve"> 12:34</t>
  </si>
  <si>
    <t>186976/23</t>
  </si>
  <si>
    <t>FLORES Luis Federico por AMENAZAS (2 HECHOS) Y RESISTENCIA A LA AUTORIDAD, EN CONCURSO REAL en perj. CARRASANA, Pablo - CORDOBA Oscar Matias y Personal Policial</t>
  </si>
  <si>
    <r>
      <t>PRESO</t>
    </r>
    <r>
      <rPr>
        <sz val="10"/>
        <rFont val="Arial"/>
        <family val="2"/>
      </rPr>
      <t xml:space="preserve"> ORTIZ Gustavo Adrián por AMENAZAS CON ARMA (DOS HECHOS) PRIVACION ILEGTIMIA DE LA LIBERTAD AGRAVADA - PORTACION ILEGITIMA DE ARMAS DE FUEGO - ABUSO DE ARMA AGRAVADA Y DESOBEDIENCIA JUDICIAL Agravada por el empleo de un arma de fuego (dos hechos - COACCION CON ARMA AGRAVADA POR EL USO DE ARMA DE FUEGO - VIOLACION DE DOMICILIO AGRAADA POR EL USO DE ARMA DE FUEGO TODO EN CONCURSO REAL en perj. JEREZ Ana Carla</t>
    </r>
  </si>
  <si>
    <t xml:space="preserve"> 12:29</t>
  </si>
  <si>
    <t>178065/22</t>
  </si>
  <si>
    <t>LUNA Jacobo Nicolas - MORALES Josue Rafael y URZAGASTI Kevin Leonardo por ROBO EN POBLADO Y EN BANDA en perj. De ASENSCIO Manuel Jose</t>
  </si>
  <si>
    <t xml:space="preserve"> 12:27</t>
  </si>
  <si>
    <t>184211/22</t>
  </si>
  <si>
    <t>DIONISIO Rogeglio Reyes por AMENAZAS (3 hechos) - LESIONES LEVES Y DAÑOS en CONCURSO REAL - Angel Gabriel Reyes por los delitos de AMENAZAS - LESIONES LEVES Y DAÑOS -- JOSE ORLANDO GOMEZ por AMENAZAS - LEONARDO ROBINSON PIZARRO por AMENAZAS Y CRISTIAN GERMAN ACOSTA por AMENAZAS</t>
  </si>
  <si>
    <t>183866/23</t>
  </si>
  <si>
    <t>CARDOZO Gerardo Leopoldo por Dañós y Desobediencia Judicial en Concurso Ideal en perj. De Yisela Evangelina Rios</t>
  </si>
  <si>
    <t xml:space="preserve"> 09:38</t>
  </si>
  <si>
    <t>BRIONES Nestor Nicolas por DESOBEDIENCIA JUDICIAL en perj. De BRIONES Rosa Trinidad</t>
  </si>
  <si>
    <t>184384/23</t>
  </si>
  <si>
    <t>184941/23</t>
  </si>
  <si>
    <t>BRIZ Luis Ricardo por Abuso Sexual Simple (Continuado) Agravado por el Vinculo y la Convivencia con Menor de 18 años en perj. De MSB</t>
  </si>
  <si>
    <t>179649/22</t>
  </si>
  <si>
    <t xml:space="preserve"> 12:32</t>
  </si>
  <si>
    <t>185938/23</t>
  </si>
  <si>
    <t>SERAPIO Ariel Elias por DAÑOS LESIONES DOBLEMENTE AGRAVADAS POR LA RELACION DE PAREJA PREEXISTENTE Y POR EL GÉNERO Y DESOBEDIENCIA JUDICIAL EN CONCURSO REAL en perj. De ELIDA MARIELA ZERPA</t>
  </si>
  <si>
    <t>182099/23</t>
  </si>
  <si>
    <t>184018/23</t>
  </si>
  <si>
    <r>
      <t>PRESO</t>
    </r>
    <r>
      <rPr>
        <sz val="10"/>
        <rFont val="Arial"/>
        <family val="2"/>
      </rPr>
      <t xml:space="preserve"> BELLANDI Ruben Antonio por Desobediencia Judicial y Lesiones en perj. De SERNA Sonia Maria </t>
    </r>
  </si>
  <si>
    <r>
      <t>PRESO</t>
    </r>
    <r>
      <rPr>
        <sz val="10"/>
        <rFont val="Arial"/>
        <family val="2"/>
      </rPr>
      <t xml:space="preserve"> DIAZ, JESICA ELIZABETH; GONZALEZ, CESAR DOMINGO; MERCADO, VICTOR GUSTAVO; RIVERO, CRISTIAN RONALDO; RIVERO, NICOLAS ALEJANDRO POR TENENCIA DE ESTUPEFACIENTES CON FINES DE COMERCIALIZACION</t>
    </r>
  </si>
  <si>
    <r>
      <t>PRESO</t>
    </r>
    <r>
      <rPr>
        <sz val="10"/>
        <rFont val="Arial"/>
        <family val="2"/>
      </rPr>
      <t xml:space="preserve"> VIVERO Jose Antonio por ABUSO SEXUAL CON ACCESO CARNAL CONTINUADO AGRAVADO POR LA CONVIVENCIA en perj. De Celeste Emilia Marin</t>
    </r>
  </si>
  <si>
    <t xml:space="preserve"> 09:46</t>
  </si>
  <si>
    <t>176108/22</t>
  </si>
  <si>
    <t>LAHAM MOISES Axel por LESIONES (dos hechos) EN CONCURSO REAL en perj. De DOMINGUEZ MARCELO JAVIER</t>
  </si>
  <si>
    <t>145788/17</t>
  </si>
  <si>
    <t>ESTRADA Juan Daniel y ESTRADA Benjamin (menor) por TENENCIA DE ESTUPEFACIENTE CON FINES DE COMARCIALIZACION</t>
  </si>
  <si>
    <t xml:space="preserve"> 12:46</t>
  </si>
  <si>
    <t>184630/23</t>
  </si>
  <si>
    <t>PELOC Hugo Orlando por ESTAFA en perj. De SAN MARTIN Gustavo Hernàn</t>
  </si>
  <si>
    <t>183923/23</t>
  </si>
  <si>
    <t>HREN Franco Exequiel por LESIONES AGRAVADAS POR LA RELACION DE PAREJA PREVIA Y GÉNERO en perj. De SALAZAR Graciela Alejandra</t>
  </si>
  <si>
    <t xml:space="preserve"> 12:59</t>
  </si>
  <si>
    <t>181385/22</t>
  </si>
  <si>
    <t>BURGOS Martin Nicolas por LESIONES LEVES AGRAVADAS por la relacion de parjea preexistente y por mediar Violencia de Género y AMENAZAS en perj. De MONTENEGRO Griselda Victoria -ATENTADO A LA AUTORIDAD Y DAÑOS CALIFICADOS Sobre Bienes de uso Publica TODO EN CONCURSO REAL</t>
  </si>
  <si>
    <t>179332/23</t>
  </si>
  <si>
    <t>ROGRIGUEZ Maria Galdys por AMENAZAS - LESIONES y AMENAZAS y DESOBEDIENCIA JUDICIAL (dos hechos) EN CONCURSO REAL - VALERIA CACILIA ORTEGA y FATIMA JULIETA AGUIRRE por AMENAZAS (dos hechos) DESOBEDIENCIA JUDICIAL Y LESIONES - MARINA ALEJANDRA YURQUINA por AMENAZAS - LESIONES Y DESOBEDIENCIA JUDICIAL EN CONCURSO REAL -- MARIANA ELIZABETH MAMANI POR LESIONES - AMENAZAS EN CONCURSO REAL en perj. de AGURRRE Fátima Julieta</t>
  </si>
  <si>
    <t>186058/23</t>
  </si>
  <si>
    <t>MOLINA Alfredo Falvio por HOMICIDIO CULPOSOS por la CONDUCCION IMPRUDENTE NEGLIGENTE O ANTIRREGLAMENTARIA DE UN VEHÍCULO CON MOTOR Y LESIONES CULPOSAS GRAVES POR LA CONDUCCCIÓN IMPRUDENTE NEGLIGENTE O ANTIRREGLAMENARA DE UNA VEHÍCULO CON MOTOR EN CONCURSO IDEAL EN perj. dej PICHOTTI Tomas Horacio (fallecido) - GALLARDO Osvaldo Amado</t>
  </si>
  <si>
    <t>177046/22</t>
  </si>
  <si>
    <t>BAUTISATA ROMINA por LESIONES AGRAVADAS POR EL VINCULO en perj.m Bautista Mateo (menor)</t>
  </si>
  <si>
    <t xml:space="preserve"> 08:28</t>
  </si>
  <si>
    <t>184836/23</t>
  </si>
  <si>
    <t>GARNICA Miguel Osvaldo por ROBO CALIFICADO por Haberse Cometido en Pobaldo y en banda en perj. De Mariano Misael Mercado</t>
  </si>
  <si>
    <t xml:space="preserve"> 08:07</t>
  </si>
  <si>
    <t>184916/23</t>
  </si>
  <si>
    <t>AGUIRRE Carlos Alberto  DESOBEDIENCIA JDICIAL en perj. De RUIZ CAROLINA SOLEDAD</t>
  </si>
  <si>
    <t>185563/23</t>
  </si>
  <si>
    <t>ISASMANDI Juan Antonio por LESIONES LEVES AGRAVADAS por la relacion de pareja y violencia de género y Amenazas todo en CONCURSO REAL en perj. De REYES María de los Angeles</t>
  </si>
  <si>
    <t>180383/22</t>
  </si>
  <si>
    <t>IBARRA Miguel Enrique por ROBO CALIFICADO POR PERPETRARSE CON ESCALAMIENTO EN GRADO DE TENTATIVA en perj. De ARANCIABIA Bertha Serrudo</t>
  </si>
  <si>
    <t>187595/23</t>
  </si>
  <si>
    <t>RODRIGUEZ Mauricio Daniel por LESIONES LEVES AGRAVADAS POR LA RELACION DE PAREJA PREEXISTENTE Y POR MEDIAR VIOLENCIA DE GÉNERO ROBO SIMPLE Y PRIVACION ILEGITIMA DE LA LIBERTAD EN PERJ. DE Carla Bautista</t>
  </si>
  <si>
    <t xml:space="preserve"> 08:;00</t>
  </si>
  <si>
    <t>145249/17</t>
  </si>
  <si>
    <t xml:space="preserve">GAITANO Juan Emanuel TENENCIA DE ESTUPEFACIENTE CON FINES DE COMERCIALIZACION </t>
  </si>
  <si>
    <t>176749/22</t>
  </si>
  <si>
    <t xml:space="preserve">NUÑEZ Marcos Leonardo y BRUNO Ivan Jesus por ROBO SIMPLE en Grado de Ttva en perj. </t>
  </si>
  <si>
    <t>186644/23</t>
  </si>
  <si>
    <t>QUEVEDO Jose Luis Fernando y ABENDAÑO Jorge Fransico por ROBO DOBLEMENTE CALIFICADO POR TRATARSE DE LA SUSTRACCION DE VEHICULO DEJADO EN LA VIA PUBLICA Y HABER SIDO PERPETRADO EN POBALDO Y BANDA y A DIAZ PERDIGUERO Lautaro Isaias por ROBO DOBLMENTE Calificado por TRATARSE de la Sustraccion de Vehiculo dejado en la vía Publica y Haber sido Perpetrado en Poblado y en Banda Agravado por la Participacion de un Menor en perj. de JUAREZ Fernando Emanuel</t>
  </si>
  <si>
    <t>176799/22</t>
  </si>
  <si>
    <t>FLORES Javier Fidel por ROBO SIMPEL en perj. De QUIPILDOR Nancy Carolina</t>
  </si>
  <si>
    <t>165808/20</t>
  </si>
  <si>
    <t>FLORES Sergio Adrian por Robo y Violacion de Medidas Sanitarias en Concurso Real en perj. De Ramón Jesus QUIROGA</t>
  </si>
  <si>
    <t xml:space="preserve"> 12:55</t>
  </si>
  <si>
    <t>161649/19</t>
  </si>
  <si>
    <t>DOMINGUEZ Claudio Maria por Robo en perj. De ANDRADE Cintia Yanina</t>
  </si>
  <si>
    <t xml:space="preserve"> 12:39</t>
  </si>
  <si>
    <t>184809/23</t>
  </si>
  <si>
    <t xml:space="preserve">AGUILAR VERA Guillermo Nicolas por ATENTADO A LA AUTORIDAD en perj. </t>
  </si>
  <si>
    <t>Dr. Granero Vallaro Jose Sebastian MP 2510</t>
  </si>
  <si>
    <t xml:space="preserve"> 08:43</t>
  </si>
  <si>
    <t>186628/23</t>
  </si>
  <si>
    <t xml:space="preserve"> 13:10</t>
  </si>
  <si>
    <t>160445/19</t>
  </si>
  <si>
    <t xml:space="preserve">DELGADILLO, Anibal Gustavo y CONTRERAS Daniel Alejandro por Privacion Ilegitima de la Libertad Agravado por el Uso de Vioelncia y Lesiones Leves en Concurso Ideal y a CONTREAS Gabriela Irene imputada por PRIVACION ILEGITIMA DE LA LIBERTAD AGRAVAD POR EL USO DE VIOLENCIA Y LESIONES LEVES EN CONCURSO IDEAL EN CONCUROS REAL CON LESIONES LEVES EN PERJUCIO DE FARFAN VERA JORGE DAVID </t>
  </si>
  <si>
    <t>Dr. Miguel Mena</t>
  </si>
  <si>
    <t>Dr. Miguel Patricio Mena MP 1525</t>
  </si>
  <si>
    <t>187076/23</t>
  </si>
  <si>
    <t>TAPIA Antonio Joaquin por Desobediencia Judicial en perj. De GUZMAN Marta</t>
  </si>
  <si>
    <t>186537/23</t>
  </si>
  <si>
    <t>CRUZ Cristian Alejandro por EVASION Y PEÑALOZA Cristina por AMENAZAS ATENTADO A LA AUTORIDAD Y EVASION TODO EN CONCURSO REAL en perj. De PERSONAL POLICIAL</t>
  </si>
  <si>
    <r>
      <t>PRESO</t>
    </r>
    <r>
      <rPr>
        <sz val="10"/>
        <rFont val="Arial"/>
        <family val="2"/>
      </rPr>
      <t xml:space="preserve"> MAIDANA Eduardo Gabriel por Lesiones Agravadas y AMENAZAS en perj. De HERRERA Lucia Aldana - acum 174751/21</t>
    </r>
  </si>
  <si>
    <t>Dr. Nicolas Vedia MP 3742</t>
  </si>
  <si>
    <r>
      <t>PRESO</t>
    </r>
    <r>
      <rPr>
        <sz val="10"/>
        <rFont val="Arial"/>
        <family val="2"/>
      </rPr>
      <t xml:space="preserve"> GUTIERREZ Pedro Simon por Abuso Sexual con Acceso Carnal en perj. De GYL</t>
    </r>
  </si>
  <si>
    <r>
      <t>PRESO</t>
    </r>
    <r>
      <rPr>
        <sz val="10"/>
        <rFont val="Arial"/>
        <family val="2"/>
      </rPr>
      <t xml:space="preserve"> CASTILLO Walter Jose por AMENAZAS CON ARMA en perj. De ZELAYA LESCANO Rafael Janeth</t>
    </r>
  </si>
  <si>
    <r>
      <t>PRESO</t>
    </r>
    <r>
      <rPr>
        <sz val="10"/>
        <rFont val="Arial"/>
        <family val="2"/>
      </rPr>
      <t xml:space="preserve"> TORRES Hecotr Daniel por LESIONES LEVES AGRAVADAS POR LA RELACION DE PAREJA PREEXISTENTE Y POR MEDIAR VIOLENCIA DE GENERO - LESIONES GRAVES CALIFICADAS POR LA RELACION DE PAREJA PREEXISTENTE Y POR MEDIAR VIOLENCAI DE GENERO Y DESOBEDIENCIA JUDICIAL (DOS HECHOS) en CONCURSO REAL en perj de SARAVIA Luisa Mariel</t>
    </r>
  </si>
  <si>
    <t xml:space="preserve"> 11:36</t>
  </si>
  <si>
    <t xml:space="preserve"> 11:38</t>
  </si>
  <si>
    <t xml:space="preserve"> 09:37</t>
  </si>
  <si>
    <t xml:space="preserve"> 10:10</t>
  </si>
  <si>
    <t xml:space="preserve"> 09:35</t>
  </si>
  <si>
    <t>186464/23</t>
  </si>
  <si>
    <r>
      <t>PRESO</t>
    </r>
    <r>
      <rPr>
        <sz val="10"/>
        <rFont val="Arial"/>
        <family val="2"/>
      </rPr>
      <t xml:space="preserve"> ELAL Angel Zeman por HURTO DESOBEDIENCIA JUDICIAL - VIOLACION DE DOMICILIO (4 HECHOS) en perj. De MOLINA Patricia Sandra </t>
    </r>
  </si>
  <si>
    <t>181713/22</t>
  </si>
  <si>
    <t>Dr. Baldomero Mirando Bona</t>
  </si>
  <si>
    <r>
      <t>PRESO</t>
    </r>
    <r>
      <rPr>
        <sz val="10"/>
        <rFont val="Arial"/>
        <family val="2"/>
      </rPr>
      <t xml:space="preserve"> SALVA Ester del Valle y LLANES Juan Pablo por Estilionato (dos hechos) y DESOBEDIENCIA JUDICIAL en perj. De ESTRADA Arce Diego Ivan</t>
    </r>
  </si>
  <si>
    <t>SIN</t>
  </si>
  <si>
    <t>183745/23</t>
  </si>
  <si>
    <r>
      <t>PRESO</t>
    </r>
    <r>
      <rPr>
        <sz val="10"/>
        <rFont val="Arial"/>
        <family val="2"/>
      </rPr>
      <t xml:space="preserve"> CASTILLA, DANIEL SEBASTIAN POR HOMICIDIO AGRAVADO POR SER COMETIDO CONTRA FUNCIONARIO PUBLICO EN PERJUICIO DE CARDOZO ROMERO, FATIMA VIRGILIA Y HOMICIDIO AGRAVADO POR SER COMETIDO EN PERJUICIO DE UN MIEMBRO DE LA FUERZA POLICIAL, POR SU FUNCIóN CARGO O CONDICION, EN GRADO DE TENTATIVA, COMETIDO EN PERJUICIO DE SARAVIA, RAMIRO EZEQUIEL; AMBOS EN CONCURSO IDEAL  (A.P. 475/23; 476/23 Y 477/23 DEL DESTACAMENTO POLICIAL VILLA PALACIOS)</t>
    </r>
  </si>
  <si>
    <t>176617/22</t>
  </si>
  <si>
    <t>TAGUADA Tomas de la Vega por PRIVACION ILEGTIMIA DE LA LIBERTAD AGRAVADA POR EL USO DE VIOLENCIA en perj. De una person a la que debe respeto particual dos hechos en CONCURSO REAL en perj. De CORRAL Florencia Anahi</t>
  </si>
  <si>
    <t xml:space="preserve"> 10:18</t>
  </si>
  <si>
    <t xml:space="preserve"> 09:42</t>
  </si>
  <si>
    <t>181615/23</t>
  </si>
  <si>
    <t>GONZALEZ Jorge Victor por LESIONES LEVES AGRAVADAS POR SER LA VICTIMA MIEMBRO DE LA FUERZA POLICIAL</t>
  </si>
  <si>
    <t>185229/23</t>
  </si>
  <si>
    <t>MAMANI Sergio David por AMENAZAS Y RESISTENCIA A LA AUTORIDAD en CONCURSO REAL en perj. De PADIAL Daiana Ximena</t>
  </si>
  <si>
    <t>187381/23</t>
  </si>
  <si>
    <t>168885/20</t>
  </si>
  <si>
    <t>GARCIA Ruben Horacio por ABUSO SEXUAL SIMPLE AGRAVAD POR LA GUARDA en perj de RC (14)</t>
  </si>
  <si>
    <t>182837/23</t>
  </si>
  <si>
    <t xml:space="preserve"> 09:11</t>
  </si>
  <si>
    <t>CORREGIDOR Daniel Alejandro por COACCION en perj. De DURAND Jorge Emiliano</t>
  </si>
  <si>
    <t>184644/23</t>
  </si>
  <si>
    <t>OVEJERO Federico Rafael por HURTO CALIFICADO (5 hechos) en perj. De SANZ VEGA Jose</t>
  </si>
  <si>
    <r>
      <t>PRESO</t>
    </r>
    <r>
      <rPr>
        <sz val="10"/>
        <rFont val="Arial"/>
        <family val="2"/>
      </rPr>
      <t xml:space="preserve"> CHOCOBAR RIVERA Cristian matias Davied por HURTO SIMPLE - AMENAZAS en CONCURSO REAL en perj. De ECHAZU Daniela Beatriz</t>
    </r>
  </si>
  <si>
    <t xml:space="preserve"> 12:44</t>
  </si>
  <si>
    <t>185560/23</t>
  </si>
  <si>
    <t xml:space="preserve"> 12:45</t>
  </si>
  <si>
    <t xml:space="preserve">VEGA RODRIGUEZ Jorge Alejandro por AMENAZAS en perj. De MALCO Cinthia </t>
  </si>
  <si>
    <t>183764/23</t>
  </si>
  <si>
    <t>CORONEL Marianela de loa Angeles y CUEVAS Jose Ignacio por ROBO CALIFICADO POR ESCALAMIENTO EN GRADO DE TENTATIVA y ROBO CALIFICADO POR ESCALAMIENTO EN GRADO DE TENTATIVA Y AMANEZAS CON ARMAS IMPROPIAS EN CONCURSO REAL en perj. De GEREZA Maria Martina</t>
  </si>
  <si>
    <t xml:space="preserve"> 12:28</t>
  </si>
  <si>
    <t>185620/23</t>
  </si>
  <si>
    <t>CABRERA Marcos Saul y GUZMAN Nahuel Facundo Daniel por VEJACIONES CALIFICADAS POR EL USO DE LA VIOLENCIA - AMENAZAS - FALSEDAD IDEOLOGICA en perj. De BIZCARRA Victor Oscar</t>
  </si>
  <si>
    <t>185594/23</t>
  </si>
  <si>
    <t>COPA Maximiliano Sebastian por ROBO SIMPEL (dos hechos) - HURTO SIMPLE en CONCURSO REAL en perj. De MEJIAS Marilu Giorgina</t>
  </si>
  <si>
    <t xml:space="preserve"> 10:41</t>
  </si>
  <si>
    <t xml:space="preserve"> 180324/22</t>
  </si>
  <si>
    <t>BONO Jorgelina Nanci y SOTO Carlos Gabriel por ESTAFA en perj. De WAYAR Francisco Jose</t>
  </si>
  <si>
    <t>183320/23</t>
  </si>
  <si>
    <t>187525/23</t>
  </si>
  <si>
    <t>GUZMAN Leonardo Daniel por AMENAZAS (dos hechos) - y DESOBEDIENCIA JUDICIAL (tres hechos) - TODO EN CONCURSO REAL en perj. De GUZMAN Angel Daniel</t>
  </si>
  <si>
    <t>181554/22</t>
  </si>
  <si>
    <t>BERRAL Hector Ricardo por USURPACION y LESIONES LEVESA AGRAVADAS POR EL GÉNERO EN CONCURSO REAL en perj. De LOLAVAERRY Carlos y JANIN Cecilia</t>
  </si>
  <si>
    <t>182857/23</t>
  </si>
  <si>
    <t>SAIRE Maria Nelida por DAÑOS (dos hechos) Y AMENAZAS CON ARMA - TODO EN CONCURSO REAL en perj. De CORDOBA Marta Isabel</t>
  </si>
  <si>
    <t>186728/23</t>
  </si>
  <si>
    <t>CHAILE Jorge Horacio por HURTO SIMPEL en perj. De ORELLANA Enrique Anibal</t>
  </si>
  <si>
    <t>179147/23</t>
  </si>
  <si>
    <t>LOPEZ Braulio Javier por AMENAZAS (dos hechos) en perj. De LAIME Ivana Rocío</t>
  </si>
  <si>
    <t>187489/23</t>
  </si>
  <si>
    <t>FARFAN Jose Lucio por DESOBEDIENCIA JUDICIAL en perj. SOSA Antonella</t>
  </si>
  <si>
    <t>186901/23</t>
  </si>
  <si>
    <t>CASIMIRO Marcelo Oscar por ABUSO SEXUAL SIMPEL AGRAVADO POR SER COMETIDO EN CONTRA DE UN MERNO DE 18 AÑOS APROVECHANDO LA SITUACION DE CONVIVENCIA PREESISTENTE - CONTINUIDAD - EN CONCURSO REAL ABUSO SEXUAL CON ACCESO CARNAL AGRAVADO POR SER COMETIDO CONTRA UNA MENOR DE 18 AÑOS APROVECHANDO LA SITUACION DE CONVIVENCIA PREESISTENTE en perj. de la menor GJNL</t>
  </si>
  <si>
    <t xml:space="preserve"> 12:42</t>
  </si>
  <si>
    <t>164722/20</t>
  </si>
  <si>
    <t>QUIPILDOR Cristian Omar por AMENAZAS CON ARMA en perj. De MARAZ Mariela Jorgelina</t>
  </si>
  <si>
    <t xml:space="preserve"> 12:41</t>
  </si>
  <si>
    <t>187307/23</t>
  </si>
  <si>
    <t>MIRANDA Luis Cesar por LESIONES AGRAVADAS POR LA RELACION DE PAREJA PREEXISTENTE Y POR COSNITUTIR VIOLENCIA DE GENERO Y AMENZAS  - LESIONES AGRAVADAS POR LA RELACION DE PAREJA PREEXISTENTE Y POR CONSTITUIR VIOLENCIA DE GÉNERO - AMANAZAS - VIOLACION DE DOMICILIO Y DESOBEDIENCIA JUDICIAL TODO EN CONCURSO REAL en perj. De ROMERO Belén Andrea</t>
  </si>
  <si>
    <t>185674/23</t>
  </si>
  <si>
    <t>Dr. Damuri Juan Jose MP 5250</t>
  </si>
  <si>
    <t>182565/23</t>
  </si>
  <si>
    <t xml:space="preserve">BARROSO GUAYMAS Juan Leone por AMENAZAS AGRAVADAS POR EL USO DE ARMA y DESOBEDIENCIA JUDICIAL - LESIONES LEVES - AMENAZAS Y ROBO  - VIOLACION DE DOMIICILIO Y AMENAZAS - AMENAZAS - AMENAZAS AGRAVADAS POR EL USO DE ARMAS Y DESOBEDIENCIA JUDICIAL l en perj de JANET DEL MILAGRO CANABIDE (ex pareja) - CARMEN LILIANA BARROSO (madre) y JOANA ELIZABETH GUAYMAS BARROSO (hermana) </t>
  </si>
  <si>
    <t xml:space="preserve"> 12:53</t>
  </si>
  <si>
    <t>185035/23</t>
  </si>
  <si>
    <t>ALFARO Juan Antonio  - CHAPARRO Juan Antonio - CHAPARRO Juan Gabriel y LIZONDO Elizabeth Carolina por ROBO DOBLEMENTE CALIFICADO por COMETERSE EN POBALDO Y EN BANDA Y DE MERCADERIA U OTRAS COSAS MUEBLES EN TRANSITO Y HURTO SIMPLE EN CONCURSO REAL AGRAVADO POR LA PARTICIPACION DE UN MENOR</t>
  </si>
  <si>
    <t xml:space="preserve"> 10:14</t>
  </si>
  <si>
    <t>185326/23</t>
  </si>
  <si>
    <r>
      <t>PRESO</t>
    </r>
    <r>
      <rPr>
        <sz val="10"/>
        <rFont val="Arial"/>
        <family val="2"/>
      </rPr>
      <t xml:space="preserve"> FONSECA Emiliano Diego Matias por AMENAZAS - LESIONES LEVES AGRAVDAS POR LA RELACION DE PAREJA Y POR EL GENERO en perj. De RIVERA Maria Luz</t>
    </r>
  </si>
  <si>
    <t>186645/23</t>
  </si>
  <si>
    <t>GOMEZ Francisco Benjamin por AMENAZAS y RESISTENCIA A LA AUTORIDAD en CONCURSO REAL en perj. De Julio Leiva</t>
  </si>
  <si>
    <t xml:space="preserve"> 08:58</t>
  </si>
  <si>
    <t>181498/22</t>
  </si>
  <si>
    <t>ROYANO Analia del Carmen por LESIONES LEVES en perj. De LAMAS Paola Magali</t>
  </si>
  <si>
    <t xml:space="preserve"> 08:53</t>
  </si>
  <si>
    <t>174304/21</t>
  </si>
  <si>
    <t>DINO Y FEDERICO Ale por LESIONES GRAVES en perj. De MEDINA Emilio</t>
  </si>
  <si>
    <t>Delegacion Cnel Moldes</t>
  </si>
  <si>
    <t>182010/22</t>
  </si>
  <si>
    <r>
      <t>PRESO</t>
    </r>
    <r>
      <rPr>
        <sz val="10"/>
        <rFont val="Arial"/>
        <family val="2"/>
      </rPr>
      <t xml:space="preserve"> CRUZ Marcos Leoncio por ABUSO SEXUAL CON ACCESO CARNAL AGRAVADO POR EL VINCULO Y POR LA CONVIVENCIA PREEXISTENTE (cotinuado) en perj. De la menor LAR</t>
    </r>
  </si>
  <si>
    <r>
      <t>PRESO</t>
    </r>
    <r>
      <rPr>
        <sz val="10"/>
        <rFont val="Arial"/>
        <family val="2"/>
      </rPr>
      <t xml:space="preserve"> PATRECE PRIETO Facundo Nicolas por ABUSO SEXUAL CON ACCESO CARNAL en perj del menor SLC</t>
    </r>
  </si>
  <si>
    <t>Dr. Juan Casabella Davalos MP Nº 1516</t>
  </si>
  <si>
    <t>Dr. Jose Domingo Temporetti MP 530</t>
  </si>
  <si>
    <t>Dr. Josue Diaz Cueto MP 5832</t>
  </si>
  <si>
    <t>185513/23</t>
  </si>
  <si>
    <t xml:space="preserve"> 12:35</t>
  </si>
  <si>
    <t>GUZMAN Oscar Leonel por HURTO CALIFICADO por Escalamiento en grado de Tentativa en perj. De Castro Ariel Fernando</t>
  </si>
  <si>
    <t xml:space="preserve"> 10:05</t>
  </si>
  <si>
    <t>152010/23</t>
  </si>
  <si>
    <t>NAVARRO Sergio Gabriel por ROBO DOBLEMENTE AGRAVADO POR EL USO DE ARMA Y EN POBLADO Y EN BANDA en perj. De YAPURA Cristian Angel</t>
  </si>
  <si>
    <t xml:space="preserve"> 08:10</t>
  </si>
  <si>
    <t>175743/23</t>
  </si>
  <si>
    <t>181064/23</t>
  </si>
  <si>
    <t>186896/23</t>
  </si>
  <si>
    <t>176860/22</t>
  </si>
  <si>
    <t xml:space="preserve">COLQUE Lautaro Brayan Ruben por AMENAZAS en pejr. De Salinas Felix y LESIONES GRAVES en perj. De GUAYMAS Eduardo EN CONCURSO REAL </t>
  </si>
  <si>
    <t xml:space="preserve"> 09:29</t>
  </si>
  <si>
    <t>175570/21</t>
  </si>
  <si>
    <t>NINA Ramiro Marcelo por AGRESION CON ARMA IMPROPIA - LESIONES LEVESA AGRAVADAS POR LA RELACION DE PAREJA PREVIA y POR EL GÉNERO Y COACCION EN CONCURSO REAL en perj. De Nora Elana Soria</t>
  </si>
  <si>
    <t xml:space="preserve"> 10:06</t>
  </si>
  <si>
    <t>176353/23</t>
  </si>
  <si>
    <t>REINOZO Ruben Arnaldo por COACCION - AMENAZAS CON ARMAS y DESOBEDIENCIA JUDICIAL EN perj. De Elsa Analia Morales</t>
  </si>
  <si>
    <t>178394/23</t>
  </si>
  <si>
    <t>VILLARRUBIA Samuel Humberto por PRIVACION ILEGITIMA DE LA LIBERTAD en perj. De VILLARRUBIA Estrada Vanesa Roxana</t>
  </si>
  <si>
    <t xml:space="preserve"> 09:55</t>
  </si>
  <si>
    <t>186764/23</t>
  </si>
  <si>
    <r>
      <t>PRESO</t>
    </r>
    <r>
      <rPr>
        <sz val="10"/>
        <rFont val="Arial"/>
        <family val="2"/>
      </rPr>
      <t xml:space="preserve"> HUMANO Diego Alejandro por ROBO SIMPLE EN GRADO DE TENTATIVA y HURTO EN GRADO DE TENTATIVA - AMENAZAS CON ARMA (DOS HECHOS) en perj. De MARCO Adriana Marcela y VIRGILIO ZAMBRANO Marcela</t>
    </r>
  </si>
  <si>
    <t xml:space="preserve"> 10:22</t>
  </si>
  <si>
    <t>168052/20</t>
  </si>
  <si>
    <t>LEANDRAS Gustavo y LEANDRAS Daniel por ESTAFA en perj. De SERAFIN MAMANI</t>
  </si>
  <si>
    <t>171831/21</t>
  </si>
  <si>
    <t>ANCE Fernando Daniel por LESIONES DOBLEMENTE AGRAVADAS POR EL GÉNERO en perj. De VILTE Inés Rocío</t>
  </si>
  <si>
    <t xml:space="preserve"> 10:25</t>
  </si>
  <si>
    <t>173662/21</t>
  </si>
  <si>
    <t>ORTIZ Norma Beatriz por LESIONES LEVESA AGRAVADA POR EL VINCULO y DESOBEDIENCIA JUDICIAL EN CONCURSO REAL en perj. Del Orden Público y Ana Yante Barrionuevo (m)</t>
  </si>
  <si>
    <t xml:space="preserve"> 10:20</t>
  </si>
  <si>
    <t>CHAILE Maximiliano Agustin por TENENCIA DE ESTUPEFACIENTES CON FINES DE COMERCIALIZACION</t>
  </si>
  <si>
    <t>178890/23</t>
  </si>
  <si>
    <t>ROYO Cesar Alberto por ABIGEATO en perj. BARTOLETTI Walter Osvaldo</t>
  </si>
  <si>
    <t>181673/22</t>
  </si>
  <si>
    <t>VILLALVA Jorge Martin por HURTO SIMPLE en pjer. De DURAN María Luisa</t>
  </si>
  <si>
    <t xml:space="preserve"> 10:12</t>
  </si>
  <si>
    <t>187347/23</t>
  </si>
  <si>
    <t>CRUZ Pablo Alejandro por HURTO CALIFICADO en Grado de Tentativa en perj. De GUSTAVO COPA</t>
  </si>
  <si>
    <t>ROCHA Darioa por INCUMPLIMIENTO de los DEBERES DE ASISTENCIA FAMILIAR</t>
  </si>
  <si>
    <t>185328/23</t>
  </si>
  <si>
    <t xml:space="preserve">BAUTISTA Victor por COACCION (dos hechos) EN CONCURSO REAL en perj. De </t>
  </si>
  <si>
    <t>187568/23</t>
  </si>
  <si>
    <t>OCARANZA Victor por AMENAZAS - LESIONES LEVES AGRAVADAS POR EL GENERO Y LA RELACION PREEXISTNETE - COACCION Y DESOBEDIENCIA JUDICIAL (dos hechos) TODO EN CONCURSO REAL</t>
  </si>
  <si>
    <t>177447/22</t>
  </si>
  <si>
    <t>MELONI Claudio Alejandro por HURTO SIMPLE en perj. De PALAVECINO Veronica Abigail</t>
  </si>
  <si>
    <t>159859/19</t>
  </si>
  <si>
    <t>GASPAR Martin Calixto por Adulteracion de Instrumento Publico</t>
  </si>
  <si>
    <t>164200/20</t>
  </si>
  <si>
    <t xml:space="preserve">WILDE VELAZQUEZ por ADMINISTRACION FRAUDULENTA en perj. De </t>
  </si>
  <si>
    <t>BARRIONUEVO Julio Cesar por HURTO SIMPLE en Grado de Ttva. Y DESOBEDIENCIA JUDICIAL en perj. De DIAZ Cristian Federico</t>
  </si>
  <si>
    <t xml:space="preserve"> 10:33</t>
  </si>
  <si>
    <t>184187/23</t>
  </si>
  <si>
    <t>FILI Jose Angel por ABUSO SEXUAL SIMPLE en perj. De TOLABA Jesica Abigail</t>
  </si>
  <si>
    <t xml:space="preserve"> 10:32</t>
  </si>
  <si>
    <t>152968/18</t>
  </si>
  <si>
    <t>CAYO Jesus Leonel y CAYO Jorge Elias por AMENAZAS y  LESIONES LEVES en CONCURSO REAL en perj. De GONZALEZ Pamela Maria Pia</t>
  </si>
  <si>
    <t xml:space="preserve"> 10:31</t>
  </si>
  <si>
    <t xml:space="preserve">VIDES Kevin Leandro y BONILLA Karen Gabriela por TENENCIA DE ESTUPEFACIENTE CON FINES DE COMERCIALIZACION en perj. De </t>
  </si>
  <si>
    <t xml:space="preserve"> 10:28</t>
  </si>
  <si>
    <t>179567/22</t>
  </si>
  <si>
    <t xml:space="preserve">TORCIBIA Angelo Luciano por DAÑOS - LESIONES GRAVES AGRAVADAS OR LA RELACION DE PAREJA Y POR VIOLENCIA DE GÉNERO - PRIVACION ILEGITIMA DE LA LIBERTAD AGRAVADA POR EL USO DE VIOLENCIA  - AMENAZAS EN CONCURSO REAL en perj. De </t>
  </si>
  <si>
    <t>186925/23</t>
  </si>
  <si>
    <t>CASASOLA Cristian David por Robo Calificado con Arma Impropia en perj. De GOMEZ Erica Yesica</t>
  </si>
  <si>
    <t>185337/23</t>
  </si>
  <si>
    <t>SAAVEDRA Javier Nicolas por ROBO SIMPLE en perj. De MANRIQUE Cintia Belen</t>
  </si>
  <si>
    <t xml:space="preserve"> 10:35</t>
  </si>
  <si>
    <t>171608/21</t>
  </si>
  <si>
    <t>GOMEZ Juan Jose por SEVERIDADES AGRAVADAS POR EL USO DE VIOLENCIA Y LESIONES LEVES TODO EN CONCURSO IDEAL - CHOCOBAR Carlos y GARCIA Juan Gabriel por INCUMPLIMIENTO DE LOS DEBERES DE FUNCIONARIO PUBLICO</t>
  </si>
  <si>
    <t>117243/23</t>
  </si>
  <si>
    <t>BARRIOS Rosa Noemi por ESTAFA en calidad de participe necesario - GIMENEZ Maria  Fernanda por INCUMPLIMIENTO DE LOS DEBERES DE FUNCIONARIO PÚBLICO EN CONCURSO REAL en perj. De GUTIERREZ Violeta del Carmen</t>
  </si>
  <si>
    <t xml:space="preserve"> 10:38</t>
  </si>
  <si>
    <t>177915/22</t>
  </si>
  <si>
    <t xml:space="preserve">RAMOS Victor Diego por ABUSO SEXUAL CON ACCESO CARNAL en perj. De ALARCON Eliana Emilce </t>
  </si>
  <si>
    <t xml:space="preserve"> 12:57</t>
  </si>
  <si>
    <t>174258/21</t>
  </si>
  <si>
    <t>TOIGO Marcelo Ricardo por DESOBEDIENCIA JUDICIAL en perj. De SARAVIA Enrique Cornejo</t>
  </si>
  <si>
    <t>ALVAREZ Facundo Nicolas por LESIONES LEVES AGRAVADAS POR LA RELACION PREEXISTENTE DE  PAREJA Y RESISTENCIA A LA AUTORIDAD - TODO EN CONCURSO REAL en perj. De SUAREZ Yanina Soledad y Personal Policial</t>
  </si>
  <si>
    <t>187385/23</t>
  </si>
  <si>
    <t>RUARTE Raúl Alejandro por HURTO SIMPLE en pejr. De CHAMBE Sebastian Gerardo</t>
  </si>
  <si>
    <t>183881/23</t>
  </si>
  <si>
    <t>GUAYMAS Facundo Gabriel y GUAYMAS Guillermo Daniel por ROBO CALIFICADO POR VEHICULO DEJADO EN LA VIA PUBLICA EN GRADO DE TTVA. En perj. De GUTIERREZ Juan Lidoro</t>
  </si>
  <si>
    <t>181739/22</t>
  </si>
  <si>
    <t xml:space="preserve">LEZCANO Alexis Daniel - RAMOS Luis Fernando - FLORES Marcos Gustavo y FLORES Marcos Ezquiel por ROBO CALIFICADO EN POBLADO Y EN BANDA EN GRADO DE TTVA. - RESISTENCIA A LA AUTORIDAD (dos hechos) TODO EN CONCURSO REAL en perj. De </t>
  </si>
  <si>
    <t>Dr. Ramos Gonzalo Emanuel MP 6693 por el imputado Ramos Luis Fernando -- Dr. Figueroa Isidoro Ruben por el imputado Alexis Daniel Lescano</t>
  </si>
  <si>
    <r>
      <t>PRESO</t>
    </r>
    <r>
      <rPr>
        <sz val="10"/>
        <rFont val="Arial"/>
        <family val="2"/>
      </rPr>
      <t xml:space="preserve"> MEDINA Brian Ezequiel por ROBO SIMPLE en perj. De JIMENEZ SANCHEZ Gabriel Alejandro</t>
    </r>
  </si>
  <si>
    <t>187337/23</t>
  </si>
  <si>
    <t>No surge del Expediente GAR</t>
  </si>
  <si>
    <t>180878/23</t>
  </si>
  <si>
    <t>Dr. Almaras Fabian Roque Anto MP 1948</t>
  </si>
  <si>
    <r>
      <t>PRESO</t>
    </r>
    <r>
      <rPr>
        <sz val="10"/>
        <rFont val="Arial"/>
        <family val="2"/>
      </rPr>
      <t xml:space="preserve"> RIZZI Hugo Sergio por ABUSO SEXUAL GRAVEMENTE ULTRAJANTE POR SU DURACION Y CIRCUNSTANCIAS DE SU REALIZACION  Y ABUSO SEXUAL CON ACCESO CARNAL CONTINAUDO - AMBOS AGRAVADO POR LA GUARDA - perj de las menores FBQ - TAVR - VAC - JER</t>
    </r>
  </si>
  <si>
    <r>
      <t>PRESO</t>
    </r>
    <r>
      <rPr>
        <sz val="10"/>
        <rFont val="Arial"/>
        <family val="2"/>
      </rPr>
      <t xml:space="preserve"> HOYOS Jesus por Robo Calificado en perj. De menor DV.M.A</t>
    </r>
  </si>
  <si>
    <r>
      <t>PRESO</t>
    </r>
    <r>
      <rPr>
        <sz val="10"/>
        <rFont val="Arial"/>
        <family val="2"/>
      </rPr>
      <t xml:space="preserve"> MANRIQUE Roberto Jose por ROBO CALIFICADO CON ARMA en perj. NUÑEZ del Carlo María Macarena</t>
    </r>
  </si>
  <si>
    <t>ELEVADA A JUICIO</t>
  </si>
  <si>
    <t>GLINA, ROGER JULESMARC POR DESOBEDIENCIA JUDICIAL (SEIS HECHOS), AMENAZAS (DOS HECHOS), AMENAZAS CON ARMAS EN CONCURSO REAL en perjuicio de Russo, María Daniela</t>
  </si>
  <si>
    <r>
      <rPr>
        <b/>
        <sz val="10"/>
        <rFont val="Arial"/>
        <family val="2"/>
      </rPr>
      <t>SE DISPONE LA ELVEVACION A JUICIO</t>
    </r>
    <r>
      <rPr>
        <sz val="10"/>
        <rFont val="Arial"/>
        <family val="2"/>
      </rPr>
      <t xml:space="preserve"> Y NO SE HACE LUGAR AL PEDIDO DE LIBERTAD</t>
    </r>
  </si>
  <si>
    <r>
      <rPr>
        <b/>
        <sz val="10"/>
        <rFont val="Arial"/>
        <family val="2"/>
      </rPr>
      <t>JUICIO ABREVIADO ATENCION</t>
    </r>
    <r>
      <rPr>
        <sz val="10"/>
        <rFont val="Arial"/>
        <family val="2"/>
      </rPr>
      <t xml:space="preserve"> se pidio la acumulacion al GAR 181761/22 que e encuentra acumulado al GAR 186277 - Los mismos se encuentra en Preventiva -Dra. Nallim- Aud. 30/10/2023</t>
    </r>
  </si>
  <si>
    <t xml:space="preserve"> 08:55</t>
  </si>
  <si>
    <t>187021/23</t>
  </si>
  <si>
    <t>GAR 7</t>
  </si>
  <si>
    <t>180001/23</t>
  </si>
  <si>
    <t xml:space="preserve"> 10:51</t>
  </si>
  <si>
    <t>LOPEZ Jose Edmundo por ABUSO SEXUAL SIMPLE AGRAVADO POR EL VINCULO en perj de LOPEZ VIVEROS Loreana Raquel</t>
  </si>
  <si>
    <t xml:space="preserve"> 10:34</t>
  </si>
  <si>
    <t>183715/23</t>
  </si>
  <si>
    <t>179984/22</t>
  </si>
  <si>
    <t xml:space="preserve"> 09:56</t>
  </si>
  <si>
    <t>183744/23</t>
  </si>
  <si>
    <t>RAMOS Jesus Ricardo por DESOBEDIENCIA JUDICIAL en perj. De COLQUE Carolina Marisol del Carmen</t>
  </si>
  <si>
    <t>183731/23</t>
  </si>
  <si>
    <t>LOBOS Marcos Alejandro por ROBO SIMPEL en Grado de Ttva. - denuncia Sgto Ayola Patricio Victor</t>
  </si>
  <si>
    <t>185611/23</t>
  </si>
  <si>
    <t>PERELLO Facundo Jesus y PERELLO Julio Enrique por ROBO DOBLEMENTE AGRAVAD y ROBO SIMPLE en pjer. De LECUAONO DE PRAT Fernando Jose y de SIERRA Martin</t>
  </si>
  <si>
    <t>168554/20</t>
  </si>
  <si>
    <t>CHOCOBAR David Heriberto por ABUSO SEXUAL SIMPLE (CONTINUADO) Y EXHIBICIONES OBCENAS EN CONCURSO REAL en perj. De D.M.C (15)</t>
  </si>
  <si>
    <t>182605/23</t>
  </si>
  <si>
    <t>187422/23</t>
  </si>
  <si>
    <t>BARRETO Jorge David y GUZMAN Oscar Leonel por HURTO SIMPLE y HURTO SIMPEL EN GRADO DE TTVA. En perj. De TAPIA Ricardo Raul</t>
  </si>
  <si>
    <t xml:space="preserve"> 11:47</t>
  </si>
  <si>
    <t>183774/23</t>
  </si>
  <si>
    <t>BARRERA Roberto Carlos por HURTO SIMPLE en pejr. De ALVAREZ Cristian</t>
  </si>
  <si>
    <t xml:space="preserve"> 12:03</t>
  </si>
  <si>
    <t>187050/23</t>
  </si>
  <si>
    <t>BAUTISTA Victor por AMENAZAS en pejr. De BAUSTISTA Elina</t>
  </si>
  <si>
    <t>182055/22</t>
  </si>
  <si>
    <t>CORRALES Rocio Silvana por  ESTAFA POR RETENCION INDEBIDA en perj. De HERNANDO Daniel Ceballos Alonso</t>
  </si>
  <si>
    <t>187059/23</t>
  </si>
  <si>
    <t>187553/23</t>
  </si>
  <si>
    <t>OROSCO Adrian Jorge Nicolas por HURTO en perj. De BALCARCE Estefania Florencia</t>
  </si>
  <si>
    <t>187858/23</t>
  </si>
  <si>
    <t>HERRERA Abel Eliseo por DAÑOS - DESOBEDIENCIA JUDICIAL - LESIONES AGRAVADAS POR LA RELACION PREEXISTENTE y POR CONSTITUIR VIOLENCIA DE GENERO en perj. De RAMOS Camila</t>
  </si>
  <si>
    <t>186616/23</t>
  </si>
  <si>
    <t xml:space="preserve">FRIAS Andres Carlos por AMENAZAS - VIOLACION DE DOMICILIO Y DESOBEDIENCIA JUDICIAL en perj. De </t>
  </si>
  <si>
    <t>MARTINEZ Damian Ezequiel por ROBO AGRAVADO POR ESCALAMIENTO en pjer. Davids Cornejo Oscar Adolfo</t>
  </si>
  <si>
    <t>SE RESOLVIO EN ETAPA PREVENTIVA</t>
  </si>
  <si>
    <t>RUIZ RUFINO Cesar por Hurto Simple en pejr. De Matta Débora Marìa</t>
  </si>
  <si>
    <r>
      <t>PRESO</t>
    </r>
    <r>
      <rPr>
        <sz val="10"/>
        <rFont val="Arial"/>
        <family val="2"/>
      </rPr>
      <t xml:space="preserve"> SERRANO Carlos Ariel - VERA Miguel Alejandro - MORENO Julian Antonio - BURGOS Pablo Fernando - GUTIERREZ BLANCO Alvaro Javier - GUTIERREZ BLANCO Cristian Gustavo por LESIONES GRAVES AGRAVADAS POR EL CONCURSO DE DOS O MAS PERSONAS en perj. De GASPAR Miriam Elizabeth</t>
    </r>
  </si>
  <si>
    <t>Dr. Gonzalo Dario Nieva MP 3811</t>
  </si>
  <si>
    <r>
      <rPr>
        <b/>
        <sz val="10"/>
        <rFont val="Arial"/>
        <family val="2"/>
      </rPr>
      <t>EN ARMARIO</t>
    </r>
    <r>
      <rPr>
        <sz val="10"/>
        <rFont val="Arial"/>
        <family val="2"/>
      </rPr>
      <t xml:space="preserve"> Querellante: Dr. Carlos Enzo Cuellar Gonzalez</t>
    </r>
  </si>
  <si>
    <t>DIMITRICOFF</t>
  </si>
  <si>
    <t xml:space="preserve"> 08:42</t>
  </si>
  <si>
    <t>183009/23</t>
  </si>
  <si>
    <t xml:space="preserve"> 08:05</t>
  </si>
  <si>
    <t>125023/15</t>
  </si>
  <si>
    <r>
      <t>PRESO</t>
    </r>
    <r>
      <rPr>
        <sz val="10"/>
        <rFont val="Arial"/>
        <family val="2"/>
      </rPr>
      <t xml:space="preserve"> CABRERA Lucas Gabriel - GUANTAY Adrian Rogelio - CASTRO Yanina Abigail por DEFRAUDACION MEDIANTE EL USO INDEBIDO DE TARJETA DE CREDITO en perj. </t>
    </r>
  </si>
  <si>
    <r>
      <t>PRESO</t>
    </r>
    <r>
      <rPr>
        <sz val="10"/>
        <rFont val="Arial"/>
        <family val="2"/>
      </rPr>
      <t xml:space="preserve"> MENDEZ Cristian Maximiliano por AMENAZAS CON ARMAS (dos hechos) en pejr. BEECHE Marcia </t>
    </r>
    <r>
      <rPr>
        <b/>
        <sz val="10"/>
        <rFont val="Arial"/>
        <family val="2"/>
      </rPr>
      <t>ACUMULADA A LA 187154/23</t>
    </r>
  </si>
  <si>
    <t>187548/23</t>
  </si>
  <si>
    <r>
      <t>PRESO</t>
    </r>
    <r>
      <rPr>
        <sz val="10"/>
        <rFont val="Arial"/>
        <family val="2"/>
      </rPr>
      <t xml:space="preserve"> CARDOZO Emanuel Esteban - TEJADA Jorge Luis por ROBO CALIFICADO EN GRADO DE TTVA. En perj. De MORALES CHAVEZ Marcelo Felix</t>
    </r>
  </si>
  <si>
    <t xml:space="preserve">SE DISPONE LA ELEVACIÓN A JUICIO - SE ELEVA A SALA III </t>
  </si>
  <si>
    <t>ELEVADA A JUICIO - ELEVADA A SALA V</t>
  </si>
  <si>
    <r>
      <rPr>
        <b/>
        <sz val="10"/>
        <rFont val="Arial"/>
        <family val="2"/>
      </rPr>
      <t xml:space="preserve">ELEVADA A JUICIO - ELVADA A SALA II  </t>
    </r>
    <r>
      <rPr>
        <sz val="10"/>
        <rFont val="Arial"/>
        <family val="2"/>
      </rPr>
      <t>ASESOR INCA 1 - Dr. Fernandez Esteban</t>
    </r>
  </si>
  <si>
    <r>
      <rPr>
        <b/>
        <sz val="10"/>
        <rFont val="Arial"/>
        <family val="2"/>
      </rPr>
      <t>ELEVADA A JUICIO -- ELEVADA A SALA II</t>
    </r>
    <r>
      <rPr>
        <sz val="10"/>
        <rFont val="Arial"/>
        <family val="2"/>
      </rPr>
      <t xml:space="preserve">        Dr. Luis María Agüero Molina</t>
    </r>
  </si>
  <si>
    <r>
      <rPr>
        <b/>
        <sz val="10"/>
        <rFont val="Arial"/>
        <family val="2"/>
      </rPr>
      <t xml:space="preserve">SE DISPONE LA ELEVACIÓN A JUICIO -- SALA VII  - </t>
    </r>
    <r>
      <rPr>
        <sz val="10"/>
        <rFont val="Arial"/>
        <family val="2"/>
      </rPr>
      <t>DR. DANIEL ALEJANDRO ARNEDO MP 5427</t>
    </r>
  </si>
  <si>
    <r>
      <rPr>
        <b/>
        <sz val="10"/>
        <rFont val="Arial"/>
        <family val="2"/>
      </rPr>
      <t>ELEVADA A JUICIO</t>
    </r>
    <r>
      <rPr>
        <sz val="10"/>
        <rFont val="Arial"/>
        <family val="2"/>
      </rPr>
      <t xml:space="preserve"> -- </t>
    </r>
    <r>
      <rPr>
        <b/>
        <sz val="10"/>
        <rFont val="Arial"/>
        <family val="2"/>
      </rPr>
      <t xml:space="preserve">ELEVADA A SALA VI </t>
    </r>
    <r>
      <rPr>
        <sz val="10"/>
        <rFont val="Arial"/>
        <family val="2"/>
      </rPr>
      <t xml:space="preserve">Expediente con Preventiva - </t>
    </r>
    <r>
      <rPr>
        <b/>
        <sz val="10"/>
        <rFont val="Arial"/>
        <family val="2"/>
      </rPr>
      <t xml:space="preserve">Laura Navarro </t>
    </r>
    <r>
      <rPr>
        <sz val="10"/>
        <rFont val="Arial"/>
        <family val="2"/>
      </rPr>
      <t xml:space="preserve">- Audiencia </t>
    </r>
    <r>
      <rPr>
        <b/>
        <sz val="10"/>
        <rFont val="Arial"/>
        <family val="2"/>
      </rPr>
      <t>31-10-2023-  Otra Defensa Dr. Marcos Molina</t>
    </r>
    <r>
      <rPr>
        <sz val="10"/>
        <rFont val="Arial"/>
        <family val="2"/>
      </rPr>
      <t>Abogado Patrocinante: AVARO Guillermo Arias Camacho</t>
    </r>
  </si>
  <si>
    <r>
      <rPr>
        <b/>
        <sz val="10"/>
        <rFont val="Arial"/>
        <family val="2"/>
      </rPr>
      <t>ELEVADA A JUICIO -- ELEVADA A SALA VI</t>
    </r>
    <r>
      <rPr>
        <sz val="10"/>
        <rFont val="Arial"/>
        <family val="2"/>
      </rPr>
      <t xml:space="preserve"> Expdiente en Preventiva - </t>
    </r>
    <r>
      <rPr>
        <b/>
        <sz val="10"/>
        <rFont val="Arial"/>
        <family val="2"/>
      </rPr>
      <t xml:space="preserve">Dr. Mario Nieva </t>
    </r>
    <r>
      <rPr>
        <sz val="10"/>
        <rFont val="Arial"/>
        <family val="2"/>
      </rPr>
      <t xml:space="preserve">- Aud </t>
    </r>
    <r>
      <rPr>
        <b/>
        <sz val="10"/>
        <rFont val="Arial"/>
        <family val="2"/>
      </rPr>
      <t>03-11-2023</t>
    </r>
  </si>
  <si>
    <t>184706/23</t>
  </si>
  <si>
    <t>QUIROZ CORNELIO por LESIONES AGRAVADAS POR LA RELACION DE PAREJA Y POR EL GENERO - DESOBEDIENCIA  JUDICIAL en perj. De MOYA Vanesa Micaela Ines</t>
  </si>
  <si>
    <t>186601/23</t>
  </si>
  <si>
    <t>185801/23</t>
  </si>
  <si>
    <t>FARFAN Santiago Ignacio por ROBO SIMPEL en perj. De VILLA Adriana de los Angeles</t>
  </si>
  <si>
    <t>VAQUEDA Jesus Abraham por LESIONES LEVESSA AGRAVADAS POR LA RELACION DE PAREJA Y POR EL GENERO Y AMENAZAS EN CONCURSO REAL en perj. GUANCA Angela</t>
  </si>
  <si>
    <t>171205/21</t>
  </si>
  <si>
    <t xml:space="preserve"> 11:33</t>
  </si>
  <si>
    <t>173127/21</t>
  </si>
  <si>
    <t xml:space="preserve">SIVILA Pablo Victor y ESCUDERO Carlos Gabriel por ADMINISTRACION FRAUDULENTEA y HURTO SIMPLE - en CONCURSO REAL con ASOCIACIÓN ILICITA - GARECA Carina por Encubrimiento y Asociación Ilicita y Hurto Simple en Concurso Real con Asociacion Ilicita - BELEN GUADALUPE CORREA por Encubrimiento y Asociación Ilicita en Concurso Real - DENIS ADOLFO HERRERA VARGAS por Encubrimiento y Asociación Ilicita en Concurso REal  - GLADYS ESTELA CARI por Ecubrimiento y Asociacion Ilicita en Concurso Real  nicolas FRANCISCO ARMELLA por Encubrimiento y Asociación Ilicita en Concurso Real - ZAHIRA Tamara Soledad VEDIA por Encubrimiento y Asociación Ilicita en Concuro Real - MAMANI JIMENA GIANINA por Encubrimiento y Asociación Ilicita en Concurso Real - AMERICA ADRIANA COLQUE por Encubrimeinto y Asociación Ilicita en Concurso Real - AHNMED ROANDO BUSTOS COLQUE por Encubrimeinto y Asociación Ilicita en Concurso Real y CAROLINA ELISA FIGUEROA por ENCUBRIMIENTO Y ASOCIACIÓN ILICITA EN CONCURSO REAL </t>
  </si>
  <si>
    <t>187116/23</t>
  </si>
  <si>
    <t xml:space="preserve"> 08:41</t>
  </si>
  <si>
    <t>184700/23</t>
  </si>
  <si>
    <t>FRIAS Cesar Eduardo por ESTAFA en perj. De REINAGA Ricardo José</t>
  </si>
  <si>
    <t>Dr. Maximiliano Chávez Toledo MP 6811</t>
  </si>
  <si>
    <r>
      <t>PRESO</t>
    </r>
    <r>
      <rPr>
        <sz val="10"/>
        <rFont val="Arial"/>
        <family val="2"/>
      </rPr>
      <t xml:space="preserve"> CARAM Gabriel del Valle por PORTACION ILEGÍTIMA DE ARMA DE FUEGO </t>
    </r>
  </si>
  <si>
    <t>Estado (o=sin transferir - 1=transferido )</t>
  </si>
  <si>
    <t>Enviado a audiencista (0=no 1=si)</t>
  </si>
  <si>
    <t xml:space="preserve"> 11:27</t>
  </si>
  <si>
    <t>181835/22</t>
  </si>
  <si>
    <t>DIEZ Afranllie Nhauel Alfredo por LESIONES LEVESA AGRAVDAS POR EL GENERO Y LA RELACION DE PAREJA Y DAÑOS EN CONCURSO REAL y DIEZ Afranllie Tomas Martin por Lesiones y Daños en concurso Real en perj. De SOLIZ Florencia Alejandra</t>
  </si>
  <si>
    <t>186483/23</t>
  </si>
  <si>
    <t>Dr. Juan Manuel Lanzalot MP 5918</t>
  </si>
  <si>
    <t>183368/23</t>
  </si>
  <si>
    <t>Dr. Mario Alejandro Farfan MP 2998</t>
  </si>
  <si>
    <r>
      <t>PRESO</t>
    </r>
    <r>
      <rPr>
        <sz val="10"/>
        <rFont val="Arial"/>
        <family val="2"/>
      </rPr>
      <t xml:space="preserve"> ROMERO SORAIDE Jose Francisco por DESOBEDIENCIA JUDICIAL en perj. De MORALES PLASIER Tamara Alexandra</t>
    </r>
  </si>
  <si>
    <t>Dr. Inti Jose Antonio Arias MP 6115</t>
  </si>
  <si>
    <r>
      <t>PRESO</t>
    </r>
    <r>
      <rPr>
        <sz val="10"/>
        <rFont val="Arial"/>
        <family val="2"/>
      </rPr>
      <t xml:space="preserve"> RODRIGUEZ Pablo Francisco por Violacion de Domicilio en perj. De MARTINEZ Josefina Joaquina</t>
    </r>
  </si>
  <si>
    <r>
      <t>PRESO</t>
    </r>
    <r>
      <rPr>
        <sz val="10"/>
        <rFont val="Arial"/>
        <family val="2"/>
      </rPr>
      <t xml:space="preserve"> CORONEL Hector Martin por ROBO AGRAVADO POR EL USO DE ARMA EN GRADO DE TENTATIVA EN PERJ. DE EMANUEL Hugo Agustin Alcoba en CONCURSO REAL CON HOMICIDIO SIMPLE EN GRADO DE TENTATIVA - DOS HECHOS - EN CONCURSO REAL EN PERJUICIO DE TOMAS ALEJANDRO TARITOLOAY ROJAS Y AMMANUEL HUGO AGUSTIN ALCOBA y en contra DE diego areil cornoel POR EL DELITO DE HOMICIDIO SIMPLE en Grado de Ttv. dos en Concurso Real en perj. de TOMAS ALEJANDRO TARITOLAYROJAS Y EMANUEL HUGO AGUSTIN ALCOBA</t>
    </r>
  </si>
  <si>
    <t>Dra. Cesar Chávez MP 3130</t>
  </si>
  <si>
    <t>186552/23</t>
  </si>
  <si>
    <r>
      <t>PRESO</t>
    </r>
    <r>
      <rPr>
        <sz val="10"/>
        <rFont val="Arial"/>
        <family val="2"/>
      </rPr>
      <t xml:space="preserve"> ABRAHAM Matias Simon - ROMERO Cristian Luis por ROBO en perj. De BALLON Maria Rita del Carmen </t>
    </r>
  </si>
  <si>
    <t xml:space="preserve"> 09:26</t>
  </si>
  <si>
    <t>187284/23</t>
  </si>
  <si>
    <t>VILLAVICENCIO Jose Ignacio por HURTO CALIFICADO por ESCALAMIENTO en perj. De ANSELMINO Carlos Alberto</t>
  </si>
  <si>
    <t xml:space="preserve"> 09:22</t>
  </si>
  <si>
    <t>163498/19</t>
  </si>
  <si>
    <t>Dr. Marcos Antonio Villarrubia Pereira y a los Dres. José Fernando Teseyra</t>
  </si>
  <si>
    <t>176752/22</t>
  </si>
  <si>
    <t xml:space="preserve">MENDIOLAZA BLADIMIR Cristian por LESIONES LEVES CALIFICADAS por la Relacion Preexiste y MEDIANDO VIOLENCIA DE GÉNERO - COACCION y DESOBEDIENCIA JUDICIAL EN perj. </t>
  </si>
  <si>
    <t>181822/22</t>
  </si>
  <si>
    <t xml:space="preserve">ACOSTA Marcelo Agustin por RESISTENCIA A LA AUTORIDAD Fabian Carla Noelia </t>
  </si>
  <si>
    <t>180101/22</t>
  </si>
  <si>
    <t>LOPEZ SEGOVIA Maria Eleonora por USURPACION DE PROPIEDAD en perj de LASCI Maria Jimena</t>
  </si>
  <si>
    <t>176926/23</t>
  </si>
  <si>
    <t>GALLARDO Daniel Alejandro por ABUSO SEXUAL SIMPLE (tres hechos) en CONCURSO REAL en perj. De HERRERA LOPEZ VALENTINA CANDELARIA</t>
  </si>
  <si>
    <t>177667/22</t>
  </si>
  <si>
    <t>PALMA Juan Carlos por Resistencia a la Autoridad en perj. De Of. Jaime Gaston Maximiliano</t>
  </si>
  <si>
    <t xml:space="preserve"> 08:22</t>
  </si>
  <si>
    <t>187157/23</t>
  </si>
  <si>
    <t>SALES Nicolas y AMAYA Pablo Alejandro por ROBO en perj. De GUTIERREZ Enzo Rafael</t>
  </si>
  <si>
    <t>173991/21</t>
  </si>
  <si>
    <t xml:space="preserve"> 10:58</t>
  </si>
  <si>
    <t>184669/23</t>
  </si>
  <si>
    <t>REVOLLO Nahuel Exequiel por DESOBEDIENCIA JUDICIAL en perj. De RIOS Liliana Ester</t>
  </si>
  <si>
    <r>
      <t>PRESO</t>
    </r>
    <r>
      <rPr>
        <sz val="10"/>
        <rFont val="Arial"/>
        <family val="2"/>
      </rPr>
      <t xml:space="preserve"> BONIFACIO Sebastian Hector - RAMIREZ CERVANTES Joantahn Mauricio </t>
    </r>
  </si>
  <si>
    <t xml:space="preserve"> 11:06</t>
  </si>
  <si>
    <t>187368/23</t>
  </si>
  <si>
    <t>CURI Javier Vicente y IBARRA Gaston Alejandro por ROBO EN GRADO DE TTVA en perj. De YESICA Rita Reynaga Abdenur</t>
  </si>
  <si>
    <t xml:space="preserve"> 10:49</t>
  </si>
  <si>
    <t>183082/23</t>
  </si>
  <si>
    <t>VILLANUEVA Ramiro Joantha por HURTO CALIFICADO POR PERPETRARSE CON ESCALAMIENTO en perj. De D'ANNUNZIO Daniel Ignacio</t>
  </si>
  <si>
    <t>164070/20</t>
  </si>
  <si>
    <t>SAYAGO Miranda Alex Daniel Francisco y PERALTA Brian Maximiliano por PORTACION ILEGITIMA DE ARMA DE FUEGO DE USO CIVIL Y ABUSO DE ARMAS EN CONCURSO REAL en perj. Sgto. Yte Moreira Hugo Santiago</t>
  </si>
  <si>
    <t xml:space="preserve"> 08:50</t>
  </si>
  <si>
    <t>DOP 16</t>
  </si>
  <si>
    <r>
      <t>PRESO</t>
    </r>
    <r>
      <rPr>
        <sz val="10"/>
        <rFont val="Arial"/>
        <family val="2"/>
      </rPr>
      <t xml:space="preserve"> ALONZO Angela Tatiana por ROBO DOBLMENTE AGRAVADO POR EL USO DE ARMA Y POR SER COMETIDO EN POBLADO Y EN BANDA en perj. SOTAR Cristian Rene</t>
    </r>
  </si>
  <si>
    <t>Dra. Oriana Nevora MP 7532</t>
  </si>
  <si>
    <t>186766/23</t>
  </si>
  <si>
    <t>CANAVIDES Desiderio por LESIONES LEVES AGRAVDAS POR LA RELACION DE PAREJA PREEXISTENTE Y POR MEDIAR VIOLENCIA DE GENERO y AMENAZAS en perj. De LASI NORMA ESTER</t>
  </si>
  <si>
    <t xml:space="preserve">Dr. Joaquin Fernando Lopez MP </t>
  </si>
  <si>
    <r>
      <t>PRESO</t>
    </r>
    <r>
      <rPr>
        <sz val="10"/>
        <rFont val="Arial"/>
        <family val="2"/>
      </rPr>
      <t xml:space="preserve"> LOPEZ Leonoel Eduardo por ROBO SIMPLE (dos hechos) en perj. De MAITA Lucio Alejandro y OTERO Carlos Alberto</t>
    </r>
  </si>
  <si>
    <t xml:space="preserve"> 11:13</t>
  </si>
  <si>
    <t>183714/23</t>
  </si>
  <si>
    <t>Dres. Juan Manuel Pizarro Echenique MP 5375 y Dr. Javier Ignaci Zelaya Zapiola MP 4899</t>
  </si>
  <si>
    <r>
      <t>PRESO</t>
    </r>
    <r>
      <rPr>
        <sz val="10"/>
        <rFont val="Arial"/>
        <family val="2"/>
      </rPr>
      <t xml:space="preserve"> TAGLIOLI Pablo Ezequiel por ABUSO SEXUAL Gravemente Ultrajante por su duracion y circunstancias de Realizacion Agravad por la Guarda - Abuso Sexal con Acceso Carnal Agravad por la Guarda y Corrupcion de Menores Agravada en Concurso Real en perj de Augusto Nicolas Martinez</t>
    </r>
  </si>
  <si>
    <t>No señana defensor</t>
  </si>
  <si>
    <t xml:space="preserve"> 09:10</t>
  </si>
  <si>
    <t>176973/23</t>
  </si>
  <si>
    <t>CORIMAYO, ISABEL LIDIA por lesiones leves; SARAPURA, SEGUNDO por lesiones leves, amenzas en perjuici de Cayo, Ivana Soledad</t>
  </si>
  <si>
    <t>156889/19</t>
  </si>
  <si>
    <t>JUAREZ, JAVIER MARTIN por lesiones agravadas por la realaciòn de pareja preexistente y por constituir violencia de genero en perjuicio de Serrudo, Maria Angelica</t>
  </si>
  <si>
    <t xml:space="preserve"> 09:40</t>
  </si>
  <si>
    <t>186578/23</t>
  </si>
  <si>
    <t>GONZALEZ, GERARDO ARGENTINO por lesiones leves, amenazas y resistencia a la autoridad en perjuicio de Gonzalez, Juan Alcides</t>
  </si>
  <si>
    <t>186438/23</t>
  </si>
  <si>
    <t xml:space="preserve"> 09:14</t>
  </si>
  <si>
    <t>180802/23</t>
  </si>
  <si>
    <t>187862/23</t>
  </si>
  <si>
    <t>183957/23</t>
  </si>
  <si>
    <t>TOLAVA Gustabo Alberto por AMENAZAS (dos hechos) EN CONCURSO REAL en perj. De Sandra Isabel Domenen</t>
  </si>
  <si>
    <t>175727/21</t>
  </si>
  <si>
    <t xml:space="preserve">RENDON Rodrigo Emanuel por DESOBEDIENCIA JUDICIAL en perj. </t>
  </si>
  <si>
    <t>184947/23</t>
  </si>
  <si>
    <t xml:space="preserve">MAC FARLI Alejandro Agustin  - Jorge Horacio Bazan - Jaime Ricardo Valderrama - Ramona Gadalupa Rivero por ATENTADO A LA AUTORIDAD </t>
  </si>
  <si>
    <t>185836/23</t>
  </si>
  <si>
    <t>RUEDA Jorge Cristian por ESTAFA en perj. De Avila Maria</t>
  </si>
  <si>
    <r>
      <t>PRESO</t>
    </r>
    <r>
      <rPr>
        <sz val="10"/>
        <rFont val="Arial"/>
        <family val="2"/>
      </rPr>
      <t xml:space="preserve"> PEINADO Nestor Emilio por ROBO CALIFICADO de Vehiculo dejado en la via publica y ROBO CALIFICADO DE VEHICULO DEJADO EN LA VIA PU BÑICA AGRAVADO POR LA PARTICIPACION DE UN MENOR DE EDAD EN CONCURSO REAL - FERNANDO EMANUEL ROSAS VARGAR por ROBO CALIFICADO DE VEHÍCULO DEJADO EN LA VIA PUBLICA y TENENCIA ILEGITIMA DE ARMA DE FUEGO EN PERJ. DE ...</t>
    </r>
  </si>
  <si>
    <t>SE RESOLVIO ABREVIADO EN Audiencia MULTIPROPOSITO DE PREVENTIVAS LLEVADA A CABO EL 20/12/2023</t>
  </si>
  <si>
    <r>
      <t>PRESO</t>
    </r>
    <r>
      <rPr>
        <sz val="10"/>
        <rFont val="Arial"/>
        <family val="2"/>
      </rPr>
      <t xml:space="preserve"> VALCONTE Luis Carlos por TENENCIA DE ESTUPEFACIENTE CON FINES DE COMERCIALIZARION</t>
    </r>
  </si>
  <si>
    <t>RESUELTA EN AUD FLEX Y MULTI PREVENTIVA</t>
  </si>
  <si>
    <t>RESUELTA EN ETAPA DE PREVENTIVA</t>
  </si>
  <si>
    <t xml:space="preserve"> 185321/23</t>
  </si>
  <si>
    <r>
      <t>PRESO</t>
    </r>
    <r>
      <rPr>
        <sz val="10"/>
        <rFont val="Arial"/>
        <family val="2"/>
      </rPr>
      <t xml:space="preserve"> LOPEZ Sergio Luis por Administracion Fraudulenta en perj. De la Caja de Abogados</t>
    </r>
  </si>
  <si>
    <r>
      <t>PRESO</t>
    </r>
    <r>
      <rPr>
        <sz val="10"/>
        <rFont val="Arial"/>
        <family val="2"/>
      </rPr>
      <t xml:space="preserve"> ALBORNOZ Jose Maria ABUSO SEXUAL GRAVEMENTE ULTRAJANTE POR AL DUREACION Y CIRCUNSTANCIA DE REALIZACION - ABUSO SEXUAL CON ACCESO CARNAL EN CONCURSO REAL Y CORRUPCION DE MENORES EN CONCURO IDEAL</t>
    </r>
  </si>
  <si>
    <t>187012/23</t>
  </si>
  <si>
    <t xml:space="preserve"> 10:24</t>
  </si>
  <si>
    <t>186776/23</t>
  </si>
  <si>
    <t>188053/23</t>
  </si>
  <si>
    <t>HUMANO David Reyanaldo pro Coaccion en perj. De CASIMIRO Mirta Raquel</t>
  </si>
  <si>
    <t xml:space="preserve"> 09:23</t>
  </si>
  <si>
    <t>188054/23</t>
  </si>
  <si>
    <t>VETANCUR Romero Damian por Lesiones Levesa Agravadas por al Vinculo y por Meidar Violencia de Género - Coaccion y Desobediencia Judicial en Concurso Ideal - Todo en Concurso Real en perj. De Isabel Martinez</t>
  </si>
  <si>
    <t>187912/23</t>
  </si>
  <si>
    <r>
      <t>PRESO</t>
    </r>
    <r>
      <rPr>
        <sz val="10"/>
        <rFont val="Arial"/>
        <family val="2"/>
      </rPr>
      <t xml:space="preserve"> SOLORZANO Pablo Antonio por LESIONES LEVES AGRAVADAS POR LA RELACION DE PAREJA Y POR MEDIAR VIOLENCIA DE GENERO EN PERJ. DE ANDRA ROCIO DOMINGUEZ DIAZ</t>
    </r>
  </si>
  <si>
    <t>Dr. Lopez Brizzio Alvar MP 6458</t>
  </si>
  <si>
    <r>
      <t>PRESO</t>
    </r>
    <r>
      <rPr>
        <sz val="10"/>
        <rFont val="Arial"/>
        <family val="2"/>
      </rPr>
      <t xml:space="preserve"> CANAVIDES Hernan Dario por Amenazas con Arma y Lesiones leves Agravadas por la Relacion de pareja pre existente y Violencia de Género en perj. De Pastrana Yamila Belen</t>
    </r>
  </si>
  <si>
    <t>SE RESOLVIO ABREVIADO EN Audiencia MULTIPROPOSITO DE PREVENTIVAS LLEVADA A CABO EL 22/12/2024</t>
  </si>
  <si>
    <t>EN ARMARIO</t>
  </si>
  <si>
    <t>SE DISPONE LA ELEVACION A JUICIO</t>
  </si>
  <si>
    <t>SE RESOLVIO ABREVIADO EN Audiencia MULTIPROPOSITO DE PREVENTIVAS LLEVADA A CABO EL12/12/2023</t>
  </si>
  <si>
    <r>
      <rPr>
        <b/>
        <sz val="10"/>
        <rFont val="Arial"/>
        <family val="2"/>
      </rPr>
      <t xml:space="preserve">JUICIO ABREVIADO </t>
    </r>
    <r>
      <rPr>
        <sz val="10"/>
        <rFont val="Arial"/>
        <family val="2"/>
      </rPr>
      <t>Expediente en Preventiva. -</t>
    </r>
    <r>
      <rPr>
        <b/>
        <sz val="10"/>
        <rFont val="Arial"/>
        <family val="2"/>
      </rPr>
      <t>Vera Volante</t>
    </r>
    <r>
      <rPr>
        <sz val="10"/>
        <rFont val="Arial"/>
        <family val="2"/>
      </rPr>
      <t xml:space="preserve">- Aud </t>
    </r>
    <r>
      <rPr>
        <b/>
        <sz val="10"/>
        <rFont val="Arial"/>
        <family val="2"/>
      </rPr>
      <t>31-10-2023</t>
    </r>
    <r>
      <rPr>
        <sz val="10"/>
        <rFont val="Arial"/>
        <family val="2"/>
      </rPr>
      <t xml:space="preserve"> Ver planilla de Preventiva para mas observaciones</t>
    </r>
  </si>
  <si>
    <t xml:space="preserve"> 187122/23</t>
  </si>
  <si>
    <t>187438/23</t>
  </si>
  <si>
    <t>SUBELZA Griselda Silvana y LOPEZ Raquel de los Angeles por ESTAFA en perj. De GUERRERO Fausto Elias</t>
  </si>
  <si>
    <t>ROBLES Ulises Cesar opr ABUSO SEXUAL Simple en perj. De SOL Brisa Camacho</t>
  </si>
  <si>
    <t>185318/23</t>
  </si>
  <si>
    <r>
      <t>PRESO</t>
    </r>
    <r>
      <rPr>
        <sz val="10"/>
        <rFont val="Arial"/>
        <family val="2"/>
      </rPr>
      <t xml:space="preserve"> VILLAFAÑE Jose Alfredo por HOMICIDIO DOBLEMENTE AGRAVADO OPR LA RELACION DE PAREJA PRE EXISTENTE Y POR MEDIAR VIOLENCIA DE GENERO EN GRADO DE TENTATIVA en Concurso Ideal con DESOBEDIENCIA JUDICIAL - VIOLACION DE DOMICILIO Y PRIVACION ILEGTIMA DE LA LIBERTAD AGRAVADA - todo en CONCURSO REAL en perj. ASIAR Areceli Jemima Ester</t>
    </r>
  </si>
  <si>
    <t xml:space="preserve"> 11:55</t>
  </si>
  <si>
    <t>187193/23</t>
  </si>
  <si>
    <t>MEJIA Luis Eduardo por AMENAZAS CON ARMA Y RESISTENCIA A LA AUTORIDAD EN CONCURSO IDEAL CON LESIONES en perj. De Sgto. Ayte García Menece Federico Abel</t>
  </si>
  <si>
    <t>DOP 5 - Dr. Nicolas Martin Anuch</t>
  </si>
  <si>
    <t>Dr. Ale Guillermo Ismael  (particular) MP 6690</t>
  </si>
  <si>
    <r>
      <t>PRESO</t>
    </r>
    <r>
      <rPr>
        <sz val="10"/>
        <rFont val="Arial"/>
        <family val="2"/>
      </rPr>
      <t xml:space="preserve"> EDWIN Lenis Calani por Lesiones Agravadas en perj. De CHOQUETICLLA VILLCA norka - con Legajo Fiscal 118/23</t>
    </r>
  </si>
  <si>
    <t>EN ARMARIO ES SIN PRESO Y HAY UNA ORDEN DE REBELDIA Y DETENCION POR UNO DE LOS IMPUTADOS</t>
  </si>
  <si>
    <r>
      <t>PRESO</t>
    </r>
    <r>
      <rPr>
        <sz val="10"/>
        <rFont val="Arial"/>
        <family val="2"/>
      </rPr>
      <t xml:space="preserve"> ALANIS GALLEGO Cristian Rodrigo por ROBO AGRAVAD POR EL USO DE ARMA (dos hechos) en CONCURSO REAL en perj. De FNM (17) - DENUNCIA CLUTTERBURK Natalia Alejandra y en perj. De YNAJ (15) DENUNCIA de Arias jerez Frank Marcelo</t>
    </r>
  </si>
  <si>
    <t>182673/23</t>
  </si>
  <si>
    <r>
      <rPr>
        <b/>
        <sz val="10"/>
        <rFont val="Arial"/>
        <family val="2"/>
      </rPr>
      <t xml:space="preserve">SE DISPONE LA ELEVACIÓN A JUICIO -- ELEVADA A SALA VI - </t>
    </r>
    <r>
      <rPr>
        <sz val="10"/>
        <rFont val="Arial"/>
        <family val="2"/>
      </rPr>
      <t>EN FECHA 24/11 SE REMITE AL JUZGADO DE ORIGEN POR ABREVIADO PRESENTADO EN EL MISMO</t>
    </r>
  </si>
  <si>
    <r>
      <rPr>
        <b/>
        <sz val="10"/>
        <rFont val="Arial"/>
        <family val="2"/>
      </rPr>
      <t xml:space="preserve">ELEVADA A JUICIO - ELEVADA A TRIBUNAL DE JUICIO SALA II -- </t>
    </r>
    <r>
      <rPr>
        <sz val="10"/>
        <rFont val="Arial"/>
        <family val="2"/>
      </rPr>
      <t>ASESORIA DE MENORES N° 10 - DRA. GUADALUPE MARIA BELEN SALATIN</t>
    </r>
  </si>
  <si>
    <r>
      <rPr>
        <b/>
        <sz val="10"/>
        <rFont val="Arial"/>
        <family val="2"/>
      </rPr>
      <t>ELEVADA A JUICIO - ELEVADA A TRIBUNAL DE JUICIO SALA II --</t>
    </r>
    <r>
      <rPr>
        <sz val="10"/>
        <rFont val="Arial"/>
        <family val="2"/>
      </rPr>
      <t xml:space="preserve"> Asesoria Nº 2</t>
    </r>
  </si>
  <si>
    <t>ELEVADA A JUICIO - ELEVADA A TRIBUNAL DE JUICIO SALA III</t>
  </si>
  <si>
    <r>
      <rPr>
        <b/>
        <sz val="10"/>
        <rFont val="Arial"/>
        <family val="2"/>
      </rPr>
      <t xml:space="preserve">SE DISPONE LA ELEVACION A AJUICIO - SE ELEVA A TRIBUNAL DE JUICIO SALA VII </t>
    </r>
    <r>
      <rPr>
        <sz val="10"/>
        <rFont val="Arial"/>
        <family val="2"/>
      </rPr>
      <t>Querellante- Dres. Jorge Javier Ovejero y Carlos Cayetano Olver</t>
    </r>
  </si>
  <si>
    <t>ELEVADA A JUICIO A TRIBUNAL DE JUICIO SALA VII</t>
  </si>
  <si>
    <r>
      <rPr>
        <b/>
        <sz val="10"/>
        <rFont val="Arial"/>
        <family val="2"/>
      </rPr>
      <t xml:space="preserve">ELEVADA A JUICIO - A TRIBUNAL DE JUICIO SALA III ----- </t>
    </r>
    <r>
      <rPr>
        <sz val="10"/>
        <rFont val="Arial"/>
        <family val="2"/>
      </rPr>
      <t xml:space="preserve"> ASESORIA DE INCAPACES 7</t>
    </r>
  </si>
  <si>
    <r>
      <rPr>
        <b/>
        <sz val="10"/>
        <rFont val="Arial"/>
        <family val="2"/>
      </rPr>
      <t xml:space="preserve">ELEVADA A JUICIO AL TIRBUNAL DE JUICIO SALA I --- </t>
    </r>
    <r>
      <rPr>
        <sz val="10"/>
        <rFont val="Arial"/>
        <family val="2"/>
      </rPr>
      <t>Asesoria de Incapaces 6 - Dra. Ibarguren</t>
    </r>
  </si>
  <si>
    <r>
      <rPr>
        <b/>
        <sz val="10"/>
        <rFont val="Arial"/>
        <family val="2"/>
      </rPr>
      <t>ELEVADA A JUICIO A TRIBUNAL DE JUICIO SALA V</t>
    </r>
    <r>
      <rPr>
        <sz val="10"/>
        <rFont val="Arial"/>
        <family val="2"/>
      </rPr>
      <t xml:space="preserve"> -----------------Querellante Dr. OVEJERO Jorge Javier y OLIVER Carlos Cayetano</t>
    </r>
  </si>
  <si>
    <t>Dra. Irazusta / Cervantes</t>
  </si>
  <si>
    <r>
      <rPr>
        <b/>
        <sz val="10"/>
        <rFont val="Arial"/>
        <family val="2"/>
      </rPr>
      <t xml:space="preserve"> ELEVACIÓN A JUICIO AL TRIBUNAL DE JUICIO SALA IV </t>
    </r>
    <r>
      <rPr>
        <sz val="10"/>
        <rFont val="Arial"/>
        <family val="2"/>
      </rPr>
      <t xml:space="preserve"> - </t>
    </r>
    <r>
      <rPr>
        <b/>
        <sz val="10"/>
        <rFont val="Arial"/>
        <family val="2"/>
      </rPr>
      <t>ATENCION</t>
    </r>
    <r>
      <rPr>
        <sz val="10"/>
        <rFont val="Arial"/>
        <family val="2"/>
      </rPr>
      <t>: Tiene causa acumulada y también se requirió juicio por esa. GAR 182322/23</t>
    </r>
  </si>
  <si>
    <r>
      <rPr>
        <b/>
        <sz val="10"/>
        <rFont val="Arial"/>
        <family val="2"/>
      </rPr>
      <t>SE DISPONE LA ELEVACIÓN A JUICIO - SE ELEVA A SALA IV -</t>
    </r>
    <r>
      <rPr>
        <sz val="10"/>
        <rFont val="Arial"/>
        <family val="2"/>
      </rPr>
      <t xml:space="preserve">Expediente en Preventiva - </t>
    </r>
    <r>
      <rPr>
        <b/>
        <sz val="10"/>
        <rFont val="Arial"/>
        <family val="2"/>
      </rPr>
      <t>VERA VOLANTE</t>
    </r>
    <r>
      <rPr>
        <sz val="10"/>
        <rFont val="Arial"/>
        <family val="2"/>
      </rPr>
      <t xml:space="preserve">- Adu </t>
    </r>
    <r>
      <rPr>
        <b/>
        <sz val="10"/>
        <rFont val="Arial"/>
        <family val="2"/>
      </rPr>
      <t>30/10/2023</t>
    </r>
    <r>
      <rPr>
        <sz val="10"/>
        <rFont val="Arial"/>
        <family val="2"/>
      </rPr>
      <t xml:space="preserve"> tiene acumuladas.. Ver planilla de Preventiva para mas observaciones</t>
    </r>
  </si>
  <si>
    <r>
      <rPr>
        <b/>
        <sz val="10"/>
        <rFont val="Arial"/>
        <family val="2"/>
      </rPr>
      <t>ELEVADA A JUICIO A SALA VI --</t>
    </r>
    <r>
      <rPr>
        <sz val="10"/>
        <rFont val="Arial"/>
        <family val="2"/>
      </rPr>
      <t xml:space="preserve"> DR. LUCIANO ROMANO MP 5515 - </t>
    </r>
    <r>
      <rPr>
        <b/>
        <sz val="10"/>
        <rFont val="Arial"/>
        <family val="2"/>
      </rPr>
      <t>ASESORIA DE INCAPACES N° 8</t>
    </r>
  </si>
  <si>
    <r>
      <rPr>
        <b/>
        <sz val="10"/>
        <rFont val="Arial"/>
        <family val="2"/>
      </rPr>
      <t>SE DISPONE LA ELEVACIÓN A JUICIO</t>
    </r>
    <r>
      <rPr>
        <sz val="10"/>
        <rFont val="Arial"/>
        <family val="2"/>
      </rPr>
      <t xml:space="preserve"> </t>
    </r>
    <r>
      <rPr>
        <b/>
        <sz val="10"/>
        <rFont val="Arial"/>
        <family val="2"/>
      </rPr>
      <t xml:space="preserve">A SALA IV -- </t>
    </r>
    <r>
      <rPr>
        <sz val="10"/>
        <rFont val="Arial"/>
        <family val="2"/>
      </rPr>
      <t xml:space="preserve"> DR. LUCIANO ROMANO MP 5515</t>
    </r>
  </si>
  <si>
    <r>
      <rPr>
        <b/>
        <sz val="10"/>
        <rFont val="Arial"/>
        <family val="2"/>
      </rPr>
      <t>ABREVIADO</t>
    </r>
    <r>
      <rPr>
        <sz val="10"/>
        <rFont val="Arial"/>
        <family val="2"/>
      </rPr>
      <t xml:space="preserve"> ---- --- C/ LEG DE INVESTIGACION ORIGINAL Nº 83/23</t>
    </r>
  </si>
  <si>
    <t>ELEVADA A JUICIO A SALA II</t>
  </si>
  <si>
    <r>
      <rPr>
        <b/>
        <sz val="10"/>
        <rFont val="Arial"/>
        <family val="2"/>
      </rPr>
      <t>ELEVADA A JUICIO A SALA IV</t>
    </r>
    <r>
      <rPr>
        <sz val="10"/>
        <rFont val="Arial"/>
        <family val="2"/>
      </rPr>
      <t xml:space="preserve">    ---      la defensa es por los 3</t>
    </r>
  </si>
  <si>
    <r>
      <rPr>
        <b/>
        <sz val="10"/>
        <rFont val="Arial"/>
        <family val="2"/>
      </rPr>
      <t>ELEVADA A JUICIO A SALA II ---------------------</t>
    </r>
    <r>
      <rPr>
        <sz val="10"/>
        <rFont val="Arial"/>
        <family val="2"/>
      </rPr>
      <t>DR. ORFEO MAGGIO POR ANGEL FERNANDO DAVID RAMIREZ</t>
    </r>
  </si>
  <si>
    <r>
      <rPr>
        <b/>
        <sz val="10"/>
        <rFont val="Arial"/>
        <family val="2"/>
      </rPr>
      <t>ELEVADA A JUICIO</t>
    </r>
    <r>
      <rPr>
        <sz val="10"/>
        <rFont val="Arial"/>
        <family val="2"/>
      </rPr>
      <t xml:space="preserve"> CO DEFENSOR DR. GONZALO QUINTEROS NAVARRO/ </t>
    </r>
    <r>
      <rPr>
        <b/>
        <sz val="10"/>
        <rFont val="Arial"/>
        <family val="2"/>
      </rPr>
      <t>CON LEGAJO DE INVESTIGACION</t>
    </r>
  </si>
  <si>
    <t xml:space="preserve">ELEVADA A JUICIO - AL TRIBUNAL DE JUICIO SALA IV </t>
  </si>
  <si>
    <t>ELEVADA A JUICIO A SALA V</t>
  </si>
  <si>
    <t>ELEVADA A JUICIO A SALA III</t>
  </si>
  <si>
    <t>188220/23</t>
  </si>
  <si>
    <t>GUAYMAS Franco Exequiel por COACCION (DOS HECHOS) ROBO (dos hechos) COACCION CON ARMA - LESIONES LEVES AGRAVADAS POR LA RELACION DE PAREJA PREEXISTENTE Y PRO MEDIAR VIOLENCIA DE GENERO - PRIVACION ILEGITIMA DE LA LIBERTAD AGRAVADA POR DEBERSE RESPETO PARTICULAR A LA VICTIMA (RELACION DE PAREJA PREEXISTENTE) y DESOBEDIENCIA JUDICIAL (DOS HECHOS) TODO EN CONCURSO REAL en perj. de MERCADO Daiana Micaela</t>
  </si>
  <si>
    <t>171877/23</t>
  </si>
  <si>
    <t>PRESO Cantidad de audiencias de la fecha:   1</t>
  </si>
  <si>
    <r>
      <t>PRESO</t>
    </r>
    <r>
      <rPr>
        <sz val="10"/>
        <rFont val="Arial"/>
        <family val="2"/>
      </rPr>
      <t xml:space="preserve"> PAZ Alejandro Jose Ramiro opr HOMICIDIO AGRAVADO POR EL VINCULO EN perj. De PVAA (menor)</t>
    </r>
  </si>
  <si>
    <t xml:space="preserve"> 11:05</t>
  </si>
  <si>
    <t>184199/23</t>
  </si>
  <si>
    <t>IRADI Esteban Augusto por LESIONES GRAVES en perj. De CHILO Julio - CON LEGAJO 23/23</t>
  </si>
  <si>
    <t>CATAN CAMPOS, EMANUEL CESAR POR LOS DELITOS DE ROBO SIMPLE EN GRADO DE TENTATIVA, COACCION AGRAVADA, RESISTENCIA A LA AUTORIDAD Y ATENTADO CALIFICADO POR PONER MANO A LA AUTORIDAD EN CONCURSO IDEAL CON LESIONES CON ACUMULADO 178546/22</t>
  </si>
  <si>
    <r>
      <t>PRESO</t>
    </r>
    <r>
      <rPr>
        <sz val="10"/>
        <rFont val="Arial"/>
        <family val="2"/>
      </rPr>
      <t xml:space="preserve"> FERRONI LARRAN Jose Maria por PRIVACION ILEGITIMA DE LA LIBERTAD AGRAVAD Y AMENAZAS EN CONCURSO REAL en perj. De MOSCONI Maria Graciela</t>
    </r>
  </si>
  <si>
    <t>Dr. Ruiz Mattei Federico MP 6144</t>
  </si>
  <si>
    <t>Dr. Pablo Adrian Solano MP 3948</t>
  </si>
  <si>
    <t xml:space="preserve"> 09:02</t>
  </si>
  <si>
    <t>187970/23</t>
  </si>
  <si>
    <t>ABAN Leandro Gaston por Robo Simple y AMENAZAS en perj. De RIOS Adriana y CUELLAR Dardo</t>
  </si>
  <si>
    <t>187841/23</t>
  </si>
  <si>
    <r>
      <t>PRESO</t>
    </r>
    <r>
      <rPr>
        <sz val="10"/>
        <rFont val="Arial"/>
        <family val="2"/>
      </rPr>
      <t xml:space="preserve"> QUIROGA, FACUNDO CARLOS Y CABRERA, WALTER JOSE MARÍA POR EL DELITO DE ROBO CALIFICADO POR EFRACCION EN PERJUICIO DE </t>
    </r>
  </si>
  <si>
    <t xml:space="preserve"> 08:20</t>
  </si>
  <si>
    <t>187552/23</t>
  </si>
  <si>
    <t>REYNOSO Joaquin Hernan por HURTO Calificado en perj. De HUSULAK Braian Agustin</t>
  </si>
  <si>
    <t>183272/23</t>
  </si>
  <si>
    <t>ESCALADA Leonel Danilo por VIOLACION DE DOMICILIO - PRIVACION ILEGITIMA DE LA LIBERTAD AGRAVADA - LESIONES AGRAVADAS POR LA RELACION DE PAREJA PREVIA Y GENERO - AMENAZAS Y DESOBEDIENCIA JUDICIAL TODO EN CONCURSO REAL - COACCION Y LESIONES AGRAVADAS POR GÉNERO Y RELACION DE PAREJA PREVIA en perj. de CARRIZO Maria Camila</t>
  </si>
  <si>
    <t>176636/23</t>
  </si>
  <si>
    <t xml:space="preserve">GUITIAN Carlos Damian Antonio por DESOBEDIENCIA JUDICIAL (dos hechos) en CONCURSO REAL en perj. De </t>
  </si>
  <si>
    <t>179702/23</t>
  </si>
  <si>
    <t>AGUAYSOL Pedro Octavio por HURTO en perj. Andrea Nicaruro</t>
  </si>
  <si>
    <t>185727/23</t>
  </si>
  <si>
    <t>MOSTAJO Angel Guido por LESIONES LEVES AGRAVADAS POR LA RELACION DE PAREJA PREVAI Y POR EL GENERO Y AMENAZAS EN CONCURSO REAL en perj. De Celeste Mariana Villalba</t>
  </si>
  <si>
    <t xml:space="preserve"> 09:09</t>
  </si>
  <si>
    <t>187072/23</t>
  </si>
  <si>
    <t>MORON Mauricio David y ARIAS Daniel Alejandro por ROBO SIMPLE en perj. De AUCACHI Jose Sacarías</t>
  </si>
  <si>
    <t xml:space="preserve"> 11:24</t>
  </si>
  <si>
    <t>185683/23</t>
  </si>
  <si>
    <t xml:space="preserve"> 12:23</t>
  </si>
  <si>
    <t>177662/23</t>
  </si>
  <si>
    <r>
      <rPr>
        <b/>
        <sz val="10"/>
        <rFont val="Arial"/>
        <family val="2"/>
      </rPr>
      <t xml:space="preserve">EN ARMARIO  </t>
    </r>
    <r>
      <rPr>
        <sz val="10"/>
        <rFont val="Arial"/>
        <family val="2"/>
      </rPr>
      <t xml:space="preserve"> EL 29/12/2023 LLEGA EL EXPEDIENTE ORIGINAL </t>
    </r>
  </si>
  <si>
    <r>
      <t>PRESO</t>
    </r>
    <r>
      <rPr>
        <sz val="10"/>
        <rFont val="Arial"/>
        <family val="2"/>
      </rPr>
      <t xml:space="preserve"> FARFAN Fernanda Melina - MARTINEZ Romina Belen y VILLAGRA Victor Rafael por EXTORSION en perj. De </t>
    </r>
  </si>
  <si>
    <r>
      <t>PRESO</t>
    </r>
    <r>
      <rPr>
        <sz val="10"/>
        <rFont val="Arial"/>
        <family val="2"/>
      </rPr>
      <t xml:space="preserve"> RODRIGUEZ Leandro Nicolas por ROBO AGRAVAD POR EL USO DE ARMA EN GRADO DE TENTATIVA Y AMENAZAS CON ARMA EN CONCURSO REAL en perj. De MARTINEZ Sabrina Veronica</t>
    </r>
  </si>
  <si>
    <r>
      <t>PRESO</t>
    </r>
    <r>
      <rPr>
        <sz val="10"/>
        <rFont val="Arial"/>
        <family val="2"/>
      </rPr>
      <t xml:space="preserve"> COSITORTO Nelson Leonardo - VILARDEL Ricardo Gabriel Isaac - VILARDEL Jorge Federico - vilardel Ana Lucia de los Angeles y ALBORNOZ Vilma Griselda pro ESTAFAS REITERADAS (52 hechos) y ASOCIACION ILICITA EN CONCURSO REAL en perj. De Varios</t>
    </r>
  </si>
  <si>
    <t>177634/22</t>
  </si>
  <si>
    <t>FP UDEC - Dra. Salinas</t>
  </si>
  <si>
    <t>Dr. Cordoba, Alberto Bernardo MP 6603</t>
  </si>
  <si>
    <r>
      <t>PRESO</t>
    </r>
    <r>
      <rPr>
        <sz val="10"/>
        <rFont val="Arial"/>
        <family val="2"/>
      </rPr>
      <t xml:space="preserve"> CORDOBA, FACUNDO DANIEL; SALINAS, CELESTE VALERIA; CORDOBA, BENJAMIN JESUS; BAKUN, JUAN FRANCISCO; TOBIAS RUIZ, FACUNDO; GONZALEZ, MATIAS ADRIAN Y ROMERO CAMILO POR ESTAFAS REITERADAS</t>
    </r>
  </si>
  <si>
    <t>187526/23</t>
  </si>
  <si>
    <r>
      <t>PRESO</t>
    </r>
    <r>
      <rPr>
        <sz val="10"/>
        <rFont val="Arial"/>
        <family val="2"/>
      </rPr>
      <t xml:space="preserve"> TORRES, IVAN MAXIMILIANO POR EL DELITO DE DESOBEDIENCIA JUDICIAL EN PERJUICIO DE TORRES KAREN GISEKA Y MENACHO MIRTA ANGELICA</t>
    </r>
  </si>
  <si>
    <r>
      <t>PRESO</t>
    </r>
    <r>
      <rPr>
        <sz val="10"/>
        <rFont val="Arial"/>
        <family val="2"/>
      </rPr>
      <t xml:space="preserve"> CAMACHO FAMOSO Diego Ramiro por Desobediencia Judicial (dos hechos) HURTO AGRAVADO con Escalamiento y Violacion de Domicilio (dos hechos) en CONCURSO REAL en perj. Del FAMOSO María del Valle</t>
    </r>
  </si>
  <si>
    <t>187537/23</t>
  </si>
  <si>
    <t>185401/23</t>
  </si>
  <si>
    <t xml:space="preserve">VALDEZ Hugo Leonardo por Acto de Crueldad Animal y Caoccion en concurso Real en perj. De </t>
  </si>
  <si>
    <r>
      <t>PRESO</t>
    </r>
    <r>
      <rPr>
        <sz val="10"/>
        <rFont val="Arial"/>
        <family val="2"/>
      </rPr>
      <t xml:space="preserve"> ILLESCA, Critian Ignacio y ALVAREZ Emanuel Norberto JIMENEZ Hector Ruben SACARIAS Juan Carlos - FABRICIO Isaias Sacarias Galindo  --- VILTE Bruno Exequiel Carabjal por ESTAFA Y ASOCIACION ILICITA en Concurso Real en perj. De </t>
    </r>
  </si>
  <si>
    <t>188237/23</t>
  </si>
  <si>
    <r>
      <t>PRESO</t>
    </r>
    <r>
      <rPr>
        <sz val="10"/>
        <rFont val="Arial"/>
        <family val="2"/>
      </rPr>
      <t xml:space="preserve"> REYNOSO Joaquin Hernan por hurto en perjuicio de Quispe, Hipolita Eusebia</t>
    </r>
  </si>
  <si>
    <t>180801/22</t>
  </si>
  <si>
    <t>Dr. Casabella Dàvalos, Juan</t>
  </si>
  <si>
    <r>
      <t>PRESO</t>
    </r>
    <r>
      <rPr>
        <sz val="10"/>
        <rFont val="Arial"/>
        <family val="2"/>
      </rPr>
      <t xml:space="preserve"> CHAUQUE, ARIEL VICTOR por abuso sexual con acceso carnal en perjuicio de C.L.M.</t>
    </r>
  </si>
  <si>
    <t>186899/23</t>
  </si>
  <si>
    <t>ENTREGA EN MANO A SECRETARIO GAR 3 EN FECHA 18/01 Devuelvo 19/01</t>
  </si>
  <si>
    <t xml:space="preserve"> 14:24</t>
  </si>
  <si>
    <t>186754/23</t>
  </si>
  <si>
    <r>
      <t>PRESO</t>
    </r>
    <r>
      <rPr>
        <sz val="10"/>
        <rFont val="Arial"/>
        <family val="2"/>
      </rPr>
      <t xml:space="preserve"> MARENCO RUIZ Maximiliano Exequiel por LESIONES GRAVES AGRAVADAS POR EL GENERO Y RELACION DE PEREJA PREVIA - LESIONES LEVES AGRAVADAS POR G{ENERO Y RELACION DE PAREJA PREVIA (TRES HECHOS) EN CONCURSO REAL en perj. De GUANUCO Sandra Graciela</t>
    </r>
  </si>
  <si>
    <t xml:space="preserve"> 12:50</t>
  </si>
  <si>
    <t>188098/23</t>
  </si>
  <si>
    <r>
      <t>PRESO</t>
    </r>
    <r>
      <rPr>
        <sz val="10"/>
        <rFont val="Arial"/>
        <family val="2"/>
      </rPr>
      <t xml:space="preserve"> ROMERO Jonathan Alejandro por Lesiones LEVES AGRAVADAS Y DESOBEDIENCIA JUDICIAL en perj. De GUAYMAS Carla Daniela</t>
    </r>
  </si>
  <si>
    <t>188406/24</t>
  </si>
  <si>
    <r>
      <t>PRESO</t>
    </r>
    <r>
      <rPr>
        <sz val="10"/>
        <rFont val="Arial"/>
        <family val="2"/>
      </rPr>
      <t xml:space="preserve"> FERNANDEZ, MATIAS HERNAN por amenazas con armas - HURTO AGRAVADO POR ESCALAMIENTO y Desobediencia Judicial (dos hechos) - TODO EN CONCURSO REAL en perj. De CHOCOBAR EMMA</t>
    </r>
  </si>
  <si>
    <t>187531/23</t>
  </si>
  <si>
    <r>
      <t>PRESO</t>
    </r>
    <r>
      <rPr>
        <sz val="10"/>
        <rFont val="Arial"/>
        <family val="2"/>
      </rPr>
      <t xml:space="preserve"> LIENDRO Walter Marcelo por Lesiones - Coaccion y Amenazas en perj. De Garcia Gladys Mariel</t>
    </r>
  </si>
  <si>
    <t>186488/23</t>
  </si>
  <si>
    <r>
      <t>PRESO</t>
    </r>
    <r>
      <rPr>
        <sz val="10"/>
        <rFont val="Arial"/>
        <family val="2"/>
      </rPr>
      <t xml:space="preserve"> AYEJES, Juan Alfredo por ABUSO SEXUAL con Acceso Carnal Agravado por el Vinculo - Guarda y Conviviencia Pre-existente (continuado) y Abuso Sexual con Acceso Carnal Agravado por el Vinculo - Guarda y Conviviencia Pre-existnete (continuado) en perj. De ROMINA GISEL AYEJES -- denuncia NATALIA PATRICIA AYEJES</t>
    </r>
  </si>
  <si>
    <t>137039/16</t>
  </si>
  <si>
    <t xml:space="preserve">Dr. Sebastian Martin Garcia MP </t>
  </si>
  <si>
    <r>
      <t>PRESO</t>
    </r>
    <r>
      <rPr>
        <sz val="10"/>
        <rFont val="Arial"/>
        <family val="2"/>
      </rPr>
      <t xml:space="preserve"> SORUCO Armando Pedro por LESIONES Leves Agravad por la Relacion de Pareja y por el Género - AMENAZAS Agravadas por el Uso de Arma Impropia - Agresion con toda Arma Agravada - AMENAZAS AGRAVDAS POR EL USO DE ARMA BLANCA en perj. De CINTHIA GOMEZ</t>
    </r>
  </si>
  <si>
    <t>187361/23</t>
  </si>
  <si>
    <r>
      <t>PRESO</t>
    </r>
    <r>
      <rPr>
        <sz val="10"/>
        <rFont val="Arial"/>
        <family val="2"/>
      </rPr>
      <t xml:space="preserve"> VERA Yamil Gustavo - VELAZQUEZ Gustavo Damian por HURTO EN GRADO DE TTVA. </t>
    </r>
  </si>
  <si>
    <t>187791/23</t>
  </si>
  <si>
    <r>
      <t>PRESO</t>
    </r>
    <r>
      <rPr>
        <sz val="10"/>
        <rFont val="Arial"/>
        <family val="2"/>
      </rPr>
      <t xml:space="preserve"> CRUZ AGUIRRE Leonel Angel por ABUSO Sexual Gravemente Ultrajante por la Circunstancias de su Realizacion y Duracion en el Tiempo Agravado por la Convivencia y ABUSO Sexual con Acceso Carnal Agravado por la Conviviencia - TODO EN CONCURSO REAL en perj. De AMAC (8) </t>
    </r>
  </si>
  <si>
    <t>188544/24</t>
  </si>
  <si>
    <r>
      <t>PRESO</t>
    </r>
    <r>
      <rPr>
        <sz val="10"/>
        <rFont val="Arial"/>
        <family val="2"/>
      </rPr>
      <t xml:space="preserve"> GUAYMAS Franco Exequiel por DESOBEDIENCIA JUDICIAL en perj. De MERCADO Daiana Micaela</t>
    </r>
  </si>
  <si>
    <t xml:space="preserve">BERMUDEZ CISTERNA Ignacio por Tenencia de Estupefaciente con Fines de Comercializacion </t>
  </si>
  <si>
    <t xml:space="preserve"> 11:44</t>
  </si>
  <si>
    <t>188367/24</t>
  </si>
  <si>
    <r>
      <t>PRESO</t>
    </r>
    <r>
      <rPr>
        <sz val="10"/>
        <rFont val="Arial"/>
        <family val="2"/>
      </rPr>
      <t xml:space="preserve"> GUZMAN Gerardo Moises por HURTO SIMPLE en Grado de Ttva. En pejr. De BAIGORRIA Jonathan Emanuel </t>
    </r>
  </si>
  <si>
    <t xml:space="preserve"> 10:01</t>
  </si>
  <si>
    <r>
      <t>PRESO</t>
    </r>
    <r>
      <rPr>
        <sz val="10"/>
        <rFont val="Arial"/>
        <family val="2"/>
      </rPr>
      <t xml:space="preserve"> CRUZ CANAVIRI Mario Juan por HOMICIDIO DOBLMENTE CALIFICADO POR LA RELACION DE PAREJA PREVIA Y POR MEIDAR VIOLENCIA DE GÉNERO EN GRADO DE TTVA. En pejr. De JNB</t>
    </r>
  </si>
  <si>
    <t>186737/23</t>
  </si>
  <si>
    <t>CONTRERA Pamela Guadalupe - VIZCARRA Luis Carlos Gabriel y AXEL Nahuel ARCE por Robo doblemente Agravado por el uso de Arma y por ser Cometido en Poblado y Banda en Grado de Tentativa en perj. De Edelberto Ricardo Balmaceda</t>
  </si>
  <si>
    <r>
      <t>PRESO</t>
    </r>
    <r>
      <rPr>
        <sz val="10"/>
        <rFont val="Arial"/>
        <family val="2"/>
      </rPr>
      <t xml:space="preserve"> SALAS Gisela de los Angeles - VIVEROS Brayan Leando por ROBO SIMPLE en perj. MERCADO Marta Mabel</t>
    </r>
  </si>
  <si>
    <t>ABREVIADO: CONDENA CONDICIONAL Y LIBERTAD</t>
  </si>
  <si>
    <t>ABREVIADO EN GAR 4</t>
  </si>
  <si>
    <r>
      <t>PRESO</t>
    </r>
    <r>
      <rPr>
        <sz val="10"/>
        <rFont val="Arial"/>
        <family val="2"/>
      </rPr>
      <t xml:space="preserve"> LOBO Pablo Nicolas - VILLAVICENCIO Oscar por Robo Calificado por ser realizado en Poblado y en Banda en Grado de Ttva. En perj. De TAPIA Pedro Lazaro y otros</t>
    </r>
  </si>
  <si>
    <t>143453/17</t>
  </si>
  <si>
    <t>UGAP 1 - Dr. Leandro Flores</t>
  </si>
  <si>
    <t xml:space="preserve"> 11:50</t>
  </si>
  <si>
    <t>177130/22</t>
  </si>
  <si>
    <t>VASQUEZ Andres Gustavo por ROBO EN POBLADO Y EN BANDA (dos hechos) en CONCURSO REAL agravado por la Participacion de Menor en perj. De Silvina Morales</t>
  </si>
  <si>
    <t>167765/20</t>
  </si>
  <si>
    <t>GONZA, Walter Rene  por Abuso Sexual Gravemente Utlrajante Agravado por el Vinculo, Guarda y Convivencia Preexiistente, Abuso Sexual con Acceso Carnal Agravado por e lVinculo, Guarda y Convivencia Preexistente(continuado), Abuso Sexual Simple Agravado por el Vinculo y Privacion Ilegitima de la Libertad Agravada (dos hechos), todo en Concurso Real</t>
  </si>
  <si>
    <t/>
  </si>
  <si>
    <t xml:space="preserve">QUERELLANTE- Dra. Sonia Chirife  (D VIOL Nº2 ) </t>
  </si>
  <si>
    <t>149978/18</t>
  </si>
  <si>
    <t xml:space="preserve">SAJAMA, Hernan Facundo por Coaccion en perjuicio de Sosa, Lidia Isabel </t>
  </si>
  <si>
    <t>c/ Leg. Inv nº 79/18</t>
  </si>
  <si>
    <t>DIANOSOL</t>
  </si>
  <si>
    <t>C/ LEG DE INV. ORIGNAL 152/17</t>
  </si>
  <si>
    <t>Tbien aparece Dra. Miriam Chouza mp832- c/ leg 84/22</t>
  </si>
  <si>
    <t>DEF- Dr- GABRIEL GUANUCO 7169- C/ LEG. INV. Nº1337/22- QUERELLA Dr Enzo Nahuel Talavi Abud</t>
  </si>
  <si>
    <t>C/ LEG  INV Nº 150/23</t>
  </si>
  <si>
    <r>
      <rPr>
        <b/>
        <sz val="10"/>
        <rFont val="Arial"/>
        <family val="2"/>
      </rPr>
      <t>ABREVIADO: UN MES Y VEINTE DIAS DE PRISION CONDICIONAL</t>
    </r>
    <r>
      <rPr>
        <sz val="10"/>
        <rFont val="Arial"/>
        <family val="2"/>
      </rPr>
      <t xml:space="preserve"> + REGLAS DE CONDUCTAS -----REQUIEREN ABREVIADO A FS. 49/53</t>
    </r>
  </si>
  <si>
    <t>187865/23</t>
  </si>
  <si>
    <r>
      <t>PRESO</t>
    </r>
    <r>
      <rPr>
        <sz val="10"/>
        <rFont val="Arial"/>
        <family val="2"/>
      </rPr>
      <t xml:space="preserve"> MARTINEZ, RICARDO TOMAS Y JAIME, FEDERICO NAHUEL POR EL DELITO DE ROBO SIMPLE EN PERJUICIO DE MARIA DEL CARMEN GUAYMAS</t>
    </r>
  </si>
  <si>
    <t>183607/23</t>
  </si>
  <si>
    <t>Dr. RUSSO PASCUAL Leonor</t>
  </si>
  <si>
    <t>Defensa: Dr. Leonor Russo Pascual MP 1955</t>
  </si>
  <si>
    <t>HARDOY Jose Ignacio por AMENAZAS - RESISTENCIA A LA AUTORIDAD en pejr. De Of. Aux. Leandro Omar Zuleta - LESIONES AGRAVADAS EN OCASIÓN DE LA FUNCION Y RESISTENCIA A LA AUTORIDAD en perj. Del Sgto. Ayte. Guillermo David Gareca</t>
  </si>
  <si>
    <t xml:space="preserve"> 11:10</t>
  </si>
  <si>
    <t>188630/24</t>
  </si>
  <si>
    <t>C/ Leg</t>
  </si>
  <si>
    <t>Dr. Facundo Margonari MP 6530</t>
  </si>
  <si>
    <t xml:space="preserve"> 08:25</t>
  </si>
  <si>
    <t>173359/21</t>
  </si>
  <si>
    <t>MACKLUF, DANTE ENRIQUE por amenazas en perjuicio de Lozano Virginia del Valle</t>
  </si>
  <si>
    <t>181609/22</t>
  </si>
  <si>
    <t>MENDEZ, GABINO LEON por amenazas y desonbediencia judicial e perjuicio de unco adriana alexandra</t>
  </si>
  <si>
    <t>C/Leg</t>
  </si>
  <si>
    <t>173385/21</t>
  </si>
  <si>
    <t>CRUZ, CRISTIAN CEFERINO por amenazas con armas, resistencia a la autoridad en perjuicio de NN</t>
  </si>
  <si>
    <t>162005/19</t>
  </si>
  <si>
    <t>LÓPEZ, JOSÉ LUIS por robo simple; Ortega, Axel Adrian por robo simple en perjuicio de Castro Mario Ariel</t>
  </si>
  <si>
    <t>186866/23</t>
  </si>
  <si>
    <t>ECHAZU, JUAN PABLO por robo simple</t>
  </si>
  <si>
    <t>155139/18</t>
  </si>
  <si>
    <t>CORONEL, TAMARA por usurpación de propiedad en perjuicio de Cataya Ramirez, Mariana Gimena</t>
  </si>
  <si>
    <t>154295/18</t>
  </si>
  <si>
    <t>GEREZ, JULIO ANDRES por robo simple en perjuicio de Palacios Rosseto, Maria Alejandra</t>
  </si>
  <si>
    <t>183030/23</t>
  </si>
  <si>
    <t>LASTERO, FEDERICO por infraccion Abigeato y desobeidencia judicial en perjuicio de Norry Salvatierra, Danieala Elizabeth</t>
  </si>
  <si>
    <t>186647/23</t>
  </si>
  <si>
    <t xml:space="preserve"> 11:57</t>
  </si>
  <si>
    <t>SUBELZA Candido por Abuso Sexual Gravemente Ultrajante por las Circunstancias de su realizacion y su duracion en el tiempo agravado por la guarda y la convivencia de la menro LCS</t>
  </si>
  <si>
    <t>188315/23</t>
  </si>
  <si>
    <r>
      <t>PRESO</t>
    </r>
    <r>
      <rPr>
        <sz val="10"/>
        <rFont val="Arial"/>
        <family val="2"/>
      </rPr>
      <t xml:space="preserve"> AVILA Rodrigo Nicolas por ROBO DOBLEMENTE CALIFICADO POR HABERSE COMETIDO CON EFREACCION Y ESCALAMIENTO en perj. De CORREA Carlos Adrian</t>
    </r>
  </si>
  <si>
    <r>
      <t>PRESO</t>
    </r>
    <r>
      <rPr>
        <sz val="10"/>
        <rFont val="Arial"/>
        <family val="2"/>
      </rPr>
      <t xml:space="preserve"> CAMPOS Ricardo Angel - CUELLAR Kiara - LOPEZ Jonathan y REYNAGA Celeste Tamara por COMERCIALIZACION DE ESTUPEFACIENTE AGRAVADA POR  LA PARTICIPACION DE TRES O MAS PERSONA EN FORMA ORGANIZADA Y POR SERVIRSE DE PERSONA DESMINUIDAS PSIQUICAMENTE</t>
    </r>
  </si>
  <si>
    <t>187417/23</t>
  </si>
  <si>
    <r>
      <t>PRESO</t>
    </r>
    <r>
      <rPr>
        <sz val="10"/>
        <rFont val="Arial"/>
        <family val="2"/>
      </rPr>
      <t xml:space="preserve"> SANCHEZ Angel Dario y LLANOS Maximiliano Luis por ROBO CALIFICADO POR ESCALAMIENTO en perj. De OFICIAL Sub. Ayte. Suarez Graciela</t>
    </r>
  </si>
  <si>
    <r>
      <t>PRESO</t>
    </r>
    <r>
      <rPr>
        <sz val="10"/>
        <rFont val="Arial"/>
        <family val="2"/>
      </rPr>
      <t xml:space="preserve"> FLORES Victro Rolando por LESIONES LEVES AGRAVADAS por el Vinculo y por Mediar Violencia de Género - AMENAZAS con Arma Blanca y ABUSO SEXUAL CON ACCESO CARNAL en perj. De CINTIA JANET SOSA</t>
    </r>
  </si>
  <si>
    <t>Dra. Liz Palavecino MP 3638</t>
  </si>
  <si>
    <t>182052/22</t>
  </si>
  <si>
    <t>187928/23</t>
  </si>
  <si>
    <t>GUANUCO Tito Ruben por AMENAZAS - DESOBEDIENCIA JUDICIAL (cinco hechos) en CONCURSO REAL en perj. De DANIELA ESTEFANIA MUSEDA</t>
  </si>
  <si>
    <t>138573/16</t>
  </si>
  <si>
    <t>GAVILAN Eduardo Javier por LESIONES LEVES AGRAVADAS POR EL VINCULO - Privacion Ilegitima de la Libertad Agravada -dos hechos- ABUSO SEXUAL CON ACCESO CARNAL AGRAVADO POR EL USO DE ARMA EN GRADO DE TENTATIVA - Todo en Concurso Real en perj. De LETICIA MARIBEL RODRIGUEZ</t>
  </si>
  <si>
    <t>187988/23</t>
  </si>
  <si>
    <t>GIRON Cristian Martin por DESOBEDIENCIA JUDICIAL en perj. De Eliana del Milagro BRAVO</t>
  </si>
  <si>
    <t>186465/23</t>
  </si>
  <si>
    <t>186469/23</t>
  </si>
  <si>
    <t>MAITA Gabriel Francisco - CRUZ ALEGRE Ivana Analia y MAITA Alvaro Francisco por ESTAFA REITERADAS (7 HECHOS) Y FALSEDAD DOCUMENTAL todo en CONCURSO REAL en perj. ESTRADA Vilma Sandra - RODRIGUEZ Pistan Rodrigo Sebastian - BASUALDO Guillermo Daniel - RESINA Oscar Ramon y BORGES Nestor Rafael</t>
  </si>
  <si>
    <t>Dr. Fernando Ariel Marquieguez MP 5952 por Maita Gabriel Francisco -- QUERELLANTE: Dr. Basualdo Guillermo Daniel con el patrocinoi del Dr. Hector Emiliano Valdez</t>
  </si>
  <si>
    <t>Dra. Palavecino Liz MP 3638</t>
  </si>
  <si>
    <t>187888/23</t>
  </si>
  <si>
    <t>GOMEZ Yamila Elizabeth por VIOLACION DE DOMICILIO Y AMENAZAS CON ARMA EN CONCURSO REAL en perj. De GUERRERO Marta Rafaela</t>
  </si>
  <si>
    <t>183721/23</t>
  </si>
  <si>
    <t xml:space="preserve">GUANTAY Ignacio Omar por ROBO SIMPLE en Grado de Ttva. En perj. De BLANCO Jose </t>
  </si>
  <si>
    <t>175961/23</t>
  </si>
  <si>
    <t xml:space="preserve">MONTERO Claudio Fernando por ESTAFA (dos hechos) EN CONCURSO REAL en perj. De SILVEIRA AGUIRREBENGOA Jason Gerardo </t>
  </si>
  <si>
    <t>185658/23</t>
  </si>
  <si>
    <t>CASTRO NIEVAS Maximiliano Miguel por LESIONES GRAVES CULPOSAS EN ACCIDENTE DE TRANSITO en perj. De FLORES Ignacio Esteban</t>
  </si>
  <si>
    <t>186793/23</t>
  </si>
  <si>
    <t>VERON Jonathan Martin por DESOBEDIENCIA JUDICIAL en perj. De SOLIZ Nadia</t>
  </si>
  <si>
    <t xml:space="preserve"> 09:18</t>
  </si>
  <si>
    <t>ESCALADA Josue Facundo por AMENAZAS y ATENTADO A LA AUTORIDAD EN CONCURSO REAL en perj. De OLARTE Juan Cruz</t>
  </si>
  <si>
    <t>188439/24</t>
  </si>
  <si>
    <t>VASQUEZ Noberto Alfredo por AMENAZAS (dos hechos) - VIOLACION DE DOMICILIO todo en CONCURSO REAL en perj. De DURAN Miriam Beatriz</t>
  </si>
  <si>
    <t>165540/20</t>
  </si>
  <si>
    <t>RAMIREZ Alfredo por ABUSO SEXUAL CON ACCESO CARNAL AGRAVADO POR EL USO DE ARMA (CONTINUADO) COACCION (dos hechos) y AMENAZAS todo CONCURSO REAL en perj. De FLORES Sonia Margarita</t>
  </si>
  <si>
    <t>186759/23</t>
  </si>
  <si>
    <t xml:space="preserve">GUTIERREZ Jorge Leonel por LESIONES LEVES en CONCURSO REAL CON FALSEDAD IDEOLOGICA Y VEJACIONES AGRAVADAS POR LA VIOLENCIA - 2) VELEZ Jesus Ramiro por VEJACIONES AGRAVADAS POR EL USO DE LA VIOLENCIA RODRIGUEZ Nahuel Alejandro </t>
  </si>
  <si>
    <t>176850/22</t>
  </si>
  <si>
    <t>CARABAJAL Luis Remigio por LESIONES LEVES CULPOSAS EN ACCIDENTE DE TRANSITO en perj. De ARAMAYO Juan Manuel</t>
  </si>
  <si>
    <t xml:space="preserve"> 11:02</t>
  </si>
  <si>
    <t>186569/23</t>
  </si>
  <si>
    <t xml:space="preserve">DELGADO Carlos Y CORREA Gabriela por LESIONES AGRAVADAS POR LA RELACION DE PAREJA PREEXISTENTE Y POR MEDIAR VIOLENCIA DE GENERO y CORREA Gabriela POR DAÑOS en perj. De </t>
  </si>
  <si>
    <t>FERNANDEZ Marcos Fabian por DAÑOS - LESIONES LEVES Agravdas y PRIVACION ILETIGIMA DE LA LIBERTAD Todo en Concurso Real en perj. De SARAPURA Eliana Camila</t>
  </si>
  <si>
    <t xml:space="preserve"> 09:53</t>
  </si>
  <si>
    <t>183944/23</t>
  </si>
  <si>
    <t>185745/23</t>
  </si>
  <si>
    <r>
      <t xml:space="preserve">Querellante: Dr. DANTUR Guillermo Federico -- se lo pasa al </t>
    </r>
    <r>
      <rPr>
        <b/>
        <sz val="10"/>
        <rFont val="Arial"/>
        <family val="2"/>
      </rPr>
      <t>AUDIENCISTA 15/02/2024</t>
    </r>
  </si>
  <si>
    <t>183562/23</t>
  </si>
  <si>
    <t>GARCIA Ramon Agustin por AMENAZAS - DAÑOS - VIOLACION DE DOMICILIO Y DESOBEDIENCIA JUDICIAL en perj. De CORREA VIDAURRE Maria de los Angeles</t>
  </si>
  <si>
    <t>185681/23</t>
  </si>
  <si>
    <t>LIQUIN Gabriel Rodrigo por LESIONES AGRAVADAS POR LA RELACION DE PAREJA Y AMENAZAS en CONCURSO REAL en perj. De YAPURA Yanina Isolda</t>
  </si>
  <si>
    <t>GUAYMAS Bruno Andres por VIOLACION DE DOMICILIO y ROBO SIMPLE EN GRADO DE TENTATIVA en CONCURO REAL en perj. De BARRIOS RODRIGO Marcelo</t>
  </si>
  <si>
    <t>GARECA Enzo Gabriel y TORRES Gabriel del Rosario por IMPOSICION DE TORTURAS en perj. De AGUIRRE Alberto Alfredo</t>
  </si>
  <si>
    <t>156766/19</t>
  </si>
  <si>
    <t>FUNES Luis Aldo por FALSESDAD DE DOCUMENTO y ESTAFA (dos hechos) en CONCURSO REAL en perj. De ROMBOLA Ignacio Miguel</t>
  </si>
  <si>
    <t xml:space="preserve"> 11:12</t>
  </si>
  <si>
    <t>187469/23</t>
  </si>
  <si>
    <r>
      <t>PRESO</t>
    </r>
    <r>
      <rPr>
        <sz val="10"/>
        <rFont val="Arial"/>
        <family val="2"/>
      </rPr>
      <t xml:space="preserve"> BENICIO Aron Lautaro y GUERRA Juan Sebastian Maximiliano por LESIONES LEVES - AMENAZAS CON ARMA - VIOLACION DE DOMICILIO y DESOBEDIENCIA JUDICIAL EN CONCURSO REAL en perj. De GUZMAN Johana - GUZMAN Graciela Alicia</t>
    </r>
  </si>
  <si>
    <t xml:space="preserve"> 09:39</t>
  </si>
  <si>
    <t>183023/23</t>
  </si>
  <si>
    <t>AVENDAÑO Emanuel Elias por ROBO SIMPLE y DESOBEDIENCIA JUDICIAL en CONCURSO REAL en perj. De ZERDA Rosana Isabel</t>
  </si>
  <si>
    <t>165942/20</t>
  </si>
  <si>
    <t>ROMANO Luis Fernando por Lesiones Leves Agravadas por la Relacion de Pareja Preexistente y por Mediar Violencia de Género</t>
  </si>
  <si>
    <t>183274/23</t>
  </si>
  <si>
    <t xml:space="preserve">ALFARO,Facundo Humberto por Coaccíon (dos hechos y Privación Ilegitima de la Lilbertad Agravada por el uso de Violencia y Amenzanzas y por ser la Damiificada una persona a quien se debe respeto particualar en Concurso Real </t>
  </si>
  <si>
    <t>c/rqto.- leg 39/23</t>
  </si>
  <si>
    <t>c/ rqto.</t>
  </si>
  <si>
    <t>Dra. Virginia Alicia Tolaba- MP 4564</t>
  </si>
  <si>
    <t>C/ RQTO- LEG 49/22</t>
  </si>
  <si>
    <t>185010/23</t>
  </si>
  <si>
    <t>CHAUQUI, Jairo Matias por Lesiones Graves Culposas e Incumplimiento de los Deberres de Funcionario Públicop en Concurso Realo en Perjucio de Rios, Natalia Romina</t>
  </si>
  <si>
    <t>c/ rqto. Leg 10/23</t>
  </si>
  <si>
    <t>181615/22</t>
  </si>
  <si>
    <t xml:space="preserve">GONZALEZ,, Jorge Victor por Lesiones Levesa Agravadas y Amenazas en Perjuicio de Guerrera, Gabriel Mauro y Villagra, Juan Leonardo </t>
  </si>
  <si>
    <t>Dra. Ma Cecilia Martinez /dop 5- interina)- leg116/22</t>
  </si>
  <si>
    <t>181524/22</t>
  </si>
  <si>
    <t xml:space="preserve">VAZQUEZ, Dora Ofelia por Desobediencia Judicial(dos hechos) en perjuicio de Migliorino, Jose Luis </t>
  </si>
  <si>
    <t>c/ rqto - leg 143/22</t>
  </si>
  <si>
    <r>
      <t>PRESO</t>
    </r>
    <r>
      <rPr>
        <sz val="10"/>
        <rFont val="Arial"/>
        <family val="2"/>
      </rPr>
      <t xml:space="preserve"> F, J E por Homicidio Agravado por el Vinculo en Perjucio de JIMENEZ KVEDARAS, MERCEDES </t>
    </r>
  </si>
  <si>
    <t>185863/23</t>
  </si>
  <si>
    <t>ALVAREZ Ramon Marcos por ABUSO SEXUAL GRAVEMENTE ULTRAJANTE POR LA CIRCUNSTANCIAS DE SU REALIZACION Y POR EL TIEMPO DE DURACION AGRAVADO POR LA CONVIVENCIA PRE-EXISTENTE con una Menor de Edad en perj. De MAA - Den MARGARITA AURELIA TULA</t>
  </si>
  <si>
    <t>184013/23</t>
  </si>
  <si>
    <t>QUIÑONEZ Leticia Elena por DEFRAUDACION POR ADMINISTRACION INFIEL en perj. De BLANCO CARRIO Pablo Sebastian</t>
  </si>
  <si>
    <t xml:space="preserve"> 08:12</t>
  </si>
  <si>
    <t>186863/23</t>
  </si>
  <si>
    <t>SARAVIA Nicolas Fernando por LESIONES AGRAVADAS POR LA RELACION DE PAREJAPREEXISTENTE y POR MEDIAR VIOLENCIA DE GENERO en perj. De ESCALANTE</t>
  </si>
  <si>
    <t xml:space="preserve"> 08:59</t>
  </si>
  <si>
    <t>188646/24</t>
  </si>
  <si>
    <t>187995/23</t>
  </si>
  <si>
    <t>ALA Leonardo Said por ROBO EN POBLADO Y EN BANDA - ALARCON Santiago Sebastian, IBAÑEZ Esteban Jose Leonardo y GONZALEZ Jesus Matias por ROBO EN POBLADO Y EN BANDA AGRAVADO POR LA PARTICIPACION DE UN MENOR en perj. De CASTILLO Pablo Axel</t>
  </si>
  <si>
    <t xml:space="preserve"> 08:23</t>
  </si>
  <si>
    <t>182709/23</t>
  </si>
  <si>
    <t>VIDES Belen Gisela por HURTO SIMPLE GEREZ Ezequiel Mauricio</t>
  </si>
  <si>
    <t>186849/23</t>
  </si>
  <si>
    <t>GIMENEZ Victor Miguel por AMENAZAS (2 hechos) EN CONCURSO REAL en perj. De NORMA BEATRIZ DIAZ</t>
  </si>
  <si>
    <t>187236/23</t>
  </si>
  <si>
    <r>
      <t>PRESO</t>
    </r>
    <r>
      <rPr>
        <sz val="10"/>
        <rFont val="Arial"/>
        <family val="2"/>
      </rPr>
      <t xml:space="preserve"> MARTINEZ GUTIERREZ Mauro Sergio por HOMICIDIO CULPOSO POR LA CONDUCCION IMPRUDENTE - NEGLIGENTE O ANTIRREGLAMENTARIA DE UN VEHICULO CON MOTOR CALIFICADO POR DARSE A LA FUGA Y NO INTENTAR SOCORRER A LA VICTIMA cometido en perj. De DANTE LAUREANO y BRIAN ANGEL ABALLAY POR ENCUBRIMIENTO</t>
    </r>
  </si>
  <si>
    <t>186870/23</t>
  </si>
  <si>
    <r>
      <t>PRESO</t>
    </r>
    <r>
      <rPr>
        <sz val="10"/>
        <rFont val="Arial"/>
        <family val="2"/>
      </rPr>
      <t xml:space="preserve"> MAITA Pablo Cesar por LESIONES LEVES AGRAVADAS POR LA RELACION DE PAREJA PREVIA Y POR EL GENERO Y COACCION EN CONCURSO REAL en perj de COLQUE RODRIGUEZ DORIS</t>
    </r>
  </si>
  <si>
    <t>188347/24</t>
  </si>
  <si>
    <t>175539/21</t>
  </si>
  <si>
    <t xml:space="preserve">COLQUE Omar Rene por ABUSO SEXUAL GRAVEMENTE ULTRAJANTE POR SU DURACION en perj. De la menor DLSC </t>
  </si>
  <si>
    <t>183890/23</t>
  </si>
  <si>
    <t xml:space="preserve">GUZMAN Elio Matias por VIOLACION DE DOMICILIO en perj. De NAVARRO Silvana Soledad </t>
  </si>
  <si>
    <t>ESTADO</t>
  </si>
  <si>
    <t>SIN ELEVAR</t>
  </si>
  <si>
    <t>ELEVADA</t>
  </si>
  <si>
    <t>RQTO Y OPOSICION- LEG140/23</t>
  </si>
  <si>
    <t>RQTO- LEG 343/21</t>
  </si>
  <si>
    <t>C/ RQTO</t>
  </si>
  <si>
    <t>Dr. Gustavo Ruiz Piazza MP 5754</t>
  </si>
  <si>
    <t>DR. GUSTAVO RUIZ PIAZZA-C/ RQTO- NULIDAD- VISTA AL FISCAL- C/ LEG 619/23</t>
  </si>
  <si>
    <t>Dr. José María Guaymás MP 5217</t>
  </si>
  <si>
    <t>C/ RQTO- OPOSICION LEG 158/20</t>
  </si>
  <si>
    <t>187138/23</t>
  </si>
  <si>
    <t>MONTAÑEZ, Adrian Rolando por Lesiones Leves Agravadas por la Relación de Pareja Preexistencia y por el Género, Coacción Agravada todo en Concurso Real</t>
  </si>
  <si>
    <t>C/ RQTO LEG 77/23</t>
  </si>
  <si>
    <t>177181/22</t>
  </si>
  <si>
    <t>PERALES, Horacio Martín por Abuso Sexual Gravemente Ultrajante por su Duración y Circusntancias de Relación en perjuicio de Lanoza, Amira Andrea</t>
  </si>
  <si>
    <t>C/ RQTO- LEG 129/22</t>
  </si>
  <si>
    <t>PRESO AGUIRRE, VICTOR ALBERTO POR HOMICIDIO CULPOSO CALIFICADO EN PREJUICIO DE NINAJA, KANASA MOISES (  A.P. Nº 1052/17 DE COMISARIA DE GENERAL GUEMES).-</t>
  </si>
  <si>
    <t xml:space="preserve"> 08:36</t>
  </si>
  <si>
    <t xml:space="preserve"> 08:04</t>
  </si>
  <si>
    <t>185481/23</t>
  </si>
  <si>
    <t>ACOSTA Jose Anibal Eduardo por HOMCIDIO CULPOSOS EN ACCIDENTE DE TRANSITO EN PERJ. DE MAMANI, PABLO ALBERTO</t>
  </si>
  <si>
    <t>Dr. Lucio Flores Giralt MP 3953</t>
  </si>
  <si>
    <t>186870/24</t>
  </si>
  <si>
    <t>MAITA Pablo Cesar por LESIONES LEVES AGRAVADAS POR LA RELACION DE PAREJA PREVIA Y GENERO y COACCION en CONCURSO REAL en perj de COLQUE Rodriguez Doris</t>
  </si>
  <si>
    <t>186528/23</t>
  </si>
  <si>
    <t>FIGUEROA Jose Santiago - TORRES Gabriel Leonardo - TORRES Antonio Rodolfo - SEGOVIA Julio Alberto - ARGAÑARAZ Reineiro - CISNEROS Hugo Marcelo - ARENA Silvio Eduardo por APREMIOS ILEGALES AGRAVAD POR HABER PROVOCADO UN GRAVE DAÑO - APREMIOS ILEGALES AGRAVADOS POR LA VIOLENCIA -COACCION Y FALSEDAD IDEOLOGICA</t>
  </si>
  <si>
    <t xml:space="preserve"> 12:25</t>
  </si>
  <si>
    <t>187291/23</t>
  </si>
  <si>
    <t>188272/23</t>
  </si>
  <si>
    <t>178855/22</t>
  </si>
  <si>
    <t>HEIT Francisco Maximiliano por ABUSO SEXUAL GRAVEMENTE ULTRAJANTE PRO LA CIRCUNSTANCIAS DE SU REALIZACION Y SU DURACION EN EL TIEMPO Y ABUSO SEXUAL CON ACCESO CARNAL (CONTINAUDO) todo en CONCURSO REAL en perj. HEIT Francisco Maximiliano</t>
  </si>
  <si>
    <t xml:space="preserve"> 09:44</t>
  </si>
  <si>
    <t>185685/23</t>
  </si>
  <si>
    <t>GUANTAY Dalmiro Ezequiel LESIONES AGRAVADAS POR LA RELACION DE PAREJA en perj. De ALANCAY Maira</t>
  </si>
  <si>
    <t>Dra. Lucia Pepe MP 6711</t>
  </si>
  <si>
    <t>187982/23</t>
  </si>
  <si>
    <t>MORALES WILIAM Damian por VEJACIONES AGRAVADAS POR EL USO DE LA VIOLENCIA en perj. De Zanchetta Gustavo Oscar</t>
  </si>
  <si>
    <t>Dr. Nicolas Ceferino Vedia MP 3742</t>
  </si>
  <si>
    <t>Dra. Sandra Isabel Domene MP 5308</t>
  </si>
  <si>
    <t>Dr. Jose Fernando Teseyra MP 2594 y Dr. Gustavo Ruiz Piazza MP 5754</t>
  </si>
  <si>
    <t>183882/23</t>
  </si>
  <si>
    <t xml:space="preserve">SALAS Nicolas Federico por AMENAZAS (dos hechos) y LESIONES EN CONCURSO REAL en perj. De ARENA de Sala Estela del Valle - SALAS Andres del Valle </t>
  </si>
  <si>
    <t>187966/23</t>
  </si>
  <si>
    <t xml:space="preserve">CAYO Jose Antonio por LESIONES LEVES AGRAVADAS POR LA RELACIONS DE PAREJA PREEXISTENTE Y POR EL GENERO (dos hechos) Y DESOBEDIENCIA JUDICIAL (dos hechos) en CONCURSO REAL en perj. De HERRERA Maira Guadalupe del Milagro </t>
  </si>
  <si>
    <t>178860/22</t>
  </si>
  <si>
    <t>RODRIGUEZ Jose Enrique - VEGA Leandro Anibal - MONTAÑEZ Paola Natalia - PEREZ David Ricardo - AGUILAR Jose Rodolfo y GERONIMO Ezequiel Jose VEJACIONES CALIFICADOS POR EL USO DE LA VIOLENCIA - PRIVACION ILEGITIMA DE LA LIBERTAD EN CONCURSO REAL - AMENAZAS</t>
  </si>
  <si>
    <t>179030/22</t>
  </si>
  <si>
    <t xml:space="preserve"> 09:28</t>
  </si>
  <si>
    <t>GUZMAN Eliam Emanuel por AMENAZAS (dos hechos) LESIONES LEVES AGRAVADAS POR EL VINCULO Y LESIONES LEVES AGRAVADAS OR EL VINCULO Y OR MEDIAR VIOLENCIA DE GÉNERO EN CONCURSO REAL en perj. De Miriam Alejandra Rodas (madre) y Melani Alejandra Guzman (hermana)</t>
  </si>
  <si>
    <t>177150/22</t>
  </si>
  <si>
    <t>VAZQUEZ Andres Gustavo y BALLESTEROS Claudia Cristina por ROBO EN POBLADO Y EN BANDA (dos hechos) en CONC. REAL AGRAVADO POR LA PARTICIPACION DE MENOR en perj. De MORALES Silvina</t>
  </si>
  <si>
    <t>179630/22</t>
  </si>
  <si>
    <t>FARFAN Luis Rodrigo Gonzalo por AMENAZA CON ARMA en perj.de FLORES Rocio del Valle</t>
  </si>
  <si>
    <t>184807/23</t>
  </si>
  <si>
    <t xml:space="preserve"> 09:19</t>
  </si>
  <si>
    <t>TARITOLAY Gabriela del Valle por Tentativa de HURTO SIMPLE en perj. De VERA Rocio Emilia</t>
  </si>
  <si>
    <t>C/RQTO- LEG 06/23</t>
  </si>
  <si>
    <t xml:space="preserve">ZIMMER SARMIENTO Maria del Carmen y BRANDAN Gerardo Antonio por Administracion Infiel en perj. De </t>
  </si>
  <si>
    <t>C/ RQTO-LEG 47/15</t>
  </si>
  <si>
    <t>156880/19</t>
  </si>
  <si>
    <t>SORIA, Maria Nieves, SORIA CORTEZ, Angel Benjamin, CORTEZ DE LOS RIOS, Margarita y PERALTA, Sara Edith por Estafa en perjuicio de Ramirez, Ricardo Antonio- A.V.10/19- FISCAL UDEC (N.N.Mariano s/ Denuncia -Prioveniente de la Provincia de Buenos Aires- Dpto de San Martín)</t>
  </si>
  <si>
    <t>C/ RQTO- LEG 39/22( 3 CUERPOS)</t>
  </si>
  <si>
    <t>152375/18</t>
  </si>
  <si>
    <t>MORALES, Sergio Bernabe, AVENDAÑO, Nicolas Federico, IBARRA,Gastón Alejandro, ALBORNOZ, Jesús Rolando, VEGA, Alvaro Luciano (M) por Amenazas y Resistencia a la Autoridad</t>
  </si>
  <si>
    <t>142399/17</t>
  </si>
  <si>
    <t>CALAPIÑA, Jose Alberto, CARDOZO, Daniel Hector y DIAZ, Jorge Rafael por Favorecimeinto Culposo de Evasion e Incumplimietno de los Deberes de Funcionario Público todo en Concurso Real</t>
  </si>
  <si>
    <t xml:space="preserve"> RQTO- OPOSICION- TBIEN ABOGADO PARTICULAR DR. JORGE RAFAEL DIAZ- LEG 12/17</t>
  </si>
  <si>
    <t>181613/22</t>
  </si>
  <si>
    <t xml:space="preserve">MARCHETTI,Angel Eduardo por Falsificación de Documentos Públicos Agravada, Agravado y Homicidio Culposo por Homicidio Culposo en perjuicio de Paz Gabriel Alejandro </t>
  </si>
  <si>
    <t>C/ RQTO- LEG 64/22</t>
  </si>
  <si>
    <t>MARIN Gustavo Antonio por LESIONES DOBLEMENTE AGRAVADAS POR LA RELACION DE PAREJA PREEXISTENTE Y POR EL GENERO Y AMENAZAS EN CONCURSO REAL</t>
  </si>
  <si>
    <t xml:space="preserve"> 10:52</t>
  </si>
  <si>
    <t>180056/22</t>
  </si>
  <si>
    <t>SUBELZA Maximo por AMENAZAS en perj. RUIZ Ana Maria</t>
  </si>
  <si>
    <r>
      <t>PRESO</t>
    </r>
    <r>
      <rPr>
        <sz val="10"/>
        <rFont val="Arial"/>
        <family val="2"/>
      </rPr>
      <t xml:space="preserve"> BURGOS Francisco por HOMICIDIO CALIFICADO OPR ALEVOSIA EN GRADO DE TENTATIVA en perj. De CANABA Jairo Ivan</t>
    </r>
  </si>
  <si>
    <r>
      <rPr>
        <b/>
        <sz val="10"/>
        <rFont val="Arial"/>
        <family val="2"/>
      </rPr>
      <t xml:space="preserve"> ELEVACIÓN A JUICIO</t>
    </r>
    <r>
      <rPr>
        <sz val="10"/>
        <rFont val="Arial"/>
        <family val="2"/>
      </rPr>
      <t xml:space="preserve"> -  SALA DE JUICIO VII (29/11/23)</t>
    </r>
  </si>
  <si>
    <r>
      <rPr>
        <b/>
        <sz val="10"/>
        <color rgb="FF000000"/>
        <rFont val="Arial"/>
        <family val="2"/>
      </rPr>
      <t>ELEVACIÓN A JUICIO</t>
    </r>
    <r>
      <rPr>
        <sz val="10"/>
        <color rgb="FF000000"/>
        <rFont val="Arial"/>
        <family val="2"/>
      </rPr>
      <t xml:space="preserve"> - SALA DE JUICIO V (27/12/23)</t>
    </r>
  </si>
  <si>
    <r>
      <t xml:space="preserve"> ELEVACIÓN A JUICIO - </t>
    </r>
    <r>
      <rPr>
        <sz val="10"/>
        <rFont val="Arial"/>
        <family val="2"/>
      </rPr>
      <t xml:space="preserve">SALA DE JUICIO IV (01/12/23)- </t>
    </r>
  </si>
  <si>
    <r>
      <rPr>
        <b/>
        <sz val="10"/>
        <rFont val="Arial"/>
        <family val="2"/>
      </rPr>
      <t xml:space="preserve">ELEVACION A JUICIO </t>
    </r>
    <r>
      <rPr>
        <sz val="10"/>
        <rFont val="Arial"/>
        <family val="2"/>
      </rPr>
      <t>-SALA DE JUICIO VII (27/11/23)</t>
    </r>
  </si>
  <si>
    <r>
      <rPr>
        <b/>
        <sz val="10"/>
        <rFont val="Arial"/>
        <family val="2"/>
      </rPr>
      <t xml:space="preserve">JUICIO ABREVIADO      </t>
    </r>
    <r>
      <rPr>
        <sz val="10"/>
        <rFont val="Arial"/>
        <family val="2"/>
      </rPr>
      <t xml:space="preserve">  RESUELTO EN AREA PREVENTIVA (26/10/23)</t>
    </r>
  </si>
  <si>
    <r>
      <t xml:space="preserve"> ELEVACIÓN A JUICIO- </t>
    </r>
    <r>
      <rPr>
        <sz val="10"/>
        <rFont val="Arial"/>
        <family val="2"/>
      </rPr>
      <t>SALA DE JUICIO I   (12/12/23)</t>
    </r>
  </si>
  <si>
    <r>
      <t xml:space="preserve">ELEVACIÓN A JUICIO - SALA DE JUICIO V  </t>
    </r>
    <r>
      <rPr>
        <sz val="10"/>
        <rFont val="Arial"/>
        <family val="2"/>
      </rPr>
      <t>(12/12/23)</t>
    </r>
  </si>
  <si>
    <t>ELEVACIÓN A JUICIO - SALA DE JUICIO II (04/12/23)</t>
  </si>
  <si>
    <t>JUICIO ABREVIADO - RESUELTO EN AREA DE PRISION PREVENTIVA (04/12/23)</t>
  </si>
  <si>
    <r>
      <rPr>
        <b/>
        <sz val="10"/>
        <rFont val="Arial"/>
        <family val="2"/>
      </rPr>
      <t xml:space="preserve"> ELEVACIÓN A JUICIO</t>
    </r>
    <r>
      <rPr>
        <sz val="10"/>
        <rFont val="Arial"/>
        <family val="2"/>
      </rPr>
      <t xml:space="preserve"> CAUSA ACUMULADA A GAR. 180586/22 - SALA DE JUICIO V (19/12/23)</t>
    </r>
  </si>
  <si>
    <t>JUICIO ABREVIADO-RESUELTO EN AREA DE PRISION PREVENTIVA (01/11/23)</t>
  </si>
  <si>
    <r>
      <rPr>
        <b/>
        <sz val="10"/>
        <rFont val="Arial"/>
        <family val="2"/>
      </rPr>
      <t>JUCIO ABREVIADO - RESUELTO EN AREA DE PRISION PREVENTIVA</t>
    </r>
    <r>
      <rPr>
        <sz val="10"/>
        <rFont val="Arial"/>
        <family val="2"/>
      </rPr>
      <t xml:space="preserve"> (</t>
    </r>
    <r>
      <rPr>
        <b/>
        <sz val="10"/>
        <rFont val="Arial"/>
        <family val="2"/>
      </rPr>
      <t>25/10/23)</t>
    </r>
    <r>
      <rPr>
        <sz val="10"/>
        <rFont val="Arial"/>
        <family val="2"/>
      </rPr>
      <t>-</t>
    </r>
    <r>
      <rPr>
        <b/>
        <sz val="10"/>
        <rFont val="Arial"/>
        <family val="2"/>
      </rPr>
      <t xml:space="preserve"> </t>
    </r>
  </si>
  <si>
    <r>
      <rPr>
        <b/>
        <sz val="10"/>
        <rFont val="Arial"/>
        <family val="2"/>
      </rPr>
      <t xml:space="preserve">JUICIO ABREVIADO - RESUELTO EN AREA DE PRISION PREVENTIVA </t>
    </r>
    <r>
      <rPr>
        <sz val="10"/>
        <rFont val="Arial"/>
        <family val="2"/>
      </rPr>
      <t>(</t>
    </r>
    <r>
      <rPr>
        <b/>
        <sz val="10"/>
        <rFont val="Arial"/>
        <family val="2"/>
      </rPr>
      <t>06/11/23)</t>
    </r>
  </si>
  <si>
    <t xml:space="preserve"> ELEVACIÓN A JUICIO - SALA DE JUICIO I (01/12/23) </t>
  </si>
  <si>
    <r>
      <rPr>
        <b/>
        <sz val="10"/>
        <rFont val="Arial"/>
        <family val="2"/>
      </rPr>
      <t>JUICIO ABREVIADO - RESUELTO EN AREA DE PRISION PREVENTIVA</t>
    </r>
    <r>
      <rPr>
        <sz val="10"/>
        <rFont val="Arial"/>
        <family val="2"/>
      </rPr>
      <t xml:space="preserve"> (23/10/23)</t>
    </r>
  </si>
  <si>
    <t>ELEVACIÓN A JUICIO - SALA DE JUICIO IV (11/12/23)</t>
  </si>
  <si>
    <t>ELEVACIÓN A JUICIO - SALA DE JUICIO  III (13/12/23)</t>
  </si>
  <si>
    <t>ELEVACIÓN A JUICIO - SALA DE JUICIO III (28/12/23)</t>
  </si>
  <si>
    <t>ELEVACIÓN A JUICIO - SALA DE JUICIO VI (05/12/23)</t>
  </si>
  <si>
    <t>ELEVACIÓN A JUICIO - SALA DE JUICIO II (13/12/23)</t>
  </si>
  <si>
    <t>JUICIO ABREVIADO-RESUELTO EN AREA DE PRISION PREVENTIVA (21/11/23)</t>
  </si>
  <si>
    <t>JUICIO ABREVIADO- RESUELTO EN AREA DE PRISION PREVENTIVA (04/12/23)</t>
  </si>
  <si>
    <t>ELEVACIÓN A JUICIO - SALA DE JUICIO VI (06/12/23)</t>
  </si>
  <si>
    <t>ELEVACIÓN A JUICIO - SALA DE JUICIO I (07/12/23)</t>
  </si>
  <si>
    <t>ELEVACIÓN A JUICIO - SALA DE JUICIO V (11/12/23)</t>
  </si>
  <si>
    <t>ELEVACIÓN A JUICIO - SALA DE JUICIO VI (13/12/23)</t>
  </si>
  <si>
    <t>JUICIO ABREVIADO- RESUELTO EN AREA DE PRISION PREVENTIVA (24/10/23)</t>
  </si>
  <si>
    <t>JUICIO ABREVIADO- RESUELTO EN AREA DE PRISION PREVENTIVA (13/12/23)</t>
  </si>
  <si>
    <t>ELEVACIÓN A JUICIO - SALA DE JUICIO VI - (13/12/23)</t>
  </si>
  <si>
    <t>JUICIO ABREVIADO- RESUELTO EN AREA DE PRISION PREVENTIVA (22/01/24)</t>
  </si>
  <si>
    <t>ELEVACIÓN A JUICIO - SALA DE JUICIO  IV (20/12/23)</t>
  </si>
  <si>
    <t>ELEVACIÓN A JUICIO - SALA DE JUICIO VII (13/12/23)</t>
  </si>
  <si>
    <t>JUICIO ABREVIADO- RESUELTO EN AREA DE PRISION PREVENTIVA (18/01/24)</t>
  </si>
  <si>
    <t>ELEVADA A JUICIO - SALA DE JUICIO III (07/12/23)</t>
  </si>
  <si>
    <t>ELEVACIÓN A JUICIO - SALA DE JUICIO VI (22/12/23)</t>
  </si>
  <si>
    <t xml:space="preserve">ELEVACIÓN A JUICIO - SALA DE JUICIO II (27/12/23) </t>
  </si>
  <si>
    <t>ELEVACIÓN A JUICIO - SALA DE JUICIO II (22/12/23)</t>
  </si>
  <si>
    <t>ELEVACIÓN A JUICIO - SALA DE JUICIO VII (11/12/23)</t>
  </si>
  <si>
    <t>ELEVACIÓN A JUICIO - SALA DE JUICIO II (9/12/23)</t>
  </si>
  <si>
    <t>JUICIO ABREVIADO - RESUELTA EN AREA DE PRISION PREVENTIVA (23/11/23)</t>
  </si>
  <si>
    <t>ELEVACIÓN A JUICIO - SALA DE JUICIO VII (27/12/23)</t>
  </si>
  <si>
    <t>ELEVACIÓN A JUICIO - SALA DE JUICIO I (28/12/23)</t>
  </si>
  <si>
    <r>
      <t>PRESO</t>
    </r>
    <r>
      <rPr>
        <sz val="10"/>
        <rFont val="Arial"/>
        <family val="2"/>
      </rPr>
      <t xml:space="preserve"> SOLIZ Rodrigo Constantino por HOMICIO CALIFICADO POR LA RELACION DE PAREJA PREVIA - ALEVOSIA - ENSAÑAMIENTO Y POR MEDIAR VIOLENCIA DE GENERO EN GRADO DE TTVA. En perj. VEGA Leonor Mercedes Magdalena</t>
    </r>
  </si>
  <si>
    <t>Dra. Traico Carina Juan MP 5806</t>
  </si>
  <si>
    <r>
      <t>PRESO</t>
    </r>
    <r>
      <rPr>
        <sz val="10"/>
        <rFont val="Arial"/>
        <family val="2"/>
      </rPr>
      <t xml:space="preserve"> VISGARRA Rafael Alberto por ROBO SIMPLE (dos hechos) en CONCURSO REAL en perj. De FERREIRA Carla Daniela</t>
    </r>
  </si>
  <si>
    <t>187679/23</t>
  </si>
  <si>
    <r>
      <t>PRESO</t>
    </r>
    <r>
      <rPr>
        <sz val="10"/>
        <rFont val="Arial"/>
        <family val="2"/>
      </rPr>
      <t xml:space="preserve"> VALDEZ Yolanda Roxana por ENCUBRIMEINTO - HURTO CALIFICADO DE VEHICULO DEJADO EN LA VIA PUBLICA en perj. Castilla Agustina</t>
    </r>
  </si>
  <si>
    <t>187098/23</t>
  </si>
  <si>
    <r>
      <t>PRESO</t>
    </r>
    <r>
      <rPr>
        <sz val="10"/>
        <rFont val="Arial"/>
        <family val="2"/>
      </rPr>
      <t xml:space="preserve"> ARIAS Angel Federico por ROBO CALIFICADO POR EL USO DE ARMA EN GRADO DE TENTATIVA Y AMENAZAS en perj. De la menor MXC y de la Sra. Monica Cornelia Mamani</t>
    </r>
  </si>
  <si>
    <t>Dr. Pablo Lorenzetti</t>
  </si>
  <si>
    <t>con Legajo Fiscal - En armario 22/02/2024</t>
  </si>
  <si>
    <t>En Armario 22/02/2024</t>
  </si>
  <si>
    <t>184148/23</t>
  </si>
  <si>
    <t>YAPURA Oscar Ruben por ABUSO SEXUAL SIMPLE AGRAVADOS POR EL VINCULO Y GUARDO en perj. AGY YAPURA Noemi Guadalupe</t>
  </si>
  <si>
    <t>con Legajo Fiscal - Expediente En Armario 22/02/2024</t>
  </si>
  <si>
    <t>123091/15</t>
  </si>
  <si>
    <t>LIENDRO Marcos por Abuso Sexual Gravemente Ultrajante AGRAVADO POR LA GUARDA Y CONVIVENCIA PRE-EXISTENTE en perj. De SNC - ACUMULADO CUERDA FIRME 188785/24</t>
  </si>
  <si>
    <t>sin dato en Expediente</t>
  </si>
  <si>
    <t>en Armario 22/02/2024</t>
  </si>
  <si>
    <t>Con Legajo Fiscal - En Armario 22/02/2024</t>
  </si>
  <si>
    <t>Dr. Ruben Antonio Guzman Barrionuevo MP 7284</t>
  </si>
  <si>
    <t>182957/23</t>
  </si>
  <si>
    <t>MOYA Matias Nicolas por LESIONES LEVESA AGRAVADAS POR MEDIAR RELACION DE PAREJA PREEXISTENTE Y VIOLENCIA DE GENERO en perj. De SOSA Lidia Isabel</t>
  </si>
  <si>
    <t>182890/23</t>
  </si>
  <si>
    <t>GONZALEZ Diego David por LESIONES LEVES en perj. De CARRASCO Lucas Exequiel y DESOBEDIENCIA JUDICIAL en perj de RODRIGUEZ Lara Antonella</t>
  </si>
  <si>
    <t>Dr. Miguel Angel Quiroga MP 5305</t>
  </si>
  <si>
    <t>Dra. Maria Andrea Tejerina Frias MP 5634</t>
  </si>
  <si>
    <t>con Legajo Fiscal- en Armario 22/02/2024</t>
  </si>
  <si>
    <t>186952/23</t>
  </si>
  <si>
    <t>TOCONAS Maximiliano Eduardo y TOLABA Gabriel Alejandro por ATENTADO CONTRA LA AUTORIDAD Y AMENAZAS CON ARMA EN CONCURSO IDEAL en perj. De MARTINEZ Miguel Angel</t>
  </si>
  <si>
    <t>con Legajo Fiscal - en Armario 22/02/2024</t>
  </si>
  <si>
    <t>JUICIO ABREVIADO- EN AREA DE PRISION PREVENTIVA CON SU ACUMULADA GAR 186602 (GAR 1)</t>
  </si>
  <si>
    <t>ELEVACIÓN A JUICIO - SALA DE JUICIO III (27/12/23)</t>
  </si>
  <si>
    <t>JUICIO ABREVIADO EN AREA DE PRISION PREVENTIVA (14/12/2023)</t>
  </si>
  <si>
    <t>ELEVACIÓN A JUICIO - SALA DE JUICIO VI (08/02/24)</t>
  </si>
  <si>
    <t>ELEVACIÓN A JUICIO - SALA DE JUICIO  (23/02/24)</t>
  </si>
  <si>
    <t>ELEVACIÓN A JUICIO - SALA DE JUICIO IV (21/02/24)</t>
  </si>
  <si>
    <t xml:space="preserve">ELEVACIÓN A JUICIO - SALA DE JUICIO    (15/02/24) </t>
  </si>
  <si>
    <t>ELEVACIÓN A JUICIO - SALA DE JUICIO VI (02/02/24)</t>
  </si>
  <si>
    <t>JUICIO ABREVIADO- AREA DE PRISION PREVENTIVA (04/01/2024)</t>
  </si>
  <si>
    <t>ELEVADA A JUICIO - SALA DE JUICIO    (21/02/24)</t>
  </si>
  <si>
    <t>se pasa al Audiencista el 23/02/2024</t>
  </si>
  <si>
    <t xml:space="preserve"> 09:17</t>
  </si>
  <si>
    <t>181439/22</t>
  </si>
  <si>
    <t>MORALES Julio David por ESTAFA REITERADAS (CINCO HECHOS) EN CONCURSO REAL en perj. De SANGUINEO Angela Mariela - RAMIREZ Juana Elena - FORTUNATO Sergio - ORTIZ Dario Federico - NIEVAS GOMEZ Rosa Lidia del Milagro - BENZI Pablo Fabian</t>
  </si>
  <si>
    <t xml:space="preserve"> 09:13</t>
  </si>
  <si>
    <t>183893/23</t>
  </si>
  <si>
    <t>NICOLAS Elio Esqui por AMENAZAS en PERJ. DE ZINGONE Ana Magdalena</t>
  </si>
  <si>
    <t>188136/23</t>
  </si>
  <si>
    <t>188345/24</t>
  </si>
  <si>
    <t xml:space="preserve">VEIZAGA Arnaldo Ariel por AMENAZAS EN perj. De VEIZAGA Fernando Gustavo </t>
  </si>
  <si>
    <t xml:space="preserve"> 09:32</t>
  </si>
  <si>
    <r>
      <t>PRESO</t>
    </r>
    <r>
      <rPr>
        <sz val="10"/>
        <rFont val="Arial"/>
        <family val="2"/>
      </rPr>
      <t xml:space="preserve"> QUISPE Daniel Elias por DAÑOS - AMENAZAS - LESIONES LEVES AGRAVDAS POR LA RELACION DE PAREJA PREVIA Y GÉNERO - PROMOCION Y FACILITACION DE LA PROSTITUCION Y EXPLOTACION ECONOMICA DE LA PROSTITUCION en perj. De VILTE MARTINEZ Delfina Adaluz</t>
    </r>
  </si>
  <si>
    <r>
      <t>PRESO</t>
    </r>
    <r>
      <rPr>
        <sz val="10"/>
        <rFont val="Arial"/>
        <family val="2"/>
      </rPr>
      <t xml:space="preserve"> PALMA Victor Aldana por DESOBEDIENCIA JUDICIAL y AMENAZAS en CONCURSO REAL en perj. De Gloria Isabel Palma</t>
    </r>
  </si>
  <si>
    <t>Dr. Belbruno, Jose Ricardo (particular)</t>
  </si>
  <si>
    <t>RESUELTA EN AUD MULTIPROPOSITO DE PREVENTIVA - ABREVIADO: 3 AÑOS CONDICIONAL</t>
  </si>
  <si>
    <r>
      <t>PRESO</t>
    </r>
    <r>
      <rPr>
        <sz val="10"/>
        <rFont val="Arial"/>
        <family val="2"/>
      </rPr>
      <t xml:space="preserve"> SEGOVIA Facundo Daniel por DESOBEDIENCIA JUDICIAL y VIOLACION DE DOMICILIO en CONCURSO IDEAL en perj. De NELIDA MARIEL CANO</t>
    </r>
  </si>
  <si>
    <r>
      <t>PRESO</t>
    </r>
    <r>
      <rPr>
        <sz val="10"/>
        <rFont val="Arial"/>
        <family val="2"/>
      </rPr>
      <t xml:space="preserve"> RODRIGUEZ Juan Jose y CORIA Lautaro Enrique Esteban por ROBO CALIFICADO POR EL USO DE ARMA cuya aptitud para el Disparo no puede Acreditarse en perj. De FATIMA CAROLINA PINIKA BERRAL</t>
    </r>
  </si>
  <si>
    <t>186657/23</t>
  </si>
  <si>
    <t>AVILES Lucas Valentin por ROBO SIMPLE en perj. De CAUSARANO Florencia</t>
  </si>
  <si>
    <t>170150/21</t>
  </si>
  <si>
    <t xml:space="preserve">VILLAVICENCIO Angel Daniel por ROBO SIMPLE en perj. De QUIPILDOR Yonatan Eduardo </t>
  </si>
  <si>
    <r>
      <rPr>
        <b/>
        <sz val="10"/>
        <rFont val="Arial"/>
        <family val="2"/>
      </rPr>
      <t>Resuelta en Aud Multi y Flex de Preventiva - Abreviado 7 meses EFECTIVA</t>
    </r>
    <r>
      <rPr>
        <sz val="10"/>
        <rFont val="Arial"/>
        <family val="2"/>
      </rPr>
      <t xml:space="preserve"> Se encuentra en Preventiva - Dr. CERVANTES- aud 26/02/2024</t>
    </r>
  </si>
  <si>
    <t>Dra. Carmen Rosa Cespedes Cartagena MP 4409</t>
  </si>
  <si>
    <r>
      <t>PRESO</t>
    </r>
    <r>
      <rPr>
        <sz val="10"/>
        <rFont val="Arial"/>
        <family val="2"/>
      </rPr>
      <t xml:space="preserve"> COLQUE Gabriel Alejandro por Robo Calificado por ser de Vehículo en la vía publica y en contra de CASTILLO Alan Lautaro POR Robo Calificado por ser de vehiculo dejado en la via publica y Encubrimiento en perj. De FAZIO Jose Omar</t>
    </r>
  </si>
  <si>
    <r>
      <t>PRESO</t>
    </r>
    <r>
      <rPr>
        <sz val="10"/>
        <rFont val="Arial"/>
        <family val="2"/>
      </rPr>
      <t xml:space="preserve"> FLORES Walter Sebastian y MARTINEZ Ricardo Tomas por ROBO en perj. De NORIS Pamela de los Angeles TAPIA ACUMULADA 187685/23</t>
    </r>
  </si>
  <si>
    <t>188149/23</t>
  </si>
  <si>
    <r>
      <t>PRESO</t>
    </r>
    <r>
      <rPr>
        <sz val="10"/>
        <rFont val="Arial"/>
        <family val="2"/>
      </rPr>
      <t xml:space="preserve"> CHAYA Ariel Baltazar por VIOLACION DE DOMICILIO (4 hechos) DESOBEDIENCIA JUDICIAL (3 hechos) AMENAZAS (3 hechos) y PRIVACION ILEGITIMA DE LA LIBERTAD AGRAVADA (2 hechos) - TODO EN CONCURSO REAL en perj. De VALDIVIEZO Andrea Carolina</t>
    </r>
  </si>
  <si>
    <t xml:space="preserve"> 10:54</t>
  </si>
  <si>
    <t>178480/22</t>
  </si>
  <si>
    <t>LOPEZ Oscar Leonel por AMENAZAS (tres hechos) en perj. De RAMIREZ CASTILLO Carla Fabiana</t>
  </si>
  <si>
    <t>184436/23</t>
  </si>
  <si>
    <t xml:space="preserve">MACIEL Alejoj Enrique y VIVEROS Emanuel Alan por ROBO SIMPEL (cuatro hechos) en CONCURSO REAL y VIVEROS EMANUEL ALAN POR AMENAZAS (DOS HECHOS) DAÑOS - HURTO Y ROBO (CUATRO HECHOS) TODO EN CONCURSO REAL en perj. De TOLABA Carlos Marcial - BAUTISTA Pedro Leonardo </t>
  </si>
  <si>
    <t>EN ARMARIO 26/02/2024</t>
  </si>
  <si>
    <t>ELEVADA A JUICIO - ELEVADA A SALA VII</t>
  </si>
  <si>
    <r>
      <rPr>
        <b/>
        <sz val="10"/>
        <rFont val="Arial"/>
        <family val="2"/>
      </rPr>
      <t>ELEVADA A JUICIO - A SALA I --</t>
    </r>
    <r>
      <rPr>
        <sz val="10"/>
        <rFont val="Arial"/>
        <family val="2"/>
      </rPr>
      <t>DEVULETA 23/11/2023 ----EN FECHA 09/11/2023 SE REMITE A GARANTIAS 4 PARA QUE TOME CONOCIMIENTO DE LA RESLUCION DE LA AUDIENCIA MULTIPROSITO. ASIMISMO DEBE DEVOLVERLA PARA DAR TRAMITE AL REQU. JUICIO</t>
    </r>
  </si>
  <si>
    <r>
      <rPr>
        <b/>
        <sz val="10"/>
        <rFont val="Arial"/>
        <family val="2"/>
      </rPr>
      <t>ELEVADA A JUICIO</t>
    </r>
    <r>
      <rPr>
        <sz val="10"/>
        <rFont val="Arial"/>
        <family val="2"/>
      </rPr>
      <t xml:space="preserve">  - </t>
    </r>
    <r>
      <rPr>
        <b/>
        <sz val="10"/>
        <rFont val="Arial"/>
        <family val="2"/>
      </rPr>
      <t>AL TRIBUNAL DE JUICIO SALA</t>
    </r>
    <r>
      <rPr>
        <sz val="10"/>
        <rFont val="Arial"/>
        <family val="2"/>
      </rPr>
      <t xml:space="preserve"> </t>
    </r>
    <r>
      <rPr>
        <b/>
        <sz val="10"/>
        <rFont val="Arial"/>
        <family val="2"/>
      </rPr>
      <t>I</t>
    </r>
    <r>
      <rPr>
        <sz val="10"/>
        <rFont val="Arial"/>
        <family val="2"/>
      </rPr>
      <t xml:space="preserve"> --        con legajo fiscal </t>
    </r>
  </si>
  <si>
    <r>
      <rPr>
        <b/>
        <sz val="10"/>
        <rFont val="Arial"/>
        <family val="2"/>
      </rPr>
      <t>SE RESOLVIO EN ESTAPA DE PREVENTIVA - ABREVIADO</t>
    </r>
    <r>
      <rPr>
        <sz val="10"/>
        <rFont val="Arial"/>
        <family val="2"/>
      </rPr>
      <t xml:space="preserve"> Expediente </t>
    </r>
    <r>
      <rPr>
        <b/>
        <sz val="10"/>
        <rFont val="Arial"/>
        <family val="2"/>
      </rPr>
      <t>en Preventiva</t>
    </r>
    <r>
      <rPr>
        <sz val="10"/>
        <rFont val="Arial"/>
        <family val="2"/>
      </rPr>
      <t xml:space="preserve"> -</t>
    </r>
    <r>
      <rPr>
        <b/>
        <sz val="10"/>
        <rFont val="Arial"/>
        <family val="2"/>
      </rPr>
      <t>Dr. Diego Rodriguez- Adu 22/11/2023</t>
    </r>
    <r>
      <rPr>
        <sz val="10"/>
        <rFont val="Arial"/>
        <family val="2"/>
      </rPr>
      <t>. Ver planilla de Preventiva para mas observaciones</t>
    </r>
  </si>
  <si>
    <r>
      <rPr>
        <b/>
        <sz val="10"/>
        <rFont val="Arial"/>
        <family val="2"/>
      </rPr>
      <t>ELEVADA A JUICIO - SALA II</t>
    </r>
    <r>
      <rPr>
        <sz val="10"/>
        <rFont val="Arial"/>
        <family val="2"/>
      </rPr>
      <t xml:space="preserve"> Incapaces 1 - Dr. Marcelo Fernandez Esteban</t>
    </r>
  </si>
  <si>
    <t>ELEVADA A JUICIO - SALA VI</t>
  </si>
  <si>
    <r>
      <rPr>
        <b/>
        <sz val="10"/>
        <rFont val="Arial"/>
        <family val="2"/>
      </rPr>
      <t>ELEVADA A JUICIO CON PRISION PREVENTIVA</t>
    </r>
    <r>
      <rPr>
        <sz val="10"/>
        <rFont val="Arial"/>
        <family val="2"/>
      </rPr>
      <t xml:space="preserve"> - </t>
    </r>
    <r>
      <rPr>
        <b/>
        <sz val="10"/>
        <rFont val="Arial"/>
        <family val="2"/>
      </rPr>
      <t>SALA VI</t>
    </r>
    <r>
      <rPr>
        <sz val="10"/>
        <rFont val="Arial"/>
        <family val="2"/>
      </rPr>
      <t xml:space="preserve"> ESTA EN ETAPA PREVENTIVA</t>
    </r>
  </si>
  <si>
    <t>ELEVADA A JUICIO - SALA V</t>
  </si>
  <si>
    <r>
      <rPr>
        <b/>
        <sz val="10"/>
        <rFont val="Arial"/>
        <family val="2"/>
      </rPr>
      <t xml:space="preserve">ELEVADA A JUICIO EL 23/02/2024 - AUN NO TIENE SORTEO DEL TRIBUNAL QUE INTERVIENE -- </t>
    </r>
    <r>
      <rPr>
        <sz val="10"/>
        <rFont val="Arial"/>
        <family val="2"/>
      </rPr>
      <t>Dr. Orfeo Maggio por Castillo - Cervantes --- Dra. Florencia Maggio ----- Dr. Roberto Adrian Reyes por GUTIERREZ</t>
    </r>
  </si>
  <si>
    <t>ELEVADA A JUICIO - SALA IV</t>
  </si>
  <si>
    <t>188447/24</t>
  </si>
  <si>
    <t>VILLARROEL Facundo Gaston por ROBO - DESOBEDIENCIA JUDICIAL - VIOLACION DE DOMICILIO Y AMENAZAS todo en CONCURSO REAL en perj. De GONZALEZ LOPEZ Camila Muriel</t>
  </si>
  <si>
    <t>175966/22</t>
  </si>
  <si>
    <t>179053/24</t>
  </si>
  <si>
    <t>YUGRA Brian Emanuel por COACCION - LESIONES LEVES AGRAVADAS Y VIOLACION DE DOMICILIO en perj. De ARACELIA LLANES Celia Noemi</t>
  </si>
  <si>
    <t xml:space="preserve"> 08:47</t>
  </si>
  <si>
    <t>154153/18</t>
  </si>
  <si>
    <t>CARDOZO Oscar German por ABUSO SEXUAL CON ACCESO CARNAL AGRAVAD OR EL VINCULO Y PRO SER COMETIDO CONTRA UN MENOR DE 18 AÑOS APROVECHANDO LA SITUACION DE CONVIVENCIA PREEXISTENTE en perj. De CMC</t>
  </si>
  <si>
    <t>185890/23</t>
  </si>
  <si>
    <t>NELSY Celestina Escalera Montaño por HURTO SIMPLE en perj. De FERNANDEZ Silvia Monica</t>
  </si>
  <si>
    <t>185616/23</t>
  </si>
  <si>
    <t xml:space="preserve">SORIA Jose Luis por ABUSO SEXUAL SIMPEL EN CONCURSO REAL CON DESOBEDIENCIA JUDICIAL en perj de VIVAS Selva Estela </t>
  </si>
  <si>
    <t xml:space="preserve"> 10:37</t>
  </si>
  <si>
    <t>188355/24</t>
  </si>
  <si>
    <t>184037/23</t>
  </si>
  <si>
    <t xml:space="preserve">COLQUE Hugo David y CHOCOBAR Ariel Fernando por tentativa de ROBO AGRAVADO OPR COMETERSE EN POBLADO Y EN BANDA en perj. De MARAZ Claudio Rodrigo </t>
  </si>
  <si>
    <t xml:space="preserve"> 11:14</t>
  </si>
  <si>
    <t>170297/21</t>
  </si>
  <si>
    <t>PEREYRA Francisco Alberto por AMENAZAS en perj. De GONZALEZ Maria Paula</t>
  </si>
  <si>
    <t>188191/23</t>
  </si>
  <si>
    <r>
      <t>PRESO</t>
    </r>
    <r>
      <rPr>
        <sz val="10"/>
        <rFont val="Arial"/>
        <family val="2"/>
      </rPr>
      <t xml:space="preserve"> RIVERO Claudio Rodrigo por ROBO en perj. De FLORES Jose Manuel </t>
    </r>
  </si>
  <si>
    <r>
      <t>PRESO</t>
    </r>
    <r>
      <rPr>
        <sz val="10"/>
        <rFont val="Arial"/>
        <family val="2"/>
      </rPr>
      <t xml:space="preserve"> ALFARO Sergio Leandro por DESOBEDIENCIA JUDICIAL - VIOLACION DE DOMICILIO - LESIONES LEVES AGRAVADAS POR LA RELACION DE PAREJA Y POR EL GENERO Y AMENAZAS EN CONCURSO REAL en perj. De GALLARDO Estela Benigna</t>
    </r>
  </si>
  <si>
    <t>188124/23</t>
  </si>
  <si>
    <t xml:space="preserve">APAZA Cesar Gregorio por AMENAZAS (dos hechos) y DESOBEDIENCIA JUDICIAL en CONCURSO REAL en perj. De PEREZ Paola </t>
  </si>
  <si>
    <t>188213/23</t>
  </si>
  <si>
    <t>CUCCHIARO Marcelo Ernesto por AMENAZAS en perj. De SARAVIA Carlos Humberto</t>
  </si>
  <si>
    <t>Querellante: Dr. Ricardo Anuch MP 1461 - En Armario 28/02/2024</t>
  </si>
  <si>
    <t>En Armario 28/02/2024</t>
  </si>
  <si>
    <t>175124/21</t>
  </si>
  <si>
    <r>
      <rPr>
        <b/>
        <sz val="10"/>
        <rFont val="Arial"/>
        <family val="2"/>
      </rPr>
      <t>ELEVADA A JUICIO</t>
    </r>
    <r>
      <rPr>
        <sz val="10"/>
        <rFont val="Arial"/>
        <family val="2"/>
      </rPr>
      <t xml:space="preserve"> - CON PROYECTO DE ELEVACION - SE ENCUENTRA CON LA DRA ZUNINODr--- . Garrido por Cruz y Dr. Holver Martinez por Espinoza</t>
    </r>
  </si>
  <si>
    <t>SOLANO Diego Joaquin por Amenazas Y Lesiones Leves Agravadas por la Relacion de Pareja Preexistnte y por Violencia de Genero en perj de GUZMAN EMILCE ISABEL</t>
  </si>
  <si>
    <t>ELEVADA A JUICIO - SALA VII</t>
  </si>
  <si>
    <r>
      <t xml:space="preserve">reingresa a OFIIJU el 16/02/2024 - </t>
    </r>
    <r>
      <rPr>
        <b/>
        <sz val="10"/>
        <rFont val="Arial"/>
        <family val="2"/>
      </rPr>
      <t>ELEVADA A JUICIO</t>
    </r>
  </si>
  <si>
    <t>EN TRAMITE</t>
  </si>
  <si>
    <t>ELEVADA A JUICIO - SALA VI -- se la trabajo en iurix GAR 1</t>
  </si>
  <si>
    <r>
      <rPr>
        <b/>
        <sz val="10"/>
        <rFont val="Arial"/>
        <family val="2"/>
      </rPr>
      <t xml:space="preserve">ELEVADA A JUICIO - SALA IV --- </t>
    </r>
    <r>
      <rPr>
        <sz val="10"/>
        <rFont val="Arial"/>
        <family val="2"/>
      </rPr>
      <t>con Legajo Fiscal N| 220/23</t>
    </r>
  </si>
  <si>
    <t>189147/24</t>
  </si>
  <si>
    <t>MORALES Gustavo por ESTAFA en perj. De RENFIGE Adriana Demetria</t>
  </si>
  <si>
    <t>189154/24</t>
  </si>
  <si>
    <t>PORCO Raul Hector por HURTO SIMPLE en pejr. De Lorena Natalia del Valle Guaimas</t>
  </si>
  <si>
    <t>189194/24</t>
  </si>
  <si>
    <t>CASTILLO Nicolas Brahian por ROBO SIMPLE en perj. De VARGAS Malvinas</t>
  </si>
  <si>
    <r>
      <t xml:space="preserve">GUTIERREZ Nestor Francisco por LESIONES LEVES en perj. De LOPEZ Giesla Francisca -- </t>
    </r>
    <r>
      <rPr>
        <b/>
        <sz val="10"/>
        <rFont val="Arial"/>
        <family val="2"/>
      </rPr>
      <t>ACUM 185593/23</t>
    </r>
  </si>
  <si>
    <t>EN ARMARIO 28/02/2024</t>
  </si>
  <si>
    <t>Dr. Rodrigo Franco Anachuri MP 6336</t>
  </si>
  <si>
    <t>188459/24</t>
  </si>
  <si>
    <t>ARIAS Ramiro Ivan por COACCION - DESOBEDIENCIA JUDICIAL (dos hechos) - AMENAZAS Y LESIONES LEVES AGRAVADAS POR LA RELACION DE PAREJA PREVIA Y POR EL GÉNERO - TODO EN CONCURSO REAL en perj. De COPA Paila Mariel</t>
  </si>
  <si>
    <t>Dres. Belen M. Rodriguez Alzogaray MP 5118 y Miriam Silvana Falcone MP 5421</t>
  </si>
  <si>
    <t>Dr. Carlos Fernando Rojas MP 5596</t>
  </si>
  <si>
    <t>con Legajo Fiscal - En Armario 28/02/2024</t>
  </si>
  <si>
    <t>177986/22</t>
  </si>
  <si>
    <t>ABDO Alberto Jesus por ABIGEATO en perj. De CORREA Santiago Agustin</t>
  </si>
  <si>
    <t>NAVARRO Jose David por HURTO SIMPLE en Grado de Ttva. En perj. De Super Vital</t>
  </si>
  <si>
    <t>VEGA Fernando Raul por LESIONES LEVES AGRAVADAS POR MEDIAR RELACION DE PAREJA PREEXISTENTE Y VIOLENCIA DE GENERO -DOS HECHOS- DESOBEDIENCIA JUDICIAL - PRIVACION ILEGITIMA DE LA LIBERTAD Y COACCION EN CONCURSO REAL en perj. De BALCARCE Marianela</t>
  </si>
  <si>
    <t>188590/24</t>
  </si>
  <si>
    <t xml:space="preserve"> 08:35</t>
  </si>
  <si>
    <t>184812/23</t>
  </si>
  <si>
    <t xml:space="preserve">OJEDA Alberto por DESOBEDIENCIA JUDICIAL en perj. De </t>
  </si>
  <si>
    <r>
      <t>PRESO</t>
    </r>
    <r>
      <rPr>
        <sz val="10"/>
        <rFont val="Arial"/>
        <family val="2"/>
      </rPr>
      <t xml:space="preserve"> SOSA JEREZ Luciano Matias ó GEREZ Luciano Nicolas por HURTO y ROBO CALIFICADO POR EL USO DE ARMA - ROBO DOBLEMENTE AGRAVADA POR EL USO DE ARMA Y POR EL ESCALAMIENTO - TODO EN CONCURSO REAL en perj. De DARIO WAYAR NUÑEZ</t>
    </r>
  </si>
  <si>
    <t>188197/23</t>
  </si>
  <si>
    <t>NAVARRO Jose David por AMENAZAS en perj. De CARO Federico Nestor</t>
  </si>
  <si>
    <t>179774/22</t>
  </si>
  <si>
    <t>FERNANDEZ Mateo por ABIGEATO en perj. De FLORES Royano Elio</t>
  </si>
  <si>
    <t>188186/23</t>
  </si>
  <si>
    <r>
      <t>PRESO</t>
    </r>
    <r>
      <rPr>
        <sz val="10"/>
        <rFont val="Arial"/>
        <family val="2"/>
      </rPr>
      <t xml:space="preserve"> CAPI Alberto Enrique por Ttva. De ROBO SIMPEL en perj de VELEIZAN Gonzalo Fernando</t>
    </r>
  </si>
  <si>
    <t>en fecha  28/02/2024 se lo paso a la doctora Graciela Chanchorra porque lo necesitaba para una causa de Preventiva.</t>
  </si>
  <si>
    <t xml:space="preserve"> 11:53</t>
  </si>
  <si>
    <t>185622/23</t>
  </si>
  <si>
    <t>CANAVIDES Leonale Ricardo por LESIONES LEVES Y AMENAZAS (dos hechos) en perj. De ALBA Andres Eduardo</t>
  </si>
  <si>
    <t>173410/21</t>
  </si>
  <si>
    <t>MAMANI Jorge Ruben por LESIONES LEVES AGRAVDAS POR LA RELACION PREEXISTENTE Y POR EL GENERO en perj. De ATTIE Romina</t>
  </si>
  <si>
    <t>Dr. San Millan Rodrigo Martin MP 7582</t>
  </si>
  <si>
    <t>con LEGAJO FISCAL - en ARMARIO 28/02/2024</t>
  </si>
  <si>
    <t>CON LEGAJO FISCAL - EN ARMARIO 28/02/204</t>
  </si>
  <si>
    <t>CON LEGAJO FISCAL  -EXPEDIENTE EN ARMARIO 28/02/2024</t>
  </si>
  <si>
    <t>Dr. Rodolfo M. Sebastian Lazzareschi</t>
  </si>
  <si>
    <t>Dra. Pistan Silvina Mabel MP 3987</t>
  </si>
  <si>
    <t>Querellante: Lorena Gisela Leal con el Patrocino del Dr. Rodolfo M. Sebastian Lazzareschi - EN ARMARIO 28/02/2024</t>
  </si>
  <si>
    <t>Asesor Incapaces N° 5 - EN ARMARIO 28/02/2024</t>
  </si>
  <si>
    <t>DOP 2 - DISTRITO JUDICAL SUR - EN ARMARIO 28/02/2024</t>
  </si>
  <si>
    <t>EN ARMARIO 28/02/204</t>
  </si>
  <si>
    <t>186550/23</t>
  </si>
  <si>
    <t>TAPIA Agustin Aquiles por LESIONES AGRAVDAS POR LA RELACION DE PAREJA PREEXISTENTE POR MEDIAR VIOLENCIA DE GENERO en perj. DIAZ Azul</t>
  </si>
  <si>
    <t>186942/23</t>
  </si>
  <si>
    <t>PEREYRA VELEZCO, EDWIN por abuso sexual simple agravado por el vinculo y la guarda en perjuicio de E.P.A.</t>
  </si>
  <si>
    <t>C/ Leg. 47/23 - EN ARMARIO 28/02/2024</t>
  </si>
  <si>
    <t>189075/24</t>
  </si>
  <si>
    <t>BERTELLO, MAURO GERMAN por lesiones leves en perjuicio de Perez Tejeda, Maria Soledad</t>
  </si>
  <si>
    <t>EN ARMARIO 28/02/24</t>
  </si>
  <si>
    <t>188755/24</t>
  </si>
  <si>
    <t>CASTRILLO, JOSÉ DANIEL por abuso sexual gravemente ultrajante en perjuicio de M. M. P. C.</t>
  </si>
  <si>
    <t>185359/23</t>
  </si>
  <si>
    <t>REGUERIN, JONATHAN JESUS por lesiones agravadas, amenazas en perjuicio de Reguerin, Dora Gladys</t>
  </si>
  <si>
    <t>CRUZ, JOSÉ ABEL por daños, amenazas, coacción en perjuicio de Figueroa, Claudia Fabiana</t>
  </si>
  <si>
    <t>188802/24</t>
  </si>
  <si>
    <t>ROYANO, ROCIO TAMARA por lesiones culposas en Acc. De transito en perjuicio Avila, Juan Raul</t>
  </si>
  <si>
    <t>c. leg 102/22 - EN ARMARIO 28/02/24</t>
  </si>
  <si>
    <t>187853/23</t>
  </si>
  <si>
    <t>AYLAN Maximiliano Sebastian por ROBO SIMPLE en Grado de Ttva. En perj. De SANTILLAN Nicolas Nestor</t>
  </si>
  <si>
    <t>PRADA SALCEDO Daniel Orlando por VIOLACION DE DOMICILIO en perj. De WALTER VELEZ</t>
  </si>
  <si>
    <t xml:space="preserve"> 09:06</t>
  </si>
  <si>
    <t>183036/23</t>
  </si>
  <si>
    <t>GUITIAN, ANDRES por lesiones leves agravadas en perjuicio de Baca, Mónica Paola</t>
  </si>
  <si>
    <t>Dra. Maria Cecilia Cruz MP 2007</t>
  </si>
  <si>
    <t>185657/23</t>
  </si>
  <si>
    <t>AVILEZ Lucas Valentin por ROBO SIMPLE en perj. De CAUSARANO Florencia Maria Jose</t>
  </si>
  <si>
    <t>184194/23</t>
  </si>
  <si>
    <t>LAMAS, WALTER LUCIO por lesiones leves agravadas por la relación de pareja preexitente y por el género en perjucio de Amador, Rocio Belen</t>
  </si>
  <si>
    <t>c/ leg 32/23 EN ARMARIO 28/02/24</t>
  </si>
  <si>
    <t>DOMINGUEZ, JORGE TOMAS por lesiones y amenazas en perjuicio de Dominguez, Valeria Alejandra</t>
  </si>
  <si>
    <t>C/ Leg 112/23 y G01 - EN ARMARIO 28/02/24</t>
  </si>
  <si>
    <t>188721/24</t>
  </si>
  <si>
    <t>DIAS, LEONEL FERNANDO por abuso sexual gravemente ultrajante agravado por la convivencia</t>
  </si>
  <si>
    <t>c/ LEG 95/23 - EN ARMARIO 28/02/24</t>
  </si>
  <si>
    <t>AGUIRRE, ULISES GERARDO por amenazas en perjuicio de Mamani, Sandra Giselle</t>
  </si>
  <si>
    <t>c/ leg 74/23 EN ARMARIO 28/02/2024</t>
  </si>
  <si>
    <t>185691/23</t>
  </si>
  <si>
    <t>DIAZ, GLADYS por amenazas, lesiones en perjuicio de Morales, Adriana</t>
  </si>
  <si>
    <t>C/ leg 79/23 - EN ARMARIO 28/02/24</t>
  </si>
  <si>
    <t xml:space="preserve">Dres. Juan Pablo Ignes y Dra. Erica Castro </t>
  </si>
  <si>
    <t>Dr. Pablo Alberto Albornoz MP 7063</t>
  </si>
  <si>
    <t>188995/24</t>
  </si>
  <si>
    <t>ANAGUA CARLOS ORLANDO por privacion ilegitima de la libertad, lesiones leves agravadas por la relacion de pareja preexistenta y por medias violencia de genero y desobediencia judicial en perjuicio de Guantay Melina</t>
  </si>
  <si>
    <t>EN ARMARIO 29/02/2024</t>
  </si>
  <si>
    <t>173624/21</t>
  </si>
  <si>
    <t>TERCERO, ROBERTO ANGEL por amenzas en perjuicio de Castillo, Maria Patricia</t>
  </si>
  <si>
    <t>c/ leg. 105/21 - EN ARMARIO 29/02/2024</t>
  </si>
  <si>
    <t xml:space="preserve"> 12:07</t>
  </si>
  <si>
    <t>187314/23</t>
  </si>
  <si>
    <t>CASTILLO, ALAN LAUTARO por tentativa de robo en perjuicio de Tito, Maria Cristina</t>
  </si>
  <si>
    <t>181795/22</t>
  </si>
  <si>
    <t>CHOQUE, HILARION; CARDOZO, FABIAN GUSTAVO Y CHOQUE, NATASHA NOEL por usurpaciòn</t>
  </si>
  <si>
    <t>Querella: Dra. Noemi Lazarte MP 7119 - EN ARMARIO 29/02/2024</t>
  </si>
  <si>
    <t xml:space="preserve"> 09:59</t>
  </si>
  <si>
    <t>187256/23</t>
  </si>
  <si>
    <t>PLAZA, SANTIAGO por lesiones, amenazas en perjuicio de Deniz, Alicia Mariel</t>
  </si>
  <si>
    <t>Dr. Trobato, José Nicolas MP 7593</t>
  </si>
  <si>
    <t>C/ leg 194/23 - EN ARMARIO 29/02/2024</t>
  </si>
  <si>
    <t>175126/21</t>
  </si>
  <si>
    <t>CEBALLO, MIGUEL DELFIN por lesiones en perjuicio de Chauque, Marianela del Carme</t>
  </si>
  <si>
    <t>188878/24</t>
  </si>
  <si>
    <t>GUANTAY, ANGEL ARNALDO por desobediencia judicial, violación de domicilio en perjuicio de Escalante, Gabriela</t>
  </si>
  <si>
    <t>c/leg 124/23 - EN ARMARIO 29/02/2024</t>
  </si>
  <si>
    <t>186456/23</t>
  </si>
  <si>
    <t>188144/23</t>
  </si>
  <si>
    <t>TOLABA Diego Pedro por HURTO CALIFICADO en perj. FLORES Walter Luciano Agustin</t>
  </si>
  <si>
    <t>186536/23</t>
  </si>
  <si>
    <t>175756/21</t>
  </si>
  <si>
    <t>COLQUE Critian Antonio por LESIONES LEVES AGRAVADAS POR LA RELACION DE PAREJA PREEXISTENTE Y POR CONSTITUIR VIOLENCIA DE GENERO - LESIONES LEVES AGRAVADAS PR LA RELACION DE PAREJA PREEXISTENTE Y POR CONSITUTIR VIOLENCIA DE GENERO - DESOBEDIENCIA JUDICIAL en perj. de ZUNA Roxana Noemi</t>
  </si>
  <si>
    <t>CHACANA Romina Paola y CAYON Sebastian Nicolas por DAÑOS - CRUZ Carlos Julian y FRANCO Ana Sol  por LESIONES LEVES en perj.</t>
  </si>
  <si>
    <r>
      <t>PRESO</t>
    </r>
    <r>
      <rPr>
        <sz val="10"/>
        <rFont val="Arial"/>
        <family val="2"/>
      </rPr>
      <t xml:space="preserve"> MOYA SALOMON Ricardo HURTO con ESCALAMIENTO (tres hechos) en pejr. De QUIPILDOR Diego Ismael</t>
    </r>
  </si>
  <si>
    <t>188776/24</t>
  </si>
  <si>
    <t>CENARDO Braian Sebastian por ROBO SIMPLE - BURGOS Rolando Emanuel por ROBO SIMPLE en perj. De CHIRI Rosana Silvana</t>
  </si>
  <si>
    <r>
      <t>Querellantes: Dr. Nestor Hovler Martinez - se lo paso al Audiencista el</t>
    </r>
    <r>
      <rPr>
        <b/>
        <sz val="10"/>
        <rFont val="Arial"/>
        <family val="2"/>
      </rPr>
      <t xml:space="preserve"> 29/02/2024</t>
    </r>
  </si>
  <si>
    <t>188357/24</t>
  </si>
  <si>
    <t>GOMEZ Florencia Natalia por ATENTADO CONTRA LA AUTORIDAD en perj. De LANG Patricia Fernanda</t>
  </si>
  <si>
    <t xml:space="preserve"> 11:26</t>
  </si>
  <si>
    <t>185757/23</t>
  </si>
  <si>
    <t>MARTINELLI Mariana Carla por LESIONES LEVES AGRAVDAS POR EL VINCULO en perj. De HIGA Mauro Gustavo</t>
  </si>
  <si>
    <t>178205/22</t>
  </si>
  <si>
    <t xml:space="preserve"> 12:58</t>
  </si>
  <si>
    <t>177880/22</t>
  </si>
  <si>
    <t xml:space="preserve">BOLAÑOS Guillermo Jonathan y  AGUDO Ramiro Angel Gabriel por ROBO CALIFICADO POR ESCALAMIENTO en perj. </t>
  </si>
  <si>
    <t>185562/23</t>
  </si>
  <si>
    <t xml:space="preserve"> 12:37</t>
  </si>
  <si>
    <t>188352/23</t>
  </si>
  <si>
    <t>185982/23</t>
  </si>
  <si>
    <t>OJEDA Franco Roberto Nicolas por AMENAZAS en perj. De MORALES Celeste Adela</t>
  </si>
  <si>
    <t>Dras. Carina Susana Alanis y Dra. Suarez Hernan</t>
  </si>
  <si>
    <t>A AUDIENCISTA EL 29/02/2024</t>
  </si>
  <si>
    <t>Dr. FERNANDEZ Luis Cesar MP 4087</t>
  </si>
  <si>
    <t>Dr. JUAREZ Ruben Oscar MP 1208</t>
  </si>
  <si>
    <t>Con Legajo Fiscal - Expediente En Armario 29/02/2024</t>
  </si>
  <si>
    <t>180137/22</t>
  </si>
  <si>
    <t>186635/23</t>
  </si>
  <si>
    <t>QUIPILDOR Franco Ramiro por LESIONES LEVES AGRAVADAS POR LA RELACION DE PAREJA PREVIA Y POR EL GENERO Y DESOBEDIENCIA JUDICIAL (dos hechos) - TODO ELLO EN CONCURSO REAL en perj. ARANDA Micaela Azucena</t>
  </si>
  <si>
    <t>Dra. LACI Romina Judith MP 2036</t>
  </si>
  <si>
    <t>187981/23</t>
  </si>
  <si>
    <r>
      <t>PRESO</t>
    </r>
    <r>
      <rPr>
        <sz val="10"/>
        <rFont val="Arial"/>
        <family val="2"/>
      </rPr>
      <t xml:space="preserve"> MICHEL Fernando Jose por ROBO CALIFICADO POR EL USO DE ARMA BLANCA EN POBLADO Y EN BANDA TODO EN CONCURSO REAL en perj. De NESTOR ALEJANDRO BALDOVINO</t>
    </r>
  </si>
  <si>
    <t>171006/22</t>
  </si>
  <si>
    <t>GALLARDO Rodrigo - URQUIZA Hector - AIBAR Juan y SEGOVIA Walter por HURTO CALIFICADO EN GRADO DE TTVA. - HURTO CALIFICADO - ROBO SIMPEL Y DAÑOS en perj. RODRIGUEZ Viviana del Carmen</t>
  </si>
  <si>
    <t>164766/20</t>
  </si>
  <si>
    <t>VILTE Carmen Enrique por AMENAZAS CON ARMA en perj. De LAIME Aurelia</t>
  </si>
  <si>
    <t>DOP 1 - Dr. Federico Andres Gutierrez</t>
  </si>
  <si>
    <t>186984/24</t>
  </si>
  <si>
    <r>
      <t>PRESO</t>
    </r>
    <r>
      <rPr>
        <sz val="10"/>
        <rFont val="Arial"/>
        <family val="2"/>
      </rPr>
      <t xml:space="preserve"> GODOY, KEVIN - GODOY, FERNANDO RODRIGO Y SOSA, PABLO IVAN POR HOMICIDIO CALIFICADO POR EL CONCURSO PREMEDITADO DE DOS O MAS PERSONAS; EN PERJUICIO DE SUMBAY, PABLO JAVIER</t>
    </r>
  </si>
  <si>
    <t>EN ARMARIO 01/03/2024</t>
  </si>
  <si>
    <t>Asesoria Incapaces Nº 8 - EN ARMAIO 01/03/2024</t>
  </si>
  <si>
    <t>ASESORIA INCAPACES 5 - EN ARMARIO 01/03/2024 - CON LEGAJO FISCAL</t>
  </si>
  <si>
    <t>188058/23</t>
  </si>
  <si>
    <t>CRUZ Daviz Enzo Gabriel por LESIONES LEVES AGRAVDAS Y AMENAZAS en perj. De VILTE Brisa Nicole</t>
  </si>
  <si>
    <t>CON LEGAJO FISCAL - EN ARMARIO 01/03/2024</t>
  </si>
  <si>
    <t>ROMERO Jorge Miguel Angel por LESIONES LEVES AGRAVADAS POR LA RELACION DE PAREJA POR VIOLENCIA DE GENERO en perj. De SILVA Melina Maida</t>
  </si>
  <si>
    <t>188037/23</t>
  </si>
  <si>
    <t>DIAZ Miguel Angel por DESOBEDIENCIA JUDICIAL en perj. De DIAZ Karina Yanet</t>
  </si>
  <si>
    <t>VEGA Juan Jose por USO DE DOCUMENTO FALSO EN CONCURSO IDEAL con ESTAFA PROCESAL en perj. De RAMIREZ Ana Maria</t>
  </si>
  <si>
    <t>Dr. ARNEDO Daniel Alejandro - con LEGAJO FISCAL -- EXP EN ARMARIO 01/03/2024</t>
  </si>
  <si>
    <t>EN ARMARIO 01/03/2024 - CON LEGAJO FISCAL</t>
  </si>
  <si>
    <t>Defensa  Dr. Roberto Adrian Reyes por CHACANA - CAYON ---- DOP 11 poR CRUZ Y FRANCO  -  EXPEDIENTE EN ARMARIO 01/03/2024</t>
  </si>
  <si>
    <t xml:space="preserve"> 09:16</t>
  </si>
  <si>
    <t>161599/23</t>
  </si>
  <si>
    <t>CRUZ MARCOS Leoncio por ABUSO SEXUAL en perj de lamenor MMVS</t>
  </si>
  <si>
    <t>160421/19</t>
  </si>
  <si>
    <t>ZALAZAR Hernan Facundo por ABUSO SEXUAL GRAVEMENTE ULTRAJANTE POR LA CIRCUNSTANCIA DE SU REALIZACION AGRAVAD OR RESULTARLE UN GRAVE DAÑO A LA SALUD en perj. De MOGGIO Maria Noelia</t>
  </si>
  <si>
    <t>Dr. Villarubia es Querellante - CON LEGAJO FISCAL ojo el expediente es de GARANTIAS 7 -- Se deja Aclarado que inicialmente en fecha 14/12/2023 se recibio el Requerimient a Juicio por parte de la Querella habiendo consigando al Juzgado de Garantias 4 y en en fecha 27/02/2024 se recibe el Expediente el cual es Originario del Juzgado de Garantias 7 - Actualmente las actuaciones la dejo en ARMARIO el dia 04/03/2024 y modifico la planilla con los datos consignados en GAR 7</t>
  </si>
  <si>
    <t xml:space="preserve"> ALLOCO Jorge Nicolas por HOMICIDIO CULPOSO AGRAVADO POR LA CONDUCCION IMPRUDENTE Y NEGLIGENTE DEL VEHICULO AUTOMOTR</t>
  </si>
  <si>
    <t>Resuelta en Etapa de Preventiva - Abreviado 6 meses Efectiva</t>
  </si>
  <si>
    <r>
      <t>PRESO</t>
    </r>
    <r>
      <rPr>
        <sz val="10"/>
        <rFont val="Arial"/>
        <family val="2"/>
      </rPr>
      <t xml:space="preserve"> CUELLO Lucas Matias por ROBO Simple en Grado de Ttva. Y Robo Simple en Concurso Real en perj. De Angelica Adriana Gonzalez</t>
    </r>
  </si>
  <si>
    <r>
      <t>PRESO</t>
    </r>
    <r>
      <rPr>
        <sz val="10"/>
        <rFont val="Arial"/>
        <family val="2"/>
      </rPr>
      <t xml:space="preserve"> URZAGASTI  Hector Urzagasti por Tenencia de Estupefaciente con Fines de Comercializacion</t>
    </r>
  </si>
  <si>
    <r>
      <t>PRESO</t>
    </r>
    <r>
      <rPr>
        <sz val="10"/>
        <rFont val="Arial"/>
        <family val="2"/>
      </rPr>
      <t xml:space="preserve"> ESCALANTE Adriana Elizabeth por Hurto Calificado en Pejr. De Tapia Gustavo Adolfo</t>
    </r>
  </si>
  <si>
    <t>EXPEDIENTE EN ACUSACION</t>
  </si>
  <si>
    <r>
      <t xml:space="preserve">EXPEDIENTES </t>
    </r>
    <r>
      <rPr>
        <b/>
        <sz val="16"/>
        <color rgb="FF006100"/>
        <rFont val="Calibri"/>
        <family val="2"/>
        <scheme val="minor"/>
      </rPr>
      <t>CON PRESO</t>
    </r>
  </si>
  <si>
    <r>
      <t xml:space="preserve">EXPEDIENTES </t>
    </r>
    <r>
      <rPr>
        <b/>
        <sz val="16"/>
        <color rgb="FF006100"/>
        <rFont val="Calibri"/>
        <family val="2"/>
        <scheme val="minor"/>
      </rPr>
      <t>SIN PRESO</t>
    </r>
  </si>
  <si>
    <t>TOTAL INGRESADOS</t>
  </si>
  <si>
    <t>186968/23</t>
  </si>
  <si>
    <r>
      <t>PRESO</t>
    </r>
    <r>
      <rPr>
        <sz val="10"/>
        <rFont val="Arial"/>
        <family val="2"/>
      </rPr>
      <t xml:space="preserve"> RODRIGUEZ Horacio Hernan y LIENDRO Gonzalo Nahuel por HURTO SIMPLE y ROBO SIMPLE en CONCURSO REAL en perj. PIERA Jose Damian</t>
    </r>
  </si>
  <si>
    <t>163894/20</t>
  </si>
  <si>
    <t>MIRABAL Nicolas Facundo ROBO CALIFICADO POR EL USO DE ARMA Y POR COMETERSE EN POBLADO Y EN BANDA en perj. ACOSTA Carlos Guillermo</t>
  </si>
  <si>
    <t>ANAQUIN Daniela Paola por LESIONES LEVES AGRAVADAS POR EL VINCULO Y DESOBEDIENCIA JUDICIAL TODO EN CONCURSO REAL en perj. De la menor TLA den PEREZ Maria Estela</t>
  </si>
  <si>
    <t>con Legajo Fiscal - Expediente en ARMARIO 05/03/2024</t>
  </si>
  <si>
    <t>CON LEGAJO FISCAL - EM AR,AROP 05/03/2024</t>
  </si>
  <si>
    <t>184956/23</t>
  </si>
  <si>
    <t>MORALES Cesar Ernesto por Ameanzas - Daños Calificados - Resistencia a la Autoridad y Atentatdo a la Autoridad en perj. De PERSONAL POLICIAL</t>
  </si>
  <si>
    <t>CON LEGAJO FISCAL - EXPEDIENTE EN ARMARIO 05/03/2024</t>
  </si>
  <si>
    <t>182960/23</t>
  </si>
  <si>
    <t>NOVAS Carlos Maria por HURTO AGRAVADO POR LA PATICIAPACION DE UN MENOR en perj. De HOY GISEL</t>
  </si>
  <si>
    <t>Dr.Federico Vanni MP 4480 en representacion de Correa Agustin y Delgado Rafael</t>
  </si>
  <si>
    <t>171362/21</t>
  </si>
  <si>
    <t>TOLABA Matias por HURTO CALIFICADO por ESCALAMIENTO Y HURTO SIMPLE en perj. De CRUZ Javier y GONZALEZ Cecilia</t>
  </si>
  <si>
    <t>CON LEGAJO FISCAL - al audiencista en fecha 05/03/2024</t>
  </si>
  <si>
    <r>
      <t xml:space="preserve">REMITIDA A GAR 3 LE </t>
    </r>
    <r>
      <rPr>
        <b/>
        <sz val="10"/>
        <rFont val="Arial"/>
        <family val="2"/>
      </rPr>
      <t>OTORGAN LA LIBERTAD</t>
    </r>
    <r>
      <rPr>
        <sz val="10"/>
        <rFont val="Arial"/>
        <family val="2"/>
      </rPr>
      <t xml:space="preserve"> - DEVUELTA EL 29/02/2024 A HS. 10:50 - LA PASO AL ARMARIO 05/03/2024</t>
    </r>
  </si>
  <si>
    <t>con LEGAJO FISCAL  --EN ARMARIO 05/03/2024</t>
  </si>
  <si>
    <t>166069/20</t>
  </si>
  <si>
    <t>NAZARIO Cristain Daniel por DESOBEDIENCIA JUDICIAL y RESISTENCIA A LA AUTORIDAD en perj. De HEREDIA German</t>
  </si>
  <si>
    <t>con Legajo Fiscal  - expediente en ARMARIO 05/03/2024</t>
  </si>
  <si>
    <t xml:space="preserve"> 08:03</t>
  </si>
  <si>
    <t>188113/23</t>
  </si>
  <si>
    <t>CRUZ Ana Gabriela y AVELLANDEA Gustavo Gabriel por ROBO AGRAVADO POR COMETERSE EN POBLADO Y EN BANDA en perj. De BERMUDEZ Karen Ayelen</t>
  </si>
  <si>
    <t>179998/22</t>
  </si>
  <si>
    <t>CORIMAYO Rolando Angel por DESOBEDIENCIA JUDICIAL en perj. De LAMAS Luisa Marta</t>
  </si>
  <si>
    <t>187837/23</t>
  </si>
  <si>
    <t>GALVAN Lourdes Miranda por LESIONES AGRAVADAS POR EL VINCULO en perj. De MORALES Dario Gustavo</t>
  </si>
  <si>
    <t>188657/24</t>
  </si>
  <si>
    <t>DIEZ Hector Mariano por ROBO SIMPLE en GRADO DE TENTATIVA y ROBO SIMPLE Y HURTO en CONCURSO REAL y en contra de DIAZ Cristian Octavio por HURTO en perj. De TOLABA Luis Alejandro</t>
  </si>
  <si>
    <t>LOPEZ CRUZ Juan por ABUSO SEXUAL SIMPLE AGRAVADO POR EL VINCULO Y POR LA GUARDA (dos hechos) en perj. De la menor MJL y por el delito de ABUSO SEXUAL SIMPEL AGRAVAD POR EL VINCULO Y POR LA GUARDA en perj. BRISA ANGELICA LOPEZ</t>
  </si>
  <si>
    <t xml:space="preserve"> 08:38</t>
  </si>
  <si>
    <t>LONGARELA Alberto Daniel - WIERNA Patricia Ines - AREVALO Olga Susana ESTAFA POR MEDIO INFORMATICO en perj. De la firma DIRECTV ARGENTINA</t>
  </si>
  <si>
    <t>CORO Cesar Gustavo por LESIONES AGRAVDAS POR LA REALACION PREEXISTENTE Y POR CONSTITUIR VIOLENCIA DE GENERO y AMANEZAS EN perj. GUZMAN Fabiola Mabel</t>
  </si>
  <si>
    <t>189152/24</t>
  </si>
  <si>
    <t>Dr. Fernando Andres López MP 3685</t>
  </si>
  <si>
    <t>CON QUERELLA, DR. LUIS ALBERTO DIAZ MP 2413-CON LI - EN ARMARIO 05/03/2024</t>
  </si>
  <si>
    <t>Dr. Causarano, Jorge Antonio MP 2729 y Dr. Juan Manuel Pizarro Echenique MP 5375- Abogados particulares  En armario 05/03/2024</t>
  </si>
  <si>
    <t>Asesoría Nº 5. En armario 05/03/2024</t>
  </si>
  <si>
    <t>Con LI. En armario 05/03/2024</t>
  </si>
  <si>
    <t>188944/24</t>
  </si>
  <si>
    <t>PACHECO, JAVIER ALEJANDRO POR ROBO SIMPLE, AMENAZAS EN PERJUICIO DE MEDINA, ESTEBAN TOMAS</t>
  </si>
  <si>
    <t>Escrito en expte. pero tiene que enviarlo el gar 4 por plataforma. En armario 05/03/2024</t>
  </si>
  <si>
    <t>166128/20</t>
  </si>
  <si>
    <t>APARICIO, JOAQUIN POR ABUSO SEXUAL CON ACCESO CARNAL EN  PERJUICIO DE COPA JIMENEZ, VALENTINA</t>
  </si>
  <si>
    <t>Dr. Francisco Herrera MP 906</t>
  </si>
  <si>
    <t>Escrito en Expte. El GAR 4 debe enviarlo por plataforma. En armario 05/03/2024</t>
  </si>
  <si>
    <t>188880/24</t>
  </si>
  <si>
    <t>FERREYRA, CRISTIAN ARNALDO GENARO POR LESIONES LEVES AGRAVADAS POR LA RELACION DE PAREJA PREVIA Y EL GENERO EN PERJUICIO DE DONOSO LOPEZ, ROCIO ANABEL</t>
  </si>
  <si>
    <t>Escrito en Expte. Gar 4 debe enviarlo por plataforma. Con LI. En armario 05/03/2024</t>
  </si>
  <si>
    <t>188739/24</t>
  </si>
  <si>
    <t>LIENDRO, MIRNA ARIANA Y CALISAYA, ALEJANDRO JOSUE POR ROBO</t>
  </si>
  <si>
    <t>Escrito en Expte. Gar 4 debe enviarlo por Plataforma. En armario 05/03/2024</t>
  </si>
  <si>
    <t>177345/22</t>
  </si>
  <si>
    <t>SALVATIERRA, SANDRA VIVIANA POR IMPEDIMENTO DE CONTACTO DE HIJOS CON PADRES NO CONVIVIENTES EN PERJUICIO DE NN</t>
  </si>
  <si>
    <t>188250/23</t>
  </si>
  <si>
    <t>GONZALEZ, MIRTA VIRGINIA POR AMENAZAS EN PERJUICIO DE ACUÑA NAVARRO, GERMAN MAXIMILIANO</t>
  </si>
  <si>
    <t>No se cuenta con LI. En armario 05/03/2024</t>
  </si>
  <si>
    <t>189009/24</t>
  </si>
  <si>
    <t>FLORES, HERALDO RUBEN; LOPEZ, ALEXANDER WILSON; DIAZ, ESTEBAN MAXIMILIANO; ZERPA, HABER ALI  POR VEJACIONES CALUFICADAS Y QUIÑONERO, CARLOS GABRIEL POR VEJACIONES CALIFICADAS, FALSEDAD IDEOLOGICA DE INSTRUMENTO PUBLICO EN PERJUICIO DE SALVATIERRA, NOEMI AYDEE Y SARAPURA, LLEYTON GERMAN</t>
  </si>
  <si>
    <t>Dr. José fernando Garnica MP 7296. Con LI. En armario 05/03/2024</t>
  </si>
  <si>
    <t>188801/24</t>
  </si>
  <si>
    <t>AYUSA, LEONARDO ENRIQUE POR LESIONES LEVES AGRAVADAS POR LA RELACION DE PAREJA PREEXISTENTE Y MEDIAR VIOLENCIA DE GENERO EN PERJUICIO DE OJEDA, MIRIAM FERNANDA</t>
  </si>
  <si>
    <t>Con Li. En armario 05/03/2024</t>
  </si>
  <si>
    <t>183205/23</t>
  </si>
  <si>
    <t>MAMANI, DANIEL ALEJANDRO POR ROBO SIMPLE EN PERJUICIO DEL ESTADO</t>
  </si>
  <si>
    <t>Dr. Diego Martin Torres MP 7733</t>
  </si>
  <si>
    <t>CON LI. EN ARMARIO 05/03/204</t>
  </si>
  <si>
    <t>CON LI. EN ARMARIO 05/03/2024</t>
  </si>
  <si>
    <t>133790/16</t>
  </si>
  <si>
    <t>BAUTISTA, LUCAS EXEQUIE; PASTRANA, PABLO NAHUEL Y LOPEZ, ARIEL FERNANDO POR HURTO CALIFICADO Y AGRAVADO POR LA PARTICIPACION DE UN MENOR DE EDAD Y LAMAS, RODRIGO AGUSTIN POR HURTO CALIFICADO</t>
  </si>
  <si>
    <t>Dr. Sanchez Alegre por menor. Dop Nº 1 y 3. Con LI. En armario 05/03/2024</t>
  </si>
  <si>
    <t>183938/23</t>
  </si>
  <si>
    <t>137788/16</t>
  </si>
  <si>
    <t>SIN LI. EN FECHA 06/03/2024 SE LO PASO A LA AUDIENCISTA ATENTO EL PEDIDO DE JUICIO ABREVIADO</t>
  </si>
  <si>
    <t>171705/21</t>
  </si>
  <si>
    <t>182105/22</t>
  </si>
  <si>
    <t>ARTAZA Federico Gregorio y ALACIA Jorge Antonio por EXACCIONES ILEGALES</t>
  </si>
  <si>
    <t xml:space="preserve"> 08:57</t>
  </si>
  <si>
    <t>182735/23</t>
  </si>
  <si>
    <t>PARDO Nelson Ramiro por AMENAZAS con ARMA en perj. De TARRAGA Adelfa</t>
  </si>
  <si>
    <t>G01-186572/23</t>
  </si>
  <si>
    <r>
      <t>PRESO</t>
    </r>
    <r>
      <rPr>
        <sz val="10"/>
        <rFont val="Arial"/>
        <family val="2"/>
      </rPr>
      <t xml:space="preserve"> SOSA Nelson Facundo por ROBO DOBLEMENTE CALIFICADO POR SER COMETIDO EN POBLADO Y EN BANDA Y CON EL USO DE ARMA en calidad de COAUTOR</t>
    </r>
  </si>
  <si>
    <t>188277/23</t>
  </si>
  <si>
    <t>173122/21</t>
  </si>
  <si>
    <t xml:space="preserve">AYBAR Teresita del Rosario - CASTILLO Maria Agustina - SERRUTO Maria Fernanda - RUIZ Javier Hernan - GUTIAN Veronica Magali - BARRIDO  Valentina - MARISCAL Gisella Joana - MARISCAL Romina Yanet y CANAVIDES Laura Lorena EXPLOTACION DE JUEGO DE AZAR SIN LA DEBIDA AUTORIZACION en perj. de AMEN di GANGUI Adrian Osvaldo </t>
  </si>
  <si>
    <t xml:space="preserve"> 10:09</t>
  </si>
  <si>
    <t>179788/22</t>
  </si>
  <si>
    <t>DIAZ Jesus Federico por ESTAFA Y USO DE DOCUEMNTO FALSO en CONCURSO IDEAL en perj. De ROJAS ROMERO Jose Ramon</t>
  </si>
  <si>
    <t>179796/22</t>
  </si>
  <si>
    <t>TABOADA FARFAN Flora Elsa Magali por HURTO DOBLEMENTE CALIFICADO por HACER USO DE LLAVE VERDADERA SUSTRAIDA y LA PARITICIPACION DE UN MENOR DE EDAD Y CARRAL octavio Javier por HURTO CALIFICADO POR HACER USO DE LLAVE VERDADERA SUSTRAIDA en perj. De AGUIRRE Eduardo Alejandro</t>
  </si>
  <si>
    <t>CON LEGAJO FISCAL - EN ARMARIO 06/03/2024</t>
  </si>
  <si>
    <t>183691/23</t>
  </si>
  <si>
    <t>COSTELLO Pedro Raul por LESIONES LEVES - DESOBEDIENCIA JUDICIAL en CONCURSO REAL en perj. De HERRERA Graciela Raquel</t>
  </si>
  <si>
    <t>EN ARMARIO 06/03/2024</t>
  </si>
  <si>
    <t>183674/23</t>
  </si>
  <si>
    <t>APAZA Enrique Rafael por DESOBEDIENCIA JUDICIAL en perj. De FERNANDEZ Monica Candelaria</t>
  </si>
  <si>
    <t>182124/22</t>
  </si>
  <si>
    <t>HUANCA Jesica Mariel por LESIONES LEVES AGRAVADAS POR EL VINCULO en perj. De CISNEROS Julio Gonzalo</t>
  </si>
  <si>
    <t xml:space="preserve"> 09:20</t>
  </si>
  <si>
    <t>EN ARMARIO 06/03/2024 - CON LEGAJO FISCAL</t>
  </si>
  <si>
    <t>Dres. Flavia Calvente Mazzone MP 3316 y Nicolas Maggio MP 5934</t>
  </si>
  <si>
    <t>183414/23</t>
  </si>
  <si>
    <t>VIÑABAL Maximiliano Luis por Lesiones Leves Agravadas por la relacion de pareja preexistente y por mediar VIOLENCIA DE GENERO en perj. De BALTAZAR Lucia Adriana</t>
  </si>
  <si>
    <t>183507/23</t>
  </si>
  <si>
    <t>MENDIOLAZA Cristian Bladimir por LESIONES LEVES AGRAVADAS OPR LA RELACION DE PAREJA PREEXISTENTE Y POR MEDIAR VIOLENCIA DE GENERO EN perj. De MARISCAL Clara Jaqueline</t>
  </si>
  <si>
    <t>187884/23</t>
  </si>
  <si>
    <t>CALDERON Juan Carlos por LESIONES LEVES AGRAVADAS POR LA RELACION DE PAREJA - DESOBEDIENCIA JUDICIAL EN CI en perj. De PEREZ Edith</t>
  </si>
  <si>
    <t>183701/23</t>
  </si>
  <si>
    <t>DIAZ GUARDIA, Patricia Magdalena por COACCION AGRAVADA Y LESIONES AGRAVADAS PR EL VINCULO en perj. De LEYES Juan Pablo</t>
  </si>
  <si>
    <t>185505/23</t>
  </si>
  <si>
    <t>LOPEZ SANTOS Y TORIBIO LOPEZ por HOMICIDIO CULPOSO en perj. De EDUARDO FABRICIO cortez</t>
  </si>
  <si>
    <t>Dres. Martin D'Andrea y Tatiana Miralpeix</t>
  </si>
  <si>
    <t>183694/23</t>
  </si>
  <si>
    <t>HUANCA Edgar Leonardo por LESIONES AGRAVADAS POR EL VINCULO - DESOBEDIENCIA JUDICIAL EN CONCURSO REAL en perj. De CRUZ Betty Yolanda</t>
  </si>
  <si>
    <t xml:space="preserve">CHOQUE Hector Daniel por AMENAZAS - LESIONES en perj. De </t>
  </si>
  <si>
    <t>177744/22</t>
  </si>
  <si>
    <t>TAPIA Cristian Gabriel por LESIONES en perj. De CARDOZO Estefania</t>
  </si>
  <si>
    <t>Dr. Martin Andrew Bligaard MP 1391</t>
  </si>
  <si>
    <t>QUERELLANTES: DRa.Romina ISASMENDI Y Carlos LEZCANO -- EN ARMARIO 06/03/2024</t>
  </si>
  <si>
    <t>AQUINO GARECA Dario Martin por ABUSO SEXUAL CON ACCESO CARNAL en perj. De GUADALUPE MACEDO</t>
  </si>
  <si>
    <t>Dres. Virginia Tolaba MP 4564 y Francisco Herrera MP 906</t>
  </si>
  <si>
    <t>183164/23</t>
  </si>
  <si>
    <t xml:space="preserve">TORRES Braian Exequiel por LESIONES LEVES en perj. De VILCA Sergio Daniel </t>
  </si>
  <si>
    <t>164336/20</t>
  </si>
  <si>
    <t>PACHAO Oscar Daniel y CORODBA Belen del Valle por HURTO CALIFICADO (dos hechos) en CONCURSO REAL y TAPIA Hugo Rene por ENCUBRIMIENTO en perj. De TIRADO Mostajo Pascual</t>
  </si>
  <si>
    <t>177263/22</t>
  </si>
  <si>
    <t>JUAREZ Monica Susana por AMENAZAS en perj. De VEGA Anan Monica</t>
  </si>
  <si>
    <t>UDIS 2 - Dr. Gonzalez Miralpeix</t>
  </si>
  <si>
    <t>UDIS 3 - Dra. Sodero Calvet</t>
  </si>
  <si>
    <t>FP VFyG 5 - Dra. Liliana Jorge</t>
  </si>
  <si>
    <t>FP 1 - Dr. Pablo Paz</t>
  </si>
  <si>
    <t>FP 4 - Dr. Facundo Ruiz de los Llanos</t>
  </si>
  <si>
    <t>FP 5 - Dr. Federico Jovanovics</t>
  </si>
  <si>
    <t>FP 6 - Dr. Analía Adet Figueroa</t>
  </si>
  <si>
    <t>177471/22</t>
  </si>
  <si>
    <t>CASASOLA Sergio Nicolas por DESOBEDIENCIA JUDICIAL en perj. De LOPEZ Micaela Noel</t>
  </si>
  <si>
    <t>177344/22</t>
  </si>
  <si>
    <t>LIENDRO ROJAS Maximiliano por DESOBEDIENCIA JUDICIAL - VIOLACION DE DOMICILIO en perj. De LOPEZ Karina Paola</t>
  </si>
  <si>
    <t>177225/22</t>
  </si>
  <si>
    <t>173623/21</t>
  </si>
  <si>
    <t>SOSA Daniel Alejandro por LESIONES LEVES AGRAVADAS PR LA RELACION DE PAREJA PREVIA y POR EL GENERO EN PERJ. De CABRERA cCintia Anahi</t>
  </si>
  <si>
    <t>MARTINEZ Claudia Maira - CHILO Rosa Victoria por LESIONES en perj. De PONCE Maira Carola</t>
  </si>
  <si>
    <r>
      <t>PRESO</t>
    </r>
    <r>
      <rPr>
        <sz val="10"/>
        <rFont val="Arial"/>
        <family val="2"/>
      </rPr>
      <t xml:space="preserve"> SALVATIERRA Jeremias Josue por LESIONES AGRAVDAS PR LA RELACION DE PAREJA PREEXISTENTE COACCION Y DAÑOS en perj. VELAZCO TATIANA </t>
    </r>
  </si>
  <si>
    <t>ELEVADA A JUICIO - SALA II</t>
  </si>
  <si>
    <t>179504/22</t>
  </si>
  <si>
    <t>FERNANDEZ Enrique Sebastian por AMENAZAS Y DESOBEDIENCIA JUDICIAL  todo en CONCURSO REAL en perj. De LIZONDO Elizabeth Carolina</t>
  </si>
  <si>
    <t>183077/23</t>
  </si>
  <si>
    <t>QUIPILDRO Jose Antonio por AMENAZAS en perj. De QUIPILDRO Gabriel Agustina</t>
  </si>
  <si>
    <t>169530/21</t>
  </si>
  <si>
    <t>CORDOBA Pablo Gonzalo por ROBO en perj. De ARIAS Florencia</t>
  </si>
  <si>
    <t>185950/23</t>
  </si>
  <si>
    <t>TOLABA VALDEZ Sergio Emiliano por EXHIBICIONES OBSCENAS AGRAVADAS en perj. De AMITS</t>
  </si>
  <si>
    <t>189015/24</t>
  </si>
  <si>
    <t>CHOQUE Juan Alberto por ABUSO SEXUAL SIMPLE en perj. De la menor SS denuncia SCHERER Silvia Maria</t>
  </si>
  <si>
    <t>186051/23</t>
  </si>
  <si>
    <r>
      <t>PRESO</t>
    </r>
    <r>
      <rPr>
        <sz val="10"/>
        <rFont val="Arial"/>
        <family val="2"/>
      </rPr>
      <t xml:space="preserve"> MENDEZ Elias Alberto y MENDEZ Kevin Axel por AMENAZAS CON ARMA - ABUSO DE ARMA Y AMENAZAS en perj. De BARRIONUEVO Carla Eliana - LOPEZ Roxana Cecilia y GARCIA Aldo Daniel </t>
    </r>
  </si>
  <si>
    <t>Lo paso al Audiencista el 07/03/2024</t>
  </si>
  <si>
    <t>178078/22</t>
  </si>
  <si>
    <t>GLATSTEIN Lucas Matias por AMENAZAS - VIOLACION DE DOMICILIO y DESOBEDIENCIA JUDICIAL (dos hechos) en pejr. De CERRUTTI Andrea Lorena</t>
  </si>
  <si>
    <t>188000/23</t>
  </si>
  <si>
    <t>SOSA Eugenia Florentina por DAÑOS y REYNOSO CUELLAR Carlos Alberto por LESIONES DOBLEMENTE AGRAVADAS POR LA RELACION DE PAREJA PREEXISTENTE Y POR EL GENERO - AMENAZAS todo en CONCURSO REAL en perj. SOSA Eugenia Florentina y REYNOSO CUELLAR Carlos</t>
  </si>
  <si>
    <t>183724/23</t>
  </si>
  <si>
    <t>ROMANO Enzo Amadeo por LESIONES LEVES AGRAVADAS POR LA RELACION DE PAREJA PREVIA y POR EL GENERO - COACCION Y COACCION CON ARMA todo en CONCURSO REAL en perj. NELDA ALEJANDRINA GAVIA</t>
  </si>
  <si>
    <t>178334/22</t>
  </si>
  <si>
    <t>LOPEZ Juan Jose por DESOBEDIENCIA JUDICIAL en perj. De MERCADO Maria Gabriela</t>
  </si>
  <si>
    <t>182566/23</t>
  </si>
  <si>
    <t>CAMPOS Lucas Matias por VIOLACION DE DOMICILIO - LESIONES LEVES AGRAVADAS POR LA RELACION DE PAREJA PREVIA Y DE GENERO - AMENAZAS todo en CONCURSO REAL en perj. De MARTINEZ Jorge Eduardo</t>
  </si>
  <si>
    <t>Dra. Belen Alejandra Salvatierra MP 7283</t>
  </si>
  <si>
    <r>
      <rPr>
        <b/>
        <sz val="10"/>
        <rFont val="Arial"/>
        <family val="2"/>
      </rPr>
      <t xml:space="preserve">ELEVADA A JUICIO </t>
    </r>
    <r>
      <rPr>
        <sz val="10"/>
        <rFont val="Arial"/>
        <family val="2"/>
      </rPr>
      <t>- Abogado defensores: Orfeo Maggio - RODRIGUEZ Osvaldo</t>
    </r>
  </si>
  <si>
    <t>EN ARMARIO 07/03/2024</t>
  </si>
  <si>
    <t>Dr. Carlos Damian Puy MP 5971</t>
  </si>
  <si>
    <t>EN ARMARIO 07/03/2024 - CON LEGAJO FISCAL</t>
  </si>
  <si>
    <t>Dra. Fatima Maria Peckerle MP 1897</t>
  </si>
  <si>
    <t>QUERELLANTE: Dra Nadia Villarroel MP 6087 - en ARMARIO</t>
  </si>
  <si>
    <t>C/ Leg. - EN FECHA 07/03/2024 SE REMITA A GARANTIAS 4</t>
  </si>
  <si>
    <t>188091/23</t>
  </si>
  <si>
    <t>GARRIDO MICHAEL FREDY por COACCION - LESIONES LEVES AGRAVADAS POR EL GENERO Y DESOBEDIENCIA EN CONCURSO REAL - AMENAZAS en perj. De AGUIRRE Romina Esther</t>
  </si>
  <si>
    <t>Estaba como Defensa la Dra. Noelia Eliazabeth Velasco pero renuncio ---- EN ARMARIO 08/03/2024</t>
  </si>
  <si>
    <t>EN ARMARIO 08/03/2024</t>
  </si>
  <si>
    <t>EN ARMARIO 08/03/2024 - CON LEGAJO FISCAL</t>
  </si>
  <si>
    <t>185717/23</t>
  </si>
  <si>
    <t>TAPIA Eusebio Joaquin por ABUSO SEXUAL CON ACCESO CARNAL en perj. De MENDOZA Maira Alejandra</t>
  </si>
  <si>
    <t>176776/22</t>
  </si>
  <si>
    <t>TOLABA Pedro Isaias Emanuel por LESIONES Y AMENAZAS en perj de MERILES Jorge Alberto</t>
  </si>
  <si>
    <r>
      <t>PRESO</t>
    </r>
    <r>
      <rPr>
        <sz val="10"/>
        <rFont val="Arial"/>
        <family val="2"/>
      </rPr>
      <t xml:space="preserve"> ZELAYA Hernan Marcos Federico por HURTO SIMPLE (dos hechos) y AMENAZAS en CONCURSO REAL en perj. De FLORES Marianela Magali</t>
    </r>
  </si>
  <si>
    <t xml:space="preserve"> 12:08</t>
  </si>
  <si>
    <t>183886/23</t>
  </si>
  <si>
    <t>RUIZ Cesar Rufino por HURTO SIMPEL en perj. De MATTAR DEBORA MARIA</t>
  </si>
  <si>
    <t>Lopez, Cesar Alberto por Abuso Sexual Gravemente Ultrajante  y Calificado (A.P.Nº 324/22 Y 325/22 COMISARIA 105)</t>
  </si>
  <si>
    <t>FPUDIS- DR. RODRIGO GONZALO MIRALPEIX</t>
  </si>
  <si>
    <t>DOP Nº 14 DRA. MARCELA ROBLES</t>
  </si>
  <si>
    <t>183719/23</t>
  </si>
  <si>
    <t>MARTINEZ Victor Fernando por AMENAZAS CON ARMAS BLANCA en perj. De CUELLAR Irma Isolina</t>
  </si>
  <si>
    <t>Dr. Nicolas Corregidor MP 6059</t>
  </si>
  <si>
    <t>LIENDRO, RAMON MARCELO POR LOS DELITOS DE LESIONES AGRAVADAS Y DESOBEDIENCIA JUDICIAL en perjuicio de Maria Candela Liendro</t>
  </si>
  <si>
    <t>FPVFY G 4 DRA. ELISA PEREZ</t>
  </si>
  <si>
    <t>DOP 9 DR JORGE BONETTO</t>
  </si>
  <si>
    <t>BRUNO, JUAN MARCELO Y CAJAL, JOSE DANIEL POR EL DELITO DE HURTO SIMPLE en perj. De CAMACHO Jesus Martin</t>
  </si>
  <si>
    <t>ACTOR CIVIL: Dr. Alberto Ezequiel Daud - EN ARMARIO</t>
  </si>
  <si>
    <t>DIAZ Cristian Maximiliano por el delito de abuso sexual simple  EN PERJUICIO DE Barrionuevo, Karen daiana</t>
  </si>
  <si>
    <t>Dr. Carlo A. Anagnostopulos MP 2166</t>
  </si>
  <si>
    <t>Querellante: Dr. Jose alejandro Ortin Fernandez - EN ARMARIO</t>
  </si>
  <si>
    <t xml:space="preserve"> 12:20</t>
  </si>
  <si>
    <t>178643/22</t>
  </si>
  <si>
    <t>SARAVIA Miguel Angel por LESINES LEVES AGRAVADAS POR LA RELACION DE PAREJA PREVI Y POR EL GENERO Y AMANEZAS (tres hechos) en CONCURSO REAL en perj. De DIEZ Liliana</t>
  </si>
  <si>
    <t>Dra. Marina Judith Cayo Lopez</t>
  </si>
  <si>
    <t>170044/21</t>
  </si>
  <si>
    <t>TOLABA Jorge Antonio por ROBO SIMPLE en perj. De HUMANA Florinda Clotilde</t>
  </si>
  <si>
    <t>174672/21</t>
  </si>
  <si>
    <t>ACUÑA Roberto Fernando por AMENAZAS EN perj. De RIOS Liliana del Valle</t>
  </si>
  <si>
    <t>Dr. Nestor Roberto Teseyra MP 5252</t>
  </si>
  <si>
    <t>Querellante: Carlos Hernan Cuneo  - EN ARMARIO</t>
  </si>
  <si>
    <t>Querellante: Defensoria Oficial de Violencia de Género Nº 2 - EN ARMARIO</t>
  </si>
  <si>
    <t>EN  ARMARIIO</t>
  </si>
  <si>
    <t>EN ARNARIO</t>
  </si>
  <si>
    <t>179809/22</t>
  </si>
  <si>
    <t>GARCIA Fabricio Imanol y GARCIA Franco Leonel por VIOLACION DE DOMICILIO Y LESIONES LEVES en CONCURSO REAL en perj. De RIOS Genaro Esteban</t>
  </si>
  <si>
    <t>Quiroga, Oscar Ernensto por Lesiones Leves Agravadas por el Vinculo en perjuicio de E.I.C.Q. - OPOSICION DE LA DEFENSA AL REQUERIMEINTO A JUICIO</t>
  </si>
  <si>
    <t>187710/23</t>
  </si>
  <si>
    <t>BARRIENTOS Sergio Armando por ROBO SIMPLE - CHIRI Hugo Manuel por ROBO SIMPLE en perj. De MIRALPEIX Davalos</t>
  </si>
  <si>
    <t>157924/19</t>
  </si>
  <si>
    <t>Guaymas, Domingo Alfonso por Falsificacion de Documentos Públicos (A.P.Nº217/17- COMISARIA Nº18 EL CARRIL)</t>
  </si>
  <si>
    <t>DOP Nº6 DR.JAIME FIGUEROA</t>
  </si>
  <si>
    <t>Dr. Jose Alejandro ORTIN MP 4457</t>
  </si>
  <si>
    <t>169944/21</t>
  </si>
  <si>
    <t>CONTROLADO 08/03/2024</t>
  </si>
  <si>
    <t>Martinez, Daniel Eduardo-; Pantaleon Miranda, Mario Silvestre- Costilla, Gaston Arnaldo-Arapa, Oscar Rodirigo- Mercado, Jose Alejandro- Arias, Rene Ricardo -Torres, Pedro Martin- Torres, German Domingo- Peralta, Claudio Cristian- Juareza, Alberto Rafael y Diaz, Juan Marcelo  por Vejaciones Calificadas en perjuicio de Beleizan, Dionisia Carmen</t>
  </si>
  <si>
    <t>FPDDHH- Dra. Verónica Simensen de Bielke</t>
  </si>
  <si>
    <t>Querellante: Dra. Lizz Medrano  Def. VIF 2 - EN ARMARIO</t>
  </si>
  <si>
    <t>Dr. Omar SOSA</t>
  </si>
  <si>
    <t xml:space="preserve">BECERRA Luis Humberto por RESISTENCIA A LA AUTORIDAD - ATENTADO A LA AUTORIDAD CALIFICADO Y DAÑOS CALIFICADOS en perj. De ARIAS Cesar Eduardo </t>
  </si>
  <si>
    <t>EN ARMARIO - CON LEGAJO FISCAL</t>
  </si>
  <si>
    <t>168546/20</t>
  </si>
  <si>
    <t>Sosa, Denis Exequiel por Lesiones Agravadas en Perjuicio de Villanueva, Antonela en relacion a A.P.Nº 460/18 COMISARIA Nº 18</t>
  </si>
  <si>
    <t>DOP Nº 15 DR. Jorge Bonetto</t>
  </si>
  <si>
    <t>165000/20</t>
  </si>
  <si>
    <t xml:space="preserve">Soria Esteban Emanuel por Leisones en Perjuicio de Albronoz, Gisela Georgina  </t>
  </si>
  <si>
    <t>FPVFY G 1 Dra-Davalos</t>
  </si>
  <si>
    <t>DOP Nº 2 Dr Jaime Figueroa</t>
  </si>
  <si>
    <t xml:space="preserve"> 12:05</t>
  </si>
  <si>
    <t>185577/23</t>
  </si>
  <si>
    <t>PONCE Evangelina por LESIONES LEVES AGRAVADAS POR EL VINCULO - MEDINA Enzo Ismael por AMENAZAS en perj. De MEDINA Juan Pablo</t>
  </si>
  <si>
    <t>c/ rqto y oposicion - EN ARMARIO</t>
  </si>
  <si>
    <t>QUERELLANTE Dra. HOYOS, Rosana del  Valle-c/ Leg inv. 126/22 - EN ARMARIO</t>
  </si>
  <si>
    <t>C/ Leg - EN ARMARIO</t>
  </si>
  <si>
    <t>158812/19</t>
  </si>
  <si>
    <t>ERACARRET CORNEJO, JOAQUIN por abuso sexual con acceso carnal en perjuicio de Castro Toraño, Rocio Anahi</t>
  </si>
  <si>
    <t>Dr. Felitti, Ignacio Rubén MP 5555</t>
  </si>
  <si>
    <t>CARGADO 08/03/2024</t>
  </si>
  <si>
    <t>163001/19</t>
  </si>
  <si>
    <t>ESCRIBAS DIAZ, JOSÉ ALBERTO por amenazas en perjuicio de Araoz, Mirta Noemi en relacion a la Av 152/19</t>
  </si>
  <si>
    <t xml:space="preserve">Querella: Dr. Daniel Arnedo y Dr. Ricardo Belbruno - </t>
  </si>
  <si>
    <t>177239/22</t>
  </si>
  <si>
    <t>Florez, Horacio Hector por Amenazas, Desobediencia Judicial en perjucio de NN</t>
  </si>
  <si>
    <t>EN ARMARIO C/EXPTE 187216/23</t>
  </si>
  <si>
    <t xml:space="preserve">EN ARMAIRO </t>
  </si>
  <si>
    <t>EN ARMARIO C/EXPTE 181138/22</t>
  </si>
  <si>
    <t xml:space="preserve"> 13:20</t>
  </si>
  <si>
    <t>181506/22</t>
  </si>
  <si>
    <t>VIVEROS Luis Alcides por LESIONES AGRAVADAS POR LA RELACION DE PAREJA - COACCION Y DAÑOS en CONCURSO REAL en perj. De MARTINEZ Mariel Lizet Catherina</t>
  </si>
  <si>
    <t>173755/21</t>
  </si>
  <si>
    <t>BORDA Carlos Maximiliano por LESIONES LEVES AGRAVADAS POR EL VINCULO Y COACCION EN CONCURSO REAL EN perj. De FIRME Maria del Carmen</t>
  </si>
  <si>
    <t>167817/20</t>
  </si>
  <si>
    <t>MEDINA German Mauricio por AMENAZAS - PRIVACION ILEGITIMA DE LA LIBERTDAD en perj. De BARRIENTOS CASTRO Vanesa Elizabeth</t>
  </si>
  <si>
    <t>Dr. Marcelo Pio Castellani MP 1765</t>
  </si>
  <si>
    <t>173740/21</t>
  </si>
  <si>
    <t xml:space="preserve">ZOTAR Walter Ruben por LESIONES LEVES AGRAVADAS POR LA RELACIN DE PAREJA PREEXISTENTE Y VIOLENCIA DE GENERO en perj. De GUZMAN Araceli Abigail </t>
  </si>
  <si>
    <t>164406/20</t>
  </si>
  <si>
    <t>ORELLANA Ramon Eduardo por LESIONES LEVES AGRAVADAS - PRIVACION ILEGITIMA DE LA LIBERTAD AGRAVADA en pejr. De MENDOZA Rosana del Carmen</t>
  </si>
  <si>
    <t>168027/20</t>
  </si>
  <si>
    <t>PERALTA Jorge Rafael por AMENAZAS CON ARMAS en perj. De CASAS Beatriz Cristina</t>
  </si>
  <si>
    <t>184049/23</t>
  </si>
  <si>
    <t>SALVATIERRA, SERGIO EZEQUIEL por lesiones leves agravadas y desobediencia judicial todo en concurso real en perjuicio de Moral, Yael Noelia</t>
  </si>
  <si>
    <t>C/acum. Cuerda firme 183716/23 - Querella: Dra. Lazarte, Noemi Edith  EN ARMARIO</t>
  </si>
  <si>
    <t>Dra. Peckerle, Fatima Maria MP 1897</t>
  </si>
  <si>
    <t xml:space="preserve">EN ARMARIO </t>
  </si>
  <si>
    <t>177055/22</t>
  </si>
  <si>
    <t>SOSA LOPEZ Luis Sebastian por VIOLACION DE DOMICILIO - DESOBEDIENCIA JUDICIAL EN perj. De CONFORTI Maria de los Angeles</t>
  </si>
  <si>
    <t>Dra. Mirtha Cecilia Cancino Diaz MP 6594</t>
  </si>
  <si>
    <t>181894/22</t>
  </si>
  <si>
    <t>PINTO Antonio Gustavo por LESIONES LEVES - AMENAZAS en perj. De MADARIAGA Gladys Eugenia</t>
  </si>
  <si>
    <t xml:space="preserve"> 11:28</t>
  </si>
  <si>
    <t>177213/22</t>
  </si>
  <si>
    <t>LIZARRAGA REYNOSO Emanuel Jose Luis por Amenazas en perj. De NN</t>
  </si>
  <si>
    <t>185180/23</t>
  </si>
  <si>
    <t>ALTAMIRANA Daniel Cristian por LESIONES LEVES Y AMENAZAS EN PERJ. DE APAZA Maria Celeste del Milagro</t>
  </si>
  <si>
    <t>182948/23</t>
  </si>
  <si>
    <t>ALVAREZ Gaston Omar por DESOBEDIENCIA JUDICIAL en perj. De TAPIA Sofia Marisol</t>
  </si>
  <si>
    <t>Dr. Tomas Lucas Rodolfo BURGOS MP 6963</t>
  </si>
  <si>
    <t>184203/23</t>
  </si>
  <si>
    <t xml:space="preserve">GUAYMAS Adrian Federico por AMENAZAS - DESOBEDIENCIA JUDICIAL en perj. De GONZALEZ Noelia del Valle </t>
  </si>
  <si>
    <t>181685/22</t>
  </si>
  <si>
    <t>DIAZ Luis Daniel por AMENAZAS en perj. De DIAZ Blanca Aguada</t>
  </si>
  <si>
    <t>183812/23</t>
  </si>
  <si>
    <t>ARCE Celeste Abigail por LESIONES AGRAVADAS POR RELACION DE PAREJA EXISTENTE y DESOBEDIENCIA JUDICIAL en perj. De LOPEZ DE CHAILE Elizabeth del Valle</t>
  </si>
  <si>
    <t>Dr. Armando Jorge ARIAS MP 900</t>
  </si>
  <si>
    <t>Dr. Luca Martin VACA MP 5725</t>
  </si>
  <si>
    <t>179424/22</t>
  </si>
  <si>
    <t>Salva, Mario Ernensto por Amenazas, Desobediencia Judicial en perjuicio de Lopez Sotelsek, Maida Elena Isis</t>
  </si>
  <si>
    <t>171799/21</t>
  </si>
  <si>
    <t>Miranda, Rolando Roberto por Lesiones en perjuicio de Toconas, Rita Fabiola</t>
  </si>
  <si>
    <t>183221/23</t>
  </si>
  <si>
    <t>Tolava, Angel Eduardo por Lesiones en perjuicio de Diaz, Ana Carolina</t>
  </si>
  <si>
    <t>187192/23</t>
  </si>
  <si>
    <t>Aguilar, Angel Eduardo por Lesiones, Amenazas en perjuicio de Juarez, Fernanda Beatriz</t>
  </si>
  <si>
    <t>186827/23</t>
  </si>
  <si>
    <t>VIZGARRA, MARIO RAMON POR LESIONES LEVES AGRAVADAS POR EL USO DE ARMAS DE FUEGO Y POR ABUSO DE SUS FUNCIONES en perj. De LUPA Alberto</t>
  </si>
  <si>
    <t xml:space="preserve"> 09:25</t>
  </si>
  <si>
    <t>186741/23</t>
  </si>
  <si>
    <t xml:space="preserve">GUZMAN Martin Jose por HOMICIDIO CULOPSO EN ACCIDENTE DE TRANSITO EN perj. De BAUDILLA DEL VALLE Navarro y LESIONES GRAVES CULPOSAS EN PEJR. DE Gabriela Alejandra Jaime en Concurso Real </t>
  </si>
  <si>
    <t>177349/22</t>
  </si>
  <si>
    <t>Zerpa, Lisandro Emanuel por Lesiones Leves, Amenazas en perjuicio de Calisaya, María Florencia</t>
  </si>
  <si>
    <t>183973/23</t>
  </si>
  <si>
    <t>Romero, Matias Eduardo por Desobediencia Judicial en perjuicio de Mora, Maria Melina (A.P.Nº 298/23 URI 1 CASTAÑAREZ)</t>
  </si>
  <si>
    <t>EN ARMARIO- DRA. VERONICA LAZARTE MPNº 6138</t>
  </si>
  <si>
    <t>179462/22</t>
  </si>
  <si>
    <t>Pàlacios, Exequiel por Lesiones Leves en  perjuicio de Torres, Thalia Estefania</t>
  </si>
  <si>
    <t xml:space="preserve">Querellante: Guillermo Mauricio Alberto MP 4363 - EN ARMARIO </t>
  </si>
  <si>
    <t>183968/23</t>
  </si>
  <si>
    <t>Saiquita, Matias Leonel por  Lesiones Agravadas por la relacion de pareja preexistente en perjuicio de Cainzo, María Virginia</t>
  </si>
  <si>
    <t>FPVF Y GNº1 Dra. Claudia Geria</t>
  </si>
  <si>
    <t>EN ARMARIO CON LEGAJO Nº45/23</t>
  </si>
  <si>
    <t>182918/23</t>
  </si>
  <si>
    <t>Pino, Horacio por Lesiones Agravadas por el Género y la Relacion de pareja en perjuicio de Cutipa, Joana Cayetana (A.P.Nº 1844/22- COMISARIA 102)</t>
  </si>
  <si>
    <t xml:space="preserve">Dra.Ana Irazusta </t>
  </si>
  <si>
    <t>FPVFY G Nº 1 Dra. Claudia Geria</t>
  </si>
  <si>
    <t>EN ARMARIO CON LEGAJO Nº 24/23</t>
  </si>
  <si>
    <t>184198/23</t>
  </si>
  <si>
    <t>Liendro, Daniel por Lesiones Leves, Desobediencia Judicial en perjuicio de Villafañe, Romina</t>
  </si>
  <si>
    <t>FPVFY G Nº5 Dra. Liliana Jorge</t>
  </si>
  <si>
    <t>EN ARMARIO CON LEGAJO Nº10/22</t>
  </si>
  <si>
    <t>183761/23</t>
  </si>
  <si>
    <t>DIP Carlos Alberto por AMENAZAS en perj. De Esteban D'Andrea</t>
  </si>
  <si>
    <t>Dr. Luis Diego ZAVALETA MP 540</t>
  </si>
  <si>
    <t>183040/23</t>
  </si>
  <si>
    <t>Corbalan, Marcelo Gabriel por Amenazas, Desobediencia Judicial en perjuicio de Tevez Funes, Celeste Abigail</t>
  </si>
  <si>
    <t>FPVYF Y G Nº 1 Dra. Claudia Geria</t>
  </si>
  <si>
    <t>DOVIF Y G Nº2 LIZA MEDRANO</t>
  </si>
  <si>
    <t>EN ARMARIO CON LEGAJO Nº41/23</t>
  </si>
  <si>
    <t>GIMENEZA Jorge Emanuel por LESIONES - RESISTENCIA A LA AUTORIDAD - AMENAZAS todo en CONCURSO REAL en perj. De PISTAN Pablo Alejandro</t>
  </si>
  <si>
    <t>Dra. Gabriela Susana BARRIONUEVO MP 3287</t>
  </si>
  <si>
    <t>181234/23</t>
  </si>
  <si>
    <t>CHAMBE Timoteo Ezequiel por LESIONES LEVES AGRAVADAS POR EL VINCULO DE PAREJA Y POR EL GENERO E INCUMPLIMIENTO DE LOS DEBERES DE ASISTENCIA FAMILIAR en perj. De CURZ Berta</t>
  </si>
  <si>
    <t>175537/21</t>
  </si>
  <si>
    <t>CORDOBA Eduardo Enrique por DAÑOS - VIOLACION DE DOMICILIO Y DESOBEDIENCIA JUDICIAL en perj. De CAZON ARMELLA Carol Maribel</t>
  </si>
  <si>
    <t xml:space="preserve">Dr. Nicolas Mario Diego MP 5934 </t>
  </si>
  <si>
    <t>Dr. Pablo Alberto DEL PINO MONTAÑEZ MP 4443</t>
  </si>
  <si>
    <t>Dra. Francisca Saravia Zenteno MP 4116</t>
  </si>
  <si>
    <t>EN ARMARIO - CON LEGAJO</t>
  </si>
  <si>
    <t>Dr. Felix Jesus Arancibia y Cesar Matias Saad</t>
  </si>
  <si>
    <t>Dr. Federico Andres STENGURT MP 6732</t>
  </si>
  <si>
    <t>Asesoria Incapcaces 2 - EN ARMARIO - CON LEGAJO</t>
  </si>
  <si>
    <t>123267/15</t>
  </si>
  <si>
    <t xml:space="preserve">GARABITO BAARRIOS Evwin Junio - RUIZ Cristian Daniel por ROBO CALIFICADO POR EL USO DE ARMA EN POBLADO Y EN BANDA en perj. </t>
  </si>
  <si>
    <t>Dr. Medrano de la Serna Juan Adrian - EN FERIA</t>
  </si>
  <si>
    <t>Dr. Diego Ignacio CASTRO MP 3370</t>
  </si>
  <si>
    <t>Querellante: Dr. Sergio Alejandro Bustos - EN ARMARIO</t>
  </si>
  <si>
    <t xml:space="preserve">FALTAN REMITIR A OFIJU </t>
  </si>
  <si>
    <t>EN TRAMITE (se encuentran en OFIJU)</t>
  </si>
  <si>
    <t>FALTAN REMITIR A OFIJU</t>
  </si>
  <si>
    <r>
      <t>PRESO</t>
    </r>
    <r>
      <rPr>
        <sz val="10"/>
        <rFont val="Arial"/>
        <family val="2"/>
      </rPr>
      <t xml:space="preserve"> URZAGASTI Agustin Alejandro por VIOLACION DE DOMICILIO - LESIONES LEVES AGRAVADAS POR LA RELACION DE PAREJA PREEXISTENTE y POR MEDIAR VIOLENCIA DE GÉNERO - DAÑOS Y AMENAZAS TODO ELLO EN CONCURSO REAL en perj. </t>
    </r>
  </si>
  <si>
    <t>ELEVADAS (rojas)</t>
  </si>
  <si>
    <t>RESUELTAS</t>
  </si>
  <si>
    <t>GAR</t>
  </si>
  <si>
    <t>INGRESADOS</t>
  </si>
  <si>
    <t>ELEVADOS</t>
  </si>
  <si>
    <t>JUZGADOS</t>
  </si>
  <si>
    <t>EXPEDIENTES CON PRESO POR JUZGADOS</t>
  </si>
  <si>
    <t>EXPEDIENTES SIN PRESO POR JUZGADOS</t>
  </si>
  <si>
    <t>Ingresos Mensuales</t>
  </si>
  <si>
    <t>Octubre</t>
  </si>
  <si>
    <t>Noviembre</t>
  </si>
  <si>
    <t>Diciembre</t>
  </si>
  <si>
    <t>Enero</t>
  </si>
  <si>
    <t>Febrero</t>
  </si>
  <si>
    <t>Marzo</t>
  </si>
  <si>
    <t xml:space="preserve"> 08:01</t>
  </si>
  <si>
    <t xml:space="preserve"> 08:02</t>
  </si>
  <si>
    <t xml:space="preserve"> 11:11</t>
  </si>
  <si>
    <t>PRESOS</t>
  </si>
  <si>
    <t>SIN PRESOS</t>
  </si>
  <si>
    <r>
      <rPr>
        <b/>
        <sz val="10"/>
        <rFont val="Arial"/>
        <family val="2"/>
      </rPr>
      <t>DEVUELTA A GAR 6 PARA APELACION</t>
    </r>
    <r>
      <rPr>
        <sz val="10"/>
        <rFont val="Arial"/>
        <family val="2"/>
      </rPr>
      <t xml:space="preserve">  - SIN DEVOLVER A la FECHA 11/03/2024 QUERELLANTE: DR. ORFEO MAGGIO -  ASESOR INCAPACES N° 10</t>
    </r>
  </si>
  <si>
    <r>
      <rPr>
        <b/>
        <sz val="10"/>
        <rFont val="Arial"/>
        <family val="2"/>
      </rPr>
      <t>CON PROYECTO DE ELEVACION  LA TIENE EL JUEZ DESDE EL 29/02/2024</t>
    </r>
    <r>
      <rPr>
        <sz val="10"/>
        <rFont val="Arial"/>
        <family val="2"/>
      </rPr>
      <t xml:space="preserve"> --  QUERELLANTE: DR. NICOLAS MARIO MAGGIO POR TODOS LOS ABOGADOS -   Y DR.RODRIGO FRANCO ANACHURI POR LA CAJA</t>
    </r>
  </si>
  <si>
    <t>ELEVADA A JUICIO - SALA  VII</t>
  </si>
  <si>
    <t>ELEVADA A JUICIO - SALA I</t>
  </si>
  <si>
    <t xml:space="preserve">ELEVADA A JUICIO </t>
  </si>
  <si>
    <r>
      <rPr>
        <b/>
        <sz val="10"/>
        <rFont val="Arial"/>
        <family val="2"/>
      </rPr>
      <t xml:space="preserve">Expediente en PRISION PREVENTIVA LO TIENE LA DRA. VILLAMAYOR CON FECHA DE AUDIENCIA EL 15/03/2024 </t>
    </r>
    <r>
      <rPr>
        <sz val="10"/>
        <rFont val="Arial"/>
        <family val="2"/>
      </rPr>
      <t>--  OPORTUNAMENTE YA SE HABIA ELEVADO LA CAUSA A JUICIO PERO HAY UN NUEVO IMPUTADO</t>
    </r>
  </si>
  <si>
    <t>MES</t>
  </si>
  <si>
    <t>ELEVADAS/RESUELTAS</t>
  </si>
  <si>
    <r>
      <t xml:space="preserve">EXPEDIENTES </t>
    </r>
    <r>
      <rPr>
        <b/>
        <sz val="16"/>
        <color rgb="FF006100"/>
        <rFont val="Calibri"/>
        <family val="2"/>
        <scheme val="minor"/>
      </rPr>
      <t>CON PRESO (Estado)</t>
    </r>
  </si>
  <si>
    <t>ELEVADA A JUIICIO - C/LEG DE INVESTIGACION ORIGINAL Nº 126/20</t>
  </si>
  <si>
    <t>Querellante: Dr. Julio Osvaldo Chavez</t>
  </si>
  <si>
    <t>Dr. Jorge Daniel Segura MP 2738</t>
  </si>
  <si>
    <t>EN TRAMITE - Dr. Luis Maria Agüero Molina</t>
  </si>
  <si>
    <r>
      <rPr>
        <b/>
        <sz val="10"/>
        <rFont val="Arial"/>
        <family val="2"/>
      </rPr>
      <t xml:space="preserve">ELEVADA A JUICIO </t>
    </r>
    <r>
      <rPr>
        <sz val="10"/>
        <rFont val="Arial"/>
        <family val="2"/>
      </rPr>
      <t>ASESORIA Nº 9, DRA. MARIA EDITH BUSTOS Y ASESORIA Nº10, DRA. GUADALUPE MARIA BELEN SALATIN Y QUERELLA DR. CARO COLOMO, CESAR C/ LEG DE INV. 257/22</t>
    </r>
  </si>
  <si>
    <t>ELEVADA A JUICIO - SALA III</t>
  </si>
  <si>
    <t>ELEVADO A JUICIO AL TRIBUNAL DE JUICIO SALA III</t>
  </si>
  <si>
    <t>DEVUELTA AL JUZGADO DE ORIGEN</t>
  </si>
  <si>
    <r>
      <rPr>
        <b/>
        <sz val="10"/>
        <rFont val="Arial"/>
        <family val="2"/>
      </rPr>
      <t xml:space="preserve">ELEVADA A JUICIO  - SALA VI -- </t>
    </r>
    <r>
      <rPr>
        <sz val="10"/>
        <rFont val="Arial"/>
        <family val="2"/>
      </rPr>
      <t xml:space="preserve"> En fecha 21/02/2024 se lo paso a la Dra. Ana Irauzsta</t>
    </r>
  </si>
  <si>
    <t>RESUELTA POR ACUERDO CONCILIATORIO EN AUDIENCIA - Dr. Ramon Jose Anuch</t>
  </si>
  <si>
    <t>Conciliación en audiencia</t>
  </si>
  <si>
    <t>Conciliación</t>
  </si>
  <si>
    <t>RESUELTAS EN PREVENTIVA (rojas)</t>
  </si>
  <si>
    <t>RESUELTAS EN AUDIENCIA ACUSACIÓN (No aud. FyM)</t>
  </si>
  <si>
    <r>
      <rPr>
        <b/>
        <sz val="10"/>
        <rFont val="Arial"/>
        <family val="2"/>
      </rPr>
      <t>ELEVADA A JUICIO - SALA VII (28/12/2023)</t>
    </r>
    <r>
      <rPr>
        <sz val="10"/>
        <rFont val="Arial"/>
        <family val="2"/>
      </rPr>
      <t xml:space="preserve"> -- Dr. Roberto Adrian Reyes - Querelalnte Dra. Maria Florencia Martin</t>
    </r>
  </si>
  <si>
    <r>
      <rPr>
        <b/>
        <sz val="10"/>
        <rFont val="Arial"/>
        <family val="2"/>
      </rPr>
      <t xml:space="preserve">ELEVADA A JUICIO  - SALA V (12/10/2023) </t>
    </r>
    <r>
      <rPr>
        <sz val="10"/>
        <rFont val="Arial"/>
        <family val="2"/>
      </rPr>
      <t>---- DEVUELTA AL JUZGADO DE GARANTIAS 3º NOM EN FECHA 29/12/23 POR ENCONTRARSE PENDIENTE RECURSO-</t>
    </r>
  </si>
  <si>
    <t>ELEVADA A JUICIO - SALA I (08/03/2024)</t>
  </si>
  <si>
    <t>ELEVADA A JUICIO - SALA II (07/03/2024)</t>
  </si>
  <si>
    <t>ELEVADA A JUICIO - SALA III (08/03/2024)</t>
  </si>
  <si>
    <t>ELEVADA A JUICIO - SALA V (09/02/2024)</t>
  </si>
  <si>
    <t xml:space="preserve">ELEVADO A JUICIO AL TRIBUNAL DE JUICIO V- </t>
  </si>
  <si>
    <t>ELEVADA A JUICIO - SALA IV (05/03/2024)</t>
  </si>
  <si>
    <t>ELEVADA A JUICIO EN AUDIENCIA DE PREVENTIVA (11/03/2024)</t>
  </si>
  <si>
    <t>171678/22</t>
  </si>
  <si>
    <t>184181/23</t>
  </si>
  <si>
    <t>185266/23</t>
  </si>
  <si>
    <t>171562/21</t>
  </si>
  <si>
    <t>LEZCANO Arieli Nazarena por Lesiones Amenazas Daños en perj. De Elias Marta del Carmen</t>
  </si>
  <si>
    <t>179649/23</t>
  </si>
  <si>
    <t>ARROYO Julian Eligio por AMENAZAS Y DAÑOS en perj. De ARROYO Natalia Alejandra</t>
  </si>
  <si>
    <t>CHILIGUAY Robinson Pablo Adrian por LESIONES LEVES AGRAVADAS POR LA RELACION DE PAREJA en perj. De CUADRA Aldana Yael</t>
  </si>
  <si>
    <t>BRIZ Luis Ricardo por ABUSO SEXUAL (CONTINUADO) AGRAVADO POR EL VINCULO Y LA CONVIVENCIA CON MENOR DE 18 AÑOS en pejr. De la menor MAB - Den Alejandra Javier Villafañe</t>
  </si>
  <si>
    <t>Asesoria de Incapaces Nº 4 - En fecha 11/03/2024 se remite al Juzgado de Garantias 3</t>
  </si>
  <si>
    <t>188397/24</t>
  </si>
  <si>
    <t>DELGADO Guillermo Rodrigo por ENCUBRIMIENTO en perj. De PALMA Sergio Victor</t>
  </si>
  <si>
    <t>184981/23</t>
  </si>
  <si>
    <t>Escrito en Expte. Gar 4 debe enviarlo por Plataforma. En armario 05/03/2024 - en fecha 11/03/2024 se lo paso a la Dra. Ana Irazuasta</t>
  </si>
  <si>
    <t>188231/23</t>
  </si>
  <si>
    <t>Dr. Pedro Javier Arancibia MP 3201</t>
  </si>
  <si>
    <r>
      <t>PRESO</t>
    </r>
    <r>
      <rPr>
        <sz val="10"/>
        <rFont val="Arial"/>
        <family val="2"/>
      </rPr>
      <t xml:space="preserve"> CABRERA Fernando Gabriel y AGÜERO Joaquin Abel por EXTORSIO (cinco hechos) en perj. De MIRETTI Alba Rosa - IBAÑEZ Carlosw Amado y otros</t>
    </r>
  </si>
  <si>
    <r>
      <t>PRESO</t>
    </r>
    <r>
      <rPr>
        <sz val="10"/>
        <rFont val="Arial"/>
        <family val="2"/>
      </rPr>
      <t xml:space="preserve"> TESEYRA Ivan Eduardo por ROBO SIMPLE en Grado de Ttva. En perj. De IBARRA Ariel Enrique</t>
    </r>
  </si>
  <si>
    <t>157589/19</t>
  </si>
  <si>
    <t>Sanchez Hognadel, Denis Leonel por Lesiones Leves en perjuicio de Miranda, Miguel Angel</t>
  </si>
  <si>
    <t>vto 07/03/21 PRESCRIPTA EN ARMARIO- LEG Nº11/18</t>
  </si>
  <si>
    <t>170261/21</t>
  </si>
  <si>
    <t>Dr. Raul Alberto Maza MP 4529</t>
  </si>
  <si>
    <t>179665/22</t>
  </si>
  <si>
    <t>Villareal, Alfredo Faustino por Abuso Sexual Simple, Amenazas en perjuicio de Correa, Maria Valeria</t>
  </si>
  <si>
    <t>Dra. Marcela Fernanda Jimenez MP7267</t>
  </si>
  <si>
    <t>LEG Nº26/23 EN ARMARIO (SIN FECHA DE CARGO - LA SAQUE EN BASE AL ULTIMO DECRETO</t>
  </si>
  <si>
    <t>Con Querrella? NO Surge del expte. EN ARMARIO</t>
  </si>
  <si>
    <t>EN ARMARIO 12/03/2024</t>
  </si>
  <si>
    <t>EN ARMARIO 12/03/2024 - CON LEGAJO</t>
  </si>
  <si>
    <t>188187/23</t>
  </si>
  <si>
    <t>SANCHEZ Elga Ingrid - PORTALES Rodrigo Ismael y TOLAY Lucas Edaurdo Clemente por ROBO en Poblado y en banda en TTVA EN PERJ. DE CUEVAS Pablo Dario</t>
  </si>
  <si>
    <t>EN ARMARIO12/03/2024</t>
  </si>
  <si>
    <t>187984/23</t>
  </si>
  <si>
    <t>AREVALO Hugo Orlando por VEJACIONES CALIFICADAS en perj. De GARCA Jose Julian</t>
  </si>
  <si>
    <t>162572/19</t>
  </si>
  <si>
    <t>ARANDA Jorge por ABUSO SEXUAL SIMPLE en perj. De HEREDIA Karina Andrea</t>
  </si>
  <si>
    <t>EN ARMARIO12/03/2024 - CON LEGAJO FISCA  ---- ASESORIA INC 3</t>
  </si>
  <si>
    <t>Dr. Felix Omar Torres MP 1719</t>
  </si>
  <si>
    <t>179443/23</t>
  </si>
  <si>
    <t>GASPAR Pablo Fabian por COACCION en perj. De RODRIGUEZ Yamila Alejandra</t>
  </si>
  <si>
    <t>183099/23</t>
  </si>
  <si>
    <t>COPA Juan Marcelo - COPA Fredy Alexander y COPA Rene Carmelo Gaston CON ACUMULADA GAR 174983/21 (SANCHEZ Renzo Leonel y COPA Rene Carmelo Gaston por ROBO SIMPLE y LESIONES LEVES en perj. De CEJAS Micaela Belen)</t>
  </si>
  <si>
    <t>185378/23</t>
  </si>
  <si>
    <t>LARA Luis Miguel por INCUMP. DEBERES DE ASISTENCIA FAMILIAR - en perj. De MAMANI Lidia Marina</t>
  </si>
  <si>
    <t>EN ARMARIO - CON LEGAJO12/03/2024</t>
  </si>
  <si>
    <t>183095/23</t>
  </si>
  <si>
    <t>SANTOS Noelia Araceli por AMENAZAS CON ARMAS - LESIONES LEVES - ROBO SIMPLE en perj. De RAMOS Paola Dominga</t>
  </si>
  <si>
    <t>Gomez, Jose Manuel por Abuso Sexual con Acceso Carnal con acumulada 170261/21</t>
  </si>
  <si>
    <t>182982/23</t>
  </si>
  <si>
    <t>ROJAS Marina Mercedes por ESTAFA en perj. De BELLONE Hugo Humberto</t>
  </si>
  <si>
    <t>Dr. Gustavo Martin D'Andrea Arias MP 5875</t>
  </si>
  <si>
    <t>187180/23</t>
  </si>
  <si>
    <t>MEDRANO Enzo Nicolas Por HURTO en perj. De ESPINOSA Hebe Luica</t>
  </si>
  <si>
    <t xml:space="preserve"> 10:27</t>
  </si>
  <si>
    <t>185769/23</t>
  </si>
  <si>
    <t>SANAVERON Pablo Maximiliano por HURTO SIMPLE en Pejr. De NOVILLO Carmen Daniela</t>
  </si>
  <si>
    <t>187166/23</t>
  </si>
  <si>
    <t>ARIAS Angel Alejandro por USO DE DOCUMENTO PUBLICO FALSO</t>
  </si>
  <si>
    <t>Dr. Francisco Guillermo TORRES MP 5812</t>
  </si>
  <si>
    <t>Dr. Luciano Argenti Salguero MP 1783</t>
  </si>
  <si>
    <t>183086/23</t>
  </si>
  <si>
    <t>DANA Yamila Elizabeth Ale por TENENCIA DE ESTUPEFACIENTE CON FINES DE COMERCIALIZACION</t>
  </si>
  <si>
    <t>120433/14</t>
  </si>
  <si>
    <t>BURGOS Hector Eugenio - BURGOS Vanesa Analia y BURGOS Romina Gisel por LESIONES AGRAVADAS y en contra de GUSTAVO NESTOR FABIAN  - SONIA GABRIELA LERA - MARCELO CANDIDO TOLABA y PRIMITIVO LUIS RENFINJES por ABUSO DE AUTORIDAD</t>
  </si>
  <si>
    <t>166153/20</t>
  </si>
  <si>
    <t>LIENDRO Nancy Noemi por USURPACION y ROBO SIMPLE en CONCURSO REAL en perj. De ECHENIQUE Juan Manuel Pizarro</t>
  </si>
  <si>
    <t>EN ARMARIO - CON LEGAJO FISCAL - ASESORA DE INCAPACES N| 2</t>
  </si>
  <si>
    <t>179551/23</t>
  </si>
  <si>
    <t>CHACOMA Micaela y un TAL NEGRO MEDINA por ROBO SIMPLE en perj. De Ilda GALLARDO</t>
  </si>
  <si>
    <t>182937/23</t>
  </si>
  <si>
    <t>GUEMES Alejandro Facuendo por AMENAZAS en perj. De GUEMES Daniela Emilce</t>
  </si>
  <si>
    <t>183708/23</t>
  </si>
  <si>
    <t>TITO Lucio Luis por DESOBEDIENCIA JUDICIAL - AMENAZAS en perj. De CELULSE ORTEGA Micaela</t>
  </si>
  <si>
    <t>181742/22</t>
  </si>
  <si>
    <t xml:space="preserve">VELAZQUEZ Tito Omar por Violacion de Domicilio (dos hechos) en perj. AYBAR Elena de las Mercedes </t>
  </si>
  <si>
    <t>177363/22</t>
  </si>
  <si>
    <t xml:space="preserve">FERNANDEZ Miguel Alberto por ESTAFA en perj. De CLAURE Carolina del Milagro </t>
  </si>
  <si>
    <t>142897/17</t>
  </si>
  <si>
    <t xml:space="preserve">DIAZ Daniel Ramon y GALAN Fulvio Pamela por </t>
  </si>
  <si>
    <t>188095/23</t>
  </si>
  <si>
    <t>Dr. Roberto tomas Barrionuevo Rodriguez MP 6317 - Dr. Mauricio Alfredo Ossola</t>
  </si>
  <si>
    <r>
      <t>PRESO</t>
    </r>
    <r>
      <rPr>
        <sz val="10"/>
        <rFont val="Arial"/>
        <family val="2"/>
      </rPr>
      <t xml:space="preserve"> OCAMPO Cristian Maximiliano por VIOLACION DE DOMICILIO - ROBO - DESOBEDIENCIA JUDICIAL (2 hechos) - AMENAZAS CON ARMA Y AMENAZAS en perj. De JOSE MARINA VIVIANA</t>
    </r>
  </si>
  <si>
    <t>Dr. Fernando Joaquin Dominguez Torres MP 5258</t>
  </si>
  <si>
    <t>162489/19</t>
  </si>
  <si>
    <t>DURAN Jhony Alfredo por LESIONES CULPOSAS EN ACC DE TRANSITO EN perj. De RODRIGUEZ Silvia Yolanda</t>
  </si>
  <si>
    <t>EN ARMARIO - CON LEGAJO FISCAL - QUERELLANTE: Dra. Silvia Yolanda Rodriguez MP 4073</t>
  </si>
  <si>
    <t>Dra. Soledad Alejandra Cocha MP 4086</t>
  </si>
  <si>
    <t>187257/23</t>
  </si>
  <si>
    <t>RUIZ Ricardo Maximiliano - MORENO LOPEZ Jonathan por ROBO en perj. De LUNA Carmen Soledad</t>
  </si>
  <si>
    <t>187758/23</t>
  </si>
  <si>
    <t xml:space="preserve">CHAUQUI Silvina por LESIONES CULPOSAS en perj. De RODRIGUEZ Juan Alfredo </t>
  </si>
  <si>
    <t>EN ARMARIO - con LEGAJO FISCAL -- QUERELLANTES: Dres. Juan Alfredo Rodriguez y Alex Matias Rodriguez con el patrocinio de la Dra. Viviana E. Tinte MP 5307</t>
  </si>
  <si>
    <t>187776/23</t>
  </si>
  <si>
    <t>ROLDAN Miguel Angel por AMENAZAS (dos hechos) - AMENAZAS CON ARMA (cinco hechos) todo en CONCURSO REAL - ASTORGA Victor Santiago por AMENAZAS (tres hechos) TODO EN CONCURSO REAL y ASOTRGA Diego Santiado por AMENAZAS en pejr. de ARROYO Carlos Antonio - Sub. Of. Ppal Vilma Romero y Segui Maria Angelica</t>
  </si>
  <si>
    <t>EN ARMARIO - con LEGAJO FISCAL - Tambien interviene DOP 4</t>
  </si>
  <si>
    <t>181640/22</t>
  </si>
  <si>
    <t>LUNA Antonio por ROBO SIMPLE en perj. De GARRADO Juana</t>
  </si>
  <si>
    <t>EN ARMARIO - con legajo fiscal</t>
  </si>
  <si>
    <t>173636/21</t>
  </si>
  <si>
    <t>HUMACATA GODOY Jorge Andres por AMENAZAS en perj. De MARTINEZ Leila Rosario</t>
  </si>
  <si>
    <t>179644/22</t>
  </si>
  <si>
    <t>179320/22</t>
  </si>
  <si>
    <t>TORRES Eduardo Alfredo por AMENAZAS - DAÑOS en perj. BAIMA Jorge Sebastian</t>
  </si>
  <si>
    <t>Dra. Melina Valeria GUZMAN MP 2634</t>
  </si>
  <si>
    <t>Dr. GUAYMAS, Jose Maria (VALDERRAMA)- Dr.RODRIGUEZ ALFERI (MAC FARLI) - EN ARMARIO</t>
  </si>
  <si>
    <t>NULIDAD DE RQTO- CON LEGAJO FISCAL</t>
  </si>
  <si>
    <t>❤</t>
  </si>
  <si>
    <t>✔</t>
  </si>
  <si>
    <t>☺</t>
  </si>
  <si>
    <t>⛸</t>
  </si>
  <si>
    <t>⚽</t>
  </si>
  <si>
    <t>♠</t>
  </si>
  <si>
    <t>♣</t>
  </si>
  <si>
    <t>⛏</t>
  </si>
  <si>
    <t>⚔</t>
  </si>
  <si>
    <t>✂</t>
  </si>
  <si>
    <t>giro 1</t>
  </si>
  <si>
    <t>giro 2</t>
  </si>
  <si>
    <t>giro 3</t>
  </si>
  <si>
    <t>TRAGAMONEDAS JUDICIAL !!!! - PRUEBA TU SUERTE!!!</t>
  </si>
  <si>
    <t>PERDEDOR</t>
  </si>
  <si>
    <t>TRAGAMONEDAS JUDICIAL ---  PRUEBA TU SUERTE!!!</t>
  </si>
  <si>
    <t>RESUELTAS ANTES DE SER ELEVADAS</t>
  </si>
  <si>
    <t>EN TRAMITE ART. 435 C.P.P.</t>
  </si>
  <si>
    <t>ELEVADA A JUICIO POR JUZGADO DE ORIGEN- SALA  II</t>
  </si>
  <si>
    <t>ELEVADA A JUICIO - MESA DISTRIBUIDORA PENAL 06/12/23</t>
  </si>
  <si>
    <t>ELEVADA A JUICIO- MESA DISTRIBUIDORA PENAL 26/02/24</t>
  </si>
  <si>
    <t>187817/23</t>
  </si>
  <si>
    <t>188280/23</t>
  </si>
  <si>
    <t>186885/23</t>
  </si>
  <si>
    <t>171870/21</t>
  </si>
  <si>
    <t>AMADEO Oscar Eduardo por ABUSO SEXUAL SIMPLE - LESIONES LEVES y DESOBEDIENCIA JUDICIAL en perj. De VILCA Cinthia Dolores - AMENAZAS CON ARMA Y LESIONES LEVES en perj. De Luis Rene VILCA todo en CONCURSO REAL</t>
  </si>
  <si>
    <t>182138/22</t>
  </si>
  <si>
    <t>Dr. Hector Armando Leccese MP 1256</t>
  </si>
  <si>
    <t>EN TRAMITE 13/03/2024 se notifica al imputado mediante acta</t>
  </si>
  <si>
    <t>171893/21</t>
  </si>
  <si>
    <t>ALANIS Nicolas Nestor Maximliano por ABUSO SEXUAL CON ACCESO CARNAL en perj. De en perj. De Sol Macarena TORRES AGUILAR MORENO</t>
  </si>
  <si>
    <r>
      <t>PRESO</t>
    </r>
    <r>
      <rPr>
        <sz val="10"/>
        <rFont val="Arial"/>
        <family val="2"/>
      </rPr>
      <t xml:space="preserve"> VIÑABAL Nestor Carlos por LESIONES GRAVES en perj. De TAPIA Silvia Leonor</t>
    </r>
  </si>
  <si>
    <t>VIÑABAL Romina Paola - VILTE LASI Rodrigo Ismael por HURTO AGRAVADO por la Participacion de menor en Grado de ttva. En perj. De VILMANI CALI Jose Luis</t>
  </si>
  <si>
    <r>
      <t>PRESO</t>
    </r>
    <r>
      <rPr>
        <sz val="10"/>
        <rFont val="Arial"/>
        <family val="2"/>
      </rPr>
      <t xml:space="preserve"> HAEDO Carlos Francisco y VILLANUEVA Pedro Exequiel por HURTO CALIFICADO (dos hechos) en perj. De CASAS LEDESMA DUBOIS Federico Alejandro </t>
    </r>
  </si>
  <si>
    <t>188282/23</t>
  </si>
  <si>
    <t>se lo paso al Audiencista el 14/03/2024</t>
  </si>
  <si>
    <r>
      <t>PRESO</t>
    </r>
    <r>
      <rPr>
        <sz val="10"/>
        <rFont val="Arial"/>
        <family val="2"/>
      </rPr>
      <t xml:space="preserve"> GARCIA Aldo Daniel por ROBO SIMPLE en GRADO DE TTVA. En perj. De CASTILLO Aldo Luciano</t>
    </r>
  </si>
  <si>
    <t>137179/16</t>
  </si>
  <si>
    <t>SOTO Tania - LAZARTE Yonatan - GUANCA Jose Cristian por ROBO CALIFICADO AGRAVAD POR EL USO DE ARMA DE FUEGO EN pejr. De RMP - Denuncia: ALARCON Maria Fernanda con ACUMULADA GAR 139669/16</t>
  </si>
  <si>
    <t>EN ARMARIO 14/03/2024</t>
  </si>
  <si>
    <t>188099/23</t>
  </si>
  <si>
    <r>
      <t>PRESO</t>
    </r>
    <r>
      <rPr>
        <sz val="10"/>
        <rFont val="Arial"/>
        <family val="2"/>
      </rPr>
      <t xml:space="preserve"> CARRIZO Juan Carlos por ABUSO SEXUAL GRAVEMENTE ULTRAJANTE POR LA REITERACION Y DURACION AGRAVADO POR LA GUARDA - VINCULO Y CONVIVENCIA y ABUSO SEXUAL CON ACCESO CARNAL AGRAVAD POR LA GUARDA VINCULO Y CONVIVIENCIA en CONCURSO REAL en perj. De Ana Victoria Carrizo </t>
    </r>
  </si>
  <si>
    <t>Dr. Jose Alejandro ORTIN FERNANDEZ MP 4457</t>
  </si>
  <si>
    <t>VALDEZ Carlos Ruben por LESIONES LEVES AGRAVADAS POR LA RELACION DE PAREJA Y POR EL GENERO EN PERJ. DE MARIETTA Amen Carla</t>
  </si>
  <si>
    <t xml:space="preserve"> 10:29</t>
  </si>
  <si>
    <t>189357/24</t>
  </si>
  <si>
    <t>GUAYMAS FRANCO Misael por AMENAZAS CON ARMA EN PERJ. DE MEJIA Rocio Sandra</t>
  </si>
  <si>
    <t>188226/23</t>
  </si>
  <si>
    <t>DIAZ Hector Rafael por VEJACIONES CALIFICADAS POR EL USO DE LA VIOLENCIA en perj. De DELGADILLO Dario Victor</t>
  </si>
  <si>
    <t>170288/21</t>
  </si>
  <si>
    <t>IBAÑEZ Pedro Luis por ABUSO SEXUAL SIMPLE en perj. De DVP - denuncia de CRUZ Viviana del Valle</t>
  </si>
  <si>
    <t>188474/23</t>
  </si>
  <si>
    <t>CHOCOBAR Dario Ivan por DESOBEDIENCIA JUDICIAL en perj. De ARROYO LYZET</t>
  </si>
  <si>
    <t>189074/24</t>
  </si>
  <si>
    <t>HERRERA Luia Marcelo por LESIONES LEVES en perj. De OLIVARES Joana Elizabeth</t>
  </si>
  <si>
    <t>EN ARMARIO - CON LEGAJO15/03/2024</t>
  </si>
  <si>
    <t xml:space="preserve"> 11:15</t>
  </si>
  <si>
    <t>185494/23</t>
  </si>
  <si>
    <t>BARRERA Ezequiel Diego Manuel por AMENAZAS en pejr. De FARFAN Patricia Debora</t>
  </si>
  <si>
    <r>
      <t>PRESO</t>
    </r>
    <r>
      <rPr>
        <sz val="10"/>
        <rFont val="Arial"/>
        <family val="2"/>
      </rPr>
      <t xml:space="preserve"> CHOCOBAR Felix Luis Gabriel por VIOLACION DE DOMICILIO  - DESOBEDIENCIA JUDICIAL - AMENAZAS - LESIONES LEVES AGRAVADAS POR LA RELACION DE PAREJA Y POR MEDIAR VIOLENCIA DE GENERO Y COACCION AGRAVADA POR EEL USO DE ARMA EN CONCURSO IDEAL -  DESOBEDIENCIA JUDICIAL Y ABUSO DE ARAM EN CONCURSO IDEAL TODO EN CONCURSO REAL en perj. de Maria Jose PERALTA</t>
    </r>
  </si>
  <si>
    <t>C/ TRAMITE ART. 435</t>
  </si>
  <si>
    <t>DEVOLUCION DE EXPTE A JUZGADO 26/12/23</t>
  </si>
  <si>
    <t>REMISION JUZGADO DE ORIGEN</t>
  </si>
  <si>
    <t>ELEVACION A JUICIO</t>
  </si>
  <si>
    <r>
      <rPr>
        <b/>
        <sz val="10"/>
        <rFont val="Arial"/>
        <family val="2"/>
      </rPr>
      <t xml:space="preserve">ELEVADA A JUICIO - </t>
    </r>
    <r>
      <rPr>
        <sz val="10"/>
        <rFont val="Arial"/>
        <family val="2"/>
      </rPr>
      <t>Querellante: Sra. Alejandra Javiera Villafañe con el patrocinio letrado de la Dra. Cecilia del Carmen Gauna</t>
    </r>
  </si>
  <si>
    <t>185243/23</t>
  </si>
  <si>
    <t>184576/23</t>
  </si>
  <si>
    <t>FARFAN Javier Hernan por DESOBEDIENCIA JUDICIAL - AGRESION CON ARMA IMPROPIA AGRAVADA POR LA RELACION DE PAREJA Y COACCION CON ARMA todo ello en CONCURSO REAL</t>
  </si>
  <si>
    <t>EN ARMARIO15/03/2024</t>
  </si>
  <si>
    <t>Dr. Teseira Mateo ALVARO JULIAN MP 6823</t>
  </si>
  <si>
    <t xml:space="preserve">Querellante: Dres. Norma Estela Flores de Martinez y Jose alberto Ovando </t>
  </si>
  <si>
    <t>MAMANI Rolando Agustin - AGUILERA Francisco Miguel - SALVA Camila de los Angeles por LESIONES LEVES EN AGRESION  y MARTINEZ Nahuel Maximiliano por LESIONES LEVES EN AGRESION Y HOMICIDIO SIMPLE EN GRADO DE TENTATIVA en perj. De TORRES Martin</t>
  </si>
  <si>
    <t>Dres. Jeremias Emanuel Fernandez Ocampo - Gilma Maria de los Angeles Jiemenz Escajadilla</t>
  </si>
  <si>
    <t>EN ARMARIO 15/03/2024</t>
  </si>
  <si>
    <t>187377/23</t>
  </si>
  <si>
    <t>Dr. Maria Jose Guzman Tejerina</t>
  </si>
  <si>
    <t>188190/23</t>
  </si>
  <si>
    <t>BAUTISTA Alejandro Gabriel DESOBEDIENCIA JUDICIAL - VIOLACION DE DOMICILIO Y AMENAZAS todo elo en CONCURSO REAL en perj. De PICA Maria Elba</t>
  </si>
  <si>
    <t>186634/23</t>
  </si>
  <si>
    <t>186922/23</t>
  </si>
  <si>
    <t>CENTENO Daniel Cesar por HURTO SIMPLE y DESOBEDIENCIA JUDICIAL (tres hechos) TODO EN CONCURSO REAL en perj. De KARINA PAOLA VIZCARRA</t>
  </si>
  <si>
    <t>ELEVACION A JUICIO EN BORRADOR DE JUZGADO DE ORIGEN</t>
  </si>
  <si>
    <t>164765/20</t>
  </si>
  <si>
    <t>MIRAGLIO Ruben Dario por INCUMPLIMIENTO DE LOS DEBERES PROCESSALES en perj. De MORATA Maria Azucena</t>
  </si>
  <si>
    <t>GARECA Hugo Orlando por PRIVACION ILEGTIMA DE LA LIBERTAD AGRAVADA en perj. De ROJAS Agustina Pascuala - MALDONADO Angel Jesus</t>
  </si>
  <si>
    <r>
      <rPr>
        <b/>
        <sz val="10"/>
        <rFont val="Arial"/>
        <family val="2"/>
      </rPr>
      <t xml:space="preserve">ELEVADA A JUICIO </t>
    </r>
    <r>
      <rPr>
        <sz val="10"/>
        <rFont val="Arial"/>
        <family val="2"/>
      </rPr>
      <t>en GARANTIAS 6 P/ REQUERIMIENTO MODIFIC. FISCAL --- Asesoria Incapaces Nº 7</t>
    </r>
  </si>
  <si>
    <r>
      <rPr>
        <b/>
        <sz val="10"/>
        <rFont val="Arial"/>
        <family val="2"/>
      </rPr>
      <t>ELEVADO A JUICIO</t>
    </r>
    <r>
      <rPr>
        <sz val="10"/>
        <rFont val="Arial"/>
        <family val="2"/>
      </rPr>
      <t xml:space="preserve"> - En fecha 21/02/2024 se lo paso a la Dra. Ana Irauzsta</t>
    </r>
  </si>
  <si>
    <r>
      <rPr>
        <b/>
        <sz val="10"/>
        <rFont val="Arial"/>
        <family val="2"/>
      </rPr>
      <t xml:space="preserve">ELEVADA A JUICIO </t>
    </r>
    <r>
      <rPr>
        <sz val="10"/>
        <rFont val="Arial"/>
        <family val="2"/>
      </rPr>
      <t>C/ RQTO- LEG 140/21</t>
    </r>
  </si>
  <si>
    <t>C/ NULIDAD DE RQTO-P/DEVOLVER EXPTE.-LEG INVEST. 132/21</t>
  </si>
  <si>
    <t>186512/23</t>
  </si>
  <si>
    <t>187913/23</t>
  </si>
  <si>
    <t>CASTILLO, SERGIO DAVID POR ROBO SIMPLE EN PERJUICIO DE MARAZ MAURICIO EMANUEL (A.P. 3336/23 DE COMISARIA NRO. 4 DUR-10)</t>
  </si>
  <si>
    <t>183003/23</t>
  </si>
  <si>
    <t>MOREIRA, ROMINA POR LESIONES LEVES EN PERJUICIO DE CISNEROS, PAULA ELIANA - A.P. 487/22 COMISARIA 12 Y 1313/22 COMISARIA 7</t>
  </si>
  <si>
    <t>188008/24</t>
  </si>
  <si>
    <t>GARCIA, BRIAN FERNANDO NICOLÁS POR AMENAZAS Y DESOBEIDENCIA JUDICIAL EN CONCURSO REAL</t>
  </si>
  <si>
    <t>C/ ACTUACIONES DE REMISION A OFIJU GAR</t>
  </si>
  <si>
    <t>C/ ACTUACIONES DEL JUZGADO DE ORIGEN - NO EN OFIJU</t>
  </si>
  <si>
    <t>C/ ACTUACIONES DEL JUZGADO DE ORIGEN- PARA ENVIO A OFIIJU</t>
  </si>
  <si>
    <t>C/ ACTUACIONES DE JUZGADO DE ORIGEN</t>
  </si>
  <si>
    <t>NO ES DE JUZGADO DE GTIAS 7</t>
  </si>
  <si>
    <t>MARTINEZ Ricardo Alejandro por LESIONES LEVES AGRAVADAS POR EL VINCULO Y DESOBEDIENCIA JUDICIAL EN PERJ. DE CALABAZON Lucrecia Lorena</t>
  </si>
  <si>
    <t>187920/23</t>
  </si>
  <si>
    <t>COSTILLA Emmanuel Frontalini por COACCION - PRIVACION ILEGITIMA DE LA LIBERTAD AGRAVADA - DESOBEDIENCIA JUDICIAL - LESIONES LEVES AGRAVADAS POR LA RELACION PREVIA DE PAREJA Y POR EL GENERO todo en CONCURSO REAL en perj. De AGUIRRE Damaris Tamara</t>
  </si>
  <si>
    <t>187471/23</t>
  </si>
  <si>
    <r>
      <t>PRESO</t>
    </r>
    <r>
      <rPr>
        <sz val="10"/>
        <rFont val="Arial"/>
        <family val="2"/>
      </rPr>
      <t xml:space="preserve"> MAMANI Mario Arnaldo Felipe por AMENAZAS CON ARMAS Y DAÑOS en perj. De CONSTANZO Rita de los Angeles</t>
    </r>
  </si>
  <si>
    <t>188542/24</t>
  </si>
  <si>
    <r>
      <t>PRESO</t>
    </r>
    <r>
      <rPr>
        <sz val="10"/>
        <rFont val="Arial"/>
        <family val="2"/>
      </rPr>
      <t xml:space="preserve"> GARCIA Lucas Victro por ROBO SIMPLE en en perj. De ARROYO Facundo David </t>
    </r>
  </si>
  <si>
    <t>188328/24</t>
  </si>
  <si>
    <r>
      <t>PRESO</t>
    </r>
    <r>
      <rPr>
        <sz val="10"/>
        <rFont val="Arial"/>
        <family val="2"/>
      </rPr>
      <t xml:space="preserve"> CALIGARI VIA Migual Alejandro por ROBO SIMPLE en perj. De ALMARAZ Federico Adrian</t>
    </r>
  </si>
  <si>
    <t>Se encuentra en etapa de Prision Preventiva</t>
  </si>
  <si>
    <t>EN ARMARIO EL 20/03/2024 C/ ACTUACIONES DEL JUZGADO DE ORIGEN PARA REMISION A OFIJU (13/03)</t>
  </si>
  <si>
    <r>
      <rPr>
        <b/>
        <sz val="10"/>
        <rFont val="Arial"/>
        <family val="2"/>
      </rPr>
      <t xml:space="preserve">ELEVADA A JUICIO AL TRIBUNAL DE JUICIO SALA VII - </t>
    </r>
    <r>
      <rPr>
        <sz val="10"/>
        <rFont val="Arial"/>
        <family val="2"/>
      </rPr>
      <t xml:space="preserve">Querellante: Dr. Fabian Benjamin Iván Galli MP </t>
    </r>
  </si>
  <si>
    <t>CON PROYECTO DE ELEVACION Y COMPULSA DE LEGAJO</t>
  </si>
  <si>
    <r>
      <rPr>
        <b/>
        <sz val="10"/>
        <rFont val="Arial"/>
        <family val="2"/>
      </rPr>
      <t>ELEVADA A JUICIO- REMIISION MESA</t>
    </r>
    <r>
      <rPr>
        <sz val="10"/>
        <rFont val="Arial"/>
        <family val="2"/>
      </rPr>
      <t xml:space="preserve"> DISTRIBUIDORA PENAL-19/12/23- </t>
    </r>
    <r>
      <rPr>
        <b/>
        <sz val="10"/>
        <rFont val="Arial"/>
        <family val="2"/>
      </rPr>
      <t xml:space="preserve">SALA DE JUICIO VI </t>
    </r>
  </si>
  <si>
    <t>EN TRAM,ITE- NO COMPARECIO A CITACION</t>
  </si>
  <si>
    <t>EN TRAMITE DE ELEVACION</t>
  </si>
  <si>
    <r>
      <rPr>
        <b/>
        <sz val="10"/>
        <rFont val="Arial"/>
        <family val="2"/>
      </rPr>
      <t>ELEVACIÓN A JUICIO - SALA DE JUICIO  III</t>
    </r>
    <r>
      <rPr>
        <sz val="10"/>
        <rFont val="Arial"/>
        <family val="2"/>
      </rPr>
      <t xml:space="preserve"> (14/12/23)</t>
    </r>
  </si>
  <si>
    <t>CAUSA LIBRE-CORRESPONDE A LA DRA. IRAZUSTA</t>
  </si>
  <si>
    <t>EN TRAMITE DEL ART. 435 DEL CPP</t>
  </si>
  <si>
    <t>EN  TRAMITE DE  ART. 435 CPP</t>
  </si>
  <si>
    <t xml:space="preserve">VERA Miguel Angel por GROOMING en CONCURSO REAL ABUSO SEXUAL CON ACCESO CARNAL EN CONCURSO REAL Y ABUSO SIMPLE (dos hechos) TODO EN CONCURSO REAL EN perj. </t>
  </si>
  <si>
    <r>
      <rPr>
        <b/>
        <sz val="10"/>
        <rFont val="Arial"/>
        <family val="2"/>
      </rPr>
      <t xml:space="preserve">ELEVACION A JUICIO - SALA I </t>
    </r>
    <r>
      <rPr>
        <sz val="10"/>
        <rFont val="Arial"/>
        <family val="2"/>
      </rPr>
      <t>(5/3/24) POR EL JUZGADO DE GARANTIAS 3º NOM</t>
    </r>
  </si>
  <si>
    <r>
      <rPr>
        <b/>
        <sz val="10"/>
        <rFont val="Arial"/>
        <family val="2"/>
      </rPr>
      <t xml:space="preserve">ELEVACION A JUICIO - SALA VI </t>
    </r>
    <r>
      <rPr>
        <sz val="10"/>
        <rFont val="Arial"/>
        <family val="2"/>
      </rPr>
      <t xml:space="preserve"> (14/03/2024)</t>
    </r>
  </si>
  <si>
    <t xml:space="preserve">EN TRAMITE DEL ART. 435 DEL CPP </t>
  </si>
  <si>
    <r>
      <t>J</t>
    </r>
    <r>
      <rPr>
        <b/>
        <sz val="10"/>
        <rFont val="Arial"/>
        <family val="2"/>
      </rPr>
      <t>UICIO ABREVIADO  EN AREA DE PRISION PREVENTIVA</t>
    </r>
    <r>
      <rPr>
        <sz val="10"/>
        <rFont val="Arial"/>
        <family val="2"/>
      </rPr>
      <t xml:space="preserve"> - SE REMITE AL JUZG DE GARANTIAS 5 POR REBELDES</t>
    </r>
  </si>
  <si>
    <t>JUICIO ABREVIADO- AREA DE PRISION PREVENTIVA (19/03/24)</t>
  </si>
  <si>
    <t>153248/18</t>
  </si>
  <si>
    <t>177211/23</t>
  </si>
  <si>
    <t>GALVAN Andres Alejandro por LESIONES LEVES AGRAVADA POR LA RELACION DE PAREJA PREEXISTNTE Y POR MEDIAR VIOLENCIA DE GÉNERO Y DESOBEDIENCIA JUDICIAL todo ello EN CONCURSO REAL en perj. De LOBO Paula Belen</t>
  </si>
  <si>
    <t>173305/21</t>
  </si>
  <si>
    <t>CONSTANZO CORREA Critian Emanuel y NICOLAS Vicente Santiago por ROBO SIMPLE y LESIONES LEVES en perj. De MORATA Rodrigo Maximiliano</t>
  </si>
  <si>
    <t>188021/24</t>
  </si>
  <si>
    <t>182813/23</t>
  </si>
  <si>
    <t>CHIODI SILVERA Federico Sebastian por HURTO SIMPLE en pjer. De RUIZ Juan Marcelo</t>
  </si>
  <si>
    <t>187736/23</t>
  </si>
  <si>
    <t>187840/24</t>
  </si>
  <si>
    <t>160291/19</t>
  </si>
  <si>
    <t xml:space="preserve">PADILLA Fidel Simon por ABUSO SEXUAL SIMPLE en perj. De Antonella Karen Soriano </t>
  </si>
  <si>
    <t>168391/20</t>
  </si>
  <si>
    <t>TOLABA Nicolas por ROBO en perj. De CARRAL Miguel</t>
  </si>
  <si>
    <t>179891/22</t>
  </si>
  <si>
    <t>BERON Ezno Tomas por AMENAZAS CON ARAMA - COACCION - DAÑOS - DESOBEDIENCIA JUDICIAL en perj. De VALCONTE Marcela Sabrina</t>
  </si>
  <si>
    <t>173861/21</t>
  </si>
  <si>
    <t>GUZMAN Maria Jose - RODRIQUEZ Ana Elizabeth - PEÑARANDA Cristina Arancibia - GUTIERREZ Maria Alejandra y MAZA Jesica Yudith por SEVERIDADES CALIFICADAS en perj. De Fernanda FARFAN</t>
  </si>
  <si>
    <t xml:space="preserve"> 08:56</t>
  </si>
  <si>
    <t>188047/23</t>
  </si>
  <si>
    <t>CORTEZ Gaston Santiago por LESIONES LEVES EN PERJ. DE NN</t>
  </si>
  <si>
    <t>DEVUELTA AL JUZGADO DE ORIGEN POR PRESCRIPCION</t>
  </si>
  <si>
    <t>DEVUELTA POR PRESCRIPCION</t>
  </si>
  <si>
    <r>
      <rPr>
        <b/>
        <sz val="10"/>
        <rFont val="Arial"/>
        <family val="2"/>
      </rPr>
      <t xml:space="preserve">ELEVADA A JUICIO </t>
    </r>
    <r>
      <rPr>
        <sz val="10"/>
        <rFont val="Arial"/>
        <family val="2"/>
      </rPr>
      <t>Dr. Ofero Maggio por el imputado Lautaro Enrique Esteban Coria</t>
    </r>
  </si>
  <si>
    <t>DEVUELVO CON EL LEGAJO FISCAL POR FUGA DEL IMPUTADO - se lo paso al Audienciasta el 14/03/2024</t>
  </si>
  <si>
    <t>185373/23</t>
  </si>
  <si>
    <r>
      <t>PRESO</t>
    </r>
    <r>
      <rPr>
        <sz val="10"/>
        <rFont val="Arial"/>
        <family val="2"/>
      </rPr>
      <t xml:space="preserve"> APAZA Cesar Luis por LESIONES - ABUSO SEXUAL CON ACCESO CARNAL en perj. De CINTIA CARINA BURGOS</t>
    </r>
  </si>
  <si>
    <t>A LA AUDIENCIAS EL 22/03/2024 POR LA TARDE</t>
  </si>
  <si>
    <t>188862/24</t>
  </si>
  <si>
    <t>Dra. Villamayor</t>
  </si>
  <si>
    <r>
      <t>PRESO</t>
    </r>
    <r>
      <rPr>
        <sz val="10"/>
        <rFont val="Arial"/>
        <family val="2"/>
      </rPr>
      <t xml:space="preserve"> FERNANDEZ Cristian Federico por ROBO AGRAVADO  POR EL USO DE ARMA en perj. De CORNEJO Agustina Martinez</t>
    </r>
  </si>
  <si>
    <t>se lo paso al audiencista el 22/03/2024 por la tarde JUNTO CON LEGAJO FISCAL</t>
  </si>
  <si>
    <t>187393/23</t>
  </si>
  <si>
    <r>
      <t>PRESO</t>
    </r>
    <r>
      <rPr>
        <sz val="10"/>
        <rFont val="Arial"/>
        <family val="2"/>
      </rPr>
      <t xml:space="preserve"> CRUZ PABLO Ezequiel por VIOLACION DE DOMICILIO - AMENAZAS - LESIONES LEVES AGRAVADAS POR LA RELACION DE PAREJA PREEXISTENTE Y POR CONSITUTIR VIOLENCIA DE GENERO EN PERJ. DE DAMARIAS EVELYN SANCHEZ</t>
    </r>
  </si>
  <si>
    <r>
      <t>PRESO</t>
    </r>
    <r>
      <rPr>
        <sz val="10"/>
        <rFont val="Arial"/>
        <family val="2"/>
      </rPr>
      <t xml:space="preserve"> CASTILLO Cristian Jesus y CASTILLO Zoe Agustina del Milagro por AMENAZAS CON ARMA Y AMENAZAS en perj. De Ariana Elizabeth OSAN</t>
    </r>
  </si>
  <si>
    <r>
      <t>PRESO</t>
    </r>
    <r>
      <rPr>
        <sz val="10"/>
        <rFont val="Arial"/>
        <family val="2"/>
      </rPr>
      <t xml:space="preserve"> PARRA QUIROGA Agustin Emiliano por ROBO CALIFICADO POR EL USO DE ARMA en CONCURSO REAL en perj. De TOSCANO Rosario Belen</t>
    </r>
  </si>
  <si>
    <t>Y DR. JULIO ARAMAYO VAZQUEZ - AUDIENCIA SUSPENDIDA POR PEDIDO DE PARTES ESTABA FIJADA PARA EL 22/02/2024 - EN FECHA 22/03/2024 VUELVEN LAS ACTUACIONES Y SE LO PASO AL Dr. Pablo Lorenzeti</t>
  </si>
  <si>
    <t>QUERELLANTE: Dr. Federico J. Rodriguez y Nicolas ORITZ - EN ARMARIO 06/03/2024 - CON LEGAJO FISCAL ---  EN FECHA 21/03/2024 LLEGO UN EXPEDIENTE FORMADO POR FOTOCOPIAS</t>
  </si>
  <si>
    <r>
      <rPr>
        <b/>
        <sz val="10"/>
        <rFont val="Arial"/>
        <family val="2"/>
      </rPr>
      <t>ELVACION A JUICIO</t>
    </r>
    <r>
      <rPr>
        <sz val="10"/>
        <rFont val="Arial"/>
        <family val="2"/>
      </rPr>
      <t xml:space="preserve"> - SALA IV (22/03/2024)</t>
    </r>
  </si>
  <si>
    <t>ELEVACION A JUICIO - SALA V (22/03/2024)</t>
  </si>
  <si>
    <r>
      <rPr>
        <b/>
        <sz val="10"/>
        <rFont val="Arial"/>
        <family val="2"/>
      </rPr>
      <t>ELEVACION A JUICIO</t>
    </r>
    <r>
      <rPr>
        <sz val="10"/>
        <rFont val="Arial"/>
        <family val="2"/>
      </rPr>
      <t>- SALA II - (22/3/24) CON GAR 185637</t>
    </r>
  </si>
  <si>
    <t>ELEVADA A JUICIO  - SALA IV (27/02/2024)  CON ACUMULADA GAR 186760</t>
  </si>
  <si>
    <r>
      <rPr>
        <b/>
        <sz val="10"/>
        <rFont val="Arial"/>
        <family val="2"/>
      </rPr>
      <t>ELEVACION A JUICIO</t>
    </r>
    <r>
      <rPr>
        <sz val="10"/>
        <rFont val="Arial"/>
        <family val="2"/>
      </rPr>
      <t xml:space="preserve"> - SALA IV (13/03/2024)</t>
    </r>
  </si>
  <si>
    <t>ELEVADA A JUICIO- SALA II (08/03/24)</t>
  </si>
  <si>
    <t>ELEVADA A JUICIO A TRIBUNAL DE JUICIO SALA I (07/03/24)</t>
  </si>
  <si>
    <t>se lo paso a la audiencista el 14/03/2024  - vino con legajo Fiscal - JUICIO ABREVIADO - 8 años efectiva</t>
  </si>
  <si>
    <t>181700/22</t>
  </si>
  <si>
    <t xml:space="preserve"> 10;08</t>
  </si>
  <si>
    <t>187600/23</t>
  </si>
  <si>
    <t>QUIPILDOR, ZACARIAS DAVID por lesiones leves agravadas por ser cometidas por personal de las fuerzas deseguridad en concurso real</t>
  </si>
  <si>
    <t>189191/24</t>
  </si>
  <si>
    <t>187556/23</t>
  </si>
  <si>
    <t>VELAZQUEZ, TOMAS GABRIEL por robo en poblado y en banda</t>
  </si>
  <si>
    <t>161877/19</t>
  </si>
  <si>
    <t>PANIQUE, GABRIEL ALBERTO por robo calificado de vahículo dejado en la vía pública</t>
  </si>
  <si>
    <t>170354/21</t>
  </si>
  <si>
    <t xml:space="preserve">RIVADENEIRA, ROBERTO RICARDO por abuso sexual agravado por la convivenvia con menor de dieciocho años (4h) en concurso real </t>
  </si>
  <si>
    <t xml:space="preserve"> 11:01</t>
  </si>
  <si>
    <t>182940/23</t>
  </si>
  <si>
    <t>169495/20</t>
  </si>
  <si>
    <t>GUZMAN, RODRIGO ARIEL por abuso sexual simple agravado por el vinculo, la guarda  la convivencia en concurso real con abusos exual simple continuado agravado por el vinculo, la guarda y la convivenvia</t>
  </si>
  <si>
    <t xml:space="preserve"> 09:27</t>
  </si>
  <si>
    <t>177645/22</t>
  </si>
  <si>
    <t>SANCHEZ, CECILIA MARISOL por lesiones leves agravadas por el vínculo</t>
  </si>
  <si>
    <t>187610/23</t>
  </si>
  <si>
    <t>SCHAMZ, GABRIEL SEBASTIAN por robo agravado por la participación de un menor de edad (3H) y Albornoz, Adrian por robo Simple (3h)</t>
  </si>
  <si>
    <t xml:space="preserve"> 12:56</t>
  </si>
  <si>
    <t>187517/23</t>
  </si>
  <si>
    <t>189606/24</t>
  </si>
  <si>
    <t>TOLABA, ALAN RAFAEOL por robo simple y coacción en concurso real en perjuicio de Guaymas, Catalino</t>
  </si>
  <si>
    <t>180206/22</t>
  </si>
  <si>
    <t>QUISPE, LEANDRO AGUSTÍN por amenazas, desobediencia judicial en perjuicio de Bautista, Carina Elizabeth</t>
  </si>
  <si>
    <t>182106/22</t>
  </si>
  <si>
    <t>BARRIENTOS, DIEGO HERNAN por lesiones</t>
  </si>
  <si>
    <t>188812/24</t>
  </si>
  <si>
    <t>189146/24</t>
  </si>
  <si>
    <t>MORALES, MIGUEL ANGEL por amenazas (2h), coacción en concurso real en perjuicio de Mendoza, Claudia Veronica</t>
  </si>
  <si>
    <t xml:space="preserve"> 08:40</t>
  </si>
  <si>
    <t>182790/23</t>
  </si>
  <si>
    <t>VILLAGRA, ANDREA YANINA y DANTE, LEONARDO por usurpación en perjuicio de Blas, Banancia</t>
  </si>
  <si>
    <t>177768/22</t>
  </si>
  <si>
    <t xml:space="preserve"> 08:26</t>
  </si>
  <si>
    <t>RIOS, RAMON ESTANISLAO por abuso sexual gravemente ultrajante por la duración y por las circunstancias de su realización agravado por el vínculo y la guarda</t>
  </si>
  <si>
    <t>180810/22</t>
  </si>
  <si>
    <t>GARECA, ROQUE AGUSTIN por robo simple en perjuicio de NN</t>
  </si>
  <si>
    <t>Pasa a dra lamas el 03/04</t>
  </si>
  <si>
    <t>REMITIDA EN DEVOLUCION AL JUZGADO DE GARANTIAS 7º NOM- FALTA INFORMES DEL ART. 96 DEL CPP</t>
  </si>
  <si>
    <t>ELEVACION A JUICIO- 18/03/2024</t>
  </si>
  <si>
    <t>ELEVACION A JUICIO- 26/03/2024</t>
  </si>
  <si>
    <t>DEVUELTO AL JUZGADO DE GARANTIAS 4º CON PEDIDO DE JUICIO ABREVIADO</t>
  </si>
  <si>
    <t xml:space="preserve"> 11:35</t>
  </si>
  <si>
    <t>187857/23</t>
  </si>
  <si>
    <r>
      <t>PRESO</t>
    </r>
    <r>
      <rPr>
        <sz val="10"/>
        <rFont val="Arial"/>
        <family val="2"/>
      </rPr>
      <t xml:space="preserve"> YURQUNA, JORGE GABRIEL por desobediencia judicial </t>
    </r>
  </si>
  <si>
    <t>ELEVACION A JUICIO- SALA III</t>
  </si>
  <si>
    <t>ELEVACION A JUICIO - SALA II</t>
  </si>
  <si>
    <r>
      <t xml:space="preserve"> </t>
    </r>
    <r>
      <rPr>
        <b/>
        <sz val="10"/>
        <rFont val="Arial"/>
        <family val="2"/>
      </rPr>
      <t>ELEVACION A JUICIO- SALA IV</t>
    </r>
  </si>
  <si>
    <t>ELEVACION A JUICIO -SALA IV  21/03/2024</t>
  </si>
  <si>
    <t>ELEVACION A JUICIO- SALA IV</t>
  </si>
  <si>
    <t>JUICIO ABREVIADO</t>
  </si>
  <si>
    <t>ELEVACION A JUICIO- SALA VI</t>
  </si>
  <si>
    <t>ELEVACION A JUICIO- SALA II</t>
  </si>
  <si>
    <t>ELEVACION A JUICIO - SALA VI  (14/03/2024)</t>
  </si>
  <si>
    <t>DEVUELTA AL JUZGADO DE GARANTIAS 3º PARA TRAMITE</t>
  </si>
  <si>
    <t>ELEVACION A JUICIO- SALA I</t>
  </si>
  <si>
    <r>
      <t xml:space="preserve">DOP 10 - Querellante: Dr. Ramón Alfredo Molina MP 6649 - </t>
    </r>
    <r>
      <rPr>
        <b/>
        <sz val="10"/>
        <rFont val="Arial"/>
        <family val="2"/>
      </rPr>
      <t>En fecha 06/03/2024 se remite a GAR 6 atento cuestiones pendientes por resolver. - En fecha 05/04/2024 retorna expediente.</t>
    </r>
  </si>
  <si>
    <t>188032/23</t>
  </si>
  <si>
    <r>
      <t>PRESO</t>
    </r>
    <r>
      <rPr>
        <sz val="10"/>
        <rFont val="Arial"/>
        <family val="2"/>
      </rPr>
      <t xml:space="preserve"> RODRIGUEZ Joaquin Abel por ABUSO SEXUAL CON ACCESO CARNAL en perj de ZLC - denuncia Sra. Romina Celeste Condori</t>
    </r>
  </si>
  <si>
    <t>188572/24</t>
  </si>
  <si>
    <t>Pasa a Dra. Villamayor 08/04/2024</t>
  </si>
  <si>
    <r>
      <t>PRESO</t>
    </r>
    <r>
      <rPr>
        <sz val="10"/>
        <rFont val="Arial"/>
        <family val="2"/>
      </rPr>
      <t xml:space="preserve"> DOMINGUEZ Victor Jesus por HOMICIDIO CALIFICADO AGRAVADO por el Vinculo en Grado de Ttva. En perj. De DOMINGUEZ Luis Reyes</t>
    </r>
  </si>
  <si>
    <t>188671/24</t>
  </si>
  <si>
    <t>Dr. Marcos Luis Gorriti - MP 5669</t>
  </si>
  <si>
    <r>
      <t>PRESO</t>
    </r>
    <r>
      <rPr>
        <sz val="10"/>
        <rFont val="Arial"/>
        <family val="2"/>
      </rPr>
      <t xml:space="preserve"> CONTE Julio - POMA OVEJERO Martin Miguel por PECULADO - RESISTENCIA A LA AUTORIDAD - LESIONES - ROBO Y DAÑO AGRAVADO en Concurso Ideal  - DAÑOS AGRAVADO - FALSEDAD DE INSTRUMENTEO PUBLICO (DOS HECHOS) todo en concurso Real y en contra de  - ACOSTA Cesar Eduardo por RESISTENCIA A LA AUTORIDAD - LESIONES - ROBO - DAÑO AGRAVADO en Concurso Ideal todo en Concurso Real en perj. de Liliana Elizabeth Musa ----- Y EN CONTRA DE MALDONADO BLANQUE Ramiro Mauricio por Resistencia a la Autoridad - Lesiones - Robo y Daño Agravado</t>
    </r>
  </si>
  <si>
    <t>por Maldonado el Dr. Luis Fernando Diaz Zabalaga  - en fecha 08/04/2024 se lo paso al Audiencista  - con Legajo Fiscal</t>
  </si>
  <si>
    <t>177456/22</t>
  </si>
  <si>
    <t>187164/23</t>
  </si>
  <si>
    <t>MARTINEZ Diego Alberto por Amenazas - Lesiones en perj. De BALDONEDO Maria Esther</t>
  </si>
  <si>
    <t>Dr. Hernan Gonzalo Rivas - MP 3926</t>
  </si>
  <si>
    <t>en Armario 08/04/2024 - Con Legajo Fiscal</t>
  </si>
  <si>
    <t>ARAOZ Andres Fabian por Abuso Sexual Simple Cinco hechos en Concurso Real Agravado pr ser cometido por Personal Perteneciente a las Fuezas Policiales o de Seguridad en Ocasión de sus Funciones en perj. De la Sra. Debora Fernanda Guitian</t>
  </si>
  <si>
    <t>188380/24</t>
  </si>
  <si>
    <t>GUTIERREZ Roque Gabriel por DESOBEDIENCIA JUDICIAL en perj. De GUERRA Vanesa Loreana</t>
  </si>
  <si>
    <t>188551/24</t>
  </si>
  <si>
    <t>FABIAN Natasha Abigail por DESOBEIDIENCIA JUDICIAL en pejr. De Noemi del Valle FABIAN</t>
  </si>
  <si>
    <t xml:space="preserve"> 187024/23</t>
  </si>
  <si>
    <r>
      <t>PRESO</t>
    </r>
    <r>
      <rPr>
        <sz val="10"/>
        <rFont val="Arial"/>
        <family val="2"/>
      </rPr>
      <t xml:space="preserve"> BARRIONUEVO Julio Cesar por AMENAZAS - PRIVACION ILEGTIMA DE LA LIBERTAD AGRAVADA y DESOBEDIENCIA JUDICIAL en perj. De los menores  M y EB</t>
    </r>
  </si>
  <si>
    <r>
      <t>PRESO</t>
    </r>
    <r>
      <rPr>
        <sz val="10"/>
        <rFont val="Arial"/>
        <family val="2"/>
      </rPr>
      <t xml:space="preserve"> PINTO, ERICK ROBERTO NICOLAS por abuso sexual cona cceso carnal en concurso ideal con privación ilegitima d ela libertad</t>
    </r>
  </si>
  <si>
    <t>con leg 73/22 - EN ARMARIO 08/04/2024</t>
  </si>
  <si>
    <t>con leg 25/23 - EN ARMARIO 08/04/2024</t>
  </si>
  <si>
    <t>con leg 175/22 - EN ARMARIO 08/04/2024</t>
  </si>
  <si>
    <t>EN ARMARIO 08/04/2024</t>
  </si>
  <si>
    <t>Con leg 86/22 - EN ARMARIO 08/04/2024</t>
  </si>
  <si>
    <t>OROSCO Adrian Jorge Nicolas por ROBO SIMPLE en GRADO DE TTVA. Y ROBO SIMPLE en CONCURSO REAL en perj. De LOPEZ Maximiliano Alejandro ACUMULADA 187553/23</t>
  </si>
  <si>
    <t>TAMBIEN  interviene DOP 16 -  en armario 08/04/2024</t>
  </si>
  <si>
    <t>PASTRANA Juan Ramon por COACCION Y DESOBEDIENCIA JUDICIAL todo ello en CONCURSO REAL en perj. De PATRICIA Alejandra CASTILLO</t>
  </si>
  <si>
    <t xml:space="preserve">ASESORIA INCAPACES 7 - Dra. Nora Carina Quinteros - EN ARMARIO 08/04/2024 - QUERELLANTE Dra. Liza Medrano </t>
  </si>
  <si>
    <t>152260/18</t>
  </si>
  <si>
    <t>ERAUSQUIN PIEROLA Horacio - ERAUSQUIN Tomas por ESTAFA Y ERAUSQUIN Horacio Raul por ESTAFAS REITERADAS (TRES HECHOS) EN CONCURSO REAL  - en perj. De PAEZ Elsa Veronica - ZANNIER Noelia Andrea y BARRAZA Javier Alejandro</t>
  </si>
  <si>
    <t>Dr. Matias Ulivarri MP 2114 y  Maria Magdalena Laiseca MP 5863</t>
  </si>
  <si>
    <t>182864/23</t>
  </si>
  <si>
    <t>SORIA Jose Luis por DESOBEDIENCIA JUDICIAL en perj. De LUNA Cintia</t>
  </si>
  <si>
    <t>EN ARMARIO 08/04/2024 - CON LEGAJO FISCAL</t>
  </si>
  <si>
    <t>EN ARMARIO 08/04/2024  - CON LEGAJO FISCAL</t>
  </si>
  <si>
    <t>185276/23</t>
  </si>
  <si>
    <t>GUERRAS David Gabriel por AMENAZAS Y DESOBEDIENCIA JUDICIAL (tres hechos) EN CONCURSO REAL en perj. De LOPEZ Melina Gisel</t>
  </si>
  <si>
    <t>EN ARMARIO08/04/2024</t>
  </si>
  <si>
    <t>189444/24</t>
  </si>
  <si>
    <t>GENTILE Juan Ariel por DESOBEDIENCIA JUDICIAL - DAÑOS - AMENAZAS - GENTILE Carlos Fernando por DESOBEDIENCIA JUDICIAL en perj. De Berreuzo Vilchi Rita Mercedes</t>
  </si>
  <si>
    <t>Dr. TALEVI Abud Enzo Nahuel MP 6642</t>
  </si>
  <si>
    <t>A LA AUDIENCISTA EL 08/04/2024</t>
  </si>
  <si>
    <t>178586/22</t>
  </si>
  <si>
    <t>AGUIRRE Jesus Ricardo - ARAGON Nestor Danielo - RAMOS Juan Sebastian  - JANDULA Marcos del Pont - Gabriel Angel  - MAGNO Maximo Gabriel - BENICIO Alexis Alejandro - BENICIO Brian Alesandor - CHILO Victor Arturo - TABARCACHI David Francisco - AGUIRRE Jose Ariel Alexander - LACCE Mateo William - PEREZ Walter Marcelo - PEREZ Enzo Osvaldo - MARTINEZ Leandro Dario por ASOCIACION ILICITA y DAÑOS CALIFICADOS</t>
  </si>
  <si>
    <t>Dr. Holver Martinez MP 1654  (particular)</t>
  </si>
  <si>
    <t>188256/23</t>
  </si>
  <si>
    <t>189233/24</t>
  </si>
  <si>
    <t xml:space="preserve">TORRES Jesus Facundo por VIOLACION DE DOMICILIO  - RESISTENCIA A LA AUTORIDAD - ROBO SIMPLE EN GRADO DE TTVA. - ROBO SIMPLE en pejr. </t>
  </si>
  <si>
    <t>EN ARMARIO 08/04/0224 - LEGAJO FISCAL</t>
  </si>
  <si>
    <t>188333/23</t>
  </si>
  <si>
    <t>NARANJO Diego Daniel y ETCHEVERRY Jose Alberto por HURTO CALIFICADO en perj. De AGUILERA Fernando Javier</t>
  </si>
  <si>
    <t>ENCARGADO</t>
  </si>
  <si>
    <r>
      <t>PRESO</t>
    </r>
    <r>
      <rPr>
        <sz val="10"/>
        <rFont val="Arial"/>
        <family val="2"/>
      </rPr>
      <t xml:space="preserve"> TOLABA Agustin Carlos Humberto por ROBO CALIFICADO POR LAS LESIONES SUFRIDAS POR LA VCITIMA EN GRADO DE TTVA. Y ROBO SIMPLE EN CONCURSO REAL EN PERJ DE LEAÑEZ Cecilia</t>
    </r>
  </si>
  <si>
    <t>EN ARMARIO - CON LEGAJO08/04/2024</t>
  </si>
  <si>
    <t>174445/21</t>
  </si>
  <si>
    <t xml:space="preserve">CHOCOBAR Cristian Alejandro por ROBO CALIFICADO en perj. De LIENDRO Gonzalo Alberto </t>
  </si>
  <si>
    <t>187518/23</t>
  </si>
  <si>
    <t>Dr. Ruben Paulino Alfaro</t>
  </si>
  <si>
    <r>
      <t>PRESO</t>
    </r>
    <r>
      <rPr>
        <sz val="10"/>
        <rFont val="Arial"/>
        <family val="2"/>
      </rPr>
      <t xml:space="preserve"> LEMOS Manuel Arturo por Lesiones AGRAVADAS POR LA RELACION DE PAREJA PREVIA YEL GENERO Y PRIVACION ILEGITIMA DE LA LIBERTAD AGRAVADA todo en CONCURSO REAL en perj. De OVANDO Aldana del Milagro</t>
    </r>
  </si>
  <si>
    <t>A LA AUDIENCIAS EL 08/04/2024 - CON LEGAJO FISCAL</t>
  </si>
  <si>
    <t>186969/23</t>
  </si>
  <si>
    <t>SIVUEIRO Lucas Joel por ROBO CALIFICADO POR EL USO DE ARMA EN GRADO DE TTVA. EN PERJ. DE Luis Javier Flores</t>
  </si>
  <si>
    <t>189351/24</t>
  </si>
  <si>
    <t>189187/24</t>
  </si>
  <si>
    <t>FRIAS Jose Luis por LESIONES LEVES AGRAVADAS POR EL VINCULO en perj. Del menor FJF</t>
  </si>
  <si>
    <t>188640/24</t>
  </si>
  <si>
    <t>GOMEZ Adrian Guillermo por HURTO SIMPLE en perj. De Rita Villalba</t>
  </si>
  <si>
    <t xml:space="preserve"> 12:26</t>
  </si>
  <si>
    <t>188596/24</t>
  </si>
  <si>
    <t>DIAZ Rafael Alberto por LESIONES LEVES AGRAVADAS POR LA RELACION DE PAREJA PRE-EXISTENTE Y POR MEDIAR VIOLENCIA DE GENERO Y AMENAZAS EN CONCURSO REAL en perj. De LIENDRO Melani Luciana</t>
  </si>
  <si>
    <t xml:space="preserve"> 11:48</t>
  </si>
  <si>
    <t>187230/23</t>
  </si>
  <si>
    <t>187547/23</t>
  </si>
  <si>
    <t>SUVIA Jorge Alberto por AMENAZAS CON ARMA y DAÑOS EN PERJ. DE ESCALADA MERCEDES</t>
  </si>
  <si>
    <r>
      <t>PRESO</t>
    </r>
    <r>
      <rPr>
        <sz val="10"/>
        <rFont val="Arial"/>
        <family val="2"/>
      </rPr>
      <t xml:space="preserve"> SEGOVIA Maria Florencia - BERNABE Juan Carlos y GIMENEZ DURAN Franco Hernan por ROBO DOBLEMENTE CALIFICADO POR HABERSE COMETIDO EN POBLADO Y EN BANDA POR EL USO DE ARMA (DOS HECHOS) en perj. De PEREYRA Sergio Mauricio</t>
    </r>
  </si>
  <si>
    <t xml:space="preserve">Asesora de Incapaces 5 - Dra. Berni - </t>
  </si>
  <si>
    <t>169122/20</t>
  </si>
  <si>
    <t>RODRIGUEZ Ricardo David por Exhibiciones Obsenas Agravadas en perj. De PVL AV RV KRV JEV YGC</t>
  </si>
  <si>
    <t>EN ARMARIO - CON LEGAJO 08/04/2024</t>
  </si>
  <si>
    <t>Asesor Incapaces Nº 7 - Nora Carina Quinteros</t>
  </si>
  <si>
    <r>
      <t>PRESO</t>
    </r>
    <r>
      <rPr>
        <sz val="10"/>
        <rFont val="Arial"/>
        <family val="2"/>
      </rPr>
      <t xml:space="preserve"> ARDAYA SANTOS David Javier - ONGANEKU Claudio y ONGANEKU Francisco Gabriel</t>
    </r>
  </si>
  <si>
    <t>Dr. Cristian Parada</t>
  </si>
  <si>
    <t>Dra. Ivana Miranda MP 4976</t>
  </si>
  <si>
    <r>
      <t xml:space="preserve">MAYO Jose Francisco por ESTAFA REITERADAS y </t>
    </r>
    <r>
      <rPr>
        <b/>
        <sz val="10"/>
        <rFont val="Arial"/>
        <family val="2"/>
      </rPr>
      <t>acumuladas</t>
    </r>
    <r>
      <rPr>
        <sz val="10"/>
        <rFont val="Arial"/>
        <family val="2"/>
      </rPr>
      <t xml:space="preserve"> 160184/19 - 170862/21 y 165045/20</t>
    </r>
  </si>
  <si>
    <t>185213/23</t>
  </si>
  <si>
    <t>PONCE Alvaro Nicolas - TAPIA Antonella Aldana por VIOLACION DE DOMICILIO en perj. De AVILES Clara</t>
  </si>
  <si>
    <t>Querellante: Dr. Carlos Dante Hilario Colque - Dra. Miranda Sara - En Fecha 09/04/2024 se lo paso a la Audiencista - con legajo de investigacion</t>
  </si>
  <si>
    <t>EN ARMARIO - CON LEGAJO 09/04/2024</t>
  </si>
  <si>
    <t>173613/21</t>
  </si>
  <si>
    <t>GUTIERREZ Ramiro Sebastian por LESIONES en perj. De PISTAN Maria Agustina</t>
  </si>
  <si>
    <t>187220/23</t>
  </si>
  <si>
    <t>MONTEBELLI Ezequiel por AMENAZAS - LESIONES AGRAVADAS - COACCION en perj. De CARDOZO Julieta</t>
  </si>
  <si>
    <t xml:space="preserve">Dr. Nicolas Mario Maggio MP 5934 </t>
  </si>
  <si>
    <t>EN ARMARIO 09/04/2024</t>
  </si>
  <si>
    <t>179628/22</t>
  </si>
  <si>
    <t>CARDOZO Maritn Nicolas por HURTO CALIFICADO (USO DE LLAVA RETENIDA) EN PERJ. De SING Caro Sebastian - ACUM 89098</t>
  </si>
  <si>
    <t>185333/23</t>
  </si>
  <si>
    <t>AGUIRRRE Maria Belen por LESIONES LEVES AGRAVADAS POR LA RELACION DE PAREJA en perj. De SORIA German</t>
  </si>
  <si>
    <t>183024/23</t>
  </si>
  <si>
    <t>ROMERO Tobias Erik por HURTO en perj. De FERRI Jesica Valeria</t>
  </si>
  <si>
    <t>188970/24</t>
  </si>
  <si>
    <t>CABALLERO Cesar Maximiliano por ABUSO SEXUAL simple en perj. PERALTA Laura Abigail</t>
  </si>
  <si>
    <t xml:space="preserve"> 11:20</t>
  </si>
  <si>
    <t>179437/22</t>
  </si>
  <si>
    <t>JOSE Emiliano Ismael por Agresion con Arma Impropia Agravada por la Relacion de Pareja Previa - LESIONES LEVES AGRAVADAS por Relacion de Pareja Previa y por el Genero - hurto simple - AMENAZAS Y COACCION en perj. De MEDINA Natalia Nicole</t>
  </si>
  <si>
    <t>188927/24</t>
  </si>
  <si>
    <t>SORUCO Jimena Paola por Usurpacion en perj. De GERBAN Carolina Judith</t>
  </si>
  <si>
    <t>188947/24</t>
  </si>
  <si>
    <t xml:space="preserve">SUICA Pedro Daniel por DAÑOS - LESIONES LEVES - RESISTENCIA A LA AUTORIDAD - RODRIGUEZ Luis Alberto por Daños - lesiones leves - RESISTENCIA A LA AUTORIDAD - SUICA Marina Micalea por DAÑOS - LESIONES LEVES - RESISTENCIA A LA AUTORIDAD en pejr. De </t>
  </si>
  <si>
    <t>ELEVADA A JUICIO -  EN FECHA 25/03/2024 BAJAN LAS ACTUACIONES A LOS FINES DE QUE SE CORRIGA  EL NOMBRE DE LA PERSONA IMPUTADA LA CUAL NO SE CORRESONDE CON LA PERSONA INDICADA OPORTUNAMENTE (V FS. 86) - EN FECHA 09/04/2024 SE LO PASO AL AUDIENCISTA</t>
  </si>
  <si>
    <t>185330/23</t>
  </si>
  <si>
    <t>CHOCOBAR Hector Gabriel por AMENAZAS EN perj. De TEVEZ Marcia Gabriel</t>
  </si>
  <si>
    <t>Querellante: Julia Jessica Vasquez Se lo paso al Audeincista  CON LEGAJO el 09/04/2024</t>
  </si>
  <si>
    <t>184189/23</t>
  </si>
  <si>
    <t>AGUIRRE Ernesto por Lesiones Agravadas Graves - COACCION en perj. De CARRASCO Maria</t>
  </si>
  <si>
    <t>FLORES, NATALIA VERONICA por huro simple en perjuicio de Diaz, Cristian Federico</t>
  </si>
  <si>
    <t>A AUDIENCISTA EL 09/04/2024 por la tarde - LA IMPUTADA SE ENCONTRARIA DETENIDA EN OTRA CAUSA</t>
  </si>
  <si>
    <t>EN ARMARIO 09/04/2024 -- Qurellante: Dr. Luis María güero Molina ---  en fecha 06/12/2023 se presenta la OPOSICION DR. MAGGIO -- VELEZ Sergio Juan y MIRANDA Carlos Alfredo por DAÑOS - en fecha 08/04/2024 llega el requerimiento a juicio por Sistema - el Expediente Llega el 08/04/2024</t>
  </si>
  <si>
    <t>VELEZ Sergio Juan - MIRANDA Carlos Alfredo por Falso Testimonio en perj. De CAPRINI Norma Mabel - CON G01 - G02 Y GAR 182935/23</t>
  </si>
  <si>
    <t xml:space="preserve"> 08:29</t>
  </si>
  <si>
    <t>188808/24</t>
  </si>
  <si>
    <t>GARCIA Brian Nicolas por AMENAZAS - DESOBEDIENCIA JUDICIAL - CONCURSO REAL en perj. De CORONEL Jorge Luis Alberto</t>
  </si>
  <si>
    <t>185817/23</t>
  </si>
  <si>
    <t>FLORES Ernesto Jesus por ABUSO SEXUAL SIMPLE en perj. De FLORES CARRIZO Romina Abigail (menor) - CARRIZO Alejandra Elizabeth</t>
  </si>
  <si>
    <t>MONTIEL EZEQUIEL SIMON ESTEBAN por lesiones y privacion ilegitima d ela libertad agravado por el uso de violencia en concurso real</t>
  </si>
  <si>
    <t>Dr. Roberto Sandoval</t>
  </si>
  <si>
    <t>CAYO Gabriel Guillermo por LESIONES LEVES AGRAVADAS POR LA RELACION DE PAREJA PREEXISTENTE Y POR MEDIAR VIOLENCIA DE GENERO EN DOS HECHOS - AMENAZAS CON ARMAS EN DOS HECHOS - DAÑOS EN DOS HECHOS Y DESOBEDIENCIA JUDICIAL en perj. De RODRIGUEZ Jesica Noelia - NO SE ENCUENTRA ACUMULADO EL EXPDEDIENTE 176114/22</t>
  </si>
  <si>
    <t>188686/24</t>
  </si>
  <si>
    <t>CORONEL Matias Exequiel por ROBO CALIFICADO POR EL USO DE ARMA EN GRADO DE TTVA. En perj. De T.G (13)</t>
  </si>
  <si>
    <t>187934/23</t>
  </si>
  <si>
    <t>RUA Gustavo Daniel por DESOBEDIENCIA JUDICIAL - dos hechos - en CONCURSO REAL en perj. De CAÑIZARES Betiana Elizabeth</t>
  </si>
  <si>
    <t xml:space="preserve">DEVUELTO AL JUZGADO DE  ORIGEN POR PRESCRIPCION </t>
  </si>
  <si>
    <t>FECHA DE ELEVACION - AUDIENCIA Y/O DEVOLUCION</t>
  </si>
  <si>
    <t>ELVADA A JUICIO</t>
  </si>
  <si>
    <r>
      <rPr>
        <b/>
        <sz val="10"/>
        <rFont val="Arial"/>
        <family val="2"/>
      </rPr>
      <t xml:space="preserve">ELEVADA A JUICIO -- </t>
    </r>
    <r>
      <rPr>
        <sz val="10"/>
        <rFont val="Arial"/>
        <family val="2"/>
      </rPr>
      <t>EN TRAMITE - DEVUELTA A GARANTIAS 5 PARA QUE RESUELVA RESPECTO A LA APERTURA DEL CELULAR - SIN DEVOLVER A LA FECHA 11/03/2024</t>
    </r>
  </si>
  <si>
    <t>DEVUELTA AL JUZAGDO DE ORIGEN POR REBELDIA Y COMPARENDO</t>
  </si>
  <si>
    <t>DEVUELTA AL JUZGADO DE ORIGEN POR REBELDIA Y Y DETENCION</t>
  </si>
  <si>
    <r>
      <rPr>
        <b/>
        <sz val="10"/>
        <rFont val="Arial"/>
        <family val="2"/>
      </rPr>
      <t>DEVUELTO AL JUZAGDO DE ORIGEN POR PRESCRIPCION</t>
    </r>
    <r>
      <rPr>
        <sz val="10"/>
        <rFont val="Arial"/>
        <family val="2"/>
      </rPr>
      <t xml:space="preserve"> C/ RTO- LEG 131/18</t>
    </r>
  </si>
  <si>
    <t>DEVUELTA AL JUZAGDO DE ORIGEN POR REBELDIA SIN RESOLVER</t>
  </si>
  <si>
    <t>BERNARDINEZ, FEDERICO RAUL  POR LESIONES AGRAVADAS, PRIVACION ILEGITIMA DE LA LIBERTAD EN PERJUICIO DE VILTE MORENO, INES FLORENCIA. A.P. Nº 1678/22 DE LA CRIA. Nº 15. FISCALIA DE GENERO Nº 5-LIMACHE.</t>
  </si>
  <si>
    <t>Dra. Rocio Virginia Bravo</t>
  </si>
  <si>
    <t xml:space="preserve"> 11:59</t>
  </si>
  <si>
    <t>189473/24</t>
  </si>
  <si>
    <r>
      <t>PRESO</t>
    </r>
    <r>
      <rPr>
        <sz val="10"/>
        <rFont val="Arial"/>
        <family val="2"/>
      </rPr>
      <t xml:space="preserve"> MADONADO Jorge David por LESIONES LEVES en perj. De VARGAS Bruno Ignacio</t>
    </r>
  </si>
  <si>
    <t>181025/22</t>
  </si>
  <si>
    <t>ROJAS Gustavo Nolberto por ROBO (DOS HECHOS) - ROJAS Antonio Gabriel -  DIAZ Lucas Gonzalo y GONZALEZ Miguel Angel por Receptacion Dolosa en perj. De RODRIGUEZ Marcela Elizabeth</t>
  </si>
  <si>
    <t>JUICIO ABREVIADO - EFECTIVA - EN AUDIENCIA MULTIPROPOSITO -ACUMULADA GAR 186916/23</t>
  </si>
  <si>
    <t>_</t>
  </si>
  <si>
    <r>
      <t>PRESO</t>
    </r>
    <r>
      <rPr>
        <sz val="10"/>
        <rFont val="Arial"/>
        <family val="2"/>
      </rPr>
      <t xml:space="preserve"> CHIAPPERO, JORGE DANIEL - CUELLAR, VITORIA D ELOS ANGELES - AVALOS HECTOR RUBEN - LOPEZ GASTON ALBERTO - VELIZ FEDERICO SIMON - BUYO, EMILIANO ADRIAN - LOPEZ FRANCO EMILIO - PEREYRA VIVIANA BELEN por robo calificado por ser cometido en poblado y en banda</t>
    </r>
  </si>
  <si>
    <t>DEVUELTAS AL JUZGADO DE ORIGEN</t>
  </si>
  <si>
    <t>DEVOLUCION DE EXPTE A GTIAS 6 el 02/02/24</t>
  </si>
  <si>
    <t>Abril</t>
  </si>
  <si>
    <t>Total</t>
  </si>
  <si>
    <t>Querellante: Dra. Nataia del Carmen Alanis en representacion de Betiana Cañizares</t>
  </si>
  <si>
    <t>Dr. Humberto Alejandro Vazquez MP 1213</t>
  </si>
  <si>
    <r>
      <rPr>
        <b/>
        <sz val="10"/>
        <rFont val="Arial"/>
        <family val="2"/>
      </rPr>
      <t>ELEVADA A JUICIO</t>
    </r>
    <r>
      <rPr>
        <sz val="10"/>
        <rFont val="Arial"/>
        <family val="2"/>
      </rPr>
      <t xml:space="preserve"> - lo paso al Audiencista el 29/02/2024 - netif 04/03/2024</t>
    </r>
  </si>
  <si>
    <t>EL EXPEDIENTE NUNCA LLEGO. GARANTIAS 7 LO REMITIO A SALA III DE JUICIO QUIENES REALIZARON UN ABREVIADO EN FECHA 22/03/2024</t>
  </si>
  <si>
    <t xml:space="preserve">A LA Dra. Volante el dia 10/04/2024 para causa </t>
  </si>
  <si>
    <t>189477/24</t>
  </si>
  <si>
    <t>MANSILLA Xavier Agustin por ROBO DOBLEMENTE AGRAVADO POR SUSTRAER VEHÍCUO DEJADO EN LA VIA PUBLICA y POR LA PARTICIPACION DE UN MERNO y a CAMPOS Lucas Gabriel (17) por ROBO AGRAVADAO POR SUSTRAER VEHICULO DEJADO EN LA VIA PUBLICA en perj. De MORENO Gabriel</t>
  </si>
  <si>
    <t>185061/23</t>
  </si>
  <si>
    <t>187863/23</t>
  </si>
  <si>
    <t>PEREZ Franco Hugo Ernesto por LESIONES LEVES en perj. De HERRERA Tania Emilce</t>
  </si>
  <si>
    <t>174503/21</t>
  </si>
  <si>
    <t>TORRES Ruben Alejandro por TURBACIN DE LA TENENCIA en perj. De JEREZ Cristian Andres</t>
  </si>
  <si>
    <t>145940/17</t>
  </si>
  <si>
    <t>MAMANI AGUILAR Angel por ABUSO SEXUAL CON ACCESO CARNAL en CONCURSO REAL con HURTO en perj. De MVO (15)</t>
  </si>
  <si>
    <t>EN ARMARIO - CON LEGAJO 10/04/2024</t>
  </si>
  <si>
    <t>EN ARMARIO 10/04/2024</t>
  </si>
  <si>
    <t>LUCIANO MORALES por HURTO SIMPLE en perj. De ADOLFO QUIPILDOR - ACUM 183586/23</t>
  </si>
  <si>
    <t>188548/24</t>
  </si>
  <si>
    <t>MOLINA Angel por ROBO SIMPLE y ROBO SIMPLE todo en concurso Real en perj. De ALMIRON FIGUEROA Facundo y Lopez Cintia Paola</t>
  </si>
  <si>
    <t>EN ARMARIO - CON LEGAJO FISCAL ---  Qurellante: Dr. Isidoro Ruben Figueroa MP 7067</t>
  </si>
  <si>
    <t>179683/22</t>
  </si>
  <si>
    <t>TERCERO Matias Benjamin por Desobediencia Judicial en perj. De LIMA Brisa Micaela</t>
  </si>
  <si>
    <t>vuelve del Fiscal, se lo paso al audiencista el 10/04/2024</t>
  </si>
  <si>
    <t>171698/21</t>
  </si>
  <si>
    <t>CORIMAYO Edgardo Paulo por AMENAZAS (dos hechos) en perj. De FERNANDEZ Claudia Maribel</t>
  </si>
  <si>
    <t>MONTEROS PABLO EXEQUIEL POR DESOBEDIENCIA JUDICIAL</t>
  </si>
  <si>
    <t>187306/23</t>
  </si>
  <si>
    <r>
      <t>PRESO</t>
    </r>
    <r>
      <rPr>
        <sz val="10"/>
        <rFont val="Arial"/>
        <family val="2"/>
      </rPr>
      <t xml:space="preserve"> LAMAS Cristian Daniel por LESIONES LEVES AGRAVADA POR LA RELACION DE PAREJA PREEXISTENTE Y POR CONSTITUTIR VIOLENCIA DE GENERO - PRIVACION ILEGITIMA DE LA LIBERTAD TODO EN CONCURSO REAL PRIVACION ILEGITIMA DE LA LIBERTAD AGRAVADA en perj. De ZAGARRA Catherian Victoria Elizabeth</t>
    </r>
  </si>
  <si>
    <t>se lo paso al Audiencista en fecha 11/04/2024 - junto con el Legajo Fiscal</t>
  </si>
  <si>
    <t>189270/24</t>
  </si>
  <si>
    <t>FIGUEROA Jesus Ramon por ROBO SIMPLE y HURTO SIMPLE en perj. De Feraud Lourdes Elisabeth</t>
  </si>
  <si>
    <t>178697/22</t>
  </si>
  <si>
    <t>GONZALEZ Andres Maximiliano por LESIONES DOBLEMENTE AGRAVADAS POR LA RELACION DE PAREJA PREEXISTENTE Y POR EL GENERO - AMENAZAS Y DESOBEDIENCIA JUDICIAL EN CONCURSO REAL en perj. De LOPEZ Daniela Soledad</t>
  </si>
  <si>
    <t>188327/23</t>
  </si>
  <si>
    <t>CANEPA CIRER Sebastian por VIOLACION DE DOMICILIO - LESIONES LEVES AGRAVADAS POR LA RELACION DE PAREJA PREVIA Y POR EL GENERO - COACCION Y ROBO EN CONCURSO REAL en perj. De CORREA Cecilia Lilian</t>
  </si>
  <si>
    <t>177480/22</t>
  </si>
  <si>
    <t>PARADA PEREZ Joaquin por TENENCIA DE ESTUPEFACIENTE CON FINES DE COMERCIALIZACION</t>
  </si>
  <si>
    <r>
      <rPr>
        <b/>
        <sz val="10"/>
        <rFont val="Arial"/>
        <family val="2"/>
      </rPr>
      <t>ELEVADA A JUICIO</t>
    </r>
    <r>
      <rPr>
        <sz val="10"/>
        <rFont val="Arial"/>
        <family val="2"/>
      </rPr>
      <t xml:space="preserve"> -- devuelta a GAR 3 EN FECHA 13/03/2024</t>
    </r>
  </si>
  <si>
    <r>
      <rPr>
        <b/>
        <sz val="10"/>
        <rFont val="Arial"/>
        <family val="2"/>
      </rPr>
      <t>ELEVADA A JUICIO</t>
    </r>
    <r>
      <rPr>
        <sz val="10"/>
        <rFont val="Arial"/>
        <family val="2"/>
      </rPr>
      <t xml:space="preserve"> ----EN TRAMITE ART. 435 C.P.P. -C/ ELEVACON EN BORRADOR</t>
    </r>
  </si>
  <si>
    <r>
      <rPr>
        <b/>
        <sz val="10"/>
        <rFont val="Arial"/>
        <family val="2"/>
      </rPr>
      <t>DEVUELTA EN FECHA 11/04/2024</t>
    </r>
    <r>
      <rPr>
        <sz val="10"/>
        <rFont val="Arial"/>
        <family val="2"/>
      </rPr>
      <t xml:space="preserve"> ----   ENVIADA A GAR 4 EL 11/03/2024- rve 07/03/2024</t>
    </r>
  </si>
  <si>
    <t>FECHA DEL REQ. A JUICIO</t>
  </si>
  <si>
    <t xml:space="preserve">DEVUELTA A GAR 8 - LUEGO FUE CONDENADO POR SALA III DE JUICIO </t>
  </si>
  <si>
    <t>EN ARMARIO - CON LEGAJO 12/04/2024</t>
  </si>
  <si>
    <t>EN ARMARIO 12/04/2024</t>
  </si>
  <si>
    <t>Dr. Nestor Alejandro Sansone MP 7192</t>
  </si>
  <si>
    <t>189972/24</t>
  </si>
  <si>
    <t>COLQUE Jose Guillermo por LESIONES LEVES AGRAVADAS POR LA RELACION DE PAREJA Y POR VIOLENCIA DE GENERO - AMENAZAS - PRIVACION ILEGITIMA DE LA LIBERTAD AGRAVADA POR EL USO DE VIOLENCIA Y COACCION todo en CONCURSO REAL y DESOBEDIENCIA JUDICIAL en perj. De CONDE Paola Marcela</t>
  </si>
  <si>
    <r>
      <rPr>
        <b/>
        <sz val="10"/>
        <rFont val="Arial"/>
        <family val="2"/>
      </rPr>
      <t>ELEVADA A JUICIO</t>
    </r>
    <r>
      <rPr>
        <sz val="10"/>
        <rFont val="Arial"/>
        <family val="2"/>
      </rPr>
      <t xml:space="preserve">             - (MOVIIMIENTO VIEJO DEVUELTO AL JUZGADO DE GARANTIAS 4º CON RECURSO DE APELACION)</t>
    </r>
  </si>
  <si>
    <t>Dra. Lamas / Soto</t>
  </si>
  <si>
    <r>
      <rPr>
        <b/>
        <sz val="10"/>
        <rFont val="Arial"/>
        <family val="2"/>
      </rPr>
      <t>ELEVADA A JUICIO          EN TRAMITE</t>
    </r>
    <r>
      <rPr>
        <sz val="10"/>
        <rFont val="Arial"/>
        <family val="2"/>
      </rPr>
      <t xml:space="preserve"> - Querell: Dra. Liza Medrano - Asesoria Inc 10  Guadalupe Salatin</t>
    </r>
  </si>
  <si>
    <t>ELEVACION A JUICIO- 04/04/2024</t>
  </si>
  <si>
    <r>
      <rPr>
        <b/>
        <sz val="10"/>
        <rFont val="Arial"/>
        <family val="2"/>
      </rPr>
      <t>ELEVADA A JUICIO</t>
    </r>
    <r>
      <rPr>
        <sz val="10"/>
        <rFont val="Arial"/>
        <family val="2"/>
      </rPr>
      <t xml:space="preserve">            se lo paso al Audiencista el 14/03/2024 - EL EXPEDIENTE NO VINO CON EL LEGAJO </t>
    </r>
  </si>
  <si>
    <r>
      <rPr>
        <b/>
        <sz val="10"/>
        <rFont val="Arial"/>
        <family val="2"/>
      </rPr>
      <t xml:space="preserve">ELEVADA A JUICIO            </t>
    </r>
    <r>
      <rPr>
        <sz val="10"/>
        <rFont val="Arial"/>
        <family val="2"/>
      </rPr>
      <t>A LA AUDIENCIAS EL 22/03/2024 POR LA TARDE</t>
    </r>
  </si>
  <si>
    <t>ABREVIADO: PEÑA UN AÑO Y DOS MESES EFECTIVA Y PARA BARBOZA CUATRO MESES CONDICIONAL</t>
  </si>
  <si>
    <r>
      <t>PRESO</t>
    </r>
    <r>
      <rPr>
        <sz val="10"/>
        <rFont val="Arial"/>
        <family val="2"/>
      </rPr>
      <t xml:space="preserve"> BARBOZA Samuel Maximiliano y PEÑA Maximiliano Juan Jose por ROBO SIMPLE en perj de CASTILLA Blanco Laura Vanesa</t>
    </r>
  </si>
  <si>
    <t>GAR 4</t>
  </si>
  <si>
    <t>LÓPEZ RUIZ, ALBERTO JOSÉ  y PLAZA, MARIA ESTELA por suscrippción engañosa de documentos y falsedad ideolófica en concurso ideal ACUM. 184008/23 (cuerdaFirme)</t>
  </si>
  <si>
    <t>Dr. Francisco Javier Latorre MP 2589 y Dr. Victor Javier Sosa MP 2365</t>
  </si>
  <si>
    <t>a la Audiencias en fecha 15/04/2024  ---  Querellante: Dr. Jose Mairia Guaimas</t>
  </si>
  <si>
    <r>
      <t xml:space="preserve">EXPEDIENTE REMITIDO CON LEGAJO AL JUZG DE GARANTIAS 3º NOM. - </t>
    </r>
    <r>
      <rPr>
        <b/>
        <sz val="10"/>
        <rFont val="Arial"/>
        <family val="2"/>
      </rPr>
      <t xml:space="preserve">EN FECHA 12/04/2024 REINGRESAN </t>
    </r>
    <r>
      <rPr>
        <sz val="10"/>
        <rFont val="Arial"/>
        <family val="2"/>
      </rPr>
      <t>LAS ACTUACIONES A OFIJU Y EN FECHA 15/04/2024 SE LO PASO ALA ENCARGADA DE LA CAUSA</t>
    </r>
  </si>
  <si>
    <t>185533/24</t>
  </si>
  <si>
    <r>
      <t>PRESO</t>
    </r>
    <r>
      <rPr>
        <sz val="10"/>
        <rFont val="Arial"/>
        <family val="2"/>
      </rPr>
      <t xml:space="preserve"> ACUTACIONES COMPLEMENTARIAS DEL GAR 185533/23 QUE YA FUE ELEVADO A JUICIO ----  </t>
    </r>
    <r>
      <rPr>
        <b/>
        <sz val="10"/>
        <rFont val="Arial"/>
        <family val="2"/>
      </rPr>
      <t>PRESO</t>
    </r>
    <r>
      <rPr>
        <sz val="10"/>
        <rFont val="Arial"/>
        <family val="2"/>
      </rPr>
      <t xml:space="preserve"> RODRIGUEZ Leandro Nicolas por ROBO AGRAVADAO POR EL USO DE ARMA EN GRADO DE TTVA. Y AMENAZAS CON ARMA  - EN CONCURSO REAL en perj. SABRINA VERONICA MARTINEZ</t>
    </r>
  </si>
  <si>
    <t>188649/24</t>
  </si>
  <si>
    <r>
      <rPr>
        <b/>
        <sz val="10"/>
        <rFont val="Arial"/>
        <family val="2"/>
      </rPr>
      <t>DEVUELTA AL JUZGADO DE ORIGEN</t>
    </r>
    <r>
      <rPr>
        <sz val="10"/>
        <rFont val="Arial"/>
        <family val="2"/>
      </rPr>
      <t xml:space="preserve"> A LA AUDIENCISTA EL 08/04/2024 - EN FECHA 15/04/2024 SE REMITE EN DEVOLUCION AL JUZGADO DE ORIGEN -GAR 8-  POR NO ENCUADRAR LA PRESENTE CAUSA EN LAS PREVISIONES DEL LA ACORDADA 13847/23.</t>
    </r>
  </si>
  <si>
    <r>
      <t>EN TRAMITE -- ¿</t>
    </r>
    <r>
      <rPr>
        <sz val="10"/>
        <rFont val="Arial"/>
        <family val="2"/>
      </rPr>
      <t xml:space="preserve">SOBRESEIDO?  </t>
    </r>
    <r>
      <rPr>
        <b/>
        <sz val="10"/>
        <rFont val="Arial"/>
        <family val="2"/>
      </rPr>
      <t xml:space="preserve">                      </t>
    </r>
    <r>
      <rPr>
        <sz val="10"/>
        <rFont val="Arial"/>
        <family val="2"/>
      </rPr>
      <t>-- CO DEFENSOR SOTO, CRISTIAN (ES IMPUTADO TAMBIEN) c/ leg de inv. Original Nº190/22</t>
    </r>
  </si>
  <si>
    <t>lo paso a la encargada en fecha 15/04/2024 - CON LEGAJO</t>
  </si>
  <si>
    <r>
      <t>PRESO</t>
    </r>
    <r>
      <rPr>
        <sz val="10"/>
        <rFont val="Arial"/>
        <family val="2"/>
      </rPr>
      <t xml:space="preserve"> CASTILLO Sergio Facundo por LESIONES AGRAVADAS POR EL CONCURSO PREMEDITADO DE DOS O MAS PERSONAS - ROBO SIMPLE - ROBO AGRAVADO POR EL USO DE ARAM Y ROBO AGRAVAD POR EL USO DE ARMA EN GRADO DE TTVA Y DAÑOS - VIOLACION DE DOMICILIO Y AMENAZAS TODO EN CONCURSO REAL Y EN CONTRA DE ACOSTA Lorena Elizabeth POR DAÑOS - VIOLACION DE DOMICILIO </t>
    </r>
  </si>
  <si>
    <t>Dr. PARADA</t>
  </si>
  <si>
    <t>DR. LORENZETTI</t>
  </si>
  <si>
    <t>DRA. IRAZUSTA</t>
  </si>
  <si>
    <t>DRA. LAMAS</t>
  </si>
  <si>
    <t>DISTRIBUCION EXP CON PRESO INGRESADOS EN ACUSACION</t>
  </si>
  <si>
    <t>Dr. Vicente Federico Vercellino MP 5839</t>
  </si>
  <si>
    <t>al encarcado en fecha 15/04/2024</t>
  </si>
  <si>
    <t>149157/18</t>
  </si>
  <si>
    <t>NOLASCO Marcelo Gavino por ABUSO SEXUAL SIMPLE AGRAVAD POR LA GUARDA Y POR SER COMETIDO CONTRA UN MERNO DE 18 AÑOS APROVECHANDO LA SITUACION DE CONVIVENCIA PREEXISTENTE en perj. De GDC</t>
  </si>
  <si>
    <t xml:space="preserve"> 12:17</t>
  </si>
  <si>
    <t>184065/23</t>
  </si>
  <si>
    <t xml:space="preserve"> 10:39</t>
  </si>
  <si>
    <t>188463/24</t>
  </si>
  <si>
    <t>185533/23</t>
  </si>
  <si>
    <t xml:space="preserve"> 08:08</t>
  </si>
  <si>
    <t>182901/23</t>
  </si>
  <si>
    <t>ABRACAITE Gabriela Gisel por HURTO CALIFICADO POR VEHICULO DEJADO EN LA VIA PUBLICA en perj. De Alberto Federico SORUCO</t>
  </si>
  <si>
    <t>189573/24</t>
  </si>
  <si>
    <t>DENIS SANCHEZ HOGNADEL por LESIONES LEVES Y LESIONES LEVES Y DAÑOS EN CONCURSO IDEAL - TODO EN CONCURSO REAL EN PERJ. DE JOSE DANIEL CORDOBA Y DIEGO MATIAS NARVAEZ</t>
  </si>
  <si>
    <t>184452/23</t>
  </si>
  <si>
    <t>BENITO PAZA por LESIONES LEVES AGRAVDAS POR LA RELACION PREEXISTENTE de PAREJA en perj. De MARIA EUGENIA NAVARRO</t>
  </si>
  <si>
    <t>173488/21</t>
  </si>
  <si>
    <t xml:space="preserve">ARANCIBIA Pablo ABUSO SEXUAL SIMPLE CONTINUADO AGRAVADO POR SER EL IMPUTADO ENCARGADO DE LA EDUCACION Y LA GUARDA en perj. De AEDF - RNL - SG - LMP y RBG EN CONCURSO REAL </t>
  </si>
  <si>
    <r>
      <t>PRESO</t>
    </r>
    <r>
      <rPr>
        <sz val="10"/>
        <rFont val="Arial"/>
        <family val="2"/>
      </rPr>
      <t xml:space="preserve"> GONZA Jorge Nicolas por LESIONES LEVESA AGRAVADAS POR LA RELACION DE PAREJA PREVIA Y POR EL GENERO - DESOBEDIENCIA JUDICIAL Y COACCION (5 hechos) en perj. De BRENDA AYELEN OYARZU</t>
    </r>
  </si>
  <si>
    <r>
      <t xml:space="preserve">Expediente actualmente en PRISION PREVENTIVA LO TIENE LA DRA. VILLAMAYOR CON FECHA DE AUDIENCIA  </t>
    </r>
    <r>
      <rPr>
        <b/>
        <sz val="10"/>
        <rFont val="Arial"/>
        <family val="2"/>
      </rPr>
      <t>24/04/2024</t>
    </r>
    <r>
      <rPr>
        <sz val="10"/>
        <rFont val="Arial"/>
        <family val="2"/>
      </rPr>
      <t xml:space="preserve"> --  paso en fecha 15/04/2024 solamente el Req a Juicio al Encargado</t>
    </r>
  </si>
  <si>
    <t>173406/21</t>
  </si>
  <si>
    <t>181587/22</t>
  </si>
  <si>
    <t>GRANDE DURAND Martin Federico por DESOBEDIENCIA JUDICIAL en perj. De la Dra. Veronica Simesen de Bielke</t>
  </si>
  <si>
    <t>185619/23</t>
  </si>
  <si>
    <t>DOMINGUEZ Ezequiel Gilberto por ABUSO SEXUAL SIMPLE CONTINUADO y ABUSO SEXUAL CON ACCESO CARNAL EN CONCURSO REAL en perj. De ELVA MARIA DEL MILAGRO MALDONADO</t>
  </si>
  <si>
    <t>Dr. Dolores Parra Vega MP 5172</t>
  </si>
  <si>
    <t>se lo paso al audiencista el fecha 16/04/2024</t>
  </si>
  <si>
    <t>en fecha 16/04/2024 se lo paso a la encarcada</t>
  </si>
  <si>
    <t>en fecha 15/04/2024 se lo paso a la Encargada</t>
  </si>
  <si>
    <t>Querellante: Dres. Hernan Facundo Paz y Gustavo Ruiz Piazza MP 5754</t>
  </si>
  <si>
    <t>177832/22</t>
  </si>
  <si>
    <t>ROJAS Rolando Rufino por COACCION - AMENAZAS en perj. De FLORES Juana Patricia</t>
  </si>
  <si>
    <t>187276/23</t>
  </si>
  <si>
    <t>PALACIOS Terese Ramona por AMENAZAS en perj. De PALACIOS Susana Enriqueta</t>
  </si>
  <si>
    <t>en fecha 16/04/2024 se lo paso al Audiencista</t>
  </si>
  <si>
    <t>Dr. Humberto Cesar Oliver MP 1993</t>
  </si>
  <si>
    <t>Dr. Guillermo Miguel Nasser Abdo MP 2560</t>
  </si>
  <si>
    <t>en fecha 16/04/2024 se lo paso al audiencista</t>
  </si>
  <si>
    <r>
      <t>PRESO</t>
    </r>
    <r>
      <rPr>
        <sz val="10"/>
        <rFont val="Arial"/>
        <family val="2"/>
      </rPr>
      <t xml:space="preserve"> CHILO Gabriel Fernando por ABUSO SEXUAL CON ACCESO CARNAL CONTINUADO Y AGRAVAD POR LA GUARDA Y LA CONVIVENCIA PREEXISTENTE CON UNA MENOR DE 18 AÑOS y ABUSO SEXUAL GRAVEMENTE ULTRAJANTE POR LA DURACION EN EL TIEMPO AGRAVAD POR LA GUARDA Y LA CONVIVENCIA PREEXISTENTE CON UNA MENOR DE 18 AÑOS en perj. de Patricia de Los Angeles Ortega</t>
    </r>
  </si>
  <si>
    <t>Asesora de Incapaces 8 - Dra. Mariana Laconi - en fecha 16/04/2024 se lo paso al audiencista</t>
  </si>
  <si>
    <t>RESUELTA EN ETAPA de Preventiva SE LA INCLUYO EN LA CAUSA GAR 189556/24 - Abreviado 1 AÑO Y 2 MESES meses Efectiva</t>
  </si>
  <si>
    <t xml:space="preserve"> 13:12</t>
  </si>
  <si>
    <t xml:space="preserve"> 11:09</t>
  </si>
  <si>
    <t xml:space="preserve"> 10:57</t>
  </si>
  <si>
    <t xml:space="preserve"> 12:12</t>
  </si>
  <si>
    <t xml:space="preserve"> 11:54</t>
  </si>
  <si>
    <t xml:space="preserve"> 13:15</t>
  </si>
  <si>
    <t xml:space="preserve"> 12:11</t>
  </si>
  <si>
    <t xml:space="preserve"> 10:53</t>
  </si>
  <si>
    <t xml:space="preserve"> 11:34</t>
  </si>
  <si>
    <t xml:space="preserve"> 12:52</t>
  </si>
  <si>
    <t xml:space="preserve"> 09:15</t>
  </si>
  <si>
    <t xml:space="preserve"> 09:04</t>
  </si>
  <si>
    <t xml:space="preserve"> 12:31</t>
  </si>
  <si>
    <t xml:space="preserve"> 10:16</t>
  </si>
  <si>
    <t xml:space="preserve"> 11:41</t>
  </si>
  <si>
    <t xml:space="preserve"> 15:10</t>
  </si>
  <si>
    <t xml:space="preserve"> 12:06</t>
  </si>
  <si>
    <t xml:space="preserve"> 10:42</t>
  </si>
  <si>
    <t>DEL VALLE Jose Agustin por LESIONES LEVES AGRAVADAS POR LA RELACION DE PAREJA Y POR EL GENERO (DOS HECHOS) Y DESOBEDIENCIA JUDICIAL EN CONCURSO REAL EN PERJ. DE CONDORI Mariela Eliazabeth</t>
  </si>
  <si>
    <t>186719/23</t>
  </si>
  <si>
    <t>182636/23</t>
  </si>
  <si>
    <t>RIVADENEIRA Atilio Gaston por HURTO CALIFICADO POR ESCALAMIENTO EN GRADO DE TTVA en perj. De Marisel Ximena Quiroga</t>
  </si>
  <si>
    <t>en fecha 17/04/2024 se lo paso al Audiencista</t>
  </si>
  <si>
    <t xml:space="preserve"> 11:49</t>
  </si>
  <si>
    <t>189750/24</t>
  </si>
  <si>
    <t>TAYAGUI Lucas Ismael por LESIONES LEVES AGRAVADAS POR LA RELACION DE PAREJA Y POR EL GENERO - AMENAZAS Y PRIVACION ILEGITIMA DE LA LIBERTAD AGRAVADA TODO EN CONCURSO REAL en perj. De PELOC SABRINA MARIEL</t>
  </si>
  <si>
    <t>en fecha 17/04/2024 se lo paso al Audiencista con LEGAJO FISCAL</t>
  </si>
  <si>
    <r>
      <t>PRESO</t>
    </r>
    <r>
      <rPr>
        <sz val="10"/>
        <rFont val="Arial"/>
        <family val="2"/>
      </rPr>
      <t xml:space="preserve"> CHOQUE Claudio Facundo Miguel por ABUSO SEXUAL CON ACCESO CARNAL en pejr. De ESPINOZA Emilse</t>
    </r>
  </si>
  <si>
    <r>
      <rPr>
        <b/>
        <sz val="10"/>
        <rFont val="Arial"/>
        <family val="2"/>
      </rPr>
      <t xml:space="preserve">SE DEVUELVE AL JUZGADO DE ORIGEN PARA DESGLOCE DE ACT </t>
    </r>
    <r>
      <rPr>
        <sz val="10"/>
        <rFont val="Arial"/>
        <family val="2"/>
      </rPr>
      <t>Querellante: Dr. CREAR Juan Manuel - EN ARMARIO</t>
    </r>
  </si>
  <si>
    <r>
      <t xml:space="preserve">Se encuentra en etapa de Prision Preventiva Dra. Vera Volente Aud </t>
    </r>
    <r>
      <rPr>
        <b/>
        <sz val="10"/>
        <rFont val="Arial"/>
        <family val="2"/>
      </rPr>
      <t>25/04/2024</t>
    </r>
  </si>
  <si>
    <t>RESUELTA EN AUD. MULT. ETAPA PREV.</t>
  </si>
  <si>
    <t xml:space="preserve"> 08:32</t>
  </si>
  <si>
    <t>184869/23</t>
  </si>
  <si>
    <t>LOPEZ Jorge Andres por LESIONES LEVES AGRAVADAS POR EL GENERO Y LA RELACION DE PAREJA Y AMENAZAS EN CONCURSO REAL en perj. De CARDOZO ROSA FERNANDA</t>
  </si>
  <si>
    <t>QUERELLA DR. ROBERTO TOMAS BARRIONUEVO MP 6317 - EN FECHA 17/04/2024 LO SACO DEL ARMARIO Y LO PASO AL AUDIENCISTA</t>
  </si>
  <si>
    <t>CON LEGAJO FISCAL - EN ARMARIO 05/03/2024 - EN FECHA 17/04/2024 LO SACO DEL ARMARIO Y LO PASO AL AUDIENCISTA</t>
  </si>
  <si>
    <t>EN ARMARIO 09/04/2024 - EN FECHA 17/04/2024 LO SACO DEL ARMARIO Y SE LO PASO AL AUDIENCISTA</t>
  </si>
  <si>
    <t>168354/20</t>
  </si>
  <si>
    <t>ALBERTO Tania Janette por USURPACION en perj. De COSTILLA Maria Julia</t>
  </si>
  <si>
    <t>185407/24</t>
  </si>
  <si>
    <t>RIOS SALTOS Cristian Gabriel por ABUSO SEXUAL SIMPLE (DOS HECHOS) EN CONCURSO REAL CON LESIONES en perj. De Santiago Marcelo Gutierrez Torres</t>
  </si>
  <si>
    <t>132124/16</t>
  </si>
  <si>
    <t>190051/24</t>
  </si>
  <si>
    <t>PAZ Alejandro Jose por LESIONES AGRAVDAS POR LA RELACION PREEXISTENTE Y POR CONSTITUIR VIOLENCIA DE GENERO - AMENAZAS CON ARMA en perj. De VARGAS Silvina Soledad</t>
  </si>
  <si>
    <t>185886/23</t>
  </si>
  <si>
    <t>176736/22</t>
  </si>
  <si>
    <t>MEJIAS Marcos Osvaldo por LESIONES LEVES AGRAVADAS POR LA RELACION DE PAREJA PRE-EXISTENTE Y POR MEDIAR VIOLENCIA DE GENERO en perj. De ALARCON Veronica Isabel</t>
  </si>
  <si>
    <t>185439/23</t>
  </si>
  <si>
    <t>TOLABA Figueroa Jose Manuel pr LESIONES LEVES AGRAVADAS POR LA RELACION DE PAREJA PRE-EXISTENTE Y POR MEDIAR VIOLENCIA DE GENERO Y DESOBEDIENCIA JUDICIAL EN CONCURSO REAL en perj. De LLAMPA Gisel Jennifer</t>
  </si>
  <si>
    <r>
      <rPr>
        <b/>
        <sz val="10"/>
        <rFont val="Arial"/>
        <family val="2"/>
      </rPr>
      <t>ELEVADA A JUICIO</t>
    </r>
    <r>
      <rPr>
        <sz val="10"/>
        <rFont val="Arial"/>
        <family val="2"/>
      </rPr>
      <t xml:space="preserve">          en fecha 16/04/2024 se lo paso al audiencista (Pablo Lorenzetti)</t>
    </r>
  </si>
  <si>
    <t>17/04/2024 SE REMITE CON PROYETO AL juzgado de origen</t>
  </si>
  <si>
    <t>CON PROYECTO DE ELEVACION AL JUZGADO DE ORIGEN</t>
  </si>
  <si>
    <t>LUCAS Carlos Omar por LESIONES LEVES AGRAVDAS POR EL GENERO Y LA RELACION DE PAREJA EN PERJ. DE ESCUDERO Angela Roberta</t>
  </si>
  <si>
    <t>169861/21</t>
  </si>
  <si>
    <t>CASTELLANOS Cristian Hernan por ABUSO SEXUAL CON ACCESO CARNAL (DOS HECHOS) Y ABUSO SEXUAL SIMPEL TODO EN CONCURSO REAL en perj. De Valentina Maria Lujan</t>
  </si>
  <si>
    <t>178027/22</t>
  </si>
  <si>
    <t>BALDERRAMA Hector por AMENAZAS en perj. SAJAMA JOHANA</t>
  </si>
  <si>
    <t>DEVUELTA DEL PRYECTO</t>
  </si>
  <si>
    <t>REMITIDA PROYECTO ELEVACION</t>
  </si>
  <si>
    <t>188045/23</t>
  </si>
  <si>
    <t>180986/22</t>
  </si>
  <si>
    <t>FP VFyG 2 - Dra. Monica Araceli Viazzi</t>
  </si>
  <si>
    <t>Ante: Dra. Soderco 01/04/2024</t>
  </si>
  <si>
    <t>DEVUELTA AL JUZGADO DE GARANTIAS 1º NOMINACION POR NO ENCONTRARSE DENTRO DE LAS PREVISIONES DE ACORDADA 13991 - EN FECHA 17/04/2024 REINGRESAN LAS ACTUACIONES Y EN FECHA 18/04/2024 SE LO PASO AL AUDIENCIASTA CRISTIAN PARADA CON AUD. FLEX Y MUL PP</t>
  </si>
  <si>
    <r>
      <t>PRESO</t>
    </r>
    <r>
      <rPr>
        <sz val="10"/>
        <rFont val="Arial"/>
        <family val="2"/>
      </rPr>
      <t xml:space="preserve"> AGUAYO FLORES Javier Nicolas por LESIONES LEVES AGRAVADAS POR LA RELACION DE PAREJA PREVIA Y POR EL GENERO -  VIOLACION DE DOMICILIO - LESIONES LEVES AGRAVADAS POR LA RELACION DE PAREJA PREVIA Y POR EL GENERO - AMENAZAS  - DESOBEDIENCIA JUDICIAL Y RESITENCIA A LA AUTORIDAD EN CONCURSO REAL en perj.  de Guadalupe Maria Fernanda Condori - ACUM 188062/23 (PRESO)</t>
    </r>
  </si>
  <si>
    <t>Dr. Alvaro Arias Camacho</t>
  </si>
  <si>
    <t>Querellante: Sra. Condori con patrocinio de Dra. Ivana Mabel Soriano y Dr. Franco tolaba - EN FECHA 18/04/2024 SE LO PASO AL AUDIENCISTA</t>
  </si>
  <si>
    <t>En fecha 18/04/2024 se lo paso al Audiencista</t>
  </si>
  <si>
    <t xml:space="preserve"> 11:16</t>
  </si>
  <si>
    <t>188317/23</t>
  </si>
  <si>
    <t>OLIVERA Leandro Donato Alejandro por VIOLACION DE DOMICILIO Y HURTO EN GRADO DE TTVA en perj de ASTIGUETA Andrea Valeria</t>
  </si>
  <si>
    <t>en fecha 18/04/2024 se lo paso al Audiencista con LEGAJO FISCAL</t>
  </si>
  <si>
    <t>Querellante: Dr. Rodrigo Franco Anachuti - Pasa a audiencista el 03/04/24 ---  EN FECHA 17/04/2024 REIGRESAN LAS ACTUACIONES Y SE LO PASO A LA AUDIENCISTA</t>
  </si>
  <si>
    <t>en Fecha 18/04/2024 se lo paso al Audiencista</t>
  </si>
  <si>
    <t>TOLABA Matias Jesus por ROBO CALIFICADO POR COMETERSE CON ESCALAMIENTO Y ROBO SIMPLE en perj. De Gabriela del Valle Acevedo - ACUMULADAS 135307/16 (FLORES DARIOA EXEQUIEL POR ROBO CALIFICADO EN PERJ. DE ACEVEDO GABRIELA DEL VALLE)</t>
  </si>
  <si>
    <t>189356/24</t>
  </si>
  <si>
    <t>ROMERO Pablo Sebastian por LESIONES GRAVISIMAS OCACIONADAS POR LA CONDUCCION IMPRUDENTE EN PERJ. DE VALLE NATALIA DE LOS ANGELES</t>
  </si>
  <si>
    <r>
      <t>PRESO</t>
    </r>
    <r>
      <rPr>
        <sz val="10"/>
        <rFont val="Arial"/>
        <family val="2"/>
      </rPr>
      <t xml:space="preserve"> ALANCAY Sergio Jose por ROBO EN POBLADO Y EN BANDA en perj. De COITINIO Ignacio Sebastian</t>
    </r>
  </si>
  <si>
    <t xml:space="preserve"> 09:05</t>
  </si>
  <si>
    <t>188936/24</t>
  </si>
  <si>
    <t xml:space="preserve">GUANTAY Lujan por ATENTADO CONTRA LA AUTORIDAD </t>
  </si>
  <si>
    <t>153164/18</t>
  </si>
  <si>
    <t xml:space="preserve">BARROZO Ramos Nicolas Nahuel por ABUSO SEXUAL GRAVEMENTE ULTRAJANTE en perj. De </t>
  </si>
  <si>
    <t>Dr. Carlos Enzo Cuellar MP 1590</t>
  </si>
  <si>
    <t>en fecha 18/04/2024 se lo paso al Audiencista</t>
  </si>
  <si>
    <t>em Fecha 18/04/2024 se lo paso al Audiencista Querellante: Dra. Liza V Medrano Def. Oficil de Genero 2</t>
  </si>
  <si>
    <r>
      <rPr>
        <b/>
        <sz val="10"/>
        <rFont val="Arial"/>
        <family val="2"/>
      </rPr>
      <t xml:space="preserve">ELEVADO A JUICIO </t>
    </r>
    <r>
      <rPr>
        <sz val="10"/>
        <rFont val="Arial"/>
        <family val="2"/>
      </rPr>
      <t xml:space="preserve">             lo paso a la encargada en fecha 15/04/2024 - CON LEGAJO (AP 490/23)</t>
    </r>
  </si>
  <si>
    <r>
      <rPr>
        <b/>
        <sz val="10"/>
        <rFont val="Arial"/>
        <family val="2"/>
      </rPr>
      <t xml:space="preserve">ELEVADO A JUICIO              </t>
    </r>
    <r>
      <rPr>
        <sz val="10"/>
        <rFont val="Arial"/>
        <family val="2"/>
      </rPr>
      <t>A LA AUDIENCIAS EL 22/03/2024 POR LA TARDE</t>
    </r>
  </si>
  <si>
    <t>REMITIDA EL 18/04/2024 CON PROYECTO DE RESOLUCION AL JUEZ DE ORIGEN</t>
  </si>
  <si>
    <t>EN FECHA 17/04/2024 SE REMITE AL JUZ DE ORGIEN CON PROYECTO ELEVACION</t>
  </si>
  <si>
    <r>
      <t xml:space="preserve">REMTIDA AL JUZGADO DE ORIGEN CON PREYECTO DE ELEVACION -- Querellante: Dr. Cesar Chavez en representacion de Carlos Andres Daiz Flores - </t>
    </r>
    <r>
      <rPr>
        <b/>
        <sz val="10"/>
        <rFont val="Arial"/>
        <family val="2"/>
      </rPr>
      <t>ARMARIO 21/02/2024</t>
    </r>
  </si>
  <si>
    <t>EN FECHA 18/04/2024 SE DEVUELVE AL JUZGADO DE ORIGEN PARA RESOLVER CUESTIONES PREVIAS ------ Asesoria Nº 10. Sin Li. En armario 05/03/2024 - EN FECHA 18/04/2024 lo saco del Armario y se lo paso al Audiencista (Dr. Cristian Parada)</t>
  </si>
  <si>
    <r>
      <rPr>
        <b/>
        <sz val="10"/>
        <rFont val="Arial"/>
        <family val="2"/>
      </rPr>
      <t>EN FECHA 18/04/2024SE RESOLVIO JUICIO ABREVIADO EN LA CASUSA 188337</t>
    </r>
    <r>
      <rPr>
        <sz val="10"/>
        <rFont val="Arial"/>
        <family val="2"/>
      </rPr>
      <t xml:space="preserve"> ---EN ARMARIO - CON LEGAJO FISCAL</t>
    </r>
  </si>
  <si>
    <t>189783/24</t>
  </si>
  <si>
    <t>VILLADA Sergio Ernesto por ROBO - COACCION Y DESOBEDIENCIA JUDICIAL en perj. De GUANCA Ximena Yanina</t>
  </si>
  <si>
    <t>en fecha 19/04/2024 se la paso al Audiencista</t>
  </si>
  <si>
    <t>en fecha 19/04/2024 se la paso al Audiencista CON LEGAJO FISCAL</t>
  </si>
  <si>
    <t>188134/23</t>
  </si>
  <si>
    <t>GALINDO Schmidt Raul Ezequiel por ABUSO SEXUAL SIMPLE AGRAVADO POR EL VINCULO - LA CONVIVIENCIA Y LA GUARDA EN PERJ. DE GMI</t>
  </si>
  <si>
    <t>184083/23</t>
  </si>
  <si>
    <t>SALDAÑO Diego Marcelo por DESOBEDIENCIA JUDICIAL en perj. De SARAPURA Emily</t>
  </si>
  <si>
    <t>en fecha19/04/2024 se lo paso al audiencista para su analisis y comprension</t>
  </si>
  <si>
    <t xml:space="preserve"> 10:59</t>
  </si>
  <si>
    <t>183690/23</t>
  </si>
  <si>
    <t xml:space="preserve">LARA Juan Manuel por ABUSO SEXUAL SIMPLE en perj. De </t>
  </si>
  <si>
    <t>en fecha 19/04/2024 se lo paso al audiencista con LEGAJO FISCAL</t>
  </si>
  <si>
    <t>185604/23</t>
  </si>
  <si>
    <t xml:space="preserve">GUTIERREZ Ricardo Javier por RETENCION INDEBIDA </t>
  </si>
  <si>
    <t>Dr. Rodirigo Guerra MP 5498</t>
  </si>
  <si>
    <t>en fecha 19/04/2024 se lo paso al audienciasta - QUERELLANTE: Jorge D. Mirabella MP 1173</t>
  </si>
  <si>
    <t>181909/22</t>
  </si>
  <si>
    <t>ROYANO Luis Alvaro Nicolas por LESIONES GRAVISIMAS EN ACCIDENTE DE TRANSITO AGRAVADA POR LA CONDUCCION DE UN VEHICULO SIN HABILITACION en perj. De Fernando Lope</t>
  </si>
  <si>
    <t>ANIBAL ARGENTINO BAIZ por Abuso Simple y DESOBEDIENCIA JUDICIAL EN CONCURSO REAL</t>
  </si>
  <si>
    <t>158514/19</t>
  </si>
  <si>
    <t xml:space="preserve"> 11:31</t>
  </si>
  <si>
    <t>190101/24</t>
  </si>
  <si>
    <t>CARI Nicolas Osvaldo por LESIONES LEVES AGRAVDAS POR EL VINCULO en perj. De XLC y DESOBEDIENCIA JUDICIAL en perj. De la menor XLC y de la Sra. Constanza Giuliana Paola CABRERA</t>
  </si>
  <si>
    <t>Querella: Dr. Ortiz Dario Federicoen armario 04/03/2024 - En fecha 19/04/2024 lo saco del Armario y se lo paso al Audiencista Pablito Lorenzetti</t>
  </si>
  <si>
    <t>188038/23</t>
  </si>
  <si>
    <t>188077/23</t>
  </si>
  <si>
    <t>HUMACATA GODOY Jorge Andres por LESIONES LEVES AGRAVDAS POR LA RELACION DE PAREJA PREEXISTENTE Y POR MEDIAR VIOLENCIA DE GENERO EN PERJ. De Gladys Mendez</t>
  </si>
  <si>
    <t xml:space="preserve"> 10:03</t>
  </si>
  <si>
    <t>179872/22</t>
  </si>
  <si>
    <t>CESAR Emanuel Catan Campos por COACCION CON ARMA - AMENAZAS CON ARMA Y ROBO AGRAVADDO POR EL USO DE ARMA todo en CONCURSO REAL en perj. De Celeste Ayelen Jerez Mazza</t>
  </si>
  <si>
    <t xml:space="preserve"> 09:49</t>
  </si>
  <si>
    <t>185109/23</t>
  </si>
  <si>
    <t xml:space="preserve">SEGOVIA Alfredo Ruben DESOBEDIENCIA JUDICIAL en perj. De GERES Eduardo </t>
  </si>
  <si>
    <t>187684/23</t>
  </si>
  <si>
    <t>185469/23</t>
  </si>
  <si>
    <t>QUIROGA Luis Alberto por LESIONES LEVES AGRAVADAS POR LA RELACION PREEXISTENTE Y POR CONSTITUIR VIOLENCIA DE GENERO - DESOBEDIENCIA JUDICIAL  en perj. De CHAILE Rosana Carmen</t>
  </si>
  <si>
    <t>189740/24</t>
  </si>
  <si>
    <t>AGUIRRE Matias Emanuel y DIAS Fabricio Daniel por ROBO SIMPLE en perj. De CHOQUE Hector Fernando</t>
  </si>
  <si>
    <t>DEVUELTAS</t>
  </si>
  <si>
    <t xml:space="preserve">RESTAN </t>
  </si>
  <si>
    <t>en armario 08/04/2024 - EN FECHA 19/04/2024 VUELVE DE GARANTIAS 4 Y SE LO PASO AL DR. PABLO LORENZETTI</t>
  </si>
  <si>
    <t>TOTAL REMITIDAS O RESUELTAS</t>
  </si>
  <si>
    <t>TOTAL PRESO Y NO PRESOS</t>
  </si>
  <si>
    <t>188670/24</t>
  </si>
  <si>
    <t>En etapa de PP - con aud Flex y Mul 25/04/2024 Dra. Florencia Gonzalez - Le paso el requerieminto solo a la Dra. Lamas el 19/04/2024</t>
  </si>
  <si>
    <r>
      <rPr>
        <b/>
        <sz val="10"/>
        <rFont val="Arial"/>
        <family val="2"/>
      </rPr>
      <t xml:space="preserve">DEVUELTA AL JUZGADO DE ORIGEN (GAR 2) POR PEDIDO DEL DR. PASTRANA quien manifesto que fue no correspondia ser remitida a OFIJU </t>
    </r>
    <r>
      <rPr>
        <sz val="10"/>
        <rFont val="Arial"/>
        <family val="2"/>
      </rPr>
      <t>----  se lo paso al audiencista el 16/04/2024</t>
    </r>
  </si>
  <si>
    <r>
      <rPr>
        <b/>
        <sz val="10"/>
        <rFont val="Arial"/>
        <family val="2"/>
      </rPr>
      <t xml:space="preserve">ELEVADA A JUICIO  --  </t>
    </r>
    <r>
      <rPr>
        <sz val="10"/>
        <rFont val="Arial"/>
        <family val="2"/>
      </rPr>
      <t xml:space="preserve"> Pasa a Dra. Irazusta 08/04/2024 - Con Legajo 04/24 en sobre marron</t>
    </r>
  </si>
  <si>
    <t>G02-186434/24</t>
  </si>
  <si>
    <t>se lo paso al Audiencista el 19/04/2024</t>
  </si>
  <si>
    <r>
      <t>PRESO</t>
    </r>
    <r>
      <rPr>
        <sz val="10"/>
        <rFont val="Arial"/>
        <family val="2"/>
      </rPr>
      <t xml:space="preserve"> MIRANDA Rafael Alejandro por TENENCIA DE ESTUPEFACIENTE CON FINES DE COMERCIALIZACION</t>
    </r>
  </si>
  <si>
    <r>
      <t>PRESO</t>
    </r>
    <r>
      <rPr>
        <sz val="10"/>
        <rFont val="Arial"/>
        <family val="2"/>
      </rPr>
      <t xml:space="preserve"> ACTUACIONES COMPLEMENTARIAS (MIRANDA Rafael Alejandro por TENENCIA DE ESTUPEFACIENTE CON FINES DE COMERCIALIZACION)</t>
    </r>
  </si>
  <si>
    <t>en fecha 22/04/2024 se lo paso al Audiencista</t>
  </si>
  <si>
    <t>188961/24</t>
  </si>
  <si>
    <t>CORIA Elio Domingo por HURTO SIMPEL Y TENTATIVA DE HURTO SIMPLE en perj. De SAYUS MATIAS</t>
  </si>
  <si>
    <t>188096/23</t>
  </si>
  <si>
    <t>AGUIRREZ Matias Emanuel y REYNAGA Maximiliano Nahuel por ROBO SIMPLE en Grado de Ttva.  - den Agte. Vides Hernando</t>
  </si>
  <si>
    <t>188645/24</t>
  </si>
  <si>
    <t>LAZARTE Hector Gonzalo por Ttva de Robo Doblemente Calificado por Escalamiento y EFRECCION en perj. De la Esc. 4036 "Dr. Raul Cortaza"</t>
  </si>
  <si>
    <t>en fecha 22/04/2024 se lo paso al Audiencista con LEGAJO FISCAL</t>
  </si>
  <si>
    <r>
      <t>PRESO</t>
    </r>
    <r>
      <rPr>
        <sz val="10"/>
        <rFont val="Arial"/>
        <family val="2"/>
      </rPr>
      <t xml:space="preserve"> RUEDA Ezequiel Jose Antonio por ABUSO SEXUAL CON ACCESO CARNAL en perj. De IBAÑEZ Mayra Agostina Spoja</t>
    </r>
  </si>
  <si>
    <t xml:space="preserve"> 11/04/2024</t>
  </si>
  <si>
    <t xml:space="preserve"> 11:37</t>
  </si>
  <si>
    <t>178504/22</t>
  </si>
  <si>
    <t>FARFAN Manuel Agripin por LESIONES LEVES AGRAVADAS POR EL VINCULO y AMENAZAS todo en CONCURSO REAL en perj. De CORONEL Victoria Serafina</t>
  </si>
  <si>
    <t>En fecha 04/04/2024 se presenta un nuevo Req. A Juicio por el imputado Torres el cual en fecha 18/04/2024 se resolvio CONDENA CONDICIONAL mediante Juicio Abreviado llevado a cabo en Audiencia Flex y Mul de preventiva.</t>
  </si>
  <si>
    <t>183334/23</t>
  </si>
  <si>
    <t>ZAMBARANO Mariela del Valle por AMENAZAS Y DESOBEDIENCIA JUDICIAL en perj. De SALVA Alberto</t>
  </si>
  <si>
    <t>179697/22</t>
  </si>
  <si>
    <r>
      <rPr>
        <b/>
        <sz val="10"/>
        <rFont val="Arial"/>
        <family val="2"/>
      </rPr>
      <t xml:space="preserve">ELEVADA A JUICIO          </t>
    </r>
    <r>
      <rPr>
        <sz val="10"/>
        <rFont val="Arial"/>
        <family val="2"/>
      </rPr>
      <t xml:space="preserve"> se encuentra con Elevacion a Juicio por otra imputada. Vasquez se encontraba rebelde.</t>
    </r>
  </si>
  <si>
    <r>
      <rPr>
        <b/>
        <sz val="10"/>
        <rFont val="Arial"/>
        <family val="2"/>
      </rPr>
      <t>EN TRAMITE</t>
    </r>
    <r>
      <rPr>
        <sz val="10"/>
        <rFont val="Arial"/>
        <family val="2"/>
      </rPr>
      <t xml:space="preserve"> </t>
    </r>
  </si>
  <si>
    <r>
      <t xml:space="preserve">QUERELLA Dra. Gloria M.G.cruz MP 5491-LEG Nº 25/21 - </t>
    </r>
    <r>
      <rPr>
        <b/>
        <sz val="10"/>
        <rFont val="Arial"/>
        <family val="2"/>
      </rPr>
      <t>EN TRAMITE</t>
    </r>
  </si>
  <si>
    <t>EN TRAMITE - LEG Nº 09/23- EN ARMARIO</t>
  </si>
  <si>
    <t>EN ARMARIO 28/02/2024 - YA EN TRAMITE</t>
  </si>
  <si>
    <t>EN ARMARIO - CON LEGAJO FISCAL - YA EN TRAMITE</t>
  </si>
  <si>
    <t>179681/22</t>
  </si>
  <si>
    <t>PEREA Yael por LESIONES LEVES - VIOLACION DE DOMICILIO en perj. De TORICIBIA ngelo Luciano</t>
  </si>
  <si>
    <t>171732/21</t>
  </si>
  <si>
    <t>MENDEZ Carlos Francisco por COACCION en perj. De LIMACHE Silvia Noemi</t>
  </si>
  <si>
    <t>EN TRAMITE -C/ RQTO- LEG (A.P.3777/20)</t>
  </si>
  <si>
    <t>EN TRAMITE - C/ RQTO</t>
  </si>
  <si>
    <t>EN TRAMITE C/ Leg</t>
  </si>
  <si>
    <t>EN TRAMITE - C/ Leg</t>
  </si>
  <si>
    <t>186886/23</t>
  </si>
  <si>
    <t>ECHAZU Juan Pablo por ROBO SIMPLE en perj. De GONZALEZ Jesus Rodrigo</t>
  </si>
  <si>
    <t>189498/24</t>
  </si>
  <si>
    <t>SIGLER Pedro Pablo por AMENAZAS en perj. De RODRIGUEZ Candelaria</t>
  </si>
  <si>
    <t>188266/23</t>
  </si>
  <si>
    <t>DELGADO Sergio Daniel por LESIONES AGRAVADAS POR LA RELACION DE PAREJA PREEXISTENTE Y POR MEDIAR VIOLENCIA DE GENERO en perj. De MARIA CRUZ</t>
  </si>
  <si>
    <t xml:space="preserve"> 10:56</t>
  </si>
  <si>
    <t>189934/24</t>
  </si>
  <si>
    <t xml:space="preserve">OLMOS Mario Alberto por AMENAZAS - COACCION Y DAÑOS todo en CONCURSO REAL ALFREDO LEONARDO OLMOS POR LOS DELITOS de Coaccion  - Daños y Desobediencia Judicial todo en CONCURSO REAL y PATRICIO ALFREDO ABAN por AMENAZAS CON ARMA </t>
  </si>
  <si>
    <t>SANTILLAN Franco Agustin por LESIONES GRAVISIMAS OCACIONADAS POR LA CONDUCCION IMPRUDENTE NEGLIGENTE o ANTIRREGLAMENTARIA de un VEHICULO  CON MOTOR AGRAVADO OPR SE MAS DE UNA LAS VICTIMAS Y POR CONENETERR EL IMPUTADO MAS DE UN GRAMO DE ALCOHOL POR LITRO DE SANGRE EN PERJ. DE DOMINGO ANTONIO ERAZO Y DINA VIÑABAL</t>
  </si>
  <si>
    <t>188516/24</t>
  </si>
  <si>
    <t>CARDOZO Luis Alberto por PRIVACION ILEGITIMA DE LA LIBERTAD - COACCION todo en CONCURSO REAL EN PERJ. DE TORRES DIAZ VERONICA</t>
  </si>
  <si>
    <t>PADOVANI Maximiliano por DAÑOS (dos hechos) en perj. De Rodriguez Elba Viviana</t>
  </si>
  <si>
    <t>189528/24</t>
  </si>
  <si>
    <t>188169/23</t>
  </si>
  <si>
    <t>CASERES MADARIAGA Ulises Joaquin por AMENAZAS Y ATENTADO A LA AUTORIDAD EN CONCURSO REAL en perj. De CHOCOBAR Ramon Omar</t>
  </si>
  <si>
    <t>En fecha 22/04/2024 se lo paso al audiencista</t>
  </si>
  <si>
    <r>
      <t>PRESO</t>
    </r>
    <r>
      <rPr>
        <sz val="10"/>
        <rFont val="Arial"/>
        <family val="2"/>
      </rPr>
      <t xml:space="preserve"> FARFAN GALLARDO Rodrigo Jose Maria por ROBO EN CONCURSO REAL CON ABUSO SEXUAL SIMPLE en perj. De Rocio del Milagro GUZMAN</t>
    </r>
  </si>
  <si>
    <t>en fecha 23/04/2024 al audiencista</t>
  </si>
  <si>
    <t>en fecha 23/04/2024 al audiencista con LEGAJO FISCAL</t>
  </si>
  <si>
    <t>en fecha 23/04/2024 se lo paso al Audiencista</t>
  </si>
  <si>
    <t>En fecha 23/04/2024 se lo paso al audiencista - CON LEGAJO FISCAL --  Defensora de ABAN: Dra. Liliana Carina Aquino</t>
  </si>
  <si>
    <t>en Fecha 23/04/2024 al Audiencista</t>
  </si>
  <si>
    <t>185684/23</t>
  </si>
  <si>
    <t>RUEDA Antonio Martin por HURTO CALIFICADO en perj. De MAMANI Oscar Julio</t>
  </si>
  <si>
    <t>189454/24</t>
  </si>
  <si>
    <t>LOPEZ Jesus Walter por LESIONES AGRAVADAS POR LA RELACION DE PAREJEA PREEXISTENTE y POR VIOLENCIA DE GENERO en perj. De CALVI MEDALIN Tamara</t>
  </si>
  <si>
    <t>189604/24</t>
  </si>
  <si>
    <t>CALCINA QUISPE Catherine Barbara por HURTO CALIFICADO (POR HACER USO DE LLAVE) EN PERJ. DE SORIA Maria Adriana</t>
  </si>
  <si>
    <t xml:space="preserve"> 10:26</t>
  </si>
  <si>
    <t>189522/24</t>
  </si>
  <si>
    <t xml:space="preserve">CRUZ AGUAYSOL Yazael Naim por DAÑOS en perj. De PUMA LLANOS Cintia Maribel </t>
  </si>
  <si>
    <t>189519/24</t>
  </si>
  <si>
    <t xml:space="preserve">GEREZ Jesus Gabriel por LESIONES LEVES AGRAVADAS POR EL GENERO en perj. </t>
  </si>
  <si>
    <t>186421/23</t>
  </si>
  <si>
    <t>ORTIZ Diego Eric y GIMENEZ Araceli Alejandra por ROBO CALIFICADO POR ESCALAMIENTO Y POR EFRACCION Y DAÑOS CALIFICADOS EN CONCURSO REAL ne perj. De Patricia Elizabeth OTTEIZA - Analía Isabel LAZARTE y Claudia Patricia CORONADO</t>
  </si>
  <si>
    <t xml:space="preserve"> 09:01</t>
  </si>
  <si>
    <t>188547/24</t>
  </si>
  <si>
    <t xml:space="preserve"> 08:46</t>
  </si>
  <si>
    <t>187836/23</t>
  </si>
  <si>
    <t xml:space="preserve">ORTIZ Ricardo Miguel por ROBO SIMPLE en perj. De DIAZ VANINA </t>
  </si>
  <si>
    <t>188161/23</t>
  </si>
  <si>
    <t>SANABRIA Fernando Alfredo Augusto por AMENAZAS Y DESOBEDIENCIA JUDICIAL EN CONCURSO REAL PERJ. DE CANAVIDES Mayra Jessica</t>
  </si>
  <si>
    <t>189741/24</t>
  </si>
  <si>
    <t>COZZI VERA Jorge Augusto por Amenazas (dos hechos) y DESOBEDIENCIA JUDICIAL (tres hechos) EN CONCURSO REAL EN PERJ. DE GOMEZ JUAREZ Ana Laura</t>
  </si>
  <si>
    <t>en fecha 23/04/2024 al Audeincista con LEGAJO FISCAL</t>
  </si>
  <si>
    <t>188335/23</t>
  </si>
  <si>
    <t>en fecha 23/04/2024 al Audiencista</t>
  </si>
  <si>
    <r>
      <t>PRESO</t>
    </r>
    <r>
      <rPr>
        <sz val="10"/>
        <rFont val="Arial"/>
        <family val="2"/>
      </rPr>
      <t xml:space="preserve"> CACERES MALDONADO Kevin Eduardo por ABUSO SEXUAL CON ACCESO CARNAL - PRIVACION ILEGITIMA DE LA LIBERTAD Y DESOBEDIENCIA JUDICIAL en CONCURSO REAL en perj. De jeo</t>
    </r>
  </si>
  <si>
    <t>en fecha 23/04/2024 al audeincista</t>
  </si>
  <si>
    <t>EN FECHA 22/04/2024 SE REMITE EN DEVOLUCION AL JUZAGADO DE ORIGNE POR FALT AD E INFORMS ART 96 --  en fecha 23/04/2024 VUELVEN LAS ACTUACIONES Y SE LO PASO AL AUDEINCISTA</t>
  </si>
  <si>
    <r>
      <t>PRESO</t>
    </r>
    <r>
      <rPr>
        <sz val="10"/>
        <rFont val="Arial"/>
        <family val="2"/>
      </rPr>
      <t xml:space="preserve"> LAIME Ivan Facundo por TENENCIA DE ESTUPEFACIENTE CON  FINES DE COMERCIALIZACION</t>
    </r>
  </si>
  <si>
    <t>en fecha 23/04/2024 se lo paso al audiencista</t>
  </si>
  <si>
    <t>190173/24</t>
  </si>
  <si>
    <t>ROSA David Maria y RENTA Jorge Jose por DESOBEDIENCIA JUDICIAL en  perj. De Ana Laura Castañeda Nordman</t>
  </si>
  <si>
    <t>en fecha 23/04/224 al Audiencista</t>
  </si>
  <si>
    <t>Dr. Victor Hugo Sarmiento MP 4143</t>
  </si>
  <si>
    <t>En fecha 23/04/2024 al Audiencista con LEGAJO FISCAL - Querell: Carlos Hernan Cuneo</t>
  </si>
  <si>
    <r>
      <rPr>
        <b/>
        <sz val="10"/>
        <rFont val="Arial"/>
        <family val="2"/>
      </rPr>
      <t>EN FECHA 18/04/2024 VUELVEN LAS ACTUACONES A OFIJU</t>
    </r>
    <r>
      <rPr>
        <sz val="10"/>
        <rFont val="Arial"/>
        <family val="2"/>
      </rPr>
      <t xml:space="preserve"> --- EN GAR 1 - PARA ARRESTO DOMICILIARIO - NO HAY DEVOLUCION AL DIA 11/03/2024---  Herrera, Juan Diego MP3615, Silveti, Rodrigo Nicolás MP6838, Sola Garrido, Agustín MP 3136, Caliva Agüero Javier MP 5203, Casabella Davalos Juan MP 1516</t>
    </r>
  </si>
  <si>
    <t>Elevaciones Mensuales</t>
  </si>
  <si>
    <r>
      <rPr>
        <b/>
        <sz val="10"/>
        <rFont val="Arial"/>
        <family val="2"/>
      </rPr>
      <t xml:space="preserve">ELEVADA A JUICIO       </t>
    </r>
    <r>
      <rPr>
        <sz val="10"/>
        <rFont val="Arial"/>
        <family val="2"/>
      </rPr>
      <t>EN ARMARIO 29/02/2024</t>
    </r>
  </si>
  <si>
    <r>
      <rPr>
        <b/>
        <sz val="10"/>
        <rFont val="Arial"/>
        <family val="2"/>
      </rPr>
      <t xml:space="preserve">DEVUELTO AL JUZGADO DE ORIGEN POR REBELDIA </t>
    </r>
    <r>
      <rPr>
        <sz val="10"/>
        <rFont val="Arial"/>
        <family val="2"/>
      </rPr>
      <t>EN TRAMITE C/ RQTO LEG 186/23</t>
    </r>
  </si>
  <si>
    <t>EN FECHA 23/04/2024 SE REMITE AL JUZGADO DE ORIGEN CON PROYECTO DE ELEVACION</t>
  </si>
  <si>
    <t>EN FECHA 23/04/2024 EN PROYECTO DE ELEVACION AL JUZAGDO DE ORIGEN</t>
  </si>
  <si>
    <t>EN FECHA 23/04/2024 SE REMITE AL JUZ DE ORIGEN CON PROYECTO DE ELEVACION</t>
  </si>
  <si>
    <r>
      <rPr>
        <b/>
        <sz val="10"/>
        <rFont val="Arial"/>
        <family val="2"/>
      </rPr>
      <t>REMITIDA AL JUZGADO DE ORIGEN CON PROYECTO DE ELEVACION</t>
    </r>
    <r>
      <rPr>
        <sz val="10"/>
        <rFont val="Arial"/>
        <family val="2"/>
      </rPr>
      <t xml:space="preserve"> en fecha 16/04/2024 se lo paso al audiencista con LEGAJO FISCAL</t>
    </r>
  </si>
  <si>
    <t>RESUELTA</t>
  </si>
  <si>
    <t>DEVUELTA</t>
  </si>
  <si>
    <t>PROYECTO</t>
  </si>
  <si>
    <t>DEVUELTA CON REBELDIA</t>
  </si>
  <si>
    <t>189505/24</t>
  </si>
  <si>
    <t>189714/24</t>
  </si>
  <si>
    <t>GUAYMAS Ramon Alberto por LESIONES en perj. De CHOCOBAR Camila</t>
  </si>
  <si>
    <t>187986/23</t>
  </si>
  <si>
    <t>ESTADO NUEVO</t>
  </si>
  <si>
    <t>TRAMITE</t>
  </si>
  <si>
    <t>VERDE</t>
  </si>
  <si>
    <t>NO LLEGO</t>
  </si>
  <si>
    <t xml:space="preserve">DEVUELTAS AL JUZGADO </t>
  </si>
  <si>
    <t>PRESCRIPCION</t>
  </si>
  <si>
    <t xml:space="preserve">REBELDIA </t>
  </si>
  <si>
    <t>FALTA DE TRAMITES PENDIENTES</t>
  </si>
  <si>
    <t>TOTAL REMITIDAS</t>
  </si>
  <si>
    <t>INGRESADAS</t>
  </si>
  <si>
    <t>ELEVADAS</t>
  </si>
  <si>
    <t>EXPEDIENTES CON PRESO</t>
  </si>
  <si>
    <t>RESUELTAS EN PREVENTIVA</t>
  </si>
  <si>
    <t>RESUELTAS EN AUDIENCIAS ACUSACION (No aud Fym)</t>
  </si>
  <si>
    <t>DETENIDO</t>
  </si>
  <si>
    <t>ELEVADAS (ROJAS)</t>
  </si>
  <si>
    <t>EN PROYECTO DE ELEVACION</t>
  </si>
  <si>
    <t>EXPEDIENTES SIN PRESO</t>
  </si>
  <si>
    <t>ABREVIADO: con Legajo Fiscal - Al expediente GAR Se lo entrago a la Audiencista de acusacion el dia 28/02/2024</t>
  </si>
  <si>
    <t>EN FECHA 24/04/2024 SE REMITE AL JUZ DE ORIGEN CON PROYECTO DE ELEVACION</t>
  </si>
  <si>
    <t>178251/22</t>
  </si>
  <si>
    <t>CHAMARRO Orlando Damian por ESTAFA en perj. De VALDIVIEZO Rodrigo Nicolas</t>
  </si>
  <si>
    <t>DEVUELTA AL JUZGADO DE ORIGEN POR RECIBIDA SOLICITUD DE SOBRESEIMIENTO</t>
  </si>
  <si>
    <t>189776/24</t>
  </si>
  <si>
    <t>VIA Lucas Adrian por HURTO CALIFICADO POR HABER SIDO COMETIDO CON ESCALAMEINTO EN PERJ. DE VILAPLANA Rodrgio Martin</t>
  </si>
  <si>
    <t>186914/23</t>
  </si>
  <si>
    <t>MAIDANA Antonella Rocio por ABUSO SEXUAL GRAVEMENTE ULTRAJANTE por su duracion y circunstancias de su realizacion AGRAVADO POR LA GUARADA en perj. De la menor JTE</t>
  </si>
  <si>
    <t>189239/24</t>
  </si>
  <si>
    <t>182090/22</t>
  </si>
  <si>
    <t>BARBOZA Jose Oscar por LESIONES LEVES AGRAVADAS POR LA RELACION DE PAREJA PREEXISTENTE Y GENERO (DOS HECHOS) - AMENAZAS Y DESOBEDIENCIA JUDICIAL (CUATRO HECHOS) todo en concurso Real en perj. De MAMANI Silvina Susana</t>
  </si>
  <si>
    <t>189615/24</t>
  </si>
  <si>
    <t>FLORES Guillermo Segundo por AMENAZAS Y DESOBEDIENCIA JUDICIAL en CONCURSO IDEAL Y DESOBEDIENCIA JUDICIAL TODO EN CONCURSO REAL EN PERJ. DE SAAVEDRA Ana Cecilia</t>
  </si>
  <si>
    <t>179724/22</t>
  </si>
  <si>
    <t>FERRUFINO Gabriel Ismael por ABUSO SEXUAL SIMPLE (CONTINUADO) AGRAVADDO POR LA CONVIVENCIA en perj. De Delfina Ayelen GUERRA</t>
  </si>
  <si>
    <t>187704/23</t>
  </si>
  <si>
    <t>PEREYRA Jorge Daniel por DESOBEDIENCIA JUDICIAL en perj. De LOPEZ Magdalena Liliana</t>
  </si>
  <si>
    <t>178307/22</t>
  </si>
  <si>
    <t>MAMANI Axel por AMENAZAS - ALTAMIRANDA Carlos por AMENAZAS (DOS HECHOS) Y DESOBEDIENCIA JUDICIAL (DOS HECHOS) - ALTAMIRANDA ANTONIO EDUARDO POR AMENAZAS (DOS HECHOS) Y DESOBEDIENCIA JUDICIAL en perj. De PAZ LIDIA</t>
  </si>
  <si>
    <t>EN ARMARIO - En Fecha 19/04/2024 lo saco del aramrio y se lo paso al aAudeincista - AUDIENCIA SJP 20/05/2024</t>
  </si>
  <si>
    <t>Dr. Arnaldo Damian Estrada MP 376</t>
  </si>
  <si>
    <t>En fecha 26/04/2024 se lo paso al Audiencista</t>
  </si>
  <si>
    <r>
      <t>PRESO</t>
    </r>
    <r>
      <rPr>
        <sz val="10"/>
        <rFont val="Arial"/>
        <family val="2"/>
      </rPr>
      <t xml:space="preserve"> ZUBELZA Carlos Alfredo por VIOLACION DE DOMICILIO - DESOBEDIENCIA JUDICIAL en perj. De PASCUALI Noemi Elena</t>
    </r>
  </si>
  <si>
    <r>
      <t>PRESO</t>
    </r>
    <r>
      <rPr>
        <sz val="10"/>
        <rFont val="Arial"/>
        <family val="2"/>
      </rPr>
      <t xml:space="preserve"> BARJA LOZANO Cristian Jonatan por AMENAZAS - DESOBEDIENCIA JUDICIAL y ATENTADO A LA AUTORIDADy LESIONES LEVES en CONCURSO REAL</t>
    </r>
  </si>
  <si>
    <t>Dr. Gustavo Fernando Martinez MP 2671</t>
  </si>
  <si>
    <r>
      <t>PRESO</t>
    </r>
    <r>
      <rPr>
        <sz val="10"/>
        <rFont val="Arial"/>
        <family val="2"/>
      </rPr>
      <t xml:space="preserve"> RODRIGUEZ Juan Normando por ESTAFA (5 hechos) y HURTO EN CONCURSO REAL en perj. RODRIGUEZ Karina del Valle - HOYOS Manuel Felix - FARFAN Gustavo Emanuel - FARFAN Benito - SULCA Sergio Mirto Armando</t>
    </r>
  </si>
  <si>
    <t>En fecha 26/04/2024 se lo paso al Audiencista con LEGAJO FISCAL</t>
  </si>
  <si>
    <t>ELEVADA A JUICIO - otro encargado Dr. Parada</t>
  </si>
  <si>
    <t>ELEVADA A JUCIO - otro encargado Dr. Parada</t>
  </si>
  <si>
    <r>
      <rPr>
        <b/>
        <sz val="10"/>
        <rFont val="Arial"/>
        <family val="2"/>
      </rPr>
      <t xml:space="preserve">ELEVADO A JUICIO  - OTRO ENCARGADO DR. PARADA </t>
    </r>
    <r>
      <rPr>
        <sz val="10"/>
        <rFont val="Arial"/>
        <family val="2"/>
      </rPr>
      <t>- C/ AUDIENCIA DE P.P. (15/02) (resultado: preventiva)- DEVOLUCION JUZ DE ORIGEN)</t>
    </r>
  </si>
  <si>
    <r>
      <rPr>
        <b/>
        <sz val="10"/>
        <rFont val="Arial"/>
        <family val="2"/>
      </rPr>
      <t xml:space="preserve">ELEVADA A JUICIO      </t>
    </r>
    <r>
      <rPr>
        <sz val="10"/>
        <rFont val="Arial"/>
        <family val="2"/>
      </rPr>
      <t>En fecha 24/04/2024 se remite al Juzgado de Origen con proyecto de elevacion</t>
    </r>
  </si>
  <si>
    <r>
      <rPr>
        <b/>
        <sz val="10"/>
        <rFont val="Arial"/>
        <family val="2"/>
      </rPr>
      <t xml:space="preserve">EN FECHA 25/04/2024 SE DEVULVE PARA RESOLVER NULIAD PLANTEADA FUERA DEL MARCO DEL 435    </t>
    </r>
    <r>
      <rPr>
        <sz val="10"/>
        <rFont val="Arial"/>
        <family val="2"/>
      </rPr>
      <t xml:space="preserve">  (EN FECHA 17/04/2024 LO SACO DEL ARMARIO Y LO PASO AL AUDIENCISTA JUNTO CON INCIDENTE DE NULIDAD - AL DR. CRISTIAN PARADA)</t>
    </r>
  </si>
  <si>
    <t>devuelto en fecha 25/04/2024 porque no se proveyò la querella</t>
  </si>
  <si>
    <r>
      <rPr>
        <b/>
        <sz val="10"/>
        <rFont val="Arial"/>
        <family val="2"/>
      </rPr>
      <t xml:space="preserve">ELEVADO A JUICIO       </t>
    </r>
    <r>
      <rPr>
        <sz val="10"/>
        <rFont val="Arial"/>
        <family val="2"/>
      </rPr>
      <t>se lo paso al Audienciasta el 12/03/2024</t>
    </r>
  </si>
  <si>
    <t>EN FECHA 25/04/2024 DEVUELTO PARA PROBATION</t>
  </si>
  <si>
    <r>
      <rPr>
        <b/>
        <sz val="10"/>
        <rFont val="Arial"/>
        <family val="2"/>
      </rPr>
      <t>en fecha 06/03/2024 se devuelve al Juzgado por falta de datos de la querella</t>
    </r>
    <r>
      <rPr>
        <sz val="10"/>
        <rFont val="Arial"/>
        <family val="2"/>
      </rPr>
      <t xml:space="preserve"> Dra. Diaz Zabalaga y Dra. Godoy por Cordoba, Facundo Daniel; Dr. Cordoba, Alberto por Salina Celeste, Cordoba, Benjamin Jesus y Carrazan, Rosario del Milagro; Dr. Ortin Fernandez por Bakun, Juan Francisco; Dr. Magno, Federico Fernando por Tobias Ruiz, Facundo; Dr. Soria, Victor por Gonzalez, Matias; --- Qte. Dr. MOrales Barrionuevo 5955 por Puppi, Ana del Valle; Qte. Palmier, Dario Francisco por Pereyra, Daniel Edgardo; Dra. Secchi Barrientos, Ana Paula por el Sr. Romanielo, soledad; Dra. Bevacqua, Maria Jimena por el Sr. Aguero, liz Ivana; Dra. Vega, Andrea Silvana 5657 por PFAFFENZELLER, OSCAR WILLY; Dr. loezp, Estela Mary por el Sr. Vargasm Victor Gabriel; Dr. Casimiro, Alonso Leonel por Sr. Sequeira, FLorencio Enrique; Dra. Villalba Samaniego, vidal por Juarez, Mirta Angelica; Dr. Cortez, Andrea Evangelina mp 5303 por Chocobar, Eva Mariel; Dr. Vilca Banda, Armando por Saldaño, Cecilio Juan; Dra. Martinez, Natalia de los Ángeles por Lescano, Fabiana del Valle; Dr. Diaz, Walter Atilio por Toledo Gabriela Natalia; Dr. Causarano, JOrge Antonio por Lucas, Paola Ivana; Dra. Gimenez Malvasi, Anabella por Ojeda, Vanesa Loreley; Dr. Corregidor, Nicolas por Echazu, Carla Alejandra; Dr. Isasmendi, Oscar Ruben por Coronel, Claudio Marcelo; </t>
    </r>
  </si>
  <si>
    <t xml:space="preserve">VER EXP 187552 - </t>
  </si>
  <si>
    <t>PRESO YARAD, YASSER AMIR por hurto calificado por escalaamiento en grado de tentativa en perjuicio de Miller Sebastian</t>
  </si>
  <si>
    <t>ABREVIADO CONDICIONAL EN AUDIENCIA FLEX Y MULTI DE PREVENTIVA</t>
  </si>
  <si>
    <t>ABREVIADO EFECTIVA - RESUELTA EN AUD MULTIPROPOSITO DE PREVENTIVA - ABREVIADO - VER PLANILLA PREVENTIVA</t>
  </si>
  <si>
    <t>188953/24</t>
  </si>
  <si>
    <t xml:space="preserve">Dr. Marcelo Eduardo Arancibia por VERON - en fecha 26/04/2024 se lo paso al Audiencista </t>
  </si>
  <si>
    <r>
      <t>PRESO</t>
    </r>
    <r>
      <rPr>
        <sz val="10"/>
        <rFont val="Arial"/>
        <family val="2"/>
      </rPr>
      <t xml:space="preserve"> PALACIOS Tamara Elizabeth y VERON Pablo Exequiel por ROBO AGRAVADO POR EL USO DE ARMA Y AMENAZAS EN CONCURSO REAL en perj. De Gabriela Veronica MAIGUA</t>
    </r>
  </si>
  <si>
    <t xml:space="preserve">en PP lo trabaja Villamayor aud flex 06/05/2024 </t>
  </si>
  <si>
    <t>180170/22</t>
  </si>
  <si>
    <t>URZAGASTE Oscar por AMENAZAS Y DESOBEDIENCIA JUDICIAL (dos hechos) EN CONCURSO REAL en perj. De VIOLETA GUAYMAS</t>
  </si>
  <si>
    <t>SE DICTA AUTO DE SOBRESEIMIENTO</t>
  </si>
  <si>
    <t>SOBRESEIMIENTO EN ACUSACION</t>
  </si>
  <si>
    <r>
      <rPr>
        <b/>
        <sz val="10"/>
        <rFont val="Arial"/>
        <family val="2"/>
      </rPr>
      <t xml:space="preserve">ELEVADO A JUICIO       </t>
    </r>
    <r>
      <rPr>
        <sz val="10"/>
        <rFont val="Arial"/>
        <family val="2"/>
      </rPr>
      <t>EN TRAMITE EN ARMARIO- DR. NELSON FEDERICO MAMANI  MP Nº 6447</t>
    </r>
  </si>
  <si>
    <r>
      <rPr>
        <b/>
        <sz val="10"/>
        <rFont val="Arial"/>
        <family val="2"/>
      </rPr>
      <t xml:space="preserve">ELEVADO A JUICIO    </t>
    </r>
    <r>
      <rPr>
        <sz val="10"/>
        <rFont val="Arial"/>
        <family val="2"/>
      </rPr>
      <t xml:space="preserve">   EN FECHA 25/04/2024 LO SACO DEL ARMARIO Y SE LO PASO A PEDRO MARQUEZ</t>
    </r>
    <r>
      <rPr>
        <b/>
        <sz val="10"/>
        <rFont val="Arial"/>
        <family val="2"/>
      </rPr>
      <t xml:space="preserve"> - </t>
    </r>
    <r>
      <rPr>
        <sz val="10"/>
        <rFont val="Arial"/>
        <family val="2"/>
      </rPr>
      <t xml:space="preserve"> EN ARMARIO - CON LEGAJO 09/04/2024</t>
    </r>
  </si>
  <si>
    <t>189523/24</t>
  </si>
  <si>
    <t>MARINO Hector Daniel - VIVEROS Facundo y FABIAN Carlos Fernando por HURTO SIMPLE en perj. De ARJONA Mabel Ines</t>
  </si>
  <si>
    <t>189550/24</t>
  </si>
  <si>
    <t>GUTIERREZ Carlos Dante por AMENAZAS AGRAVADAS POR EL USO DE ARMA IMPROPIA Y DAÑOS EN CONCURSO REAL en perj. De FIGUEROA Mariano Emilio</t>
  </si>
  <si>
    <t xml:space="preserve"> 11:56</t>
  </si>
  <si>
    <t>187163/23</t>
  </si>
  <si>
    <t xml:space="preserve"> 112:55</t>
  </si>
  <si>
    <t>190060/24</t>
  </si>
  <si>
    <t>GUTIERREZ Facundo Miguel y JARRUZO Lucas Matias por HURTO CALIFICADO POR ESCALAMIENTO EN GRADO DE TTVA. En perj de LOPEZ Oscar Rene</t>
  </si>
  <si>
    <r>
      <t>PRESO</t>
    </r>
    <r>
      <rPr>
        <sz val="10"/>
        <rFont val="Arial"/>
        <family val="2"/>
      </rPr>
      <t xml:space="preserve"> CRUZ Yoel Leoncio por ABUSO SEXUAL CON ACCESO CARNAL agravado por el vinculo Continuado en PERJ. LCJA</t>
    </r>
  </si>
</sst>
</file>

<file path=xl/styles.xml><?xml version="1.0" encoding="utf-8"?>
<styleSheet xmlns="http://schemas.openxmlformats.org/spreadsheetml/2006/main">
  <numFmts count="2">
    <numFmt numFmtId="164" formatCode="dd/mm/yyyy;@"/>
    <numFmt numFmtId="165" formatCode="[$-F400]h:mm:ss\ AM/PM"/>
  </numFmts>
  <fonts count="63">
    <font>
      <sz val="10"/>
      <name val="Arial"/>
    </font>
    <font>
      <sz val="8"/>
      <name val="Arial"/>
      <family val="2"/>
    </font>
    <font>
      <sz val="10"/>
      <name val="Arial"/>
      <family val="2"/>
    </font>
    <font>
      <sz val="10"/>
      <color theme="0"/>
      <name val="Arial"/>
      <family val="2"/>
    </font>
    <font>
      <b/>
      <sz val="10"/>
      <name val="Arial"/>
      <family val="2"/>
    </font>
    <font>
      <sz val="10"/>
      <color rgb="FFFF0000"/>
      <name val="Arial"/>
      <family val="2"/>
    </font>
    <font>
      <b/>
      <sz val="10"/>
      <color rgb="FFFF0000"/>
      <name val="Arial"/>
      <family val="2"/>
    </font>
    <font>
      <sz val="10"/>
      <color theme="3" tint="0.59999389629810485"/>
      <name val="Arial"/>
      <family val="2"/>
    </font>
    <font>
      <b/>
      <sz val="10"/>
      <color rgb="FF339966"/>
      <name val="Arial"/>
      <family val="2"/>
    </font>
    <font>
      <b/>
      <sz val="10"/>
      <color rgb="FF993366"/>
      <name val="Arial"/>
      <family val="2"/>
    </font>
    <font>
      <b/>
      <sz val="10"/>
      <color rgb="FF0000FF"/>
      <name val="Arial"/>
      <family val="2"/>
    </font>
    <font>
      <b/>
      <sz val="10"/>
      <color rgb="FF000080"/>
      <name val="Arial"/>
      <family val="2"/>
    </font>
    <font>
      <b/>
      <sz val="10"/>
      <color rgb="FF008080"/>
      <name val="Arial"/>
      <family val="2"/>
    </font>
    <font>
      <b/>
      <sz val="10"/>
      <color rgb="FF800000"/>
      <name val="Arial"/>
      <family val="2"/>
    </font>
    <font>
      <b/>
      <sz val="10"/>
      <color rgb="FF0066CC"/>
      <name val="Arial"/>
      <family val="2"/>
    </font>
    <font>
      <b/>
      <sz val="10"/>
      <color rgb="FFFF00FF"/>
      <name val="Arial"/>
      <family val="2"/>
    </font>
    <font>
      <b/>
      <sz val="10"/>
      <color rgb="FFFF6600"/>
      <name val="Arial"/>
      <family val="2"/>
    </font>
    <font>
      <b/>
      <sz val="10"/>
      <color rgb="FF000000"/>
      <name val="Arial"/>
      <family val="2"/>
    </font>
    <font>
      <b/>
      <sz val="10"/>
      <color rgb="FFFF8080"/>
      <name val="Arial"/>
      <family val="2"/>
    </font>
    <font>
      <b/>
      <sz val="10"/>
      <color rgb="FF3366FF"/>
      <name val="Arial"/>
      <family val="2"/>
    </font>
    <font>
      <b/>
      <sz val="12"/>
      <color rgb="FFFF0000"/>
      <name val="Arial"/>
      <family val="2"/>
    </font>
    <font>
      <b/>
      <sz val="9"/>
      <color rgb="FFFF0000"/>
      <name val="Arial"/>
      <family val="2"/>
    </font>
    <font>
      <b/>
      <sz val="16"/>
      <color rgb="FF00B050"/>
      <name val="Arial"/>
      <family val="2"/>
    </font>
    <font>
      <sz val="10"/>
      <color theme="1"/>
      <name val="Arial"/>
      <family val="2"/>
    </font>
    <font>
      <b/>
      <sz val="20"/>
      <color theme="0"/>
      <name val="Arial Rounded MT Bold"/>
      <family val="2"/>
    </font>
    <font>
      <b/>
      <sz val="16"/>
      <color rgb="FFFF0000"/>
      <name val="Arial"/>
      <family val="2"/>
    </font>
    <font>
      <sz val="10"/>
      <color rgb="FF000000"/>
      <name val="Arial"/>
      <family val="2"/>
    </font>
    <font>
      <b/>
      <sz val="10"/>
      <color indexed="17"/>
      <name val="Arial"/>
      <family val="2"/>
    </font>
    <font>
      <b/>
      <sz val="10"/>
      <color indexed="52"/>
      <name val="Arial"/>
      <family val="2"/>
    </font>
    <font>
      <b/>
      <sz val="11"/>
      <name val="Arial"/>
      <family val="2"/>
    </font>
    <font>
      <b/>
      <sz val="7"/>
      <color rgb="FFFF0000"/>
      <name val="Arial"/>
      <family val="2"/>
    </font>
    <font>
      <b/>
      <sz val="8"/>
      <name val="Arial"/>
      <family val="2"/>
    </font>
    <font>
      <b/>
      <sz val="11"/>
      <color rgb="FFFF0000"/>
      <name val="Arial"/>
      <family val="2"/>
    </font>
    <font>
      <b/>
      <sz val="10"/>
      <color indexed="12"/>
      <name val="Arial"/>
      <family val="2"/>
    </font>
    <font>
      <b/>
      <sz val="9"/>
      <name val="Arial"/>
      <family val="2"/>
    </font>
    <font>
      <b/>
      <sz val="72"/>
      <color rgb="FFFF0000"/>
      <name val="Arial"/>
      <family val="2"/>
    </font>
    <font>
      <sz val="11"/>
      <color rgb="FF006100"/>
      <name val="Calibri"/>
      <family val="2"/>
      <scheme val="minor"/>
    </font>
    <font>
      <sz val="16"/>
      <name val="Arial"/>
      <family val="2"/>
    </font>
    <font>
      <sz val="16"/>
      <color rgb="FF006100"/>
      <name val="Calibri"/>
      <family val="2"/>
      <scheme val="minor"/>
    </font>
    <font>
      <b/>
      <sz val="16"/>
      <color rgb="FF006100"/>
      <name val="Calibri"/>
      <family val="2"/>
      <scheme val="minor"/>
    </font>
    <font>
      <u/>
      <sz val="10"/>
      <name val="Arial"/>
      <family val="2"/>
    </font>
    <font>
      <sz val="14"/>
      <name val="Arial"/>
      <family val="2"/>
    </font>
    <font>
      <b/>
      <sz val="16"/>
      <name val="Arial"/>
      <family val="2"/>
    </font>
    <font>
      <sz val="10"/>
      <name val="Arial"/>
      <family val="2"/>
    </font>
    <font>
      <sz val="12"/>
      <color theme="0"/>
      <name val="Arial"/>
      <family val="2"/>
    </font>
    <font>
      <sz val="100"/>
      <name val="Arial"/>
      <family val="2"/>
    </font>
    <font>
      <sz val="20"/>
      <name val="Bahnschrift SemiBold"/>
      <family val="2"/>
    </font>
    <font>
      <sz val="18"/>
      <color theme="0"/>
      <name val="Arial Rounded MT Bold"/>
      <family val="2"/>
    </font>
    <font>
      <sz val="90"/>
      <name val="Arial"/>
      <family val="2"/>
    </font>
    <font>
      <sz val="14"/>
      <color theme="0"/>
      <name val="Arial"/>
      <family val="2"/>
    </font>
    <font>
      <sz val="18"/>
      <color theme="0"/>
      <name val="Arial"/>
      <family val="2"/>
    </font>
    <font>
      <b/>
      <u/>
      <sz val="28"/>
      <name val="Arial"/>
      <family val="2"/>
    </font>
    <font>
      <b/>
      <sz val="12"/>
      <name val="Arial"/>
      <family val="2"/>
    </font>
    <font>
      <sz val="12"/>
      <name val="Arial"/>
      <family val="2"/>
    </font>
    <font>
      <sz val="10"/>
      <color indexed="63"/>
      <name val="Arial"/>
      <family val="2"/>
    </font>
    <font>
      <sz val="11"/>
      <color rgb="FF9C0006"/>
      <name val="Calibri"/>
      <family val="2"/>
      <scheme val="minor"/>
    </font>
    <font>
      <b/>
      <sz val="16"/>
      <color rgb="FF9C0006"/>
      <name val="Calibri"/>
      <family val="2"/>
      <scheme val="minor"/>
    </font>
    <font>
      <b/>
      <sz val="10"/>
      <color indexed="37"/>
      <name val="Arial"/>
      <family val="2"/>
    </font>
    <font>
      <sz val="20"/>
      <name val="Arial Rounded MT Bold"/>
      <family val="2"/>
    </font>
    <font>
      <b/>
      <sz val="11"/>
      <color rgb="FF3F3F3F"/>
      <name val="Calibri"/>
      <family val="2"/>
      <scheme val="minor"/>
    </font>
    <font>
      <b/>
      <sz val="16"/>
      <color rgb="FF3F3F3F"/>
      <name val="Calibri"/>
      <family val="2"/>
      <scheme val="minor"/>
    </font>
    <font>
      <b/>
      <sz val="16"/>
      <color theme="0"/>
      <name val="Calibri"/>
      <family val="2"/>
      <scheme val="minor"/>
    </font>
    <font>
      <b/>
      <sz val="11"/>
      <color rgb="FF9C0006"/>
      <name val="Calibri"/>
      <family val="2"/>
      <scheme val="minor"/>
    </font>
  </fonts>
  <fills count="20">
    <fill>
      <patternFill patternType="none"/>
    </fill>
    <fill>
      <patternFill patternType="gray125"/>
    </fill>
    <fill>
      <patternFill patternType="solid">
        <fgColor theme="5" tint="0.59999389629810485"/>
        <bgColor indexed="64"/>
      </patternFill>
    </fill>
    <fill>
      <patternFill patternType="solid">
        <fgColor theme="0" tint="-0.249977111117893"/>
        <bgColor indexed="64"/>
      </patternFill>
    </fill>
    <fill>
      <patternFill patternType="solid">
        <fgColor indexed="65"/>
        <bgColor indexed="64"/>
      </patternFill>
    </fill>
    <fill>
      <patternFill patternType="solid">
        <fgColor rgb="FF92D050"/>
        <bgColor indexed="64"/>
      </patternFill>
    </fill>
    <fill>
      <patternFill patternType="solid">
        <fgColor theme="8" tint="0.59999389629810485"/>
        <bgColor indexed="64"/>
      </patternFill>
    </fill>
    <fill>
      <patternFill patternType="solid">
        <fgColor rgb="FFFFFF00"/>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rgb="FFC6EFCE"/>
      </patternFill>
    </fill>
    <fill>
      <patternFill patternType="solid">
        <fgColor theme="3" tint="0.59999389629810485"/>
        <bgColor indexed="64"/>
      </patternFill>
    </fill>
    <fill>
      <patternFill patternType="solid">
        <fgColor theme="4" tint="0.79998168889431442"/>
        <bgColor indexed="64"/>
      </patternFill>
    </fill>
    <fill>
      <patternFill patternType="solid">
        <fgColor theme="2"/>
        <bgColor indexed="64"/>
      </patternFill>
    </fill>
    <fill>
      <patternFill patternType="solid">
        <fgColor theme="1"/>
        <bgColor indexed="64"/>
      </patternFill>
    </fill>
    <fill>
      <patternFill patternType="solid">
        <fgColor theme="3" tint="0.39997558519241921"/>
        <bgColor indexed="64"/>
      </patternFill>
    </fill>
    <fill>
      <patternFill patternType="solid">
        <fgColor theme="0"/>
        <bgColor indexed="64"/>
      </patternFill>
    </fill>
    <fill>
      <patternFill patternType="solid">
        <fgColor rgb="FF0070C0"/>
        <bgColor indexed="64"/>
      </patternFill>
    </fill>
    <fill>
      <patternFill patternType="solid">
        <fgColor rgb="FFFFC7CE"/>
      </patternFill>
    </fill>
    <fill>
      <patternFill patternType="solid">
        <fgColor rgb="FFF2F2F2"/>
      </patternFill>
    </fill>
  </fills>
  <borders count="5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right/>
      <top style="medium">
        <color indexed="64"/>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bottom/>
      <diagonal/>
    </border>
    <border>
      <left style="medium">
        <color indexed="64"/>
      </left>
      <right style="thin">
        <color indexed="64"/>
      </right>
      <top style="thin">
        <color indexed="64"/>
      </top>
      <bottom/>
      <diagonal/>
    </border>
    <border>
      <left style="thin">
        <color indexed="64"/>
      </left>
      <right style="thin">
        <color indexed="64"/>
      </right>
      <top style="medium">
        <color indexed="64"/>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style="double">
        <color auto="1"/>
      </right>
      <top/>
      <bottom style="double">
        <color auto="1"/>
      </bottom>
      <diagonal/>
    </border>
    <border>
      <left style="thin">
        <color auto="1"/>
      </left>
      <right style="thin">
        <color auto="1"/>
      </right>
      <top style="thin">
        <color indexed="64"/>
      </top>
      <bottom style="thin">
        <color auto="1"/>
      </bottom>
      <diagonal/>
    </border>
    <border>
      <left style="thin">
        <color auto="1"/>
      </left>
      <right style="medium">
        <color indexed="64"/>
      </right>
      <top style="thin">
        <color indexed="64"/>
      </top>
      <bottom style="thin">
        <color auto="1"/>
      </bottom>
      <diagonal/>
    </border>
    <border>
      <left/>
      <right/>
      <top/>
      <bottom style="thin">
        <color indexed="64"/>
      </bottom>
      <diagonal/>
    </border>
    <border>
      <left style="medium">
        <color indexed="64"/>
      </left>
      <right/>
      <top style="medium">
        <color indexed="64"/>
      </top>
      <bottom style="medium">
        <color indexed="64"/>
      </bottom>
      <diagonal/>
    </border>
    <border>
      <left/>
      <right/>
      <top style="thin">
        <color indexed="64"/>
      </top>
      <bottom style="thin">
        <color auto="1"/>
      </bottom>
      <diagonal/>
    </border>
    <border>
      <left style="medium">
        <color auto="1"/>
      </left>
      <right style="medium">
        <color auto="1"/>
      </right>
      <top style="medium">
        <color auto="1"/>
      </top>
      <bottom style="medium">
        <color auto="1"/>
      </bottom>
      <diagonal/>
    </border>
    <border>
      <left style="medium">
        <color indexed="64"/>
      </left>
      <right/>
      <top/>
      <bottom/>
      <diagonal/>
    </border>
    <border>
      <left/>
      <right style="thin">
        <color indexed="64"/>
      </right>
      <top/>
      <bottom style="thin">
        <color indexed="64"/>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medium">
        <color indexed="64"/>
      </right>
      <top/>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auto="1"/>
      </right>
      <top/>
      <bottom/>
      <diagonal/>
    </border>
    <border>
      <left style="thin">
        <color auto="1"/>
      </left>
      <right style="thin">
        <color auto="1"/>
      </right>
      <top style="medium">
        <color auto="1"/>
      </top>
      <bottom style="thin">
        <color auto="1"/>
      </bottom>
      <diagonal/>
    </border>
    <border>
      <left/>
      <right/>
      <top style="thin">
        <color indexed="64"/>
      </top>
      <bottom/>
      <diagonal/>
    </border>
    <border>
      <left/>
      <right style="thin">
        <color indexed="64"/>
      </right>
      <top style="thin">
        <color indexed="64"/>
      </top>
      <bottom/>
      <diagonal/>
    </border>
    <border>
      <left/>
      <right/>
      <top/>
      <bottom style="medium">
        <color indexed="64"/>
      </bottom>
      <diagonal/>
    </border>
    <border>
      <left style="medium">
        <color indexed="64"/>
      </left>
      <right/>
      <top/>
      <bottom style="medium">
        <color indexed="64"/>
      </bottom>
      <diagonal/>
    </border>
    <border>
      <left style="medium">
        <color auto="1"/>
      </left>
      <right style="medium">
        <color auto="1"/>
      </right>
      <top/>
      <bottom style="medium">
        <color auto="1"/>
      </bottom>
      <diagonal/>
    </border>
    <border>
      <left/>
      <right style="medium">
        <color indexed="64"/>
      </right>
      <top/>
      <bottom style="medium">
        <color indexed="64"/>
      </bottom>
      <diagonal/>
    </border>
    <border>
      <left/>
      <right/>
      <top style="medium">
        <color indexed="64"/>
      </top>
      <bottom/>
      <diagonal/>
    </border>
    <border>
      <left style="thin">
        <color rgb="FF3F3F3F"/>
      </left>
      <right style="thin">
        <color rgb="FF3F3F3F"/>
      </right>
      <top style="thin">
        <color rgb="FF3F3F3F"/>
      </top>
      <bottom style="thin">
        <color rgb="FF3F3F3F"/>
      </bottom>
      <diagonal/>
    </border>
    <border>
      <left style="thin">
        <color rgb="FF3F3F3F"/>
      </left>
      <right/>
      <top style="thin">
        <color rgb="FF3F3F3F"/>
      </top>
      <bottom style="thin">
        <color rgb="FF3F3F3F"/>
      </bottom>
      <diagonal/>
    </border>
    <border>
      <left/>
      <right/>
      <top style="thin">
        <color rgb="FF3F3F3F"/>
      </top>
      <bottom style="thin">
        <color rgb="FF3F3F3F"/>
      </bottom>
      <diagonal/>
    </border>
    <border>
      <left/>
      <right style="thin">
        <color rgb="FF3F3F3F"/>
      </right>
      <top style="thin">
        <color rgb="FF3F3F3F"/>
      </top>
      <bottom style="thin">
        <color rgb="FF3F3F3F"/>
      </bottom>
      <diagonal/>
    </border>
  </borders>
  <cellStyleXfs count="8">
    <xf numFmtId="0" fontId="0" fillId="0" borderId="0"/>
    <xf numFmtId="0" fontId="2" fillId="0" borderId="0"/>
    <xf numFmtId="0" fontId="2" fillId="0" borderId="0"/>
    <xf numFmtId="9" fontId="2" fillId="0" borderId="0" applyFont="0" applyFill="0" applyBorder="0" applyAlignment="0" applyProtection="0"/>
    <xf numFmtId="0" fontId="36" fillId="10" borderId="0" applyNumberFormat="0" applyBorder="0" applyAlignment="0" applyProtection="0"/>
    <xf numFmtId="9" fontId="43" fillId="0" borderId="0" applyFont="0" applyFill="0" applyBorder="0" applyAlignment="0" applyProtection="0"/>
    <xf numFmtId="0" fontId="55" fillId="18" borderId="0" applyNumberFormat="0" applyBorder="0" applyAlignment="0" applyProtection="0"/>
    <xf numFmtId="0" fontId="59" fillId="19" borderId="55" applyNumberFormat="0" applyAlignment="0" applyProtection="0"/>
  </cellStyleXfs>
  <cellXfs count="543">
    <xf numFmtId="0" fontId="0" fillId="0" borderId="0" xfId="0"/>
    <xf numFmtId="0" fontId="0" fillId="0" borderId="0" xfId="0" applyAlignment="1">
      <alignment horizontal="center" vertical="center" wrapText="1"/>
    </xf>
    <xf numFmtId="164" fontId="0" fillId="0" borderId="0" xfId="0" applyNumberFormat="1" applyAlignment="1">
      <alignment horizontal="center" vertical="center" wrapText="1"/>
    </xf>
    <xf numFmtId="0" fontId="2" fillId="0" borderId="0" xfId="0" applyFont="1" applyAlignment="1">
      <alignment horizontal="center" vertical="center" wrapText="1"/>
    </xf>
    <xf numFmtId="0" fontId="2" fillId="2" borderId="1" xfId="0" applyFont="1" applyFill="1" applyBorder="1" applyAlignment="1">
      <alignment horizontal="center" vertical="center" wrapText="1"/>
    </xf>
    <xf numFmtId="0" fontId="2" fillId="0" borderId="0" xfId="0" applyFont="1"/>
    <xf numFmtId="0" fontId="0" fillId="0" borderId="0" xfId="0" applyAlignment="1">
      <alignment horizontal="left" vertical="center" wrapText="1"/>
    </xf>
    <xf numFmtId="0" fontId="2" fillId="0" borderId="0" xfId="0" applyFont="1" applyAlignment="1">
      <alignment horizontal="left" vertical="center" wrapText="1"/>
    </xf>
    <xf numFmtId="49" fontId="0" fillId="0" borderId="0" xfId="0" applyNumberFormat="1" applyAlignment="1">
      <alignment horizontal="left" vertical="center"/>
    </xf>
    <xf numFmtId="0" fontId="0" fillId="0" borderId="0" xfId="0" applyAlignment="1">
      <alignment horizontal="left" vertical="center"/>
    </xf>
    <xf numFmtId="0" fontId="2" fillId="0" borderId="0" xfId="0" applyFont="1" applyAlignment="1">
      <alignment horizontal="left" vertical="center"/>
    </xf>
    <xf numFmtId="49" fontId="2" fillId="0" borderId="0" xfId="0" applyNumberFormat="1" applyFont="1"/>
    <xf numFmtId="0" fontId="5" fillId="0" borderId="0" xfId="0" applyFont="1" applyAlignment="1">
      <alignment horizontal="center" vertical="center" wrapText="1"/>
    </xf>
    <xf numFmtId="49" fontId="2" fillId="0" borderId="0" xfId="0" applyNumberFormat="1" applyFont="1" applyAlignment="1">
      <alignment horizontal="left" vertical="center" wrapText="1"/>
    </xf>
    <xf numFmtId="49" fontId="2" fillId="0" borderId="0" xfId="0" applyNumberFormat="1" applyFont="1" applyAlignment="1">
      <alignment horizontal="left" vertical="center"/>
    </xf>
    <xf numFmtId="49" fontId="0" fillId="0" borderId="0" xfId="0" applyNumberFormat="1" applyAlignment="1">
      <alignment horizontal="left" vertical="center" wrapText="1"/>
    </xf>
    <xf numFmtId="0" fontId="2" fillId="2" borderId="2" xfId="0" applyFont="1" applyFill="1" applyBorder="1" applyAlignment="1">
      <alignment horizontal="center" vertical="center" wrapText="1"/>
    </xf>
    <xf numFmtId="164" fontId="2" fillId="2" borderId="2" xfId="0" applyNumberFormat="1" applyFont="1" applyFill="1" applyBorder="1" applyAlignment="1">
      <alignment horizontal="center" vertical="center" wrapText="1"/>
    </xf>
    <xf numFmtId="0" fontId="2" fillId="0" borderId="0" xfId="0" applyFont="1" applyBorder="1" applyAlignment="1">
      <alignment vertical="center" wrapText="1"/>
    </xf>
    <xf numFmtId="0" fontId="2" fillId="0" borderId="0" xfId="0" applyFont="1" applyBorder="1" applyAlignment="1">
      <alignment vertical="center"/>
    </xf>
    <xf numFmtId="0" fontId="2" fillId="0" borderId="0" xfId="0" applyFont="1" applyAlignment="1"/>
    <xf numFmtId="1" fontId="0" fillId="0" borderId="0" xfId="0" applyNumberFormat="1"/>
    <xf numFmtId="1" fontId="2" fillId="0" borderId="0" xfId="0" applyNumberFormat="1" applyFont="1"/>
    <xf numFmtId="0" fontId="2" fillId="0" borderId="0" xfId="0" applyFont="1" applyFill="1" applyBorder="1" applyAlignment="1">
      <alignment vertical="center"/>
    </xf>
    <xf numFmtId="0" fontId="2" fillId="2" borderId="8" xfId="0" applyFont="1" applyFill="1" applyBorder="1" applyAlignment="1">
      <alignment horizontal="center" vertical="center" wrapText="1"/>
    </xf>
    <xf numFmtId="0" fontId="0" fillId="0" borderId="0" xfId="0" applyBorder="1"/>
    <xf numFmtId="0" fontId="2" fillId="5" borderId="2" xfId="0" applyFont="1" applyFill="1" applyBorder="1" applyAlignment="1">
      <alignment horizontal="center" vertical="center" wrapText="1"/>
    </xf>
    <xf numFmtId="0" fontId="26" fillId="0" borderId="0" xfId="0" applyFont="1"/>
    <xf numFmtId="0" fontId="2" fillId="0" borderId="0" xfId="0" applyFont="1" applyFill="1" applyBorder="1" applyAlignment="1">
      <alignment horizontal="center" vertical="center" wrapText="1"/>
    </xf>
    <xf numFmtId="0" fontId="5" fillId="0" borderId="0" xfId="0" applyFont="1" applyFill="1" applyBorder="1" applyAlignment="1">
      <alignment horizontal="center" vertical="center" wrapText="1"/>
    </xf>
    <xf numFmtId="0" fontId="0" fillId="0" borderId="0" xfId="0" applyFill="1" applyBorder="1" applyAlignment="1">
      <alignment horizontal="center" vertical="center" wrapText="1"/>
    </xf>
    <xf numFmtId="0" fontId="6" fillId="0" borderId="0" xfId="0" applyFont="1" applyFill="1" applyBorder="1" applyAlignment="1">
      <alignment horizontal="center" vertical="center"/>
    </xf>
    <xf numFmtId="0" fontId="2" fillId="7" borderId="2" xfId="0" applyFont="1" applyFill="1" applyBorder="1" applyAlignment="1">
      <alignment horizontal="center" vertical="center" wrapText="1"/>
    </xf>
    <xf numFmtId="0" fontId="0" fillId="0" borderId="0" xfId="0" applyFont="1" applyAlignment="1">
      <alignment horizontal="center" vertical="center" wrapText="1"/>
    </xf>
    <xf numFmtId="0" fontId="1" fillId="0" borderId="0" xfId="0" applyFont="1" applyAlignment="1">
      <alignment horizontal="center" vertical="center" wrapText="1"/>
    </xf>
    <xf numFmtId="164" fontId="2" fillId="7" borderId="2" xfId="0" applyNumberFormat="1" applyFont="1" applyFill="1" applyBorder="1" applyAlignment="1">
      <alignment horizontal="center" vertical="center" wrapText="1"/>
    </xf>
    <xf numFmtId="164" fontId="2" fillId="5" borderId="2" xfId="0" applyNumberFormat="1" applyFont="1" applyFill="1" applyBorder="1" applyAlignment="1">
      <alignment horizontal="center" vertical="center" wrapText="1"/>
    </xf>
    <xf numFmtId="0" fontId="5" fillId="7" borderId="2" xfId="0" applyFont="1" applyFill="1" applyBorder="1" applyAlignment="1">
      <alignment horizontal="center" vertical="center" wrapText="1"/>
    </xf>
    <xf numFmtId="164" fontId="0" fillId="7" borderId="2" xfId="0" applyNumberFormat="1" applyFill="1" applyBorder="1" applyAlignment="1">
      <alignment horizontal="center" vertical="center" wrapText="1"/>
    </xf>
    <xf numFmtId="0" fontId="0" fillId="7" borderId="2" xfId="0" applyFill="1" applyBorder="1" applyAlignment="1">
      <alignment horizontal="center" vertical="center" wrapText="1"/>
    </xf>
    <xf numFmtId="0" fontId="2" fillId="7" borderId="2" xfId="0" applyNumberFormat="1" applyFont="1" applyFill="1" applyBorder="1" applyAlignment="1">
      <alignment horizontal="left" vertical="center" wrapText="1"/>
    </xf>
    <xf numFmtId="0" fontId="4" fillId="7" borderId="2" xfId="0" applyNumberFormat="1" applyFont="1" applyFill="1" applyBorder="1" applyAlignment="1">
      <alignment horizontal="left" vertical="center" wrapText="1"/>
    </xf>
    <xf numFmtId="0" fontId="0" fillId="0" borderId="0" xfId="0" applyNumberFormat="1" applyAlignment="1">
      <alignment horizontal="left" vertical="center" wrapText="1"/>
    </xf>
    <xf numFmtId="0" fontId="4" fillId="7" borderId="2" xfId="0" applyFont="1" applyFill="1" applyBorder="1" applyAlignment="1">
      <alignment horizontal="center" vertical="center" wrapText="1"/>
    </xf>
    <xf numFmtId="0" fontId="22" fillId="0" borderId="0" xfId="0" applyFont="1" applyFill="1" applyBorder="1" applyAlignment="1">
      <alignment horizontal="center" vertical="center" wrapText="1"/>
    </xf>
    <xf numFmtId="0" fontId="25" fillId="0" borderId="0" xfId="0" applyFont="1" applyFill="1" applyBorder="1" applyAlignment="1">
      <alignment horizontal="center" vertical="center" wrapText="1"/>
    </xf>
    <xf numFmtId="0" fontId="22" fillId="0" borderId="0" xfId="0" applyNumberFormat="1" applyFont="1" applyFill="1" applyBorder="1" applyAlignment="1">
      <alignment horizontal="left"/>
    </xf>
    <xf numFmtId="0" fontId="7" fillId="0" borderId="0" xfId="0" applyFont="1" applyFill="1" applyBorder="1" applyAlignment="1">
      <alignment horizontal="center" vertical="center" wrapText="1"/>
    </xf>
    <xf numFmtId="0" fontId="3" fillId="0" borderId="0" xfId="0" applyFont="1" applyFill="1" applyBorder="1" applyAlignment="1">
      <alignment horizontal="center" vertical="center" wrapText="1"/>
    </xf>
    <xf numFmtId="164" fontId="3" fillId="0" borderId="0" xfId="0" applyNumberFormat="1" applyFont="1" applyFill="1" applyBorder="1" applyAlignment="1">
      <alignment horizontal="center" vertical="center" wrapText="1"/>
    </xf>
    <xf numFmtId="0" fontId="23" fillId="0" borderId="0" xfId="0" applyFont="1" applyFill="1" applyBorder="1" applyAlignment="1">
      <alignment horizontal="center" vertical="center" wrapText="1"/>
    </xf>
    <xf numFmtId="164" fontId="23" fillId="0" borderId="0" xfId="0" applyNumberFormat="1" applyFont="1" applyFill="1" applyBorder="1" applyAlignment="1">
      <alignment horizontal="center" vertical="center" wrapText="1"/>
    </xf>
    <xf numFmtId="14" fontId="24" fillId="0" borderId="0" xfId="0" applyNumberFormat="1" applyFont="1" applyFill="1" applyBorder="1" applyAlignment="1">
      <alignment horizontal="center" vertical="center" wrapText="1"/>
    </xf>
    <xf numFmtId="0" fontId="20" fillId="0" borderId="0" xfId="0" applyFont="1" applyFill="1" applyBorder="1" applyAlignment="1">
      <alignment horizontal="center" vertical="center" wrapText="1"/>
    </xf>
    <xf numFmtId="164" fontId="4" fillId="0" borderId="0" xfId="0" applyNumberFormat="1" applyFont="1" applyFill="1" applyBorder="1" applyAlignment="1">
      <alignment horizontal="center" vertical="center" wrapText="1"/>
    </xf>
    <xf numFmtId="164" fontId="2" fillId="4" borderId="17" xfId="0" applyNumberFormat="1" applyFont="1" applyFill="1" applyBorder="1" applyAlignment="1">
      <alignment horizontal="center" vertical="center" wrapText="1"/>
    </xf>
    <xf numFmtId="0" fontId="2" fillId="4" borderId="17" xfId="0" applyFont="1" applyFill="1" applyBorder="1" applyAlignment="1">
      <alignment horizontal="center" vertical="center" wrapText="1"/>
    </xf>
    <xf numFmtId="0" fontId="2" fillId="4" borderId="17" xfId="0" applyNumberFormat="1" applyFont="1" applyFill="1" applyBorder="1" applyAlignment="1">
      <alignment horizontal="center" vertical="center" wrapText="1"/>
    </xf>
    <xf numFmtId="0" fontId="2" fillId="0" borderId="17" xfId="0" applyFont="1" applyBorder="1" applyAlignment="1">
      <alignment horizontal="center" vertical="center" wrapText="1"/>
    </xf>
    <xf numFmtId="0" fontId="5" fillId="0" borderId="17" xfId="0" applyFont="1" applyBorder="1" applyAlignment="1">
      <alignment horizontal="center" vertical="center" wrapText="1"/>
    </xf>
    <xf numFmtId="0" fontId="2" fillId="3" borderId="17" xfId="0" applyFont="1" applyFill="1" applyBorder="1" applyAlignment="1">
      <alignment horizontal="center" vertical="center" wrapText="1"/>
    </xf>
    <xf numFmtId="0" fontId="0" fillId="0" borderId="17" xfId="0" applyBorder="1" applyAlignment="1">
      <alignment horizontal="center" vertical="center" wrapText="1"/>
    </xf>
    <xf numFmtId="1" fontId="2" fillId="0" borderId="18" xfId="0" applyNumberFormat="1" applyFont="1" applyBorder="1" applyAlignment="1">
      <alignment horizontal="center" vertical="center" wrapText="1"/>
    </xf>
    <xf numFmtId="0" fontId="2" fillId="0" borderId="18" xfId="0" applyFont="1" applyBorder="1" applyAlignment="1">
      <alignment horizontal="center" vertical="center" wrapText="1"/>
    </xf>
    <xf numFmtId="0" fontId="0" fillId="2" borderId="8" xfId="0" applyFill="1" applyBorder="1" applyAlignment="1">
      <alignment horizontal="center" vertical="center" wrapText="1"/>
    </xf>
    <xf numFmtId="14" fontId="0" fillId="0" borderId="0" xfId="0" applyNumberFormat="1" applyFill="1" applyBorder="1" applyAlignment="1">
      <alignment horizontal="center" vertical="center" wrapText="1"/>
    </xf>
    <xf numFmtId="14" fontId="2" fillId="3" borderId="17" xfId="0" applyNumberFormat="1" applyFont="1" applyFill="1" applyBorder="1" applyAlignment="1">
      <alignment horizontal="center" vertical="center" wrapText="1"/>
    </xf>
    <xf numFmtId="14" fontId="0" fillId="0" borderId="0" xfId="0" applyNumberFormat="1" applyAlignment="1">
      <alignment horizontal="center" vertical="center" wrapText="1"/>
    </xf>
    <xf numFmtId="0" fontId="2" fillId="7" borderId="2" xfId="1" applyFill="1" applyBorder="1" applyAlignment="1">
      <alignment horizontal="center" vertical="center" wrapText="1"/>
    </xf>
    <xf numFmtId="164" fontId="2" fillId="7" borderId="2" xfId="1" applyNumberFormat="1" applyFill="1" applyBorder="1" applyAlignment="1">
      <alignment horizontal="center" vertical="center" wrapText="1"/>
    </xf>
    <xf numFmtId="0" fontId="2" fillId="7" borderId="2" xfId="1" applyFont="1" applyFill="1" applyBorder="1" applyAlignment="1">
      <alignment horizontal="center" vertical="center" wrapText="1"/>
    </xf>
    <xf numFmtId="0" fontId="4" fillId="7" borderId="2" xfId="1" applyNumberFormat="1" applyFont="1" applyFill="1" applyBorder="1" applyAlignment="1">
      <alignment horizontal="left" vertical="center" wrapText="1"/>
    </xf>
    <xf numFmtId="164" fontId="2" fillId="7" borderId="2" xfId="1" applyNumberFormat="1" applyFont="1" applyFill="1" applyBorder="1" applyAlignment="1">
      <alignment horizontal="center" vertical="center" wrapText="1"/>
    </xf>
    <xf numFmtId="0" fontId="5" fillId="7" borderId="2" xfId="1" applyFont="1" applyFill="1" applyBorder="1" applyAlignment="1">
      <alignment horizontal="center" vertical="center" wrapText="1"/>
    </xf>
    <xf numFmtId="0" fontId="2" fillId="2" borderId="2" xfId="1" applyFill="1" applyBorder="1" applyAlignment="1">
      <alignment horizontal="center" vertical="center" wrapText="1"/>
    </xf>
    <xf numFmtId="164" fontId="2" fillId="2" borderId="1" xfId="1" applyNumberFormat="1" applyFill="1" applyBorder="1" applyAlignment="1">
      <alignment horizontal="center" vertical="center" wrapText="1"/>
    </xf>
    <xf numFmtId="0" fontId="2" fillId="2" borderId="1" xfId="1" applyFill="1" applyBorder="1" applyAlignment="1">
      <alignment horizontal="center" vertical="center" wrapText="1"/>
    </xf>
    <xf numFmtId="0" fontId="2" fillId="2" borderId="1" xfId="1" applyFont="1" applyFill="1" applyBorder="1" applyAlignment="1">
      <alignment horizontal="center" vertical="center" wrapText="1"/>
    </xf>
    <xf numFmtId="0" fontId="4" fillId="2" borderId="1" xfId="1" applyNumberFormat="1" applyFont="1" applyFill="1" applyBorder="1" applyAlignment="1">
      <alignment horizontal="left" vertical="center" wrapText="1"/>
    </xf>
    <xf numFmtId="0" fontId="2" fillId="2" borderId="2" xfId="1" applyFont="1" applyFill="1" applyBorder="1" applyAlignment="1">
      <alignment horizontal="center" vertical="center" wrapText="1"/>
    </xf>
    <xf numFmtId="0" fontId="5" fillId="2" borderId="1" xfId="1" applyFont="1" applyFill="1" applyBorder="1" applyAlignment="1">
      <alignment horizontal="center" vertical="center" wrapText="1"/>
    </xf>
    <xf numFmtId="164" fontId="4" fillId="2" borderId="1" xfId="1" applyNumberFormat="1" applyFont="1" applyFill="1" applyBorder="1" applyAlignment="1">
      <alignment horizontal="center" vertical="center" wrapText="1"/>
    </xf>
    <xf numFmtId="164" fontId="2" fillId="2" borderId="2" xfId="1" applyNumberFormat="1" applyFont="1" applyFill="1" applyBorder="1" applyAlignment="1">
      <alignment horizontal="center" vertical="center" wrapText="1"/>
    </xf>
    <xf numFmtId="20" fontId="2" fillId="2" borderId="2" xfId="1" applyNumberFormat="1" applyFill="1" applyBorder="1" applyAlignment="1">
      <alignment horizontal="center" vertical="center" wrapText="1"/>
    </xf>
    <xf numFmtId="0" fontId="4" fillId="2" borderId="2" xfId="1" applyNumberFormat="1" applyFont="1" applyFill="1" applyBorder="1" applyAlignment="1">
      <alignment horizontal="left" vertical="center" wrapText="1"/>
    </xf>
    <xf numFmtId="164" fontId="2" fillId="2" borderId="2" xfId="1" applyNumberFormat="1" applyFill="1" applyBorder="1" applyAlignment="1">
      <alignment horizontal="center" vertical="center" wrapText="1"/>
    </xf>
    <xf numFmtId="0" fontId="5" fillId="2" borderId="2" xfId="1" applyFont="1" applyFill="1" applyBorder="1" applyAlignment="1">
      <alignment horizontal="center" vertical="center" wrapText="1"/>
    </xf>
    <xf numFmtId="14" fontId="2" fillId="2" borderId="2" xfId="1" applyNumberFormat="1" applyFill="1" applyBorder="1" applyAlignment="1">
      <alignment horizontal="center" vertical="center" wrapText="1"/>
    </xf>
    <xf numFmtId="0" fontId="2" fillId="2" borderId="2" xfId="1" applyNumberFormat="1" applyFont="1" applyFill="1" applyBorder="1" applyAlignment="1">
      <alignment horizontal="left" vertical="center" wrapText="1"/>
    </xf>
    <xf numFmtId="20" fontId="2" fillId="2" borderId="2" xfId="1" applyNumberFormat="1" applyFont="1" applyFill="1" applyBorder="1" applyAlignment="1">
      <alignment horizontal="center" vertical="center" wrapText="1"/>
    </xf>
    <xf numFmtId="0" fontId="20" fillId="2" borderId="2" xfId="1" applyFont="1" applyFill="1" applyBorder="1" applyAlignment="1">
      <alignment horizontal="center" vertical="center" wrapText="1"/>
    </xf>
    <xf numFmtId="20" fontId="2" fillId="7" borderId="2" xfId="1" applyNumberFormat="1" applyFont="1" applyFill="1" applyBorder="1" applyAlignment="1">
      <alignment horizontal="center" vertical="center" wrapText="1"/>
    </xf>
    <xf numFmtId="0" fontId="2" fillId="7" borderId="2" xfId="1" applyNumberFormat="1" applyFont="1" applyFill="1" applyBorder="1" applyAlignment="1">
      <alignment horizontal="left" vertical="center" wrapText="1"/>
    </xf>
    <xf numFmtId="0" fontId="20" fillId="7" borderId="2" xfId="1" applyFont="1" applyFill="1" applyBorder="1" applyAlignment="1">
      <alignment horizontal="center" vertical="center" wrapText="1"/>
    </xf>
    <xf numFmtId="0" fontId="6" fillId="2" borderId="2" xfId="1" applyFont="1" applyFill="1" applyBorder="1" applyAlignment="1">
      <alignment horizontal="center" vertical="center" wrapText="1"/>
    </xf>
    <xf numFmtId="14" fontId="2" fillId="2" borderId="0" xfId="1" applyNumberFormat="1" applyFill="1" applyAlignment="1">
      <alignment horizontal="center" vertical="center" wrapText="1"/>
    </xf>
    <xf numFmtId="0" fontId="2" fillId="5" borderId="2" xfId="1" applyFont="1" applyFill="1" applyBorder="1" applyAlignment="1">
      <alignment horizontal="center" vertical="center" wrapText="1"/>
    </xf>
    <xf numFmtId="164" fontId="2" fillId="5" borderId="2" xfId="1" applyNumberFormat="1" applyFont="1" applyFill="1" applyBorder="1" applyAlignment="1">
      <alignment horizontal="center" vertical="center" wrapText="1"/>
    </xf>
    <xf numFmtId="0" fontId="2" fillId="5" borderId="2" xfId="1" applyNumberFormat="1" applyFont="1" applyFill="1" applyBorder="1" applyAlignment="1">
      <alignment horizontal="left" vertical="center" wrapText="1"/>
    </xf>
    <xf numFmtId="0" fontId="5" fillId="5" borderId="2" xfId="1" applyFont="1" applyFill="1" applyBorder="1" applyAlignment="1">
      <alignment horizontal="center" vertical="center" wrapText="1"/>
    </xf>
    <xf numFmtId="164" fontId="2" fillId="5" borderId="2" xfId="1" applyNumberFormat="1" applyFill="1" applyBorder="1" applyAlignment="1">
      <alignment horizontal="center" vertical="center" wrapText="1"/>
    </xf>
    <xf numFmtId="0" fontId="4" fillId="7" borderId="2" xfId="1" applyFont="1" applyFill="1" applyBorder="1" applyAlignment="1">
      <alignment horizontal="center" vertical="center" wrapText="1"/>
    </xf>
    <xf numFmtId="19" fontId="2" fillId="2" borderId="2" xfId="1" applyNumberFormat="1" applyFill="1" applyBorder="1" applyAlignment="1">
      <alignment horizontal="center" vertical="center" wrapText="1"/>
    </xf>
    <xf numFmtId="49" fontId="2" fillId="7" borderId="2" xfId="1" applyNumberFormat="1" applyFont="1" applyFill="1" applyBorder="1" applyAlignment="1">
      <alignment horizontal="center" vertical="center"/>
    </xf>
    <xf numFmtId="49" fontId="2" fillId="2" borderId="2" xfId="1" applyNumberFormat="1" applyFont="1" applyFill="1" applyBorder="1" applyAlignment="1">
      <alignment horizontal="center" vertical="center" wrapText="1"/>
    </xf>
    <xf numFmtId="0" fontId="4" fillId="2" borderId="2" xfId="1" applyFont="1" applyFill="1" applyBorder="1" applyAlignment="1">
      <alignment horizontal="center" vertical="center" wrapText="1"/>
    </xf>
    <xf numFmtId="0" fontId="2" fillId="7" borderId="2" xfId="1" applyNumberFormat="1" applyFill="1" applyBorder="1" applyAlignment="1">
      <alignment horizontal="left" vertical="center" wrapText="1"/>
    </xf>
    <xf numFmtId="0" fontId="2" fillId="5" borderId="2" xfId="1" applyFill="1" applyBorder="1" applyAlignment="1">
      <alignment horizontal="center" vertical="center" wrapText="1"/>
    </xf>
    <xf numFmtId="0" fontId="4" fillId="2" borderId="2" xfId="1" applyFont="1" applyFill="1" applyBorder="1" applyAlignment="1">
      <alignment horizontal="left" vertical="center" wrapText="1"/>
    </xf>
    <xf numFmtId="0" fontId="4" fillId="7" borderId="2" xfId="1" applyFont="1" applyFill="1" applyBorder="1" applyAlignment="1">
      <alignment horizontal="left" vertical="center" wrapText="1"/>
    </xf>
    <xf numFmtId="14" fontId="0" fillId="7" borderId="2" xfId="0" applyNumberFormat="1" applyFill="1" applyBorder="1" applyAlignment="1">
      <alignment horizontal="center" vertical="center" wrapText="1"/>
    </xf>
    <xf numFmtId="0" fontId="2" fillId="7" borderId="2" xfId="1" applyNumberFormat="1" applyFont="1" applyFill="1" applyBorder="1" applyAlignment="1" applyProtection="1">
      <alignment horizontal="center" vertical="center" wrapText="1"/>
    </xf>
    <xf numFmtId="0" fontId="2" fillId="7" borderId="2" xfId="0" applyNumberFormat="1" applyFont="1" applyFill="1" applyBorder="1" applyAlignment="1" applyProtection="1">
      <alignment horizontal="center" vertical="center" wrapText="1"/>
    </xf>
    <xf numFmtId="164" fontId="0" fillId="5" borderId="2" xfId="0" applyNumberFormat="1" applyFill="1" applyBorder="1" applyAlignment="1">
      <alignment horizontal="center" vertical="center" wrapText="1"/>
    </xf>
    <xf numFmtId="0" fontId="2" fillId="5" borderId="2" xfId="0" applyNumberFormat="1" applyFont="1" applyFill="1" applyBorder="1" applyAlignment="1">
      <alignment horizontal="left" vertical="center" wrapText="1"/>
    </xf>
    <xf numFmtId="0" fontId="0" fillId="5" borderId="2" xfId="0" applyFill="1" applyBorder="1" applyAlignment="1">
      <alignment horizontal="center" vertical="center" wrapText="1"/>
    </xf>
    <xf numFmtId="0" fontId="5" fillId="5" borderId="2" xfId="0" applyFont="1" applyFill="1" applyBorder="1" applyAlignment="1">
      <alignment horizontal="center" vertical="center" wrapText="1"/>
    </xf>
    <xf numFmtId="14" fontId="0" fillId="5" borderId="2" xfId="0" applyNumberFormat="1" applyFill="1" applyBorder="1" applyAlignment="1">
      <alignment horizontal="center" vertical="center" wrapText="1"/>
    </xf>
    <xf numFmtId="0" fontId="2" fillId="5" borderId="1" xfId="1" applyFill="1" applyBorder="1" applyAlignment="1">
      <alignment horizontal="center" vertical="center" wrapText="1"/>
    </xf>
    <xf numFmtId="14" fontId="2" fillId="2" borderId="0" xfId="1" applyNumberFormat="1" applyFill="1" applyBorder="1" applyAlignment="1">
      <alignment horizontal="center" vertical="center" wrapText="1"/>
    </xf>
    <xf numFmtId="0" fontId="2" fillId="0" borderId="13" xfId="0" applyFont="1" applyBorder="1" applyAlignment="1">
      <alignment horizontal="center" vertical="center" wrapText="1"/>
    </xf>
    <xf numFmtId="0" fontId="2" fillId="0" borderId="19" xfId="0" applyFont="1" applyBorder="1" applyAlignment="1">
      <alignment horizontal="center" vertical="center" wrapText="1"/>
    </xf>
    <xf numFmtId="0" fontId="4" fillId="2" borderId="4" xfId="1" applyFont="1" applyFill="1" applyBorder="1" applyAlignment="1">
      <alignment horizontal="center" vertical="center" wrapText="1"/>
    </xf>
    <xf numFmtId="0" fontId="4" fillId="0" borderId="4" xfId="1" applyFont="1" applyBorder="1" applyAlignment="1">
      <alignment horizontal="center" vertical="center" wrapText="1"/>
    </xf>
    <xf numFmtId="0" fontId="4" fillId="7" borderId="4" xfId="1" applyFont="1" applyFill="1" applyBorder="1" applyAlignment="1">
      <alignment horizontal="center" vertical="center" wrapText="1"/>
    </xf>
    <xf numFmtId="0" fontId="4" fillId="2" borderId="14" xfId="1" applyFont="1" applyFill="1" applyBorder="1" applyAlignment="1">
      <alignment horizontal="center" vertical="center" wrapText="1"/>
    </xf>
    <xf numFmtId="0" fontId="4" fillId="7" borderId="14" xfId="1" applyFont="1" applyFill="1" applyBorder="1" applyAlignment="1">
      <alignment horizontal="center" vertical="center" wrapText="1"/>
    </xf>
    <xf numFmtId="0" fontId="4" fillId="5" borderId="14" xfId="1" applyFont="1" applyFill="1" applyBorder="1" applyAlignment="1">
      <alignment horizontal="center" vertical="center" wrapText="1"/>
    </xf>
    <xf numFmtId="0" fontId="4" fillId="7" borderId="14" xfId="0" applyFont="1" applyFill="1" applyBorder="1" applyAlignment="1">
      <alignment horizontal="center" vertical="center" wrapText="1"/>
    </xf>
    <xf numFmtId="0" fontId="4" fillId="0" borderId="6" xfId="0" applyFont="1" applyBorder="1" applyAlignment="1">
      <alignment horizontal="center" vertical="center"/>
    </xf>
    <xf numFmtId="0" fontId="2" fillId="2" borderId="11" xfId="1" applyFill="1" applyBorder="1" applyAlignment="1">
      <alignment horizontal="center" vertical="center" wrapText="1"/>
    </xf>
    <xf numFmtId="0" fontId="2" fillId="0" borderId="11" xfId="1" applyBorder="1"/>
    <xf numFmtId="0" fontId="2" fillId="7" borderId="11" xfId="1" applyFill="1" applyBorder="1" applyAlignment="1">
      <alignment horizontal="center" vertical="center" wrapText="1"/>
    </xf>
    <xf numFmtId="0" fontId="0" fillId="0" borderId="11" xfId="0" applyBorder="1"/>
    <xf numFmtId="0" fontId="2" fillId="7" borderId="11" xfId="1" applyFill="1" applyBorder="1"/>
    <xf numFmtId="0" fontId="0" fillId="7" borderId="11" xfId="0" applyFill="1" applyBorder="1"/>
    <xf numFmtId="0" fontId="0" fillId="7" borderId="11" xfId="0" applyFill="1" applyBorder="1" applyAlignment="1">
      <alignment horizontal="center" vertical="center" wrapText="1"/>
    </xf>
    <xf numFmtId="0" fontId="2" fillId="7" borderId="8" xfId="0" applyFont="1" applyFill="1" applyBorder="1" applyAlignment="1">
      <alignment horizontal="center" vertical="center" wrapText="1"/>
    </xf>
    <xf numFmtId="0" fontId="2" fillId="2" borderId="11" xfId="1" applyFill="1" applyBorder="1"/>
    <xf numFmtId="0" fontId="4" fillId="2" borderId="6" xfId="0" applyFont="1" applyFill="1" applyBorder="1" applyAlignment="1">
      <alignment horizontal="center" vertical="center"/>
    </xf>
    <xf numFmtId="14" fontId="2" fillId="2" borderId="14" xfId="1" applyNumberFormat="1" applyFill="1" applyBorder="1" applyAlignment="1">
      <alignment horizontal="center" vertical="center" wrapText="1"/>
    </xf>
    <xf numFmtId="14" fontId="2" fillId="2" borderId="4" xfId="1" applyNumberFormat="1" applyFill="1" applyBorder="1" applyAlignment="1">
      <alignment horizontal="center" vertical="center" wrapText="1"/>
    </xf>
    <xf numFmtId="14" fontId="2" fillId="7" borderId="14" xfId="1" applyNumberFormat="1" applyFill="1" applyBorder="1" applyAlignment="1">
      <alignment horizontal="center" vertical="center" wrapText="1"/>
    </xf>
    <xf numFmtId="14" fontId="2" fillId="5" borderId="14" xfId="1" applyNumberFormat="1" applyFill="1" applyBorder="1" applyAlignment="1">
      <alignment horizontal="center" vertical="center" wrapText="1"/>
    </xf>
    <xf numFmtId="14" fontId="0" fillId="7" borderId="14" xfId="0" applyNumberFormat="1" applyFill="1" applyBorder="1" applyAlignment="1">
      <alignment horizontal="center" vertical="center" wrapText="1"/>
    </xf>
    <xf numFmtId="164" fontId="4" fillId="7" borderId="1" xfId="1" applyNumberFormat="1" applyFont="1" applyFill="1" applyBorder="1" applyAlignment="1">
      <alignment horizontal="center" vertical="center" wrapText="1"/>
    </xf>
    <xf numFmtId="0" fontId="2" fillId="7" borderId="1" xfId="1" applyFill="1" applyBorder="1" applyAlignment="1">
      <alignment horizontal="center" vertical="center" wrapText="1"/>
    </xf>
    <xf numFmtId="0" fontId="2" fillId="7" borderId="1" xfId="1" applyNumberFormat="1" applyFill="1" applyBorder="1" applyAlignment="1">
      <alignment horizontal="center" vertical="center" wrapText="1"/>
    </xf>
    <xf numFmtId="0" fontId="2" fillId="6" borderId="1" xfId="1" applyFill="1" applyBorder="1" applyAlignment="1">
      <alignment horizontal="center" vertical="center" wrapText="1"/>
    </xf>
    <xf numFmtId="0" fontId="2" fillId="0" borderId="1" xfId="1" applyBorder="1"/>
    <xf numFmtId="0" fontId="0" fillId="7" borderId="1" xfId="0" applyFill="1" applyBorder="1" applyAlignment="1">
      <alignment horizontal="center" vertical="center" wrapText="1"/>
    </xf>
    <xf numFmtId="0" fontId="4" fillId="7" borderId="6" xfId="0" applyFont="1" applyFill="1" applyBorder="1" applyAlignment="1">
      <alignment horizontal="center" vertical="center"/>
    </xf>
    <xf numFmtId="0" fontId="2" fillId="2" borderId="1" xfId="1" applyFill="1" applyBorder="1"/>
    <xf numFmtId="0" fontId="0" fillId="2" borderId="11" xfId="0" applyFill="1" applyBorder="1"/>
    <xf numFmtId="164" fontId="4" fillId="2" borderId="2" xfId="1" applyNumberFormat="1" applyFont="1" applyFill="1" applyBorder="1" applyAlignment="1">
      <alignment horizontal="center" vertical="center" wrapText="1"/>
    </xf>
    <xf numFmtId="0" fontId="4" fillId="7" borderId="2" xfId="0" applyFont="1" applyFill="1" applyBorder="1" applyAlignment="1">
      <alignment horizontal="center" vertical="center"/>
    </xf>
    <xf numFmtId="0" fontId="4" fillId="5" borderId="2" xfId="0" applyFont="1" applyFill="1" applyBorder="1" applyAlignment="1">
      <alignment horizontal="center" vertical="center" wrapText="1"/>
    </xf>
    <xf numFmtId="0" fontId="4" fillId="5" borderId="2" xfId="0" applyFont="1" applyFill="1" applyBorder="1" applyAlignment="1">
      <alignment horizontal="center" vertical="center"/>
    </xf>
    <xf numFmtId="0" fontId="4" fillId="5" borderId="6" xfId="0" applyFont="1" applyFill="1" applyBorder="1" applyAlignment="1">
      <alignment horizontal="center" vertical="center"/>
    </xf>
    <xf numFmtId="0" fontId="2" fillId="5" borderId="11" xfId="1" applyFill="1" applyBorder="1"/>
    <xf numFmtId="14" fontId="2" fillId="7" borderId="2" xfId="0" applyNumberFormat="1" applyFont="1" applyFill="1" applyBorder="1" applyAlignment="1">
      <alignment horizontal="center" vertical="center" wrapText="1"/>
    </xf>
    <xf numFmtId="49" fontId="2" fillId="2" borderId="2" xfId="1" applyNumberFormat="1" applyFill="1" applyBorder="1" applyAlignment="1">
      <alignment horizontal="center" vertical="center" wrapText="1"/>
    </xf>
    <xf numFmtId="0" fontId="35" fillId="0" borderId="0" xfId="0" quotePrefix="1" applyFont="1" applyFill="1" applyBorder="1" applyAlignment="1">
      <alignment horizontal="center" vertical="center" wrapText="1"/>
    </xf>
    <xf numFmtId="164" fontId="0" fillId="2" borderId="2" xfId="0" applyNumberFormat="1" applyFill="1" applyBorder="1" applyAlignment="1">
      <alignment horizontal="center" vertical="center" wrapText="1"/>
    </xf>
    <xf numFmtId="0" fontId="4" fillId="2" borderId="2" xfId="0" applyNumberFormat="1" applyFont="1" applyFill="1" applyBorder="1" applyAlignment="1">
      <alignment horizontal="left" vertical="center" wrapText="1"/>
    </xf>
    <xf numFmtId="0" fontId="0" fillId="2" borderId="2" xfId="0" applyFill="1" applyBorder="1" applyAlignment="1">
      <alignment horizontal="center" vertical="center" wrapText="1"/>
    </xf>
    <xf numFmtId="0" fontId="5" fillId="2" borderId="2" xfId="0" applyFont="1" applyFill="1" applyBorder="1" applyAlignment="1">
      <alignment horizontal="center" vertical="center" wrapText="1"/>
    </xf>
    <xf numFmtId="14" fontId="0" fillId="2" borderId="14" xfId="0" applyNumberFormat="1" applyFill="1" applyBorder="1" applyAlignment="1">
      <alignment horizontal="center" vertical="center" wrapText="1"/>
    </xf>
    <xf numFmtId="0" fontId="0" fillId="2" borderId="1" xfId="0" applyFill="1" applyBorder="1" applyAlignment="1">
      <alignment horizontal="center" vertical="center" wrapText="1"/>
    </xf>
    <xf numFmtId="0" fontId="0" fillId="2" borderId="11" xfId="0" applyFill="1" applyBorder="1" applyAlignment="1">
      <alignment horizontal="center" vertical="center" wrapText="1"/>
    </xf>
    <xf numFmtId="0" fontId="2" fillId="7" borderId="1" xfId="0" applyFont="1" applyFill="1" applyBorder="1" applyAlignment="1">
      <alignment horizontal="center" vertical="center" wrapText="1"/>
    </xf>
    <xf numFmtId="0" fontId="2" fillId="8" borderId="1" xfId="1" applyFont="1" applyFill="1" applyBorder="1" applyAlignment="1">
      <alignment horizontal="center" vertical="center" wrapText="1"/>
    </xf>
    <xf numFmtId="0" fontId="2" fillId="8" borderId="2" xfId="1" applyFont="1" applyFill="1" applyBorder="1" applyAlignment="1">
      <alignment horizontal="center" vertical="center" wrapText="1"/>
    </xf>
    <xf numFmtId="0" fontId="4" fillId="8" borderId="1" xfId="1" applyFont="1" applyFill="1" applyBorder="1" applyAlignment="1">
      <alignment horizontal="center" vertical="center" wrapText="1"/>
    </xf>
    <xf numFmtId="0" fontId="4" fillId="8" borderId="2" xfId="1" applyFont="1" applyFill="1" applyBorder="1" applyAlignment="1">
      <alignment horizontal="center" vertical="center" wrapText="1"/>
    </xf>
    <xf numFmtId="0" fontId="2" fillId="0" borderId="22" xfId="0" applyFont="1" applyBorder="1" applyAlignment="1">
      <alignment horizontal="center" vertical="center" wrapText="1"/>
    </xf>
    <xf numFmtId="0" fontId="2" fillId="5" borderId="1" xfId="0" applyFont="1" applyFill="1" applyBorder="1" applyAlignment="1">
      <alignment horizontal="center" vertical="center" wrapText="1"/>
    </xf>
    <xf numFmtId="0" fontId="2" fillId="7" borderId="1" xfId="1" applyFill="1" applyBorder="1"/>
    <xf numFmtId="0" fontId="2" fillId="8" borderId="2" xfId="1" applyFill="1" applyBorder="1" applyAlignment="1">
      <alignment horizontal="center" vertical="center" wrapText="1"/>
    </xf>
    <xf numFmtId="0" fontId="2" fillId="8" borderId="2" xfId="0" applyFont="1" applyFill="1" applyBorder="1" applyAlignment="1">
      <alignment horizontal="center" vertical="center" wrapText="1"/>
    </xf>
    <xf numFmtId="0" fontId="37" fillId="0" borderId="0" xfId="0" applyFont="1"/>
    <xf numFmtId="0" fontId="37" fillId="0" borderId="0" xfId="0" applyFont="1" applyAlignment="1"/>
    <xf numFmtId="0" fontId="37" fillId="0" borderId="1" xfId="0" applyFont="1" applyBorder="1"/>
    <xf numFmtId="0" fontId="0" fillId="0" borderId="23" xfId="0" applyBorder="1"/>
    <xf numFmtId="0" fontId="0" fillId="0" borderId="24" xfId="0" applyBorder="1"/>
    <xf numFmtId="0" fontId="0" fillId="0" borderId="25" xfId="0" applyBorder="1"/>
    <xf numFmtId="0" fontId="0" fillId="0" borderId="26" xfId="0" applyBorder="1"/>
    <xf numFmtId="0" fontId="37" fillId="0" borderId="27" xfId="0" applyFont="1" applyBorder="1" applyAlignment="1"/>
    <xf numFmtId="0" fontId="37" fillId="0" borderId="0" xfId="0" applyFont="1" applyBorder="1"/>
    <xf numFmtId="0" fontId="37" fillId="0" borderId="27" xfId="0" applyFont="1" applyBorder="1"/>
    <xf numFmtId="0" fontId="0" fillId="0" borderId="27" xfId="0" applyBorder="1"/>
    <xf numFmtId="0" fontId="0" fillId="0" borderId="28" xfId="0" applyBorder="1"/>
    <xf numFmtId="0" fontId="0" fillId="0" borderId="29" xfId="0" applyBorder="1"/>
    <xf numFmtId="164" fontId="0" fillId="7" borderId="1" xfId="0" applyNumberFormat="1" applyFill="1" applyBorder="1" applyAlignment="1">
      <alignment horizontal="center" vertical="center" wrapText="1"/>
    </xf>
    <xf numFmtId="0" fontId="2" fillId="7" borderId="1" xfId="0" applyNumberFormat="1" applyFont="1" applyFill="1" applyBorder="1" applyAlignment="1">
      <alignment horizontal="left" vertical="center" wrapText="1"/>
    </xf>
    <xf numFmtId="0" fontId="5" fillId="7" borderId="1" xfId="0" applyFont="1" applyFill="1" applyBorder="1" applyAlignment="1">
      <alignment horizontal="center" vertical="center" wrapText="1"/>
    </xf>
    <xf numFmtId="14" fontId="0" fillId="7" borderId="1" xfId="0" applyNumberFormat="1" applyFill="1" applyBorder="1" applyAlignment="1">
      <alignment horizontal="center" vertical="center" wrapText="1"/>
    </xf>
    <xf numFmtId="0" fontId="4" fillId="7" borderId="1" xfId="0" applyFont="1" applyFill="1" applyBorder="1" applyAlignment="1">
      <alignment horizontal="center" vertical="center" wrapText="1"/>
    </xf>
    <xf numFmtId="0" fontId="4" fillId="7" borderId="1" xfId="0" applyFont="1" applyFill="1" applyBorder="1" applyAlignment="1">
      <alignment horizontal="center" vertical="center"/>
    </xf>
    <xf numFmtId="0" fontId="0" fillId="7" borderId="8" xfId="0" applyFill="1" applyBorder="1" applyAlignment="1">
      <alignment horizontal="center" vertical="center" wrapText="1"/>
    </xf>
    <xf numFmtId="164" fontId="0" fillId="7" borderId="8" xfId="0" applyNumberFormat="1" applyFill="1" applyBorder="1" applyAlignment="1">
      <alignment horizontal="center" vertical="center" wrapText="1"/>
    </xf>
    <xf numFmtId="0" fontId="2" fillId="7" borderId="8" xfId="0" applyNumberFormat="1" applyFont="1" applyFill="1" applyBorder="1" applyAlignment="1">
      <alignment horizontal="left" vertical="center" wrapText="1"/>
    </xf>
    <xf numFmtId="0" fontId="5" fillId="7" borderId="8" xfId="0" applyFont="1" applyFill="1" applyBorder="1" applyAlignment="1">
      <alignment horizontal="center" vertical="center" wrapText="1"/>
    </xf>
    <xf numFmtId="14" fontId="0" fillId="7" borderId="8" xfId="0" applyNumberFormat="1" applyFill="1" applyBorder="1" applyAlignment="1">
      <alignment horizontal="center" vertical="center" wrapText="1"/>
    </xf>
    <xf numFmtId="0" fontId="4" fillId="7" borderId="8" xfId="0" applyFont="1" applyFill="1" applyBorder="1" applyAlignment="1">
      <alignment horizontal="center" vertical="center" wrapText="1"/>
    </xf>
    <xf numFmtId="0" fontId="0" fillId="7" borderId="7" xfId="0" applyFill="1" applyBorder="1" applyAlignment="1">
      <alignment horizontal="center" vertical="center" wrapText="1"/>
    </xf>
    <xf numFmtId="164" fontId="0" fillId="7" borderId="7" xfId="0" applyNumberFormat="1" applyFill="1" applyBorder="1" applyAlignment="1">
      <alignment horizontal="center" vertical="center" wrapText="1"/>
    </xf>
    <xf numFmtId="0" fontId="2" fillId="7" borderId="7" xfId="0" applyFont="1" applyFill="1" applyBorder="1" applyAlignment="1">
      <alignment horizontal="center" vertical="center" wrapText="1"/>
    </xf>
    <xf numFmtId="0" fontId="2" fillId="7" borderId="7" xfId="0" applyNumberFormat="1" applyFont="1" applyFill="1" applyBorder="1" applyAlignment="1">
      <alignment horizontal="left" vertical="center" wrapText="1"/>
    </xf>
    <xf numFmtId="0" fontId="5" fillId="7" borderId="7" xfId="0" applyFont="1" applyFill="1" applyBorder="1" applyAlignment="1">
      <alignment horizontal="center" vertical="center" wrapText="1"/>
    </xf>
    <xf numFmtId="14" fontId="0" fillId="7" borderId="7" xfId="0" applyNumberFormat="1" applyFill="1" applyBorder="1" applyAlignment="1">
      <alignment horizontal="center" vertical="center" wrapText="1"/>
    </xf>
    <xf numFmtId="0" fontId="4" fillId="7" borderId="7" xfId="0" applyFont="1" applyFill="1" applyBorder="1" applyAlignment="1">
      <alignment horizontal="center" vertical="center" wrapText="1"/>
    </xf>
    <xf numFmtId="0" fontId="0" fillId="7" borderId="30" xfId="0" applyFill="1" applyBorder="1" applyAlignment="1">
      <alignment horizontal="center" vertical="center" wrapText="1"/>
    </xf>
    <xf numFmtId="164" fontId="0" fillId="7" borderId="30" xfId="0" applyNumberFormat="1" applyFill="1" applyBorder="1" applyAlignment="1">
      <alignment horizontal="center" vertical="center" wrapText="1"/>
    </xf>
    <xf numFmtId="0" fontId="2" fillId="7" borderId="30" xfId="0" applyFont="1" applyFill="1" applyBorder="1" applyAlignment="1">
      <alignment horizontal="center" vertical="center" wrapText="1"/>
    </xf>
    <xf numFmtId="0" fontId="2" fillId="7" borderId="30" xfId="0" applyNumberFormat="1" applyFont="1" applyFill="1" applyBorder="1" applyAlignment="1">
      <alignment horizontal="left" vertical="center" wrapText="1"/>
    </xf>
    <xf numFmtId="0" fontId="5" fillId="7" borderId="30" xfId="0" applyFont="1" applyFill="1" applyBorder="1" applyAlignment="1">
      <alignment horizontal="center" vertical="center" wrapText="1"/>
    </xf>
    <xf numFmtId="14" fontId="0" fillId="7" borderId="30" xfId="0" applyNumberFormat="1" applyFill="1" applyBorder="1" applyAlignment="1">
      <alignment horizontal="center" vertical="center" wrapText="1"/>
    </xf>
    <xf numFmtId="0" fontId="4" fillId="7" borderId="30" xfId="0" applyFont="1" applyFill="1" applyBorder="1" applyAlignment="1">
      <alignment horizontal="center" vertical="center" wrapText="1"/>
    </xf>
    <xf numFmtId="0" fontId="4" fillId="7" borderId="31" xfId="0" applyFont="1" applyFill="1" applyBorder="1" applyAlignment="1">
      <alignment horizontal="center" vertical="center"/>
    </xf>
    <xf numFmtId="0" fontId="37" fillId="0" borderId="30" xfId="0" applyFont="1" applyBorder="1"/>
    <xf numFmtId="0" fontId="38" fillId="10" borderId="4" xfId="4" applyFont="1" applyBorder="1" applyAlignment="1">
      <alignment horizontal="center"/>
    </xf>
    <xf numFmtId="0" fontId="38" fillId="10" borderId="3" xfId="4" applyFont="1" applyBorder="1" applyAlignment="1">
      <alignment horizontal="center"/>
    </xf>
    <xf numFmtId="49" fontId="2" fillId="2" borderId="1" xfId="1" applyNumberFormat="1" applyFill="1" applyBorder="1" applyAlignment="1">
      <alignment horizontal="center" vertical="center" wrapText="1"/>
    </xf>
    <xf numFmtId="1" fontId="2" fillId="2" borderId="1" xfId="1" applyNumberFormat="1" applyFont="1" applyFill="1" applyBorder="1" applyAlignment="1">
      <alignment horizontal="center" vertical="center" wrapText="1"/>
    </xf>
    <xf numFmtId="0" fontId="37" fillId="0" borderId="30" xfId="0" applyFont="1" applyFill="1" applyBorder="1"/>
    <xf numFmtId="0" fontId="4" fillId="11" borderId="30" xfId="0" applyFont="1" applyFill="1" applyBorder="1" applyAlignment="1">
      <alignment horizontal="center"/>
    </xf>
    <xf numFmtId="0" fontId="32" fillId="2" borderId="2" xfId="1" applyFont="1" applyFill="1" applyBorder="1" applyAlignment="1">
      <alignment horizontal="center" vertical="center" wrapText="1"/>
    </xf>
    <xf numFmtId="0" fontId="2" fillId="2" borderId="0" xfId="1" applyFill="1" applyAlignment="1">
      <alignment horizontal="center" vertical="center" wrapText="1"/>
    </xf>
    <xf numFmtId="0" fontId="41" fillId="0" borderId="30" xfId="0" applyFont="1" applyBorder="1"/>
    <xf numFmtId="0" fontId="4" fillId="2" borderId="2" xfId="0" applyFont="1" applyFill="1" applyBorder="1" applyAlignment="1">
      <alignment horizontal="center" vertical="center" wrapText="1"/>
    </xf>
    <xf numFmtId="0" fontId="4" fillId="8" borderId="2" xfId="0" applyFont="1" applyFill="1" applyBorder="1" applyAlignment="1">
      <alignment horizontal="center" vertical="center" wrapText="1"/>
    </xf>
    <xf numFmtId="14" fontId="0" fillId="2" borderId="2" xfId="0" applyNumberFormat="1" applyFill="1" applyBorder="1" applyAlignment="1">
      <alignment horizontal="center" vertical="center" wrapText="1"/>
    </xf>
    <xf numFmtId="0" fontId="2" fillId="2" borderId="30" xfId="0" applyFont="1" applyFill="1" applyBorder="1" applyAlignment="1">
      <alignment horizontal="center" vertical="center" wrapText="1"/>
    </xf>
    <xf numFmtId="0" fontId="41" fillId="0" borderId="30" xfId="0" applyFont="1" applyBorder="1" applyAlignment="1">
      <alignment horizontal="center"/>
    </xf>
    <xf numFmtId="0" fontId="41" fillId="3" borderId="30" xfId="0" applyFont="1" applyFill="1" applyBorder="1"/>
    <xf numFmtId="0" fontId="41" fillId="3" borderId="30" xfId="0" applyFont="1" applyFill="1" applyBorder="1" applyAlignment="1">
      <alignment horizontal="center"/>
    </xf>
    <xf numFmtId="0" fontId="4" fillId="9" borderId="30" xfId="0" applyFont="1" applyFill="1" applyBorder="1" applyAlignment="1">
      <alignment horizontal="center"/>
    </xf>
    <xf numFmtId="0" fontId="4" fillId="2" borderId="2" xfId="0" applyFont="1" applyFill="1" applyBorder="1" applyAlignment="1">
      <alignment horizontal="left" vertical="center" wrapText="1"/>
    </xf>
    <xf numFmtId="49" fontId="2" fillId="2" borderId="2" xfId="1" applyNumberFormat="1" applyFill="1" applyBorder="1" applyAlignment="1">
      <alignment horizontal="left" vertical="center"/>
    </xf>
    <xf numFmtId="0" fontId="2" fillId="7" borderId="1" xfId="1" applyFont="1" applyFill="1" applyBorder="1" applyAlignment="1">
      <alignment horizontal="center" vertical="center" wrapText="1"/>
    </xf>
    <xf numFmtId="164" fontId="4" fillId="2" borderId="1" xfId="0" applyNumberFormat="1" applyFont="1" applyFill="1" applyBorder="1" applyAlignment="1">
      <alignment horizontal="center" vertical="center" wrapText="1"/>
    </xf>
    <xf numFmtId="0" fontId="4" fillId="2" borderId="4" xfId="0" applyFont="1" applyFill="1" applyBorder="1" applyAlignment="1">
      <alignment horizontal="center" vertical="center" wrapText="1"/>
    </xf>
    <xf numFmtId="0" fontId="4" fillId="7" borderId="30" xfId="0" applyFont="1" applyFill="1" applyBorder="1" applyAlignment="1">
      <alignment horizontal="center" vertical="center"/>
    </xf>
    <xf numFmtId="9" fontId="2" fillId="7" borderId="2" xfId="5" applyFont="1" applyFill="1" applyBorder="1" applyAlignment="1">
      <alignment horizontal="center" vertical="center" wrapText="1"/>
    </xf>
    <xf numFmtId="0" fontId="4" fillId="5" borderId="2" xfId="1" applyFont="1" applyFill="1" applyBorder="1" applyAlignment="1">
      <alignment horizontal="center" vertical="center" wrapText="1"/>
    </xf>
    <xf numFmtId="0" fontId="44" fillId="0" borderId="0" xfId="0" applyFont="1"/>
    <xf numFmtId="0" fontId="0" fillId="14" borderId="0" xfId="0" applyFill="1"/>
    <xf numFmtId="0" fontId="3" fillId="0" borderId="0" xfId="0" applyFont="1"/>
    <xf numFmtId="0" fontId="0" fillId="15" borderId="0" xfId="0" applyFill="1"/>
    <xf numFmtId="0" fontId="3" fillId="16" borderId="0" xfId="0" applyFont="1" applyFill="1"/>
    <xf numFmtId="0" fontId="49" fillId="16" borderId="0" xfId="0" applyFont="1" applyFill="1"/>
    <xf numFmtId="0" fontId="4" fillId="11" borderId="4" xfId="0" applyFont="1" applyFill="1" applyBorder="1" applyAlignment="1">
      <alignment horizontal="center" vertical="center"/>
    </xf>
    <xf numFmtId="0" fontId="4" fillId="11" borderId="33" xfId="0" applyFont="1" applyFill="1" applyBorder="1" applyAlignment="1">
      <alignment horizontal="center" vertical="center"/>
    </xf>
    <xf numFmtId="0" fontId="37" fillId="0" borderId="36" xfId="0" applyFont="1" applyBorder="1"/>
    <xf numFmtId="0" fontId="37" fillId="0" borderId="8" xfId="0" applyFont="1" applyBorder="1" applyAlignment="1">
      <alignment horizontal="center"/>
    </xf>
    <xf numFmtId="0" fontId="37" fillId="0" borderId="20" xfId="4" applyFont="1" applyFill="1" applyBorder="1" applyAlignment="1">
      <alignment horizontal="center"/>
    </xf>
    <xf numFmtId="0" fontId="37" fillId="12" borderId="33" xfId="0" applyFont="1" applyFill="1" applyBorder="1"/>
    <xf numFmtId="0" fontId="37" fillId="12" borderId="13" xfId="0" applyFont="1" applyFill="1" applyBorder="1"/>
    <xf numFmtId="0" fontId="37" fillId="12" borderId="17" xfId="0" applyFont="1" applyFill="1" applyBorder="1" applyAlignment="1">
      <alignment horizontal="center"/>
    </xf>
    <xf numFmtId="0" fontId="37" fillId="12" borderId="18" xfId="4" applyFont="1" applyFill="1" applyBorder="1" applyAlignment="1">
      <alignment horizontal="center"/>
    </xf>
    <xf numFmtId="0" fontId="42" fillId="3" borderId="7" xfId="0" applyFont="1" applyFill="1" applyBorder="1" applyAlignment="1">
      <alignment horizontal="center"/>
    </xf>
    <xf numFmtId="0" fontId="42" fillId="3" borderId="15" xfId="0" applyFont="1" applyFill="1" applyBorder="1" applyAlignment="1">
      <alignment horizontal="center"/>
    </xf>
    <xf numFmtId="0" fontId="2" fillId="17" borderId="2" xfId="1" applyFill="1" applyBorder="1" applyAlignment="1">
      <alignment horizontal="center" vertical="center" wrapText="1"/>
    </xf>
    <xf numFmtId="164" fontId="2" fillId="17" borderId="2" xfId="1" applyNumberFormat="1" applyFill="1" applyBorder="1" applyAlignment="1">
      <alignment horizontal="center" vertical="center" wrapText="1"/>
    </xf>
    <xf numFmtId="0" fontId="2" fillId="17" borderId="2" xfId="1" applyFont="1" applyFill="1" applyBorder="1" applyAlignment="1">
      <alignment horizontal="center" vertical="center" wrapText="1"/>
    </xf>
    <xf numFmtId="0" fontId="2" fillId="17" borderId="8" xfId="0" applyFont="1" applyFill="1" applyBorder="1" applyAlignment="1">
      <alignment horizontal="center" vertical="center" wrapText="1"/>
    </xf>
    <xf numFmtId="0" fontId="2" fillId="17" borderId="1" xfId="0" applyFont="1" applyFill="1" applyBorder="1" applyAlignment="1">
      <alignment horizontal="center" vertical="center" wrapText="1"/>
    </xf>
    <xf numFmtId="0" fontId="5" fillId="17" borderId="2" xfId="1" applyFont="1" applyFill="1" applyBorder="1" applyAlignment="1">
      <alignment horizontal="center" vertical="center" wrapText="1"/>
    </xf>
    <xf numFmtId="0" fontId="0" fillId="17" borderId="8" xfId="0" applyFill="1" applyBorder="1" applyAlignment="1">
      <alignment horizontal="center" vertical="center" wrapText="1"/>
    </xf>
    <xf numFmtId="14" fontId="2" fillId="17" borderId="14" xfId="1" applyNumberFormat="1" applyFill="1" applyBorder="1" applyAlignment="1">
      <alignment horizontal="center" vertical="center" wrapText="1"/>
    </xf>
    <xf numFmtId="164" fontId="4" fillId="17" borderId="1" xfId="1" applyNumberFormat="1" applyFont="1" applyFill="1" applyBorder="1" applyAlignment="1">
      <alignment horizontal="center" vertical="center" wrapText="1"/>
    </xf>
    <xf numFmtId="0" fontId="2" fillId="17" borderId="1" xfId="1" applyFill="1" applyBorder="1" applyAlignment="1">
      <alignment horizontal="center" vertical="center" wrapText="1"/>
    </xf>
    <xf numFmtId="0" fontId="4" fillId="17" borderId="6" xfId="0" applyFont="1" applyFill="1" applyBorder="1" applyAlignment="1">
      <alignment horizontal="center" vertical="center"/>
    </xf>
    <xf numFmtId="0" fontId="2" fillId="17" borderId="11" xfId="1" applyFill="1" applyBorder="1"/>
    <xf numFmtId="0" fontId="4" fillId="11" borderId="38" xfId="0" applyFont="1" applyFill="1" applyBorder="1" applyAlignment="1">
      <alignment horizontal="center" vertical="center" wrapText="1"/>
    </xf>
    <xf numFmtId="0" fontId="4" fillId="11" borderId="39" xfId="0" applyFont="1" applyFill="1" applyBorder="1" applyAlignment="1">
      <alignment horizontal="center" vertical="center" wrapText="1"/>
    </xf>
    <xf numFmtId="0" fontId="37" fillId="0" borderId="2" xfId="0" applyFont="1" applyBorder="1" applyAlignment="1">
      <alignment horizontal="center" vertical="center"/>
    </xf>
    <xf numFmtId="0" fontId="37" fillId="0" borderId="8" xfId="0" applyFont="1" applyBorder="1" applyAlignment="1">
      <alignment horizontal="center" vertical="center"/>
    </xf>
    <xf numFmtId="0" fontId="37" fillId="12" borderId="19" xfId="0" applyFont="1" applyFill="1" applyBorder="1" applyAlignment="1">
      <alignment horizontal="center" vertical="center"/>
    </xf>
    <xf numFmtId="0" fontId="37" fillId="3" borderId="7" xfId="0" applyFont="1" applyFill="1" applyBorder="1" applyAlignment="1">
      <alignment horizontal="center" vertical="center"/>
    </xf>
    <xf numFmtId="0" fontId="2" fillId="2" borderId="2" xfId="0" applyNumberFormat="1" applyFont="1" applyFill="1" applyBorder="1" applyAlignment="1">
      <alignment horizontal="left" vertical="center" wrapText="1"/>
    </xf>
    <xf numFmtId="0" fontId="2" fillId="2" borderId="2" xfId="0" applyFont="1" applyFill="1" applyBorder="1" applyAlignment="1">
      <alignment horizontal="center" vertical="center"/>
    </xf>
    <xf numFmtId="0" fontId="0" fillId="2" borderId="2" xfId="0" applyFill="1" applyBorder="1"/>
    <xf numFmtId="0" fontId="0" fillId="2" borderId="30" xfId="0" applyFill="1" applyBorder="1" applyAlignment="1">
      <alignment horizontal="center" vertical="center" wrapText="1"/>
    </xf>
    <xf numFmtId="0" fontId="4" fillId="17" borderId="14" xfId="1" applyFont="1" applyFill="1" applyBorder="1" applyAlignment="1">
      <alignment horizontal="center" vertical="center" wrapText="1"/>
    </xf>
    <xf numFmtId="0" fontId="2" fillId="2" borderId="2" xfId="1" applyFont="1" applyFill="1" applyBorder="1" applyAlignment="1">
      <alignment vertical="center"/>
    </xf>
    <xf numFmtId="0" fontId="2" fillId="2" borderId="2" xfId="1" applyNumberFormat="1" applyFill="1" applyBorder="1" applyAlignment="1">
      <alignment horizontal="left" vertical="center" wrapText="1"/>
    </xf>
    <xf numFmtId="0" fontId="40" fillId="7" borderId="2" xfId="1" applyFont="1" applyFill="1" applyBorder="1" applyAlignment="1">
      <alignment horizontal="center" vertical="center" wrapText="1"/>
    </xf>
    <xf numFmtId="164" fontId="2" fillId="2" borderId="8" xfId="1" applyNumberFormat="1" applyFill="1" applyBorder="1" applyAlignment="1">
      <alignment horizontal="center" vertical="center" wrapText="1"/>
    </xf>
    <xf numFmtId="0" fontId="2" fillId="2" borderId="8" xfId="1" applyFont="1" applyFill="1" applyBorder="1" applyAlignment="1">
      <alignment horizontal="center" vertical="center" wrapText="1"/>
    </xf>
    <xf numFmtId="0" fontId="5" fillId="2" borderId="8" xfId="1" applyFont="1" applyFill="1" applyBorder="1" applyAlignment="1">
      <alignment horizontal="center" vertical="center" wrapText="1"/>
    </xf>
    <xf numFmtId="14" fontId="2" fillId="2" borderId="8" xfId="1" applyNumberFormat="1" applyFill="1" applyBorder="1" applyAlignment="1">
      <alignment horizontal="center" vertical="center" wrapText="1"/>
    </xf>
    <xf numFmtId="0" fontId="2" fillId="2" borderId="7" xfId="1" applyFill="1" applyBorder="1" applyAlignment="1">
      <alignment horizontal="center" vertical="center" wrapText="1"/>
    </xf>
    <xf numFmtId="0" fontId="2" fillId="2" borderId="15" xfId="1" applyFill="1" applyBorder="1" applyAlignment="1">
      <alignment horizontal="center" vertical="center" wrapText="1"/>
    </xf>
    <xf numFmtId="0" fontId="4" fillId="2" borderId="15" xfId="1" applyFont="1" applyFill="1" applyBorder="1" applyAlignment="1">
      <alignment horizontal="center" vertical="center" wrapText="1"/>
    </xf>
    <xf numFmtId="14" fontId="2" fillId="2" borderId="2" xfId="0" applyNumberFormat="1" applyFont="1" applyFill="1" applyBorder="1" applyAlignment="1">
      <alignment horizontal="center" vertical="center" wrapText="1"/>
    </xf>
    <xf numFmtId="0" fontId="0" fillId="7" borderId="2" xfId="0" applyNumberFormat="1" applyFill="1" applyBorder="1" applyAlignment="1">
      <alignment horizontal="left" vertical="center" wrapText="1"/>
    </xf>
    <xf numFmtId="0" fontId="4" fillId="5" borderId="2" xfId="0" applyNumberFormat="1" applyFont="1" applyFill="1" applyBorder="1" applyAlignment="1">
      <alignment horizontal="left" vertical="center" wrapText="1"/>
    </xf>
    <xf numFmtId="0" fontId="0" fillId="2" borderId="2" xfId="0" applyNumberFormat="1" applyFill="1" applyBorder="1" applyAlignment="1">
      <alignment horizontal="left" vertical="center" wrapText="1"/>
    </xf>
    <xf numFmtId="0" fontId="37" fillId="12" borderId="18" xfId="0" applyFont="1" applyFill="1" applyBorder="1" applyAlignment="1">
      <alignment horizontal="center"/>
    </xf>
    <xf numFmtId="0" fontId="37" fillId="12" borderId="33" xfId="4" applyFont="1" applyFill="1" applyBorder="1" applyAlignment="1">
      <alignment horizontal="center"/>
    </xf>
    <xf numFmtId="0" fontId="37" fillId="12" borderId="17" xfId="0" applyFont="1" applyFill="1" applyBorder="1" applyAlignment="1">
      <alignment horizontal="center" vertical="center"/>
    </xf>
    <xf numFmtId="0" fontId="0" fillId="5" borderId="8" xfId="0" applyFill="1" applyBorder="1" applyAlignment="1">
      <alignment horizontal="center" vertical="center" wrapText="1"/>
    </xf>
    <xf numFmtId="0" fontId="2" fillId="5" borderId="8" xfId="0" applyFont="1" applyFill="1" applyBorder="1" applyAlignment="1">
      <alignment horizontal="center" vertical="center" wrapText="1"/>
    </xf>
    <xf numFmtId="164" fontId="2" fillId="8" borderId="2" xfId="1" applyNumberFormat="1" applyFill="1" applyBorder="1" applyAlignment="1">
      <alignment horizontal="center" vertical="center" wrapText="1"/>
    </xf>
    <xf numFmtId="164" fontId="2" fillId="8" borderId="2" xfId="1" applyNumberFormat="1" applyFont="1" applyFill="1" applyBorder="1" applyAlignment="1">
      <alignment horizontal="center" vertical="center" wrapText="1"/>
    </xf>
    <xf numFmtId="164" fontId="0" fillId="8" borderId="2" xfId="0" applyNumberFormat="1" applyFill="1" applyBorder="1" applyAlignment="1">
      <alignment horizontal="center" vertical="center" wrapText="1"/>
    </xf>
    <xf numFmtId="164" fontId="2" fillId="8" borderId="2" xfId="0" applyNumberFormat="1" applyFont="1" applyFill="1" applyBorder="1" applyAlignment="1">
      <alignment horizontal="center" vertical="center" wrapText="1"/>
    </xf>
    <xf numFmtId="0" fontId="2" fillId="2" borderId="0" xfId="1" applyFill="1" applyBorder="1" applyAlignment="1">
      <alignment horizontal="center" vertical="center" wrapText="1"/>
    </xf>
    <xf numFmtId="14" fontId="2" fillId="8" borderId="2" xfId="1" applyNumberFormat="1" applyFill="1" applyBorder="1" applyAlignment="1">
      <alignment horizontal="center" vertical="center" wrapText="1"/>
    </xf>
    <xf numFmtId="14" fontId="0" fillId="8" borderId="2" xfId="0" applyNumberFormat="1" applyFill="1" applyBorder="1" applyAlignment="1">
      <alignment horizontal="center" vertical="center" wrapText="1"/>
    </xf>
    <xf numFmtId="164" fontId="4" fillId="8" borderId="2" xfId="1" applyNumberFormat="1" applyFont="1" applyFill="1" applyBorder="1" applyAlignment="1">
      <alignment horizontal="center" vertical="center" wrapText="1"/>
    </xf>
    <xf numFmtId="164" fontId="4" fillId="2" borderId="7" xfId="1" applyNumberFormat="1" applyFont="1" applyFill="1" applyBorder="1" applyAlignment="1">
      <alignment horizontal="center" vertical="center" wrapText="1"/>
    </xf>
    <xf numFmtId="0" fontId="2" fillId="2" borderId="10" xfId="1" applyFill="1" applyBorder="1"/>
    <xf numFmtId="14" fontId="4" fillId="7" borderId="2" xfId="0" applyNumberFormat="1" applyFont="1" applyFill="1" applyBorder="1" applyAlignment="1">
      <alignment horizontal="center" vertical="center" wrapText="1"/>
    </xf>
    <xf numFmtId="0" fontId="4" fillId="2" borderId="2" xfId="0" applyFont="1" applyFill="1" applyBorder="1" applyAlignment="1">
      <alignment horizontal="center" vertical="center"/>
    </xf>
    <xf numFmtId="0" fontId="0" fillId="0" borderId="0" xfId="0" applyAlignment="1">
      <alignment horizontal="center"/>
    </xf>
    <xf numFmtId="0" fontId="2" fillId="0" borderId="40" xfId="0" applyFont="1" applyBorder="1" applyAlignment="1">
      <alignment horizontal="center"/>
    </xf>
    <xf numFmtId="0" fontId="2" fillId="0" borderId="41" xfId="0" applyFont="1" applyBorder="1" applyAlignment="1">
      <alignment horizontal="center"/>
    </xf>
    <xf numFmtId="0" fontId="0" fillId="0" borderId="30" xfId="0" applyBorder="1"/>
    <xf numFmtId="0" fontId="53" fillId="0" borderId="30" xfId="0" applyFont="1" applyBorder="1" applyAlignment="1">
      <alignment horizontal="left" vertical="center"/>
    </xf>
    <xf numFmtId="0" fontId="0" fillId="0" borderId="30" xfId="0" applyBorder="1" applyAlignment="1">
      <alignment horizontal="left" vertical="center"/>
    </xf>
    <xf numFmtId="0" fontId="2" fillId="2" borderId="2" xfId="1" applyNumberFormat="1" applyFont="1" applyFill="1" applyBorder="1" applyAlignment="1">
      <alignment horizontal="center" vertical="center" wrapText="1"/>
    </xf>
    <xf numFmtId="0" fontId="2" fillId="2" borderId="2" xfId="1" applyNumberFormat="1" applyFill="1" applyBorder="1" applyAlignment="1">
      <alignment horizontal="center" vertical="center" wrapText="1"/>
    </xf>
    <xf numFmtId="165" fontId="2" fillId="2" borderId="2" xfId="1" applyNumberFormat="1" applyFont="1" applyFill="1" applyBorder="1" applyAlignment="1">
      <alignment horizontal="center" vertical="center" wrapText="1"/>
    </xf>
    <xf numFmtId="165" fontId="2" fillId="2" borderId="2" xfId="1" applyNumberFormat="1" applyFill="1" applyBorder="1" applyAlignment="1">
      <alignment horizontal="center" vertical="center" wrapText="1"/>
    </xf>
    <xf numFmtId="165" fontId="0" fillId="2" borderId="2" xfId="0" applyNumberFormat="1" applyFill="1" applyBorder="1" applyAlignment="1">
      <alignment horizontal="center" vertical="center" wrapText="1"/>
    </xf>
    <xf numFmtId="165" fontId="2" fillId="2" borderId="2" xfId="0" applyNumberFormat="1" applyFont="1" applyFill="1" applyBorder="1" applyAlignment="1">
      <alignment horizontal="center" vertical="center" wrapText="1"/>
    </xf>
    <xf numFmtId="165" fontId="2" fillId="7" borderId="2" xfId="1" applyNumberFormat="1" applyFill="1" applyBorder="1" applyAlignment="1">
      <alignment horizontal="center" vertical="center" wrapText="1"/>
    </xf>
    <xf numFmtId="165" fontId="4" fillId="2" borderId="2" xfId="1" applyNumberFormat="1" applyFont="1" applyFill="1" applyBorder="1" applyAlignment="1">
      <alignment horizontal="center" vertical="center" wrapText="1"/>
    </xf>
    <xf numFmtId="165" fontId="0" fillId="7" borderId="2" xfId="0" applyNumberFormat="1" applyFill="1" applyBorder="1" applyAlignment="1">
      <alignment horizontal="center" vertical="center" wrapText="1"/>
    </xf>
    <xf numFmtId="165" fontId="2" fillId="7" borderId="2" xfId="1" applyNumberFormat="1" applyFont="1" applyFill="1" applyBorder="1" applyAlignment="1">
      <alignment horizontal="center" vertical="center" wrapText="1"/>
    </xf>
    <xf numFmtId="165" fontId="2" fillId="17" borderId="2" xfId="1" applyNumberFormat="1" applyFont="1" applyFill="1" applyBorder="1" applyAlignment="1">
      <alignment horizontal="center" vertical="center" wrapText="1"/>
    </xf>
    <xf numFmtId="165" fontId="2" fillId="5" borderId="2" xfId="1" applyNumberFormat="1" applyFill="1" applyBorder="1" applyAlignment="1">
      <alignment horizontal="center" vertical="center" wrapText="1"/>
    </xf>
    <xf numFmtId="165" fontId="2" fillId="17" borderId="2" xfId="1" applyNumberFormat="1" applyFill="1" applyBorder="1" applyAlignment="1">
      <alignment horizontal="center" vertical="center" wrapText="1"/>
    </xf>
    <xf numFmtId="165" fontId="2" fillId="5" borderId="2" xfId="1" applyNumberFormat="1" applyFont="1" applyFill="1" applyBorder="1" applyAlignment="1">
      <alignment horizontal="center" vertical="center" wrapText="1"/>
    </xf>
    <xf numFmtId="165" fontId="2" fillId="7" borderId="2" xfId="0" applyNumberFormat="1" applyFont="1" applyFill="1" applyBorder="1" applyAlignment="1">
      <alignment horizontal="center" vertical="center" wrapText="1"/>
    </xf>
    <xf numFmtId="165" fontId="2" fillId="5" borderId="2" xfId="0" applyNumberFormat="1" applyFont="1" applyFill="1" applyBorder="1" applyAlignment="1">
      <alignment horizontal="center" vertical="center" wrapText="1"/>
    </xf>
    <xf numFmtId="165" fontId="2" fillId="7" borderId="1" xfId="0" applyNumberFormat="1" applyFont="1" applyFill="1" applyBorder="1" applyAlignment="1">
      <alignment horizontal="center" vertical="center" wrapText="1"/>
    </xf>
    <xf numFmtId="165" fontId="2" fillId="7" borderId="8" xfId="0" applyNumberFormat="1" applyFont="1" applyFill="1" applyBorder="1" applyAlignment="1">
      <alignment horizontal="center" vertical="center" wrapText="1"/>
    </xf>
    <xf numFmtId="165" fontId="2" fillId="7" borderId="7" xfId="0" applyNumberFormat="1" applyFont="1" applyFill="1" applyBorder="1" applyAlignment="1">
      <alignment horizontal="center" vertical="center" wrapText="1"/>
    </xf>
    <xf numFmtId="165" fontId="0" fillId="5" borderId="2" xfId="0" applyNumberFormat="1" applyFill="1" applyBorder="1" applyAlignment="1">
      <alignment horizontal="center" vertical="center" wrapText="1"/>
    </xf>
    <xf numFmtId="164" fontId="2" fillId="2" borderId="0" xfId="1" applyNumberFormat="1" applyFill="1" applyBorder="1" applyAlignment="1">
      <alignment horizontal="center" vertical="center" wrapText="1"/>
    </xf>
    <xf numFmtId="0" fontId="6" fillId="7" borderId="2" xfId="1" applyFont="1" applyFill="1" applyBorder="1" applyAlignment="1">
      <alignment horizontal="center" vertical="center" wrapText="1"/>
    </xf>
    <xf numFmtId="0" fontId="4" fillId="17" borderId="2" xfId="0" applyFont="1" applyFill="1" applyBorder="1" applyAlignment="1">
      <alignment horizontal="center" vertical="center"/>
    </xf>
    <xf numFmtId="14" fontId="5" fillId="17" borderId="2" xfId="1" applyNumberFormat="1" applyFont="1" applyFill="1" applyBorder="1" applyAlignment="1">
      <alignment horizontal="center" vertical="center" wrapText="1"/>
    </xf>
    <xf numFmtId="164" fontId="0" fillId="17" borderId="2" xfId="0" applyNumberFormat="1" applyFill="1" applyBorder="1" applyAlignment="1">
      <alignment horizontal="center" vertical="center" wrapText="1"/>
    </xf>
    <xf numFmtId="165" fontId="2" fillId="17" borderId="2" xfId="0" applyNumberFormat="1" applyFont="1" applyFill="1" applyBorder="1" applyAlignment="1">
      <alignment horizontal="center" vertical="center" wrapText="1"/>
    </xf>
    <xf numFmtId="0" fontId="2" fillId="17" borderId="2" xfId="0" applyFont="1" applyFill="1" applyBorder="1" applyAlignment="1">
      <alignment horizontal="center" vertical="center" wrapText="1"/>
    </xf>
    <xf numFmtId="0" fontId="0" fillId="17" borderId="2" xfId="0" applyFill="1" applyBorder="1" applyAlignment="1">
      <alignment horizontal="center" vertical="center" wrapText="1"/>
    </xf>
    <xf numFmtId="0" fontId="5" fillId="17" borderId="2" xfId="0" applyFont="1" applyFill="1" applyBorder="1" applyAlignment="1">
      <alignment horizontal="center" vertical="center" wrapText="1"/>
    </xf>
    <xf numFmtId="14" fontId="5" fillId="17" borderId="2" xfId="0" applyNumberFormat="1" applyFont="1" applyFill="1" applyBorder="1" applyAlignment="1">
      <alignment horizontal="center" vertical="center" wrapText="1"/>
    </xf>
    <xf numFmtId="20" fontId="0" fillId="7" borderId="2" xfId="0" applyNumberFormat="1" applyFill="1" applyBorder="1" applyAlignment="1">
      <alignment horizontal="center" vertical="center" wrapText="1"/>
    </xf>
    <xf numFmtId="165" fontId="2" fillId="7" borderId="30" xfId="0" applyNumberFormat="1" applyFont="1" applyFill="1" applyBorder="1" applyAlignment="1">
      <alignment horizontal="center" vertical="center" wrapText="1"/>
    </xf>
    <xf numFmtId="0" fontId="2" fillId="7" borderId="2" xfId="0" applyFont="1" applyFill="1" applyBorder="1" applyAlignment="1">
      <alignment horizontal="center" vertical="center"/>
    </xf>
    <xf numFmtId="9" fontId="2" fillId="2" borderId="2" xfId="3" applyFont="1" applyFill="1" applyBorder="1" applyAlignment="1">
      <alignment horizontal="center" vertical="center" wrapText="1"/>
    </xf>
    <xf numFmtId="0" fontId="0" fillId="7" borderId="2" xfId="0" applyFill="1" applyBorder="1"/>
    <xf numFmtId="14" fontId="2" fillId="7" borderId="2" xfId="1" applyNumberFormat="1" applyFill="1" applyBorder="1" applyAlignment="1">
      <alignment horizontal="center" vertical="center" wrapText="1"/>
    </xf>
    <xf numFmtId="0" fontId="4" fillId="7" borderId="4" xfId="0" applyFont="1" applyFill="1" applyBorder="1" applyAlignment="1">
      <alignment horizontal="center" vertical="center" wrapText="1"/>
    </xf>
    <xf numFmtId="0" fontId="4" fillId="2" borderId="4" xfId="0" applyFont="1" applyFill="1" applyBorder="1" applyAlignment="1">
      <alignment horizontal="center" vertical="center"/>
    </xf>
    <xf numFmtId="0" fontId="4" fillId="0" borderId="14" xfId="1" applyFont="1" applyBorder="1" applyAlignment="1">
      <alignment horizontal="center" vertical="center" wrapText="1"/>
    </xf>
    <xf numFmtId="0" fontId="2" fillId="7" borderId="2" xfId="1" applyFill="1" applyBorder="1"/>
    <xf numFmtId="0" fontId="4" fillId="0" borderId="2" xfId="0" applyFont="1" applyBorder="1" applyAlignment="1">
      <alignment horizontal="center" vertical="center"/>
    </xf>
    <xf numFmtId="0" fontId="2" fillId="7" borderId="30" xfId="1" applyFont="1" applyFill="1" applyBorder="1" applyAlignment="1">
      <alignment horizontal="center" vertical="center" wrapText="1"/>
    </xf>
    <xf numFmtId="165" fontId="2" fillId="2" borderId="1" xfId="1" applyNumberFormat="1" applyFill="1" applyBorder="1" applyAlignment="1">
      <alignment horizontal="center" vertical="center" wrapText="1"/>
    </xf>
    <xf numFmtId="164" fontId="2" fillId="8" borderId="1" xfId="1" applyNumberFormat="1" applyFill="1" applyBorder="1" applyAlignment="1">
      <alignment horizontal="center" vertical="center" wrapText="1"/>
    </xf>
    <xf numFmtId="49" fontId="2" fillId="2" borderId="2" xfId="1" applyNumberFormat="1" applyFont="1" applyFill="1" applyBorder="1" applyAlignment="1">
      <alignment horizontal="center" vertical="center"/>
    </xf>
    <xf numFmtId="0" fontId="2" fillId="2" borderId="8" xfId="1" applyFill="1" applyBorder="1" applyAlignment="1">
      <alignment horizontal="center" vertical="center" wrapText="1"/>
    </xf>
    <xf numFmtId="14" fontId="2" fillId="2" borderId="1" xfId="1" applyNumberFormat="1" applyFill="1" applyBorder="1" applyAlignment="1">
      <alignment horizontal="center" vertical="center" wrapText="1"/>
    </xf>
    <xf numFmtId="14" fontId="2" fillId="2" borderId="20" xfId="1" applyNumberFormat="1" applyFill="1" applyBorder="1" applyAlignment="1">
      <alignment horizontal="center" vertical="center" wrapText="1"/>
    </xf>
    <xf numFmtId="0" fontId="2" fillId="4" borderId="42" xfId="0" applyFont="1" applyFill="1" applyBorder="1" applyAlignment="1">
      <alignment horizontal="center" vertical="center" wrapText="1"/>
    </xf>
    <xf numFmtId="0" fontId="2" fillId="2" borderId="30" xfId="1" applyFont="1" applyFill="1" applyBorder="1" applyAlignment="1">
      <alignment horizontal="center" vertical="center" wrapText="1"/>
    </xf>
    <xf numFmtId="0" fontId="2" fillId="5" borderId="30" xfId="1" applyFont="1" applyFill="1" applyBorder="1" applyAlignment="1">
      <alignment horizontal="center" vertical="center" wrapText="1"/>
    </xf>
    <xf numFmtId="0" fontId="2" fillId="17" borderId="30" xfId="1" applyFont="1" applyFill="1" applyBorder="1" applyAlignment="1">
      <alignment horizontal="center" vertical="center" wrapText="1"/>
    </xf>
    <xf numFmtId="0" fontId="37" fillId="3" borderId="15" xfId="0" applyFont="1" applyFill="1" applyBorder="1" applyAlignment="1">
      <alignment horizontal="center" vertical="center"/>
    </xf>
    <xf numFmtId="0" fontId="4" fillId="11" borderId="41" xfId="0" applyFont="1" applyFill="1" applyBorder="1" applyAlignment="1">
      <alignment horizontal="center" vertical="center" wrapText="1"/>
    </xf>
    <xf numFmtId="0" fontId="2" fillId="0" borderId="20" xfId="0" applyFont="1" applyBorder="1"/>
    <xf numFmtId="0" fontId="0" fillId="0" borderId="20" xfId="0" applyBorder="1"/>
    <xf numFmtId="0" fontId="2" fillId="0" borderId="0" xfId="0" applyFont="1" applyBorder="1"/>
    <xf numFmtId="0" fontId="37" fillId="12" borderId="35" xfId="0" applyFont="1" applyFill="1" applyBorder="1" applyAlignment="1">
      <alignment horizontal="center" vertical="center"/>
    </xf>
    <xf numFmtId="0" fontId="37" fillId="0" borderId="43" xfId="0" applyFont="1" applyBorder="1" applyAlignment="1">
      <alignment horizontal="center" vertical="center"/>
    </xf>
    <xf numFmtId="0" fontId="37" fillId="12" borderId="45" xfId="0" applyFont="1" applyFill="1" applyBorder="1" applyAlignment="1">
      <alignment horizontal="center" vertical="center"/>
    </xf>
    <xf numFmtId="0" fontId="37" fillId="0" borderId="46" xfId="0" applyFont="1" applyBorder="1" applyAlignment="1">
      <alignment horizontal="center" vertical="center"/>
    </xf>
    <xf numFmtId="0" fontId="37" fillId="12" borderId="22" xfId="0" applyFont="1" applyFill="1" applyBorder="1" applyAlignment="1">
      <alignment horizontal="center" vertical="center"/>
    </xf>
    <xf numFmtId="0" fontId="37" fillId="12" borderId="38" xfId="0" applyFont="1" applyFill="1" applyBorder="1" applyAlignment="1">
      <alignment horizontal="center" vertical="center"/>
    </xf>
    <xf numFmtId="0" fontId="37" fillId="12" borderId="39" xfId="0" applyFont="1" applyFill="1" applyBorder="1" applyAlignment="1">
      <alignment horizontal="center" vertical="center"/>
    </xf>
    <xf numFmtId="0" fontId="4" fillId="11" borderId="35" xfId="0" applyFont="1" applyFill="1" applyBorder="1" applyAlignment="1">
      <alignment horizontal="center" vertical="center" wrapText="1"/>
    </xf>
    <xf numFmtId="0" fontId="4" fillId="11" borderId="44" xfId="0" applyFont="1" applyFill="1" applyBorder="1" applyAlignment="1">
      <alignment horizontal="center" vertical="center" wrapText="1"/>
    </xf>
    <xf numFmtId="0" fontId="42" fillId="3" borderId="47" xfId="0" applyFont="1" applyFill="1" applyBorder="1" applyAlignment="1">
      <alignment horizontal="center" vertical="center"/>
    </xf>
    <xf numFmtId="0" fontId="37" fillId="3" borderId="47" xfId="0" applyFont="1" applyFill="1" applyBorder="1" applyAlignment="1">
      <alignment horizontal="center" vertical="center"/>
    </xf>
    <xf numFmtId="0" fontId="56" fillId="18" borderId="17" xfId="6" applyFont="1" applyBorder="1" applyAlignment="1">
      <alignment horizontal="center" vertical="center"/>
    </xf>
    <xf numFmtId="0" fontId="56" fillId="18" borderId="19" xfId="6" applyFont="1" applyBorder="1" applyAlignment="1">
      <alignment horizontal="center" vertical="center"/>
    </xf>
    <xf numFmtId="14" fontId="5" fillId="2" borderId="2" xfId="1" applyNumberFormat="1" applyFont="1" applyFill="1" applyBorder="1" applyAlignment="1">
      <alignment horizontal="center" vertical="center" wrapText="1"/>
    </xf>
    <xf numFmtId="14" fontId="2" fillId="5" borderId="2" xfId="0" applyNumberFormat="1" applyFont="1" applyFill="1" applyBorder="1" applyAlignment="1">
      <alignment horizontal="center" vertical="center" wrapText="1"/>
    </xf>
    <xf numFmtId="0" fontId="2" fillId="7" borderId="0" xfId="1" applyFont="1" applyFill="1" applyBorder="1" applyAlignment="1">
      <alignment horizontal="center" vertical="center" wrapText="1"/>
    </xf>
    <xf numFmtId="0" fontId="2" fillId="2" borderId="7" xfId="0" applyFont="1" applyFill="1" applyBorder="1" applyAlignment="1">
      <alignment horizontal="center" vertical="center" wrapText="1"/>
    </xf>
    <xf numFmtId="0" fontId="0" fillId="2" borderId="7" xfId="0" applyFill="1" applyBorder="1" applyAlignment="1">
      <alignment horizontal="center" vertical="center" wrapText="1"/>
    </xf>
    <xf numFmtId="164" fontId="2" fillId="7" borderId="1" xfId="1" applyNumberFormat="1" applyFill="1" applyBorder="1" applyAlignment="1">
      <alignment horizontal="center" vertical="center" wrapText="1"/>
    </xf>
    <xf numFmtId="0" fontId="2" fillId="2" borderId="8" xfId="1" applyNumberFormat="1" applyFill="1" applyBorder="1" applyAlignment="1">
      <alignment horizontal="center" vertical="center" wrapText="1"/>
    </xf>
    <xf numFmtId="165" fontId="2" fillId="7" borderId="1" xfId="1" applyNumberFormat="1" applyFill="1" applyBorder="1" applyAlignment="1">
      <alignment horizontal="center" vertical="center" wrapText="1"/>
    </xf>
    <xf numFmtId="0" fontId="2" fillId="2" borderId="1" xfId="1" applyNumberFormat="1" applyFont="1" applyFill="1" applyBorder="1" applyAlignment="1">
      <alignment horizontal="center" vertical="center" wrapText="1"/>
    </xf>
    <xf numFmtId="0" fontId="2" fillId="2" borderId="8" xfId="1" applyNumberFormat="1" applyFont="1" applyFill="1" applyBorder="1" applyAlignment="1">
      <alignment horizontal="left" vertical="center" wrapText="1"/>
    </xf>
    <xf numFmtId="0" fontId="2" fillId="7" borderId="1" xfId="1" applyNumberFormat="1" applyFont="1" applyFill="1" applyBorder="1" applyAlignment="1">
      <alignment horizontal="left" vertical="center" wrapText="1"/>
    </xf>
    <xf numFmtId="164" fontId="2" fillId="8" borderId="8" xfId="1" applyNumberFormat="1" applyFill="1" applyBorder="1" applyAlignment="1">
      <alignment horizontal="center" vertical="center" wrapText="1"/>
    </xf>
    <xf numFmtId="0" fontId="2" fillId="2" borderId="0" xfId="1" applyFont="1" applyFill="1" applyBorder="1" applyAlignment="1">
      <alignment horizontal="center" vertical="center" wrapText="1"/>
    </xf>
    <xf numFmtId="0" fontId="2" fillId="8" borderId="8" xfId="1" applyFill="1" applyBorder="1" applyAlignment="1">
      <alignment horizontal="center" vertical="center" wrapText="1"/>
    </xf>
    <xf numFmtId="0" fontId="2" fillId="8" borderId="1" xfId="1" applyFill="1" applyBorder="1" applyAlignment="1">
      <alignment horizontal="center" vertical="center" wrapText="1"/>
    </xf>
    <xf numFmtId="0" fontId="2" fillId="8" borderId="0" xfId="1" applyFont="1" applyFill="1" applyBorder="1" applyAlignment="1">
      <alignment horizontal="center" vertical="center" wrapText="1"/>
    </xf>
    <xf numFmtId="0" fontId="26" fillId="2" borderId="2" xfId="1" applyFont="1" applyFill="1" applyBorder="1" applyAlignment="1">
      <alignment horizontal="center" vertical="center" wrapText="1"/>
    </xf>
    <xf numFmtId="0" fontId="4" fillId="2" borderId="1" xfId="1" applyFont="1" applyFill="1" applyBorder="1" applyAlignment="1">
      <alignment horizontal="center" vertical="center" wrapText="1"/>
    </xf>
    <xf numFmtId="0" fontId="5" fillId="7" borderId="1" xfId="1" applyFont="1" applyFill="1" applyBorder="1" applyAlignment="1">
      <alignment horizontal="center" vertical="center" wrapText="1"/>
    </xf>
    <xf numFmtId="164" fontId="34" fillId="2" borderId="14" xfId="2" applyNumberFormat="1" applyFont="1" applyFill="1" applyBorder="1" applyAlignment="1">
      <alignment horizontal="center" vertical="center" wrapText="1"/>
    </xf>
    <xf numFmtId="14" fontId="2" fillId="7" borderId="4" xfId="1" applyNumberFormat="1" applyFill="1" applyBorder="1" applyAlignment="1">
      <alignment horizontal="center" vertical="center" wrapText="1"/>
    </xf>
    <xf numFmtId="14" fontId="2" fillId="5" borderId="2" xfId="1" applyNumberFormat="1" applyFill="1" applyBorder="1" applyAlignment="1">
      <alignment horizontal="center" vertical="center" wrapText="1"/>
    </xf>
    <xf numFmtId="14" fontId="4" fillId="2" borderId="14" xfId="1" applyNumberFormat="1" applyFont="1" applyFill="1" applyBorder="1" applyAlignment="1">
      <alignment horizontal="center" vertical="center" wrapText="1"/>
    </xf>
    <xf numFmtId="14" fontId="0" fillId="17" borderId="14" xfId="0" applyNumberFormat="1" applyFill="1" applyBorder="1" applyAlignment="1">
      <alignment horizontal="center" vertical="center" wrapText="1"/>
    </xf>
    <xf numFmtId="14" fontId="2" fillId="17" borderId="2" xfId="1" applyNumberFormat="1" applyFill="1" applyBorder="1" applyAlignment="1">
      <alignment horizontal="center" vertical="center" wrapText="1"/>
    </xf>
    <xf numFmtId="0" fontId="0" fillId="17" borderId="1" xfId="0" applyFill="1" applyBorder="1" applyAlignment="1">
      <alignment horizontal="center" vertical="center" wrapText="1"/>
    </xf>
    <xf numFmtId="0" fontId="4" fillId="17" borderId="4" xfId="0" applyFont="1" applyFill="1" applyBorder="1" applyAlignment="1">
      <alignment horizontal="center" vertical="center" wrapText="1"/>
    </xf>
    <xf numFmtId="0" fontId="4" fillId="17" borderId="2" xfId="1" applyFont="1" applyFill="1" applyBorder="1" applyAlignment="1">
      <alignment horizontal="center" vertical="center" wrapText="1"/>
    </xf>
    <xf numFmtId="0" fontId="2" fillId="2" borderId="5" xfId="1" applyFill="1" applyBorder="1"/>
    <xf numFmtId="0" fontId="2" fillId="0" borderId="2" xfId="1" applyBorder="1"/>
    <xf numFmtId="0" fontId="4" fillId="2" borderId="11" xfId="1" applyFont="1" applyFill="1" applyBorder="1" applyAlignment="1">
      <alignment horizontal="center" vertical="center" wrapText="1"/>
    </xf>
    <xf numFmtId="0" fontId="2" fillId="2" borderId="9" xfId="1" applyFill="1" applyBorder="1" applyAlignment="1">
      <alignment horizontal="center" vertical="center" wrapText="1"/>
    </xf>
    <xf numFmtId="0" fontId="0" fillId="17" borderId="11" xfId="0" applyFill="1" applyBorder="1" applyAlignment="1">
      <alignment horizontal="center" vertical="center" wrapText="1"/>
    </xf>
    <xf numFmtId="164" fontId="2" fillId="2" borderId="0" xfId="1" applyNumberFormat="1" applyFill="1" applyAlignment="1">
      <alignment horizontal="center" vertical="center" wrapText="1"/>
    </xf>
    <xf numFmtId="0" fontId="41" fillId="0" borderId="30" xfId="0" applyFont="1" applyBorder="1" applyAlignment="1">
      <alignment horizontal="center" vertical="center"/>
    </xf>
    <xf numFmtId="0" fontId="41" fillId="3" borderId="30" xfId="0" applyFont="1" applyFill="1" applyBorder="1" applyAlignment="1">
      <alignment horizontal="center" vertical="center"/>
    </xf>
    <xf numFmtId="165" fontId="0" fillId="17" borderId="2" xfId="0" applyNumberFormat="1" applyFill="1" applyBorder="1" applyAlignment="1">
      <alignment horizontal="center" vertical="center" wrapText="1"/>
    </xf>
    <xf numFmtId="14" fontId="0" fillId="17" borderId="2" xfId="0" applyNumberFormat="1" applyFill="1" applyBorder="1" applyAlignment="1">
      <alignment horizontal="center" vertical="center" wrapText="1"/>
    </xf>
    <xf numFmtId="0" fontId="4" fillId="0" borderId="0" xfId="0" applyFont="1" applyAlignment="1">
      <alignment horizontal="center" vertical="center"/>
    </xf>
    <xf numFmtId="0" fontId="37" fillId="0" borderId="20" xfId="0" applyFont="1" applyBorder="1" applyAlignment="1">
      <alignment horizontal="center" vertical="center"/>
    </xf>
    <xf numFmtId="0" fontId="37" fillId="12" borderId="18" xfId="0" applyFont="1" applyFill="1" applyBorder="1" applyAlignment="1">
      <alignment horizontal="center" vertical="center"/>
    </xf>
    <xf numFmtId="0" fontId="37" fillId="12" borderId="33" xfId="0" applyFont="1" applyFill="1" applyBorder="1" applyAlignment="1">
      <alignment horizontal="center"/>
    </xf>
    <xf numFmtId="0" fontId="37" fillId="12" borderId="16" xfId="0" applyFont="1" applyFill="1" applyBorder="1" applyAlignment="1">
      <alignment horizontal="center"/>
    </xf>
    <xf numFmtId="0" fontId="4" fillId="11" borderId="15" xfId="0" applyFont="1" applyFill="1" applyBorder="1" applyAlignment="1">
      <alignment horizontal="center" vertical="center"/>
    </xf>
    <xf numFmtId="0" fontId="4" fillId="11" borderId="51" xfId="0" applyFont="1" applyFill="1" applyBorder="1" applyAlignment="1">
      <alignment horizontal="center" vertical="center"/>
    </xf>
    <xf numFmtId="0" fontId="4" fillId="11" borderId="52" xfId="0" applyFont="1" applyFill="1" applyBorder="1" applyAlignment="1">
      <alignment horizontal="center" vertical="center" wrapText="1"/>
    </xf>
    <xf numFmtId="0" fontId="4" fillId="11" borderId="53" xfId="0" applyFont="1" applyFill="1" applyBorder="1" applyAlignment="1">
      <alignment horizontal="center" vertical="center" wrapText="1"/>
    </xf>
    <xf numFmtId="0" fontId="52" fillId="12" borderId="51" xfId="0" applyFont="1" applyFill="1" applyBorder="1" applyAlignment="1">
      <alignment vertical="center" wrapText="1"/>
    </xf>
    <xf numFmtId="0" fontId="52" fillId="12" borderId="50" xfId="0" applyFont="1" applyFill="1" applyBorder="1" applyAlignment="1">
      <alignment vertical="center" wrapText="1"/>
    </xf>
    <xf numFmtId="0" fontId="52" fillId="12" borderId="53" xfId="0" applyFont="1" applyFill="1" applyBorder="1" applyAlignment="1">
      <alignment vertical="center" wrapText="1"/>
    </xf>
    <xf numFmtId="0" fontId="4" fillId="11" borderId="7" xfId="0" applyFont="1" applyFill="1" applyBorder="1" applyAlignment="1">
      <alignment horizontal="center" vertical="center"/>
    </xf>
    <xf numFmtId="0" fontId="4" fillId="11" borderId="43" xfId="0" applyFont="1" applyFill="1" applyBorder="1" applyAlignment="1">
      <alignment horizontal="center" vertical="center" wrapText="1"/>
    </xf>
    <xf numFmtId="0" fontId="0" fillId="12" borderId="51" xfId="0" applyFill="1" applyBorder="1"/>
    <xf numFmtId="0" fontId="0" fillId="12" borderId="50" xfId="0" applyFill="1" applyBorder="1"/>
    <xf numFmtId="0" fontId="0" fillId="12" borderId="53" xfId="0" applyFill="1" applyBorder="1"/>
    <xf numFmtId="14" fontId="5" fillId="2" borderId="2" xfId="0" applyNumberFormat="1" applyFont="1" applyFill="1" applyBorder="1" applyAlignment="1">
      <alignment horizontal="center" vertical="center" wrapText="1"/>
    </xf>
    <xf numFmtId="0" fontId="60" fillId="19" borderId="55" xfId="7" applyFont="1"/>
    <xf numFmtId="0" fontId="61" fillId="16" borderId="55" xfId="7" applyFont="1" applyFill="1"/>
    <xf numFmtId="0" fontId="60" fillId="19" borderId="55" xfId="7" applyFont="1" applyAlignment="1">
      <alignment horizontal="center"/>
    </xf>
    <xf numFmtId="0" fontId="62" fillId="18" borderId="55" xfId="6" applyFont="1" applyBorder="1" applyAlignment="1">
      <alignment horizontal="center"/>
    </xf>
    <xf numFmtId="0" fontId="2" fillId="0" borderId="30" xfId="1" applyFont="1" applyFill="1" applyBorder="1" applyAlignment="1">
      <alignment horizontal="center" vertical="center" wrapText="1"/>
    </xf>
    <xf numFmtId="164" fontId="2" fillId="0" borderId="2" xfId="1" applyNumberFormat="1" applyFill="1" applyBorder="1" applyAlignment="1">
      <alignment horizontal="center" vertical="center" wrapText="1"/>
    </xf>
    <xf numFmtId="165" fontId="2" fillId="0" borderId="2" xfId="1" applyNumberFormat="1" applyFont="1" applyFill="1" applyBorder="1" applyAlignment="1">
      <alignment horizontal="center" vertical="center" wrapText="1"/>
    </xf>
    <xf numFmtId="0" fontId="2" fillId="0" borderId="2" xfId="1" applyFont="1" applyFill="1" applyBorder="1" applyAlignment="1">
      <alignment horizontal="center" vertical="center" wrapText="1"/>
    </xf>
    <xf numFmtId="0" fontId="2" fillId="0" borderId="2" xfId="1" applyNumberFormat="1" applyFont="1" applyFill="1" applyBorder="1" applyAlignment="1">
      <alignment horizontal="left" vertical="center" wrapText="1"/>
    </xf>
    <xf numFmtId="0" fontId="2" fillId="0" borderId="2" xfId="1" applyFill="1" applyBorder="1" applyAlignment="1">
      <alignment horizontal="center" vertical="center" wrapText="1"/>
    </xf>
    <xf numFmtId="0" fontId="2" fillId="0" borderId="8" xfId="0" applyFont="1" applyFill="1" applyBorder="1" applyAlignment="1">
      <alignment horizontal="center" vertical="center" wrapText="1"/>
    </xf>
    <xf numFmtId="0" fontId="2" fillId="0" borderId="1" xfId="0" applyFont="1" applyFill="1" applyBorder="1" applyAlignment="1">
      <alignment horizontal="center" vertical="center" wrapText="1"/>
    </xf>
    <xf numFmtId="0" fontId="5" fillId="0" borderId="2" xfId="1" applyFont="1" applyFill="1" applyBorder="1" applyAlignment="1">
      <alignment horizontal="center" vertical="center" wrapText="1"/>
    </xf>
    <xf numFmtId="0" fontId="0" fillId="0" borderId="8" xfId="0" applyFill="1" applyBorder="1" applyAlignment="1">
      <alignment horizontal="center" vertical="center" wrapText="1"/>
    </xf>
    <xf numFmtId="14" fontId="2" fillId="0" borderId="14" xfId="1" applyNumberFormat="1" applyFill="1" applyBorder="1" applyAlignment="1">
      <alignment horizontal="center" vertical="center" wrapText="1"/>
    </xf>
    <xf numFmtId="0" fontId="2" fillId="0" borderId="1" xfId="1" applyFill="1" applyBorder="1" applyAlignment="1">
      <alignment horizontal="center" vertical="center" wrapText="1"/>
    </xf>
    <xf numFmtId="0" fontId="2" fillId="0" borderId="11" xfId="1" applyFill="1" applyBorder="1"/>
    <xf numFmtId="0" fontId="4" fillId="0" borderId="6" xfId="0" applyFont="1" applyFill="1" applyBorder="1" applyAlignment="1">
      <alignment horizontal="center" vertical="center"/>
    </xf>
    <xf numFmtId="0" fontId="60" fillId="19" borderId="55" xfId="7" applyFont="1" applyAlignment="1">
      <alignment horizontal="left"/>
    </xf>
    <xf numFmtId="0" fontId="52" fillId="0" borderId="16" xfId="0" applyFont="1" applyBorder="1" applyAlignment="1">
      <alignment horizontal="center" vertical="center" wrapText="1"/>
    </xf>
    <xf numFmtId="0" fontId="52" fillId="0" borderId="17" xfId="0" applyFont="1" applyBorder="1" applyAlignment="1">
      <alignment horizontal="center" vertical="center" wrapText="1"/>
    </xf>
    <xf numFmtId="0" fontId="52" fillId="12" borderId="40" xfId="0" applyFont="1" applyFill="1" applyBorder="1" applyAlignment="1">
      <alignment horizontal="center" vertical="center" wrapText="1"/>
    </xf>
    <xf numFmtId="0" fontId="52" fillId="12" borderId="54" xfId="0" applyFont="1" applyFill="1" applyBorder="1" applyAlignment="1">
      <alignment horizontal="center" vertical="center" wrapText="1"/>
    </xf>
    <xf numFmtId="0" fontId="52" fillId="12" borderId="41" xfId="0" applyFont="1" applyFill="1" applyBorder="1" applyAlignment="1">
      <alignment horizontal="center" vertical="center" wrapText="1"/>
    </xf>
    <xf numFmtId="0" fontId="52" fillId="12" borderId="33" xfId="0" applyFont="1" applyFill="1" applyBorder="1" applyAlignment="1">
      <alignment horizontal="center" vertical="center" wrapText="1"/>
    </xf>
    <xf numFmtId="0" fontId="52" fillId="12" borderId="13" xfId="0" applyFont="1" applyFill="1" applyBorder="1" applyAlignment="1">
      <alignment horizontal="center" vertical="center" wrapText="1"/>
    </xf>
    <xf numFmtId="0" fontId="52" fillId="12" borderId="44" xfId="0" applyFont="1" applyFill="1" applyBorder="1" applyAlignment="1">
      <alignment horizontal="center" vertical="center" wrapText="1"/>
    </xf>
    <xf numFmtId="0" fontId="4" fillId="11" borderId="7" xfId="0" applyFont="1" applyFill="1" applyBorder="1" applyAlignment="1">
      <alignment horizontal="center" vertical="center"/>
    </xf>
    <xf numFmtId="0" fontId="4" fillId="3" borderId="15" xfId="0" applyFont="1" applyFill="1" applyBorder="1" applyAlignment="1">
      <alignment horizontal="center"/>
    </xf>
    <xf numFmtId="0" fontId="4" fillId="3" borderId="32" xfId="0" applyFont="1" applyFill="1" applyBorder="1" applyAlignment="1">
      <alignment horizontal="center"/>
    </xf>
    <xf numFmtId="0" fontId="4" fillId="3" borderId="37" xfId="0" applyFont="1" applyFill="1" applyBorder="1" applyAlignment="1">
      <alignment horizontal="center"/>
    </xf>
    <xf numFmtId="0" fontId="4" fillId="11" borderId="7" xfId="0" applyFont="1" applyFill="1" applyBorder="1" applyAlignment="1">
      <alignment horizontal="center"/>
    </xf>
    <xf numFmtId="0" fontId="60" fillId="19" borderId="56" xfId="7" applyFont="1" applyBorder="1" applyAlignment="1">
      <alignment horizontal="center"/>
    </xf>
    <xf numFmtId="0" fontId="60" fillId="19" borderId="57" xfId="7" applyFont="1" applyBorder="1" applyAlignment="1">
      <alignment horizontal="center"/>
    </xf>
    <xf numFmtId="0" fontId="60" fillId="19" borderId="58" xfId="7" applyFont="1" applyBorder="1" applyAlignment="1">
      <alignment horizontal="center"/>
    </xf>
    <xf numFmtId="0" fontId="60" fillId="19" borderId="56" xfId="7" applyFont="1" applyBorder="1" applyAlignment="1">
      <alignment horizontal="left"/>
    </xf>
    <xf numFmtId="0" fontId="60" fillId="19" borderId="57" xfId="7" applyFont="1" applyBorder="1" applyAlignment="1">
      <alignment horizontal="left"/>
    </xf>
    <xf numFmtId="0" fontId="60" fillId="19" borderId="58" xfId="7" applyFont="1" applyBorder="1" applyAlignment="1">
      <alignment horizontal="left"/>
    </xf>
    <xf numFmtId="0" fontId="52" fillId="12" borderId="0" xfId="0" applyFont="1" applyFill="1" applyBorder="1" applyAlignment="1">
      <alignment horizontal="center" vertical="center" wrapText="1"/>
    </xf>
    <xf numFmtId="0" fontId="41" fillId="12" borderId="4" xfId="0" applyFont="1" applyFill="1" applyBorder="1" applyAlignment="1">
      <alignment horizontal="center"/>
    </xf>
    <xf numFmtId="0" fontId="41" fillId="12" borderId="34" xfId="0" applyFont="1" applyFill="1" applyBorder="1" applyAlignment="1">
      <alignment horizontal="center"/>
    </xf>
    <xf numFmtId="0" fontId="41" fillId="12" borderId="3" xfId="0" applyFont="1" applyFill="1" applyBorder="1" applyAlignment="1">
      <alignment horizontal="center"/>
    </xf>
    <xf numFmtId="0" fontId="38" fillId="10" borderId="1" xfId="4" applyFont="1" applyBorder="1" applyAlignment="1">
      <alignment horizontal="center"/>
    </xf>
    <xf numFmtId="0" fontId="37" fillId="0" borderId="0" xfId="0" applyFont="1" applyBorder="1" applyAlignment="1">
      <alignment horizontal="center"/>
    </xf>
    <xf numFmtId="0" fontId="4" fillId="11" borderId="30" xfId="0" applyFont="1" applyFill="1" applyBorder="1" applyAlignment="1">
      <alignment horizontal="center"/>
    </xf>
    <xf numFmtId="0" fontId="4" fillId="11" borderId="30" xfId="0" applyFont="1" applyFill="1" applyBorder="1" applyAlignment="1">
      <alignment horizontal="center" vertical="center"/>
    </xf>
    <xf numFmtId="0" fontId="41" fillId="12" borderId="14" xfId="0" applyFont="1" applyFill="1" applyBorder="1" applyAlignment="1">
      <alignment horizontal="center"/>
    </xf>
    <xf numFmtId="0" fontId="41" fillId="12" borderId="48" xfId="0" applyFont="1" applyFill="1" applyBorder="1" applyAlignment="1">
      <alignment horizontal="center"/>
    </xf>
    <xf numFmtId="0" fontId="41" fillId="12" borderId="49" xfId="0" applyFont="1" applyFill="1" applyBorder="1" applyAlignment="1">
      <alignment horizontal="center"/>
    </xf>
    <xf numFmtId="0" fontId="48" fillId="0" borderId="0" xfId="0" applyFont="1" applyAlignment="1">
      <alignment horizontal="center"/>
    </xf>
    <xf numFmtId="0" fontId="51" fillId="0" borderId="0" xfId="0" applyFont="1" applyAlignment="1">
      <alignment horizontal="center" vertical="center"/>
    </xf>
    <xf numFmtId="0" fontId="50" fillId="14" borderId="0" xfId="0" applyFont="1" applyFill="1" applyAlignment="1">
      <alignment horizontal="center"/>
    </xf>
    <xf numFmtId="0" fontId="45" fillId="13" borderId="0" xfId="0" applyFont="1" applyFill="1" applyAlignment="1">
      <alignment horizontal="center" vertical="center"/>
    </xf>
    <xf numFmtId="0" fontId="46" fillId="0" borderId="0" xfId="0" applyFont="1" applyAlignment="1">
      <alignment horizontal="center" vertical="center"/>
    </xf>
    <xf numFmtId="0" fontId="47" fillId="14" borderId="0" xfId="0" applyFont="1" applyFill="1" applyAlignment="1">
      <alignment horizontal="center" vertical="center"/>
    </xf>
    <xf numFmtId="0" fontId="29" fillId="0" borderId="0" xfId="0" applyFont="1" applyAlignment="1">
      <alignment horizontal="center"/>
    </xf>
    <xf numFmtId="0" fontId="2" fillId="2" borderId="0" xfId="0" applyFont="1" applyFill="1" applyBorder="1" applyAlignment="1">
      <alignment horizontal="center" vertical="center" wrapText="1"/>
    </xf>
    <xf numFmtId="0" fontId="4" fillId="0" borderId="4" xfId="1" applyFont="1" applyFill="1" applyBorder="1" applyAlignment="1">
      <alignment horizontal="center" vertical="center" wrapText="1"/>
    </xf>
    <xf numFmtId="0" fontId="4" fillId="5" borderId="1" xfId="0" applyFont="1" applyFill="1" applyBorder="1" applyAlignment="1">
      <alignment horizontal="center" vertical="center"/>
    </xf>
    <xf numFmtId="49" fontId="2" fillId="2" borderId="2" xfId="1" applyNumberFormat="1" applyFont="1" applyFill="1" applyBorder="1" applyAlignment="1">
      <alignment horizontal="left" vertical="center" wrapText="1"/>
    </xf>
    <xf numFmtId="0" fontId="4" fillId="17" borderId="2" xfId="1" applyNumberFormat="1" applyFont="1" applyFill="1" applyBorder="1" applyAlignment="1">
      <alignment horizontal="left" vertical="center" wrapText="1"/>
    </xf>
    <xf numFmtId="0" fontId="4" fillId="2" borderId="30" xfId="1" applyFont="1" applyFill="1" applyBorder="1" applyAlignment="1">
      <alignment horizontal="center" vertical="center" wrapText="1"/>
    </xf>
    <xf numFmtId="0" fontId="4" fillId="2" borderId="8" xfId="0" applyFont="1" applyFill="1" applyBorder="1" applyAlignment="1">
      <alignment horizontal="center" vertical="center" wrapText="1"/>
    </xf>
    <xf numFmtId="0" fontId="42" fillId="3" borderId="7" xfId="0" applyFont="1" applyFill="1" applyBorder="1" applyAlignment="1">
      <alignment horizontal="center" vertical="center"/>
    </xf>
    <xf numFmtId="0" fontId="42" fillId="3" borderId="15" xfId="0" applyFont="1" applyFill="1" applyBorder="1" applyAlignment="1">
      <alignment horizontal="center" vertical="center"/>
    </xf>
    <xf numFmtId="164" fontId="0" fillId="2" borderId="1" xfId="0" applyNumberFormat="1" applyFill="1" applyBorder="1" applyAlignment="1">
      <alignment horizontal="center" vertical="center" wrapText="1"/>
    </xf>
    <xf numFmtId="164" fontId="0" fillId="5" borderId="7" xfId="0" applyNumberFormat="1" applyFill="1" applyBorder="1" applyAlignment="1">
      <alignment horizontal="center" vertical="center" wrapText="1"/>
    </xf>
    <xf numFmtId="164" fontId="2" fillId="5" borderId="7" xfId="0" applyNumberFormat="1" applyFont="1" applyFill="1" applyBorder="1" applyAlignment="1">
      <alignment horizontal="center" vertical="center" wrapText="1"/>
    </xf>
    <xf numFmtId="165" fontId="0" fillId="2" borderId="1" xfId="0" applyNumberFormat="1" applyFill="1" applyBorder="1" applyAlignment="1">
      <alignment horizontal="center" vertical="center" wrapText="1"/>
    </xf>
    <xf numFmtId="165" fontId="0" fillId="7" borderId="8" xfId="0" applyNumberFormat="1" applyFill="1" applyBorder="1" applyAlignment="1">
      <alignment horizontal="center" vertical="center" wrapText="1"/>
    </xf>
    <xf numFmtId="165" fontId="2" fillId="5" borderId="7" xfId="0" applyNumberFormat="1" applyFont="1" applyFill="1" applyBorder="1" applyAlignment="1">
      <alignment horizontal="center" vertical="center" wrapText="1"/>
    </xf>
    <xf numFmtId="0" fontId="2" fillId="5" borderId="7" xfId="0" applyFont="1" applyFill="1" applyBorder="1" applyAlignment="1">
      <alignment horizontal="center" vertical="center" wrapText="1"/>
    </xf>
    <xf numFmtId="0" fontId="4" fillId="2" borderId="1" xfId="0" applyNumberFormat="1" applyFont="1" applyFill="1" applyBorder="1" applyAlignment="1">
      <alignment horizontal="left" vertical="center" wrapText="1"/>
    </xf>
    <xf numFmtId="0" fontId="2" fillId="5" borderId="7" xfId="0" applyNumberFormat="1" applyFont="1" applyFill="1" applyBorder="1" applyAlignment="1">
      <alignment horizontal="left" vertical="center" wrapText="1"/>
    </xf>
    <xf numFmtId="0" fontId="0" fillId="5" borderId="7" xfId="0" applyFill="1" applyBorder="1" applyAlignment="1">
      <alignment horizontal="center" vertical="center" wrapText="1"/>
    </xf>
    <xf numFmtId="0" fontId="2" fillId="5" borderId="7" xfId="1" applyFont="1" applyFill="1" applyBorder="1" applyAlignment="1">
      <alignment horizontal="center" vertical="center" wrapText="1"/>
    </xf>
    <xf numFmtId="0" fontId="4" fillId="2" borderId="1" xfId="0" applyFont="1" applyFill="1" applyBorder="1" applyAlignment="1">
      <alignment horizontal="center" vertical="center" wrapText="1"/>
    </xf>
    <xf numFmtId="14" fontId="5" fillId="2" borderId="1" xfId="1" applyNumberFormat="1" applyFont="1" applyFill="1" applyBorder="1" applyAlignment="1">
      <alignment horizontal="center" vertical="center" wrapText="1"/>
    </xf>
    <xf numFmtId="0" fontId="5" fillId="5" borderId="7" xfId="0" applyFont="1" applyFill="1" applyBorder="1" applyAlignment="1">
      <alignment horizontal="center" vertical="center" wrapText="1"/>
    </xf>
    <xf numFmtId="14" fontId="5" fillId="2" borderId="1" xfId="0" applyNumberFormat="1" applyFont="1" applyFill="1" applyBorder="1" applyAlignment="1">
      <alignment horizontal="center" vertical="center" wrapText="1"/>
    </xf>
    <xf numFmtId="14" fontId="0" fillId="2" borderId="4" xfId="0" applyNumberFormat="1" applyFill="1" applyBorder="1" applyAlignment="1">
      <alignment horizontal="center" vertical="center" wrapText="1"/>
    </xf>
    <xf numFmtId="14" fontId="0" fillId="5" borderId="7" xfId="0" applyNumberFormat="1" applyFill="1" applyBorder="1" applyAlignment="1">
      <alignment horizontal="center" vertical="center" wrapText="1"/>
    </xf>
    <xf numFmtId="0" fontId="4" fillId="5" borderId="7" xfId="0" applyFont="1" applyFill="1" applyBorder="1" applyAlignment="1">
      <alignment horizontal="center" vertical="center" wrapText="1"/>
    </xf>
    <xf numFmtId="0" fontId="0" fillId="5" borderId="30" xfId="0" applyFill="1" applyBorder="1" applyAlignment="1">
      <alignment horizontal="center" vertical="center" wrapText="1"/>
    </xf>
    <xf numFmtId="164" fontId="0" fillId="5" borderId="30" xfId="0" applyNumberFormat="1" applyFill="1" applyBorder="1" applyAlignment="1">
      <alignment horizontal="center" vertical="center" wrapText="1"/>
    </xf>
    <xf numFmtId="0" fontId="2" fillId="5" borderId="30" xfId="0" applyFont="1" applyFill="1" applyBorder="1" applyAlignment="1">
      <alignment horizontal="center" vertical="center" wrapText="1"/>
    </xf>
    <xf numFmtId="0" fontId="2" fillId="5" borderId="30" xfId="0" applyNumberFormat="1" applyFont="1" applyFill="1" applyBorder="1" applyAlignment="1">
      <alignment horizontal="left" vertical="center" wrapText="1"/>
    </xf>
    <xf numFmtId="0" fontId="5" fillId="5" borderId="30" xfId="1" applyFont="1" applyFill="1" applyBorder="1" applyAlignment="1">
      <alignment horizontal="center" vertical="center" wrapText="1"/>
    </xf>
    <xf numFmtId="0" fontId="5" fillId="5" borderId="30" xfId="0" applyFont="1" applyFill="1" applyBorder="1" applyAlignment="1">
      <alignment horizontal="center" vertical="center" wrapText="1"/>
    </xf>
    <xf numFmtId="14" fontId="0" fillId="5" borderId="30" xfId="0" applyNumberFormat="1" applyFill="1" applyBorder="1" applyAlignment="1">
      <alignment horizontal="center" vertical="center" wrapText="1"/>
    </xf>
    <xf numFmtId="0" fontId="4" fillId="5" borderId="30" xfId="1" applyFont="1" applyFill="1" applyBorder="1" applyAlignment="1">
      <alignment horizontal="center" vertical="center" wrapText="1"/>
    </xf>
    <xf numFmtId="0" fontId="4" fillId="5" borderId="30" xfId="0" applyFont="1" applyFill="1" applyBorder="1" applyAlignment="1">
      <alignment horizontal="center" vertical="center"/>
    </xf>
    <xf numFmtId="0" fontId="0" fillId="2" borderId="21" xfId="0" applyFill="1" applyBorder="1"/>
    <xf numFmtId="0" fontId="4" fillId="2" borderId="12" xfId="0" applyFont="1" applyFill="1" applyBorder="1" applyAlignment="1">
      <alignment horizontal="center" vertical="center"/>
    </xf>
  </cellXfs>
  <cellStyles count="8">
    <cellStyle name="Buena" xfId="4" builtinId="26"/>
    <cellStyle name="Incorrecto" xfId="6" builtinId="27"/>
    <cellStyle name="Normal" xfId="0" builtinId="0"/>
    <cellStyle name="Normal 2" xfId="1"/>
    <cellStyle name="Normal 3" xfId="2"/>
    <cellStyle name="Porcentual" xfId="5" builtinId="5"/>
    <cellStyle name="Porcentual 2" xfId="3"/>
    <cellStyle name="Salida" xfId="7" builtinId="21"/>
  </cellStyles>
  <dxfs count="12">
    <dxf>
      <font>
        <color rgb="FF9C0006"/>
      </font>
      <fill>
        <patternFill>
          <fgColor indexed="64"/>
          <bgColor rgb="FFFFC7CE"/>
        </patternFill>
      </fill>
    </dxf>
    <dxf>
      <font>
        <color rgb="FF9C0006"/>
      </font>
      <fill>
        <patternFill>
          <fgColor indexed="64"/>
          <bgColor rgb="FFFFC7CE"/>
        </patternFill>
      </fill>
    </dxf>
    <dxf>
      <font>
        <color theme="0"/>
      </font>
      <fill>
        <patternFill patternType="solid">
          <bgColor theme="0"/>
        </patternFill>
      </fill>
      <border>
        <left/>
        <right/>
        <top/>
        <bottom/>
      </border>
    </dxf>
    <dxf>
      <font>
        <color theme="0"/>
      </font>
      <fill>
        <patternFill patternType="solid">
          <bgColor theme="0"/>
        </patternFill>
      </fill>
      <border>
        <left/>
        <right/>
        <top/>
        <bottom/>
      </border>
    </dxf>
    <dxf>
      <font>
        <color theme="0"/>
      </font>
      <fill>
        <patternFill patternType="solid">
          <bgColor theme="0"/>
        </patternFill>
      </fill>
      <border>
        <left/>
        <right/>
        <top/>
        <bottom/>
      </border>
    </dxf>
    <dxf>
      <font>
        <color theme="0"/>
      </font>
      <fill>
        <patternFill patternType="solid">
          <bgColor theme="0"/>
        </patternFill>
      </fill>
      <border>
        <left/>
        <right/>
        <top/>
        <bottom/>
      </border>
    </dxf>
    <dxf>
      <font>
        <color theme="0"/>
      </font>
      <fill>
        <patternFill patternType="solid">
          <bgColor theme="0"/>
        </patternFill>
      </fill>
      <border>
        <left/>
        <right/>
        <top/>
        <bottom/>
      </border>
    </dxf>
    <dxf>
      <font>
        <color theme="0"/>
      </font>
      <fill>
        <patternFill patternType="solid">
          <bgColor theme="0"/>
        </patternFill>
      </fill>
      <border>
        <left/>
        <right/>
        <top/>
        <bottom/>
      </border>
    </dxf>
    <dxf>
      <font>
        <color theme="0"/>
      </font>
      <fill>
        <patternFill patternType="solid">
          <bgColor theme="0"/>
        </patternFill>
      </fill>
      <border>
        <left/>
        <right/>
        <top/>
        <bottom/>
      </border>
    </dxf>
    <dxf>
      <font>
        <color theme="0"/>
      </font>
      <fill>
        <patternFill patternType="solid">
          <bgColor theme="0"/>
        </patternFill>
      </fill>
      <border>
        <left/>
        <right/>
        <top/>
        <bottom/>
      </border>
    </dxf>
    <dxf>
      <font>
        <color rgb="FF9C0006"/>
      </font>
      <fill>
        <patternFill>
          <fgColor indexed="64"/>
          <bgColor rgb="FFFFC7CE"/>
        </patternFill>
      </fill>
    </dxf>
    <dxf>
      <font>
        <color theme="0"/>
      </font>
      <fill>
        <patternFill patternType="solid">
          <bgColor theme="0"/>
        </patternFill>
      </fill>
      <border>
        <left/>
        <right/>
        <top/>
        <bottom/>
      </border>
    </dxf>
  </dxfs>
  <tableStyles count="0" defaultTableStyle="TableStyleMedium9" defaultPivotStyle="PivotStyleLight16"/>
  <colors>
    <mruColors>
      <color rgb="FFAC0404"/>
      <color rgb="FF622D83"/>
      <color rgb="FF993300"/>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charts/chart1.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sz="1600"/>
              <a:t>Relación Ingresos/Elevaciones (PRESOS)</a:t>
            </a:r>
          </a:p>
        </c:rich>
      </c:tx>
      <c:layout>
        <c:manualLayout>
          <c:xMode val="edge"/>
          <c:yMode val="edge"/>
          <c:x val="0.18827077865266842"/>
          <c:y val="2.1533161068044811E-2"/>
        </c:manualLayout>
      </c:layout>
    </c:title>
    <c:plotArea>
      <c:layout>
        <c:manualLayout>
          <c:layoutTarget val="inner"/>
          <c:xMode val="edge"/>
          <c:yMode val="edge"/>
          <c:x val="0.19283202099737534"/>
          <c:y val="0.15957157487097071"/>
          <c:w val="0.7766124234470696"/>
          <c:h val="0.59616709732988804"/>
        </c:manualLayout>
      </c:layout>
      <c:barChart>
        <c:barDir val="col"/>
        <c:grouping val="clustered"/>
        <c:ser>
          <c:idx val="0"/>
          <c:order val="0"/>
          <c:tx>
            <c:v>Recibidas</c:v>
          </c:tx>
          <c:dLbls>
            <c:txPr>
              <a:bodyPr/>
              <a:lstStyle/>
              <a:p>
                <a:pPr>
                  <a:defRPr lang="es-ES"/>
                </a:pPr>
                <a:endParaRPr lang="es-ES"/>
              </a:p>
            </c:txPr>
            <c:dLblPos val="outEnd"/>
            <c:showVal val="1"/>
          </c:dLbls>
          <c:cat>
            <c:numRef>
              <c:f>ESTADISTICAS!$G$3:$G$10</c:f>
              <c:numCache>
                <c:formatCode>General</c:formatCode>
                <c:ptCount val="8"/>
                <c:pt idx="0">
                  <c:v>1</c:v>
                </c:pt>
                <c:pt idx="1">
                  <c:v>2</c:v>
                </c:pt>
                <c:pt idx="2">
                  <c:v>3</c:v>
                </c:pt>
                <c:pt idx="3">
                  <c:v>4</c:v>
                </c:pt>
                <c:pt idx="4">
                  <c:v>5</c:v>
                </c:pt>
                <c:pt idx="5">
                  <c:v>6</c:v>
                </c:pt>
                <c:pt idx="6">
                  <c:v>7</c:v>
                </c:pt>
                <c:pt idx="7">
                  <c:v>8</c:v>
                </c:pt>
              </c:numCache>
            </c:numRef>
          </c:cat>
          <c:val>
            <c:numRef>
              <c:f>ESTADISTICAS!$I$3:$I$10</c:f>
              <c:numCache>
                <c:formatCode>General</c:formatCode>
                <c:ptCount val="8"/>
                <c:pt idx="0">
                  <c:v>41</c:v>
                </c:pt>
                <c:pt idx="1">
                  <c:v>20</c:v>
                </c:pt>
                <c:pt idx="2">
                  <c:v>37</c:v>
                </c:pt>
                <c:pt idx="3">
                  <c:v>32</c:v>
                </c:pt>
                <c:pt idx="4">
                  <c:v>27</c:v>
                </c:pt>
                <c:pt idx="5">
                  <c:v>27</c:v>
                </c:pt>
                <c:pt idx="6">
                  <c:v>36</c:v>
                </c:pt>
                <c:pt idx="7">
                  <c:v>3</c:v>
                </c:pt>
              </c:numCache>
            </c:numRef>
          </c:val>
        </c:ser>
        <c:ser>
          <c:idx val="1"/>
          <c:order val="1"/>
          <c:tx>
            <c:v>Elevadas</c:v>
          </c:tx>
          <c:dLbls>
            <c:txPr>
              <a:bodyPr/>
              <a:lstStyle/>
              <a:p>
                <a:pPr>
                  <a:defRPr lang="es-ES"/>
                </a:pPr>
                <a:endParaRPr lang="es-ES"/>
              </a:p>
            </c:txPr>
            <c:dLblPos val="outEnd"/>
            <c:showVal val="1"/>
          </c:dLbls>
          <c:cat>
            <c:numRef>
              <c:f>ESTADISTICAS!$G$3:$G$10</c:f>
              <c:numCache>
                <c:formatCode>General</c:formatCode>
                <c:ptCount val="8"/>
                <c:pt idx="0">
                  <c:v>1</c:v>
                </c:pt>
                <c:pt idx="1">
                  <c:v>2</c:v>
                </c:pt>
                <c:pt idx="2">
                  <c:v>3</c:v>
                </c:pt>
                <c:pt idx="3">
                  <c:v>4</c:v>
                </c:pt>
                <c:pt idx="4">
                  <c:v>5</c:v>
                </c:pt>
                <c:pt idx="5">
                  <c:v>6</c:v>
                </c:pt>
                <c:pt idx="6">
                  <c:v>7</c:v>
                </c:pt>
                <c:pt idx="7">
                  <c:v>8</c:v>
                </c:pt>
              </c:numCache>
            </c:numRef>
          </c:cat>
          <c:val>
            <c:numRef>
              <c:f>ESTADISTICAS!$J$3:$J$10</c:f>
              <c:numCache>
                <c:formatCode>General</c:formatCode>
                <c:ptCount val="8"/>
                <c:pt idx="0">
                  <c:v>28</c:v>
                </c:pt>
                <c:pt idx="1">
                  <c:v>12</c:v>
                </c:pt>
                <c:pt idx="2">
                  <c:v>19</c:v>
                </c:pt>
                <c:pt idx="3">
                  <c:v>20</c:v>
                </c:pt>
                <c:pt idx="4">
                  <c:v>17</c:v>
                </c:pt>
                <c:pt idx="5">
                  <c:v>17</c:v>
                </c:pt>
                <c:pt idx="6">
                  <c:v>25</c:v>
                </c:pt>
                <c:pt idx="7">
                  <c:v>1</c:v>
                </c:pt>
              </c:numCache>
            </c:numRef>
          </c:val>
        </c:ser>
        <c:axId val="166218368"/>
        <c:axId val="166240640"/>
      </c:barChart>
      <c:catAx>
        <c:axId val="166218368"/>
        <c:scaling>
          <c:orientation val="minMax"/>
        </c:scaling>
        <c:axPos val="b"/>
        <c:numFmt formatCode="General" sourceLinked="1"/>
        <c:majorTickMark val="none"/>
        <c:tickLblPos val="nextTo"/>
        <c:txPr>
          <a:bodyPr/>
          <a:lstStyle/>
          <a:p>
            <a:pPr>
              <a:defRPr lang="es-ES"/>
            </a:pPr>
            <a:endParaRPr lang="es-ES"/>
          </a:p>
        </c:txPr>
        <c:crossAx val="166240640"/>
        <c:crosses val="autoZero"/>
        <c:auto val="1"/>
        <c:lblAlgn val="ctr"/>
        <c:lblOffset val="100"/>
      </c:catAx>
      <c:valAx>
        <c:axId val="166240640"/>
        <c:scaling>
          <c:orientation val="minMax"/>
        </c:scaling>
        <c:axPos val="l"/>
        <c:majorGridlines/>
        <c:numFmt formatCode="General" sourceLinked="1"/>
        <c:majorTickMark val="none"/>
        <c:tickLblPos val="nextTo"/>
        <c:txPr>
          <a:bodyPr/>
          <a:lstStyle/>
          <a:p>
            <a:pPr>
              <a:defRPr lang="es-ES"/>
            </a:pPr>
            <a:endParaRPr lang="es-ES"/>
          </a:p>
        </c:txPr>
        <c:crossAx val="166218368"/>
        <c:crosses val="autoZero"/>
        <c:crossBetween val="between"/>
      </c:valAx>
      <c:dTable>
        <c:showHorzBorder val="1"/>
        <c:showVertBorder val="1"/>
        <c:showOutline val="1"/>
        <c:showKeys val="1"/>
        <c:txPr>
          <a:bodyPr/>
          <a:lstStyle/>
          <a:p>
            <a:pPr rtl="0">
              <a:defRPr lang="es-ES"/>
            </a:pPr>
            <a:endParaRPr lang="es-ES"/>
          </a:p>
        </c:txPr>
      </c:dTable>
    </c:plotArea>
    <c:plotVisOnly val="1"/>
  </c:chart>
  <c:printSettings>
    <c:headerFooter/>
    <c:pageMargins b="0.75000000000000977" l="0.70000000000000062" r="0.70000000000000062" t="0.75000000000000977"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sz="1400" b="1" i="0" baseline="0"/>
              <a:t>Relación Ingresos/Elevaciones (SIN PRESOS)</a:t>
            </a:r>
            <a:endParaRPr lang="es-ES" sz="1400"/>
          </a:p>
        </c:rich>
      </c:tx>
      <c:layout>
        <c:manualLayout>
          <c:xMode val="edge"/>
          <c:yMode val="edge"/>
          <c:x val="0.19730555555555557"/>
          <c:y val="2.9686174724342672E-2"/>
        </c:manualLayout>
      </c:layout>
    </c:title>
    <c:plotArea>
      <c:layout/>
      <c:barChart>
        <c:barDir val="col"/>
        <c:grouping val="clustered"/>
        <c:ser>
          <c:idx val="0"/>
          <c:order val="0"/>
          <c:tx>
            <c:v>Recibidas</c:v>
          </c:tx>
          <c:spPr>
            <a:solidFill>
              <a:schemeClr val="accent3">
                <a:lumMod val="75000"/>
              </a:schemeClr>
            </a:solidFill>
          </c:spPr>
          <c:dLbls>
            <c:txPr>
              <a:bodyPr/>
              <a:lstStyle/>
              <a:p>
                <a:pPr>
                  <a:defRPr lang="es-ES"/>
                </a:pPr>
                <a:endParaRPr lang="es-ES"/>
              </a:p>
            </c:txPr>
            <c:dLblPos val="outEnd"/>
            <c:showVal val="1"/>
          </c:dLbls>
          <c:cat>
            <c:numRef>
              <c:f>ESTADISTICAS!$G$16:$G$23</c:f>
              <c:numCache>
                <c:formatCode>General</c:formatCode>
                <c:ptCount val="8"/>
                <c:pt idx="0">
                  <c:v>1</c:v>
                </c:pt>
                <c:pt idx="1">
                  <c:v>2</c:v>
                </c:pt>
                <c:pt idx="2">
                  <c:v>3</c:v>
                </c:pt>
                <c:pt idx="3">
                  <c:v>4</c:v>
                </c:pt>
                <c:pt idx="4">
                  <c:v>5</c:v>
                </c:pt>
                <c:pt idx="5">
                  <c:v>6</c:v>
                </c:pt>
                <c:pt idx="6">
                  <c:v>7</c:v>
                </c:pt>
                <c:pt idx="7">
                  <c:v>8</c:v>
                </c:pt>
              </c:numCache>
            </c:numRef>
          </c:cat>
          <c:val>
            <c:numRef>
              <c:f>ESTADISTICAS!$I$16:$I$23</c:f>
              <c:numCache>
                <c:formatCode>General</c:formatCode>
                <c:ptCount val="8"/>
                <c:pt idx="0">
                  <c:v>23</c:v>
                </c:pt>
                <c:pt idx="1">
                  <c:v>112</c:v>
                </c:pt>
                <c:pt idx="2">
                  <c:v>139</c:v>
                </c:pt>
                <c:pt idx="3">
                  <c:v>176</c:v>
                </c:pt>
                <c:pt idx="4">
                  <c:v>79</c:v>
                </c:pt>
                <c:pt idx="5">
                  <c:v>161</c:v>
                </c:pt>
                <c:pt idx="6">
                  <c:v>85</c:v>
                </c:pt>
                <c:pt idx="7">
                  <c:v>5</c:v>
                </c:pt>
              </c:numCache>
            </c:numRef>
          </c:val>
        </c:ser>
        <c:ser>
          <c:idx val="1"/>
          <c:order val="1"/>
          <c:tx>
            <c:v>Elevadas</c:v>
          </c:tx>
          <c:dLbls>
            <c:txPr>
              <a:bodyPr/>
              <a:lstStyle/>
              <a:p>
                <a:pPr>
                  <a:defRPr lang="es-ES"/>
                </a:pPr>
                <a:endParaRPr lang="es-ES"/>
              </a:p>
            </c:txPr>
            <c:dLblPos val="outEnd"/>
            <c:showVal val="1"/>
          </c:dLbls>
          <c:cat>
            <c:numRef>
              <c:f>ESTADISTICAS!$G$16:$G$23</c:f>
              <c:numCache>
                <c:formatCode>General</c:formatCode>
                <c:ptCount val="8"/>
                <c:pt idx="0">
                  <c:v>1</c:v>
                </c:pt>
                <c:pt idx="1">
                  <c:v>2</c:v>
                </c:pt>
                <c:pt idx="2">
                  <c:v>3</c:v>
                </c:pt>
                <c:pt idx="3">
                  <c:v>4</c:v>
                </c:pt>
                <c:pt idx="4">
                  <c:v>5</c:v>
                </c:pt>
                <c:pt idx="5">
                  <c:v>6</c:v>
                </c:pt>
                <c:pt idx="6">
                  <c:v>7</c:v>
                </c:pt>
                <c:pt idx="7">
                  <c:v>8</c:v>
                </c:pt>
              </c:numCache>
            </c:numRef>
          </c:cat>
          <c:val>
            <c:numRef>
              <c:f>ESTADISTICAS!$J$16:$J$23</c:f>
              <c:numCache>
                <c:formatCode>General</c:formatCode>
                <c:ptCount val="8"/>
                <c:pt idx="0">
                  <c:v>4</c:v>
                </c:pt>
                <c:pt idx="1">
                  <c:v>15</c:v>
                </c:pt>
                <c:pt idx="2">
                  <c:v>5</c:v>
                </c:pt>
                <c:pt idx="3">
                  <c:v>14</c:v>
                </c:pt>
                <c:pt idx="4">
                  <c:v>3</c:v>
                </c:pt>
                <c:pt idx="5">
                  <c:v>9</c:v>
                </c:pt>
                <c:pt idx="6">
                  <c:v>5</c:v>
                </c:pt>
                <c:pt idx="7">
                  <c:v>0</c:v>
                </c:pt>
              </c:numCache>
            </c:numRef>
          </c:val>
        </c:ser>
        <c:axId val="169880576"/>
        <c:axId val="169886464"/>
      </c:barChart>
      <c:catAx>
        <c:axId val="169880576"/>
        <c:scaling>
          <c:orientation val="minMax"/>
        </c:scaling>
        <c:axPos val="b"/>
        <c:numFmt formatCode="General" sourceLinked="1"/>
        <c:majorTickMark val="none"/>
        <c:tickLblPos val="nextTo"/>
        <c:txPr>
          <a:bodyPr/>
          <a:lstStyle/>
          <a:p>
            <a:pPr>
              <a:defRPr lang="es-ES"/>
            </a:pPr>
            <a:endParaRPr lang="es-ES"/>
          </a:p>
        </c:txPr>
        <c:crossAx val="169886464"/>
        <c:crosses val="autoZero"/>
        <c:auto val="1"/>
        <c:lblAlgn val="ctr"/>
        <c:lblOffset val="100"/>
      </c:catAx>
      <c:valAx>
        <c:axId val="169886464"/>
        <c:scaling>
          <c:orientation val="minMax"/>
        </c:scaling>
        <c:axPos val="l"/>
        <c:majorGridlines/>
        <c:numFmt formatCode="General" sourceLinked="1"/>
        <c:majorTickMark val="none"/>
        <c:tickLblPos val="nextTo"/>
        <c:txPr>
          <a:bodyPr/>
          <a:lstStyle/>
          <a:p>
            <a:pPr>
              <a:defRPr lang="es-ES"/>
            </a:pPr>
            <a:endParaRPr lang="es-ES"/>
          </a:p>
        </c:txPr>
        <c:crossAx val="169880576"/>
        <c:crosses val="autoZero"/>
        <c:crossBetween val="between"/>
      </c:valAx>
      <c:dTable>
        <c:showHorzBorder val="1"/>
        <c:showVertBorder val="1"/>
        <c:showOutline val="1"/>
        <c:showKeys val="1"/>
        <c:txPr>
          <a:bodyPr/>
          <a:lstStyle/>
          <a:p>
            <a:pPr rtl="0">
              <a:defRPr lang="es-ES"/>
            </a:pPr>
            <a:endParaRPr lang="es-ES"/>
          </a:p>
        </c:txPr>
      </c:dTable>
    </c:plotArea>
    <c:plotVisOnly val="1"/>
  </c:chart>
  <c:printSettings>
    <c:headerFooter/>
    <c:pageMargins b="0.75000000000000977" l="0.70000000000000062" r="0.70000000000000062" t="0.75000000000000977"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sz="1600"/>
              <a:t>Ingreso mensual de pedidos</a:t>
            </a:r>
            <a:r>
              <a:rPr lang="es-ES" sz="1600" baseline="0"/>
              <a:t> de Requerimiento</a:t>
            </a:r>
            <a:endParaRPr lang="es-ES" sz="1600"/>
          </a:p>
        </c:rich>
      </c:tx>
    </c:title>
    <c:plotArea>
      <c:layout/>
      <c:lineChart>
        <c:grouping val="standard"/>
        <c:ser>
          <c:idx val="0"/>
          <c:order val="0"/>
          <c:tx>
            <c:v>Presos</c:v>
          </c:tx>
          <c:marker>
            <c:symbol val="none"/>
          </c:marker>
          <c:cat>
            <c:strRef>
              <c:f>ESTADISTICAS!$H$31:$H$36</c:f>
              <c:strCache>
                <c:ptCount val="6"/>
                <c:pt idx="0">
                  <c:v>Octubre</c:v>
                </c:pt>
                <c:pt idx="1">
                  <c:v>Noviembre</c:v>
                </c:pt>
                <c:pt idx="2">
                  <c:v>Diciembre</c:v>
                </c:pt>
                <c:pt idx="3">
                  <c:v>Enero</c:v>
                </c:pt>
                <c:pt idx="4">
                  <c:v>Febrero</c:v>
                </c:pt>
                <c:pt idx="5">
                  <c:v>Marzo</c:v>
                </c:pt>
              </c:strCache>
            </c:strRef>
          </c:cat>
          <c:val>
            <c:numRef>
              <c:f>ESTADISTICAS!$I$31:$I$36</c:f>
              <c:numCache>
                <c:formatCode>General</c:formatCode>
                <c:ptCount val="6"/>
                <c:pt idx="0">
                  <c:v>50</c:v>
                </c:pt>
                <c:pt idx="1">
                  <c:v>36</c:v>
                </c:pt>
                <c:pt idx="2">
                  <c:v>41</c:v>
                </c:pt>
                <c:pt idx="3">
                  <c:v>15</c:v>
                </c:pt>
                <c:pt idx="4">
                  <c:v>32</c:v>
                </c:pt>
                <c:pt idx="5">
                  <c:v>21</c:v>
                </c:pt>
              </c:numCache>
            </c:numRef>
          </c:val>
        </c:ser>
        <c:ser>
          <c:idx val="1"/>
          <c:order val="1"/>
          <c:tx>
            <c:v>Sin presos</c:v>
          </c:tx>
          <c:marker>
            <c:symbol val="none"/>
          </c:marker>
          <c:cat>
            <c:strRef>
              <c:f>ESTADISTICAS!$H$31:$H$36</c:f>
              <c:strCache>
                <c:ptCount val="6"/>
                <c:pt idx="0">
                  <c:v>Octubre</c:v>
                </c:pt>
                <c:pt idx="1">
                  <c:v>Noviembre</c:v>
                </c:pt>
                <c:pt idx="2">
                  <c:v>Diciembre</c:v>
                </c:pt>
                <c:pt idx="3">
                  <c:v>Enero</c:v>
                </c:pt>
                <c:pt idx="4">
                  <c:v>Febrero</c:v>
                </c:pt>
                <c:pt idx="5">
                  <c:v>Marzo</c:v>
                </c:pt>
              </c:strCache>
            </c:strRef>
          </c:cat>
          <c:val>
            <c:numRef>
              <c:f>ESTADISTICAS!$J$31:$J$36</c:f>
              <c:numCache>
                <c:formatCode>General</c:formatCode>
                <c:ptCount val="6"/>
                <c:pt idx="0">
                  <c:v>37</c:v>
                </c:pt>
                <c:pt idx="1">
                  <c:v>256</c:v>
                </c:pt>
                <c:pt idx="2">
                  <c:v>117</c:v>
                </c:pt>
                <c:pt idx="3">
                  <c:v>2</c:v>
                </c:pt>
                <c:pt idx="4">
                  <c:v>141</c:v>
                </c:pt>
                <c:pt idx="5">
                  <c:v>118</c:v>
                </c:pt>
              </c:numCache>
            </c:numRef>
          </c:val>
        </c:ser>
        <c:marker val="1"/>
        <c:axId val="169916672"/>
        <c:axId val="169926656"/>
      </c:lineChart>
      <c:catAx>
        <c:axId val="169916672"/>
        <c:scaling>
          <c:orientation val="minMax"/>
        </c:scaling>
        <c:axPos val="b"/>
        <c:majorTickMark val="none"/>
        <c:tickLblPos val="nextTo"/>
        <c:txPr>
          <a:bodyPr/>
          <a:lstStyle/>
          <a:p>
            <a:pPr>
              <a:defRPr lang="es-ES"/>
            </a:pPr>
            <a:endParaRPr lang="es-ES"/>
          </a:p>
        </c:txPr>
        <c:crossAx val="169926656"/>
        <c:crosses val="autoZero"/>
        <c:auto val="1"/>
        <c:lblAlgn val="ctr"/>
        <c:lblOffset val="100"/>
      </c:catAx>
      <c:valAx>
        <c:axId val="169926656"/>
        <c:scaling>
          <c:orientation val="minMax"/>
        </c:scaling>
        <c:axPos val="l"/>
        <c:majorGridlines/>
        <c:numFmt formatCode="General" sourceLinked="1"/>
        <c:majorTickMark val="none"/>
        <c:tickLblPos val="nextTo"/>
        <c:txPr>
          <a:bodyPr/>
          <a:lstStyle/>
          <a:p>
            <a:pPr>
              <a:defRPr lang="es-ES"/>
            </a:pPr>
            <a:endParaRPr lang="es-ES"/>
          </a:p>
        </c:txPr>
        <c:crossAx val="169916672"/>
        <c:crosses val="autoZero"/>
        <c:crossBetween val="between"/>
      </c:valAx>
      <c:dTable>
        <c:showHorzBorder val="1"/>
        <c:showVertBorder val="1"/>
        <c:showOutline val="1"/>
        <c:showKeys val="1"/>
        <c:txPr>
          <a:bodyPr/>
          <a:lstStyle/>
          <a:p>
            <a:pPr rtl="0">
              <a:defRPr lang="es-ES"/>
            </a:pPr>
            <a:endParaRPr lang="es-ES"/>
          </a:p>
        </c:txPr>
      </c:dTable>
    </c:plotArea>
    <c:plotVisOnly val="1"/>
  </c:chart>
  <c:printSettings>
    <c:headerFooter/>
    <c:pageMargins b="0.75000000000000977" l="0.70000000000000062" r="0.70000000000000062" t="0.75000000000000977"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Estado</a:t>
            </a:r>
            <a:r>
              <a:rPr lang="es-ES" baseline="0"/>
              <a:t> causas con presos</a:t>
            </a:r>
          </a:p>
        </c:rich>
      </c:tx>
    </c:title>
    <c:plotArea>
      <c:layout/>
      <c:pieChart>
        <c:varyColors val="1"/>
        <c:ser>
          <c:idx val="0"/>
          <c:order val="0"/>
          <c:dPt>
            <c:idx val="0"/>
            <c:spPr>
              <a:solidFill>
                <a:srgbClr val="FFFF00"/>
              </a:solidFill>
            </c:spPr>
          </c:dPt>
          <c:dPt>
            <c:idx val="1"/>
            <c:spPr>
              <a:solidFill>
                <a:schemeClr val="accent2">
                  <a:lumMod val="60000"/>
                  <a:lumOff val="40000"/>
                </a:schemeClr>
              </a:solidFill>
            </c:spPr>
          </c:dPt>
          <c:dPt>
            <c:idx val="2"/>
            <c:spPr>
              <a:solidFill>
                <a:schemeClr val="accent2">
                  <a:lumMod val="75000"/>
                </a:schemeClr>
              </a:solidFill>
            </c:spPr>
          </c:dPt>
          <c:dPt>
            <c:idx val="3"/>
            <c:spPr>
              <a:solidFill>
                <a:srgbClr val="00B0F0"/>
              </a:solidFill>
            </c:spPr>
          </c:dPt>
          <c:dPt>
            <c:idx val="4"/>
            <c:spPr>
              <a:solidFill>
                <a:srgbClr val="92D050"/>
              </a:solidFill>
            </c:spPr>
          </c:dPt>
          <c:dLbls>
            <c:txPr>
              <a:bodyPr/>
              <a:lstStyle/>
              <a:p>
                <a:pPr>
                  <a:defRPr lang="es-ES"/>
                </a:pPr>
                <a:endParaRPr lang="es-ES"/>
              </a:p>
            </c:txPr>
            <c:showPercent val="1"/>
          </c:dLbls>
          <c:cat>
            <c:strRef>
              <c:f>ESTADISTICAS!$B$5:$B$9</c:f>
              <c:strCache>
                <c:ptCount val="5"/>
                <c:pt idx="0">
                  <c:v>EN TRAMITE (se encuentran en OFIJU)</c:v>
                </c:pt>
                <c:pt idx="1">
                  <c:v>ELEVADAS (rojas)</c:v>
                </c:pt>
                <c:pt idx="2">
                  <c:v>RESUELTAS EN PREVENTIVA (rojas)</c:v>
                </c:pt>
                <c:pt idx="3">
                  <c:v>RESUELTAS EN AUDIENCIA ACUSACIÓN (No aud. FyM)</c:v>
                </c:pt>
                <c:pt idx="4">
                  <c:v>FALTAN REMITIR A OFIJU </c:v>
                </c:pt>
              </c:strCache>
            </c:strRef>
          </c:cat>
          <c:val>
            <c:numRef>
              <c:f>ESTADISTICAS!$C$5:$C$9</c:f>
              <c:numCache>
                <c:formatCode>General</c:formatCode>
                <c:ptCount val="5"/>
                <c:pt idx="0">
                  <c:v>40</c:v>
                </c:pt>
                <c:pt idx="1">
                  <c:v>139</c:v>
                </c:pt>
                <c:pt idx="2">
                  <c:v>32</c:v>
                </c:pt>
                <c:pt idx="3">
                  <c:v>6</c:v>
                </c:pt>
                <c:pt idx="4">
                  <c:v>5</c:v>
                </c:pt>
              </c:numCache>
            </c:numRef>
          </c:val>
        </c:ser>
        <c:dLbls>
          <c:showPercent val="1"/>
        </c:dLbls>
        <c:firstSliceAng val="0"/>
      </c:pieChart>
    </c:plotArea>
    <c:legend>
      <c:legendPos val="r"/>
      <c:txPr>
        <a:bodyPr/>
        <a:lstStyle/>
        <a:p>
          <a:pPr rtl="0">
            <a:defRPr lang="es-ES"/>
          </a:pPr>
          <a:endParaRPr lang="es-ES"/>
        </a:p>
      </c:txPr>
    </c:legend>
    <c:plotVisOnly val="1"/>
  </c:chart>
  <c:printSettings>
    <c:headerFooter/>
    <c:pageMargins b="0.75000000000000977" l="0.70000000000000062" r="0.70000000000000062" t="0.75000000000000977"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a:pPr>
            <a:r>
              <a:rPr lang="es-ES" sz="1600"/>
              <a:t>Relación</a:t>
            </a:r>
            <a:r>
              <a:rPr lang="es-ES" sz="1600" baseline="0"/>
              <a:t> IngresoS/Elevaciones PRESOS</a:t>
            </a:r>
          </a:p>
        </c:rich>
      </c:tx>
    </c:title>
    <c:plotArea>
      <c:layout/>
      <c:lineChart>
        <c:grouping val="standard"/>
        <c:ser>
          <c:idx val="0"/>
          <c:order val="0"/>
          <c:tx>
            <c:v>Ingresos</c:v>
          </c:tx>
          <c:cat>
            <c:strRef>
              <c:f>'Informe de Gestión'!$B$5:$B$11</c:f>
              <c:strCache>
                <c:ptCount val="7"/>
                <c:pt idx="0">
                  <c:v>Octubre</c:v>
                </c:pt>
                <c:pt idx="1">
                  <c:v>Noviembre</c:v>
                </c:pt>
                <c:pt idx="2">
                  <c:v>Diciembre</c:v>
                </c:pt>
                <c:pt idx="3">
                  <c:v>Enero</c:v>
                </c:pt>
                <c:pt idx="4">
                  <c:v>Febrero</c:v>
                </c:pt>
                <c:pt idx="5">
                  <c:v>Marzo</c:v>
                </c:pt>
                <c:pt idx="6">
                  <c:v>Abril</c:v>
                </c:pt>
              </c:strCache>
            </c:strRef>
          </c:cat>
          <c:val>
            <c:numRef>
              <c:f>'Informe de Gestión'!$C$5:$C$11</c:f>
              <c:numCache>
                <c:formatCode>General</c:formatCode>
                <c:ptCount val="7"/>
                <c:pt idx="0">
                  <c:v>50</c:v>
                </c:pt>
                <c:pt idx="1">
                  <c:v>36</c:v>
                </c:pt>
                <c:pt idx="2">
                  <c:v>41</c:v>
                </c:pt>
                <c:pt idx="3">
                  <c:v>15</c:v>
                </c:pt>
                <c:pt idx="4">
                  <c:v>32</c:v>
                </c:pt>
                <c:pt idx="5">
                  <c:v>21</c:v>
                </c:pt>
                <c:pt idx="6">
                  <c:v>28</c:v>
                </c:pt>
              </c:numCache>
            </c:numRef>
          </c:val>
        </c:ser>
        <c:ser>
          <c:idx val="1"/>
          <c:order val="1"/>
          <c:tx>
            <c:v>Elevaciones</c:v>
          </c:tx>
          <c:cat>
            <c:strRef>
              <c:f>'Informe de Gestión'!$B$5:$B$11</c:f>
              <c:strCache>
                <c:ptCount val="7"/>
                <c:pt idx="0">
                  <c:v>Octubre</c:v>
                </c:pt>
                <c:pt idx="1">
                  <c:v>Noviembre</c:v>
                </c:pt>
                <c:pt idx="2">
                  <c:v>Diciembre</c:v>
                </c:pt>
                <c:pt idx="3">
                  <c:v>Enero</c:v>
                </c:pt>
                <c:pt idx="4">
                  <c:v>Febrero</c:v>
                </c:pt>
                <c:pt idx="5">
                  <c:v>Marzo</c:v>
                </c:pt>
                <c:pt idx="6">
                  <c:v>Abril</c:v>
                </c:pt>
              </c:strCache>
            </c:strRef>
          </c:cat>
          <c:val>
            <c:numRef>
              <c:f>'Informe de Gestión'!$H$5:$H$11</c:f>
              <c:numCache>
                <c:formatCode>General</c:formatCode>
                <c:ptCount val="7"/>
                <c:pt idx="0">
                  <c:v>1</c:v>
                </c:pt>
                <c:pt idx="1">
                  <c:v>4</c:v>
                </c:pt>
                <c:pt idx="2">
                  <c:v>64</c:v>
                </c:pt>
                <c:pt idx="3">
                  <c:v>0</c:v>
                </c:pt>
                <c:pt idx="4">
                  <c:v>17</c:v>
                </c:pt>
                <c:pt idx="5">
                  <c:v>39</c:v>
                </c:pt>
                <c:pt idx="6">
                  <c:v>14</c:v>
                </c:pt>
              </c:numCache>
            </c:numRef>
          </c:val>
        </c:ser>
        <c:hiLowLines/>
        <c:marker val="1"/>
        <c:axId val="169845888"/>
        <c:axId val="169847424"/>
      </c:lineChart>
      <c:catAx>
        <c:axId val="169845888"/>
        <c:scaling>
          <c:orientation val="minMax"/>
        </c:scaling>
        <c:axPos val="b"/>
        <c:majorTickMark val="none"/>
        <c:tickLblPos val="nextTo"/>
        <c:crossAx val="169847424"/>
        <c:crosses val="autoZero"/>
        <c:auto val="1"/>
        <c:lblAlgn val="ctr"/>
        <c:lblOffset val="100"/>
      </c:catAx>
      <c:valAx>
        <c:axId val="169847424"/>
        <c:scaling>
          <c:orientation val="minMax"/>
        </c:scaling>
        <c:axPos val="l"/>
        <c:majorGridlines/>
        <c:numFmt formatCode="General" sourceLinked="1"/>
        <c:tickLblPos val="nextTo"/>
        <c:crossAx val="169845888"/>
        <c:crosses val="autoZero"/>
        <c:crossBetween val="between"/>
      </c:valAx>
    </c:plotArea>
    <c:legend>
      <c:legendPos val="r"/>
    </c:legend>
    <c:plotVisOnly val="1"/>
  </c:chart>
  <c:printSettings>
    <c:headerFooter/>
    <c:pageMargins b="0.75000000000000122" l="0.70000000000000062" r="0.70000000000000062" t="0.75000000000000122"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a:pPr>
            <a:r>
              <a:rPr lang="es-ES" sz="1600"/>
              <a:t>Relación Ingresos/Elevaciones</a:t>
            </a:r>
            <a:r>
              <a:rPr lang="es-ES" sz="1600" baseline="0"/>
              <a:t> SIN PRESO</a:t>
            </a:r>
            <a:endParaRPr lang="es-ES" sz="1600"/>
          </a:p>
        </c:rich>
      </c:tx>
    </c:title>
    <c:plotArea>
      <c:layout/>
      <c:lineChart>
        <c:grouping val="standard"/>
        <c:ser>
          <c:idx val="0"/>
          <c:order val="0"/>
          <c:tx>
            <c:v>Ingresos</c:v>
          </c:tx>
          <c:cat>
            <c:strRef>
              <c:f>'Informe de Gestión'!$G$5:$G$11</c:f>
              <c:strCache>
                <c:ptCount val="7"/>
                <c:pt idx="0">
                  <c:v>Octubre</c:v>
                </c:pt>
                <c:pt idx="1">
                  <c:v>Noviembre</c:v>
                </c:pt>
                <c:pt idx="2">
                  <c:v>Diciembre</c:v>
                </c:pt>
                <c:pt idx="3">
                  <c:v>Enero</c:v>
                </c:pt>
                <c:pt idx="4">
                  <c:v>Febrero</c:v>
                </c:pt>
                <c:pt idx="5">
                  <c:v>Marzo</c:v>
                </c:pt>
                <c:pt idx="6">
                  <c:v>Abril</c:v>
                </c:pt>
              </c:strCache>
            </c:strRef>
          </c:cat>
          <c:val>
            <c:numRef>
              <c:f>'Informe de Gestión'!$D$5:$D$11</c:f>
              <c:numCache>
                <c:formatCode>General</c:formatCode>
                <c:ptCount val="7"/>
                <c:pt idx="0">
                  <c:v>37</c:v>
                </c:pt>
                <c:pt idx="1">
                  <c:v>256</c:v>
                </c:pt>
                <c:pt idx="2">
                  <c:v>117</c:v>
                </c:pt>
                <c:pt idx="3">
                  <c:v>2</c:v>
                </c:pt>
                <c:pt idx="4">
                  <c:v>141</c:v>
                </c:pt>
                <c:pt idx="5">
                  <c:v>118</c:v>
                </c:pt>
                <c:pt idx="6">
                  <c:v>109</c:v>
                </c:pt>
              </c:numCache>
            </c:numRef>
          </c:val>
        </c:ser>
        <c:ser>
          <c:idx val="1"/>
          <c:order val="1"/>
          <c:tx>
            <c:v>Elevaciones</c:v>
          </c:tx>
          <c:cat>
            <c:strRef>
              <c:f>'Informe de Gestión'!$G$5:$G$11</c:f>
              <c:strCache>
                <c:ptCount val="7"/>
                <c:pt idx="0">
                  <c:v>Octubre</c:v>
                </c:pt>
                <c:pt idx="1">
                  <c:v>Noviembre</c:v>
                </c:pt>
                <c:pt idx="2">
                  <c:v>Diciembre</c:v>
                </c:pt>
                <c:pt idx="3">
                  <c:v>Enero</c:v>
                </c:pt>
                <c:pt idx="4">
                  <c:v>Febrero</c:v>
                </c:pt>
                <c:pt idx="5">
                  <c:v>Marzo</c:v>
                </c:pt>
                <c:pt idx="6">
                  <c:v>Abril</c:v>
                </c:pt>
              </c:strCache>
            </c:strRef>
          </c:cat>
          <c:val>
            <c:numRef>
              <c:f>'Informe de Gestión'!$I$5:$I$11</c:f>
              <c:numCache>
                <c:formatCode>General</c:formatCode>
                <c:ptCount val="7"/>
                <c:pt idx="0">
                  <c:v>1</c:v>
                </c:pt>
                <c:pt idx="1">
                  <c:v>0</c:v>
                </c:pt>
                <c:pt idx="2">
                  <c:v>6</c:v>
                </c:pt>
                <c:pt idx="3">
                  <c:v>0</c:v>
                </c:pt>
                <c:pt idx="4">
                  <c:v>6</c:v>
                </c:pt>
                <c:pt idx="5">
                  <c:v>24</c:v>
                </c:pt>
                <c:pt idx="6">
                  <c:v>18</c:v>
                </c:pt>
              </c:numCache>
            </c:numRef>
          </c:val>
        </c:ser>
        <c:hiLowLines/>
        <c:marker val="1"/>
        <c:axId val="170212736"/>
        <c:axId val="170222720"/>
      </c:lineChart>
      <c:catAx>
        <c:axId val="170212736"/>
        <c:scaling>
          <c:orientation val="minMax"/>
        </c:scaling>
        <c:axPos val="b"/>
        <c:majorTickMark val="none"/>
        <c:tickLblPos val="nextTo"/>
        <c:crossAx val="170222720"/>
        <c:crosses val="autoZero"/>
        <c:auto val="1"/>
        <c:lblAlgn val="ctr"/>
        <c:lblOffset val="100"/>
      </c:catAx>
      <c:valAx>
        <c:axId val="170222720"/>
        <c:scaling>
          <c:orientation val="minMax"/>
        </c:scaling>
        <c:axPos val="l"/>
        <c:majorGridlines/>
        <c:numFmt formatCode="General" sourceLinked="1"/>
        <c:tickLblPos val="nextTo"/>
        <c:crossAx val="170212736"/>
        <c:crosses val="autoZero"/>
        <c:crossBetween val="between"/>
      </c:valAx>
    </c:plotArea>
    <c:legend>
      <c:legendPos val="r"/>
    </c:legend>
    <c:plotVisOnly val="1"/>
  </c:chart>
  <c:printSettings>
    <c:headerFooter/>
    <c:pageMargins b="0.75000000000000122" l="0.70000000000000062" r="0.70000000000000062" t="0.75000000000000122"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oneCellAnchor>
    <xdr:from>
      <xdr:col>0</xdr:col>
      <xdr:colOff>31749</xdr:colOff>
      <xdr:row>0</xdr:row>
      <xdr:rowOff>93376</xdr:rowOff>
    </xdr:from>
    <xdr:ext cx="2837657" cy="561885"/>
    <xdr:sp macro="" textlink="">
      <xdr:nvSpPr>
        <xdr:cNvPr id="5" name="4 CuadroTexto"/>
        <xdr:cNvSpPr txBox="1"/>
      </xdr:nvSpPr>
      <xdr:spPr>
        <a:xfrm>
          <a:off x="31749" y="93376"/>
          <a:ext cx="2837657" cy="561885"/>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s-ES" sz="1000"/>
            <a:t>Total     </a:t>
          </a:r>
          <a:r>
            <a:rPr lang="es-ES" sz="1000" baseline="0"/>
            <a:t>                         Pendientes         Realizadas </a:t>
          </a:r>
        </a:p>
        <a:p>
          <a:r>
            <a:rPr lang="es-ES" sz="1000" baseline="0"/>
            <a:t>                                                 -</a:t>
          </a:r>
        </a:p>
        <a:p>
          <a:r>
            <a:rPr lang="es-ES" sz="1000" baseline="0"/>
            <a:t>                                      Sin sortear </a:t>
          </a:r>
          <a:endParaRPr lang="es-ES" sz="1000"/>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12</xdr:col>
      <xdr:colOff>723900</xdr:colOff>
      <xdr:row>1</xdr:row>
      <xdr:rowOff>152399</xdr:rowOff>
    </xdr:from>
    <xdr:to>
      <xdr:col>18</xdr:col>
      <xdr:colOff>342900</xdr:colOff>
      <xdr:row>14</xdr:row>
      <xdr:rowOff>152399</xdr:rowOff>
    </xdr:to>
    <xdr:sp macro="" textlink="">
      <xdr:nvSpPr>
        <xdr:cNvPr id="2" name="1 CuadroTexto"/>
        <xdr:cNvSpPr txBox="1"/>
      </xdr:nvSpPr>
      <xdr:spPr>
        <a:xfrm>
          <a:off x="10696575" y="314324"/>
          <a:ext cx="4191000" cy="34766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s-ES" sz="1100" b="1"/>
            <a:t>INGRESADAS:</a:t>
          </a:r>
          <a:r>
            <a:rPr lang="es-ES" sz="1100" baseline="0"/>
            <a:t>  representa el total de causas ingresadas.</a:t>
          </a:r>
          <a:endParaRPr lang="es-ES" sz="1100" b="1" baseline="0"/>
        </a:p>
        <a:p>
          <a:r>
            <a:rPr lang="es-ES" sz="1100" b="1" baseline="0"/>
            <a:t>ELEVADAS: </a:t>
          </a:r>
          <a:r>
            <a:rPr lang="es-ES" sz="1100" baseline="0"/>
            <a:t> representa el total de las causas elevadas a juicio</a:t>
          </a:r>
        </a:p>
        <a:p>
          <a:r>
            <a:rPr lang="es-ES" sz="1100" b="1" baseline="0"/>
            <a:t>RESUELTAS:</a:t>
          </a:r>
          <a:r>
            <a:rPr lang="es-ES" sz="1100" baseline="0"/>
            <a:t>  representa el total de las causas Resueltas (incluyen las resueltas en Audiencias  Flexibles y Multiproposito de preventivas;  Abreviados, Concilacion).</a:t>
          </a:r>
        </a:p>
        <a:p>
          <a:r>
            <a:rPr lang="es-ES" sz="1100" b="1" baseline="0"/>
            <a:t>DEVUELTA POR FALTA DE TRAMITES PENDIENTES:</a:t>
          </a:r>
          <a:r>
            <a:rPr lang="es-ES" sz="1100" baseline="0"/>
            <a:t> representa las causas que fueron devuelta al Juzgado de Origan por falta de algun tramite en particular (informes 96, Nulidades , Apelaciones, etc. ). En ocaciones tambien son requeridas por el Juzgado para resolver cuestiones presentadas en el Juzgado de Origen.</a:t>
          </a:r>
        </a:p>
        <a:p>
          <a:r>
            <a:rPr lang="es-ES" sz="1100" b="1" baseline="0"/>
            <a:t>DEVUELTAS POR PRESCRIPCION:</a:t>
          </a:r>
          <a:r>
            <a:rPr lang="es-ES" sz="1100" baseline="0"/>
            <a:t> representan las causas que se encontraban prescriptas.</a:t>
          </a:r>
        </a:p>
        <a:p>
          <a:r>
            <a:rPr lang="es-ES" sz="1100" b="1" baseline="0"/>
            <a:t>DEVUELTAS POR REBELDIA: </a:t>
          </a:r>
          <a:r>
            <a:rPr lang="es-ES" sz="1100" baseline="0"/>
            <a:t>representa las causas que se encontraban con REBELDIA.</a:t>
          </a:r>
        </a:p>
        <a:p>
          <a:r>
            <a:rPr lang="es-ES" sz="1100" b="1" baseline="0"/>
            <a:t>TOTAL REMITIDAS:</a:t>
          </a:r>
          <a:r>
            <a:rPr lang="es-ES" sz="1100" baseline="0"/>
            <a:t> representa las causas que ya no se encuentran en OFIJU y fueron remitidas por ELEVACION A JUICIO  - RESUELTAS - DEVUELTAS.</a:t>
          </a:r>
        </a:p>
        <a:p>
          <a:r>
            <a:rPr lang="es-ES" sz="1100" b="1" baseline="0"/>
            <a:t>RESTAN: </a:t>
          </a:r>
          <a:r>
            <a:rPr lang="es-ES" sz="1100" baseline="0"/>
            <a:t>representan las causas que continuan con su tramite para Elevar.</a:t>
          </a:r>
        </a:p>
        <a:p>
          <a:endParaRPr lang="es-ES" sz="1100" baseline="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15</xdr:col>
      <xdr:colOff>642769</xdr:colOff>
      <xdr:row>0</xdr:row>
      <xdr:rowOff>155986</xdr:rowOff>
    </xdr:from>
    <xdr:to>
      <xdr:col>21</xdr:col>
      <xdr:colOff>490369</xdr:colOff>
      <xdr:row>11</xdr:row>
      <xdr:rowOff>18826</xdr:rowOff>
    </xdr:to>
    <xdr:graphicFrame macro="">
      <xdr:nvGraphicFramePr>
        <xdr:cNvPr id="2" name="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523090</xdr:colOff>
      <xdr:row>12</xdr:row>
      <xdr:rowOff>116093</xdr:rowOff>
    </xdr:from>
    <xdr:to>
      <xdr:col>21</xdr:col>
      <xdr:colOff>370690</xdr:colOff>
      <xdr:row>23</xdr:row>
      <xdr:rowOff>190948</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528918</xdr:colOff>
      <xdr:row>27</xdr:row>
      <xdr:rowOff>0</xdr:rowOff>
    </xdr:from>
    <xdr:to>
      <xdr:col>19</xdr:col>
      <xdr:colOff>376518</xdr:colOff>
      <xdr:row>42</xdr:row>
      <xdr:rowOff>107577</xdr:rowOff>
    </xdr:to>
    <xdr:graphicFrame macro="">
      <xdr:nvGraphicFramePr>
        <xdr:cNvPr id="4" name="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296955</xdr:colOff>
      <xdr:row>42</xdr:row>
      <xdr:rowOff>112060</xdr:rowOff>
    </xdr:from>
    <xdr:to>
      <xdr:col>2</xdr:col>
      <xdr:colOff>508747</xdr:colOff>
      <xdr:row>59</xdr:row>
      <xdr:rowOff>112060</xdr:rowOff>
    </xdr:to>
    <xdr:graphicFrame macro="">
      <xdr:nvGraphicFramePr>
        <xdr:cNvPr id="5" name="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152400</xdr:colOff>
      <xdr:row>12</xdr:row>
      <xdr:rowOff>160020</xdr:rowOff>
    </xdr:from>
    <xdr:to>
      <xdr:col>5</xdr:col>
      <xdr:colOff>632460</xdr:colOff>
      <xdr:row>29</xdr:row>
      <xdr:rowOff>53340</xdr:rowOff>
    </xdr:to>
    <xdr:graphicFrame macro="">
      <xdr:nvGraphicFramePr>
        <xdr:cNvPr id="2" name="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17930</xdr:colOff>
      <xdr:row>12</xdr:row>
      <xdr:rowOff>161365</xdr:rowOff>
    </xdr:from>
    <xdr:to>
      <xdr:col>11</xdr:col>
      <xdr:colOff>403412</xdr:colOff>
      <xdr:row>29</xdr:row>
      <xdr:rowOff>8965</xdr:rowOff>
    </xdr:to>
    <xdr:graphicFrame macro="">
      <xdr:nvGraphicFramePr>
        <xdr:cNvPr id="4" name="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600075</xdr:colOff>
      <xdr:row>3</xdr:row>
      <xdr:rowOff>219075</xdr:rowOff>
    </xdr:from>
    <xdr:to>
      <xdr:col>6</xdr:col>
      <xdr:colOff>161925</xdr:colOff>
      <xdr:row>11</xdr:row>
      <xdr:rowOff>38100</xdr:rowOff>
    </xdr:to>
    <xdr:sp macro="" textlink="">
      <xdr:nvSpPr>
        <xdr:cNvPr id="4" name="3 Rectángulo redondeado"/>
        <xdr:cNvSpPr/>
      </xdr:nvSpPr>
      <xdr:spPr>
        <a:xfrm>
          <a:off x="2886075" y="838200"/>
          <a:ext cx="1847850" cy="1647825"/>
        </a:xfrm>
        <a:prstGeom prst="roundRect">
          <a:avLst/>
        </a:prstGeom>
        <a:solidFill>
          <a:schemeClr val="accent1">
            <a:alpha val="17000"/>
          </a:schemeClr>
        </a:solidFill>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s-ES" sz="1100"/>
        </a:p>
      </xdr:txBody>
    </xdr:sp>
    <xdr:clientData/>
  </xdr:twoCellAnchor>
  <xdr:twoCellAnchor>
    <xdr:from>
      <xdr:col>6</xdr:col>
      <xdr:colOff>590550</xdr:colOff>
      <xdr:row>4</xdr:row>
      <xdr:rowOff>0</xdr:rowOff>
    </xdr:from>
    <xdr:to>
      <xdr:col>9</xdr:col>
      <xdr:colOff>152400</xdr:colOff>
      <xdr:row>11</xdr:row>
      <xdr:rowOff>47625</xdr:rowOff>
    </xdr:to>
    <xdr:sp macro="" textlink="">
      <xdr:nvSpPr>
        <xdr:cNvPr id="7" name="6 Rectángulo redondeado"/>
        <xdr:cNvSpPr/>
      </xdr:nvSpPr>
      <xdr:spPr>
        <a:xfrm>
          <a:off x="5162550" y="847725"/>
          <a:ext cx="1847850" cy="1647825"/>
        </a:xfrm>
        <a:prstGeom prst="roundRect">
          <a:avLst/>
        </a:prstGeom>
        <a:solidFill>
          <a:schemeClr val="accent1">
            <a:alpha val="17000"/>
          </a:schemeClr>
        </a:solidFill>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s-ES" sz="1100"/>
        </a:p>
      </xdr:txBody>
    </xdr:sp>
    <xdr:clientData/>
  </xdr:twoCellAnchor>
  <xdr:twoCellAnchor>
    <xdr:from>
      <xdr:col>9</xdr:col>
      <xdr:colOff>628650</xdr:colOff>
      <xdr:row>3</xdr:row>
      <xdr:rowOff>219075</xdr:rowOff>
    </xdr:from>
    <xdr:to>
      <xdr:col>12</xdr:col>
      <xdr:colOff>133350</xdr:colOff>
      <xdr:row>11</xdr:row>
      <xdr:rowOff>38100</xdr:rowOff>
    </xdr:to>
    <xdr:sp macro="" textlink="">
      <xdr:nvSpPr>
        <xdr:cNvPr id="8" name="7 Rectángulo redondeado"/>
        <xdr:cNvSpPr/>
      </xdr:nvSpPr>
      <xdr:spPr>
        <a:xfrm>
          <a:off x="7486650" y="838200"/>
          <a:ext cx="1847850" cy="1647825"/>
        </a:xfrm>
        <a:prstGeom prst="roundRect">
          <a:avLst/>
        </a:prstGeom>
        <a:solidFill>
          <a:schemeClr val="accent1">
            <a:alpha val="17000"/>
          </a:schemeClr>
        </a:solidFill>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s-ES" sz="1100"/>
        </a:p>
      </xdr:txBody>
    </xdr:sp>
    <xdr:clientData/>
  </xdr:twoCellAnchor>
  <xdr:twoCellAnchor>
    <xdr:from>
      <xdr:col>3</xdr:col>
      <xdr:colOff>0</xdr:colOff>
      <xdr:row>2</xdr:row>
      <xdr:rowOff>95250</xdr:rowOff>
    </xdr:from>
    <xdr:to>
      <xdr:col>13</xdr:col>
      <xdr:colOff>0</xdr:colOff>
      <xdr:row>3</xdr:row>
      <xdr:rowOff>171450</xdr:rowOff>
    </xdr:to>
    <xdr:sp macro="" textlink="">
      <xdr:nvSpPr>
        <xdr:cNvPr id="9" name="8 Redondear rectángulo de esquina del mismo lado"/>
        <xdr:cNvSpPr/>
      </xdr:nvSpPr>
      <xdr:spPr>
        <a:xfrm>
          <a:off x="2286000" y="552450"/>
          <a:ext cx="7677150" cy="304800"/>
        </a:xfrm>
        <a:prstGeom prst="round2Same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s-E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LCAcuGral%20lado%20b.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PLCGar.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jelopez/Desktop/Copia%20de%20PLCAcuGral.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EXPEDIENTES"/>
      <sheetName val="AGENDA"/>
      <sheetName val="Asignados"/>
      <sheetName val="Licencias"/>
      <sheetName val="Informe Disponibilidad"/>
      <sheetName val="Feriados"/>
      <sheetName val="Exp por Jueces"/>
      <sheetName val="Informe semana"/>
      <sheetName val="Graficos Estadisticos"/>
      <sheetName val="Exp por Encargado"/>
      <sheetName val="Jueces"/>
      <sheetName val="Internos"/>
      <sheetName val="fiscalias penales"/>
      <sheetName val="defensores"/>
      <sheetName val="Codigos"/>
      <sheetName val="Resultados"/>
      <sheetName val="Observac"/>
      <sheetName val="no realizadas"/>
      <sheetName val="Tecnicos"/>
      <sheetName val="Personal"/>
      <sheetName val="Notificaciones"/>
      <sheetName val="AUXAG"/>
      <sheetName val="PRESO"/>
      <sheetName val="OPO"/>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ow r="1">
          <cell r="A1" t="str">
            <v>Dra. Zunino</v>
          </cell>
        </row>
      </sheetData>
      <sheetData sheetId="11"/>
      <sheetData sheetId="12"/>
      <sheetData sheetId="13"/>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EXPEDIENTES"/>
      <sheetName val="defensores"/>
      <sheetName val="ESTADISTICAS"/>
      <sheetName val="Informe Disponibilidad"/>
      <sheetName val="Exp por Jueces"/>
      <sheetName val="Prev. diarias"/>
      <sheetName val="Graficos Estadisticos"/>
      <sheetName val="Informe semana"/>
      <sheetName val="Informe de Gestión"/>
      <sheetName val="Licencias"/>
      <sheetName val="no realizadas"/>
      <sheetName val="Exp por Encargado"/>
      <sheetName val="Feriados"/>
      <sheetName val="Jueces"/>
      <sheetName val="Internos"/>
      <sheetName val="fiscalias penales"/>
      <sheetName val="Codigos"/>
      <sheetName val="Resultados"/>
      <sheetName val="Observac"/>
      <sheetName val="Horarios VIEJO"/>
      <sheetName val="Tecnicos"/>
      <sheetName val="Exp por Encargado - Alvaro"/>
      <sheetName val="Personal"/>
      <sheetName val="Notificaciones"/>
      <sheetName val="AGENDA"/>
      <sheetName val="Feria"/>
      <sheetName val="AUXAG"/>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sheetData sheetId="14" refreshError="1"/>
      <sheetData sheetId="15"/>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EXPEDIENTES"/>
      <sheetName val="AGENDA"/>
      <sheetName val="Asignados"/>
      <sheetName val="Licencias"/>
      <sheetName val="Informe Disponibilidad"/>
      <sheetName val="Feriados"/>
      <sheetName val="Exp por Jueces"/>
      <sheetName val="Informe semana"/>
      <sheetName val="Graficos Estadisticos"/>
      <sheetName val="Exp por Encargado"/>
      <sheetName val="Jueces"/>
      <sheetName val="Internos"/>
      <sheetName val="fiscalias penales"/>
      <sheetName val="defensores"/>
      <sheetName val="Codigos"/>
      <sheetName val="Resultados"/>
      <sheetName val="Observac"/>
      <sheetName val="no realizadas"/>
      <sheetName val="Tecnicos"/>
      <sheetName val="Personal"/>
      <sheetName val="Notificaciones"/>
      <sheetName val="AUXAG"/>
      <sheetName val="PRESO"/>
      <sheetName val="OPO"/>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ow r="1">
          <cell r="A1" t="str">
            <v>Dra. Zunino</v>
          </cell>
        </row>
      </sheetData>
      <sheetData sheetId="11"/>
      <sheetData sheetId="12"/>
      <sheetData sheetId="13"/>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8.bin"/><Relationship Id="rId13" Type="http://schemas.openxmlformats.org/officeDocument/2006/relationships/ctrlProp" Target="../ctrlProps/ctrlProp2.xml"/><Relationship Id="rId18" Type="http://schemas.openxmlformats.org/officeDocument/2006/relationships/ctrlProp" Target="../ctrlProps/ctrlProp7.xml"/><Relationship Id="rId26" Type="http://schemas.openxmlformats.org/officeDocument/2006/relationships/ctrlProp" Target="../ctrlProps/ctrlProp15.xml"/><Relationship Id="rId3" Type="http://schemas.openxmlformats.org/officeDocument/2006/relationships/printerSettings" Target="../printerSettings/printerSettings3.bin"/><Relationship Id="rId21" Type="http://schemas.openxmlformats.org/officeDocument/2006/relationships/ctrlProp" Target="../ctrlProps/ctrlProp10.xml"/><Relationship Id="rId34" Type="http://schemas.openxmlformats.org/officeDocument/2006/relationships/ctrlProp" Target="../ctrlProps/ctrlProp23.xml"/><Relationship Id="rId7" Type="http://schemas.openxmlformats.org/officeDocument/2006/relationships/printerSettings" Target="../printerSettings/printerSettings7.bin"/><Relationship Id="rId17" Type="http://schemas.openxmlformats.org/officeDocument/2006/relationships/ctrlProp" Target="../ctrlProps/ctrlProp6.xml"/><Relationship Id="rId25" Type="http://schemas.openxmlformats.org/officeDocument/2006/relationships/ctrlProp" Target="../ctrlProps/ctrlProp14.xml"/><Relationship Id="rId33" Type="http://schemas.openxmlformats.org/officeDocument/2006/relationships/ctrlProp" Target="../ctrlProps/ctrlProp22.xml"/><Relationship Id="rId2" Type="http://schemas.openxmlformats.org/officeDocument/2006/relationships/printerSettings" Target="../printerSettings/printerSettings2.bin"/><Relationship Id="rId16" Type="http://schemas.openxmlformats.org/officeDocument/2006/relationships/ctrlProp" Target="../ctrlProps/ctrlProp5.xml"/><Relationship Id="rId20" Type="http://schemas.openxmlformats.org/officeDocument/2006/relationships/ctrlProp" Target="../ctrlProps/ctrlProp9.xml"/><Relationship Id="rId29" Type="http://schemas.openxmlformats.org/officeDocument/2006/relationships/ctrlProp" Target="../ctrlProps/ctrlProp18.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24" Type="http://schemas.openxmlformats.org/officeDocument/2006/relationships/ctrlProp" Target="../ctrlProps/ctrlProp13.xml"/><Relationship Id="rId32" Type="http://schemas.openxmlformats.org/officeDocument/2006/relationships/ctrlProp" Target="../ctrlProps/ctrlProp21.xml"/><Relationship Id="rId5" Type="http://schemas.openxmlformats.org/officeDocument/2006/relationships/printerSettings" Target="../printerSettings/printerSettings5.bin"/><Relationship Id="rId15" Type="http://schemas.openxmlformats.org/officeDocument/2006/relationships/ctrlProp" Target="../ctrlProps/ctrlProp4.xml"/><Relationship Id="rId23" Type="http://schemas.openxmlformats.org/officeDocument/2006/relationships/ctrlProp" Target="../ctrlProps/ctrlProp12.xml"/><Relationship Id="rId28" Type="http://schemas.openxmlformats.org/officeDocument/2006/relationships/ctrlProp" Target="../ctrlProps/ctrlProp17.xml"/><Relationship Id="rId10" Type="http://schemas.openxmlformats.org/officeDocument/2006/relationships/vmlDrawing" Target="../drawings/vmlDrawing1.vml"/><Relationship Id="rId19" Type="http://schemas.openxmlformats.org/officeDocument/2006/relationships/ctrlProp" Target="../ctrlProps/ctrlProp8.xml"/><Relationship Id="rId31" Type="http://schemas.openxmlformats.org/officeDocument/2006/relationships/ctrlProp" Target="../ctrlProps/ctrlProp20.xml"/><Relationship Id="rId4" Type="http://schemas.openxmlformats.org/officeDocument/2006/relationships/printerSettings" Target="../printerSettings/printerSettings4.bin"/><Relationship Id="rId9" Type="http://schemas.openxmlformats.org/officeDocument/2006/relationships/drawing" Target="../drawings/drawing1.xml"/><Relationship Id="rId35" Type="http://schemas.openxmlformats.org/officeDocument/2006/relationships/ctrlProp" Target="../ctrlProps/ctrlProp1.xml"/><Relationship Id="rId14" Type="http://schemas.openxmlformats.org/officeDocument/2006/relationships/ctrlProp" Target="../ctrlProps/ctrlProp3.xml"/><Relationship Id="rId22" Type="http://schemas.openxmlformats.org/officeDocument/2006/relationships/ctrlProp" Target="../ctrlProps/ctrlProp11.xml"/><Relationship Id="rId27" Type="http://schemas.openxmlformats.org/officeDocument/2006/relationships/ctrlProp" Target="../ctrlProps/ctrlProp16.xml"/><Relationship Id="rId30" Type="http://schemas.openxmlformats.org/officeDocument/2006/relationships/ctrlProp" Target="../ctrlProps/ctrlProp19.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 Id="rId5" Type="http://schemas.openxmlformats.org/officeDocument/2006/relationships/drawing" Target="../drawings/drawing3.xml"/><Relationship Id="rId4" Type="http://schemas.openxmlformats.org/officeDocument/2006/relationships/printerSettings" Target="../printerSettings/printerSettings1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4.bin"/></Relationships>
</file>

<file path=xl/worksheets/_rels/sheet8.xml.rels><?xml version="1.0" encoding="UTF-8" standalone="yes"?>
<Relationships xmlns="http://schemas.openxmlformats.org/package/2006/relationships"><Relationship Id="rId8" Type="http://schemas.openxmlformats.org/officeDocument/2006/relationships/printerSettings" Target="../printerSettings/printerSettings22.bin"/><Relationship Id="rId3" Type="http://schemas.openxmlformats.org/officeDocument/2006/relationships/printerSettings" Target="../printerSettings/printerSettings17.bin"/><Relationship Id="rId7" Type="http://schemas.openxmlformats.org/officeDocument/2006/relationships/printerSettings" Target="../printerSettings/printerSettings21.bin"/><Relationship Id="rId2" Type="http://schemas.openxmlformats.org/officeDocument/2006/relationships/printerSettings" Target="../printerSettings/printerSettings16.bin"/><Relationship Id="rId1" Type="http://schemas.openxmlformats.org/officeDocument/2006/relationships/printerSettings" Target="../printerSettings/printerSettings15.bin"/><Relationship Id="rId6" Type="http://schemas.openxmlformats.org/officeDocument/2006/relationships/printerSettings" Target="../printerSettings/printerSettings20.bin"/><Relationship Id="rId5" Type="http://schemas.openxmlformats.org/officeDocument/2006/relationships/printerSettings" Target="../printerSettings/printerSettings19.bin"/><Relationship Id="rId4" Type="http://schemas.openxmlformats.org/officeDocument/2006/relationships/printerSettings" Target="../printerSettings/printerSettings18.bin"/></Relationships>
</file>

<file path=xl/worksheets/_rels/sheet10.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sheetPr codeName="Hoja1">
    <tabColor theme="5"/>
  </sheetPr>
  <dimension ref="A1:AM1005"/>
  <sheetViews>
    <sheetView tabSelected="1" zoomScale="85" zoomScaleNormal="85" zoomScaleSheetLayoutView="55" workbookViewId="0">
      <pane ySplit="2" topLeftCell="A999" activePane="bottomLeft" state="frozen"/>
      <selection pane="bottomLeft" activeCell="E1002" sqref="E1002"/>
    </sheetView>
  </sheetViews>
  <sheetFormatPr baseColWidth="10" defaultColWidth="11.42578125" defaultRowHeight="12.75"/>
  <cols>
    <col min="1" max="1" width="13.140625" style="1" customWidth="1"/>
    <col min="2" max="2" width="18.85546875" style="2" customWidth="1"/>
    <col min="3" max="3" width="12" style="1" customWidth="1"/>
    <col min="4" max="4" width="10.28515625" style="1" bestFit="1" customWidth="1"/>
    <col min="5" max="5" width="35.140625" style="42" customWidth="1"/>
    <col min="6" max="6" width="13.140625" style="1" customWidth="1"/>
    <col min="7" max="7" width="15.140625" style="1" customWidth="1"/>
    <col min="8" max="8" width="13.28515625" style="2" customWidth="1"/>
    <col min="9" max="9" width="10.85546875" style="2" customWidth="1"/>
    <col min="10" max="10" width="18.28515625" style="2" customWidth="1"/>
    <col min="11" max="11" width="11" style="1" customWidth="1"/>
    <col min="12" max="12" width="26" style="1" customWidth="1"/>
    <col min="13" max="13" width="31.7109375" style="1" customWidth="1"/>
    <col min="14" max="14" width="21.5703125" style="1" customWidth="1"/>
    <col min="15" max="15" width="29.28515625" style="3" hidden="1" customWidth="1"/>
    <col min="16" max="16" width="13.42578125" style="3" hidden="1" customWidth="1"/>
    <col min="17" max="18" width="31" style="3" customWidth="1"/>
    <col min="19" max="19" width="11.42578125" style="3" customWidth="1"/>
    <col min="20" max="21" width="11.42578125" style="12" customWidth="1"/>
    <col min="22" max="22" width="12.7109375" style="1" hidden="1" customWidth="1"/>
    <col min="23" max="23" width="11.42578125" style="1" hidden="1" customWidth="1"/>
    <col min="24" max="24" width="26.42578125" style="1" customWidth="1"/>
    <col min="25" max="25" width="17.42578125" style="1" customWidth="1"/>
    <col min="26" max="26" width="22.140625" style="1" customWidth="1"/>
    <col min="27" max="28" width="18.7109375" style="1" customWidth="1"/>
    <col min="29" max="30" width="11.42578125" style="1" hidden="1" customWidth="1"/>
    <col min="31" max="31" width="11.42578125" style="67" hidden="1" customWidth="1"/>
    <col min="32" max="32" width="13.140625" style="1" hidden="1" customWidth="1"/>
    <col min="33" max="34" width="11.42578125" style="1" hidden="1" customWidth="1"/>
    <col min="35" max="35" width="13.7109375" style="1" hidden="1" customWidth="1"/>
    <col min="36" max="37" width="11.42578125" style="1"/>
    <col min="38" max="38" width="12" style="1" bestFit="1" customWidth="1"/>
    <col min="39" max="16384" width="11.42578125" style="1"/>
  </cols>
  <sheetData>
    <row r="1" spans="1:39" s="30" customFormat="1" ht="180" customHeight="1" thickBot="1">
      <c r="A1" s="44">
        <v>1002</v>
      </c>
      <c r="B1" s="45" t="str">
        <f xml:space="preserve"> COUNTIF(O:O,"NO") &amp;
"                                      -                          "                 &amp; COUNTIF(O:O,"LIMBO")</f>
        <v>698                                      -                          0</v>
      </c>
      <c r="C1" s="45">
        <f xml:space="preserve"> COUNTIF(O:O,"SI")</f>
        <v>305</v>
      </c>
      <c r="D1" s="28" t="s">
        <v>527</v>
      </c>
      <c r="E1" s="46" t="s">
        <v>1386</v>
      </c>
      <c r="F1" s="47"/>
      <c r="G1" s="162"/>
      <c r="H1" s="49"/>
      <c r="I1" s="49"/>
      <c r="J1" s="49" t="s">
        <v>5</v>
      </c>
      <c r="K1" s="48" t="s">
        <v>92</v>
      </c>
      <c r="L1" s="28" t="s">
        <v>367</v>
      </c>
      <c r="M1" s="28" t="s">
        <v>367</v>
      </c>
      <c r="N1" s="50"/>
      <c r="O1" s="50"/>
      <c r="P1" s="51">
        <v>45372</v>
      </c>
      <c r="Q1" s="52">
        <v>45098</v>
      </c>
      <c r="R1" s="52">
        <v>45100</v>
      </c>
      <c r="S1" s="28"/>
      <c r="T1" s="31"/>
      <c r="U1" s="29"/>
      <c r="Y1" s="28"/>
      <c r="Z1" s="53"/>
      <c r="AE1" s="65"/>
      <c r="AF1" s="54">
        <f>MAX($AC1,$AE1)+7</f>
        <v>7</v>
      </c>
    </row>
    <row r="2" spans="1:39" ht="64.5" thickBot="1">
      <c r="A2" s="371" t="s">
        <v>155</v>
      </c>
      <c r="B2" s="55" t="s">
        <v>0</v>
      </c>
      <c r="C2" s="56" t="s">
        <v>3</v>
      </c>
      <c r="D2" s="56" t="s">
        <v>1</v>
      </c>
      <c r="E2" s="57" t="s">
        <v>2</v>
      </c>
      <c r="F2" s="56" t="s">
        <v>39</v>
      </c>
      <c r="G2" s="56" t="s">
        <v>2846</v>
      </c>
      <c r="H2" s="55" t="s">
        <v>2927</v>
      </c>
      <c r="I2" s="56" t="s">
        <v>3</v>
      </c>
      <c r="J2" s="56" t="s">
        <v>6</v>
      </c>
      <c r="K2" s="56" t="s">
        <v>20</v>
      </c>
      <c r="L2" s="56" t="s">
        <v>18</v>
      </c>
      <c r="M2" s="56" t="s">
        <v>19</v>
      </c>
      <c r="N2" s="56" t="s">
        <v>104</v>
      </c>
      <c r="O2" s="58" t="s">
        <v>37</v>
      </c>
      <c r="P2" s="58" t="s">
        <v>204</v>
      </c>
      <c r="Q2" s="58" t="s">
        <v>105</v>
      </c>
      <c r="R2" s="175" t="s">
        <v>106</v>
      </c>
      <c r="S2" s="58" t="s">
        <v>2988</v>
      </c>
      <c r="T2" s="59" t="s">
        <v>3119</v>
      </c>
      <c r="U2" s="59" t="s">
        <v>3118</v>
      </c>
      <c r="V2" s="58" t="s">
        <v>115</v>
      </c>
      <c r="W2" s="58" t="s">
        <v>116</v>
      </c>
      <c r="X2" s="58" t="s">
        <v>112</v>
      </c>
      <c r="Y2" s="58" t="s">
        <v>113</v>
      </c>
      <c r="Z2" s="58" t="s">
        <v>126</v>
      </c>
      <c r="AA2" s="58" t="s">
        <v>140</v>
      </c>
      <c r="AB2" s="58" t="s">
        <v>141</v>
      </c>
      <c r="AC2" s="60" t="s">
        <v>397</v>
      </c>
      <c r="AD2" s="60" t="s">
        <v>398</v>
      </c>
      <c r="AE2" s="66" t="s">
        <v>399</v>
      </c>
      <c r="AF2" s="60" t="s">
        <v>400</v>
      </c>
      <c r="AG2" s="61" t="str">
        <f>IF(TEXT($AF32,"DD/MM/YYYY")=TEXT($C$1,"dd/mm/yyyy"),"DIASOL","DIANOSOL")</f>
        <v>DIANOSOL</v>
      </c>
      <c r="AH2" s="62" t="s">
        <v>1240</v>
      </c>
      <c r="AI2" s="63" t="s">
        <v>466</v>
      </c>
      <c r="AJ2" s="58" t="s">
        <v>3325</v>
      </c>
      <c r="AK2" s="120" t="s">
        <v>1241</v>
      </c>
      <c r="AL2" s="121" t="s">
        <v>1626</v>
      </c>
      <c r="AM2" s="1" t="s">
        <v>3311</v>
      </c>
    </row>
    <row r="3" spans="1:39" ht="89.25">
      <c r="A3" s="372">
        <v>88</v>
      </c>
      <c r="B3" s="289">
        <v>45231</v>
      </c>
      <c r="C3" s="399" t="s">
        <v>1296</v>
      </c>
      <c r="D3" s="290" t="s">
        <v>541</v>
      </c>
      <c r="E3" s="402" t="s">
        <v>542</v>
      </c>
      <c r="F3" s="368">
        <v>7</v>
      </c>
      <c r="G3" s="368" t="s">
        <v>10</v>
      </c>
      <c r="H3" s="404">
        <v>45204</v>
      </c>
      <c r="I3" s="289"/>
      <c r="J3" s="289"/>
      <c r="K3" s="368" t="s">
        <v>1480</v>
      </c>
      <c r="L3" s="290" t="s">
        <v>88</v>
      </c>
      <c r="M3" s="290"/>
      <c r="N3" s="406" t="s">
        <v>2578</v>
      </c>
      <c r="O3" s="24" t="str">
        <f>IF(Q3=" _","NO","SI")</f>
        <v>SI</v>
      </c>
      <c r="P3" s="24" t="str">
        <f ca="1">IF(color_Celda(E3)=12106214,"ROSA",IF(color_Celda(E3)=65535,"AMARILLO",IF(color_Celda(E3)=5296274,"VERDE",IF(color_Celda(E3)=16777215,"BLANCO","NO SE"))))</f>
        <v>ROSA</v>
      </c>
      <c r="Q3" s="290" t="s">
        <v>1162</v>
      </c>
      <c r="R3" s="4" t="str">
        <f>VLOOKUP($Q3,Resultados!$A$1:$B$49,2,FALSE)</f>
        <v>ELEVADA A JUICIO</v>
      </c>
      <c r="S3" s="290"/>
      <c r="T3" s="291"/>
      <c r="U3" s="291"/>
      <c r="V3" s="368"/>
      <c r="W3" s="368"/>
      <c r="X3" s="368"/>
      <c r="Y3" s="64"/>
      <c r="Z3" s="368"/>
      <c r="AA3" s="368"/>
      <c r="AB3" s="368"/>
      <c r="AC3" s="368"/>
      <c r="AD3" s="368"/>
      <c r="AE3" s="292"/>
      <c r="AF3" s="313">
        <v>7</v>
      </c>
      <c r="AG3" s="293"/>
      <c r="AH3" s="294">
        <v>0</v>
      </c>
      <c r="AI3" s="294"/>
      <c r="AJ3" s="295" t="s">
        <v>988</v>
      </c>
      <c r="AK3" s="421"/>
      <c r="AL3" s="139" t="s">
        <v>1628</v>
      </c>
      <c r="AM3" s="1" t="str">
        <f>VLOOKUP($Q3,Resultados!$A$1:$C$49,3,FALSE)</f>
        <v>ELEVADA</v>
      </c>
    </row>
    <row r="4" spans="1:39" customFormat="1" ht="114.75">
      <c r="A4" s="372">
        <v>384</v>
      </c>
      <c r="B4" s="85">
        <v>45261</v>
      </c>
      <c r="C4" s="323" t="s">
        <v>14</v>
      </c>
      <c r="D4" s="79" t="s">
        <v>1157</v>
      </c>
      <c r="E4" s="84" t="s">
        <v>1159</v>
      </c>
      <c r="F4" s="74">
        <v>3</v>
      </c>
      <c r="G4" s="74" t="s">
        <v>10</v>
      </c>
      <c r="H4" s="305">
        <v>45211</v>
      </c>
      <c r="I4" s="85"/>
      <c r="J4" s="85"/>
      <c r="K4" s="74" t="s">
        <v>1480</v>
      </c>
      <c r="L4" s="79" t="s">
        <v>127</v>
      </c>
      <c r="M4" s="79" t="s">
        <v>1158</v>
      </c>
      <c r="N4" s="407" t="s">
        <v>2445</v>
      </c>
      <c r="O4" s="24" t="str">
        <f>IF(Q4=" _","NO","SI")</f>
        <v>SI</v>
      </c>
      <c r="P4" s="24" t="str">
        <f ca="1">IF(color_Celda(E4)=12106214,"ROSA",IF(color_Celda(E4)=65535,"AMARILLO",IF(color_Celda(E4)=5296274,"VERDE",IF(color_Celda(E4)=16777215,"BLANCO","NO SE"))))</f>
        <v>ROSA</v>
      </c>
      <c r="Q4" s="79" t="s">
        <v>1162</v>
      </c>
      <c r="R4" s="4" t="str">
        <f>VLOOKUP($Q4,Resultados!$A$1:$B$49,2,FALSE)</f>
        <v>ELEVADA A JUICIO</v>
      </c>
      <c r="S4" s="79"/>
      <c r="T4" s="86"/>
      <c r="U4" s="86"/>
      <c r="V4" s="74"/>
      <c r="W4" s="74"/>
      <c r="X4" s="74"/>
      <c r="Y4" s="64"/>
      <c r="Z4" s="74"/>
      <c r="AA4" s="74"/>
      <c r="AB4" s="74"/>
      <c r="AC4" s="74"/>
      <c r="AD4" s="74"/>
      <c r="AE4" s="140"/>
      <c r="AF4" s="76">
        <v>7</v>
      </c>
      <c r="AG4" s="76"/>
      <c r="AH4" s="76">
        <v>0</v>
      </c>
      <c r="AI4" s="76"/>
      <c r="AJ4" s="122" t="s">
        <v>408</v>
      </c>
      <c r="AK4" s="138"/>
      <c r="AL4" s="139" t="s">
        <v>1628</v>
      </c>
      <c r="AM4" s="1" t="str">
        <f>VLOOKUP($Q4,Resultados!$A$1:$C$49,3,FALSE)</f>
        <v>ELEVADA</v>
      </c>
    </row>
    <row r="5" spans="1:39" customFormat="1" ht="63.75">
      <c r="A5" s="372">
        <v>37</v>
      </c>
      <c r="B5" s="75">
        <v>45222</v>
      </c>
      <c r="C5" s="401" t="s">
        <v>12</v>
      </c>
      <c r="D5" s="77" t="s">
        <v>419</v>
      </c>
      <c r="E5" s="78" t="s">
        <v>420</v>
      </c>
      <c r="F5" s="76">
        <v>1</v>
      </c>
      <c r="G5" s="77" t="s">
        <v>10</v>
      </c>
      <c r="H5" s="366">
        <v>45222</v>
      </c>
      <c r="I5" s="75"/>
      <c r="J5" s="75"/>
      <c r="K5" s="74" t="s">
        <v>1480</v>
      </c>
      <c r="L5" s="77" t="s">
        <v>36</v>
      </c>
      <c r="M5" s="77"/>
      <c r="N5" s="408" t="s">
        <v>1715</v>
      </c>
      <c r="O5" s="24" t="str">
        <f>IF(Q5=" _","NO","SI")</f>
        <v>SI</v>
      </c>
      <c r="P5" s="24" t="str">
        <f ca="1">IF(color_Celda(E5)=12106214,"ROSA",IF(color_Celda(E5)=65535,"AMARILLO",IF(color_Celda(E5)=5296274,"VERDE",IF(color_Celda(E5)=16777215,"BLANCO","NO SE"))))</f>
        <v>ROSA</v>
      </c>
      <c r="Q5" s="77" t="s">
        <v>1324</v>
      </c>
      <c r="R5" s="4" t="str">
        <f>VLOOKUP($Q5,Resultados!$A$1:$B$49,2,FALSE)</f>
        <v>RESUELTA EN ETAPA DE PREVENTIVA</v>
      </c>
      <c r="S5" s="77"/>
      <c r="T5" s="80"/>
      <c r="U5" s="80"/>
      <c r="V5" s="76"/>
      <c r="W5" s="76"/>
      <c r="X5" s="76"/>
      <c r="Y5" s="64"/>
      <c r="Z5" s="76"/>
      <c r="AA5" s="76"/>
      <c r="AB5" s="76"/>
      <c r="AC5" s="76"/>
      <c r="AD5" s="76"/>
      <c r="AE5" s="141"/>
      <c r="AF5" s="81">
        <v>7</v>
      </c>
      <c r="AG5" s="76"/>
      <c r="AH5" s="76">
        <v>0</v>
      </c>
      <c r="AI5" s="76"/>
      <c r="AJ5" s="122" t="s">
        <v>408</v>
      </c>
      <c r="AK5" s="138"/>
      <c r="AL5" s="139" t="s">
        <v>1628</v>
      </c>
      <c r="AM5" s="1" t="str">
        <f>VLOOKUP($Q5,Resultados!$A$1:$C$49,3,FALSE)</f>
        <v>RESUELTA</v>
      </c>
    </row>
    <row r="6" spans="1:39" customFormat="1" ht="63.75">
      <c r="A6" s="372">
        <v>99</v>
      </c>
      <c r="B6" s="85">
        <v>45231</v>
      </c>
      <c r="C6" s="324" t="s">
        <v>12</v>
      </c>
      <c r="D6" s="79" t="s">
        <v>583</v>
      </c>
      <c r="E6" s="108" t="s">
        <v>672</v>
      </c>
      <c r="F6" s="74">
        <v>3</v>
      </c>
      <c r="G6" s="74" t="s">
        <v>326</v>
      </c>
      <c r="H6" s="305">
        <v>45223</v>
      </c>
      <c r="I6" s="85"/>
      <c r="J6" s="85"/>
      <c r="K6" s="74" t="s">
        <v>1480</v>
      </c>
      <c r="L6" s="79" t="s">
        <v>2170</v>
      </c>
      <c r="M6" s="77" t="s">
        <v>46</v>
      </c>
      <c r="N6" s="105" t="s">
        <v>1727</v>
      </c>
      <c r="O6" s="24" t="str">
        <f>IF(Q6=" _","NO","SI")</f>
        <v>SI</v>
      </c>
      <c r="P6" s="24" t="str">
        <f ca="1">IF(color_Celda(E6)=12106214,"ROSA",IF(color_Celda(E6)=65535,"AMARILLO",IF(color_Celda(E6)=5296274,"VERDE",IF(color_Celda(E6)=16777215,"BLANCO","NO SE"))))</f>
        <v>ROSA</v>
      </c>
      <c r="Q6" s="79" t="s">
        <v>1324</v>
      </c>
      <c r="R6" s="4" t="str">
        <f>VLOOKUP($Q6,Resultados!$A$1:$B$49,2,FALSE)</f>
        <v>RESUELTA EN ETAPA DE PREVENTIVA</v>
      </c>
      <c r="S6" s="79"/>
      <c r="T6" s="86"/>
      <c r="U6" s="86"/>
      <c r="V6" s="74"/>
      <c r="W6" s="74"/>
      <c r="X6" s="74"/>
      <c r="Y6" s="64"/>
      <c r="Z6" s="74"/>
      <c r="AA6" s="74"/>
      <c r="AB6" s="74"/>
      <c r="AC6" s="74"/>
      <c r="AD6" s="74"/>
      <c r="AE6" s="140"/>
      <c r="AF6" s="81">
        <v>7</v>
      </c>
      <c r="AG6" s="76"/>
      <c r="AH6" s="76">
        <v>0</v>
      </c>
      <c r="AI6" s="76"/>
      <c r="AJ6" s="122" t="s">
        <v>408</v>
      </c>
      <c r="AK6" s="138"/>
      <c r="AL6" s="139" t="s">
        <v>1628</v>
      </c>
      <c r="AM6" s="1" t="str">
        <f>VLOOKUP($Q6,Resultados!$A$1:$C$49,3,FALSE)</f>
        <v>RESUELTA</v>
      </c>
    </row>
    <row r="7" spans="1:39" customFormat="1" ht="63.75">
      <c r="A7" s="372">
        <v>29</v>
      </c>
      <c r="B7" s="85">
        <v>45219</v>
      </c>
      <c r="C7" s="323" t="s">
        <v>412</v>
      </c>
      <c r="D7" s="79" t="s">
        <v>413</v>
      </c>
      <c r="E7" s="84" t="s">
        <v>414</v>
      </c>
      <c r="F7" s="74">
        <v>2</v>
      </c>
      <c r="G7" s="74" t="s">
        <v>326</v>
      </c>
      <c r="H7" s="305">
        <v>45224</v>
      </c>
      <c r="I7" s="85"/>
      <c r="J7" s="85"/>
      <c r="K7" s="74" t="s">
        <v>1480</v>
      </c>
      <c r="L7" s="79" t="s">
        <v>83</v>
      </c>
      <c r="M7" s="405" t="s">
        <v>44</v>
      </c>
      <c r="N7" s="79" t="s">
        <v>1712</v>
      </c>
      <c r="O7" s="24" t="str">
        <f>IF(Q7=" _","NO","SI")</f>
        <v>SI</v>
      </c>
      <c r="P7" s="24" t="str">
        <f ca="1">IF(color_Celda(E7)=12106214,"ROSA",IF(color_Celda(E7)=65535,"AMARILLO",IF(color_Celda(E7)=5296274,"VERDE",IF(color_Celda(E7)=16777215,"BLANCO","NO SE"))))</f>
        <v>ROSA</v>
      </c>
      <c r="Q7" s="79" t="s">
        <v>1324</v>
      </c>
      <c r="R7" s="4" t="str">
        <f>VLOOKUP($Q7,Resultados!$A$1:$B$49,2,FALSE)</f>
        <v>RESUELTA EN ETAPA DE PREVENTIVA</v>
      </c>
      <c r="S7" s="79"/>
      <c r="T7" s="86"/>
      <c r="U7" s="86"/>
      <c r="V7" s="74"/>
      <c r="W7" s="74"/>
      <c r="X7" s="74"/>
      <c r="Y7" s="64"/>
      <c r="Z7" s="74"/>
      <c r="AA7" s="74"/>
      <c r="AB7" s="74"/>
      <c r="AC7" s="74"/>
      <c r="AD7" s="74"/>
      <c r="AE7" s="140"/>
      <c r="AF7" s="81">
        <v>7</v>
      </c>
      <c r="AG7" s="76"/>
      <c r="AH7" s="76">
        <v>0</v>
      </c>
      <c r="AI7" s="76"/>
      <c r="AJ7" s="122" t="s">
        <v>408</v>
      </c>
      <c r="AK7" s="138"/>
      <c r="AL7" s="139" t="s">
        <v>1628</v>
      </c>
      <c r="AM7" s="1" t="str">
        <f>VLOOKUP($Q7,Resultados!$A$1:$C$49,3,FALSE)</f>
        <v>RESUELTA</v>
      </c>
    </row>
    <row r="8" spans="1:39" customFormat="1" ht="76.5">
      <c r="A8" s="372">
        <v>1</v>
      </c>
      <c r="B8" s="82">
        <v>45209</v>
      </c>
      <c r="C8" s="325" t="s">
        <v>1783</v>
      </c>
      <c r="D8" s="79" t="s">
        <v>383</v>
      </c>
      <c r="E8" s="84" t="s">
        <v>454</v>
      </c>
      <c r="F8" s="79">
        <v>5</v>
      </c>
      <c r="G8" s="79" t="s">
        <v>326</v>
      </c>
      <c r="H8" s="82">
        <v>45225</v>
      </c>
      <c r="I8" s="89"/>
      <c r="J8" s="82"/>
      <c r="K8" s="79" t="s">
        <v>1480</v>
      </c>
      <c r="L8" s="79" t="s">
        <v>384</v>
      </c>
      <c r="M8" s="79" t="s">
        <v>362</v>
      </c>
      <c r="N8" s="79" t="s">
        <v>1705</v>
      </c>
      <c r="O8" s="24" t="str">
        <f>IF(Q8=" _","NO","SI")</f>
        <v>SI</v>
      </c>
      <c r="P8" s="24" t="str">
        <f ca="1">IF(color_Celda(E8)=12106214,"ROSA",IF(color_Celda(E8)=65535,"AMARILLO",IF(color_Celda(E8)=5296274,"VERDE",IF(color_Celda(E8)=16777215,"BLANCO","NO SE"))))</f>
        <v>ROSA</v>
      </c>
      <c r="Q8" s="79" t="s">
        <v>1324</v>
      </c>
      <c r="R8" s="4" t="str">
        <f>VLOOKUP($Q8,Resultados!$A$1:$B$49,2,FALSE)</f>
        <v>RESUELTA EN ETAPA DE PREVENTIVA</v>
      </c>
      <c r="S8" s="79" t="s">
        <v>367</v>
      </c>
      <c r="T8" s="86"/>
      <c r="U8" s="86"/>
      <c r="V8" s="79"/>
      <c r="W8" s="79"/>
      <c r="X8" s="79"/>
      <c r="Y8" s="64"/>
      <c r="Z8" s="90" t="s">
        <v>68</v>
      </c>
      <c r="AA8" s="86"/>
      <c r="AB8" s="90" t="s">
        <v>137</v>
      </c>
      <c r="AC8" s="85">
        <v>45255</v>
      </c>
      <c r="AD8" s="85">
        <v>45216</v>
      </c>
      <c r="AE8" s="140">
        <v>45224</v>
      </c>
      <c r="AF8" s="81">
        <v>45262</v>
      </c>
      <c r="AG8" s="76" t="s">
        <v>1485</v>
      </c>
      <c r="AH8" s="76">
        <v>0</v>
      </c>
      <c r="AI8" s="76"/>
      <c r="AJ8" s="122" t="s">
        <v>408</v>
      </c>
      <c r="AK8" s="130"/>
      <c r="AL8" s="139" t="s">
        <v>1628</v>
      </c>
      <c r="AM8" s="1" t="str">
        <f>VLOOKUP($Q8,Resultados!$A$1:$C$49,3,FALSE)</f>
        <v>RESUELTA</v>
      </c>
    </row>
    <row r="9" spans="1:39" customFormat="1" ht="114.75">
      <c r="A9" s="372">
        <v>41</v>
      </c>
      <c r="B9" s="75">
        <v>45222</v>
      </c>
      <c r="C9" s="365" t="s">
        <v>26</v>
      </c>
      <c r="D9" s="77" t="s">
        <v>289</v>
      </c>
      <c r="E9" s="78" t="s">
        <v>2034</v>
      </c>
      <c r="F9" s="76">
        <v>7</v>
      </c>
      <c r="G9" s="76" t="s">
        <v>326</v>
      </c>
      <c r="H9" s="366">
        <v>45229</v>
      </c>
      <c r="I9" s="75"/>
      <c r="J9" s="75"/>
      <c r="K9" s="74" t="s">
        <v>1480</v>
      </c>
      <c r="L9" s="77" t="s">
        <v>2172</v>
      </c>
      <c r="M9" s="77" t="s">
        <v>62</v>
      </c>
      <c r="N9" s="171" t="s">
        <v>1165</v>
      </c>
      <c r="O9" s="24" t="str">
        <f>IF(Q9=" _","NO","SI")</f>
        <v>SI</v>
      </c>
      <c r="P9" s="24" t="str">
        <f ca="1">IF(color_Celda(E9)=12106214,"ROSA",IF(color_Celda(E9)=65535,"AMARILLO",IF(color_Celda(E9)=5296274,"VERDE",IF(color_Celda(E9)=16777215,"BLANCO","NO SE"))))</f>
        <v>ROSA</v>
      </c>
      <c r="Q9" s="77" t="s">
        <v>1324</v>
      </c>
      <c r="R9" s="4" t="s">
        <v>1325</v>
      </c>
      <c r="S9" s="77"/>
      <c r="T9" s="80"/>
      <c r="U9" s="80"/>
      <c r="V9" s="76"/>
      <c r="W9" s="76"/>
      <c r="X9" s="76"/>
      <c r="Y9" s="64"/>
      <c r="Z9" s="76"/>
      <c r="AA9" s="76"/>
      <c r="AB9" s="76"/>
      <c r="AC9" s="76"/>
      <c r="AD9" s="76"/>
      <c r="AE9" s="141"/>
      <c r="AF9" s="81">
        <v>7</v>
      </c>
      <c r="AG9" s="76"/>
      <c r="AH9" s="76">
        <v>0</v>
      </c>
      <c r="AI9" s="152"/>
      <c r="AJ9" s="122" t="s">
        <v>408</v>
      </c>
      <c r="AK9" s="138"/>
      <c r="AL9" s="139" t="s">
        <v>1628</v>
      </c>
      <c r="AM9" s="1" t="str">
        <f>VLOOKUP($Q9,Resultados!$A$1:$C$49,3,FALSE)</f>
        <v>RESUELTA</v>
      </c>
    </row>
    <row r="10" spans="1:39" customFormat="1" ht="63.75">
      <c r="A10" s="372">
        <v>24</v>
      </c>
      <c r="B10" s="85">
        <v>45218</v>
      </c>
      <c r="C10" s="326" t="s">
        <v>368</v>
      </c>
      <c r="D10" s="79" t="s">
        <v>178</v>
      </c>
      <c r="E10" s="84" t="s">
        <v>440</v>
      </c>
      <c r="F10" s="74">
        <v>2</v>
      </c>
      <c r="G10" s="74" t="s">
        <v>10</v>
      </c>
      <c r="H10" s="305">
        <v>45231</v>
      </c>
      <c r="I10" s="85"/>
      <c r="J10" s="85"/>
      <c r="K10" s="74" t="s">
        <v>1480</v>
      </c>
      <c r="L10" s="79" t="s">
        <v>78</v>
      </c>
      <c r="M10" s="79" t="s">
        <v>44</v>
      </c>
      <c r="N10" s="105" t="s">
        <v>1711</v>
      </c>
      <c r="O10" s="24" t="str">
        <f>IF(Q10=" _","NO","SI")</f>
        <v>SI</v>
      </c>
      <c r="P10" s="24" t="str">
        <f ca="1">IF(color_Celda(E10)=12106214,"ROSA",IF(color_Celda(E10)=65535,"AMARILLO",IF(color_Celda(E10)=5296274,"VERDE",IF(color_Celda(E10)=16777215,"BLANCO","NO SE"))))</f>
        <v>ROSA</v>
      </c>
      <c r="Q10" s="79" t="s">
        <v>1324</v>
      </c>
      <c r="R10" s="4" t="str">
        <f>VLOOKUP($Q10,Resultados!$A$1:$B$49,2,FALSE)</f>
        <v>RESUELTA EN ETAPA DE PREVENTIVA</v>
      </c>
      <c r="S10" s="79"/>
      <c r="T10" s="86"/>
      <c r="U10" s="86"/>
      <c r="V10" s="74"/>
      <c r="W10" s="74"/>
      <c r="X10" s="74"/>
      <c r="Y10" s="64"/>
      <c r="Z10" s="90" t="s">
        <v>123</v>
      </c>
      <c r="AA10" s="74"/>
      <c r="AB10" s="90" t="s">
        <v>135</v>
      </c>
      <c r="AC10" s="74"/>
      <c r="AD10" s="74"/>
      <c r="AE10" s="140"/>
      <c r="AF10" s="81">
        <v>7</v>
      </c>
      <c r="AG10" s="76"/>
      <c r="AH10" s="76">
        <v>0</v>
      </c>
      <c r="AI10" s="76"/>
      <c r="AJ10" s="122" t="s">
        <v>408</v>
      </c>
      <c r="AK10" s="138"/>
      <c r="AL10" s="139" t="s">
        <v>1628</v>
      </c>
      <c r="AM10" s="1" t="str">
        <f>VLOOKUP($Q10,Resultados!$A$1:$C$49,3,FALSE)</f>
        <v>RESUELTA</v>
      </c>
    </row>
    <row r="11" spans="1:39" customFormat="1" ht="63.75">
      <c r="A11" s="372">
        <v>25</v>
      </c>
      <c r="B11" s="85">
        <v>45218</v>
      </c>
      <c r="C11" s="325" t="s">
        <v>1465</v>
      </c>
      <c r="D11" s="79" t="s">
        <v>407</v>
      </c>
      <c r="E11" s="84" t="s">
        <v>441</v>
      </c>
      <c r="F11" s="74">
        <v>2</v>
      </c>
      <c r="G11" s="74" t="s">
        <v>326</v>
      </c>
      <c r="H11" s="305">
        <v>45236</v>
      </c>
      <c r="I11" s="85"/>
      <c r="J11" s="85"/>
      <c r="K11" s="74" t="s">
        <v>1480</v>
      </c>
      <c r="L11" s="79" t="s">
        <v>83</v>
      </c>
      <c r="M11" s="79" t="s">
        <v>44</v>
      </c>
      <c r="N11" s="79" t="s">
        <v>1713</v>
      </c>
      <c r="O11" s="24" t="str">
        <f>IF(Q11=" _","NO","SI")</f>
        <v>SI</v>
      </c>
      <c r="P11" s="24" t="str">
        <f ca="1">IF(color_Celda(E11)=12106214,"ROSA",IF(color_Celda(E11)=65535,"AMARILLO",IF(color_Celda(E11)=5296274,"VERDE",IF(color_Celda(E11)=16777215,"BLANCO","NO SE"))))</f>
        <v>ROSA</v>
      </c>
      <c r="Q11" s="79" t="s">
        <v>1324</v>
      </c>
      <c r="R11" s="4" t="str">
        <f>VLOOKUP($Q11,Resultados!$A$1:$B$49,2,FALSE)</f>
        <v>RESUELTA EN ETAPA DE PREVENTIVA</v>
      </c>
      <c r="S11" s="79"/>
      <c r="T11" s="86"/>
      <c r="U11" s="86"/>
      <c r="V11" s="74"/>
      <c r="W11" s="74"/>
      <c r="X11" s="74"/>
      <c r="Y11" s="64"/>
      <c r="Z11" s="90" t="s">
        <v>124</v>
      </c>
      <c r="AA11" s="74"/>
      <c r="AB11" s="90" t="s">
        <v>134</v>
      </c>
      <c r="AC11" s="74"/>
      <c r="AD11" s="74"/>
      <c r="AE11" s="140"/>
      <c r="AF11" s="81">
        <v>7</v>
      </c>
      <c r="AG11" s="76"/>
      <c r="AH11" s="76">
        <v>0</v>
      </c>
      <c r="AI11" s="76"/>
      <c r="AJ11" s="122" t="s">
        <v>408</v>
      </c>
      <c r="AK11" s="130"/>
      <c r="AL11" s="139" t="s">
        <v>1628</v>
      </c>
      <c r="AM11" s="1" t="str">
        <f>VLOOKUP($Q11,Resultados!$A$1:$C$49,3,FALSE)</f>
        <v>RESUELTA</v>
      </c>
    </row>
    <row r="12" spans="1:39" customFormat="1" ht="64.5" thickBot="1">
      <c r="A12" s="372">
        <v>40</v>
      </c>
      <c r="B12" s="75">
        <v>45222</v>
      </c>
      <c r="C12" s="365" t="s">
        <v>2897</v>
      </c>
      <c r="D12" s="77" t="s">
        <v>302</v>
      </c>
      <c r="E12" s="78" t="s">
        <v>464</v>
      </c>
      <c r="F12" s="76">
        <v>6</v>
      </c>
      <c r="G12" s="76" t="s">
        <v>5</v>
      </c>
      <c r="H12" s="366">
        <v>45244</v>
      </c>
      <c r="I12" s="75"/>
      <c r="J12" s="75"/>
      <c r="K12" s="74" t="s">
        <v>1480</v>
      </c>
      <c r="L12" s="77" t="s">
        <v>72</v>
      </c>
      <c r="M12" s="77" t="s">
        <v>260</v>
      </c>
      <c r="N12" s="77" t="s">
        <v>1375</v>
      </c>
      <c r="O12" s="24" t="str">
        <f>IF(Q12=" _","NO","SI")</f>
        <v>SI</v>
      </c>
      <c r="P12" s="24" t="str">
        <f ca="1">IF(color_Celda(E12)=12106214,"ROSA",IF(color_Celda(E12)=65535,"AMARILLO",IF(color_Celda(E12)=5296274,"VERDE",IF(color_Celda(E12)=16777215,"BLANCO","NO SE"))))</f>
        <v>ROSA</v>
      </c>
      <c r="Q12" s="77" t="s">
        <v>1324</v>
      </c>
      <c r="R12" s="4" t="s">
        <v>1325</v>
      </c>
      <c r="S12" s="77"/>
      <c r="T12" s="80"/>
      <c r="U12" s="80"/>
      <c r="V12" s="76"/>
      <c r="W12" s="76"/>
      <c r="X12" s="76"/>
      <c r="Y12" s="64"/>
      <c r="Z12" s="76"/>
      <c r="AA12" s="76"/>
      <c r="AB12" s="76"/>
      <c r="AC12" s="76"/>
      <c r="AD12" s="76"/>
      <c r="AE12" s="141"/>
      <c r="AF12" s="81">
        <v>7</v>
      </c>
      <c r="AG12" s="76"/>
      <c r="AH12" s="76">
        <v>0</v>
      </c>
      <c r="AI12" s="76"/>
      <c r="AJ12" s="122" t="s">
        <v>408</v>
      </c>
      <c r="AK12" s="424"/>
      <c r="AL12" s="139" t="s">
        <v>1628</v>
      </c>
      <c r="AM12" s="1" t="str">
        <f>VLOOKUP($Q12,Resultados!$A$1:$C$49,3,FALSE)</f>
        <v>RESUELTA</v>
      </c>
    </row>
    <row r="13" spans="1:39" customFormat="1" ht="89.25">
      <c r="A13" s="372">
        <v>52</v>
      </c>
      <c r="B13" s="85">
        <v>45225</v>
      </c>
      <c r="C13" s="326" t="s">
        <v>1809</v>
      </c>
      <c r="D13" s="79" t="s">
        <v>227</v>
      </c>
      <c r="E13" s="84" t="s">
        <v>469</v>
      </c>
      <c r="F13" s="74">
        <v>7</v>
      </c>
      <c r="G13" s="74" t="s">
        <v>10</v>
      </c>
      <c r="H13" s="305">
        <v>45251</v>
      </c>
      <c r="I13" s="85"/>
      <c r="J13" s="85"/>
      <c r="K13" s="74" t="s">
        <v>1480</v>
      </c>
      <c r="L13" s="79" t="s">
        <v>86</v>
      </c>
      <c r="M13" s="79" t="s">
        <v>270</v>
      </c>
      <c r="N13" s="174" t="s">
        <v>1721</v>
      </c>
      <c r="O13" s="24" t="str">
        <f>IF(Q13=" _","NO","SI")</f>
        <v>SI</v>
      </c>
      <c r="P13" s="24" t="str">
        <f ca="1">IF(color_Celda(E13)=12106214,"ROSA",IF(color_Celda(E13)=65535,"AMARILLO",IF(color_Celda(E13)=5296274,"VERDE",IF(color_Celda(E13)=16777215,"BLANCO","NO SE"))))</f>
        <v>ROSA</v>
      </c>
      <c r="Q13" s="79" t="s">
        <v>1324</v>
      </c>
      <c r="R13" s="4" t="str">
        <f>VLOOKUP($Q13,Resultados!$A$1:$B$49,2,FALSE)</f>
        <v>RESUELTA EN ETAPA DE PREVENTIVA</v>
      </c>
      <c r="S13" s="79"/>
      <c r="T13" s="86"/>
      <c r="U13" s="86"/>
      <c r="V13" s="74"/>
      <c r="W13" s="74"/>
      <c r="X13" s="74"/>
      <c r="Y13" s="64"/>
      <c r="Z13" s="74"/>
      <c r="AA13" s="74"/>
      <c r="AB13" s="74"/>
      <c r="AC13" s="74"/>
      <c r="AD13" s="74"/>
      <c r="AE13" s="140"/>
      <c r="AF13" s="81">
        <v>7</v>
      </c>
      <c r="AG13" s="76"/>
      <c r="AH13" s="76">
        <v>0</v>
      </c>
      <c r="AI13" s="76"/>
      <c r="AJ13" s="122" t="s">
        <v>408</v>
      </c>
      <c r="AK13" s="314"/>
      <c r="AL13" s="139" t="s">
        <v>1628</v>
      </c>
      <c r="AM13" s="1" t="str">
        <f>VLOOKUP($Q13,Resultados!$A$1:$C$49,3,FALSE)</f>
        <v>RESUELTA</v>
      </c>
    </row>
    <row r="14" spans="1:39" customFormat="1" ht="127.5">
      <c r="A14" s="372">
        <v>217</v>
      </c>
      <c r="B14" s="85">
        <v>45243</v>
      </c>
      <c r="C14" s="323" t="s">
        <v>744</v>
      </c>
      <c r="D14" s="79" t="s">
        <v>745</v>
      </c>
      <c r="E14" s="84" t="s">
        <v>746</v>
      </c>
      <c r="F14" s="74">
        <v>4</v>
      </c>
      <c r="G14" s="74" t="s">
        <v>325</v>
      </c>
      <c r="H14" s="305">
        <v>45252</v>
      </c>
      <c r="I14" s="85"/>
      <c r="J14" s="85"/>
      <c r="K14" s="74" t="s">
        <v>1480</v>
      </c>
      <c r="L14" s="79" t="s">
        <v>2172</v>
      </c>
      <c r="M14" s="79"/>
      <c r="N14" s="172" t="s">
        <v>1818</v>
      </c>
      <c r="O14" s="24" t="str">
        <f>IF(Q14=" _","NO","SI")</f>
        <v>SI</v>
      </c>
      <c r="P14" s="24" t="str">
        <f ca="1">IF(color_Celda(E14)=12106214,"ROSA",IF(color_Celda(E14)=65535,"AMARILLO",IF(color_Celda(E14)=5296274,"VERDE",IF(color_Celda(E14)=16777215,"BLANCO","NO SE"))))</f>
        <v>ROSA</v>
      </c>
      <c r="Q14" s="79" t="s">
        <v>1324</v>
      </c>
      <c r="R14" s="4" t="str">
        <f>VLOOKUP($Q14,Resultados!$A$1:$B$49,2,FALSE)</f>
        <v>RESUELTA EN ETAPA DE PREVENTIVA</v>
      </c>
      <c r="S14" s="79"/>
      <c r="T14" s="86"/>
      <c r="U14" s="86"/>
      <c r="V14" s="74"/>
      <c r="W14" s="74"/>
      <c r="X14" s="74"/>
      <c r="Y14" s="64"/>
      <c r="Z14" s="74"/>
      <c r="AA14" s="74"/>
      <c r="AB14" s="74"/>
      <c r="AC14" s="102">
        <v>0</v>
      </c>
      <c r="AD14" s="102">
        <v>0</v>
      </c>
      <c r="AE14" s="140">
        <v>0</v>
      </c>
      <c r="AF14" s="81">
        <v>7</v>
      </c>
      <c r="AG14" s="76"/>
      <c r="AH14" s="76">
        <v>0</v>
      </c>
      <c r="AI14" s="76"/>
      <c r="AJ14" s="122" t="s">
        <v>408</v>
      </c>
      <c r="AK14" s="138"/>
      <c r="AL14" s="139" t="s">
        <v>1628</v>
      </c>
      <c r="AM14" s="1" t="str">
        <f>VLOOKUP($Q14,Resultados!$A$1:$C$49,3,FALSE)</f>
        <v>RESUELTA</v>
      </c>
    </row>
    <row r="15" spans="1:39" customFormat="1" ht="89.25">
      <c r="A15" s="372">
        <v>122</v>
      </c>
      <c r="B15" s="85">
        <v>45232</v>
      </c>
      <c r="C15" s="326" t="s">
        <v>1283</v>
      </c>
      <c r="D15" s="79" t="s">
        <v>313</v>
      </c>
      <c r="E15" s="84" t="s">
        <v>585</v>
      </c>
      <c r="F15" s="74">
        <v>6</v>
      </c>
      <c r="G15" s="74" t="s">
        <v>325</v>
      </c>
      <c r="H15" s="305">
        <v>45253</v>
      </c>
      <c r="I15" s="82" t="s">
        <v>143</v>
      </c>
      <c r="J15" s="85" t="s">
        <v>149</v>
      </c>
      <c r="K15" s="74">
        <v>6</v>
      </c>
      <c r="L15" s="79" t="s">
        <v>73</v>
      </c>
      <c r="M15" s="79" t="s">
        <v>584</v>
      </c>
      <c r="N15" s="172" t="s">
        <v>1164</v>
      </c>
      <c r="O15" s="24" t="str">
        <f>IF(Q15=" _","NO","SI")</f>
        <v>SI</v>
      </c>
      <c r="P15" s="24" t="str">
        <f ca="1">IF(color_Celda(E15)=12106214,"ROSA",IF(color_Celda(E15)=65535,"AMARILLO",IF(color_Celda(E15)=5296274,"VERDE",IF(color_Celda(E15)=16777215,"BLANCO","NO SE"))))</f>
        <v>ROSA</v>
      </c>
      <c r="Q15" s="79" t="s">
        <v>1162</v>
      </c>
      <c r="R15" s="4" t="str">
        <f>VLOOKUP($Q15,Resultados!$A$1:$B$49,2,FALSE)</f>
        <v>ELEVADA A JUICIO</v>
      </c>
      <c r="S15" s="79"/>
      <c r="T15" s="86"/>
      <c r="U15" s="86"/>
      <c r="V15" s="83" t="s">
        <v>982</v>
      </c>
      <c r="W15" s="79" t="s">
        <v>34</v>
      </c>
      <c r="X15" s="74"/>
      <c r="Y15" s="64"/>
      <c r="Z15" s="94" t="s">
        <v>64</v>
      </c>
      <c r="AA15" s="74"/>
      <c r="AB15" s="74"/>
      <c r="AC15" s="87">
        <v>45237</v>
      </c>
      <c r="AD15" s="87">
        <v>45237</v>
      </c>
      <c r="AE15" s="140">
        <v>0</v>
      </c>
      <c r="AF15" s="81">
        <v>45244</v>
      </c>
      <c r="AG15" s="76"/>
      <c r="AH15" s="76">
        <v>0</v>
      </c>
      <c r="AI15" s="76"/>
      <c r="AJ15" s="122" t="s">
        <v>408</v>
      </c>
      <c r="AK15" s="130"/>
      <c r="AL15" s="139" t="s">
        <v>1628</v>
      </c>
      <c r="AM15" s="1" t="str">
        <f>VLOOKUP($Q15,Resultados!$A$1:$C$49,3,FALSE)</f>
        <v>ELEVADA</v>
      </c>
    </row>
    <row r="16" spans="1:39" customFormat="1" ht="38.25">
      <c r="A16" s="372">
        <v>123</v>
      </c>
      <c r="B16" s="85">
        <v>45232</v>
      </c>
      <c r="C16" s="326" t="s">
        <v>12</v>
      </c>
      <c r="D16" s="79" t="s">
        <v>350</v>
      </c>
      <c r="E16" s="84" t="s">
        <v>852</v>
      </c>
      <c r="F16" s="74">
        <v>4</v>
      </c>
      <c r="G16" s="74" t="s">
        <v>326</v>
      </c>
      <c r="H16" s="305">
        <v>45253</v>
      </c>
      <c r="I16" s="82" t="s">
        <v>143</v>
      </c>
      <c r="J16" s="85" t="s">
        <v>8</v>
      </c>
      <c r="K16" s="74">
        <v>4</v>
      </c>
      <c r="L16" s="79" t="s">
        <v>127</v>
      </c>
      <c r="M16" s="79" t="s">
        <v>851</v>
      </c>
      <c r="N16" s="79" t="s">
        <v>1704</v>
      </c>
      <c r="O16" s="24" t="str">
        <f>IF(Q16=" _","NO","SI")</f>
        <v>SI</v>
      </c>
      <c r="P16" s="24" t="str">
        <f ca="1">IF(color_Celda(E16)=12106214,"ROSA",IF(color_Celda(E16)=65535,"AMARILLO",IF(color_Celda(E16)=5296274,"VERDE",IF(color_Celda(E16)=16777215,"BLANCO","NO SE"))))</f>
        <v>ROSA</v>
      </c>
      <c r="Q16" s="79" t="s">
        <v>1162</v>
      </c>
      <c r="R16" s="4" t="str">
        <f>VLOOKUP($Q16,Resultados!$A$1:$B$49,2,FALSE)</f>
        <v>ELEVADA A JUICIO</v>
      </c>
      <c r="S16" s="79"/>
      <c r="T16" s="86"/>
      <c r="U16" s="86"/>
      <c r="V16" s="74" t="s">
        <v>980</v>
      </c>
      <c r="W16" s="79" t="s">
        <v>981</v>
      </c>
      <c r="X16" s="74"/>
      <c r="Y16" s="64"/>
      <c r="Z16" s="94" t="s">
        <v>68</v>
      </c>
      <c r="AA16" s="74"/>
      <c r="AB16" s="74"/>
      <c r="AC16" s="87">
        <v>45219</v>
      </c>
      <c r="AD16" s="369">
        <v>45219</v>
      </c>
      <c r="AE16" s="141"/>
      <c r="AF16" s="81">
        <v>45226</v>
      </c>
      <c r="AG16" s="76"/>
      <c r="AH16" s="76">
        <v>0</v>
      </c>
      <c r="AI16" s="76"/>
      <c r="AJ16" s="122" t="s">
        <v>408</v>
      </c>
      <c r="AK16" s="138"/>
      <c r="AL16" s="139" t="s">
        <v>1628</v>
      </c>
      <c r="AM16" s="1" t="str">
        <f>VLOOKUP($Q16,Resultados!$A$1:$C$49,3,FALSE)</f>
        <v>ELEVADA</v>
      </c>
    </row>
    <row r="17" spans="1:39" customFormat="1" ht="76.5">
      <c r="A17" s="372">
        <v>373</v>
      </c>
      <c r="B17" s="85">
        <v>45260</v>
      </c>
      <c r="C17" s="325" t="s">
        <v>1050</v>
      </c>
      <c r="D17" s="79" t="s">
        <v>1051</v>
      </c>
      <c r="E17" s="84" t="s">
        <v>1052</v>
      </c>
      <c r="F17" s="74">
        <v>4</v>
      </c>
      <c r="G17" s="74" t="s">
        <v>326</v>
      </c>
      <c r="H17" s="305">
        <v>45253</v>
      </c>
      <c r="I17" s="85"/>
      <c r="J17" s="85"/>
      <c r="K17" s="74" t="s">
        <v>1480</v>
      </c>
      <c r="L17" s="79" t="s">
        <v>79</v>
      </c>
      <c r="M17" s="79" t="s">
        <v>47</v>
      </c>
      <c r="N17" s="410" t="s">
        <v>1740</v>
      </c>
      <c r="O17" s="24" t="str">
        <f>IF(Q17=" _","NO","SI")</f>
        <v>SI</v>
      </c>
      <c r="P17" s="24" t="str">
        <f ca="1">IF(color_Celda(E17)=12106214,"ROSA",IF(color_Celda(E17)=65535,"AMARILLO",IF(color_Celda(E17)=5296274,"VERDE",IF(color_Celda(E17)=16777215,"BLANCO","NO SE"))))</f>
        <v>ROSA</v>
      </c>
      <c r="Q17" s="79" t="s">
        <v>1324</v>
      </c>
      <c r="R17" s="4" t="str">
        <f>VLOOKUP($Q17,Resultados!$A$1:$B$49,2,FALSE)</f>
        <v>RESUELTA EN ETAPA DE PREVENTIVA</v>
      </c>
      <c r="S17" s="79"/>
      <c r="T17" s="86"/>
      <c r="U17" s="86"/>
      <c r="V17" s="74"/>
      <c r="W17" s="74"/>
      <c r="X17" s="74"/>
      <c r="Y17" s="64"/>
      <c r="Z17" s="74"/>
      <c r="AA17" s="74"/>
      <c r="AB17" s="74"/>
      <c r="AC17" s="74"/>
      <c r="AD17" s="309"/>
      <c r="AE17" s="119"/>
      <c r="AF17" s="76">
        <v>7</v>
      </c>
      <c r="AG17" s="76"/>
      <c r="AH17" s="76">
        <v>0</v>
      </c>
      <c r="AI17" s="76"/>
      <c r="AJ17" s="122" t="s">
        <v>408</v>
      </c>
      <c r="AK17" s="130"/>
      <c r="AL17" s="139" t="s">
        <v>1628</v>
      </c>
      <c r="AM17" s="1" t="str">
        <f>VLOOKUP($Q17,Resultados!$A$1:$C$49,3,FALSE)</f>
        <v>RESUELTA</v>
      </c>
    </row>
    <row r="18" spans="1:39" customFormat="1" ht="63.75">
      <c r="A18" s="372">
        <v>19</v>
      </c>
      <c r="B18" s="82">
        <v>45217</v>
      </c>
      <c r="C18" s="326" t="s">
        <v>3061</v>
      </c>
      <c r="D18" s="79" t="s">
        <v>304</v>
      </c>
      <c r="E18" s="84" t="s">
        <v>849</v>
      </c>
      <c r="F18" s="74">
        <v>7</v>
      </c>
      <c r="G18" s="74" t="s">
        <v>326</v>
      </c>
      <c r="H18" s="305">
        <v>45254</v>
      </c>
      <c r="I18" s="82" t="s">
        <v>34</v>
      </c>
      <c r="J18" s="85" t="s">
        <v>17</v>
      </c>
      <c r="K18" s="74">
        <v>8</v>
      </c>
      <c r="L18" s="79" t="s">
        <v>80</v>
      </c>
      <c r="M18" s="79" t="s">
        <v>62</v>
      </c>
      <c r="N18" s="409" t="s">
        <v>1702</v>
      </c>
      <c r="O18" s="24" t="str">
        <f>IF(Q18=" _","NO","SI")</f>
        <v>SI</v>
      </c>
      <c r="P18" s="24" t="str">
        <f ca="1">IF(color_Celda(E18)=12106214,"ROSA",IF(color_Celda(E18)=65535,"AMARILLO",IF(color_Celda(E18)=5296274,"VERDE",IF(color_Celda(E18)=16777215,"BLANCO","NO SE"))))</f>
        <v>ROSA</v>
      </c>
      <c r="Q18" s="79" t="s">
        <v>1162</v>
      </c>
      <c r="R18" s="4" t="str">
        <f>VLOOKUP($Q18,Resultados!$A$1:$B$49,2,FALSE)</f>
        <v>ELEVADA A JUICIO</v>
      </c>
      <c r="S18" s="79"/>
      <c r="T18" s="86"/>
      <c r="U18" s="86"/>
      <c r="V18" s="74"/>
      <c r="W18" s="74"/>
      <c r="X18" s="74"/>
      <c r="Y18" s="64"/>
      <c r="Z18" s="74"/>
      <c r="AA18" s="74"/>
      <c r="AB18" s="74"/>
      <c r="AC18" s="74"/>
      <c r="AD18" s="228"/>
      <c r="AE18" s="141"/>
      <c r="AF18" s="81">
        <v>7</v>
      </c>
      <c r="AG18" s="76"/>
      <c r="AH18" s="76">
        <v>0</v>
      </c>
      <c r="AI18" s="76"/>
      <c r="AJ18" s="122" t="s">
        <v>408</v>
      </c>
      <c r="AK18" s="130"/>
      <c r="AL18" s="139" t="s">
        <v>1628</v>
      </c>
      <c r="AM18" s="1" t="str">
        <f>VLOOKUP($Q18,Resultados!$A$1:$C$49,3,FALSE)</f>
        <v>ELEVADA</v>
      </c>
    </row>
    <row r="19" spans="1:39" customFormat="1" ht="89.25">
      <c r="A19" s="372">
        <v>59</v>
      </c>
      <c r="B19" s="85">
        <v>45226</v>
      </c>
      <c r="C19" s="326" t="s">
        <v>2748</v>
      </c>
      <c r="D19" s="79" t="s">
        <v>129</v>
      </c>
      <c r="E19" s="84" t="s">
        <v>476</v>
      </c>
      <c r="F19" s="74">
        <v>2</v>
      </c>
      <c r="G19" s="74" t="s">
        <v>325</v>
      </c>
      <c r="H19" s="305">
        <v>45257</v>
      </c>
      <c r="I19" s="85"/>
      <c r="J19" s="85"/>
      <c r="K19" s="74" t="s">
        <v>1480</v>
      </c>
      <c r="L19" s="79" t="s">
        <v>127</v>
      </c>
      <c r="M19" s="79" t="s">
        <v>59</v>
      </c>
      <c r="N19" s="172" t="s">
        <v>1363</v>
      </c>
      <c r="O19" s="24" t="str">
        <f>IF(Q19=" _","NO","SI")</f>
        <v>SI</v>
      </c>
      <c r="P19" s="24" t="str">
        <f ca="1">IF(color_Celda(E19)=12106214,"ROSA",IF(color_Celda(E19)=65535,"AMARILLO",IF(color_Celda(E19)=5296274,"VERDE",IF(color_Celda(E19)=16777215,"BLANCO","NO SE"))))</f>
        <v>ROSA</v>
      </c>
      <c r="Q19" s="79" t="s">
        <v>1162</v>
      </c>
      <c r="R19" s="4" t="str">
        <f>VLOOKUP($Q19,Resultados!$A$1:$B$49,2,FALSE)</f>
        <v>ELEVADA A JUICIO</v>
      </c>
      <c r="S19" s="79"/>
      <c r="T19" s="86"/>
      <c r="U19" s="86"/>
      <c r="V19" s="74"/>
      <c r="W19" s="74"/>
      <c r="X19" s="74"/>
      <c r="Y19" s="64"/>
      <c r="Z19" s="74"/>
      <c r="AA19" s="74"/>
      <c r="AB19" s="74"/>
      <c r="AC19" s="74"/>
      <c r="AD19" s="228"/>
      <c r="AE19" s="119"/>
      <c r="AF19" s="81">
        <v>7</v>
      </c>
      <c r="AG19" s="76"/>
      <c r="AH19" s="76">
        <v>0</v>
      </c>
      <c r="AI19" s="76"/>
      <c r="AJ19" s="122" t="s">
        <v>408</v>
      </c>
      <c r="AK19" s="138"/>
      <c r="AL19" s="139" t="s">
        <v>1628</v>
      </c>
      <c r="AM19" s="1" t="str">
        <f>VLOOKUP($Q19,Resultados!$A$1:$C$49,3,FALSE)</f>
        <v>ELEVADA</v>
      </c>
    </row>
    <row r="20" spans="1:39" customFormat="1" ht="89.25">
      <c r="A20" s="372">
        <v>100</v>
      </c>
      <c r="B20" s="85">
        <v>45231</v>
      </c>
      <c r="C20" s="326" t="s">
        <v>15</v>
      </c>
      <c r="D20" s="79" t="s">
        <v>295</v>
      </c>
      <c r="E20" s="84" t="s">
        <v>911</v>
      </c>
      <c r="F20" s="74">
        <v>4</v>
      </c>
      <c r="G20" s="74" t="s">
        <v>10</v>
      </c>
      <c r="H20" s="305">
        <v>45261</v>
      </c>
      <c r="I20" s="82" t="s">
        <v>143</v>
      </c>
      <c r="J20" s="85" t="s">
        <v>8</v>
      </c>
      <c r="K20" s="74">
        <v>4</v>
      </c>
      <c r="L20" s="79" t="s">
        <v>36</v>
      </c>
      <c r="M20" s="79"/>
      <c r="N20" s="174" t="s">
        <v>1703</v>
      </c>
      <c r="O20" s="24" t="str">
        <f>IF(Q20=" _","NO","SI")</f>
        <v>SI</v>
      </c>
      <c r="P20" s="24" t="str">
        <f ca="1">IF(color_Celda(E20)=12106214,"ROSA",IF(color_Celda(E20)=65535,"AMARILLO",IF(color_Celda(E20)=5296274,"VERDE",IF(color_Celda(E20)=16777215,"BLANCO","NO SE"))))</f>
        <v>ROSA</v>
      </c>
      <c r="Q20" s="79" t="s">
        <v>1162</v>
      </c>
      <c r="R20" s="4" t="str">
        <f>VLOOKUP($Q20,Resultados!$A$1:$B$49,2,FALSE)</f>
        <v>ELEVADA A JUICIO</v>
      </c>
      <c r="S20" s="79"/>
      <c r="T20" s="86"/>
      <c r="U20" s="86"/>
      <c r="V20" s="74"/>
      <c r="W20" s="74"/>
      <c r="X20" s="74"/>
      <c r="Y20" s="64"/>
      <c r="Z20" s="74"/>
      <c r="AA20" s="74"/>
      <c r="AB20" s="74"/>
      <c r="AC20" s="74"/>
      <c r="AD20" s="228"/>
      <c r="AE20" s="95"/>
      <c r="AF20" s="81">
        <v>7</v>
      </c>
      <c r="AG20" s="76"/>
      <c r="AH20" s="76">
        <v>0</v>
      </c>
      <c r="AI20" s="76"/>
      <c r="AJ20" s="122" t="s">
        <v>408</v>
      </c>
      <c r="AK20" s="130"/>
      <c r="AL20" s="139" t="s">
        <v>1628</v>
      </c>
      <c r="AM20" s="1" t="str">
        <f>VLOOKUP($Q20,Resultados!$A$1:$C$49,3,FALSE)</f>
        <v>ELEVADA</v>
      </c>
    </row>
    <row r="21" spans="1:39" customFormat="1" ht="102">
      <c r="A21" s="372">
        <v>42</v>
      </c>
      <c r="B21" s="85">
        <v>45222</v>
      </c>
      <c r="C21" s="326" t="s">
        <v>729</v>
      </c>
      <c r="D21" s="79" t="s">
        <v>324</v>
      </c>
      <c r="E21" s="84" t="s">
        <v>460</v>
      </c>
      <c r="F21" s="74">
        <v>8</v>
      </c>
      <c r="G21" s="74" t="s">
        <v>1370</v>
      </c>
      <c r="H21" s="85">
        <v>45261</v>
      </c>
      <c r="I21" s="82" t="s">
        <v>34</v>
      </c>
      <c r="J21" s="85" t="s">
        <v>145</v>
      </c>
      <c r="K21" s="79" t="s">
        <v>165</v>
      </c>
      <c r="L21" s="79" t="s">
        <v>85</v>
      </c>
      <c r="M21" s="79" t="s">
        <v>67</v>
      </c>
      <c r="N21" s="172" t="s">
        <v>1371</v>
      </c>
      <c r="O21" s="24" t="str">
        <f>IF(Q21=" _","NO","SI")</f>
        <v>SI</v>
      </c>
      <c r="P21" s="24" t="str">
        <f ca="1">IF(color_Celda(E21)=12106214,"ROSA",IF(color_Celda(E21)=65535,"AMARILLO",IF(color_Celda(E21)=5296274,"VERDE",IF(color_Celda(E21)=16777215,"BLANCO","NO SE"))))</f>
        <v>ROSA</v>
      </c>
      <c r="Q21" s="79" t="s">
        <v>1162</v>
      </c>
      <c r="R21" s="4" t="str">
        <f>VLOOKUP($Q21,Resultados!$A$1:$B$49,2,FALSE)</f>
        <v>ELEVADA A JUICIO</v>
      </c>
      <c r="S21" s="79"/>
      <c r="T21" s="86"/>
      <c r="U21" s="86"/>
      <c r="V21" s="74"/>
      <c r="W21" s="74"/>
      <c r="X21" s="74"/>
      <c r="Y21" s="64"/>
      <c r="Z21" s="74"/>
      <c r="AA21" s="74"/>
      <c r="AB21" s="74"/>
      <c r="AC21" s="74"/>
      <c r="AD21" s="228"/>
      <c r="AE21" s="95"/>
      <c r="AF21" s="81">
        <v>7</v>
      </c>
      <c r="AG21" s="76"/>
      <c r="AH21" s="76">
        <v>0</v>
      </c>
      <c r="AI21" s="76"/>
      <c r="AJ21" s="122" t="s">
        <v>408</v>
      </c>
      <c r="AK21" s="130"/>
      <c r="AL21" s="139" t="s">
        <v>1628</v>
      </c>
      <c r="AM21" s="1" t="str">
        <f>VLOOKUP($Q21,Resultados!$A$1:$C$49,3,FALSE)</f>
        <v>ELEVADA</v>
      </c>
    </row>
    <row r="22" spans="1:39" customFormat="1" ht="38.25">
      <c r="A22" s="372">
        <v>32</v>
      </c>
      <c r="B22" s="85">
        <v>45219</v>
      </c>
      <c r="C22" s="326"/>
      <c r="D22" s="79" t="s">
        <v>274</v>
      </c>
      <c r="E22" s="84" t="s">
        <v>443</v>
      </c>
      <c r="F22" s="74">
        <v>6</v>
      </c>
      <c r="G22" s="74" t="s">
        <v>326</v>
      </c>
      <c r="H22" s="305">
        <v>45261</v>
      </c>
      <c r="I22" s="85"/>
      <c r="J22" s="85"/>
      <c r="K22" s="74" t="s">
        <v>1480</v>
      </c>
      <c r="L22" s="79" t="s">
        <v>86</v>
      </c>
      <c r="M22" s="79" t="s">
        <v>270</v>
      </c>
      <c r="N22" s="105" t="s">
        <v>1714</v>
      </c>
      <c r="O22" s="24" t="str">
        <f>IF(Q22=" _","NO","SI")</f>
        <v>SI</v>
      </c>
      <c r="P22" s="24" t="str">
        <f ca="1">IF(color_Celda(E22)=12106214,"ROSA",IF(color_Celda(E22)=65535,"AMARILLO",IF(color_Celda(E22)=5296274,"VERDE",IF(color_Celda(E22)=16777215,"BLANCO","NO SE"))))</f>
        <v>ROSA</v>
      </c>
      <c r="Q22" s="79" t="s">
        <v>1162</v>
      </c>
      <c r="R22" s="4" t="str">
        <f>VLOOKUP($Q22,Resultados!$A$1:$B$49,2,FALSE)</f>
        <v>ELEVADA A JUICIO</v>
      </c>
      <c r="S22" s="79"/>
      <c r="T22" s="86"/>
      <c r="U22" s="86"/>
      <c r="V22" s="74"/>
      <c r="W22" s="74"/>
      <c r="X22" s="74"/>
      <c r="Y22" s="64"/>
      <c r="Z22" s="74"/>
      <c r="AA22" s="74"/>
      <c r="AB22" s="74"/>
      <c r="AC22" s="74"/>
      <c r="AD22" s="228"/>
      <c r="AE22" s="95"/>
      <c r="AF22" s="81">
        <v>7</v>
      </c>
      <c r="AG22" s="76"/>
      <c r="AH22" s="76">
        <v>0</v>
      </c>
      <c r="AI22" s="76"/>
      <c r="AJ22" s="122" t="s">
        <v>408</v>
      </c>
      <c r="AK22" s="138"/>
      <c r="AL22" s="139" t="s">
        <v>1628</v>
      </c>
      <c r="AM22" s="1" t="str">
        <f>VLOOKUP($Q22,Resultados!$A$1:$C$49,3,FALSE)</f>
        <v>ELEVADA</v>
      </c>
    </row>
    <row r="23" spans="1:39" customFormat="1" ht="51">
      <c r="A23" s="372">
        <v>4</v>
      </c>
      <c r="B23" s="82">
        <v>45216</v>
      </c>
      <c r="C23" s="325" t="s">
        <v>12</v>
      </c>
      <c r="D23" s="79" t="s">
        <v>142</v>
      </c>
      <c r="E23" s="84" t="s">
        <v>453</v>
      </c>
      <c r="F23" s="79">
        <v>4</v>
      </c>
      <c r="G23" s="79" t="s">
        <v>325</v>
      </c>
      <c r="H23" s="306">
        <v>45264</v>
      </c>
      <c r="I23" s="89"/>
      <c r="J23" s="82"/>
      <c r="K23" s="79" t="s">
        <v>1480</v>
      </c>
      <c r="L23" s="79" t="s">
        <v>377</v>
      </c>
      <c r="M23" s="79" t="s">
        <v>361</v>
      </c>
      <c r="N23" s="174" t="s">
        <v>1217</v>
      </c>
      <c r="O23" s="24" t="str">
        <f>IF(Q23=" _","NO","SI")</f>
        <v>SI</v>
      </c>
      <c r="P23" s="24" t="str">
        <f ca="1">IF(color_Celda(E23)=12106214,"ROSA",IF(color_Celda(E23)=65535,"AMARILLO",IF(color_Celda(E23)=5296274,"VERDE",IF(color_Celda(E23)=16777215,"BLANCO","NO SE"))))</f>
        <v>ROSA</v>
      </c>
      <c r="Q23" s="79" t="s">
        <v>1162</v>
      </c>
      <c r="R23" s="4" t="str">
        <f>VLOOKUP($Q23,Resultados!$A$1:$B$49,2,FALSE)</f>
        <v>ELEVADA A JUICIO</v>
      </c>
      <c r="S23" s="79" t="s">
        <v>367</v>
      </c>
      <c r="T23" s="86"/>
      <c r="U23" s="86"/>
      <c r="V23" s="79"/>
      <c r="W23" s="79"/>
      <c r="X23" s="79"/>
      <c r="Y23" s="64"/>
      <c r="Z23" s="90" t="s">
        <v>124</v>
      </c>
      <c r="AA23" s="86"/>
      <c r="AB23" s="90" t="s">
        <v>134</v>
      </c>
      <c r="AC23" s="82">
        <v>45089</v>
      </c>
      <c r="AD23" s="343">
        <v>45089</v>
      </c>
      <c r="AE23" s="119"/>
      <c r="AF23" s="81">
        <v>45096</v>
      </c>
      <c r="AG23" s="76" t="s">
        <v>1485</v>
      </c>
      <c r="AH23" s="76">
        <v>0</v>
      </c>
      <c r="AI23" s="76"/>
      <c r="AJ23" s="122" t="s">
        <v>408</v>
      </c>
      <c r="AK23" s="130"/>
      <c r="AL23" s="139" t="s">
        <v>1628</v>
      </c>
      <c r="AM23" s="1" t="str">
        <f>VLOOKUP($Q23,Resultados!$A$1:$C$49,3,FALSE)</f>
        <v>ELEVADA</v>
      </c>
    </row>
    <row r="24" spans="1:39" customFormat="1" ht="114.75">
      <c r="A24" s="372">
        <v>13</v>
      </c>
      <c r="B24" s="82">
        <v>45217</v>
      </c>
      <c r="C24" s="325" t="s">
        <v>385</v>
      </c>
      <c r="D24" s="79" t="s">
        <v>386</v>
      </c>
      <c r="E24" s="84" t="s">
        <v>432</v>
      </c>
      <c r="F24" s="79">
        <v>1</v>
      </c>
      <c r="G24" s="79" t="s">
        <v>326</v>
      </c>
      <c r="H24" s="306">
        <v>45264</v>
      </c>
      <c r="I24" s="89"/>
      <c r="J24" s="82"/>
      <c r="K24" s="79" t="s">
        <v>1480</v>
      </c>
      <c r="L24" s="79" t="s">
        <v>387</v>
      </c>
      <c r="M24" s="79" t="s">
        <v>131</v>
      </c>
      <c r="N24" s="174" t="s">
        <v>1708</v>
      </c>
      <c r="O24" s="24" t="str">
        <f>IF(Q24=" _","NO","SI")</f>
        <v>SI</v>
      </c>
      <c r="P24" s="24" t="str">
        <f ca="1">IF(color_Celda(E24)=12106214,"ROSA",IF(color_Celda(E24)=65535,"AMARILLO",IF(color_Celda(E24)=5296274,"VERDE",IF(color_Celda(E24)=16777215,"BLANCO","NO SE"))))</f>
        <v>ROSA</v>
      </c>
      <c r="Q24" s="79" t="s">
        <v>1162</v>
      </c>
      <c r="R24" s="4" t="str">
        <f>VLOOKUP($Q24,Resultados!$A$1:$B$49,2,FALSE)</f>
        <v>ELEVADA A JUICIO</v>
      </c>
      <c r="S24" s="79"/>
      <c r="T24" s="86"/>
      <c r="U24" s="86"/>
      <c r="V24" s="79"/>
      <c r="W24" s="79"/>
      <c r="X24" s="79"/>
      <c r="Y24" s="64"/>
      <c r="Z24" s="90" t="s">
        <v>123</v>
      </c>
      <c r="AA24" s="94"/>
      <c r="AB24" s="90" t="s">
        <v>135</v>
      </c>
      <c r="AC24" s="85"/>
      <c r="AD24" s="426"/>
      <c r="AE24" s="95"/>
      <c r="AF24" s="81">
        <v>7</v>
      </c>
      <c r="AG24" s="76" t="s">
        <v>1485</v>
      </c>
      <c r="AH24" s="76">
        <v>0</v>
      </c>
      <c r="AI24" s="76"/>
      <c r="AJ24" s="122" t="s">
        <v>408</v>
      </c>
      <c r="AK24" s="138"/>
      <c r="AL24" s="139" t="s">
        <v>1628</v>
      </c>
      <c r="AM24" s="1" t="str">
        <f>VLOOKUP($Q24,Resultados!$A$1:$C$49,3,FALSE)</f>
        <v>ELEVADA</v>
      </c>
    </row>
    <row r="25" spans="1:39" customFormat="1" ht="76.5">
      <c r="A25" s="372">
        <v>18</v>
      </c>
      <c r="B25" s="85">
        <v>45217</v>
      </c>
      <c r="C25" s="326" t="s">
        <v>15</v>
      </c>
      <c r="D25" s="79" t="s">
        <v>292</v>
      </c>
      <c r="E25" s="84" t="s">
        <v>437</v>
      </c>
      <c r="F25" s="74">
        <v>4</v>
      </c>
      <c r="G25" s="79" t="s">
        <v>10</v>
      </c>
      <c r="H25" s="305">
        <v>45264</v>
      </c>
      <c r="I25" s="85"/>
      <c r="J25" s="85"/>
      <c r="K25" s="79" t="s">
        <v>1480</v>
      </c>
      <c r="L25" s="79"/>
      <c r="M25" s="79" t="s">
        <v>176</v>
      </c>
      <c r="N25" s="173" t="s">
        <v>1709</v>
      </c>
      <c r="O25" s="24" t="str">
        <f>IF(Q25=" _","NO","SI")</f>
        <v>SI</v>
      </c>
      <c r="P25" s="24" t="str">
        <f ca="1">IF(color_Celda(E25)=12106214,"ROSA",IF(color_Celda(E25)=65535,"AMARILLO",IF(color_Celda(E25)=5296274,"VERDE",IF(color_Celda(E25)=16777215,"BLANCO","NO SE"))))</f>
        <v>ROSA</v>
      </c>
      <c r="Q25" s="79" t="s">
        <v>1324</v>
      </c>
      <c r="R25" s="4" t="str">
        <f>VLOOKUP($Q25,Resultados!$A$1:$B$49,2,FALSE)</f>
        <v>RESUELTA EN ETAPA DE PREVENTIVA</v>
      </c>
      <c r="S25" s="79"/>
      <c r="T25" s="86"/>
      <c r="U25" s="86"/>
      <c r="V25" s="74"/>
      <c r="W25" s="74"/>
      <c r="X25" s="74"/>
      <c r="Y25" s="64"/>
      <c r="Z25" s="90"/>
      <c r="AA25" s="74"/>
      <c r="AB25" s="90" t="s">
        <v>134</v>
      </c>
      <c r="AC25" s="74"/>
      <c r="AD25" s="309"/>
      <c r="AE25" s="119"/>
      <c r="AF25" s="81">
        <v>7</v>
      </c>
      <c r="AG25" s="76"/>
      <c r="AH25" s="76">
        <v>0</v>
      </c>
      <c r="AI25" s="76"/>
      <c r="AJ25" s="122" t="s">
        <v>408</v>
      </c>
      <c r="AK25" s="138"/>
      <c r="AL25" s="139" t="s">
        <v>1628</v>
      </c>
      <c r="AM25" s="1" t="str">
        <f>VLOOKUP($Q25,Resultados!$A$1:$C$49,3,FALSE)</f>
        <v>RESUELTA</v>
      </c>
    </row>
    <row r="26" spans="1:39" customFormat="1" ht="89.25">
      <c r="A26" s="372">
        <v>21</v>
      </c>
      <c r="B26" s="85">
        <v>45217</v>
      </c>
      <c r="C26" s="326" t="s">
        <v>661</v>
      </c>
      <c r="D26" s="79" t="s">
        <v>30</v>
      </c>
      <c r="E26" s="84" t="s">
        <v>439</v>
      </c>
      <c r="F26" s="74">
        <v>4</v>
      </c>
      <c r="G26" s="74" t="s">
        <v>325</v>
      </c>
      <c r="H26" s="305">
        <v>45264</v>
      </c>
      <c r="I26" s="85"/>
      <c r="J26" s="85"/>
      <c r="K26" s="74" t="s">
        <v>1480</v>
      </c>
      <c r="L26" s="79" t="s">
        <v>31</v>
      </c>
      <c r="M26" s="79" t="s">
        <v>45</v>
      </c>
      <c r="N26" s="172" t="s">
        <v>1220</v>
      </c>
      <c r="O26" s="24" t="str">
        <f>IF(Q26=" _","NO","SI")</f>
        <v>SI</v>
      </c>
      <c r="P26" s="24" t="str">
        <f ca="1">IF(color_Celda(E26)=12106214,"ROSA",IF(color_Celda(E26)=65535,"AMARILLO",IF(color_Celda(E26)=5296274,"VERDE",IF(color_Celda(E26)=16777215,"BLANCO","NO SE"))))</f>
        <v>ROSA</v>
      </c>
      <c r="Q26" s="79" t="s">
        <v>1162</v>
      </c>
      <c r="R26" s="4" t="str">
        <f>VLOOKUP($Q26,Resultados!$A$1:$B$49,2,FALSE)</f>
        <v>ELEVADA A JUICIO</v>
      </c>
      <c r="S26" s="79"/>
      <c r="T26" s="86"/>
      <c r="U26" s="86"/>
      <c r="V26" s="74"/>
      <c r="W26" s="74"/>
      <c r="X26" s="74"/>
      <c r="Y26" s="64"/>
      <c r="Z26" s="90" t="s">
        <v>63</v>
      </c>
      <c r="AA26" s="74"/>
      <c r="AB26" s="90" t="s">
        <v>138</v>
      </c>
      <c r="AC26" s="87">
        <v>45210</v>
      </c>
      <c r="AD26" s="119">
        <v>45218</v>
      </c>
      <c r="AE26" s="119">
        <v>45177</v>
      </c>
      <c r="AF26" s="81">
        <v>45217</v>
      </c>
      <c r="AG26" s="76"/>
      <c r="AH26" s="76">
        <v>0</v>
      </c>
      <c r="AI26" s="76"/>
      <c r="AJ26" s="122" t="s">
        <v>408</v>
      </c>
      <c r="AK26" s="138"/>
      <c r="AL26" s="139" t="s">
        <v>1628</v>
      </c>
      <c r="AM26" s="1" t="str">
        <f>VLOOKUP($Q26,Resultados!$A$1:$C$49,3,FALSE)</f>
        <v>ELEVADA</v>
      </c>
    </row>
    <row r="27" spans="1:39" customFormat="1" ht="89.25">
      <c r="A27" s="372">
        <v>34</v>
      </c>
      <c r="B27" s="85">
        <v>45219</v>
      </c>
      <c r="C27" s="326" t="s">
        <v>12</v>
      </c>
      <c r="D27" s="79" t="s">
        <v>173</v>
      </c>
      <c r="E27" s="84" t="s">
        <v>445</v>
      </c>
      <c r="F27" s="74">
        <v>3</v>
      </c>
      <c r="G27" s="74" t="s">
        <v>325</v>
      </c>
      <c r="H27" s="305">
        <v>45264</v>
      </c>
      <c r="I27" s="85"/>
      <c r="J27" s="85"/>
      <c r="K27" s="74" t="s">
        <v>1480</v>
      </c>
      <c r="L27" s="79" t="s">
        <v>86</v>
      </c>
      <c r="M27" s="79" t="s">
        <v>49</v>
      </c>
      <c r="N27" s="172" t="s">
        <v>1221</v>
      </c>
      <c r="O27" s="24" t="str">
        <f>IF(Q27=" _","NO","SI")</f>
        <v>SI</v>
      </c>
      <c r="P27" s="24" t="str">
        <f ca="1">IF(color_Celda(E27)=12106214,"ROSA",IF(color_Celda(E27)=65535,"AMARILLO",IF(color_Celda(E27)=5296274,"VERDE",IF(color_Celda(E27)=16777215,"BLANCO","NO SE"))))</f>
        <v>ROSA</v>
      </c>
      <c r="Q27" s="79" t="s">
        <v>1162</v>
      </c>
      <c r="R27" s="4" t="str">
        <f>VLOOKUP($Q27,Resultados!$A$1:$B$49,2,FALSE)</f>
        <v>ELEVADA A JUICIO</v>
      </c>
      <c r="S27" s="79"/>
      <c r="T27" s="86"/>
      <c r="U27" s="86"/>
      <c r="V27" s="74"/>
      <c r="W27" s="74"/>
      <c r="X27" s="74"/>
      <c r="Y27" s="64"/>
      <c r="Z27" s="74"/>
      <c r="AA27" s="74"/>
      <c r="AB27" s="74"/>
      <c r="AC27" s="87">
        <v>45211</v>
      </c>
      <c r="AD27" s="95">
        <v>45225</v>
      </c>
      <c r="AE27" s="95"/>
      <c r="AF27" s="81">
        <v>45218</v>
      </c>
      <c r="AG27" s="76"/>
      <c r="AH27" s="76">
        <v>0</v>
      </c>
      <c r="AI27" s="76"/>
      <c r="AJ27" s="122" t="s">
        <v>408</v>
      </c>
      <c r="AK27" s="138"/>
      <c r="AL27" s="139" t="s">
        <v>1628</v>
      </c>
      <c r="AM27" s="1" t="str">
        <f>VLOOKUP($Q27,Resultados!$A$1:$C$49,3,FALSE)</f>
        <v>ELEVADA</v>
      </c>
    </row>
    <row r="28" spans="1:39" customFormat="1" ht="51">
      <c r="A28" s="372">
        <v>36</v>
      </c>
      <c r="B28" s="85">
        <v>45219</v>
      </c>
      <c r="C28" s="325" t="s">
        <v>461</v>
      </c>
      <c r="D28" s="79" t="s">
        <v>320</v>
      </c>
      <c r="E28" s="84" t="s">
        <v>459</v>
      </c>
      <c r="F28" s="74">
        <v>8</v>
      </c>
      <c r="G28" s="74" t="s">
        <v>1370</v>
      </c>
      <c r="H28" s="305">
        <v>45264</v>
      </c>
      <c r="I28" s="85"/>
      <c r="J28" s="85"/>
      <c r="K28" s="74" t="s">
        <v>1480</v>
      </c>
      <c r="L28" s="79" t="s">
        <v>72</v>
      </c>
      <c r="M28" s="79" t="s">
        <v>131</v>
      </c>
      <c r="N28" s="174" t="s">
        <v>2989</v>
      </c>
      <c r="O28" s="24" t="str">
        <f>IF(Q28=" _","NO","SI")</f>
        <v>SI</v>
      </c>
      <c r="P28" s="24" t="str">
        <f ca="1">IF(color_Celda(E28)=12106214,"ROSA",IF(color_Celda(E28)=65535,"AMARILLO",IF(color_Celda(E28)=5296274,"VERDE",IF(color_Celda(E28)=16777215,"BLANCO","NO SE"))))</f>
        <v>ROSA</v>
      </c>
      <c r="Q28" s="79" t="s">
        <v>2437</v>
      </c>
      <c r="R28" s="4" t="str">
        <f>VLOOKUP($Q28,Resultados!$A$1:$B$49,2,FALSE)</f>
        <v>DEVUELTA AL JUZGADO DE ORIGEN</v>
      </c>
      <c r="S28" s="79"/>
      <c r="T28" s="86"/>
      <c r="U28" s="86"/>
      <c r="V28" s="74"/>
      <c r="W28" s="74"/>
      <c r="X28" s="74"/>
      <c r="Y28" s="64"/>
      <c r="Z28" s="74"/>
      <c r="AA28" s="74"/>
      <c r="AB28" s="74"/>
      <c r="AC28" s="74"/>
      <c r="AD28" s="309"/>
      <c r="AE28" s="119"/>
      <c r="AF28" s="81">
        <v>7</v>
      </c>
      <c r="AG28" s="76"/>
      <c r="AH28" s="76">
        <v>0</v>
      </c>
      <c r="AI28" s="76"/>
      <c r="AJ28" s="122" t="s">
        <v>408</v>
      </c>
      <c r="AK28" s="130"/>
      <c r="AL28" s="139" t="s">
        <v>1628</v>
      </c>
      <c r="AM28" s="431" t="str">
        <f>VLOOKUP($Q28,Resultados!$A$1:$C$49,3,FALSE)</f>
        <v>DEVUELTA</v>
      </c>
    </row>
    <row r="29" spans="1:39" customFormat="1" ht="127.5">
      <c r="A29" s="372">
        <v>57</v>
      </c>
      <c r="B29" s="85">
        <v>45225</v>
      </c>
      <c r="C29" s="326" t="s">
        <v>1010</v>
      </c>
      <c r="D29" s="79" t="s">
        <v>478</v>
      </c>
      <c r="E29" s="84" t="s">
        <v>479</v>
      </c>
      <c r="F29" s="74">
        <v>3</v>
      </c>
      <c r="G29" s="74" t="s">
        <v>10</v>
      </c>
      <c r="H29" s="305">
        <v>45264</v>
      </c>
      <c r="I29" s="85"/>
      <c r="J29" s="85"/>
      <c r="K29" s="74" t="s">
        <v>1480</v>
      </c>
      <c r="L29" s="79" t="s">
        <v>84</v>
      </c>
      <c r="M29" s="79" t="s">
        <v>47</v>
      </c>
      <c r="N29" s="174" t="s">
        <v>1722</v>
      </c>
      <c r="O29" s="24" t="str">
        <f>IF(Q29=" _","NO","SI")</f>
        <v>SI</v>
      </c>
      <c r="P29" s="24" t="str">
        <f ca="1">IF(color_Celda(E29)=12106214,"ROSA",IF(color_Celda(E29)=65535,"AMARILLO",IF(color_Celda(E29)=5296274,"VERDE",IF(color_Celda(E29)=16777215,"BLANCO","NO SE"))))</f>
        <v>ROSA</v>
      </c>
      <c r="Q29" s="79" t="s">
        <v>1324</v>
      </c>
      <c r="R29" s="4" t="str">
        <f>VLOOKUP($Q29,Resultados!$A$1:$B$49,2,FALSE)</f>
        <v>RESUELTA EN ETAPA DE PREVENTIVA</v>
      </c>
      <c r="S29" s="79"/>
      <c r="T29" s="86"/>
      <c r="U29" s="86"/>
      <c r="V29" s="74"/>
      <c r="W29" s="74"/>
      <c r="X29" s="74"/>
      <c r="Y29" s="64"/>
      <c r="Z29" s="74"/>
      <c r="AA29" s="74"/>
      <c r="AB29" s="74"/>
      <c r="AC29" s="74"/>
      <c r="AD29" s="74"/>
      <c r="AE29" s="140"/>
      <c r="AF29" s="81">
        <v>7</v>
      </c>
      <c r="AG29" s="76"/>
      <c r="AH29" s="76">
        <v>0</v>
      </c>
      <c r="AI29" s="76"/>
      <c r="AJ29" s="122" t="s">
        <v>408</v>
      </c>
      <c r="AK29" s="138"/>
      <c r="AL29" s="139" t="s">
        <v>1628</v>
      </c>
      <c r="AM29" s="431" t="str">
        <f>VLOOKUP($Q29,Resultados!$A$1:$C$49,3,FALSE)</f>
        <v>RESUELTA</v>
      </c>
    </row>
    <row r="30" spans="1:39" customFormat="1" ht="25.5">
      <c r="A30" s="372">
        <v>11</v>
      </c>
      <c r="B30" s="82">
        <v>45217</v>
      </c>
      <c r="C30" s="325" t="s">
        <v>380</v>
      </c>
      <c r="D30" s="79" t="s">
        <v>381</v>
      </c>
      <c r="E30" s="84" t="s">
        <v>430</v>
      </c>
      <c r="F30" s="79">
        <v>1</v>
      </c>
      <c r="G30" s="79" t="s">
        <v>325</v>
      </c>
      <c r="H30" s="306">
        <v>45265</v>
      </c>
      <c r="I30" s="89"/>
      <c r="J30" s="82"/>
      <c r="K30" s="79" t="s">
        <v>1480</v>
      </c>
      <c r="L30" s="79" t="s">
        <v>82</v>
      </c>
      <c r="M30" s="79" t="s">
        <v>70</v>
      </c>
      <c r="N30" s="174" t="s">
        <v>1218</v>
      </c>
      <c r="O30" s="24" t="str">
        <f>IF(Q30=" _","NO","SI")</f>
        <v>SI</v>
      </c>
      <c r="P30" s="24" t="str">
        <f ca="1">IF(color_Celda(E30)=12106214,"ROSA",IF(color_Celda(E30)=65535,"AMARILLO",IF(color_Celda(E30)=5296274,"VERDE",IF(color_Celda(E30)=16777215,"BLANCO","NO SE"))))</f>
        <v>ROSA</v>
      </c>
      <c r="Q30" s="79" t="s">
        <v>1162</v>
      </c>
      <c r="R30" s="4" t="str">
        <f>VLOOKUP($Q30,Resultados!$A$1:$B$49,2,FALSE)</f>
        <v>ELEVADA A JUICIO</v>
      </c>
      <c r="S30" s="79"/>
      <c r="T30" s="86"/>
      <c r="U30" s="86"/>
      <c r="V30" s="79"/>
      <c r="W30" s="79"/>
      <c r="X30" s="79"/>
      <c r="Y30" s="64"/>
      <c r="Z30" s="90" t="s">
        <v>63</v>
      </c>
      <c r="AA30" s="94"/>
      <c r="AB30" s="90" t="s">
        <v>138</v>
      </c>
      <c r="AC30" s="85">
        <v>45222</v>
      </c>
      <c r="AD30" s="85">
        <v>45224</v>
      </c>
      <c r="AE30" s="140"/>
      <c r="AF30" s="81">
        <v>45229</v>
      </c>
      <c r="AG30" s="76" t="s">
        <v>1485</v>
      </c>
      <c r="AH30" s="76">
        <v>0</v>
      </c>
      <c r="AI30" s="76"/>
      <c r="AJ30" s="122" t="s">
        <v>408</v>
      </c>
      <c r="AK30" s="138"/>
      <c r="AL30" s="139" t="s">
        <v>1628</v>
      </c>
      <c r="AM30" s="431" t="str">
        <f>VLOOKUP($Q30,Resultados!$A$1:$C$49,3,FALSE)</f>
        <v>ELEVADA</v>
      </c>
    </row>
    <row r="31" spans="1:39" customFormat="1" ht="63.75">
      <c r="A31" s="372">
        <v>12</v>
      </c>
      <c r="B31" s="82">
        <v>45217</v>
      </c>
      <c r="C31" s="325" t="s">
        <v>1388</v>
      </c>
      <c r="D31" s="79" t="s">
        <v>168</v>
      </c>
      <c r="E31" s="84" t="s">
        <v>434</v>
      </c>
      <c r="F31" s="79">
        <v>4</v>
      </c>
      <c r="G31" s="79" t="s">
        <v>325</v>
      </c>
      <c r="H31" s="306">
        <v>45265</v>
      </c>
      <c r="I31" s="89"/>
      <c r="J31" s="82"/>
      <c r="K31" s="79" t="s">
        <v>1480</v>
      </c>
      <c r="L31" s="79" t="s">
        <v>87</v>
      </c>
      <c r="M31" s="79" t="s">
        <v>382</v>
      </c>
      <c r="N31" s="172" t="s">
        <v>1223</v>
      </c>
      <c r="O31" s="24" t="str">
        <f>IF(Q31=" _","NO","SI")</f>
        <v>SI</v>
      </c>
      <c r="P31" s="24" t="str">
        <f ca="1">IF(color_Celda(E31)=12106214,"ROSA",IF(color_Celda(E31)=65535,"AMARILLO",IF(color_Celda(E31)=5296274,"VERDE",IF(color_Celda(E31)=16777215,"BLANCO","NO SE"))))</f>
        <v>ROSA</v>
      </c>
      <c r="Q31" s="79" t="s">
        <v>1162</v>
      </c>
      <c r="R31" s="4" t="str">
        <f>VLOOKUP($Q31,Resultados!$A$1:$B$49,2,FALSE)</f>
        <v>ELEVADA A JUICIO</v>
      </c>
      <c r="S31" s="89"/>
      <c r="T31" s="86"/>
      <c r="U31" s="86"/>
      <c r="V31" s="79"/>
      <c r="W31" s="89"/>
      <c r="X31" s="79"/>
      <c r="Y31" s="64"/>
      <c r="Z31" s="90" t="s">
        <v>68</v>
      </c>
      <c r="AA31" s="94"/>
      <c r="AB31" s="90" t="s">
        <v>137</v>
      </c>
      <c r="AC31" s="85">
        <v>45223</v>
      </c>
      <c r="AD31" s="85">
        <v>45223</v>
      </c>
      <c r="AE31" s="140"/>
      <c r="AF31" s="81">
        <v>45230</v>
      </c>
      <c r="AG31" s="76" t="s">
        <v>1485</v>
      </c>
      <c r="AH31" s="76">
        <v>0</v>
      </c>
      <c r="AI31" s="76"/>
      <c r="AJ31" s="122" t="s">
        <v>408</v>
      </c>
      <c r="AK31" s="138"/>
      <c r="AL31" s="139" t="s">
        <v>1628</v>
      </c>
      <c r="AM31" s="431" t="str">
        <f>VLOOKUP($Q31,Resultados!$A$1:$C$49,3,FALSE)</f>
        <v>ELEVADA</v>
      </c>
    </row>
    <row r="32" spans="1:39" customFormat="1" ht="51">
      <c r="A32" s="372">
        <v>14</v>
      </c>
      <c r="B32" s="82">
        <v>45217</v>
      </c>
      <c r="C32" s="325" t="s">
        <v>388</v>
      </c>
      <c r="D32" s="79" t="s">
        <v>389</v>
      </c>
      <c r="E32" s="84" t="s">
        <v>428</v>
      </c>
      <c r="F32" s="79">
        <v>1</v>
      </c>
      <c r="G32" s="79" t="s">
        <v>326</v>
      </c>
      <c r="H32" s="306">
        <v>45265</v>
      </c>
      <c r="I32" s="89"/>
      <c r="J32" s="82"/>
      <c r="K32" s="79" t="s">
        <v>1480</v>
      </c>
      <c r="L32" s="79" t="s">
        <v>387</v>
      </c>
      <c r="M32" s="79" t="s">
        <v>418</v>
      </c>
      <c r="N32" s="173" t="s">
        <v>1708</v>
      </c>
      <c r="O32" s="24" t="str">
        <f>IF(Q32=" _","NO","SI")</f>
        <v>SI</v>
      </c>
      <c r="P32" s="24" t="str">
        <f ca="1">IF(color_Celda(E32)=12106214,"ROSA",IF(color_Celda(E32)=65535,"AMARILLO",IF(color_Celda(E32)=5296274,"VERDE",IF(color_Celda(E32)=16777215,"BLANCO","NO SE"))))</f>
        <v>ROSA</v>
      </c>
      <c r="Q32" s="79" t="s">
        <v>1162</v>
      </c>
      <c r="R32" s="4" t="str">
        <f>VLOOKUP($Q32,Resultados!$A$1:$B$49,2,FALSE)</f>
        <v>ELEVADA A JUICIO</v>
      </c>
      <c r="S32" s="89"/>
      <c r="T32" s="86"/>
      <c r="U32" s="86"/>
      <c r="V32" s="79"/>
      <c r="W32" s="89"/>
      <c r="X32" s="79"/>
      <c r="Y32" s="64"/>
      <c r="Z32" s="90" t="s">
        <v>124</v>
      </c>
      <c r="AA32" s="94"/>
      <c r="AB32" s="90" t="s">
        <v>134</v>
      </c>
      <c r="AC32" s="289"/>
      <c r="AD32" s="289"/>
      <c r="AE32" s="370"/>
      <c r="AF32" s="81">
        <v>7</v>
      </c>
      <c r="AG32" s="76" t="s">
        <v>1485</v>
      </c>
      <c r="AH32" s="76">
        <v>0</v>
      </c>
      <c r="AI32" s="76"/>
      <c r="AJ32" s="122" t="s">
        <v>408</v>
      </c>
      <c r="AK32" s="138"/>
      <c r="AL32" s="139" t="s">
        <v>1628</v>
      </c>
      <c r="AM32" s="431" t="str">
        <f>VLOOKUP($Q32,Resultados!$A$1:$C$49,3,FALSE)</f>
        <v>ELEVADA</v>
      </c>
    </row>
    <row r="33" spans="1:39" customFormat="1" ht="51">
      <c r="A33" s="372">
        <v>17</v>
      </c>
      <c r="B33" s="85">
        <v>45217</v>
      </c>
      <c r="C33" s="326" t="s">
        <v>3062</v>
      </c>
      <c r="D33" s="79" t="s">
        <v>128</v>
      </c>
      <c r="E33" s="84" t="s">
        <v>436</v>
      </c>
      <c r="F33" s="74">
        <v>4</v>
      </c>
      <c r="G33" s="74" t="s">
        <v>325</v>
      </c>
      <c r="H33" s="305">
        <v>45265</v>
      </c>
      <c r="I33" s="85"/>
      <c r="J33" s="85"/>
      <c r="K33" s="79" t="s">
        <v>1480</v>
      </c>
      <c r="L33" s="79" t="s">
        <v>87</v>
      </c>
      <c r="M33" s="79" t="s">
        <v>53</v>
      </c>
      <c r="N33" s="172" t="s">
        <v>1219</v>
      </c>
      <c r="O33" s="24" t="str">
        <f>IF(Q33=" _","NO","SI")</f>
        <v>SI</v>
      </c>
      <c r="P33" s="24" t="str">
        <f ca="1">IF(color_Celda(E33)=12106214,"ROSA",IF(color_Celda(E33)=65535,"AMARILLO",IF(color_Celda(E33)=5296274,"VERDE",IF(color_Celda(E33)=16777215,"BLANCO","NO SE"))))</f>
        <v>ROSA</v>
      </c>
      <c r="Q33" s="79" t="s">
        <v>1162</v>
      </c>
      <c r="R33" s="4" t="str">
        <f>VLOOKUP($Q33,Resultados!$A$1:$B$49,2,FALSE)</f>
        <v>ELEVADA A JUICIO</v>
      </c>
      <c r="S33" s="79"/>
      <c r="T33" s="86"/>
      <c r="U33" s="86"/>
      <c r="V33" s="74"/>
      <c r="W33" s="74"/>
      <c r="X33" s="74"/>
      <c r="Y33" s="64"/>
      <c r="Z33" s="90" t="s">
        <v>123</v>
      </c>
      <c r="AA33" s="74"/>
      <c r="AB33" s="90" t="s">
        <v>135</v>
      </c>
      <c r="AC33" s="87">
        <v>45218</v>
      </c>
      <c r="AD33" s="87">
        <v>45211</v>
      </c>
      <c r="AE33" s="140"/>
      <c r="AF33" s="81">
        <v>45225</v>
      </c>
      <c r="AG33" s="76"/>
      <c r="AH33" s="76">
        <v>0</v>
      </c>
      <c r="AI33" s="76"/>
      <c r="AJ33" s="122" t="s">
        <v>408</v>
      </c>
      <c r="AK33" s="138"/>
      <c r="AL33" s="139" t="s">
        <v>1628</v>
      </c>
      <c r="AM33" s="431" t="str">
        <f>VLOOKUP($Q33,Resultados!$A$1:$C$49,3,FALSE)</f>
        <v>ELEVADA</v>
      </c>
    </row>
    <row r="34" spans="1:39" customFormat="1" ht="102">
      <c r="A34" s="372">
        <v>43</v>
      </c>
      <c r="B34" s="85">
        <v>45222</v>
      </c>
      <c r="C34" s="326" t="s">
        <v>798</v>
      </c>
      <c r="D34" s="79" t="s">
        <v>220</v>
      </c>
      <c r="E34" s="84" t="s">
        <v>451</v>
      </c>
      <c r="F34" s="74">
        <v>4</v>
      </c>
      <c r="G34" s="74" t="s">
        <v>325</v>
      </c>
      <c r="H34" s="305">
        <v>45265</v>
      </c>
      <c r="I34" s="85"/>
      <c r="J34" s="85"/>
      <c r="K34" s="74" t="s">
        <v>1480</v>
      </c>
      <c r="L34" s="79" t="s">
        <v>2167</v>
      </c>
      <c r="M34" s="79" t="s">
        <v>223</v>
      </c>
      <c r="N34" s="172" t="s">
        <v>1362</v>
      </c>
      <c r="O34" s="24" t="str">
        <f>IF(Q34=" _","NO","SI")</f>
        <v>SI</v>
      </c>
      <c r="P34" s="24" t="str">
        <f ca="1">IF(color_Celda(E34)=12106214,"ROSA",IF(color_Celda(E34)=65535,"AMARILLO",IF(color_Celda(E34)=5296274,"VERDE",IF(color_Celda(E34)=16777215,"BLANCO","NO SE"))))</f>
        <v>ROSA</v>
      </c>
      <c r="Q34" s="79" t="s">
        <v>1162</v>
      </c>
      <c r="R34" s="4" t="str">
        <f>VLOOKUP($Q34,Resultados!$A$1:$B$49,2,FALSE)</f>
        <v>ELEVADA A JUICIO</v>
      </c>
      <c r="S34" s="79"/>
      <c r="T34" s="86"/>
      <c r="U34" s="86"/>
      <c r="V34" s="74"/>
      <c r="W34" s="74"/>
      <c r="X34" s="74"/>
      <c r="Y34" s="64"/>
      <c r="Z34" s="74"/>
      <c r="AA34" s="74"/>
      <c r="AB34" s="74"/>
      <c r="AC34" s="87">
        <v>45224</v>
      </c>
      <c r="AD34" s="87">
        <v>45226</v>
      </c>
      <c r="AE34" s="140">
        <v>0</v>
      </c>
      <c r="AF34" s="81">
        <v>45231</v>
      </c>
      <c r="AG34" s="76"/>
      <c r="AH34" s="76">
        <v>0</v>
      </c>
      <c r="AI34" s="76"/>
      <c r="AJ34" s="122" t="s">
        <v>408</v>
      </c>
      <c r="AK34" s="138"/>
      <c r="AL34" s="139" t="s">
        <v>1628</v>
      </c>
      <c r="AM34" s="431" t="str">
        <f>VLOOKUP($Q34,Resultados!$A$1:$C$49,3,FALSE)</f>
        <v>ELEVADA</v>
      </c>
    </row>
    <row r="35" spans="1:39" customFormat="1" ht="63.75">
      <c r="A35" s="372">
        <v>46</v>
      </c>
      <c r="B35" s="85">
        <v>45224</v>
      </c>
      <c r="C35" s="326">
        <v>0.38611111111111113</v>
      </c>
      <c r="D35" s="79" t="s">
        <v>332</v>
      </c>
      <c r="E35" s="84" t="s">
        <v>485</v>
      </c>
      <c r="F35" s="74">
        <v>1</v>
      </c>
      <c r="G35" s="74" t="s">
        <v>326</v>
      </c>
      <c r="H35" s="305">
        <v>45265</v>
      </c>
      <c r="I35" s="85"/>
      <c r="J35" s="85"/>
      <c r="K35" s="74" t="s">
        <v>1480</v>
      </c>
      <c r="L35" s="79" t="s">
        <v>2170</v>
      </c>
      <c r="M35" s="367" t="s">
        <v>361</v>
      </c>
      <c r="N35" s="174" t="s">
        <v>1719</v>
      </c>
      <c r="O35" s="24" t="str">
        <f>IF(Q35=" _","NO","SI")</f>
        <v>SI</v>
      </c>
      <c r="P35" s="24" t="str">
        <f ca="1">IF(color_Celda(E35)=12106214,"ROSA",IF(color_Celda(E35)=65535,"AMARILLO",IF(color_Celda(E35)=5296274,"VERDE",IF(color_Celda(E35)=16777215,"BLANCO","NO SE"))))</f>
        <v>ROSA</v>
      </c>
      <c r="Q35" s="79" t="s">
        <v>1162</v>
      </c>
      <c r="R35" s="4" t="str">
        <f>VLOOKUP($Q35,Resultados!$A$1:$B$49,2,FALSE)</f>
        <v>ELEVADA A JUICIO</v>
      </c>
      <c r="S35" s="79"/>
      <c r="T35" s="86"/>
      <c r="U35" s="86"/>
      <c r="V35" s="74"/>
      <c r="W35" s="74"/>
      <c r="X35" s="74"/>
      <c r="Y35" s="64"/>
      <c r="Z35" s="74"/>
      <c r="AA35" s="74"/>
      <c r="AB35" s="74"/>
      <c r="AC35" s="74"/>
      <c r="AD35" s="74"/>
      <c r="AE35" s="140"/>
      <c r="AF35" s="81">
        <v>7</v>
      </c>
      <c r="AG35" s="76"/>
      <c r="AH35" s="76">
        <v>0</v>
      </c>
      <c r="AI35" s="76"/>
      <c r="AJ35" s="122" t="s">
        <v>408</v>
      </c>
      <c r="AK35" s="138"/>
      <c r="AL35" s="139" t="s">
        <v>1628</v>
      </c>
      <c r="AM35" s="431" t="str">
        <f>VLOOKUP($Q35,Resultados!$A$1:$C$49,3,FALSE)</f>
        <v>ELEVADA</v>
      </c>
    </row>
    <row r="36" spans="1:39" customFormat="1" ht="178.5">
      <c r="A36" s="372">
        <v>63</v>
      </c>
      <c r="B36" s="85">
        <v>45229</v>
      </c>
      <c r="C36" s="326" t="s">
        <v>2138</v>
      </c>
      <c r="D36" s="79" t="s">
        <v>488</v>
      </c>
      <c r="E36" s="84" t="s">
        <v>582</v>
      </c>
      <c r="F36" s="74">
        <v>1</v>
      </c>
      <c r="G36" s="74" t="s">
        <v>325</v>
      </c>
      <c r="H36" s="305">
        <v>45265</v>
      </c>
      <c r="I36" s="85"/>
      <c r="J36" s="85"/>
      <c r="K36" s="74" t="s">
        <v>1480</v>
      </c>
      <c r="L36" s="79" t="s">
        <v>74</v>
      </c>
      <c r="M36" s="79" t="s">
        <v>131</v>
      </c>
      <c r="N36" s="174" t="s">
        <v>1364</v>
      </c>
      <c r="O36" s="24" t="str">
        <f>IF(Q36=" _","NO","SI")</f>
        <v>SI</v>
      </c>
      <c r="P36" s="24" t="str">
        <f ca="1">IF(color_Celda(E36)=12106214,"ROSA",IF(color_Celda(E36)=65535,"AMARILLO",IF(color_Celda(E36)=5296274,"VERDE",IF(color_Celda(E36)=16777215,"BLANCO","NO SE"))))</f>
        <v>ROSA</v>
      </c>
      <c r="Q36" s="79" t="s">
        <v>1162</v>
      </c>
      <c r="R36" s="4" t="str">
        <f>VLOOKUP($Q36,Resultados!$A$1:$B$49,2,FALSE)</f>
        <v>ELEVADA A JUICIO</v>
      </c>
      <c r="S36" s="79"/>
      <c r="T36" s="86"/>
      <c r="U36" s="86"/>
      <c r="V36" s="74"/>
      <c r="W36" s="74"/>
      <c r="X36" s="74"/>
      <c r="Y36" s="64"/>
      <c r="Z36" s="74"/>
      <c r="AA36" s="74"/>
      <c r="AB36" s="74"/>
      <c r="AC36" s="87">
        <v>45233</v>
      </c>
      <c r="AD36" s="87">
        <v>45236</v>
      </c>
      <c r="AE36" s="140">
        <v>0</v>
      </c>
      <c r="AF36" s="81">
        <v>45240</v>
      </c>
      <c r="AG36" s="76"/>
      <c r="AH36" s="76">
        <v>0</v>
      </c>
      <c r="AI36" s="76"/>
      <c r="AJ36" s="122" t="s">
        <v>408</v>
      </c>
      <c r="AK36" s="153"/>
      <c r="AL36" s="139" t="s">
        <v>1628</v>
      </c>
      <c r="AM36" s="431" t="str">
        <f>VLOOKUP($Q36,Resultados!$A$1:$C$49,3,FALSE)</f>
        <v>ELEVADA</v>
      </c>
    </row>
    <row r="37" spans="1:39" customFormat="1" ht="51">
      <c r="A37" s="372">
        <v>201</v>
      </c>
      <c r="B37" s="85">
        <v>45239</v>
      </c>
      <c r="C37" s="326" t="s">
        <v>3063</v>
      </c>
      <c r="D37" s="79" t="s">
        <v>708</v>
      </c>
      <c r="E37" s="84" t="s">
        <v>715</v>
      </c>
      <c r="F37" s="74">
        <v>1</v>
      </c>
      <c r="G37" s="74" t="s">
        <v>325</v>
      </c>
      <c r="H37" s="305">
        <v>45265</v>
      </c>
      <c r="I37" s="85"/>
      <c r="J37" s="85"/>
      <c r="K37" s="74" t="s">
        <v>1480</v>
      </c>
      <c r="L37" s="79" t="s">
        <v>75</v>
      </c>
      <c r="M37" s="79" t="s">
        <v>60</v>
      </c>
      <c r="N37" s="172" t="s">
        <v>1817</v>
      </c>
      <c r="O37" s="24" t="str">
        <f>IF(Q37=" _","NO","SI")</f>
        <v>SI</v>
      </c>
      <c r="P37" s="24" t="str">
        <f ca="1">IF(color_Celda(E37)=12106214,"ROSA",IF(color_Celda(E37)=65535,"AMARILLO",IF(color_Celda(E37)=5296274,"VERDE",IF(color_Celda(E37)=16777215,"BLANCO","NO SE"))))</f>
        <v>ROSA</v>
      </c>
      <c r="Q37" s="79" t="s">
        <v>1162</v>
      </c>
      <c r="R37" s="4" t="str">
        <f>VLOOKUP($Q37,Resultados!$A$1:$B$49,2,FALSE)</f>
        <v>ELEVADA A JUICIO</v>
      </c>
      <c r="S37" s="79"/>
      <c r="T37" s="86"/>
      <c r="U37" s="86"/>
      <c r="V37" s="74"/>
      <c r="W37" s="74"/>
      <c r="X37" s="74"/>
      <c r="Y37" s="64"/>
      <c r="Z37" s="74"/>
      <c r="AA37" s="74"/>
      <c r="AB37" s="74"/>
      <c r="AC37" s="87">
        <v>45246</v>
      </c>
      <c r="AD37" s="87">
        <v>45252</v>
      </c>
      <c r="AE37" s="140">
        <v>0</v>
      </c>
      <c r="AF37" s="81">
        <v>45253</v>
      </c>
      <c r="AG37" s="76"/>
      <c r="AH37" s="76">
        <v>0</v>
      </c>
      <c r="AI37" s="76"/>
      <c r="AJ37" s="122" t="s">
        <v>408</v>
      </c>
      <c r="AK37" s="138"/>
      <c r="AL37" s="139" t="s">
        <v>1628</v>
      </c>
      <c r="AM37" s="431" t="str">
        <f>VLOOKUP($Q37,Resultados!$A$1:$C$49,3,FALSE)</f>
        <v>ELEVADA</v>
      </c>
    </row>
    <row r="38" spans="1:39" customFormat="1" ht="114.75">
      <c r="A38" s="372">
        <v>28</v>
      </c>
      <c r="B38" s="85">
        <v>45219</v>
      </c>
      <c r="C38" s="326" t="s">
        <v>1050</v>
      </c>
      <c r="D38" s="79" t="s">
        <v>411</v>
      </c>
      <c r="E38" s="84" t="s">
        <v>449</v>
      </c>
      <c r="F38" s="74">
        <v>1</v>
      </c>
      <c r="G38" s="74" t="s">
        <v>325</v>
      </c>
      <c r="H38" s="305">
        <v>45266</v>
      </c>
      <c r="I38" s="85"/>
      <c r="J38" s="85"/>
      <c r="K38" s="74" t="s">
        <v>1480</v>
      </c>
      <c r="L38" s="79" t="s">
        <v>86</v>
      </c>
      <c r="M38" s="79" t="s">
        <v>448</v>
      </c>
      <c r="N38" s="172" t="s">
        <v>1361</v>
      </c>
      <c r="O38" s="24" t="str">
        <f>IF(Q38=" _","NO","SI")</f>
        <v>SI</v>
      </c>
      <c r="P38" s="24" t="str">
        <f ca="1">IF(color_Celda(E38)=12106214,"ROSA",IF(color_Celda(E38)=65535,"AMARILLO",IF(color_Celda(E38)=5296274,"VERDE",IF(color_Celda(E38)=16777215,"BLANCO","NO SE"))))</f>
        <v>ROSA</v>
      </c>
      <c r="Q38" s="79" t="s">
        <v>1162</v>
      </c>
      <c r="R38" s="4" t="str">
        <f>VLOOKUP($Q38,Resultados!$A$1:$B$49,2,FALSE)</f>
        <v>ELEVADA A JUICIO</v>
      </c>
      <c r="S38" s="79"/>
      <c r="T38" s="86"/>
      <c r="U38" s="86"/>
      <c r="V38" s="74"/>
      <c r="W38" s="74"/>
      <c r="X38" s="74"/>
      <c r="Y38" s="64"/>
      <c r="Z38" s="74"/>
      <c r="AA38" s="74"/>
      <c r="AB38" s="74"/>
      <c r="AC38" s="87">
        <v>45225</v>
      </c>
      <c r="AD38" s="87">
        <v>45226</v>
      </c>
      <c r="AE38" s="140"/>
      <c r="AF38" s="81">
        <v>45232</v>
      </c>
      <c r="AG38" s="76"/>
      <c r="AH38" s="76">
        <v>0</v>
      </c>
      <c r="AI38" s="76"/>
      <c r="AJ38" s="122" t="s">
        <v>408</v>
      </c>
      <c r="AK38" s="138"/>
      <c r="AL38" s="139" t="s">
        <v>1628</v>
      </c>
      <c r="AM38" s="431" t="str">
        <f>VLOOKUP($Q38,Resultados!$A$1:$C$49,3,FALSE)</f>
        <v>ELEVADA</v>
      </c>
    </row>
    <row r="39" spans="1:39" customFormat="1" ht="76.5">
      <c r="A39" s="372">
        <v>48</v>
      </c>
      <c r="B39" s="85">
        <v>45224</v>
      </c>
      <c r="C39" s="326" t="s">
        <v>16</v>
      </c>
      <c r="D39" s="79" t="s">
        <v>309</v>
      </c>
      <c r="E39" s="84" t="s">
        <v>480</v>
      </c>
      <c r="F39" s="74">
        <v>7</v>
      </c>
      <c r="G39" s="74" t="s">
        <v>326</v>
      </c>
      <c r="H39" s="305">
        <v>45266</v>
      </c>
      <c r="I39" s="85"/>
      <c r="J39" s="85"/>
      <c r="K39" s="74" t="s">
        <v>1480</v>
      </c>
      <c r="L39" s="79" t="s">
        <v>2170</v>
      </c>
      <c r="M39" s="367" t="s">
        <v>272</v>
      </c>
      <c r="N39" s="174" t="s">
        <v>1723</v>
      </c>
      <c r="O39" s="24" t="str">
        <f>IF(Q39=" _","NO","SI")</f>
        <v>SI</v>
      </c>
      <c r="P39" s="24" t="str">
        <f ca="1">IF(color_Celda(E39)=12106214,"ROSA",IF(color_Celda(E39)=65535,"AMARILLO",IF(color_Celda(E39)=5296274,"VERDE",IF(color_Celda(E39)=16777215,"BLANCO","NO SE"))))</f>
        <v>ROSA</v>
      </c>
      <c r="Q39" s="79" t="s">
        <v>1162</v>
      </c>
      <c r="R39" s="4" t="str">
        <f>VLOOKUP($Q39,Resultados!$A$1:$B$49,2,FALSE)</f>
        <v>ELEVADA A JUICIO</v>
      </c>
      <c r="S39" s="79"/>
      <c r="T39" s="86"/>
      <c r="U39" s="86"/>
      <c r="V39" s="74"/>
      <c r="W39" s="74"/>
      <c r="X39" s="74"/>
      <c r="Y39" s="64"/>
      <c r="Z39" s="74"/>
      <c r="AA39" s="74"/>
      <c r="AB39" s="74"/>
      <c r="AC39" s="74"/>
      <c r="AD39" s="74"/>
      <c r="AE39" s="140"/>
      <c r="AF39" s="81">
        <v>7</v>
      </c>
      <c r="AG39" s="76"/>
      <c r="AH39" s="76">
        <v>0</v>
      </c>
      <c r="AI39" s="76"/>
      <c r="AJ39" s="122" t="s">
        <v>408</v>
      </c>
      <c r="AK39" s="138"/>
      <c r="AL39" s="139" t="s">
        <v>1628</v>
      </c>
      <c r="AM39" s="431" t="str">
        <f>VLOOKUP($Q39,Resultados!$A$1:$C$49,3,FALSE)</f>
        <v>ELEVADA</v>
      </c>
    </row>
    <row r="40" spans="1:39" customFormat="1" ht="51">
      <c r="A40" s="372">
        <v>136</v>
      </c>
      <c r="B40" s="85">
        <v>45233</v>
      </c>
      <c r="C40" s="326" t="s">
        <v>1841</v>
      </c>
      <c r="D40" s="79" t="s">
        <v>608</v>
      </c>
      <c r="E40" s="88" t="s">
        <v>609</v>
      </c>
      <c r="F40" s="74">
        <v>7</v>
      </c>
      <c r="G40" s="74" t="s">
        <v>10</v>
      </c>
      <c r="H40" s="305">
        <v>45266</v>
      </c>
      <c r="I40" s="85"/>
      <c r="J40" s="85"/>
      <c r="K40" s="74" t="s">
        <v>1480</v>
      </c>
      <c r="L40" s="79" t="s">
        <v>79</v>
      </c>
      <c r="M40" s="79"/>
      <c r="N40" s="178" t="s">
        <v>2579</v>
      </c>
      <c r="O40" s="24" t="str">
        <f>IF(Q40=" _","NO","SI")</f>
        <v>SI</v>
      </c>
      <c r="P40" s="24" t="str">
        <f ca="1">IF(color_Celda(E40)=12106214,"ROSA",IF(color_Celda(E40)=65535,"AMARILLO",IF(color_Celda(E40)=5296274,"VERDE",IF(color_Celda(E40)=16777215,"BLANCO","NO SE"))))</f>
        <v>ROSA</v>
      </c>
      <c r="Q40" s="79" t="s">
        <v>1162</v>
      </c>
      <c r="R40" s="4" t="str">
        <f>VLOOKUP($Q40,Resultados!$A$1:$B$49,2,FALSE)</f>
        <v>ELEVADA A JUICIO</v>
      </c>
      <c r="S40" s="79"/>
      <c r="T40" s="86"/>
      <c r="U40" s="86"/>
      <c r="V40" s="74"/>
      <c r="W40" s="74"/>
      <c r="X40" s="74"/>
      <c r="Y40" s="64"/>
      <c r="Z40" s="74"/>
      <c r="AA40" s="74"/>
      <c r="AB40" s="74"/>
      <c r="AC40" s="74"/>
      <c r="AD40" s="74"/>
      <c r="AE40" s="140"/>
      <c r="AF40" s="81">
        <v>7</v>
      </c>
      <c r="AG40" s="76"/>
      <c r="AH40" s="76">
        <v>0</v>
      </c>
      <c r="AI40" s="76"/>
      <c r="AJ40" s="122" t="s">
        <v>988</v>
      </c>
      <c r="AK40" s="138"/>
      <c r="AL40" s="139" t="s">
        <v>1628</v>
      </c>
      <c r="AM40" s="431" t="str">
        <f>VLOOKUP($Q40,Resultados!$A$1:$C$49,3,FALSE)</f>
        <v>ELEVADA</v>
      </c>
    </row>
    <row r="41" spans="1:39" customFormat="1" ht="140.25">
      <c r="A41" s="372">
        <v>10</v>
      </c>
      <c r="B41" s="82">
        <v>45217</v>
      </c>
      <c r="C41" s="325" t="s">
        <v>378</v>
      </c>
      <c r="D41" s="79" t="s">
        <v>379</v>
      </c>
      <c r="E41" s="84" t="s">
        <v>426</v>
      </c>
      <c r="F41" s="79">
        <v>1</v>
      </c>
      <c r="G41" s="79" t="s">
        <v>325</v>
      </c>
      <c r="H41" s="306">
        <v>45267</v>
      </c>
      <c r="I41" s="89"/>
      <c r="J41" s="82"/>
      <c r="K41" s="79" t="s">
        <v>1480</v>
      </c>
      <c r="L41" s="79" t="s">
        <v>2167</v>
      </c>
      <c r="M41" s="79" t="s">
        <v>171</v>
      </c>
      <c r="N41" s="172" t="s">
        <v>1222</v>
      </c>
      <c r="O41" s="24" t="str">
        <f>IF(Q41=" _","NO","SI")</f>
        <v>SI</v>
      </c>
      <c r="P41" s="24" t="str">
        <f ca="1">IF(color_Celda(E41)=12106214,"ROSA",IF(color_Celda(E41)=65535,"AMARILLO",IF(color_Celda(E41)=5296274,"VERDE",IF(color_Celda(E41)=16777215,"BLANCO","NO SE"))))</f>
        <v>ROSA</v>
      </c>
      <c r="Q41" s="79" t="s">
        <v>1162</v>
      </c>
      <c r="R41" s="4" t="str">
        <f>VLOOKUP($Q41,Resultados!$A$1:$B$49,2,FALSE)</f>
        <v>ELEVADA A JUICIO</v>
      </c>
      <c r="S41" s="89"/>
      <c r="T41" s="86"/>
      <c r="U41" s="86"/>
      <c r="V41" s="79"/>
      <c r="W41" s="89"/>
      <c r="X41" s="79"/>
      <c r="Y41" s="64"/>
      <c r="Z41" s="90" t="s">
        <v>64</v>
      </c>
      <c r="AA41" s="94"/>
      <c r="AB41" s="90" t="s">
        <v>136</v>
      </c>
      <c r="AC41" s="85">
        <v>45237</v>
      </c>
      <c r="AD41" s="85">
        <v>45237</v>
      </c>
      <c r="AE41" s="140">
        <v>45225</v>
      </c>
      <c r="AF41" s="81">
        <v>45244</v>
      </c>
      <c r="AG41" s="76" t="s">
        <v>1485</v>
      </c>
      <c r="AH41" s="76">
        <v>0</v>
      </c>
      <c r="AI41" s="76"/>
      <c r="AJ41" s="122" t="s">
        <v>408</v>
      </c>
      <c r="AK41" s="138"/>
      <c r="AL41" s="139" t="s">
        <v>1628</v>
      </c>
      <c r="AM41" s="431" t="str">
        <f>VLOOKUP($Q41,Resultados!$A$1:$C$49,3,FALSE)</f>
        <v>ELEVADA</v>
      </c>
    </row>
    <row r="42" spans="1:39" customFormat="1" ht="76.5">
      <c r="A42" s="372">
        <v>23</v>
      </c>
      <c r="B42" s="85">
        <v>45218</v>
      </c>
      <c r="C42" s="326">
        <v>0.42152777777777778</v>
      </c>
      <c r="D42" s="79" t="s">
        <v>266</v>
      </c>
      <c r="E42" s="84" t="s">
        <v>438</v>
      </c>
      <c r="F42" s="74">
        <v>2</v>
      </c>
      <c r="G42" s="74" t="s">
        <v>1370</v>
      </c>
      <c r="H42" s="305">
        <v>45267</v>
      </c>
      <c r="I42" s="85"/>
      <c r="J42" s="85"/>
      <c r="K42" s="74" t="s">
        <v>1480</v>
      </c>
      <c r="L42" s="79" t="s">
        <v>87</v>
      </c>
      <c r="M42" s="79"/>
      <c r="N42" s="172" t="s">
        <v>1373</v>
      </c>
      <c r="O42" s="24" t="str">
        <f>IF(Q42=" _","NO","SI")</f>
        <v>SI</v>
      </c>
      <c r="P42" s="24" t="str">
        <f ca="1">IF(color_Celda(E42)=12106214,"ROSA",IF(color_Celda(E42)=65535,"AMARILLO",IF(color_Celda(E42)=5296274,"VERDE",IF(color_Celda(E42)=16777215,"BLANCO","NO SE"))))</f>
        <v>ROSA</v>
      </c>
      <c r="Q42" s="79" t="s">
        <v>1162</v>
      </c>
      <c r="R42" s="4" t="str">
        <f>VLOOKUP($Q42,Resultados!$A$1:$B$49,2,FALSE)</f>
        <v>ELEVADA A JUICIO</v>
      </c>
      <c r="S42" s="79"/>
      <c r="T42" s="86"/>
      <c r="U42" s="86"/>
      <c r="V42" s="74"/>
      <c r="W42" s="74"/>
      <c r="X42" s="74"/>
      <c r="Y42" s="64"/>
      <c r="Z42" s="90" t="s">
        <v>68</v>
      </c>
      <c r="AA42" s="74"/>
      <c r="AB42" s="90" t="s">
        <v>137</v>
      </c>
      <c r="AC42" s="74"/>
      <c r="AD42" s="74"/>
      <c r="AE42" s="140"/>
      <c r="AF42" s="81">
        <v>7</v>
      </c>
      <c r="AG42" s="76"/>
      <c r="AH42" s="76">
        <v>0</v>
      </c>
      <c r="AI42" s="76"/>
      <c r="AJ42" s="122" t="s">
        <v>408</v>
      </c>
      <c r="AK42" s="130"/>
      <c r="AL42" s="139" t="s">
        <v>1628</v>
      </c>
      <c r="AM42" s="431" t="str">
        <f>VLOOKUP($Q42,Resultados!$A$1:$C$49,3,FALSE)</f>
        <v>ELEVADA</v>
      </c>
    </row>
    <row r="43" spans="1:39" customFormat="1" ht="63.75">
      <c r="A43" s="372">
        <v>49</v>
      </c>
      <c r="B43" s="85">
        <v>45224</v>
      </c>
      <c r="C43" s="326" t="s">
        <v>16</v>
      </c>
      <c r="D43" s="79" t="s">
        <v>317</v>
      </c>
      <c r="E43" s="84" t="s">
        <v>482</v>
      </c>
      <c r="F43" s="74">
        <v>7</v>
      </c>
      <c r="G43" s="74" t="s">
        <v>10</v>
      </c>
      <c r="H43" s="305">
        <v>45267</v>
      </c>
      <c r="I43" s="85"/>
      <c r="J43" s="85"/>
      <c r="K43" s="74" t="s">
        <v>1480</v>
      </c>
      <c r="L43" s="79" t="s">
        <v>36</v>
      </c>
      <c r="M43" s="104" t="s">
        <v>281</v>
      </c>
      <c r="N43" s="105" t="s">
        <v>1724</v>
      </c>
      <c r="O43" s="24" t="str">
        <f>IF(Q43=" _","NO","SI")</f>
        <v>SI</v>
      </c>
      <c r="P43" s="24" t="str">
        <f ca="1">IF(color_Celda(E43)=12106214,"ROSA",IF(color_Celda(E43)=65535,"AMARILLO",IF(color_Celda(E43)=5296274,"VERDE",IF(color_Celda(E43)=16777215,"BLANCO","NO SE"))))</f>
        <v>ROSA</v>
      </c>
      <c r="Q43" s="79" t="s">
        <v>1162</v>
      </c>
      <c r="R43" s="4" t="str">
        <f>VLOOKUP($Q43,Resultados!$A$1:$B$49,2,FALSE)</f>
        <v>ELEVADA A JUICIO</v>
      </c>
      <c r="S43" s="79"/>
      <c r="T43" s="86"/>
      <c r="U43" s="86"/>
      <c r="V43" s="74"/>
      <c r="W43" s="74"/>
      <c r="X43" s="74"/>
      <c r="Y43" s="64"/>
      <c r="Z43" s="74"/>
      <c r="AA43" s="74"/>
      <c r="AB43" s="74"/>
      <c r="AC43" s="74"/>
      <c r="AD43" s="74"/>
      <c r="AE43" s="140"/>
      <c r="AF43" s="81">
        <v>7</v>
      </c>
      <c r="AG43" s="76"/>
      <c r="AH43" s="76">
        <v>0</v>
      </c>
      <c r="AI43" s="76"/>
      <c r="AJ43" s="122" t="s">
        <v>408</v>
      </c>
      <c r="AK43" s="138"/>
      <c r="AL43" s="139" t="s">
        <v>1628</v>
      </c>
      <c r="AM43" s="431" t="str">
        <f>VLOOKUP($Q43,Resultados!$A$1:$C$49,3,FALSE)</f>
        <v>ELEVADA</v>
      </c>
    </row>
    <row r="44" spans="1:39" customFormat="1" ht="38.25">
      <c r="A44" s="372">
        <v>72</v>
      </c>
      <c r="B44" s="85">
        <v>45230</v>
      </c>
      <c r="C44" s="326" t="s">
        <v>12</v>
      </c>
      <c r="D44" s="79" t="s">
        <v>510</v>
      </c>
      <c r="E44" s="88" t="s">
        <v>511</v>
      </c>
      <c r="F44" s="74">
        <v>2</v>
      </c>
      <c r="G44" s="74" t="s">
        <v>325</v>
      </c>
      <c r="H44" s="305">
        <v>45267</v>
      </c>
      <c r="I44" s="85"/>
      <c r="J44" s="85"/>
      <c r="K44" s="74" t="s">
        <v>1480</v>
      </c>
      <c r="L44" s="79" t="s">
        <v>83</v>
      </c>
      <c r="M44" s="79" t="s">
        <v>259</v>
      </c>
      <c r="N44" s="174" t="s">
        <v>2183</v>
      </c>
      <c r="O44" s="24" t="str">
        <f>IF(Q44=" _","NO","SI")</f>
        <v>SI</v>
      </c>
      <c r="P44" s="24" t="str">
        <f ca="1">IF(color_Celda(E44)=12106214,"ROSA",IF(color_Celda(E44)=65535,"AMARILLO",IF(color_Celda(E44)=5296274,"VERDE",IF(color_Celda(E44)=16777215,"BLANCO","NO SE"))))</f>
        <v>ROSA</v>
      </c>
      <c r="Q44" s="79" t="s">
        <v>1162</v>
      </c>
      <c r="R44" s="4" t="str">
        <f>VLOOKUP($Q44,Resultados!$A$1:$B$49,2,FALSE)</f>
        <v>ELEVADA A JUICIO</v>
      </c>
      <c r="S44" s="79"/>
      <c r="T44" s="86"/>
      <c r="U44" s="86"/>
      <c r="V44" s="74"/>
      <c r="W44" s="74"/>
      <c r="X44" s="74"/>
      <c r="Y44" s="64"/>
      <c r="Z44" s="74"/>
      <c r="AA44" s="74"/>
      <c r="AB44" s="74"/>
      <c r="AC44" s="87">
        <v>45229</v>
      </c>
      <c r="AD44" s="87">
        <v>45225</v>
      </c>
      <c r="AE44" s="140">
        <v>0</v>
      </c>
      <c r="AF44" s="81">
        <v>45236</v>
      </c>
      <c r="AG44" s="76"/>
      <c r="AH44" s="76">
        <v>0</v>
      </c>
      <c r="AI44" s="76"/>
      <c r="AJ44" s="122" t="s">
        <v>988</v>
      </c>
      <c r="AK44" s="153"/>
      <c r="AL44" s="139" t="s">
        <v>1628</v>
      </c>
      <c r="AM44" s="431" t="str">
        <f>VLOOKUP($Q44,Resultados!$A$1:$C$49,3,FALSE)</f>
        <v>ELEVADA</v>
      </c>
    </row>
    <row r="45" spans="1:39" customFormat="1" ht="89.25">
      <c r="A45" s="372">
        <v>216</v>
      </c>
      <c r="B45" s="85">
        <v>45240</v>
      </c>
      <c r="C45" s="326" t="s">
        <v>1497</v>
      </c>
      <c r="D45" s="79" t="s">
        <v>298</v>
      </c>
      <c r="E45" s="84" t="s">
        <v>811</v>
      </c>
      <c r="F45" s="74">
        <v>7</v>
      </c>
      <c r="G45" s="74" t="s">
        <v>10</v>
      </c>
      <c r="H45" s="305">
        <v>45267</v>
      </c>
      <c r="I45" s="85"/>
      <c r="J45" s="85"/>
      <c r="K45" s="74" t="s">
        <v>1480</v>
      </c>
      <c r="L45" s="79" t="s">
        <v>2172</v>
      </c>
      <c r="M45" s="79" t="s">
        <v>61</v>
      </c>
      <c r="N45" s="174" t="s">
        <v>1734</v>
      </c>
      <c r="O45" s="24" t="str">
        <f>IF(Q45=" _","NO","SI")</f>
        <v>SI</v>
      </c>
      <c r="P45" s="24" t="str">
        <f ca="1">IF(color_Celda(E45)=12106214,"ROSA",IF(color_Celda(E45)=65535,"AMARILLO",IF(color_Celda(E45)=5296274,"VERDE",IF(color_Celda(E45)=16777215,"BLANCO","NO SE"))))</f>
        <v>ROSA</v>
      </c>
      <c r="Q45" s="79" t="s">
        <v>1162</v>
      </c>
      <c r="R45" s="4" t="str">
        <f>VLOOKUP($Q45,Resultados!$A$1:$B$49,2,FALSE)</f>
        <v>ELEVADA A JUICIO</v>
      </c>
      <c r="S45" s="79"/>
      <c r="T45" s="86"/>
      <c r="U45" s="86"/>
      <c r="V45" s="74"/>
      <c r="W45" s="74"/>
      <c r="X45" s="74"/>
      <c r="Y45" s="64"/>
      <c r="Z45" s="74"/>
      <c r="AA45" s="74"/>
      <c r="AB45" s="74"/>
      <c r="AC45" s="74"/>
      <c r="AD45" s="74"/>
      <c r="AE45" s="140"/>
      <c r="AF45" s="81">
        <v>7</v>
      </c>
      <c r="AG45" s="76"/>
      <c r="AH45" s="76">
        <v>0</v>
      </c>
      <c r="AI45" s="76"/>
      <c r="AJ45" s="122" t="s">
        <v>408</v>
      </c>
      <c r="AK45" s="138"/>
      <c r="AL45" s="139" t="s">
        <v>1628</v>
      </c>
      <c r="AM45" s="431" t="str">
        <f>VLOOKUP($Q45,Resultados!$A$1:$C$49,3,FALSE)</f>
        <v>ELEVADA</v>
      </c>
    </row>
    <row r="46" spans="1:39" customFormat="1" ht="63.75">
      <c r="A46" s="372">
        <v>219</v>
      </c>
      <c r="B46" s="85">
        <v>45243</v>
      </c>
      <c r="C46" s="326" t="s">
        <v>3064</v>
      </c>
      <c r="D46" s="79" t="s">
        <v>331</v>
      </c>
      <c r="E46" s="84" t="s">
        <v>750</v>
      </c>
      <c r="F46" s="74">
        <v>1</v>
      </c>
      <c r="G46" s="74" t="s">
        <v>1370</v>
      </c>
      <c r="H46" s="305">
        <v>45267</v>
      </c>
      <c r="I46" s="85"/>
      <c r="J46" s="85"/>
      <c r="K46" s="74" t="s">
        <v>1480</v>
      </c>
      <c r="L46" s="79" t="s">
        <v>83</v>
      </c>
      <c r="M46" s="79" t="s">
        <v>59</v>
      </c>
      <c r="N46" s="174" t="s">
        <v>1380</v>
      </c>
      <c r="O46" s="24" t="str">
        <f>IF(Q46=" _","NO","SI")</f>
        <v>SI</v>
      </c>
      <c r="P46" s="24" t="str">
        <f ca="1">IF(color_Celda(E46)=12106214,"ROSA",IF(color_Celda(E46)=65535,"AMARILLO",IF(color_Celda(E46)=5296274,"VERDE",IF(color_Celda(E46)=16777215,"BLANCO","NO SE"))))</f>
        <v>ROSA</v>
      </c>
      <c r="Q46" s="79" t="s">
        <v>1162</v>
      </c>
      <c r="R46" s="4" t="str">
        <f>VLOOKUP($Q46,Resultados!$A$1:$B$49,2,FALSE)</f>
        <v>ELEVADA A JUICIO</v>
      </c>
      <c r="S46" s="79"/>
      <c r="T46" s="86"/>
      <c r="U46" s="86"/>
      <c r="V46" s="74"/>
      <c r="W46" s="74"/>
      <c r="X46" s="74"/>
      <c r="Y46" s="64"/>
      <c r="Z46" s="74"/>
      <c r="AA46" s="74"/>
      <c r="AB46" s="74"/>
      <c r="AC46" s="74"/>
      <c r="AD46" s="74"/>
      <c r="AE46" s="140"/>
      <c r="AF46" s="81">
        <v>7</v>
      </c>
      <c r="AG46" s="76"/>
      <c r="AH46" s="76">
        <v>0</v>
      </c>
      <c r="AI46" s="76"/>
      <c r="AJ46" s="122" t="s">
        <v>408</v>
      </c>
      <c r="AK46" s="138"/>
      <c r="AL46" s="139" t="s">
        <v>1628</v>
      </c>
      <c r="AM46" s="431" t="str">
        <f>VLOOKUP($Q46,Resultados!$A$1:$C$49,3,FALSE)</f>
        <v>ELEVADA</v>
      </c>
    </row>
    <row r="47" spans="1:39" customFormat="1" ht="153">
      <c r="A47" s="372">
        <v>336</v>
      </c>
      <c r="B47" s="85">
        <v>45254</v>
      </c>
      <c r="C47" s="326" t="s">
        <v>1231</v>
      </c>
      <c r="D47" s="79" t="s">
        <v>196</v>
      </c>
      <c r="E47" s="84" t="s">
        <v>977</v>
      </c>
      <c r="F47" s="74">
        <v>3</v>
      </c>
      <c r="G47" s="74" t="s">
        <v>326</v>
      </c>
      <c r="H47" s="305">
        <v>45267</v>
      </c>
      <c r="I47" s="85"/>
      <c r="J47" s="85"/>
      <c r="K47" s="74" t="s">
        <v>1480</v>
      </c>
      <c r="L47" s="79" t="s">
        <v>72</v>
      </c>
      <c r="M47" s="77" t="s">
        <v>307</v>
      </c>
      <c r="N47" s="105" t="s">
        <v>1738</v>
      </c>
      <c r="O47" s="24" t="str">
        <f>IF(Q47=" _","NO","SI")</f>
        <v>SI</v>
      </c>
      <c r="P47" s="24" t="str">
        <f ca="1">IF(color_Celda(E47)=12106214,"ROSA",IF(color_Celda(E47)=65535,"AMARILLO",IF(color_Celda(E47)=5296274,"VERDE",IF(color_Celda(E47)=16777215,"BLANCO","NO SE"))))</f>
        <v>ROSA</v>
      </c>
      <c r="Q47" s="79" t="s">
        <v>1162</v>
      </c>
      <c r="R47" s="4" t="str">
        <f>VLOOKUP($Q47,Resultados!$A$1:$B$49,2,FALSE)</f>
        <v>ELEVADA A JUICIO</v>
      </c>
      <c r="S47" s="79"/>
      <c r="T47" s="86"/>
      <c r="U47" s="86"/>
      <c r="V47" s="74"/>
      <c r="W47" s="74"/>
      <c r="X47" s="74"/>
      <c r="Y47" s="64"/>
      <c r="Z47" s="74"/>
      <c r="AA47" s="74"/>
      <c r="AB47" s="74"/>
      <c r="AC47" s="74"/>
      <c r="AD47" s="74"/>
      <c r="AE47" s="140"/>
      <c r="AF47" s="81">
        <v>7</v>
      </c>
      <c r="AG47" s="76"/>
      <c r="AH47" s="76">
        <v>0</v>
      </c>
      <c r="AI47" s="76"/>
      <c r="AJ47" s="122" t="s">
        <v>408</v>
      </c>
      <c r="AK47" s="130"/>
      <c r="AL47" s="139" t="s">
        <v>1628</v>
      </c>
      <c r="AM47" s="431" t="str">
        <f>VLOOKUP($Q47,Resultados!$A$1:$C$49,3,FALSE)</f>
        <v>ELEVADA</v>
      </c>
    </row>
    <row r="48" spans="1:39" customFormat="1" ht="204">
      <c r="A48" s="372">
        <v>461</v>
      </c>
      <c r="B48" s="85">
        <v>45273</v>
      </c>
      <c r="C48" s="325" t="s">
        <v>12</v>
      </c>
      <c r="D48" s="79" t="s">
        <v>989</v>
      </c>
      <c r="E48" s="84" t="s">
        <v>990</v>
      </c>
      <c r="F48" s="74">
        <v>6</v>
      </c>
      <c r="G48" s="74" t="s">
        <v>10</v>
      </c>
      <c r="H48" s="305">
        <v>45269</v>
      </c>
      <c r="I48" s="85"/>
      <c r="J48" s="85"/>
      <c r="K48" s="74" t="s">
        <v>1480</v>
      </c>
      <c r="L48" s="79" t="s">
        <v>248</v>
      </c>
      <c r="M48" s="405"/>
      <c r="N48" s="174" t="s">
        <v>1739</v>
      </c>
      <c r="O48" s="24" t="str">
        <f>IF(Q48=" _","NO","SI")</f>
        <v>SI</v>
      </c>
      <c r="P48" s="24" t="str">
        <f ca="1">IF(color_Celda(E48)=12106214,"ROSA",IF(color_Celda(E48)=65535,"AMARILLO",IF(color_Celda(E48)=5296274,"VERDE",IF(color_Celda(E48)=16777215,"BLANCO","NO SE"))))</f>
        <v>ROSA</v>
      </c>
      <c r="Q48" s="79" t="s">
        <v>1162</v>
      </c>
      <c r="R48" s="4" t="str">
        <f>VLOOKUP($Q48,Resultados!$A$1:$B$49,2,FALSE)</f>
        <v>ELEVADA A JUICIO</v>
      </c>
      <c r="S48" s="79"/>
      <c r="T48" s="86"/>
      <c r="U48" s="86"/>
      <c r="V48" s="74"/>
      <c r="W48" s="74"/>
      <c r="X48" s="74"/>
      <c r="Y48" s="64"/>
      <c r="Z48" s="74"/>
      <c r="AA48" s="74"/>
      <c r="AB48" s="74"/>
      <c r="AC48" s="74"/>
      <c r="AD48" s="74"/>
      <c r="AE48" s="140"/>
      <c r="AF48" s="76">
        <v>7</v>
      </c>
      <c r="AG48" s="76"/>
      <c r="AH48" s="76">
        <v>0</v>
      </c>
      <c r="AI48" s="76"/>
      <c r="AJ48" s="122" t="s">
        <v>408</v>
      </c>
      <c r="AK48" s="138"/>
      <c r="AL48" s="139" t="s">
        <v>1628</v>
      </c>
      <c r="AM48" s="431" t="str">
        <f>VLOOKUP($Q48,Resultados!$A$1:$C$49,3,FALSE)</f>
        <v>ELEVADA</v>
      </c>
    </row>
    <row r="49" spans="1:39" customFormat="1" ht="127.5">
      <c r="A49" s="372">
        <v>5</v>
      </c>
      <c r="B49" s="82">
        <v>45216</v>
      </c>
      <c r="C49" s="325" t="s">
        <v>1652</v>
      </c>
      <c r="D49" s="79" t="s">
        <v>390</v>
      </c>
      <c r="E49" s="84" t="s">
        <v>452</v>
      </c>
      <c r="F49" s="79">
        <v>1</v>
      </c>
      <c r="G49" s="79" t="s">
        <v>1370</v>
      </c>
      <c r="H49" s="306">
        <v>45271</v>
      </c>
      <c r="I49" s="89"/>
      <c r="J49" s="82"/>
      <c r="K49" s="79" t="s">
        <v>1480</v>
      </c>
      <c r="L49" s="79" t="s">
        <v>83</v>
      </c>
      <c r="M49" s="79" t="s">
        <v>60</v>
      </c>
      <c r="N49" s="172" t="s">
        <v>1372</v>
      </c>
      <c r="O49" s="24" t="str">
        <f>IF(Q49=" _","NO","SI")</f>
        <v>SI</v>
      </c>
      <c r="P49" s="24" t="str">
        <f ca="1">IF(color_Celda(E49)=12106214,"ROSA",IF(color_Celda(E49)=65535,"AMARILLO",IF(color_Celda(E49)=5296274,"VERDE",IF(color_Celda(E49)=16777215,"BLANCO","NO SE"))))</f>
        <v>ROSA</v>
      </c>
      <c r="Q49" s="79" t="s">
        <v>1162</v>
      </c>
      <c r="R49" s="4" t="str">
        <f>VLOOKUP($Q49,Resultados!$A$1:$B$49,2,FALSE)</f>
        <v>ELEVADA A JUICIO</v>
      </c>
      <c r="S49" s="79" t="s">
        <v>367</v>
      </c>
      <c r="T49" s="86"/>
      <c r="U49" s="86"/>
      <c r="V49" s="79"/>
      <c r="W49" s="79"/>
      <c r="X49" s="79"/>
      <c r="Y49" s="64"/>
      <c r="Z49" s="90" t="s">
        <v>64</v>
      </c>
      <c r="AA49" s="86"/>
      <c r="AB49" s="90" t="s">
        <v>136</v>
      </c>
      <c r="AC49" s="85"/>
      <c r="AD49" s="85"/>
      <c r="AE49" s="140"/>
      <c r="AF49" s="81">
        <v>7</v>
      </c>
      <c r="AG49" s="76" t="s">
        <v>1485</v>
      </c>
      <c r="AH49" s="76">
        <v>0</v>
      </c>
      <c r="AI49" s="76"/>
      <c r="AJ49" s="122" t="s">
        <v>408</v>
      </c>
      <c r="AK49" s="130"/>
      <c r="AL49" s="139" t="s">
        <v>1628</v>
      </c>
      <c r="AM49" s="431" t="str">
        <f>VLOOKUP($Q49,Resultados!$A$1:$C$49,3,FALSE)</f>
        <v>ELEVADA</v>
      </c>
    </row>
    <row r="50" spans="1:39" customFormat="1" ht="51">
      <c r="A50" s="372">
        <v>39</v>
      </c>
      <c r="B50" s="85">
        <v>45222</v>
      </c>
      <c r="C50" s="326" t="s">
        <v>26</v>
      </c>
      <c r="D50" s="79" t="s">
        <v>218</v>
      </c>
      <c r="E50" s="84" t="s">
        <v>447</v>
      </c>
      <c r="F50" s="74">
        <v>4</v>
      </c>
      <c r="G50" s="74" t="s">
        <v>10</v>
      </c>
      <c r="H50" s="305">
        <v>45271</v>
      </c>
      <c r="I50" s="85"/>
      <c r="J50" s="85"/>
      <c r="K50" s="74" t="s">
        <v>1480</v>
      </c>
      <c r="L50" s="79" t="s">
        <v>74</v>
      </c>
      <c r="M50" s="77" t="s">
        <v>446</v>
      </c>
      <c r="N50" s="174" t="s">
        <v>1716</v>
      </c>
      <c r="O50" s="24" t="str">
        <f>IF(Q50=" _","NO","SI")</f>
        <v>SI</v>
      </c>
      <c r="P50" s="24" t="str">
        <f ca="1">IF(color_Celda(E50)=12106214,"ROSA",IF(color_Celda(E50)=65535,"AMARILLO",IF(color_Celda(E50)=5296274,"VERDE",IF(color_Celda(E50)=16777215,"BLANCO","NO SE"))))</f>
        <v>ROSA</v>
      </c>
      <c r="Q50" s="79" t="s">
        <v>1162</v>
      </c>
      <c r="R50" s="4" t="str">
        <f>VLOOKUP($Q50,Resultados!$A$1:$B$49,2,FALSE)</f>
        <v>ELEVADA A JUICIO</v>
      </c>
      <c r="S50" s="79"/>
      <c r="T50" s="86"/>
      <c r="U50" s="86"/>
      <c r="V50" s="74"/>
      <c r="W50" s="74"/>
      <c r="X50" s="74"/>
      <c r="Y50" s="64"/>
      <c r="Z50" s="74"/>
      <c r="AA50" s="74"/>
      <c r="AB50" s="74"/>
      <c r="AC50" s="74"/>
      <c r="AD50" s="74"/>
      <c r="AE50" s="140"/>
      <c r="AF50" s="81">
        <v>7</v>
      </c>
      <c r="AG50" s="76"/>
      <c r="AH50" s="76">
        <v>0</v>
      </c>
      <c r="AI50" s="76"/>
      <c r="AJ50" s="122" t="s">
        <v>408</v>
      </c>
      <c r="AK50" s="130"/>
      <c r="AL50" s="139" t="s">
        <v>1628</v>
      </c>
      <c r="AM50" s="431" t="str">
        <f>VLOOKUP($Q50,Resultados!$A$1:$C$49,3,FALSE)</f>
        <v>ELEVADA</v>
      </c>
    </row>
    <row r="51" spans="1:39" customFormat="1" ht="63.75">
      <c r="A51" s="372">
        <v>66</v>
      </c>
      <c r="B51" s="85">
        <v>45229</v>
      </c>
      <c r="C51" s="326" t="s">
        <v>1008</v>
      </c>
      <c r="D51" s="79" t="s">
        <v>498</v>
      </c>
      <c r="E51" s="84" t="s">
        <v>516</v>
      </c>
      <c r="F51" s="74">
        <v>2</v>
      </c>
      <c r="G51" s="74" t="s">
        <v>326</v>
      </c>
      <c r="H51" s="305">
        <v>45271</v>
      </c>
      <c r="I51" s="85"/>
      <c r="J51" s="85"/>
      <c r="K51" s="74" t="s">
        <v>1480</v>
      </c>
      <c r="L51" s="79" t="s">
        <v>25</v>
      </c>
      <c r="M51" s="79" t="s">
        <v>46</v>
      </c>
      <c r="N51" s="105" t="s">
        <v>1725</v>
      </c>
      <c r="O51" s="24" t="str">
        <f>IF(Q51=" _","NO","SI")</f>
        <v>SI</v>
      </c>
      <c r="P51" s="24" t="str">
        <f ca="1">IF(color_Celda(E51)=12106214,"ROSA",IF(color_Celda(E51)=65535,"AMARILLO",IF(color_Celda(E51)=5296274,"VERDE",IF(color_Celda(E51)=16777215,"BLANCO","NO SE"))))</f>
        <v>ROSA</v>
      </c>
      <c r="Q51" s="79" t="s">
        <v>1162</v>
      </c>
      <c r="R51" s="4" t="str">
        <f>VLOOKUP($Q51,Resultados!$A$1:$B$49,2,FALSE)</f>
        <v>ELEVADA A JUICIO</v>
      </c>
      <c r="S51" s="79"/>
      <c r="T51" s="86"/>
      <c r="U51" s="86"/>
      <c r="V51" s="74"/>
      <c r="W51" s="74"/>
      <c r="X51" s="74"/>
      <c r="Y51" s="64"/>
      <c r="Z51" s="74"/>
      <c r="AA51" s="74"/>
      <c r="AB51" s="74"/>
      <c r="AC51" s="74"/>
      <c r="AD51" s="74"/>
      <c r="AE51" s="140"/>
      <c r="AF51" s="81">
        <v>7</v>
      </c>
      <c r="AG51" s="76"/>
      <c r="AH51" s="76">
        <v>0</v>
      </c>
      <c r="AI51" s="76"/>
      <c r="AJ51" s="122" t="s">
        <v>408</v>
      </c>
      <c r="AK51" s="153"/>
      <c r="AL51" s="139" t="s">
        <v>1628</v>
      </c>
      <c r="AM51" s="431" t="str">
        <f>VLOOKUP($Q51,Resultados!$A$1:$C$49,3,FALSE)</f>
        <v>ELEVADA</v>
      </c>
    </row>
    <row r="52" spans="1:39" customFormat="1" ht="38.25">
      <c r="A52" s="372">
        <v>7</v>
      </c>
      <c r="B52" s="82">
        <v>45217</v>
      </c>
      <c r="C52" s="325" t="s">
        <v>368</v>
      </c>
      <c r="D52" s="79" t="s">
        <v>369</v>
      </c>
      <c r="E52" s="84" t="s">
        <v>427</v>
      </c>
      <c r="F52" s="79">
        <v>1</v>
      </c>
      <c r="G52" s="79" t="s">
        <v>10</v>
      </c>
      <c r="H52" s="306">
        <v>45272</v>
      </c>
      <c r="I52" s="89"/>
      <c r="J52" s="82"/>
      <c r="K52" s="79" t="s">
        <v>1480</v>
      </c>
      <c r="L52" s="79" t="s">
        <v>370</v>
      </c>
      <c r="M52" s="367" t="s">
        <v>131</v>
      </c>
      <c r="N52" s="174" t="s">
        <v>1706</v>
      </c>
      <c r="O52" s="24" t="str">
        <f>IF(Q52=" _","NO","SI")</f>
        <v>SI</v>
      </c>
      <c r="P52" s="24" t="str">
        <f ca="1">IF(color_Celda(E52)=12106214,"ROSA",IF(color_Celda(E52)=65535,"AMARILLO",IF(color_Celda(E52)=5296274,"VERDE",IF(color_Celda(E52)=16777215,"BLANCO","NO SE"))))</f>
        <v>ROSA</v>
      </c>
      <c r="Q52" s="79" t="s">
        <v>1162</v>
      </c>
      <c r="R52" s="4" t="str">
        <f>VLOOKUP($Q52,Resultados!$A$1:$B$49,2,FALSE)</f>
        <v>ELEVADA A JUICIO</v>
      </c>
      <c r="S52" s="89"/>
      <c r="T52" s="86"/>
      <c r="U52" s="86"/>
      <c r="V52" s="79"/>
      <c r="W52" s="89"/>
      <c r="X52" s="79"/>
      <c r="Y52" s="64"/>
      <c r="Z52" s="90" t="s">
        <v>68</v>
      </c>
      <c r="AA52" s="94"/>
      <c r="AB52" s="90" t="s">
        <v>137</v>
      </c>
      <c r="AC52" s="85"/>
      <c r="AD52" s="85"/>
      <c r="AE52" s="140"/>
      <c r="AF52" s="81">
        <v>7</v>
      </c>
      <c r="AG52" s="76" t="s">
        <v>1485</v>
      </c>
      <c r="AH52" s="76">
        <v>0</v>
      </c>
      <c r="AI52" s="76"/>
      <c r="AJ52" s="122" t="s">
        <v>408</v>
      </c>
      <c r="AK52" s="130"/>
      <c r="AL52" s="139" t="s">
        <v>1628</v>
      </c>
      <c r="AM52" s="431" t="str">
        <f>VLOOKUP($Q52,Resultados!$A$1:$C$49,3,FALSE)</f>
        <v>ELEVADA</v>
      </c>
    </row>
    <row r="53" spans="1:39" customFormat="1" ht="140.25">
      <c r="A53" s="372">
        <v>8</v>
      </c>
      <c r="B53" s="82">
        <v>45217</v>
      </c>
      <c r="C53" s="325" t="s">
        <v>371</v>
      </c>
      <c r="D53" s="79" t="s">
        <v>372</v>
      </c>
      <c r="E53" s="84" t="s">
        <v>431</v>
      </c>
      <c r="F53" s="79">
        <v>1</v>
      </c>
      <c r="G53" s="79" t="s">
        <v>10</v>
      </c>
      <c r="H53" s="306">
        <v>45272</v>
      </c>
      <c r="I53" s="89"/>
      <c r="J53" s="82"/>
      <c r="K53" s="79" t="s">
        <v>1480</v>
      </c>
      <c r="L53" s="79" t="s">
        <v>373</v>
      </c>
      <c r="M53" s="77" t="s">
        <v>176</v>
      </c>
      <c r="N53" s="174" t="s">
        <v>1707</v>
      </c>
      <c r="O53" s="24" t="str">
        <f>IF(Q53=" _","NO","SI")</f>
        <v>SI</v>
      </c>
      <c r="P53" s="24" t="str">
        <f ca="1">IF(color_Celda(E53)=12106214,"ROSA",IF(color_Celda(E53)=65535,"AMARILLO",IF(color_Celda(E53)=5296274,"VERDE",IF(color_Celda(E53)=16777215,"BLANCO","NO SE"))))</f>
        <v>ROSA</v>
      </c>
      <c r="Q53" s="79" t="s">
        <v>1162</v>
      </c>
      <c r="R53" s="4" t="str">
        <f>VLOOKUP($Q53,Resultados!$A$1:$B$49,2,FALSE)</f>
        <v>ELEVADA A JUICIO</v>
      </c>
      <c r="S53" s="79"/>
      <c r="T53" s="86"/>
      <c r="U53" s="86"/>
      <c r="V53" s="79"/>
      <c r="W53" s="79"/>
      <c r="X53" s="79"/>
      <c r="Y53" s="64"/>
      <c r="Z53" s="90" t="s">
        <v>123</v>
      </c>
      <c r="AA53" s="94"/>
      <c r="AB53" s="90" t="s">
        <v>135</v>
      </c>
      <c r="AC53" s="85">
        <v>45201</v>
      </c>
      <c r="AD53" s="85">
        <v>45210</v>
      </c>
      <c r="AE53" s="412">
        <v>0</v>
      </c>
      <c r="AF53" s="81">
        <v>45217</v>
      </c>
      <c r="AG53" s="76" t="s">
        <v>1485</v>
      </c>
      <c r="AH53" s="76">
        <v>0</v>
      </c>
      <c r="AI53" s="76"/>
      <c r="AJ53" s="122" t="s">
        <v>408</v>
      </c>
      <c r="AK53" s="130"/>
      <c r="AL53" s="139" t="s">
        <v>1628</v>
      </c>
      <c r="AM53" s="431" t="str">
        <f>VLOOKUP($Q53,Resultados!$A$1:$C$49,3,FALSE)</f>
        <v>ELEVADA</v>
      </c>
    </row>
    <row r="54" spans="1:39" customFormat="1" ht="89.25">
      <c r="A54" s="372">
        <v>22</v>
      </c>
      <c r="B54" s="85">
        <v>45218</v>
      </c>
      <c r="C54" s="325" t="s">
        <v>402</v>
      </c>
      <c r="D54" s="79" t="s">
        <v>403</v>
      </c>
      <c r="E54" s="84" t="s">
        <v>2033</v>
      </c>
      <c r="F54" s="74">
        <v>1</v>
      </c>
      <c r="G54" s="74" t="s">
        <v>326</v>
      </c>
      <c r="H54" s="305">
        <v>45272</v>
      </c>
      <c r="I54" s="85"/>
      <c r="J54" s="85"/>
      <c r="K54" s="79" t="s">
        <v>1480</v>
      </c>
      <c r="L54" s="79" t="s">
        <v>36</v>
      </c>
      <c r="M54" s="79" t="s">
        <v>243</v>
      </c>
      <c r="N54" s="79" t="s">
        <v>1345</v>
      </c>
      <c r="O54" s="24" t="str">
        <f>IF(Q54=" _","NO","SI")</f>
        <v>SI</v>
      </c>
      <c r="P54" s="24" t="str">
        <f ca="1">IF(color_Celda(E54)=12106214,"ROSA",IF(color_Celda(E54)=65535,"AMARILLO",IF(color_Celda(E54)=5296274,"VERDE",IF(color_Celda(E54)=16777215,"BLANCO","NO SE"))))</f>
        <v>ROSA</v>
      </c>
      <c r="Q54" s="79" t="s">
        <v>1324</v>
      </c>
      <c r="R54" s="4" t="str">
        <f>VLOOKUP($Q54,Resultados!$A$1:$B$49,2,FALSE)</f>
        <v>RESUELTA EN ETAPA DE PREVENTIVA</v>
      </c>
      <c r="S54" s="79"/>
      <c r="T54" s="86"/>
      <c r="U54" s="86"/>
      <c r="V54" s="74"/>
      <c r="W54" s="74"/>
      <c r="X54" s="74"/>
      <c r="Y54" s="64"/>
      <c r="Z54" s="90" t="s">
        <v>68</v>
      </c>
      <c r="AA54" s="74"/>
      <c r="AB54" s="90" t="s">
        <v>137</v>
      </c>
      <c r="AC54" s="74"/>
      <c r="AD54" s="74"/>
      <c r="AE54" s="140"/>
      <c r="AF54" s="81">
        <v>7</v>
      </c>
      <c r="AG54" s="76"/>
      <c r="AH54" s="76">
        <v>0</v>
      </c>
      <c r="AI54" s="76"/>
      <c r="AJ54" s="122" t="s">
        <v>408</v>
      </c>
      <c r="AK54" s="130"/>
      <c r="AL54" s="139" t="s">
        <v>1628</v>
      </c>
      <c r="AM54" s="431" t="str">
        <f>VLOOKUP($Q54,Resultados!$A$1:$C$49,3,FALSE)</f>
        <v>RESUELTA</v>
      </c>
    </row>
    <row r="55" spans="1:39" customFormat="1" ht="63.75">
      <c r="A55" s="372">
        <v>51</v>
      </c>
      <c r="B55" s="85">
        <v>45225</v>
      </c>
      <c r="C55" s="326" t="s">
        <v>1187</v>
      </c>
      <c r="D55" s="79" t="s">
        <v>300</v>
      </c>
      <c r="E55" s="84" t="s">
        <v>468</v>
      </c>
      <c r="F55" s="74">
        <v>7</v>
      </c>
      <c r="G55" s="74" t="s">
        <v>1370</v>
      </c>
      <c r="H55" s="305">
        <v>45272</v>
      </c>
      <c r="I55" s="85"/>
      <c r="J55" s="85"/>
      <c r="K55" s="74" t="s">
        <v>1480</v>
      </c>
      <c r="L55" s="79" t="s">
        <v>36</v>
      </c>
      <c r="M55" s="367" t="s">
        <v>49</v>
      </c>
      <c r="N55" s="174" t="s">
        <v>1376</v>
      </c>
      <c r="O55" s="24" t="str">
        <f>IF(Q55=" _","NO","SI")</f>
        <v>SI</v>
      </c>
      <c r="P55" s="24" t="str">
        <f ca="1">IF(color_Celda(E55)=12106214,"ROSA",IF(color_Celda(E55)=65535,"AMARILLO",IF(color_Celda(E55)=5296274,"VERDE",IF(color_Celda(E55)=16777215,"BLANCO","NO SE"))))</f>
        <v>ROSA</v>
      </c>
      <c r="Q55" s="79" t="s">
        <v>1162</v>
      </c>
      <c r="R55" s="4" t="str">
        <f>VLOOKUP($Q55,Resultados!$A$1:$B$49,2,FALSE)</f>
        <v>ELEVADA A JUICIO</v>
      </c>
      <c r="S55" s="79"/>
      <c r="T55" s="86"/>
      <c r="U55" s="86"/>
      <c r="V55" s="74"/>
      <c r="W55" s="74"/>
      <c r="X55" s="74"/>
      <c r="Y55" s="64"/>
      <c r="Z55" s="74"/>
      <c r="AA55" s="74"/>
      <c r="AB55" s="74"/>
      <c r="AC55" s="74"/>
      <c r="AD55" s="74"/>
      <c r="AE55" s="140"/>
      <c r="AF55" s="81">
        <v>7</v>
      </c>
      <c r="AG55" s="76"/>
      <c r="AH55" s="76">
        <v>0</v>
      </c>
      <c r="AI55" s="76"/>
      <c r="AJ55" s="122" t="s">
        <v>408</v>
      </c>
      <c r="AK55" s="130"/>
      <c r="AL55" s="139" t="s">
        <v>1628</v>
      </c>
      <c r="AM55" s="431" t="str">
        <f>VLOOKUP($Q55,Resultados!$A$1:$C$49,3,FALSE)</f>
        <v>ELEVADA</v>
      </c>
    </row>
    <row r="56" spans="1:39" customFormat="1" ht="102">
      <c r="A56" s="372">
        <v>142</v>
      </c>
      <c r="B56" s="85">
        <v>45233</v>
      </c>
      <c r="C56" s="326" t="s">
        <v>217</v>
      </c>
      <c r="D56" s="79" t="s">
        <v>328</v>
      </c>
      <c r="E56" s="84" t="s">
        <v>637</v>
      </c>
      <c r="F56" s="74">
        <v>4</v>
      </c>
      <c r="G56" s="74" t="s">
        <v>326</v>
      </c>
      <c r="H56" s="305">
        <v>45272</v>
      </c>
      <c r="I56" s="85"/>
      <c r="J56" s="85"/>
      <c r="K56" s="74" t="s">
        <v>1480</v>
      </c>
      <c r="L56" s="79" t="s">
        <v>77</v>
      </c>
      <c r="M56" s="79" t="s">
        <v>90</v>
      </c>
      <c r="N56" s="105" t="s">
        <v>1729</v>
      </c>
      <c r="O56" s="24" t="str">
        <f>IF(Q56=" _","NO","SI")</f>
        <v>SI</v>
      </c>
      <c r="P56" s="24" t="str">
        <f ca="1">IF(color_Celda(E56)=12106214,"ROSA",IF(color_Celda(E56)=65535,"AMARILLO",IF(color_Celda(E56)=5296274,"VERDE",IF(color_Celda(E56)=16777215,"BLANCO","NO SE"))))</f>
        <v>ROSA</v>
      </c>
      <c r="Q56" s="79" t="s">
        <v>1162</v>
      </c>
      <c r="R56" s="4" t="str">
        <f>VLOOKUP($Q56,Resultados!$A$1:$B$49,2,FALSE)</f>
        <v>ELEVADA A JUICIO</v>
      </c>
      <c r="S56" s="79"/>
      <c r="T56" s="86"/>
      <c r="U56" s="86"/>
      <c r="V56" s="74"/>
      <c r="W56" s="74"/>
      <c r="X56" s="74"/>
      <c r="Y56" s="64"/>
      <c r="Z56" s="74"/>
      <c r="AA56" s="74"/>
      <c r="AB56" s="74"/>
      <c r="AC56" s="74"/>
      <c r="AD56" s="74"/>
      <c r="AE56" s="140"/>
      <c r="AF56" s="81">
        <v>7</v>
      </c>
      <c r="AG56" s="76"/>
      <c r="AH56" s="76">
        <v>0</v>
      </c>
      <c r="AI56" s="76"/>
      <c r="AJ56" s="122" t="s">
        <v>408</v>
      </c>
      <c r="AK56" s="130"/>
      <c r="AL56" s="139" t="s">
        <v>1628</v>
      </c>
      <c r="AM56" s="431" t="str">
        <f>VLOOKUP($Q56,Resultados!$A$1:$C$49,3,FALSE)</f>
        <v>ELEVADA</v>
      </c>
    </row>
    <row r="57" spans="1:39" customFormat="1" ht="38.25">
      <c r="A57" s="372">
        <v>278</v>
      </c>
      <c r="B57" s="85">
        <v>45245</v>
      </c>
      <c r="C57" s="325" t="s">
        <v>742</v>
      </c>
      <c r="D57" s="79" t="s">
        <v>909</v>
      </c>
      <c r="E57" s="84" t="s">
        <v>910</v>
      </c>
      <c r="F57" s="74">
        <v>7</v>
      </c>
      <c r="G57" s="74" t="s">
        <v>1370</v>
      </c>
      <c r="H57" s="305">
        <v>45272</v>
      </c>
      <c r="I57" s="85"/>
      <c r="J57" s="85"/>
      <c r="K57" s="74" t="s">
        <v>1480</v>
      </c>
      <c r="L57" s="79" t="s">
        <v>79</v>
      </c>
      <c r="M57" s="79" t="s">
        <v>270</v>
      </c>
      <c r="N57" s="174" t="s">
        <v>1381</v>
      </c>
      <c r="O57" s="24" t="str">
        <f>IF(Q57=" _","NO","SI")</f>
        <v>SI</v>
      </c>
      <c r="P57" s="24" t="str">
        <f ca="1">IF(color_Celda(E57)=12106214,"ROSA",IF(color_Celda(E57)=65535,"AMARILLO",IF(color_Celda(E57)=5296274,"VERDE",IF(color_Celda(E57)=16777215,"BLANCO","NO SE"))))</f>
        <v>ROSA</v>
      </c>
      <c r="Q57" s="79" t="s">
        <v>1162</v>
      </c>
      <c r="R57" s="4" t="str">
        <f>VLOOKUP($Q57,Resultados!$A$1:$B$49,2,FALSE)</f>
        <v>ELEVADA A JUICIO</v>
      </c>
      <c r="S57" s="79"/>
      <c r="T57" s="86"/>
      <c r="U57" s="86"/>
      <c r="V57" s="74"/>
      <c r="W57" s="74"/>
      <c r="X57" s="74"/>
      <c r="Y57" s="64"/>
      <c r="Z57" s="74"/>
      <c r="AA57" s="74"/>
      <c r="AB57" s="74"/>
      <c r="AC57" s="74"/>
      <c r="AD57" s="74"/>
      <c r="AE57" s="140"/>
      <c r="AF57" s="81">
        <v>7</v>
      </c>
      <c r="AG57" s="76"/>
      <c r="AH57" s="76">
        <v>0</v>
      </c>
      <c r="AI57" s="76"/>
      <c r="AJ57" s="122" t="s">
        <v>408</v>
      </c>
      <c r="AK57" s="130"/>
      <c r="AL57" s="139" t="s">
        <v>1628</v>
      </c>
      <c r="AM57" s="431" t="str">
        <f>VLOOKUP($Q57,Resultados!$A$1:$C$49,3,FALSE)</f>
        <v>ELEVADA</v>
      </c>
    </row>
    <row r="58" spans="1:39" customFormat="1" ht="191.25">
      <c r="A58" s="372">
        <v>293</v>
      </c>
      <c r="B58" s="85">
        <v>45246</v>
      </c>
      <c r="C58" s="325" t="s">
        <v>698</v>
      </c>
      <c r="D58" s="79" t="s">
        <v>310</v>
      </c>
      <c r="E58" s="84" t="s">
        <v>890</v>
      </c>
      <c r="F58" s="74">
        <v>7</v>
      </c>
      <c r="G58" s="74" t="s">
        <v>325</v>
      </c>
      <c r="H58" s="305">
        <v>45272</v>
      </c>
      <c r="I58" s="85"/>
      <c r="J58" s="85"/>
      <c r="K58" s="74" t="s">
        <v>1480</v>
      </c>
      <c r="L58" s="79" t="s">
        <v>77</v>
      </c>
      <c r="M58" s="79" t="s">
        <v>61</v>
      </c>
      <c r="N58" s="174" t="s">
        <v>1366</v>
      </c>
      <c r="O58" s="24" t="str">
        <f>IF(Q58=" _","NO","SI")</f>
        <v>SI</v>
      </c>
      <c r="P58" s="24" t="str">
        <f ca="1">IF(color_Celda(E58)=12106214,"ROSA",IF(color_Celda(E58)=65535,"AMARILLO",IF(color_Celda(E58)=5296274,"VERDE",IF(color_Celda(E58)=16777215,"BLANCO","NO SE"))))</f>
        <v>ROSA</v>
      </c>
      <c r="Q58" s="79" t="s">
        <v>1162</v>
      </c>
      <c r="R58" s="4" t="str">
        <f>VLOOKUP($Q58,Resultados!$A$1:$B$49,2,FALSE)</f>
        <v>ELEVADA A JUICIO</v>
      </c>
      <c r="S58" s="79"/>
      <c r="T58" s="86"/>
      <c r="U58" s="86"/>
      <c r="V58" s="74"/>
      <c r="W58" s="74"/>
      <c r="X58" s="74"/>
      <c r="Y58" s="64"/>
      <c r="Z58" s="74"/>
      <c r="AA58" s="74"/>
      <c r="AB58" s="74"/>
      <c r="AC58" s="102">
        <v>0</v>
      </c>
      <c r="AD58" s="87">
        <v>45254</v>
      </c>
      <c r="AE58" s="140">
        <v>0</v>
      </c>
      <c r="AF58" s="81">
        <v>7</v>
      </c>
      <c r="AG58" s="76"/>
      <c r="AH58" s="76">
        <v>0</v>
      </c>
      <c r="AI58" s="76"/>
      <c r="AJ58" s="122" t="s">
        <v>408</v>
      </c>
      <c r="AK58" s="130"/>
      <c r="AL58" s="139" t="s">
        <v>1628</v>
      </c>
      <c r="AM58" s="431" t="str">
        <f>VLOOKUP($Q58,Resultados!$A$1:$C$49,3,FALSE)</f>
        <v>ELEVADA</v>
      </c>
    </row>
    <row r="59" spans="1:39" customFormat="1" ht="89.25">
      <c r="A59" s="372">
        <v>327</v>
      </c>
      <c r="B59" s="85">
        <v>45253</v>
      </c>
      <c r="C59" s="325" t="s">
        <v>850</v>
      </c>
      <c r="D59" s="79" t="s">
        <v>985</v>
      </c>
      <c r="E59" s="84" t="s">
        <v>987</v>
      </c>
      <c r="F59" s="74">
        <v>4</v>
      </c>
      <c r="G59" s="74" t="s">
        <v>325</v>
      </c>
      <c r="H59" s="305">
        <v>45272</v>
      </c>
      <c r="I59" s="85"/>
      <c r="J59" s="85"/>
      <c r="K59" s="74" t="s">
        <v>1480</v>
      </c>
      <c r="L59" s="79" t="s">
        <v>2170</v>
      </c>
      <c r="M59" s="79" t="s">
        <v>986</v>
      </c>
      <c r="N59" s="172" t="s">
        <v>1369</v>
      </c>
      <c r="O59" s="24" t="str">
        <f>IF(Q59=" _","NO","SI")</f>
        <v>SI</v>
      </c>
      <c r="P59" s="24" t="str">
        <f ca="1">IF(color_Celda(E59)=12106214,"ROSA",IF(color_Celda(E59)=65535,"AMARILLO",IF(color_Celda(E59)=5296274,"VERDE",IF(color_Celda(E59)=16777215,"BLANCO","NO SE"))))</f>
        <v>ROSA</v>
      </c>
      <c r="Q59" s="79" t="s">
        <v>1162</v>
      </c>
      <c r="R59" s="4" t="str">
        <f>VLOOKUP($Q59,Resultados!$A$1:$B$49,2,FALSE)</f>
        <v>ELEVADA A JUICIO</v>
      </c>
      <c r="S59" s="79"/>
      <c r="T59" s="86"/>
      <c r="U59" s="86"/>
      <c r="V59" s="74"/>
      <c r="W59" s="74"/>
      <c r="X59" s="74"/>
      <c r="Y59" s="64"/>
      <c r="Z59" s="74"/>
      <c r="AA59" s="74"/>
      <c r="AB59" s="74"/>
      <c r="AC59" s="74"/>
      <c r="AD59" s="74"/>
      <c r="AE59" s="140"/>
      <c r="AF59" s="76">
        <v>7</v>
      </c>
      <c r="AG59" s="76"/>
      <c r="AH59" s="76">
        <v>0</v>
      </c>
      <c r="AI59" s="76"/>
      <c r="AJ59" s="122" t="s">
        <v>408</v>
      </c>
      <c r="AK59" s="130"/>
      <c r="AL59" s="139" t="s">
        <v>1628</v>
      </c>
      <c r="AM59" s="431" t="str">
        <f>VLOOKUP($Q59,Resultados!$A$1:$C$49,3,FALSE)</f>
        <v>ELEVADA</v>
      </c>
    </row>
    <row r="60" spans="1:39" customFormat="1" ht="102">
      <c r="A60" s="372">
        <v>391</v>
      </c>
      <c r="B60" s="85">
        <v>45264</v>
      </c>
      <c r="C60" s="325" t="s">
        <v>1074</v>
      </c>
      <c r="D60" s="79" t="s">
        <v>1075</v>
      </c>
      <c r="E60" s="84" t="s">
        <v>2400</v>
      </c>
      <c r="F60" s="74">
        <v>6</v>
      </c>
      <c r="G60" s="74" t="s">
        <v>326</v>
      </c>
      <c r="H60" s="305">
        <v>45272</v>
      </c>
      <c r="I60" s="85"/>
      <c r="J60" s="85"/>
      <c r="K60" s="74" t="s">
        <v>1480</v>
      </c>
      <c r="L60" s="79" t="s">
        <v>72</v>
      </c>
      <c r="M60" s="79" t="s">
        <v>90</v>
      </c>
      <c r="N60" s="105" t="s">
        <v>1772</v>
      </c>
      <c r="O60" s="24" t="str">
        <f>IF(Q60=" _","NO","SI")</f>
        <v>SI</v>
      </c>
      <c r="P60" s="24" t="str">
        <f ca="1">IF(color_Celda(E60)=12106214,"ROSA",IF(color_Celda(E60)=65535,"AMARILLO",IF(color_Celda(E60)=5296274,"VERDE",IF(color_Celda(E60)=16777215,"BLANCO","NO SE"))))</f>
        <v>ROSA</v>
      </c>
      <c r="Q60" s="79" t="s">
        <v>1324</v>
      </c>
      <c r="R60" s="4" t="str">
        <f>VLOOKUP($Q60,Resultados!$A$1:$B$49,2,FALSE)</f>
        <v>RESUELTA EN ETAPA DE PREVENTIVA</v>
      </c>
      <c r="S60" s="79"/>
      <c r="T60" s="73"/>
      <c r="U60" s="73"/>
      <c r="V60" s="68"/>
      <c r="W60" s="74"/>
      <c r="X60" s="74"/>
      <c r="Y60" s="64"/>
      <c r="Z60" s="74"/>
      <c r="AA60" s="74"/>
      <c r="AB60" s="74"/>
      <c r="AC60" s="68"/>
      <c r="AD60" s="68"/>
      <c r="AE60" s="142"/>
      <c r="AF60" s="146">
        <v>7</v>
      </c>
      <c r="AG60" s="146"/>
      <c r="AH60" s="146">
        <v>0</v>
      </c>
      <c r="AI60" s="146"/>
      <c r="AJ60" s="122" t="s">
        <v>408</v>
      </c>
      <c r="AK60" s="130"/>
      <c r="AL60" s="139" t="s">
        <v>1628</v>
      </c>
      <c r="AM60" s="431" t="str">
        <f>VLOOKUP($Q60,Resultados!$A$1:$C$49,3,FALSE)</f>
        <v>RESUELTA</v>
      </c>
    </row>
    <row r="61" spans="1:39" customFormat="1" ht="89.25">
      <c r="A61" s="372">
        <v>400</v>
      </c>
      <c r="B61" s="82">
        <v>45265</v>
      </c>
      <c r="C61" s="325" t="s">
        <v>1074</v>
      </c>
      <c r="D61" s="79" t="s">
        <v>4</v>
      </c>
      <c r="E61" s="84" t="s">
        <v>1214</v>
      </c>
      <c r="F61" s="74">
        <v>3</v>
      </c>
      <c r="G61" s="74" t="s">
        <v>326</v>
      </c>
      <c r="H61" s="305">
        <v>45272</v>
      </c>
      <c r="I61" s="85"/>
      <c r="J61" s="85"/>
      <c r="K61" s="74" t="s">
        <v>1480</v>
      </c>
      <c r="L61" s="79" t="s">
        <v>2172</v>
      </c>
      <c r="M61" s="79" t="s">
        <v>44</v>
      </c>
      <c r="N61" s="105" t="s">
        <v>1344</v>
      </c>
      <c r="O61" s="24" t="str">
        <f>IF(Q61=" _","NO","SI")</f>
        <v>SI</v>
      </c>
      <c r="P61" s="24" t="str">
        <f ca="1">IF(color_Celda(E61)=12106214,"ROSA",IF(color_Celda(E61)=65535,"AMARILLO",IF(color_Celda(E61)=5296274,"VERDE",IF(color_Celda(E61)=16777215,"BLANCO","NO SE"))))</f>
        <v>ROSA</v>
      </c>
      <c r="Q61" s="79" t="s">
        <v>1324</v>
      </c>
      <c r="R61" s="4" t="str">
        <f>VLOOKUP($Q61,Resultados!$A$1:$B$49,2,FALSE)</f>
        <v>RESUELTA EN ETAPA DE PREVENTIVA</v>
      </c>
      <c r="S61" s="79"/>
      <c r="T61" s="86"/>
      <c r="U61" s="86"/>
      <c r="V61" s="74"/>
      <c r="W61" s="74"/>
      <c r="X61" s="74"/>
      <c r="Y61" s="64"/>
      <c r="Z61" s="74"/>
      <c r="AA61" s="74"/>
      <c r="AB61" s="74"/>
      <c r="AC61" s="74"/>
      <c r="AD61" s="74"/>
      <c r="AE61" s="140"/>
      <c r="AF61" s="76">
        <v>7</v>
      </c>
      <c r="AG61" s="76"/>
      <c r="AH61" s="76">
        <v>0</v>
      </c>
      <c r="AI61" s="76"/>
      <c r="AJ61" s="122" t="s">
        <v>408</v>
      </c>
      <c r="AK61" s="138"/>
      <c r="AL61" s="139" t="s">
        <v>1628</v>
      </c>
      <c r="AM61" s="431" t="str">
        <f>VLOOKUP($Q61,Resultados!$A$1:$C$49,3,FALSE)</f>
        <v>RESUELTA</v>
      </c>
    </row>
    <row r="62" spans="1:39" customFormat="1" ht="63.75">
      <c r="A62" s="372">
        <v>44</v>
      </c>
      <c r="B62" s="85">
        <v>45222</v>
      </c>
      <c r="C62" s="326" t="s">
        <v>955</v>
      </c>
      <c r="D62" s="79" t="s">
        <v>462</v>
      </c>
      <c r="E62" s="84" t="s">
        <v>457</v>
      </c>
      <c r="F62" s="74">
        <v>7</v>
      </c>
      <c r="G62" s="74" t="s">
        <v>10</v>
      </c>
      <c r="H62" s="306">
        <v>45273</v>
      </c>
      <c r="I62" s="85"/>
      <c r="J62" s="85"/>
      <c r="K62" s="74" t="s">
        <v>1480</v>
      </c>
      <c r="L62" s="79" t="s">
        <v>35</v>
      </c>
      <c r="M62" s="161" t="s">
        <v>261</v>
      </c>
      <c r="N62" s="174" t="s">
        <v>1717</v>
      </c>
      <c r="O62" s="24" t="str">
        <f>IF(Q62=" _","NO","SI")</f>
        <v>SI</v>
      </c>
      <c r="P62" s="24" t="str">
        <f ca="1">IF(color_Celda(E62)=12106214,"ROSA",IF(color_Celda(E62)=65535,"AMARILLO",IF(color_Celda(E62)=5296274,"VERDE",IF(color_Celda(E62)=16777215,"BLANCO","NO SE"))))</f>
        <v>ROSA</v>
      </c>
      <c r="Q62" s="79" t="s">
        <v>1162</v>
      </c>
      <c r="R62" s="4" t="str">
        <f>VLOOKUP($Q62,Resultados!$A$1:$B$49,2,FALSE)</f>
        <v>ELEVADA A JUICIO</v>
      </c>
      <c r="S62" s="79"/>
      <c r="T62" s="73"/>
      <c r="U62" s="73"/>
      <c r="V62" s="68"/>
      <c r="W62" s="74"/>
      <c r="X62" s="74"/>
      <c r="Y62" s="64"/>
      <c r="Z62" s="74"/>
      <c r="AA62" s="74"/>
      <c r="AB62" s="74"/>
      <c r="AC62" s="74"/>
      <c r="AD62" s="74"/>
      <c r="AE62" s="140"/>
      <c r="AF62" s="81">
        <v>7</v>
      </c>
      <c r="AG62" s="76"/>
      <c r="AH62" s="76">
        <v>0</v>
      </c>
      <c r="AI62" s="76"/>
      <c r="AJ62" s="122" t="s">
        <v>408</v>
      </c>
      <c r="AK62" s="138"/>
      <c r="AL62" s="139" t="s">
        <v>1628</v>
      </c>
      <c r="AM62" s="431" t="str">
        <f>VLOOKUP($Q62,Resultados!$A$1:$C$49,3,FALSE)</f>
        <v>ELEVADA</v>
      </c>
    </row>
    <row r="63" spans="1:39" customFormat="1" ht="102">
      <c r="A63" s="372">
        <v>47</v>
      </c>
      <c r="B63" s="85">
        <v>45224</v>
      </c>
      <c r="C63" s="326" t="s">
        <v>3065</v>
      </c>
      <c r="D63" s="79" t="s">
        <v>321</v>
      </c>
      <c r="E63" s="84" t="s">
        <v>463</v>
      </c>
      <c r="F63" s="74">
        <v>2</v>
      </c>
      <c r="G63" s="74" t="s">
        <v>10</v>
      </c>
      <c r="H63" s="305">
        <v>45273</v>
      </c>
      <c r="I63" s="85"/>
      <c r="J63" s="85"/>
      <c r="K63" s="74" t="s">
        <v>1480</v>
      </c>
      <c r="L63" s="79" t="s">
        <v>2167</v>
      </c>
      <c r="M63" s="104" t="s">
        <v>52</v>
      </c>
      <c r="N63" s="174" t="s">
        <v>1720</v>
      </c>
      <c r="O63" s="24" t="str">
        <f>IF(Q63=" _","NO","SI")</f>
        <v>SI</v>
      </c>
      <c r="P63" s="24" t="str">
        <f ca="1">IF(color_Celda(E63)=12106214,"ROSA",IF(color_Celda(E63)=65535,"AMARILLO",IF(color_Celda(E63)=5296274,"VERDE",IF(color_Celda(E63)=16777215,"BLANCO","NO SE"))))</f>
        <v>ROSA</v>
      </c>
      <c r="Q63" s="79" t="s">
        <v>1162</v>
      </c>
      <c r="R63" s="4" t="str">
        <f>VLOOKUP($Q63,Resultados!$A$1:$B$49,2,FALSE)</f>
        <v>ELEVADA A JUICIO</v>
      </c>
      <c r="S63" s="79"/>
      <c r="T63" s="86"/>
      <c r="U63" s="86"/>
      <c r="V63" s="74"/>
      <c r="W63" s="74"/>
      <c r="X63" s="74"/>
      <c r="Y63" s="64"/>
      <c r="Z63" s="74"/>
      <c r="AA63" s="74"/>
      <c r="AB63" s="74"/>
      <c r="AC63" s="74"/>
      <c r="AD63" s="74"/>
      <c r="AE63" s="140"/>
      <c r="AF63" s="81">
        <v>7</v>
      </c>
      <c r="AG63" s="76"/>
      <c r="AH63" s="76">
        <v>0</v>
      </c>
      <c r="AI63" s="76"/>
      <c r="AJ63" s="122" t="s">
        <v>408</v>
      </c>
      <c r="AK63" s="130"/>
      <c r="AL63" s="139" t="s">
        <v>1628</v>
      </c>
      <c r="AM63" s="431" t="str">
        <f>VLOOKUP($Q63,Resultados!$A$1:$C$49,3,FALSE)</f>
        <v>ELEVADA</v>
      </c>
    </row>
    <row r="64" spans="1:39" customFormat="1" ht="38.25">
      <c r="A64" s="372">
        <v>77</v>
      </c>
      <c r="B64" s="85">
        <v>45230</v>
      </c>
      <c r="C64" s="326" t="s">
        <v>16</v>
      </c>
      <c r="D64" s="79" t="s">
        <v>352</v>
      </c>
      <c r="E64" s="84" t="s">
        <v>525</v>
      </c>
      <c r="F64" s="74">
        <v>2</v>
      </c>
      <c r="G64" s="74" t="s">
        <v>10</v>
      </c>
      <c r="H64" s="305">
        <v>45273</v>
      </c>
      <c r="I64" s="85"/>
      <c r="J64" s="85"/>
      <c r="K64" s="74" t="s">
        <v>1480</v>
      </c>
      <c r="L64" s="79" t="s">
        <v>250</v>
      </c>
      <c r="M64" s="79" t="s">
        <v>524</v>
      </c>
      <c r="N64" s="174" t="s">
        <v>1726</v>
      </c>
      <c r="O64" s="24" t="str">
        <f>IF(Q64=" _","NO","SI")</f>
        <v>SI</v>
      </c>
      <c r="P64" s="24" t="str">
        <f ca="1">IF(color_Celda(E64)=12106214,"ROSA",IF(color_Celda(E64)=65535,"AMARILLO",IF(color_Celda(E64)=5296274,"VERDE",IF(color_Celda(E64)=16777215,"BLANCO","NO SE"))))</f>
        <v>ROSA</v>
      </c>
      <c r="Q64" s="79" t="s">
        <v>1162</v>
      </c>
      <c r="R64" s="4" t="str">
        <f>VLOOKUP($Q64,Resultados!$A$1:$B$49,2,FALSE)</f>
        <v>ELEVADA A JUICIO</v>
      </c>
      <c r="S64" s="79"/>
      <c r="T64" s="86"/>
      <c r="U64" s="86"/>
      <c r="V64" s="74"/>
      <c r="W64" s="74"/>
      <c r="X64" s="74"/>
      <c r="Y64" s="64"/>
      <c r="Z64" s="74"/>
      <c r="AA64" s="74"/>
      <c r="AB64" s="74"/>
      <c r="AC64" s="74"/>
      <c r="AD64" s="74"/>
      <c r="AE64" s="140"/>
      <c r="AF64" s="81">
        <v>7</v>
      </c>
      <c r="AG64" s="76"/>
      <c r="AH64" s="76">
        <v>0</v>
      </c>
      <c r="AI64" s="76"/>
      <c r="AJ64" s="122" t="s">
        <v>408</v>
      </c>
      <c r="AK64" s="130"/>
      <c r="AL64" s="139" t="s">
        <v>1628</v>
      </c>
      <c r="AM64" s="431" t="str">
        <f>VLOOKUP($Q64,Resultados!$A$1:$C$49,3,FALSE)</f>
        <v>ELEVADA</v>
      </c>
    </row>
    <row r="65" spans="1:39" customFormat="1" ht="63.75">
      <c r="A65" s="372">
        <v>125</v>
      </c>
      <c r="B65" s="85">
        <v>45232</v>
      </c>
      <c r="C65" s="326" t="s">
        <v>2321</v>
      </c>
      <c r="D65" s="79" t="s">
        <v>588</v>
      </c>
      <c r="E65" s="84" t="s">
        <v>636</v>
      </c>
      <c r="F65" s="74">
        <v>1</v>
      </c>
      <c r="G65" s="74" t="s">
        <v>326</v>
      </c>
      <c r="H65" s="305">
        <v>45273</v>
      </c>
      <c r="I65" s="85"/>
      <c r="J65" s="85"/>
      <c r="K65" s="74" t="s">
        <v>1480</v>
      </c>
      <c r="L65" s="79" t="s">
        <v>72</v>
      </c>
      <c r="M65" s="79"/>
      <c r="N65" s="174" t="s">
        <v>1728</v>
      </c>
      <c r="O65" s="24" t="str">
        <f>IF(Q65=" _","NO","SI")</f>
        <v>SI</v>
      </c>
      <c r="P65" s="24" t="str">
        <f ca="1">IF(color_Celda(E65)=12106214,"ROSA",IF(color_Celda(E65)=65535,"AMARILLO",IF(color_Celda(E65)=5296274,"VERDE",IF(color_Celda(E65)=16777215,"BLANCO","NO SE"))))</f>
        <v>ROSA</v>
      </c>
      <c r="Q65" s="79" t="s">
        <v>1324</v>
      </c>
      <c r="R65" s="4" t="str">
        <f>VLOOKUP($Q65,Resultados!$A$1:$B$49,2,FALSE)</f>
        <v>RESUELTA EN ETAPA DE PREVENTIVA</v>
      </c>
      <c r="S65" s="79"/>
      <c r="T65" s="86"/>
      <c r="U65" s="86"/>
      <c r="V65" s="74"/>
      <c r="W65" s="74"/>
      <c r="X65" s="74"/>
      <c r="Y65" s="64"/>
      <c r="Z65" s="74"/>
      <c r="AA65" s="74"/>
      <c r="AB65" s="74"/>
      <c r="AC65" s="74"/>
      <c r="AD65" s="74"/>
      <c r="AE65" s="140"/>
      <c r="AF65" s="81">
        <v>7</v>
      </c>
      <c r="AG65" s="76"/>
      <c r="AH65" s="76">
        <v>0</v>
      </c>
      <c r="AI65" s="76"/>
      <c r="AJ65" s="122" t="s">
        <v>408</v>
      </c>
      <c r="AK65" s="138"/>
      <c r="AL65" s="139" t="s">
        <v>1628</v>
      </c>
      <c r="AM65" s="431" t="str">
        <f>VLOOKUP($Q65,Resultados!$A$1:$C$49,3,FALSE)</f>
        <v>RESUELTA</v>
      </c>
    </row>
    <row r="66" spans="1:39" customFormat="1" ht="114.75">
      <c r="A66" s="372">
        <v>218</v>
      </c>
      <c r="B66" s="85">
        <v>45243</v>
      </c>
      <c r="C66" s="325" t="s">
        <v>747</v>
      </c>
      <c r="D66" s="79" t="s">
        <v>748</v>
      </c>
      <c r="E66" s="84" t="s">
        <v>751</v>
      </c>
      <c r="F66" s="74">
        <v>1</v>
      </c>
      <c r="G66" s="74" t="s">
        <v>326</v>
      </c>
      <c r="H66" s="305">
        <v>45273</v>
      </c>
      <c r="I66" s="85"/>
      <c r="J66" s="85"/>
      <c r="K66" s="74" t="s">
        <v>1480</v>
      </c>
      <c r="L66" s="79" t="s">
        <v>254</v>
      </c>
      <c r="M66" s="79" t="s">
        <v>749</v>
      </c>
      <c r="N66" s="174" t="s">
        <v>1732</v>
      </c>
      <c r="O66" s="24" t="str">
        <f>IF(Q66=" _","NO","SI")</f>
        <v>SI</v>
      </c>
      <c r="P66" s="24" t="str">
        <f ca="1">IF(color_Celda(E66)=12106214,"ROSA",IF(color_Celda(E66)=65535,"AMARILLO",IF(color_Celda(E66)=5296274,"VERDE",IF(color_Celda(E66)=16777215,"BLANCO","NO SE"))))</f>
        <v>ROSA</v>
      </c>
      <c r="Q66" s="79" t="s">
        <v>1162</v>
      </c>
      <c r="R66" s="4" t="str">
        <f>VLOOKUP($Q66,Resultados!$A$1:$B$49,2,FALSE)</f>
        <v>ELEVADA A JUICIO</v>
      </c>
      <c r="S66" s="79"/>
      <c r="T66" s="86"/>
      <c r="U66" s="86"/>
      <c r="V66" s="74"/>
      <c r="W66" s="74"/>
      <c r="X66" s="74"/>
      <c r="Y66" s="64"/>
      <c r="Z66" s="74"/>
      <c r="AA66" s="74"/>
      <c r="AB66" s="74"/>
      <c r="AC66" s="74"/>
      <c r="AD66" s="74"/>
      <c r="AE66" s="140"/>
      <c r="AF66" s="81">
        <v>7</v>
      </c>
      <c r="AG66" s="76"/>
      <c r="AH66" s="76">
        <v>0</v>
      </c>
      <c r="AI66" s="76"/>
      <c r="AJ66" s="122" t="s">
        <v>408</v>
      </c>
      <c r="AK66" s="130"/>
      <c r="AL66" s="139" t="s">
        <v>1628</v>
      </c>
      <c r="AM66" s="431" t="str">
        <f>VLOOKUP($Q66,Resultados!$A$1:$C$49,3,FALSE)</f>
        <v>ELEVADA</v>
      </c>
    </row>
    <row r="67" spans="1:39" customFormat="1" ht="76.5">
      <c r="A67" s="372">
        <v>62</v>
      </c>
      <c r="B67" s="85">
        <v>45229</v>
      </c>
      <c r="C67" s="326" t="s">
        <v>698</v>
      </c>
      <c r="D67" s="79" t="s">
        <v>486</v>
      </c>
      <c r="E67" s="88" t="s">
        <v>487</v>
      </c>
      <c r="F67" s="74">
        <v>5</v>
      </c>
      <c r="G67" s="74" t="s">
        <v>326</v>
      </c>
      <c r="H67" s="305">
        <v>45274</v>
      </c>
      <c r="I67" s="85"/>
      <c r="J67" s="85"/>
      <c r="K67" s="74" t="s">
        <v>1480</v>
      </c>
      <c r="L67" s="79" t="s">
        <v>76</v>
      </c>
      <c r="M67" s="79" t="s">
        <v>226</v>
      </c>
      <c r="N67" s="79" t="s">
        <v>2677</v>
      </c>
      <c r="O67" s="24" t="str">
        <f>IF(Q67=" _","NO","SI")</f>
        <v>SI</v>
      </c>
      <c r="P67" s="24" t="str">
        <f ca="1">IF(color_Celda(E67)=12106214,"ROSA",IF(color_Celda(E67)=65535,"AMARILLO",IF(color_Celda(E67)=5296274,"VERDE",IF(color_Celda(E67)=16777215,"BLANCO","NO SE"))))</f>
        <v>ROSA</v>
      </c>
      <c r="Q67" s="79" t="s">
        <v>1162</v>
      </c>
      <c r="R67" s="4" t="str">
        <f>VLOOKUP($Q67,Resultados!$A$1:$B$49,2,FALSE)</f>
        <v>ELEVADA A JUICIO</v>
      </c>
      <c r="S67" s="79"/>
      <c r="T67" s="86"/>
      <c r="U67" s="86"/>
      <c r="V67" s="74"/>
      <c r="W67" s="74"/>
      <c r="X67" s="74"/>
      <c r="Y67" s="64"/>
      <c r="Z67" s="74"/>
      <c r="AA67" s="74"/>
      <c r="AB67" s="74"/>
      <c r="AC67" s="74"/>
      <c r="AD67" s="74"/>
      <c r="AE67" s="140"/>
      <c r="AF67" s="81">
        <v>7</v>
      </c>
      <c r="AG67" s="76"/>
      <c r="AH67" s="76">
        <v>0</v>
      </c>
      <c r="AI67" s="76"/>
      <c r="AJ67" s="122" t="s">
        <v>988</v>
      </c>
      <c r="AK67" s="153"/>
      <c r="AL67" s="139" t="s">
        <v>1628</v>
      </c>
      <c r="AM67" s="431" t="str">
        <f>VLOOKUP($Q67,Resultados!$A$1:$C$49,3,FALSE)</f>
        <v>ELEVADA</v>
      </c>
    </row>
    <row r="68" spans="1:39" customFormat="1" ht="63.75">
      <c r="A68" s="372">
        <v>456</v>
      </c>
      <c r="B68" s="85">
        <v>45272</v>
      </c>
      <c r="C68" s="325" t="s">
        <v>2125</v>
      </c>
      <c r="D68" s="79" t="s">
        <v>1215</v>
      </c>
      <c r="E68" s="84" t="s">
        <v>1216</v>
      </c>
      <c r="F68" s="74">
        <v>5</v>
      </c>
      <c r="G68" s="74" t="s">
        <v>10</v>
      </c>
      <c r="H68" s="305">
        <v>45274</v>
      </c>
      <c r="I68" s="85"/>
      <c r="J68" s="85"/>
      <c r="K68" s="74" t="s">
        <v>1480</v>
      </c>
      <c r="L68" s="79" t="s">
        <v>82</v>
      </c>
      <c r="M68" s="79" t="s">
        <v>260</v>
      </c>
      <c r="N68" s="105" t="s">
        <v>1774</v>
      </c>
      <c r="O68" s="24" t="str">
        <f>IF(Q68=" _","NO","SI")</f>
        <v>SI</v>
      </c>
      <c r="P68" s="24" t="str">
        <f ca="1">IF(color_Celda(E68)=12106214,"ROSA",IF(color_Celda(E68)=65535,"AMARILLO",IF(color_Celda(E68)=5296274,"VERDE",IF(color_Celda(E68)=16777215,"BLANCO","NO SE"))))</f>
        <v>ROSA</v>
      </c>
      <c r="Q68" s="79" t="s">
        <v>1324</v>
      </c>
      <c r="R68" s="4" t="str">
        <f>VLOOKUP($Q68,Resultados!$A$1:$B$49,2,FALSE)</f>
        <v>RESUELTA EN ETAPA DE PREVENTIVA</v>
      </c>
      <c r="S68" s="79"/>
      <c r="T68" s="86"/>
      <c r="U68" s="86"/>
      <c r="V68" s="74"/>
      <c r="W68" s="74"/>
      <c r="X68" s="74"/>
      <c r="Y68" s="64"/>
      <c r="Z68" s="74"/>
      <c r="AA68" s="74"/>
      <c r="AB68" s="74"/>
      <c r="AC68" s="74"/>
      <c r="AD68" s="74"/>
      <c r="AE68" s="140"/>
      <c r="AF68" s="76">
        <v>7</v>
      </c>
      <c r="AG68" s="76"/>
      <c r="AH68" s="76">
        <v>0</v>
      </c>
      <c r="AI68" s="76"/>
      <c r="AJ68" s="122" t="s">
        <v>408</v>
      </c>
      <c r="AK68" s="130"/>
      <c r="AL68" s="139" t="s">
        <v>1628</v>
      </c>
      <c r="AM68" s="431" t="str">
        <f>VLOOKUP($Q68,Resultados!$A$1:$C$49,3,FALSE)</f>
        <v>RESUELTA</v>
      </c>
    </row>
    <row r="69" spans="1:39" customFormat="1" ht="51">
      <c r="A69" s="372">
        <v>35</v>
      </c>
      <c r="B69" s="85">
        <v>45219</v>
      </c>
      <c r="C69" s="325" t="s">
        <v>12</v>
      </c>
      <c r="D69" s="79" t="s">
        <v>423</v>
      </c>
      <c r="E69" s="84" t="s">
        <v>425</v>
      </c>
      <c r="F69" s="74">
        <v>1</v>
      </c>
      <c r="G69" s="74" t="s">
        <v>325</v>
      </c>
      <c r="H69" s="305">
        <v>45279</v>
      </c>
      <c r="I69" s="82" t="s">
        <v>143</v>
      </c>
      <c r="J69" s="85" t="s">
        <v>144</v>
      </c>
      <c r="K69" s="79" t="s">
        <v>1168</v>
      </c>
      <c r="L69" s="79" t="s">
        <v>82</v>
      </c>
      <c r="M69" s="79" t="s">
        <v>424</v>
      </c>
      <c r="N69" s="174" t="s">
        <v>1470</v>
      </c>
      <c r="O69" s="24" t="str">
        <f>IF(Q69=" _","NO","SI")</f>
        <v>SI</v>
      </c>
      <c r="P69" s="24" t="str">
        <f ca="1">IF(color_Celda(E69)=12106214,"ROSA",IF(color_Celda(E69)=65535,"AMARILLO",IF(color_Celda(E69)=5296274,"VERDE",IF(color_Celda(E69)=16777215,"BLANCO","NO SE"))))</f>
        <v>ROSA</v>
      </c>
      <c r="Q69" s="79" t="s">
        <v>96</v>
      </c>
      <c r="R69" s="4" t="str">
        <f>VLOOKUP($Q69,Resultados!$A$1:$B$49,2,FALSE)</f>
        <v>Juicio Abreviado</v>
      </c>
      <c r="S69" s="79"/>
      <c r="T69" s="86"/>
      <c r="U69" s="86"/>
      <c r="V69" s="74"/>
      <c r="W69" s="74"/>
      <c r="X69" s="74"/>
      <c r="Y69" s="64"/>
      <c r="Z69" s="74"/>
      <c r="AA69" s="227" t="s">
        <v>1208</v>
      </c>
      <c r="AB69" s="74"/>
      <c r="AC69" s="74"/>
      <c r="AD69" s="74"/>
      <c r="AE69" s="140"/>
      <c r="AF69" s="81">
        <v>7</v>
      </c>
      <c r="AG69" s="76"/>
      <c r="AH69" s="76">
        <v>0</v>
      </c>
      <c r="AI69" s="76"/>
      <c r="AJ69" s="122" t="s">
        <v>408</v>
      </c>
      <c r="AK69" s="130"/>
      <c r="AL69" s="139" t="s">
        <v>1628</v>
      </c>
      <c r="AM69" s="431" t="str">
        <f>VLOOKUP($Q69,Resultados!$A$1:$C$49,3,FALSE)</f>
        <v>RESUELTA</v>
      </c>
    </row>
    <row r="70" spans="1:39" customFormat="1" ht="76.5">
      <c r="A70" s="372">
        <v>9</v>
      </c>
      <c r="B70" s="82">
        <v>45217</v>
      </c>
      <c r="C70" s="325" t="s">
        <v>374</v>
      </c>
      <c r="D70" s="79" t="s">
        <v>375</v>
      </c>
      <c r="E70" s="88" t="s">
        <v>376</v>
      </c>
      <c r="F70" s="79">
        <v>1</v>
      </c>
      <c r="G70" s="79" t="s">
        <v>10</v>
      </c>
      <c r="H70" s="306">
        <v>45279</v>
      </c>
      <c r="I70" s="89"/>
      <c r="J70" s="82"/>
      <c r="K70" s="79" t="s">
        <v>1480</v>
      </c>
      <c r="L70" s="79" t="s">
        <v>83</v>
      </c>
      <c r="M70" s="79"/>
      <c r="N70" s="172" t="s">
        <v>2674</v>
      </c>
      <c r="O70" s="24" t="str">
        <f>IF(Q70=" _","NO","SI")</f>
        <v>SI</v>
      </c>
      <c r="P70" s="24" t="str">
        <f ca="1">IF(color_Celda(E70)=12106214,"ROSA",IF(color_Celda(E70)=65535,"AMARILLO",IF(color_Celda(E70)=5296274,"VERDE",IF(color_Celda(E70)=16777215,"BLANCO","NO SE"))))</f>
        <v>ROSA</v>
      </c>
      <c r="Q70" s="79" t="s">
        <v>1162</v>
      </c>
      <c r="R70" s="4" t="str">
        <f>VLOOKUP($Q70,Resultados!$A$1:$B$49,2,FALSE)</f>
        <v>ELEVADA A JUICIO</v>
      </c>
      <c r="S70" s="89"/>
      <c r="T70" s="86"/>
      <c r="U70" s="86"/>
      <c r="V70" s="79"/>
      <c r="W70" s="89"/>
      <c r="X70" s="79"/>
      <c r="Y70" s="64"/>
      <c r="Z70" s="90" t="s">
        <v>124</v>
      </c>
      <c r="AA70" s="94"/>
      <c r="AB70" s="90" t="s">
        <v>134</v>
      </c>
      <c r="AC70" s="85"/>
      <c r="AD70" s="85"/>
      <c r="AE70" s="140"/>
      <c r="AF70" s="81">
        <v>7</v>
      </c>
      <c r="AG70" s="76" t="s">
        <v>1485</v>
      </c>
      <c r="AH70" s="76">
        <v>0</v>
      </c>
      <c r="AI70" s="76"/>
      <c r="AJ70" s="122" t="s">
        <v>988</v>
      </c>
      <c r="AK70" s="130"/>
      <c r="AL70" s="139" t="s">
        <v>1628</v>
      </c>
      <c r="AM70" s="431" t="str">
        <f>VLOOKUP($Q70,Resultados!$A$1:$C$49,3,FALSE)</f>
        <v>ELEVADA</v>
      </c>
    </row>
    <row r="71" spans="1:39" customFormat="1" ht="63.75">
      <c r="A71" s="372">
        <v>20</v>
      </c>
      <c r="B71" s="85">
        <v>45217</v>
      </c>
      <c r="C71" s="326" t="s">
        <v>3066</v>
      </c>
      <c r="D71" s="79" t="s">
        <v>406</v>
      </c>
      <c r="E71" s="84" t="s">
        <v>435</v>
      </c>
      <c r="F71" s="74">
        <v>7</v>
      </c>
      <c r="G71" s="74" t="s">
        <v>10</v>
      </c>
      <c r="H71" s="305">
        <v>45279</v>
      </c>
      <c r="I71" s="85"/>
      <c r="J71" s="85"/>
      <c r="K71" s="74" t="s">
        <v>1480</v>
      </c>
      <c r="L71" s="79" t="s">
        <v>86</v>
      </c>
      <c r="M71" s="79" t="s">
        <v>223</v>
      </c>
      <c r="N71" s="172" t="s">
        <v>1710</v>
      </c>
      <c r="O71" s="24" t="str">
        <f>IF(Q71=" _","NO","SI")</f>
        <v>SI</v>
      </c>
      <c r="P71" s="24" t="str">
        <f ca="1">IF(color_Celda(E71)=12106214,"ROSA",IF(color_Celda(E71)=65535,"AMARILLO",IF(color_Celda(E71)=5296274,"VERDE",IF(color_Celda(E71)=16777215,"BLANCO","NO SE"))))</f>
        <v>ROSA</v>
      </c>
      <c r="Q71" s="79" t="s">
        <v>1162</v>
      </c>
      <c r="R71" s="4" t="str">
        <f>VLOOKUP($Q71,Resultados!$A$1:$B$49,2,FALSE)</f>
        <v>ELEVADA A JUICIO</v>
      </c>
      <c r="S71" s="79"/>
      <c r="T71" s="86"/>
      <c r="U71" s="86"/>
      <c r="V71" s="74"/>
      <c r="W71" s="74"/>
      <c r="X71" s="74"/>
      <c r="Y71" s="64"/>
      <c r="Z71" s="90" t="s">
        <v>64</v>
      </c>
      <c r="AA71" s="74"/>
      <c r="AB71" s="90" t="s">
        <v>136</v>
      </c>
      <c r="AC71" s="74"/>
      <c r="AD71" s="74"/>
      <c r="AE71" s="140"/>
      <c r="AF71" s="81">
        <v>7</v>
      </c>
      <c r="AG71" s="76"/>
      <c r="AH71" s="76">
        <v>0</v>
      </c>
      <c r="AI71" s="76"/>
      <c r="AJ71" s="122" t="s">
        <v>408</v>
      </c>
      <c r="AK71" s="130"/>
      <c r="AL71" s="139" t="s">
        <v>1628</v>
      </c>
      <c r="AM71" s="431" t="str">
        <f>VLOOKUP($Q71,Resultados!$A$1:$C$49,3,FALSE)</f>
        <v>ELEVADA</v>
      </c>
    </row>
    <row r="72" spans="1:39" customFormat="1" ht="114.75">
      <c r="A72" s="372">
        <v>56</v>
      </c>
      <c r="B72" s="85">
        <v>45225</v>
      </c>
      <c r="C72" s="326" t="s">
        <v>1140</v>
      </c>
      <c r="D72" s="79" t="s">
        <v>286</v>
      </c>
      <c r="E72" s="84" t="s">
        <v>474</v>
      </c>
      <c r="F72" s="74">
        <v>6</v>
      </c>
      <c r="G72" s="74" t="s">
        <v>1370</v>
      </c>
      <c r="H72" s="305">
        <v>45280</v>
      </c>
      <c r="I72" s="85"/>
      <c r="J72" s="85"/>
      <c r="K72" s="74" t="s">
        <v>1480</v>
      </c>
      <c r="L72" s="79" t="s">
        <v>2172</v>
      </c>
      <c r="M72" s="79" t="s">
        <v>481</v>
      </c>
      <c r="N72" s="172" t="s">
        <v>1377</v>
      </c>
      <c r="O72" s="24" t="str">
        <f>IF(Q72=" _","NO","SI")</f>
        <v>SI</v>
      </c>
      <c r="P72" s="24" t="str">
        <f ca="1">IF(color_Celda(E72)=12106214,"ROSA",IF(color_Celda(E72)=65535,"AMARILLO",IF(color_Celda(E72)=5296274,"VERDE",IF(color_Celda(E72)=16777215,"BLANCO","NO SE"))))</f>
        <v>ROSA</v>
      </c>
      <c r="Q72" s="79" t="s">
        <v>1162</v>
      </c>
      <c r="R72" s="4" t="str">
        <f>VLOOKUP($Q72,Resultados!$A$1:$B$49,2,FALSE)</f>
        <v>ELEVADA A JUICIO</v>
      </c>
      <c r="S72" s="79"/>
      <c r="T72" s="86"/>
      <c r="U72" s="86"/>
      <c r="V72" s="74"/>
      <c r="W72" s="74"/>
      <c r="X72" s="74"/>
      <c r="Y72" s="64"/>
      <c r="Z72" s="74"/>
      <c r="AA72" s="74"/>
      <c r="AB72" s="74"/>
      <c r="AC72" s="74"/>
      <c r="AD72" s="74"/>
      <c r="AE72" s="140"/>
      <c r="AF72" s="81">
        <v>7</v>
      </c>
      <c r="AG72" s="76"/>
      <c r="AH72" s="76">
        <v>0</v>
      </c>
      <c r="AI72" s="76"/>
      <c r="AJ72" s="122" t="s">
        <v>408</v>
      </c>
      <c r="AK72" s="130"/>
      <c r="AL72" s="139" t="s">
        <v>1628</v>
      </c>
      <c r="AM72" s="431" t="str">
        <f>VLOOKUP($Q72,Resultados!$A$1:$C$49,3,FALSE)</f>
        <v>ELEVADA</v>
      </c>
    </row>
    <row r="73" spans="1:39" customFormat="1" ht="127.5">
      <c r="A73" s="372">
        <v>200</v>
      </c>
      <c r="B73" s="85">
        <v>45239</v>
      </c>
      <c r="C73" s="325" t="s">
        <v>706</v>
      </c>
      <c r="D73" s="79" t="s">
        <v>707</v>
      </c>
      <c r="E73" s="84" t="s">
        <v>714</v>
      </c>
      <c r="F73" s="74">
        <v>1</v>
      </c>
      <c r="G73" s="74" t="s">
        <v>326</v>
      </c>
      <c r="H73" s="305">
        <v>45280</v>
      </c>
      <c r="I73" s="85"/>
      <c r="J73" s="85"/>
      <c r="K73" s="74" t="s">
        <v>1480</v>
      </c>
      <c r="L73" s="79" t="s">
        <v>127</v>
      </c>
      <c r="M73" s="79" t="s">
        <v>713</v>
      </c>
      <c r="N73" s="174" t="s">
        <v>1731</v>
      </c>
      <c r="O73" s="24" t="str">
        <f>IF(Q73=" _","NO","SI")</f>
        <v>SI</v>
      </c>
      <c r="P73" s="24" t="str">
        <f ca="1">IF(color_Celda(E73)=12106214,"ROSA",IF(color_Celda(E73)=65535,"AMARILLO",IF(color_Celda(E73)=5296274,"VERDE",IF(color_Celda(E73)=16777215,"BLANCO","NO SE"))))</f>
        <v>ROSA</v>
      </c>
      <c r="Q73" s="79" t="s">
        <v>1162</v>
      </c>
      <c r="R73" s="4" t="str">
        <f>VLOOKUP($Q73,Resultados!$A$1:$B$49,2,FALSE)</f>
        <v>ELEVADA A JUICIO</v>
      </c>
      <c r="S73" s="79"/>
      <c r="T73" s="86"/>
      <c r="U73" s="86"/>
      <c r="V73" s="74"/>
      <c r="W73" s="74"/>
      <c r="X73" s="74"/>
      <c r="Y73" s="64"/>
      <c r="Z73" s="74"/>
      <c r="AA73" s="74"/>
      <c r="AB73" s="74"/>
      <c r="AC73" s="74"/>
      <c r="AD73" s="74"/>
      <c r="AE73" s="140"/>
      <c r="AF73" s="81">
        <v>7</v>
      </c>
      <c r="AG73" s="76"/>
      <c r="AH73" s="76">
        <v>0</v>
      </c>
      <c r="AI73" s="76"/>
      <c r="AJ73" s="122" t="s">
        <v>408</v>
      </c>
      <c r="AK73" s="138"/>
      <c r="AL73" s="139" t="s">
        <v>1628</v>
      </c>
      <c r="AM73" s="431" t="str">
        <f>VLOOKUP($Q73,Resultados!$A$1:$C$49,3,FALSE)</f>
        <v>ELEVADA</v>
      </c>
    </row>
    <row r="74" spans="1:39" customFormat="1" ht="63.75">
      <c r="A74" s="372">
        <v>326</v>
      </c>
      <c r="B74" s="85">
        <v>45253</v>
      </c>
      <c r="C74" s="325" t="s">
        <v>143</v>
      </c>
      <c r="D74" s="79" t="s">
        <v>983</v>
      </c>
      <c r="E74" s="84" t="s">
        <v>984</v>
      </c>
      <c r="F74" s="74">
        <v>1</v>
      </c>
      <c r="G74" s="74" t="s">
        <v>1370</v>
      </c>
      <c r="H74" s="305">
        <v>45280</v>
      </c>
      <c r="I74" s="85"/>
      <c r="J74" s="85"/>
      <c r="K74" s="74" t="s">
        <v>1480</v>
      </c>
      <c r="L74" s="79" t="s">
        <v>79</v>
      </c>
      <c r="M74" s="79" t="s">
        <v>59</v>
      </c>
      <c r="N74" s="174" t="s">
        <v>1382</v>
      </c>
      <c r="O74" s="24" t="str">
        <f>IF(Q74=" _","NO","SI")</f>
        <v>SI</v>
      </c>
      <c r="P74" s="24" t="str">
        <f ca="1">IF(color_Celda(E74)=12106214,"ROSA",IF(color_Celda(E74)=65535,"AMARILLO",IF(color_Celda(E74)=5296274,"VERDE",IF(color_Celda(E74)=16777215,"BLANCO","NO SE"))))</f>
        <v>ROSA</v>
      </c>
      <c r="Q74" s="79" t="s">
        <v>1162</v>
      </c>
      <c r="R74" s="4" t="str">
        <f>VLOOKUP($Q74,Resultados!$A$1:$B$49,2,FALSE)</f>
        <v>ELEVADA A JUICIO</v>
      </c>
      <c r="S74" s="79"/>
      <c r="T74" s="86"/>
      <c r="U74" s="86"/>
      <c r="V74" s="74"/>
      <c r="W74" s="74"/>
      <c r="X74" s="74"/>
      <c r="Y74" s="64"/>
      <c r="Z74" s="74"/>
      <c r="AA74" s="74"/>
      <c r="AB74" s="74"/>
      <c r="AC74" s="74"/>
      <c r="AD74" s="74"/>
      <c r="AE74" s="140"/>
      <c r="AF74" s="76">
        <v>7</v>
      </c>
      <c r="AG74" s="76"/>
      <c r="AH74" s="76">
        <v>0</v>
      </c>
      <c r="AI74" s="76"/>
      <c r="AJ74" s="122" t="s">
        <v>408</v>
      </c>
      <c r="AK74" s="130"/>
      <c r="AL74" s="139" t="s">
        <v>1628</v>
      </c>
      <c r="AM74" s="431" t="str">
        <f>VLOOKUP($Q74,Resultados!$A$1:$C$49,3,FALSE)</f>
        <v>ELEVADA</v>
      </c>
    </row>
    <row r="75" spans="1:39" customFormat="1" ht="63.75">
      <c r="A75" s="372">
        <v>338</v>
      </c>
      <c r="B75" s="85">
        <v>45254</v>
      </c>
      <c r="C75" s="325" t="s">
        <v>143</v>
      </c>
      <c r="D75" s="79" t="s">
        <v>269</v>
      </c>
      <c r="E75" s="84" t="s">
        <v>975</v>
      </c>
      <c r="F75" s="74">
        <v>6</v>
      </c>
      <c r="G75" s="74" t="s">
        <v>325</v>
      </c>
      <c r="H75" s="305">
        <v>45280</v>
      </c>
      <c r="I75" s="85"/>
      <c r="J75" s="85"/>
      <c r="K75" s="74" t="s">
        <v>1480</v>
      </c>
      <c r="L75" s="79" t="s">
        <v>127</v>
      </c>
      <c r="M75" s="79" t="s">
        <v>974</v>
      </c>
      <c r="N75" s="172" t="s">
        <v>1368</v>
      </c>
      <c r="O75" s="24" t="str">
        <f>IF(Q75=" _","NO","SI")</f>
        <v>SI</v>
      </c>
      <c r="P75" s="24" t="str">
        <f ca="1">IF(color_Celda(E75)=12106214,"ROSA",IF(color_Celda(E75)=65535,"AMARILLO",IF(color_Celda(E75)=5296274,"VERDE",IF(color_Celda(E75)=16777215,"BLANCO","NO SE"))))</f>
        <v>ROSA</v>
      </c>
      <c r="Q75" s="79" t="s">
        <v>1162</v>
      </c>
      <c r="R75" s="4" t="str">
        <f>VLOOKUP($Q75,Resultados!$A$1:$B$49,2,FALSE)</f>
        <v>ELEVADA A JUICIO</v>
      </c>
      <c r="S75" s="79"/>
      <c r="T75" s="86"/>
      <c r="U75" s="86"/>
      <c r="V75" s="74"/>
      <c r="W75" s="74"/>
      <c r="X75" s="74"/>
      <c r="Y75" s="64"/>
      <c r="Z75" s="74"/>
      <c r="AA75" s="74"/>
      <c r="AB75" s="74"/>
      <c r="AC75" s="74"/>
      <c r="AD75" s="74"/>
      <c r="AE75" s="140"/>
      <c r="AF75" s="76">
        <v>7</v>
      </c>
      <c r="AG75" s="76"/>
      <c r="AH75" s="76">
        <v>0</v>
      </c>
      <c r="AI75" s="76"/>
      <c r="AJ75" s="122" t="s">
        <v>408</v>
      </c>
      <c r="AK75" s="130"/>
      <c r="AL75" s="139" t="s">
        <v>1628</v>
      </c>
      <c r="AM75" s="431" t="str">
        <f>VLOOKUP($Q75,Resultados!$A$1:$C$49,3,FALSE)</f>
        <v>ELEVADA</v>
      </c>
    </row>
    <row r="76" spans="1:39" customFormat="1" ht="89.25">
      <c r="A76" s="372">
        <v>498</v>
      </c>
      <c r="B76" s="85">
        <v>45280</v>
      </c>
      <c r="C76" s="325" t="s">
        <v>1310</v>
      </c>
      <c r="D76" s="79" t="s">
        <v>1311</v>
      </c>
      <c r="E76" s="84" t="s">
        <v>1323</v>
      </c>
      <c r="F76" s="74">
        <v>1</v>
      </c>
      <c r="G76" s="74" t="s">
        <v>326</v>
      </c>
      <c r="H76" s="305">
        <v>45280</v>
      </c>
      <c r="I76" s="85"/>
      <c r="J76" s="85"/>
      <c r="K76" s="74" t="s">
        <v>1480</v>
      </c>
      <c r="L76" s="79" t="s">
        <v>36</v>
      </c>
      <c r="M76" s="79"/>
      <c r="N76" s="174" t="s">
        <v>1322</v>
      </c>
      <c r="O76" s="24" t="str">
        <f>IF(Q76=" _","NO","SI")</f>
        <v>SI</v>
      </c>
      <c r="P76" s="24" t="str">
        <f ca="1">IF(color_Celda(E76)=12106214,"ROSA",IF(color_Celda(E76)=65535,"AMARILLO",IF(color_Celda(E76)=5296274,"VERDE",IF(color_Celda(E76)=16777215,"BLANCO","NO SE"))))</f>
        <v>ROSA</v>
      </c>
      <c r="Q76" s="79" t="s">
        <v>1324</v>
      </c>
      <c r="R76" s="4" t="str">
        <f>VLOOKUP($Q76,Resultados!$A$1:$B$49,2,FALSE)</f>
        <v>RESUELTA EN ETAPA DE PREVENTIVA</v>
      </c>
      <c r="S76" s="79"/>
      <c r="T76" s="86"/>
      <c r="U76" s="86"/>
      <c r="V76" s="74"/>
      <c r="W76" s="74"/>
      <c r="X76" s="74"/>
      <c r="Y76" s="64"/>
      <c r="Z76" s="74"/>
      <c r="AA76" s="74"/>
      <c r="AB76" s="74"/>
      <c r="AC76" s="74"/>
      <c r="AD76" s="74"/>
      <c r="AE76" s="140"/>
      <c r="AF76" s="76">
        <v>7</v>
      </c>
      <c r="AG76" s="76"/>
      <c r="AH76" s="76">
        <v>0</v>
      </c>
      <c r="AI76" s="76"/>
      <c r="AJ76" s="122" t="s">
        <v>408</v>
      </c>
      <c r="AK76" s="130"/>
      <c r="AL76" s="139" t="s">
        <v>1628</v>
      </c>
      <c r="AM76" s="431" t="str">
        <f>VLOOKUP($Q76,Resultados!$A$1:$C$49,3,FALSE)</f>
        <v>RESUELTA</v>
      </c>
    </row>
    <row r="77" spans="1:39" customFormat="1" ht="38.25">
      <c r="A77" s="372">
        <v>207</v>
      </c>
      <c r="B77" s="85">
        <v>45240</v>
      </c>
      <c r="C77" s="325" t="s">
        <v>729</v>
      </c>
      <c r="D77" s="79" t="s">
        <v>265</v>
      </c>
      <c r="E77" s="84" t="s">
        <v>730</v>
      </c>
      <c r="F77" s="74">
        <v>6</v>
      </c>
      <c r="G77" s="74" t="s">
        <v>5</v>
      </c>
      <c r="H77" s="305">
        <v>45281</v>
      </c>
      <c r="I77" s="85"/>
      <c r="J77" s="85"/>
      <c r="K77" s="74" t="s">
        <v>1480</v>
      </c>
      <c r="L77" s="79" t="s">
        <v>250</v>
      </c>
      <c r="M77" s="79" t="s">
        <v>121</v>
      </c>
      <c r="N77" s="105" t="s">
        <v>1376</v>
      </c>
      <c r="O77" s="24" t="str">
        <f>IF(Q77=" _","NO","SI")</f>
        <v>SI</v>
      </c>
      <c r="P77" s="24" t="str">
        <f ca="1">IF(color_Celda(E77)=12106214,"ROSA",IF(color_Celda(E77)=65535,"AMARILLO",IF(color_Celda(E77)=5296274,"VERDE",IF(color_Celda(E77)=16777215,"BLANCO","NO SE"))))</f>
        <v>ROSA</v>
      </c>
      <c r="Q77" s="79" t="s">
        <v>1162</v>
      </c>
      <c r="R77" s="4" t="str">
        <f>VLOOKUP($Q77,Resultados!$A$1:$B$49,2,FALSE)</f>
        <v>ELEVADA A JUICIO</v>
      </c>
      <c r="S77" s="79"/>
      <c r="T77" s="86"/>
      <c r="U77" s="86"/>
      <c r="V77" s="74"/>
      <c r="W77" s="74"/>
      <c r="X77" s="74"/>
      <c r="Y77" s="64"/>
      <c r="Z77" s="74"/>
      <c r="AA77" s="74"/>
      <c r="AB77" s="74"/>
      <c r="AC77" s="74"/>
      <c r="AD77" s="74"/>
      <c r="AE77" s="140"/>
      <c r="AF77" s="81">
        <v>7</v>
      </c>
      <c r="AG77" s="76"/>
      <c r="AH77" s="76">
        <v>0</v>
      </c>
      <c r="AI77" s="76"/>
      <c r="AJ77" s="122" t="s">
        <v>408</v>
      </c>
      <c r="AK77" s="130"/>
      <c r="AL77" s="139" t="s">
        <v>1628</v>
      </c>
      <c r="AM77" s="431" t="str">
        <f>VLOOKUP($Q77,Resultados!$A$1:$C$49,3,FALSE)</f>
        <v>ELEVADA</v>
      </c>
    </row>
    <row r="78" spans="1:39" customFormat="1" ht="102">
      <c r="A78" s="372">
        <v>215</v>
      </c>
      <c r="B78" s="85">
        <v>45240</v>
      </c>
      <c r="C78" s="325" t="s">
        <v>807</v>
      </c>
      <c r="D78" s="79" t="s">
        <v>319</v>
      </c>
      <c r="E78" s="84" t="s">
        <v>809</v>
      </c>
      <c r="F78" s="74">
        <v>5</v>
      </c>
      <c r="G78" s="74" t="s">
        <v>325</v>
      </c>
      <c r="H78" s="305">
        <v>45281</v>
      </c>
      <c r="I78" s="85"/>
      <c r="J78" s="85"/>
      <c r="K78" s="74" t="s">
        <v>1480</v>
      </c>
      <c r="L78" s="79" t="s">
        <v>88</v>
      </c>
      <c r="M78" s="79" t="s">
        <v>125</v>
      </c>
      <c r="N78" s="172" t="s">
        <v>1365</v>
      </c>
      <c r="O78" s="24" t="str">
        <f>IF(Q78=" _","NO","SI")</f>
        <v>SI</v>
      </c>
      <c r="P78" s="24" t="str">
        <f ca="1">IF(color_Celda(E78)=12106214,"ROSA",IF(color_Celda(E78)=65535,"AMARILLO",IF(color_Celda(E78)=5296274,"VERDE",IF(color_Celda(E78)=16777215,"BLANCO","NO SE"))))</f>
        <v>ROSA</v>
      </c>
      <c r="Q78" s="79" t="s">
        <v>1162</v>
      </c>
      <c r="R78" s="4" t="str">
        <f>VLOOKUP($Q78,Resultados!$A$1:$B$49,2,FALSE)</f>
        <v>ELEVADA A JUICIO</v>
      </c>
      <c r="S78" s="79"/>
      <c r="T78" s="86"/>
      <c r="U78" s="86"/>
      <c r="V78" s="74"/>
      <c r="W78" s="74"/>
      <c r="X78" s="74"/>
      <c r="Y78" s="64"/>
      <c r="Z78" s="74"/>
      <c r="AA78" s="74"/>
      <c r="AB78" s="74"/>
      <c r="AC78" s="74"/>
      <c r="AD78" s="74"/>
      <c r="AE78" s="140"/>
      <c r="AF78" s="81">
        <v>7</v>
      </c>
      <c r="AG78" s="76"/>
      <c r="AH78" s="76">
        <v>0</v>
      </c>
      <c r="AI78" s="76"/>
      <c r="AJ78" s="122" t="s">
        <v>408</v>
      </c>
      <c r="AK78" s="130"/>
      <c r="AL78" s="139" t="s">
        <v>1628</v>
      </c>
      <c r="AM78" s="431" t="str">
        <f>VLOOKUP($Q78,Resultados!$A$1:$C$49,3,FALSE)</f>
        <v>ELEVADA</v>
      </c>
    </row>
    <row r="79" spans="1:39" customFormat="1" ht="191.25">
      <c r="A79" s="372">
        <v>33</v>
      </c>
      <c r="B79" s="85">
        <v>45219</v>
      </c>
      <c r="C79" s="326" t="s">
        <v>15</v>
      </c>
      <c r="D79" s="79" t="s">
        <v>210</v>
      </c>
      <c r="E79" s="84" t="s">
        <v>444</v>
      </c>
      <c r="F79" s="74">
        <v>3</v>
      </c>
      <c r="G79" s="74" t="s">
        <v>1370</v>
      </c>
      <c r="H79" s="305">
        <v>45282</v>
      </c>
      <c r="I79" s="85"/>
      <c r="J79" s="85"/>
      <c r="K79" s="74" t="s">
        <v>1480</v>
      </c>
      <c r="L79" s="79" t="s">
        <v>211</v>
      </c>
      <c r="M79" s="79"/>
      <c r="N79" s="172" t="s">
        <v>1374</v>
      </c>
      <c r="O79" s="24" t="str">
        <f>IF(Q79=" _","NO","SI")</f>
        <v>SI</v>
      </c>
      <c r="P79" s="24" t="str">
        <f ca="1">IF(color_Celda(E79)=12106214,"ROSA",IF(color_Celda(E79)=65535,"AMARILLO",IF(color_Celda(E79)=5296274,"VERDE",IF(color_Celda(E79)=16777215,"BLANCO","NO SE"))))</f>
        <v>ROSA</v>
      </c>
      <c r="Q79" s="79" t="s">
        <v>1162</v>
      </c>
      <c r="R79" s="4" t="str">
        <f>VLOOKUP($Q79,Resultados!$A$1:$B$49,2,FALSE)</f>
        <v>ELEVADA A JUICIO</v>
      </c>
      <c r="S79" s="79"/>
      <c r="T79" s="86"/>
      <c r="U79" s="86"/>
      <c r="V79" s="74"/>
      <c r="W79" s="74"/>
      <c r="X79" s="74"/>
      <c r="Y79" s="64"/>
      <c r="Z79" s="74"/>
      <c r="AA79" s="74"/>
      <c r="AB79" s="74"/>
      <c r="AC79" s="74"/>
      <c r="AD79" s="74"/>
      <c r="AE79" s="140"/>
      <c r="AF79" s="81">
        <v>7</v>
      </c>
      <c r="AG79" s="76"/>
      <c r="AH79" s="76">
        <v>0</v>
      </c>
      <c r="AI79" s="76"/>
      <c r="AJ79" s="122" t="s">
        <v>408</v>
      </c>
      <c r="AK79" s="130"/>
      <c r="AL79" s="139" t="s">
        <v>1628</v>
      </c>
      <c r="AM79" s="431" t="str">
        <f>VLOOKUP($Q79,Resultados!$A$1:$C$49,3,FALSE)</f>
        <v>ELEVADA</v>
      </c>
    </row>
    <row r="80" spans="1:39" customFormat="1" ht="38.25">
      <c r="A80" s="372">
        <v>90</v>
      </c>
      <c r="B80" s="85">
        <v>45231</v>
      </c>
      <c r="C80" s="326" t="s">
        <v>12</v>
      </c>
      <c r="D80" s="79" t="s">
        <v>530</v>
      </c>
      <c r="E80" s="88" t="s">
        <v>531</v>
      </c>
      <c r="F80" s="74">
        <v>2</v>
      </c>
      <c r="G80" s="74" t="s">
        <v>325</v>
      </c>
      <c r="H80" s="305">
        <v>45282</v>
      </c>
      <c r="I80" s="85"/>
      <c r="J80" s="85"/>
      <c r="K80" s="74" t="s">
        <v>1480</v>
      </c>
      <c r="L80" s="79" t="s">
        <v>2167</v>
      </c>
      <c r="M80" s="79" t="s">
        <v>586</v>
      </c>
      <c r="N80" s="174" t="s">
        <v>1822</v>
      </c>
      <c r="O80" s="24" t="str">
        <f>IF(Q80=" _","NO","SI")</f>
        <v>SI</v>
      </c>
      <c r="P80" s="24" t="str">
        <f ca="1">IF(color_Celda(E80)=12106214,"ROSA",IF(color_Celda(E80)=65535,"AMARILLO",IF(color_Celda(E80)=5296274,"VERDE",IF(color_Celda(E80)=16777215,"BLANCO","NO SE"))))</f>
        <v>ROSA</v>
      </c>
      <c r="Q80" s="79" t="s">
        <v>1162</v>
      </c>
      <c r="R80" s="4" t="str">
        <f>VLOOKUP($Q80,Resultados!$A$1:$B$49,2,FALSE)</f>
        <v>ELEVADA A JUICIO</v>
      </c>
      <c r="S80" s="79"/>
      <c r="T80" s="86"/>
      <c r="U80" s="86"/>
      <c r="V80" s="74"/>
      <c r="W80" s="74"/>
      <c r="X80" s="74"/>
      <c r="Y80" s="64"/>
      <c r="Z80" s="74"/>
      <c r="AA80" s="74"/>
      <c r="AB80" s="74"/>
      <c r="AC80" s="74"/>
      <c r="AD80" s="74"/>
      <c r="AE80" s="140"/>
      <c r="AF80" s="81">
        <v>7</v>
      </c>
      <c r="AG80" s="76"/>
      <c r="AH80" s="76">
        <v>0</v>
      </c>
      <c r="AI80" s="76"/>
      <c r="AJ80" s="122" t="s">
        <v>988</v>
      </c>
      <c r="AK80" s="138"/>
      <c r="AL80" s="139" t="s">
        <v>1628</v>
      </c>
      <c r="AM80" s="431" t="str">
        <f>VLOOKUP($Q80,Resultados!$A$1:$C$49,3,FALSE)</f>
        <v>ELEVADA</v>
      </c>
    </row>
    <row r="81" spans="1:39" customFormat="1" ht="51">
      <c r="A81" s="372">
        <v>235</v>
      </c>
      <c r="B81" s="85">
        <v>45243</v>
      </c>
      <c r="C81" s="325" t="s">
        <v>810</v>
      </c>
      <c r="D81" s="79" t="s">
        <v>337</v>
      </c>
      <c r="E81" s="84" t="s">
        <v>720</v>
      </c>
      <c r="F81" s="74">
        <v>1</v>
      </c>
      <c r="G81" s="74" t="s">
        <v>326</v>
      </c>
      <c r="H81" s="305">
        <v>45282</v>
      </c>
      <c r="I81" s="85"/>
      <c r="J81" s="85"/>
      <c r="K81" s="74" t="s">
        <v>1480</v>
      </c>
      <c r="L81" s="79" t="s">
        <v>86</v>
      </c>
      <c r="M81" s="79" t="s">
        <v>59</v>
      </c>
      <c r="N81" s="174" t="s">
        <v>1735</v>
      </c>
      <c r="O81" s="24" t="str">
        <f>IF(Q81=" _","NO","SI")</f>
        <v>SI</v>
      </c>
      <c r="P81" s="24" t="str">
        <f ca="1">IF(color_Celda(E81)=12106214,"ROSA",IF(color_Celda(E81)=65535,"AMARILLO",IF(color_Celda(E81)=5296274,"VERDE",IF(color_Celda(E81)=16777215,"BLANCO","NO SE"))))</f>
        <v>ROSA</v>
      </c>
      <c r="Q81" s="79" t="s">
        <v>1162</v>
      </c>
      <c r="R81" s="4" t="str">
        <f>VLOOKUP($Q81,Resultados!$A$1:$B$49,2,FALSE)</f>
        <v>ELEVADA A JUICIO</v>
      </c>
      <c r="S81" s="79"/>
      <c r="T81" s="86"/>
      <c r="U81" s="86"/>
      <c r="V81" s="74"/>
      <c r="W81" s="74"/>
      <c r="X81" s="74"/>
      <c r="Y81" s="64"/>
      <c r="Z81" s="74"/>
      <c r="AA81" s="74"/>
      <c r="AB81" s="74"/>
      <c r="AC81" s="74"/>
      <c r="AD81" s="74"/>
      <c r="AE81" s="140"/>
      <c r="AF81" s="81">
        <v>7</v>
      </c>
      <c r="AG81" s="76"/>
      <c r="AH81" s="76">
        <v>0</v>
      </c>
      <c r="AI81" s="76"/>
      <c r="AJ81" s="122" t="s">
        <v>408</v>
      </c>
      <c r="AK81" s="130"/>
      <c r="AL81" s="139" t="s">
        <v>1628</v>
      </c>
      <c r="AM81" s="431" t="str">
        <f>VLOOKUP($Q81,Resultados!$A$1:$C$49,3,FALSE)</f>
        <v>ELEVADA</v>
      </c>
    </row>
    <row r="82" spans="1:39" customFormat="1" ht="38.25">
      <c r="A82" s="372">
        <v>333</v>
      </c>
      <c r="B82" s="85">
        <v>45254</v>
      </c>
      <c r="C82" s="325" t="s">
        <v>962</v>
      </c>
      <c r="D82" s="79" t="s">
        <v>963</v>
      </c>
      <c r="E82" s="84" t="s">
        <v>976</v>
      </c>
      <c r="F82" s="74">
        <v>2</v>
      </c>
      <c r="G82" s="74" t="s">
        <v>10</v>
      </c>
      <c r="H82" s="305">
        <v>45282</v>
      </c>
      <c r="I82" s="85"/>
      <c r="J82" s="85"/>
      <c r="K82" s="74" t="s">
        <v>1480</v>
      </c>
      <c r="L82" s="79" t="s">
        <v>84</v>
      </c>
      <c r="M82" s="79" t="s">
        <v>44</v>
      </c>
      <c r="N82" s="174" t="s">
        <v>1737</v>
      </c>
      <c r="O82" s="24" t="str">
        <f>IF(Q82=" _","NO","SI")</f>
        <v>SI</v>
      </c>
      <c r="P82" s="24" t="str">
        <f ca="1">IF(color_Celda(E82)=12106214,"ROSA",IF(color_Celda(E82)=65535,"AMARILLO",IF(color_Celda(E82)=5296274,"VERDE",IF(color_Celda(E82)=16777215,"BLANCO","NO SE"))))</f>
        <v>ROSA</v>
      </c>
      <c r="Q82" s="79" t="s">
        <v>1162</v>
      </c>
      <c r="R82" s="4" t="str">
        <f>VLOOKUP($Q82,Resultados!$A$1:$B$49,2,FALSE)</f>
        <v>ELEVADA A JUICIO</v>
      </c>
      <c r="S82" s="79"/>
      <c r="T82" s="73"/>
      <c r="U82" s="73"/>
      <c r="V82" s="68"/>
      <c r="W82" s="74"/>
      <c r="X82" s="74"/>
      <c r="Y82" s="64"/>
      <c r="Z82" s="74"/>
      <c r="AA82" s="74"/>
      <c r="AB82" s="74"/>
      <c r="AC82" s="74"/>
      <c r="AD82" s="74"/>
      <c r="AE82" s="140"/>
      <c r="AF82" s="81">
        <v>7</v>
      </c>
      <c r="AG82" s="76"/>
      <c r="AH82" s="76">
        <v>0</v>
      </c>
      <c r="AI82" s="76"/>
      <c r="AJ82" s="122" t="s">
        <v>408</v>
      </c>
      <c r="AK82" s="138"/>
      <c r="AL82" s="139" t="s">
        <v>1628</v>
      </c>
      <c r="AM82" s="431" t="str">
        <f>VLOOKUP($Q82,Resultados!$A$1:$C$49,3,FALSE)</f>
        <v>ELEVADA</v>
      </c>
    </row>
    <row r="83" spans="1:39" customFormat="1" ht="89.25">
      <c r="A83" s="372">
        <v>499</v>
      </c>
      <c r="B83" s="85">
        <v>45280</v>
      </c>
      <c r="C83" s="325" t="s">
        <v>905</v>
      </c>
      <c r="D83" s="79" t="s">
        <v>1312</v>
      </c>
      <c r="E83" s="84" t="s">
        <v>1340</v>
      </c>
      <c r="F83" s="74">
        <v>6</v>
      </c>
      <c r="G83" s="74" t="s">
        <v>326</v>
      </c>
      <c r="H83" s="305">
        <v>45282</v>
      </c>
      <c r="I83" s="85"/>
      <c r="J83" s="85"/>
      <c r="K83" s="74" t="s">
        <v>1480</v>
      </c>
      <c r="L83" s="79" t="s">
        <v>72</v>
      </c>
      <c r="M83" s="79" t="s">
        <v>62</v>
      </c>
      <c r="N83" s="105" t="s">
        <v>1341</v>
      </c>
      <c r="O83" s="24" t="str">
        <f>IF(Q83=" _","NO","SI")</f>
        <v>SI</v>
      </c>
      <c r="P83" s="24" t="str">
        <f ca="1">IF(color_Celda(E83)=12106214,"ROSA",IF(color_Celda(E83)=65535,"AMARILLO",IF(color_Celda(E83)=5296274,"VERDE",IF(color_Celda(E83)=16777215,"BLANCO","NO SE"))))</f>
        <v>ROSA</v>
      </c>
      <c r="Q83" s="79" t="s">
        <v>1324</v>
      </c>
      <c r="R83" s="4" t="str">
        <f>VLOOKUP($Q83,Resultados!$A$1:$B$49,2,FALSE)</f>
        <v>RESUELTA EN ETAPA DE PREVENTIVA</v>
      </c>
      <c r="S83" s="79"/>
      <c r="T83" s="86"/>
      <c r="U83" s="86"/>
      <c r="V83" s="74"/>
      <c r="W83" s="74"/>
      <c r="X83" s="74"/>
      <c r="Y83" s="64"/>
      <c r="Z83" s="74"/>
      <c r="AA83" s="74"/>
      <c r="AB83" s="74"/>
      <c r="AC83" s="74"/>
      <c r="AD83" s="74"/>
      <c r="AE83" s="140"/>
      <c r="AF83" s="76">
        <v>7</v>
      </c>
      <c r="AG83" s="76"/>
      <c r="AH83" s="76">
        <v>0</v>
      </c>
      <c r="AI83" s="76"/>
      <c r="AJ83" s="122" t="s">
        <v>408</v>
      </c>
      <c r="AK83" s="130"/>
      <c r="AL83" s="139" t="s">
        <v>1628</v>
      </c>
      <c r="AM83" s="431" t="str">
        <f>VLOOKUP($Q83,Resultados!$A$1:$C$49,3,FALSE)</f>
        <v>RESUELTA</v>
      </c>
    </row>
    <row r="84" spans="1:39" customFormat="1" ht="76.5">
      <c r="A84" s="372">
        <v>16</v>
      </c>
      <c r="B84" s="82">
        <v>45217</v>
      </c>
      <c r="C84" s="325" t="s">
        <v>3067</v>
      </c>
      <c r="D84" s="79" t="s">
        <v>395</v>
      </c>
      <c r="E84" s="84" t="s">
        <v>433</v>
      </c>
      <c r="F84" s="79">
        <v>5</v>
      </c>
      <c r="G84" s="79" t="s">
        <v>1370</v>
      </c>
      <c r="H84" s="306">
        <v>45286</v>
      </c>
      <c r="I84" s="89"/>
      <c r="J84" s="82"/>
      <c r="K84" s="79" t="s">
        <v>1480</v>
      </c>
      <c r="L84" s="79" t="s">
        <v>87</v>
      </c>
      <c r="M84" s="79" t="s">
        <v>396</v>
      </c>
      <c r="N84" s="174" t="s">
        <v>1815</v>
      </c>
      <c r="O84" s="24" t="str">
        <f>IF(Q84=" _","NO","SI")</f>
        <v>SI</v>
      </c>
      <c r="P84" s="24" t="str">
        <f ca="1">IF(color_Celda(E84)=12106214,"ROSA",IF(color_Celda(E84)=65535,"AMARILLO",IF(color_Celda(E84)=5296274,"VERDE",IF(color_Celda(E84)=16777215,"BLANCO","NO SE"))))</f>
        <v>ROSA</v>
      </c>
      <c r="Q84" s="79" t="s">
        <v>1162</v>
      </c>
      <c r="R84" s="4" t="str">
        <f>VLOOKUP($Q84,Resultados!$A$1:$B$49,2,FALSE)</f>
        <v>ELEVADA A JUICIO</v>
      </c>
      <c r="S84" s="79"/>
      <c r="T84" s="86"/>
      <c r="U84" s="86"/>
      <c r="V84" s="79"/>
      <c r="W84" s="79"/>
      <c r="X84" s="79" t="s">
        <v>450</v>
      </c>
      <c r="Y84" s="64"/>
      <c r="Z84" s="90" t="s">
        <v>63</v>
      </c>
      <c r="AA84" s="94"/>
      <c r="AB84" s="90" t="s">
        <v>138</v>
      </c>
      <c r="AC84" s="85"/>
      <c r="AD84" s="85"/>
      <c r="AE84" s="140"/>
      <c r="AF84" s="81">
        <v>7</v>
      </c>
      <c r="AG84" s="76" t="s">
        <v>1485</v>
      </c>
      <c r="AH84" s="76">
        <v>0</v>
      </c>
      <c r="AI84" s="76"/>
      <c r="AJ84" s="122" t="s">
        <v>408</v>
      </c>
      <c r="AK84" s="130"/>
      <c r="AL84" s="139" t="s">
        <v>1628</v>
      </c>
      <c r="AM84" s="431" t="str">
        <f>VLOOKUP($Q84,Resultados!$A$1:$C$49,3,FALSE)</f>
        <v>ELEVADA</v>
      </c>
    </row>
    <row r="85" spans="1:39" customFormat="1" ht="114.75">
      <c r="A85" s="372">
        <v>167</v>
      </c>
      <c r="B85" s="85">
        <v>45236</v>
      </c>
      <c r="C85" s="326" t="s">
        <v>3068</v>
      </c>
      <c r="D85" s="79" t="s">
        <v>650</v>
      </c>
      <c r="E85" s="84" t="s">
        <v>652</v>
      </c>
      <c r="F85" s="74">
        <v>3</v>
      </c>
      <c r="G85" s="74" t="s">
        <v>5</v>
      </c>
      <c r="H85" s="305">
        <v>45286</v>
      </c>
      <c r="I85" s="85"/>
      <c r="J85" s="85"/>
      <c r="K85" s="74" t="s">
        <v>1480</v>
      </c>
      <c r="L85" s="79" t="s">
        <v>254</v>
      </c>
      <c r="M85" s="79" t="s">
        <v>651</v>
      </c>
      <c r="N85" s="79" t="s">
        <v>1379</v>
      </c>
      <c r="O85" s="24" t="str">
        <f>IF(Q85=" _","NO","SI")</f>
        <v>SI</v>
      </c>
      <c r="P85" s="24" t="str">
        <f ca="1">IF(color_Celda(E85)=12106214,"ROSA",IF(color_Celda(E85)=65535,"AMARILLO",IF(color_Celda(E85)=5296274,"VERDE",IF(color_Celda(E85)=16777215,"BLANCO","NO SE"))))</f>
        <v>ROSA</v>
      </c>
      <c r="Q85" s="79" t="s">
        <v>1162</v>
      </c>
      <c r="R85" s="4" t="str">
        <f>VLOOKUP($Q85,Resultados!$A$1:$B$49,2,FALSE)</f>
        <v>ELEVADA A JUICIO</v>
      </c>
      <c r="S85" s="79"/>
      <c r="T85" s="86"/>
      <c r="U85" s="86"/>
      <c r="V85" s="74"/>
      <c r="W85" s="74"/>
      <c r="X85" s="74"/>
      <c r="Y85" s="64"/>
      <c r="Z85" s="74"/>
      <c r="AA85" s="74"/>
      <c r="AB85" s="74"/>
      <c r="AC85" s="74"/>
      <c r="AD85" s="74"/>
      <c r="AE85" s="140"/>
      <c r="AF85" s="81">
        <v>7</v>
      </c>
      <c r="AG85" s="76"/>
      <c r="AH85" s="76">
        <v>0</v>
      </c>
      <c r="AI85" s="76"/>
      <c r="AJ85" s="122" t="s">
        <v>408</v>
      </c>
      <c r="AK85" s="130"/>
      <c r="AL85" s="139" t="s">
        <v>1628</v>
      </c>
      <c r="AM85" s="431" t="str">
        <f>VLOOKUP($Q85,Resultados!$A$1:$C$49,3,FALSE)</f>
        <v>ELEVADA</v>
      </c>
    </row>
    <row r="86" spans="1:39" customFormat="1" ht="51">
      <c r="A86" s="372">
        <v>269</v>
      </c>
      <c r="B86" s="85">
        <v>45245</v>
      </c>
      <c r="C86" s="325" t="s">
        <v>854</v>
      </c>
      <c r="D86" s="79" t="s">
        <v>855</v>
      </c>
      <c r="E86" s="84" t="s">
        <v>856</v>
      </c>
      <c r="F86" s="74">
        <v>3</v>
      </c>
      <c r="G86" s="74" t="s">
        <v>326</v>
      </c>
      <c r="H86" s="305">
        <v>45286</v>
      </c>
      <c r="I86" s="85"/>
      <c r="J86" s="85"/>
      <c r="K86" s="74" t="s">
        <v>1480</v>
      </c>
      <c r="L86" s="79" t="s">
        <v>83</v>
      </c>
      <c r="M86" s="79"/>
      <c r="N86" s="105" t="s">
        <v>1736</v>
      </c>
      <c r="O86" s="24" t="str">
        <f>IF(Q86=" _","NO","SI")</f>
        <v>SI</v>
      </c>
      <c r="P86" s="24" t="str">
        <f ca="1">IF(color_Celda(E86)=12106214,"ROSA",IF(color_Celda(E86)=65535,"AMARILLO",IF(color_Celda(E86)=5296274,"VERDE",IF(color_Celda(E86)=16777215,"BLANCO","NO SE"))))</f>
        <v>ROSA</v>
      </c>
      <c r="Q86" s="79" t="s">
        <v>1162</v>
      </c>
      <c r="R86" s="4" t="str">
        <f>VLOOKUP($Q86,Resultados!$A$1:$B$49,2,FALSE)</f>
        <v>ELEVADA A JUICIO</v>
      </c>
      <c r="S86" s="79"/>
      <c r="T86" s="86"/>
      <c r="U86" s="86"/>
      <c r="V86" s="74"/>
      <c r="W86" s="74"/>
      <c r="X86" s="74"/>
      <c r="Y86" s="64"/>
      <c r="Z86" s="74"/>
      <c r="AA86" s="74"/>
      <c r="AB86" s="74"/>
      <c r="AC86" s="74"/>
      <c r="AD86" s="74"/>
      <c r="AE86" s="140"/>
      <c r="AF86" s="81">
        <v>7</v>
      </c>
      <c r="AG86" s="76"/>
      <c r="AH86" s="76">
        <v>0</v>
      </c>
      <c r="AI86" s="76"/>
      <c r="AJ86" s="122" t="s">
        <v>408</v>
      </c>
      <c r="AK86" s="138"/>
      <c r="AL86" s="139" t="s">
        <v>1628</v>
      </c>
      <c r="AM86" s="431" t="str">
        <f>VLOOKUP($Q86,Resultados!$A$1:$C$49,3,FALSE)</f>
        <v>ELEVADA</v>
      </c>
    </row>
    <row r="87" spans="1:39" customFormat="1" ht="127.5">
      <c r="A87" s="372">
        <v>292</v>
      </c>
      <c r="B87" s="85">
        <v>45246</v>
      </c>
      <c r="C87" s="325" t="s">
        <v>884</v>
      </c>
      <c r="D87" s="79" t="s">
        <v>885</v>
      </c>
      <c r="E87" s="84" t="s">
        <v>886</v>
      </c>
      <c r="F87" s="74">
        <v>2</v>
      </c>
      <c r="G87" s="74" t="s">
        <v>1370</v>
      </c>
      <c r="H87" s="305">
        <v>45286</v>
      </c>
      <c r="I87" s="85"/>
      <c r="J87" s="85"/>
      <c r="K87" s="74" t="s">
        <v>1480</v>
      </c>
      <c r="L87" s="79" t="s">
        <v>77</v>
      </c>
      <c r="M87" s="79" t="s">
        <v>44</v>
      </c>
      <c r="N87" s="172" t="s">
        <v>1819</v>
      </c>
      <c r="O87" s="24" t="str">
        <f>IF(Q87=" _","NO","SI")</f>
        <v>SI</v>
      </c>
      <c r="P87" s="24" t="str">
        <f ca="1">IF(color_Celda(E87)=12106214,"ROSA",IF(color_Celda(E87)=65535,"AMARILLO",IF(color_Celda(E87)=5296274,"VERDE",IF(color_Celda(E87)=16777215,"BLANCO","NO SE"))))</f>
        <v>ROSA</v>
      </c>
      <c r="Q87" s="79" t="s">
        <v>1162</v>
      </c>
      <c r="R87" s="4" t="str">
        <f>VLOOKUP($Q87,Resultados!$A$1:$B$49,2,FALSE)</f>
        <v>ELEVADA A JUICIO</v>
      </c>
      <c r="S87" s="79"/>
      <c r="T87" s="86"/>
      <c r="U87" s="86"/>
      <c r="V87" s="74"/>
      <c r="W87" s="74"/>
      <c r="X87" s="74"/>
      <c r="Y87" s="64"/>
      <c r="Z87" s="74"/>
      <c r="AA87" s="74"/>
      <c r="AB87" s="74"/>
      <c r="AC87" s="74"/>
      <c r="AD87" s="74"/>
      <c r="AE87" s="140"/>
      <c r="AF87" s="81">
        <v>7</v>
      </c>
      <c r="AG87" s="76"/>
      <c r="AH87" s="76">
        <v>0</v>
      </c>
      <c r="AI87" s="76"/>
      <c r="AJ87" s="122" t="s">
        <v>408</v>
      </c>
      <c r="AK87" s="130"/>
      <c r="AL87" s="139" t="s">
        <v>1628</v>
      </c>
      <c r="AM87" s="431" t="str">
        <f>VLOOKUP($Q87,Resultados!$A$1:$C$49,3,FALSE)</f>
        <v>ELEVADA</v>
      </c>
    </row>
    <row r="88" spans="1:39" customFormat="1" ht="38.25">
      <c r="A88" s="372">
        <v>381</v>
      </c>
      <c r="B88" s="85">
        <v>45261</v>
      </c>
      <c r="C88" s="325" t="s">
        <v>1014</v>
      </c>
      <c r="D88" s="79" t="s">
        <v>1077</v>
      </c>
      <c r="E88" s="84" t="s">
        <v>1154</v>
      </c>
      <c r="F88" s="74">
        <v>3</v>
      </c>
      <c r="G88" s="74" t="s">
        <v>326</v>
      </c>
      <c r="H88" s="305">
        <v>45286</v>
      </c>
      <c r="I88" s="85"/>
      <c r="J88" s="85"/>
      <c r="K88" s="74" t="s">
        <v>1480</v>
      </c>
      <c r="L88" s="79" t="s">
        <v>88</v>
      </c>
      <c r="M88" s="79" t="s">
        <v>46</v>
      </c>
      <c r="N88" s="105" t="s">
        <v>1741</v>
      </c>
      <c r="O88" s="24" t="str">
        <f>IF(Q88=" _","NO","SI")</f>
        <v>SI</v>
      </c>
      <c r="P88" s="24" t="str">
        <f ca="1">IF(color_Celda(E88)=12106214,"ROSA",IF(color_Celda(E88)=65535,"AMARILLO",IF(color_Celda(E88)=5296274,"VERDE",IF(color_Celda(E88)=16777215,"BLANCO","NO SE"))))</f>
        <v>ROSA</v>
      </c>
      <c r="Q88" s="79" t="s">
        <v>1162</v>
      </c>
      <c r="R88" s="4" t="str">
        <f>VLOOKUP($Q88,Resultados!$A$1:$B$49,2,FALSE)</f>
        <v>ELEVADA A JUICIO</v>
      </c>
      <c r="S88" s="79"/>
      <c r="T88" s="73"/>
      <c r="U88" s="73"/>
      <c r="V88" s="68"/>
      <c r="W88" s="74"/>
      <c r="X88" s="74"/>
      <c r="Y88" s="64"/>
      <c r="Z88" s="74"/>
      <c r="AA88" s="74"/>
      <c r="AB88" s="74"/>
      <c r="AC88" s="74"/>
      <c r="AD88" s="74"/>
      <c r="AE88" s="140"/>
      <c r="AF88" s="76">
        <v>7</v>
      </c>
      <c r="AG88" s="76"/>
      <c r="AH88" s="76">
        <v>0</v>
      </c>
      <c r="AI88" s="76"/>
      <c r="AJ88" s="122" t="s">
        <v>408</v>
      </c>
      <c r="AK88" s="130"/>
      <c r="AL88" s="139" t="s">
        <v>1628</v>
      </c>
      <c r="AM88" s="431" t="str">
        <f>VLOOKUP($Q88,Resultados!$A$1:$C$49,3,FALSE)</f>
        <v>ELEVADA</v>
      </c>
    </row>
    <row r="89" spans="1:39" customFormat="1" ht="38.25">
      <c r="A89" s="372">
        <v>390</v>
      </c>
      <c r="B89" s="85">
        <v>45264</v>
      </c>
      <c r="C89" s="325" t="s">
        <v>179</v>
      </c>
      <c r="D89" s="79" t="s">
        <v>132</v>
      </c>
      <c r="E89" s="84" t="s">
        <v>1161</v>
      </c>
      <c r="F89" s="74">
        <v>2</v>
      </c>
      <c r="G89" s="74" t="s">
        <v>326</v>
      </c>
      <c r="H89" s="305">
        <v>45286</v>
      </c>
      <c r="I89" s="85"/>
      <c r="J89" s="85"/>
      <c r="K89" s="74" t="s">
        <v>1480</v>
      </c>
      <c r="L89" s="79" t="s">
        <v>88</v>
      </c>
      <c r="M89" s="79" t="s">
        <v>60</v>
      </c>
      <c r="N89" s="105" t="s">
        <v>1343</v>
      </c>
      <c r="O89" s="24" t="str">
        <f>IF(Q89=" _","NO","SI")</f>
        <v>SI</v>
      </c>
      <c r="P89" s="24" t="str">
        <f ca="1">IF(color_Celda(E89)=12106214,"ROSA",IF(color_Celda(E89)=65535,"AMARILLO",IF(color_Celda(E89)=5296274,"VERDE",IF(color_Celda(E89)=16777215,"BLANCO","NO SE"))))</f>
        <v>ROSA</v>
      </c>
      <c r="Q89" s="79" t="s">
        <v>1162</v>
      </c>
      <c r="R89" s="4" t="str">
        <f>VLOOKUP($Q89,Resultados!$A$1:$B$49,2,FALSE)</f>
        <v>ELEVADA A JUICIO</v>
      </c>
      <c r="S89" s="79"/>
      <c r="T89" s="86"/>
      <c r="U89" s="86"/>
      <c r="V89" s="74"/>
      <c r="W89" s="74"/>
      <c r="X89" s="74"/>
      <c r="Y89" s="64"/>
      <c r="Z89" s="74"/>
      <c r="AA89" s="74"/>
      <c r="AB89" s="74"/>
      <c r="AC89" s="74"/>
      <c r="AD89" s="74"/>
      <c r="AE89" s="140"/>
      <c r="AF89" s="76">
        <v>7</v>
      </c>
      <c r="AG89" s="76"/>
      <c r="AH89" s="76">
        <v>0</v>
      </c>
      <c r="AI89" s="76"/>
      <c r="AJ89" s="122" t="s">
        <v>408</v>
      </c>
      <c r="AK89" s="130"/>
      <c r="AL89" s="139" t="s">
        <v>1628</v>
      </c>
      <c r="AM89" s="431" t="str">
        <f>VLOOKUP($Q89,Resultados!$A$1:$C$49,3,FALSE)</f>
        <v>ELEVADA</v>
      </c>
    </row>
    <row r="90" spans="1:39" customFormat="1" ht="63.75">
      <c r="A90" s="372">
        <v>445</v>
      </c>
      <c r="B90" s="82">
        <v>45266</v>
      </c>
      <c r="C90" s="325" t="s">
        <v>716</v>
      </c>
      <c r="D90" s="79" t="s">
        <v>467</v>
      </c>
      <c r="E90" s="84" t="s">
        <v>475</v>
      </c>
      <c r="F90" s="74">
        <v>3</v>
      </c>
      <c r="G90" s="74" t="s">
        <v>325</v>
      </c>
      <c r="H90" s="305">
        <v>45286</v>
      </c>
      <c r="I90" s="85"/>
      <c r="J90" s="85"/>
      <c r="K90" s="74" t="s">
        <v>1480</v>
      </c>
      <c r="L90" s="79" t="s">
        <v>2170</v>
      </c>
      <c r="M90" s="79" t="s">
        <v>46</v>
      </c>
      <c r="N90" s="172" t="s">
        <v>1821</v>
      </c>
      <c r="O90" s="24" t="str">
        <f>IF(Q90=" _","NO","SI")</f>
        <v>SI</v>
      </c>
      <c r="P90" s="24" t="str">
        <f ca="1">IF(color_Celda(E90)=12106214,"ROSA",IF(color_Celda(E90)=65535,"AMARILLO",IF(color_Celda(E90)=5296274,"VERDE",IF(color_Celda(E90)=16777215,"BLANCO","NO SE"))))</f>
        <v>ROSA</v>
      </c>
      <c r="Q90" s="79" t="s">
        <v>1162</v>
      </c>
      <c r="R90" s="4" t="str">
        <f>VLOOKUP($Q90,Resultados!$A$1:$B$49,2,FALSE)</f>
        <v>ELEVADA A JUICIO</v>
      </c>
      <c r="S90" s="79"/>
      <c r="T90" s="86"/>
      <c r="U90" s="86"/>
      <c r="V90" s="74"/>
      <c r="W90" s="74"/>
      <c r="X90" s="74"/>
      <c r="Y90" s="64"/>
      <c r="Z90" s="74"/>
      <c r="AA90" s="74"/>
      <c r="AB90" s="74"/>
      <c r="AC90" s="74"/>
      <c r="AD90" s="74"/>
      <c r="AE90" s="140"/>
      <c r="AF90" s="81">
        <v>7</v>
      </c>
      <c r="AG90" s="76"/>
      <c r="AH90" s="76">
        <v>0</v>
      </c>
      <c r="AI90" s="76"/>
      <c r="AJ90" s="122" t="s">
        <v>408</v>
      </c>
      <c r="AK90" s="130"/>
      <c r="AL90" s="139" t="s">
        <v>1628</v>
      </c>
      <c r="AM90" s="431" t="str">
        <f>VLOOKUP($Q90,Resultados!$A$1:$C$49,3,FALSE)</f>
        <v>ELEVADA</v>
      </c>
    </row>
    <row r="91" spans="1:39" customFormat="1" ht="51">
      <c r="A91" s="372">
        <v>460</v>
      </c>
      <c r="B91" s="85">
        <v>45272</v>
      </c>
      <c r="C91" s="325" t="s">
        <v>1071</v>
      </c>
      <c r="D91" s="79" t="s">
        <v>1247</v>
      </c>
      <c r="E91" s="84" t="s">
        <v>1249</v>
      </c>
      <c r="F91" s="74">
        <v>5</v>
      </c>
      <c r="G91" s="74" t="s">
        <v>325</v>
      </c>
      <c r="H91" s="305">
        <v>45286</v>
      </c>
      <c r="I91" s="85"/>
      <c r="J91" s="85"/>
      <c r="K91" s="74" t="s">
        <v>1480</v>
      </c>
      <c r="L91" s="79" t="s">
        <v>81</v>
      </c>
      <c r="M91" s="79" t="s">
        <v>1248</v>
      </c>
      <c r="N91" s="174" t="s">
        <v>1822</v>
      </c>
      <c r="O91" s="24" t="str">
        <f>IF(Q91=" _","NO","SI")</f>
        <v>SI</v>
      </c>
      <c r="P91" s="24" t="str">
        <f ca="1">IF(color_Celda(E91)=12106214,"ROSA",IF(color_Celda(E91)=65535,"AMARILLO",IF(color_Celda(E91)=5296274,"VERDE",IF(color_Celda(E91)=16777215,"BLANCO","NO SE"))))</f>
        <v>ROSA</v>
      </c>
      <c r="Q91" s="79" t="s">
        <v>1162</v>
      </c>
      <c r="R91" s="4" t="str">
        <f>VLOOKUP($Q91,Resultados!$A$1:$B$49,2,FALSE)</f>
        <v>ELEVADA A JUICIO</v>
      </c>
      <c r="S91" s="79"/>
      <c r="T91" s="86"/>
      <c r="U91" s="86"/>
      <c r="V91" s="74"/>
      <c r="W91" s="74"/>
      <c r="X91" s="74"/>
      <c r="Y91" s="64"/>
      <c r="Z91" s="74"/>
      <c r="AA91" s="74"/>
      <c r="AB91" s="74"/>
      <c r="AC91" s="74"/>
      <c r="AD91" s="74"/>
      <c r="AE91" s="140"/>
      <c r="AF91" s="76">
        <v>7</v>
      </c>
      <c r="AG91" s="76"/>
      <c r="AH91" s="76">
        <v>0</v>
      </c>
      <c r="AI91" s="76"/>
      <c r="AJ91" s="122" t="s">
        <v>408</v>
      </c>
      <c r="AK91" s="130"/>
      <c r="AL91" s="139" t="s">
        <v>1628</v>
      </c>
      <c r="AM91" s="431" t="str">
        <f>VLOOKUP($Q91,Resultados!$A$1:$C$49,3,FALSE)</f>
        <v>ELEVADA</v>
      </c>
    </row>
    <row r="92" spans="1:39" customFormat="1" ht="89.25">
      <c r="A92" s="372">
        <v>124</v>
      </c>
      <c r="B92" s="85">
        <v>45232</v>
      </c>
      <c r="C92" s="326" t="s">
        <v>3069</v>
      </c>
      <c r="D92" s="79" t="s">
        <v>587</v>
      </c>
      <c r="E92" s="84" t="s">
        <v>635</v>
      </c>
      <c r="F92" s="74">
        <v>1</v>
      </c>
      <c r="G92" s="74" t="s">
        <v>1370</v>
      </c>
      <c r="H92" s="305">
        <v>45287</v>
      </c>
      <c r="I92" s="85"/>
      <c r="J92" s="85"/>
      <c r="K92" s="74" t="s">
        <v>1480</v>
      </c>
      <c r="L92" s="79" t="s">
        <v>2172</v>
      </c>
      <c r="M92" s="79" t="s">
        <v>60</v>
      </c>
      <c r="N92" s="172" t="s">
        <v>1378</v>
      </c>
      <c r="O92" s="24" t="str">
        <f>IF(Q92=" _","NO","SI")</f>
        <v>SI</v>
      </c>
      <c r="P92" s="24" t="str">
        <f ca="1">IF(color_Celda(E92)=12106214,"ROSA",IF(color_Celda(E92)=65535,"AMARILLO",IF(color_Celda(E92)=5296274,"VERDE",IF(color_Celda(E92)=16777215,"BLANCO","NO SE"))))</f>
        <v>ROSA</v>
      </c>
      <c r="Q92" s="79" t="s">
        <v>1162</v>
      </c>
      <c r="R92" s="4" t="str">
        <f>VLOOKUP($Q92,Resultados!$A$1:$B$49,2,FALSE)</f>
        <v>ELEVADA A JUICIO</v>
      </c>
      <c r="S92" s="79"/>
      <c r="T92" s="86"/>
      <c r="U92" s="86"/>
      <c r="V92" s="74"/>
      <c r="W92" s="74"/>
      <c r="X92" s="74"/>
      <c r="Y92" s="64"/>
      <c r="Z92" s="74"/>
      <c r="AA92" s="74"/>
      <c r="AB92" s="74"/>
      <c r="AC92" s="74"/>
      <c r="AD92" s="74"/>
      <c r="AE92" s="140"/>
      <c r="AF92" s="81">
        <v>7</v>
      </c>
      <c r="AG92" s="76"/>
      <c r="AH92" s="76">
        <v>0</v>
      </c>
      <c r="AI92" s="76"/>
      <c r="AJ92" s="122" t="s">
        <v>408</v>
      </c>
      <c r="AK92" s="130"/>
      <c r="AL92" s="139" t="s">
        <v>1628</v>
      </c>
      <c r="AM92" s="431" t="str">
        <f>VLOOKUP($Q92,Resultados!$A$1:$C$49,3,FALSE)</f>
        <v>ELEVADA</v>
      </c>
    </row>
    <row r="93" spans="1:39" customFormat="1" ht="51">
      <c r="A93" s="372">
        <v>347</v>
      </c>
      <c r="B93" s="85">
        <v>45258</v>
      </c>
      <c r="C93" s="326" t="s">
        <v>12</v>
      </c>
      <c r="D93" s="79" t="s">
        <v>999</v>
      </c>
      <c r="E93" s="84" t="s">
        <v>1007</v>
      </c>
      <c r="F93" s="74">
        <v>4</v>
      </c>
      <c r="G93" s="74"/>
      <c r="H93" s="305">
        <v>45287</v>
      </c>
      <c r="I93" s="85"/>
      <c r="J93" s="85"/>
      <c r="K93" s="74" t="s">
        <v>1480</v>
      </c>
      <c r="L93" s="79" t="s">
        <v>83</v>
      </c>
      <c r="M93" s="79" t="s">
        <v>226</v>
      </c>
      <c r="N93" s="74" t="s">
        <v>2031</v>
      </c>
      <c r="O93" s="24" t="str">
        <f>IF(Q93=" _","NO","SI")</f>
        <v>SI</v>
      </c>
      <c r="P93" s="24" t="str">
        <f ca="1">IF(color_Celda(E93)=12106214,"ROSA",IF(color_Celda(E93)=65535,"AMARILLO",IF(color_Celda(E93)=5296274,"VERDE",IF(color_Celda(E93)=16777215,"BLANCO","NO SE"))))</f>
        <v>ROSA</v>
      </c>
      <c r="Q93" s="79" t="s">
        <v>1324</v>
      </c>
      <c r="R93" s="4" t="str">
        <f>VLOOKUP($Q93,Resultados!$A$1:$B$49,2,FALSE)</f>
        <v>RESUELTA EN ETAPA DE PREVENTIVA</v>
      </c>
      <c r="S93" s="79"/>
      <c r="T93" s="99"/>
      <c r="U93" s="99"/>
      <c r="V93" s="107"/>
      <c r="W93" s="74"/>
      <c r="X93" s="74"/>
      <c r="Y93" s="64"/>
      <c r="Z93" s="74"/>
      <c r="AA93" s="74"/>
      <c r="AB93" s="74"/>
      <c r="AC93" s="74"/>
      <c r="AD93" s="74"/>
      <c r="AE93" s="140"/>
      <c r="AF93" s="76">
        <v>7</v>
      </c>
      <c r="AG93" s="76"/>
      <c r="AH93" s="76">
        <v>0</v>
      </c>
      <c r="AI93" s="76"/>
      <c r="AJ93" s="122" t="s">
        <v>408</v>
      </c>
      <c r="AK93" s="138"/>
      <c r="AL93" s="139" t="s">
        <v>1628</v>
      </c>
      <c r="AM93" s="431" t="str">
        <f>VLOOKUP($Q93,Resultados!$A$1:$C$49,3,FALSE)</f>
        <v>RESUELTA</v>
      </c>
    </row>
    <row r="94" spans="1:39" customFormat="1" ht="51">
      <c r="A94" s="372">
        <v>422</v>
      </c>
      <c r="B94" s="85">
        <v>45265</v>
      </c>
      <c r="C94" s="325" t="s">
        <v>1140</v>
      </c>
      <c r="D94" s="79" t="s">
        <v>271</v>
      </c>
      <c r="E94" s="84" t="s">
        <v>1295</v>
      </c>
      <c r="F94" s="74">
        <v>5</v>
      </c>
      <c r="G94" s="74" t="s">
        <v>10</v>
      </c>
      <c r="H94" s="305">
        <v>45287</v>
      </c>
      <c r="I94" s="85"/>
      <c r="J94" s="85"/>
      <c r="K94" s="74" t="s">
        <v>1480</v>
      </c>
      <c r="L94" s="79" t="s">
        <v>2172</v>
      </c>
      <c r="M94" s="79" t="s">
        <v>52</v>
      </c>
      <c r="N94" s="105" t="s">
        <v>1773</v>
      </c>
      <c r="O94" s="24" t="str">
        <f>IF(Q94=" _","NO","SI")</f>
        <v>SI</v>
      </c>
      <c r="P94" s="24" t="str">
        <f ca="1">IF(color_Celda(E94)=12106214,"ROSA",IF(color_Celda(E94)=65535,"AMARILLO",IF(color_Celda(E94)=5296274,"VERDE",IF(color_Celda(E94)=16777215,"BLANCO","NO SE"))))</f>
        <v>ROSA</v>
      </c>
      <c r="Q94" s="79" t="s">
        <v>1162</v>
      </c>
      <c r="R94" s="4" t="str">
        <f>VLOOKUP($Q94,Resultados!$A$1:$B$49,2,FALSE)</f>
        <v>ELEVADA A JUICIO</v>
      </c>
      <c r="S94" s="79"/>
      <c r="T94" s="86"/>
      <c r="U94" s="86"/>
      <c r="V94" s="74"/>
      <c r="W94" s="74"/>
      <c r="X94" s="74"/>
      <c r="Y94" s="64"/>
      <c r="Z94" s="74"/>
      <c r="AA94" s="74"/>
      <c r="AB94" s="74"/>
      <c r="AC94" s="74"/>
      <c r="AD94" s="74"/>
      <c r="AE94" s="140"/>
      <c r="AF94" s="76">
        <v>7</v>
      </c>
      <c r="AG94" s="76"/>
      <c r="AH94" s="76">
        <v>0</v>
      </c>
      <c r="AI94" s="76"/>
      <c r="AJ94" s="122" t="s">
        <v>408</v>
      </c>
      <c r="AK94" s="130"/>
      <c r="AL94" s="139" t="s">
        <v>1628</v>
      </c>
      <c r="AM94" s="431" t="str">
        <f>VLOOKUP($Q94,Resultados!$A$1:$C$49,3,FALSE)</f>
        <v>ELEVADA</v>
      </c>
    </row>
    <row r="95" spans="1:39" customFormat="1" ht="38.25">
      <c r="A95" s="372">
        <v>475</v>
      </c>
      <c r="B95" s="85">
        <v>45274</v>
      </c>
      <c r="C95" s="325" t="s">
        <v>850</v>
      </c>
      <c r="D95" s="79" t="s">
        <v>193</v>
      </c>
      <c r="E95" s="84" t="s">
        <v>1251</v>
      </c>
      <c r="F95" s="74">
        <v>4</v>
      </c>
      <c r="G95" s="74" t="s">
        <v>325</v>
      </c>
      <c r="H95" s="305">
        <v>45288</v>
      </c>
      <c r="I95" s="82" t="s">
        <v>143</v>
      </c>
      <c r="J95" s="85" t="s">
        <v>7</v>
      </c>
      <c r="K95" s="74">
        <v>2</v>
      </c>
      <c r="L95" s="79" t="s">
        <v>81</v>
      </c>
      <c r="M95" s="79" t="s">
        <v>1250</v>
      </c>
      <c r="N95" s="172" t="s">
        <v>1471</v>
      </c>
      <c r="O95" s="24" t="str">
        <f>IF(Q95=" _","NO","SI")</f>
        <v>SI</v>
      </c>
      <c r="P95" s="24" t="str">
        <f ca="1">IF(color_Celda(E95)=12106214,"ROSA",IF(color_Celda(E95)=65535,"AMARILLO",IF(color_Celda(E95)=5296274,"VERDE",IF(color_Celda(E95)=16777215,"BLANCO","NO SE"))))</f>
        <v>ROSA</v>
      </c>
      <c r="Q95" s="79" t="s">
        <v>95</v>
      </c>
      <c r="R95" s="4" t="s">
        <v>21</v>
      </c>
      <c r="S95" s="79"/>
      <c r="T95" s="86"/>
      <c r="U95" s="86"/>
      <c r="V95" s="74"/>
      <c r="W95" s="74"/>
      <c r="X95" s="74"/>
      <c r="Y95" s="64"/>
      <c r="Z95" s="74"/>
      <c r="AA95" s="74"/>
      <c r="AB95" s="74"/>
      <c r="AC95" s="74"/>
      <c r="AD95" s="74"/>
      <c r="AE95" s="140"/>
      <c r="AF95" s="76">
        <v>7</v>
      </c>
      <c r="AG95" s="76"/>
      <c r="AH95" s="76">
        <v>0</v>
      </c>
      <c r="AI95" s="76"/>
      <c r="AJ95" s="122" t="s">
        <v>408</v>
      </c>
      <c r="AK95" s="130"/>
      <c r="AL95" s="139" t="s">
        <v>1628</v>
      </c>
      <c r="AM95" s="431" t="str">
        <f>VLOOKUP($Q95,Resultados!$A$1:$C$49,3,FALSE)</f>
        <v>RESUELTA</v>
      </c>
    </row>
    <row r="96" spans="1:39" customFormat="1" ht="140.25">
      <c r="A96" s="372">
        <v>45</v>
      </c>
      <c r="B96" s="85">
        <v>45222</v>
      </c>
      <c r="C96" s="326" t="s">
        <v>3070</v>
      </c>
      <c r="D96" s="79" t="s">
        <v>456</v>
      </c>
      <c r="E96" s="84" t="s">
        <v>458</v>
      </c>
      <c r="F96" s="74">
        <v>7</v>
      </c>
      <c r="G96" s="74" t="s">
        <v>326</v>
      </c>
      <c r="H96" s="305">
        <v>45288</v>
      </c>
      <c r="I96" s="85"/>
      <c r="J96" s="85"/>
      <c r="K96" s="74" t="s">
        <v>1480</v>
      </c>
      <c r="L96" s="79" t="s">
        <v>87</v>
      </c>
      <c r="M96" s="79" t="s">
        <v>270</v>
      </c>
      <c r="N96" s="174" t="s">
        <v>1718</v>
      </c>
      <c r="O96" s="24" t="str">
        <f>IF(Q96=" _","NO","SI")</f>
        <v>SI</v>
      </c>
      <c r="P96" s="24" t="str">
        <f ca="1">IF(color_Celda(E96)=12106214,"ROSA",IF(color_Celda(E96)=65535,"AMARILLO",IF(color_Celda(E96)=5296274,"VERDE",IF(color_Celda(E96)=16777215,"BLANCO","NO SE"))))</f>
        <v>ROSA</v>
      </c>
      <c r="Q96" s="79" t="s">
        <v>1162</v>
      </c>
      <c r="R96" s="4" t="str">
        <f>VLOOKUP($Q96,Resultados!$A$1:$B$49,2,FALSE)</f>
        <v>ELEVADA A JUICIO</v>
      </c>
      <c r="S96" s="79"/>
      <c r="T96" s="86"/>
      <c r="U96" s="86"/>
      <c r="V96" s="74"/>
      <c r="W96" s="74"/>
      <c r="X96" s="74"/>
      <c r="Y96" s="64"/>
      <c r="Z96" s="74"/>
      <c r="AA96" s="74"/>
      <c r="AB96" s="74"/>
      <c r="AC96" s="87">
        <v>45224</v>
      </c>
      <c r="AD96" s="102">
        <v>0</v>
      </c>
      <c r="AE96" s="140">
        <v>0</v>
      </c>
      <c r="AF96" s="81">
        <v>45231</v>
      </c>
      <c r="AG96" s="76"/>
      <c r="AH96" s="76">
        <v>0</v>
      </c>
      <c r="AI96" s="76"/>
      <c r="AJ96" s="122" t="s">
        <v>408</v>
      </c>
      <c r="AK96" s="138"/>
      <c r="AL96" s="139" t="s">
        <v>1628</v>
      </c>
      <c r="AM96" s="431" t="str">
        <f>VLOOKUP($Q96,Resultados!$A$1:$C$49,3,FALSE)</f>
        <v>ELEVADA</v>
      </c>
    </row>
    <row r="97" spans="1:39" customFormat="1" ht="51">
      <c r="A97" s="372">
        <v>343</v>
      </c>
      <c r="B97" s="85">
        <v>45257</v>
      </c>
      <c r="C97" s="326" t="s">
        <v>26</v>
      </c>
      <c r="D97" s="79" t="s">
        <v>180</v>
      </c>
      <c r="E97" s="84" t="s">
        <v>973</v>
      </c>
      <c r="F97" s="74">
        <v>3</v>
      </c>
      <c r="G97" s="74" t="s">
        <v>1370</v>
      </c>
      <c r="H97" s="305">
        <v>45288</v>
      </c>
      <c r="I97" s="85"/>
      <c r="J97" s="85"/>
      <c r="K97" s="74" t="s">
        <v>1480</v>
      </c>
      <c r="L97" s="79" t="s">
        <v>80</v>
      </c>
      <c r="M97" s="79" t="s">
        <v>171</v>
      </c>
      <c r="N97" s="174" t="s">
        <v>1381</v>
      </c>
      <c r="O97" s="24" t="str">
        <f>IF(Q97=" _","NO","SI")</f>
        <v>SI</v>
      </c>
      <c r="P97" s="24" t="str">
        <f ca="1">IF(color_Celda(E97)=12106214,"ROSA",IF(color_Celda(E97)=65535,"AMARILLO",IF(color_Celda(E97)=5296274,"VERDE",IF(color_Celda(E97)=16777215,"BLANCO","NO SE"))))</f>
        <v>ROSA</v>
      </c>
      <c r="Q97" s="79" t="s">
        <v>1162</v>
      </c>
      <c r="R97" s="4" t="str">
        <f>VLOOKUP($Q97,Resultados!$A$1:$B$49,2,FALSE)</f>
        <v>ELEVADA A JUICIO</v>
      </c>
      <c r="S97" s="79"/>
      <c r="T97" s="86"/>
      <c r="U97" s="86"/>
      <c r="V97" s="74"/>
      <c r="W97" s="74"/>
      <c r="X97" s="74"/>
      <c r="Y97" s="64"/>
      <c r="Z97" s="74"/>
      <c r="AA97" s="74"/>
      <c r="AB97" s="74"/>
      <c r="AC97" s="74"/>
      <c r="AD97" s="74"/>
      <c r="AE97" s="140"/>
      <c r="AF97" s="76">
        <v>7</v>
      </c>
      <c r="AG97" s="76"/>
      <c r="AH97" s="76">
        <v>0</v>
      </c>
      <c r="AI97" s="76"/>
      <c r="AJ97" s="122" t="s">
        <v>408</v>
      </c>
      <c r="AK97" s="130"/>
      <c r="AL97" s="139" t="s">
        <v>1628</v>
      </c>
      <c r="AM97" s="431" t="str">
        <f>VLOOKUP($Q97,Resultados!$A$1:$C$49,3,FALSE)</f>
        <v>ELEVADA</v>
      </c>
    </row>
    <row r="98" spans="1:39" customFormat="1" ht="89.25">
      <c r="A98" s="372">
        <v>399</v>
      </c>
      <c r="B98" s="85">
        <v>45265</v>
      </c>
      <c r="C98" s="325" t="s">
        <v>1088</v>
      </c>
      <c r="D98" s="79" t="s">
        <v>1089</v>
      </c>
      <c r="E98" s="84" t="s">
        <v>1090</v>
      </c>
      <c r="F98" s="74">
        <v>2</v>
      </c>
      <c r="G98" s="74" t="s">
        <v>10</v>
      </c>
      <c r="H98" s="305">
        <v>45288</v>
      </c>
      <c r="I98" s="85"/>
      <c r="J98" s="85"/>
      <c r="K98" s="74" t="s">
        <v>1480</v>
      </c>
      <c r="L98" s="79" t="s">
        <v>2172</v>
      </c>
      <c r="M98" s="79" t="s">
        <v>44</v>
      </c>
      <c r="N98" s="174" t="s">
        <v>1742</v>
      </c>
      <c r="O98" s="24" t="str">
        <f>IF(Q98=" _","NO","SI")</f>
        <v>SI</v>
      </c>
      <c r="P98" s="24" t="str">
        <f ca="1">IF(color_Celda(E98)=12106214,"ROSA",IF(color_Celda(E98)=65535,"AMARILLO",IF(color_Celda(E98)=5296274,"VERDE",IF(color_Celda(E98)=16777215,"BLANCO","NO SE"))))</f>
        <v>ROSA</v>
      </c>
      <c r="Q98" s="79" t="s">
        <v>1162</v>
      </c>
      <c r="R98" s="4" t="str">
        <f>VLOOKUP($Q98,Resultados!$A$1:$B$49,2,FALSE)</f>
        <v>ELEVADA A JUICIO</v>
      </c>
      <c r="S98" s="79"/>
      <c r="T98" s="73"/>
      <c r="U98" s="73"/>
      <c r="V98" s="68"/>
      <c r="W98" s="74"/>
      <c r="X98" s="74"/>
      <c r="Y98" s="64"/>
      <c r="Z98" s="74"/>
      <c r="AA98" s="74"/>
      <c r="AB98" s="74"/>
      <c r="AC98" s="74"/>
      <c r="AD98" s="74"/>
      <c r="AE98" s="140"/>
      <c r="AF98" s="76">
        <v>7</v>
      </c>
      <c r="AG98" s="76"/>
      <c r="AH98" s="76">
        <v>0</v>
      </c>
      <c r="AI98" s="76"/>
      <c r="AJ98" s="122" t="s">
        <v>408</v>
      </c>
      <c r="AK98" s="138"/>
      <c r="AL98" s="139" t="s">
        <v>1628</v>
      </c>
      <c r="AM98" s="431" t="str">
        <f>VLOOKUP($Q98,Resultados!$A$1:$C$49,3,FALSE)</f>
        <v>ELEVADA</v>
      </c>
    </row>
    <row r="99" spans="1:39" customFormat="1" ht="76.5">
      <c r="A99" s="372">
        <v>454</v>
      </c>
      <c r="B99" s="85">
        <v>45271</v>
      </c>
      <c r="C99" s="325" t="s">
        <v>1209</v>
      </c>
      <c r="D99" s="79" t="s">
        <v>1210</v>
      </c>
      <c r="E99" s="84" t="s">
        <v>1213</v>
      </c>
      <c r="F99" s="74">
        <v>5</v>
      </c>
      <c r="G99" s="74" t="s">
        <v>10</v>
      </c>
      <c r="H99" s="305">
        <v>45288</v>
      </c>
      <c r="I99" s="85"/>
      <c r="J99" s="85"/>
      <c r="K99" s="74" t="s">
        <v>1480</v>
      </c>
      <c r="L99" s="79" t="s">
        <v>211</v>
      </c>
      <c r="M99" s="79" t="s">
        <v>44</v>
      </c>
      <c r="N99" s="172" t="s">
        <v>2444</v>
      </c>
      <c r="O99" s="24" t="str">
        <f>IF(Q99=" _","NO","SI")</f>
        <v>SI</v>
      </c>
      <c r="P99" s="24" t="str">
        <f ca="1">IF(color_Celda(E99)=12106214,"ROSA",IF(color_Celda(E99)=65535,"AMARILLO",IF(color_Celda(E99)=5296274,"VERDE",IF(color_Celda(E99)=16777215,"BLANCO","NO SE"))))</f>
        <v>ROSA</v>
      </c>
      <c r="Q99" s="79" t="s">
        <v>1162</v>
      </c>
      <c r="R99" s="4" t="str">
        <f>VLOOKUP($Q99,Resultados!$A$1:$B$49,2,FALSE)</f>
        <v>ELEVADA A JUICIO</v>
      </c>
      <c r="S99" s="79"/>
      <c r="T99" s="86"/>
      <c r="U99" s="86"/>
      <c r="V99" s="74"/>
      <c r="W99" s="74"/>
      <c r="X99" s="74"/>
      <c r="Y99" s="64"/>
      <c r="Z99" s="74"/>
      <c r="AA99" s="74"/>
      <c r="AB99" s="74"/>
      <c r="AC99" s="74"/>
      <c r="AD99" s="74"/>
      <c r="AE99" s="140"/>
      <c r="AF99" s="76">
        <v>7</v>
      </c>
      <c r="AG99" s="76"/>
      <c r="AH99" s="76">
        <v>0</v>
      </c>
      <c r="AI99" s="76"/>
      <c r="AJ99" s="122" t="s">
        <v>408</v>
      </c>
      <c r="AK99" s="138"/>
      <c r="AL99" s="139" t="s">
        <v>1628</v>
      </c>
      <c r="AM99" s="431" t="str">
        <f>VLOOKUP($Q99,Resultados!$A$1:$C$49,3,FALSE)</f>
        <v>ELEVADA</v>
      </c>
    </row>
    <row r="100" spans="1:39" customFormat="1" ht="76.5">
      <c r="A100" s="372">
        <v>31</v>
      </c>
      <c r="B100" s="163">
        <v>45219</v>
      </c>
      <c r="C100" s="328" t="s">
        <v>3071</v>
      </c>
      <c r="D100" s="16" t="s">
        <v>277</v>
      </c>
      <c r="E100" s="164" t="s">
        <v>853</v>
      </c>
      <c r="F100" s="165">
        <v>6</v>
      </c>
      <c r="G100" s="165" t="s">
        <v>10</v>
      </c>
      <c r="H100" s="307">
        <v>45289</v>
      </c>
      <c r="I100" s="17" t="s">
        <v>850</v>
      </c>
      <c r="J100" s="163" t="s">
        <v>7</v>
      </c>
      <c r="K100" s="165">
        <f>IFERROR(VLOOKUP(J100,Jueces!$A$1:$B$11,2,FALSE),"")</f>
        <v>2</v>
      </c>
      <c r="L100" s="16" t="s">
        <v>82</v>
      </c>
      <c r="M100" s="16" t="s">
        <v>270</v>
      </c>
      <c r="N100" s="179" t="s">
        <v>1701</v>
      </c>
      <c r="O100" s="24" t="str">
        <f>IF(Q100=" _","NO","SI")</f>
        <v>SI</v>
      </c>
      <c r="P100" s="24" t="str">
        <f ca="1">IF(color_Celda(E100)=12106214,"ROSA",IF(color_Celda(E100)=65535,"AMARILLO",IF(color_Celda(E100)=5296274,"VERDE",IF(color_Celda(E100)=16777215,"BLANCO","NO SE"))))</f>
        <v>ROSA</v>
      </c>
      <c r="Q100" s="16" t="s">
        <v>1162</v>
      </c>
      <c r="R100" s="4" t="str">
        <f>VLOOKUP($Q100,Resultados!$A$1:$B$49,2,FALSE)</f>
        <v>ELEVADA A JUICIO</v>
      </c>
      <c r="S100" s="16"/>
      <c r="T100" s="166"/>
      <c r="U100" s="166"/>
      <c r="V100" s="16" t="s">
        <v>978</v>
      </c>
      <c r="W100" s="16" t="s">
        <v>979</v>
      </c>
      <c r="X100" s="165"/>
      <c r="Y100" s="64"/>
      <c r="Z100" s="165"/>
      <c r="AA100" s="165"/>
      <c r="AB100" s="165"/>
      <c r="AC100" s="232">
        <v>45219</v>
      </c>
      <c r="AD100" s="232">
        <v>45219</v>
      </c>
      <c r="AE100" s="167">
        <v>0</v>
      </c>
      <c r="AF100" s="241">
        <f>MAX(AC100,AE100)+7</f>
        <v>45226</v>
      </c>
      <c r="AG100" s="168"/>
      <c r="AH100" s="168">
        <v>0</v>
      </c>
      <c r="AI100" s="168"/>
      <c r="AJ100" s="242" t="s">
        <v>408</v>
      </c>
      <c r="AK100" s="169"/>
      <c r="AL100" s="139" t="s">
        <v>1628</v>
      </c>
      <c r="AM100" s="431" t="str">
        <f>VLOOKUP($Q100,Resultados!$A$1:$C$49,3,FALSE)</f>
        <v>ELEVADA</v>
      </c>
    </row>
    <row r="101" spans="1:39" customFormat="1" ht="51">
      <c r="A101" s="372">
        <v>182</v>
      </c>
      <c r="B101" s="85">
        <v>45237</v>
      </c>
      <c r="C101" s="326" t="s">
        <v>1242</v>
      </c>
      <c r="D101" s="79" t="s">
        <v>666</v>
      </c>
      <c r="E101" s="88" t="s">
        <v>667</v>
      </c>
      <c r="F101" s="74">
        <v>2</v>
      </c>
      <c r="G101" s="74" t="s">
        <v>325</v>
      </c>
      <c r="H101" s="305">
        <v>45289</v>
      </c>
      <c r="I101" s="85"/>
      <c r="J101" s="85"/>
      <c r="K101" s="74" t="s">
        <v>1480</v>
      </c>
      <c r="L101" s="79" t="s">
        <v>2170</v>
      </c>
      <c r="M101" s="79" t="s">
        <v>1665</v>
      </c>
      <c r="N101" s="74" t="s">
        <v>2438</v>
      </c>
      <c r="O101" s="24" t="str">
        <f>IF(Q101=" _","NO","SI")</f>
        <v>SI</v>
      </c>
      <c r="P101" s="24" t="str">
        <f ca="1">IF(color_Celda(E101)=12106214,"ROSA",IF(color_Celda(E101)=65535,"AMARILLO",IF(color_Celda(E101)=5296274,"VERDE",IF(color_Celda(E101)=16777215,"BLANCO","NO SE"))))</f>
        <v>ROSA</v>
      </c>
      <c r="Q101" s="79" t="s">
        <v>1162</v>
      </c>
      <c r="R101" s="4" t="str">
        <f>VLOOKUP($Q101,Resultados!$A$1:$B$49,2,FALSE)</f>
        <v>ELEVADA A JUICIO</v>
      </c>
      <c r="S101" s="79"/>
      <c r="T101" s="86"/>
      <c r="U101" s="86"/>
      <c r="V101" s="74"/>
      <c r="W101" s="74"/>
      <c r="X101" s="74"/>
      <c r="Y101" s="64"/>
      <c r="Z101" s="74"/>
      <c r="AA101" s="74"/>
      <c r="AB101" s="74"/>
      <c r="AC101" s="74"/>
      <c r="AD101" s="74"/>
      <c r="AE101" s="140"/>
      <c r="AF101" s="81">
        <v>7</v>
      </c>
      <c r="AG101" s="76"/>
      <c r="AH101" s="76">
        <v>0</v>
      </c>
      <c r="AI101" s="76"/>
      <c r="AJ101" s="122" t="s">
        <v>988</v>
      </c>
      <c r="AK101" s="138"/>
      <c r="AL101" s="139" t="s">
        <v>1628</v>
      </c>
      <c r="AM101" s="431" t="str">
        <f>VLOOKUP($Q101,Resultados!$A$1:$C$49,3,FALSE)</f>
        <v>ELEVADA</v>
      </c>
    </row>
    <row r="102" spans="1:39" customFormat="1" ht="76.5">
      <c r="A102" s="372">
        <v>377</v>
      </c>
      <c r="B102" s="85">
        <v>45260</v>
      </c>
      <c r="C102" s="325" t="s">
        <v>790</v>
      </c>
      <c r="D102" s="79" t="s">
        <v>1062</v>
      </c>
      <c r="E102" s="84" t="s">
        <v>1063</v>
      </c>
      <c r="F102" s="74">
        <v>6</v>
      </c>
      <c r="G102" s="74" t="s">
        <v>1370</v>
      </c>
      <c r="H102" s="305">
        <v>45289</v>
      </c>
      <c r="I102" s="85"/>
      <c r="J102" s="85"/>
      <c r="K102" s="74" t="s">
        <v>1480</v>
      </c>
      <c r="L102" s="79" t="s">
        <v>87</v>
      </c>
      <c r="M102" s="79" t="s">
        <v>61</v>
      </c>
      <c r="N102" s="174" t="s">
        <v>1820</v>
      </c>
      <c r="O102" s="24" t="str">
        <f>IF(Q102=" _","NO","SI")</f>
        <v>SI</v>
      </c>
      <c r="P102" s="24" t="str">
        <f ca="1">IF(color_Celda(E102)=12106214,"ROSA",IF(color_Celda(E102)=65535,"AMARILLO",IF(color_Celda(E102)=5296274,"VERDE",IF(color_Celda(E102)=16777215,"BLANCO","NO SE"))))</f>
        <v>ROSA</v>
      </c>
      <c r="Q102" s="79" t="s">
        <v>1162</v>
      </c>
      <c r="R102" s="4" t="str">
        <f>VLOOKUP($Q102,Resultados!$A$1:$B$49,2,FALSE)</f>
        <v>ELEVADA A JUICIO</v>
      </c>
      <c r="S102" s="79"/>
      <c r="T102" s="86"/>
      <c r="U102" s="86"/>
      <c r="V102" s="74"/>
      <c r="W102" s="74"/>
      <c r="X102" s="74"/>
      <c r="Y102" s="64"/>
      <c r="Z102" s="74"/>
      <c r="AA102" s="74"/>
      <c r="AB102" s="74"/>
      <c r="AC102" s="74"/>
      <c r="AD102" s="74"/>
      <c r="AE102" s="140"/>
      <c r="AF102" s="76">
        <v>7</v>
      </c>
      <c r="AG102" s="76"/>
      <c r="AH102" s="76">
        <v>0</v>
      </c>
      <c r="AI102" s="76"/>
      <c r="AJ102" s="122" t="s">
        <v>408</v>
      </c>
      <c r="AK102" s="130"/>
      <c r="AL102" s="139" t="s">
        <v>1628</v>
      </c>
      <c r="AM102" s="431" t="str">
        <f>VLOOKUP($Q102,Resultados!$A$1:$C$49,3,FALSE)</f>
        <v>ELEVADA</v>
      </c>
    </row>
    <row r="103" spans="1:39" customFormat="1" ht="63.75">
      <c r="A103" s="372">
        <v>519</v>
      </c>
      <c r="B103" s="85">
        <v>45287</v>
      </c>
      <c r="C103" s="325" t="s">
        <v>16</v>
      </c>
      <c r="D103" s="79" t="s">
        <v>1398</v>
      </c>
      <c r="E103" s="108" t="s">
        <v>1399</v>
      </c>
      <c r="F103" s="74">
        <v>6</v>
      </c>
      <c r="G103" s="74" t="s">
        <v>10</v>
      </c>
      <c r="H103" s="305">
        <v>45295</v>
      </c>
      <c r="I103" s="85"/>
      <c r="J103" s="85"/>
      <c r="K103" s="74" t="s">
        <v>1480</v>
      </c>
      <c r="L103" s="79" t="s">
        <v>83</v>
      </c>
      <c r="M103" s="79" t="s">
        <v>270</v>
      </c>
      <c r="N103" s="105" t="s">
        <v>1780</v>
      </c>
      <c r="O103" s="24" t="str">
        <f>IF(Q103=" _","NO","SI")</f>
        <v>SI</v>
      </c>
      <c r="P103" s="24" t="str">
        <f ca="1">IF(color_Celda(E103)=12106214,"ROSA",IF(color_Celda(E103)=65535,"AMARILLO",IF(color_Celda(E103)=5296274,"VERDE",IF(color_Celda(E103)=16777215,"BLANCO","NO SE"))))</f>
        <v>ROSA</v>
      </c>
      <c r="Q103" s="79" t="s">
        <v>1324</v>
      </c>
      <c r="R103" s="4" t="s">
        <v>1325</v>
      </c>
      <c r="S103" s="79"/>
      <c r="T103" s="73"/>
      <c r="U103" s="73"/>
      <c r="V103" s="68"/>
      <c r="W103" s="74"/>
      <c r="X103" s="74"/>
      <c r="Y103" s="64"/>
      <c r="Z103" s="74"/>
      <c r="AA103" s="74"/>
      <c r="AB103" s="74"/>
      <c r="AC103" s="74"/>
      <c r="AD103" s="74"/>
      <c r="AE103" s="140"/>
      <c r="AF103" s="76">
        <v>7</v>
      </c>
      <c r="AG103" s="76"/>
      <c r="AH103" s="76"/>
      <c r="AI103" s="76"/>
      <c r="AJ103" s="122" t="s">
        <v>408</v>
      </c>
      <c r="AK103" s="130"/>
      <c r="AL103" s="139" t="s">
        <v>1628</v>
      </c>
      <c r="AM103" s="431" t="str">
        <f>VLOOKUP($Q103,Resultados!$A$1:$C$49,3,FALSE)</f>
        <v>RESUELTA</v>
      </c>
    </row>
    <row r="104" spans="1:39" customFormat="1" ht="76.5">
      <c r="A104" s="372">
        <v>220</v>
      </c>
      <c r="B104" s="85">
        <v>45243</v>
      </c>
      <c r="C104" s="325" t="s">
        <v>378</v>
      </c>
      <c r="D104" s="79" t="s">
        <v>752</v>
      </c>
      <c r="E104" s="84" t="s">
        <v>1428</v>
      </c>
      <c r="F104" s="74">
        <v>2</v>
      </c>
      <c r="G104" s="74" t="s">
        <v>10</v>
      </c>
      <c r="H104" s="305">
        <v>45309</v>
      </c>
      <c r="I104" s="85"/>
      <c r="J104" s="85"/>
      <c r="K104" s="74" t="s">
        <v>1480</v>
      </c>
      <c r="L104" s="79" t="s">
        <v>77</v>
      </c>
      <c r="M104" s="79"/>
      <c r="N104" s="174" t="s">
        <v>1733</v>
      </c>
      <c r="O104" s="24" t="str">
        <f>IF(Q104=" _","NO","SI")</f>
        <v>SI</v>
      </c>
      <c r="P104" s="24" t="str">
        <f ca="1">IF(color_Celda(E104)=12106214,"ROSA",IF(color_Celda(E104)=65535,"AMARILLO",IF(color_Celda(E104)=5296274,"VERDE",IF(color_Celda(E104)=16777215,"BLANCO","NO SE"))))</f>
        <v>ROSA</v>
      </c>
      <c r="Q104" s="79" t="s">
        <v>1324</v>
      </c>
      <c r="R104" s="4" t="str">
        <f>VLOOKUP($Q104,Resultados!$A$1:$B$49,2,FALSE)</f>
        <v>RESUELTA EN ETAPA DE PREVENTIVA</v>
      </c>
      <c r="S104" s="79"/>
      <c r="T104" s="86"/>
      <c r="U104" s="86"/>
      <c r="V104" s="74"/>
      <c r="W104" s="74"/>
      <c r="X104" s="74"/>
      <c r="Y104" s="64"/>
      <c r="Z104" s="74"/>
      <c r="AA104" s="74"/>
      <c r="AB104" s="74"/>
      <c r="AC104" s="74"/>
      <c r="AD104" s="74"/>
      <c r="AE104" s="140"/>
      <c r="AF104" s="81">
        <v>7</v>
      </c>
      <c r="AG104" s="76"/>
      <c r="AH104" s="76">
        <v>0</v>
      </c>
      <c r="AI104" s="76"/>
      <c r="AJ104" s="122" t="s">
        <v>408</v>
      </c>
      <c r="AK104" s="130"/>
      <c r="AL104" s="139" t="s">
        <v>1628</v>
      </c>
      <c r="AM104" s="431" t="str">
        <f>VLOOKUP($Q104,Resultados!$A$1:$C$49,3,FALSE)</f>
        <v>RESUELTA</v>
      </c>
    </row>
    <row r="105" spans="1:39" customFormat="1" ht="64.5" customHeight="1">
      <c r="A105" s="372">
        <v>197</v>
      </c>
      <c r="B105" s="85">
        <v>45238</v>
      </c>
      <c r="C105" s="326" t="s">
        <v>2125</v>
      </c>
      <c r="D105" s="79" t="s">
        <v>335</v>
      </c>
      <c r="E105" s="84" t="s">
        <v>808</v>
      </c>
      <c r="F105" s="74">
        <v>1</v>
      </c>
      <c r="G105" s="74" t="s">
        <v>10</v>
      </c>
      <c r="H105" s="305">
        <v>45313</v>
      </c>
      <c r="I105" s="85"/>
      <c r="J105" s="85"/>
      <c r="K105" s="74" t="s">
        <v>1480</v>
      </c>
      <c r="L105" s="79" t="s">
        <v>36</v>
      </c>
      <c r="M105" s="79" t="s">
        <v>59</v>
      </c>
      <c r="N105" s="174" t="s">
        <v>1730</v>
      </c>
      <c r="O105" s="24" t="str">
        <f>IF(Q105=" _","NO","SI")</f>
        <v>SI</v>
      </c>
      <c r="P105" s="24" t="str">
        <f ca="1">IF(color_Celda(E105)=12106214,"ROSA",IF(color_Celda(E105)=65535,"AMARILLO",IF(color_Celda(E105)=5296274,"VERDE",IF(color_Celda(E105)=16777215,"BLANCO","NO SE"))))</f>
        <v>ROSA</v>
      </c>
      <c r="Q105" s="79" t="s">
        <v>1324</v>
      </c>
      <c r="R105" s="4" t="str">
        <f>VLOOKUP($Q105,Resultados!$A$1:$B$49,2,FALSE)</f>
        <v>RESUELTA EN ETAPA DE PREVENTIVA</v>
      </c>
      <c r="S105" s="79"/>
      <c r="T105" s="86"/>
      <c r="U105" s="86"/>
      <c r="V105" s="74"/>
      <c r="W105" s="74"/>
      <c r="X105" s="74"/>
      <c r="Y105" s="64"/>
      <c r="Z105" s="74"/>
      <c r="AA105" s="74"/>
      <c r="AB105" s="74"/>
      <c r="AC105" s="74"/>
      <c r="AD105" s="74"/>
      <c r="AE105" s="140"/>
      <c r="AF105" s="81">
        <v>7</v>
      </c>
      <c r="AG105" s="76"/>
      <c r="AH105" s="76">
        <v>0</v>
      </c>
      <c r="AI105" s="76"/>
      <c r="AJ105" s="122" t="s">
        <v>408</v>
      </c>
      <c r="AK105" s="130"/>
      <c r="AL105" s="139" t="s">
        <v>1628</v>
      </c>
      <c r="AM105" s="431" t="str">
        <f>VLOOKUP($Q105,Resultados!$A$1:$C$49,3,FALSE)</f>
        <v>RESUELTA</v>
      </c>
    </row>
    <row r="106" spans="1:39" customFormat="1" ht="77.25" customHeight="1">
      <c r="A106" s="372">
        <v>549</v>
      </c>
      <c r="B106" s="85">
        <v>45309</v>
      </c>
      <c r="C106" s="325" t="s">
        <v>1462</v>
      </c>
      <c r="D106" s="79" t="s">
        <v>1463</v>
      </c>
      <c r="E106" s="84" t="s">
        <v>1464</v>
      </c>
      <c r="F106" s="74">
        <v>2</v>
      </c>
      <c r="G106" s="74"/>
      <c r="H106" s="312">
        <v>45322</v>
      </c>
      <c r="I106" s="85"/>
      <c r="J106" s="85"/>
      <c r="K106" s="74" t="s">
        <v>1480</v>
      </c>
      <c r="L106" s="79" t="s">
        <v>83</v>
      </c>
      <c r="M106" s="79" t="s">
        <v>131</v>
      </c>
      <c r="N106" s="105" t="s">
        <v>3369</v>
      </c>
      <c r="O106" s="24" t="str">
        <f>IF(Q106=" _","NO","SI")</f>
        <v>SI</v>
      </c>
      <c r="P106" s="24" t="str">
        <f ca="1">IF(color_Celda(E106)=12106214,"ROSA",IF(color_Celda(E106)=65535,"AMARILLO",IF(color_Celda(E106)=5296274,"VERDE",IF(color_Celda(E106)=16777215,"BLANCO","NO SE"))))</f>
        <v>ROSA</v>
      </c>
      <c r="Q106" s="79" t="s">
        <v>1324</v>
      </c>
      <c r="R106" s="4" t="str">
        <f>VLOOKUP($Q106,Resultados!$A$1:$B$49,2,FALSE)</f>
        <v>RESUELTA EN ETAPA DE PREVENTIVA</v>
      </c>
      <c r="S106" s="79"/>
      <c r="T106" s="86"/>
      <c r="U106" s="86"/>
      <c r="V106" s="74"/>
      <c r="W106" s="74"/>
      <c r="X106" s="74"/>
      <c r="Y106" s="64"/>
      <c r="Z106" s="74"/>
      <c r="AA106" s="74"/>
      <c r="AB106" s="74"/>
      <c r="AC106" s="74"/>
      <c r="AD106" s="74"/>
      <c r="AE106" s="140"/>
      <c r="AF106" s="76"/>
      <c r="AG106" s="76"/>
      <c r="AH106" s="76"/>
      <c r="AI106" s="76"/>
      <c r="AJ106" s="122" t="s">
        <v>408</v>
      </c>
      <c r="AK106" s="130"/>
      <c r="AL106" s="139" t="s">
        <v>1628</v>
      </c>
      <c r="AM106" s="431" t="str">
        <f>VLOOKUP($Q106,Resultados!$A$1:$C$49,3,FALSE)</f>
        <v>RESUELTA</v>
      </c>
    </row>
    <row r="107" spans="1:39" customFormat="1" ht="76.5">
      <c r="A107" s="372">
        <v>55</v>
      </c>
      <c r="B107" s="85">
        <v>45225</v>
      </c>
      <c r="C107" s="326" t="s">
        <v>3078</v>
      </c>
      <c r="D107" s="79" t="s">
        <v>473</v>
      </c>
      <c r="E107" s="88" t="s">
        <v>477</v>
      </c>
      <c r="F107" s="74">
        <v>3</v>
      </c>
      <c r="G107" s="74" t="s">
        <v>325</v>
      </c>
      <c r="H107" s="85">
        <v>45324</v>
      </c>
      <c r="I107" s="85"/>
      <c r="J107" s="85"/>
      <c r="K107" s="74" t="s">
        <v>1480</v>
      </c>
      <c r="L107" s="79" t="s">
        <v>81</v>
      </c>
      <c r="M107" s="367" t="s">
        <v>122</v>
      </c>
      <c r="N107" s="105" t="s">
        <v>1162</v>
      </c>
      <c r="O107" s="24" t="str">
        <f>IF(Q107=" _","NO","SI")</f>
        <v>SI</v>
      </c>
      <c r="P107" s="24" t="str">
        <f ca="1">IF(color_Celda(E107)=12106214,"ROSA",IF(color_Celda(E107)=65535,"AMARILLO",IF(color_Celda(E107)=5296274,"VERDE",IF(color_Celda(E107)=16777215,"BLANCO","NO SE"))))</f>
        <v>ROSA</v>
      </c>
      <c r="Q107" s="79" t="s">
        <v>1162</v>
      </c>
      <c r="R107" s="4" t="str">
        <f>VLOOKUP($Q107,Resultados!$A$1:$B$49,2,FALSE)</f>
        <v>ELEVADA A JUICIO</v>
      </c>
      <c r="S107" s="79"/>
      <c r="T107" s="86"/>
      <c r="U107" s="86"/>
      <c r="V107" s="74"/>
      <c r="W107" s="74"/>
      <c r="X107" s="74"/>
      <c r="Y107" s="64"/>
      <c r="Z107" s="74"/>
      <c r="AA107" s="74"/>
      <c r="AB107" s="74"/>
      <c r="AC107" s="74"/>
      <c r="AD107" s="74"/>
      <c r="AE107" s="140"/>
      <c r="AF107" s="81">
        <v>7</v>
      </c>
      <c r="AG107" s="76"/>
      <c r="AH107" s="76">
        <v>0</v>
      </c>
      <c r="AI107" s="76"/>
      <c r="AJ107" s="122" t="s">
        <v>988</v>
      </c>
      <c r="AK107" s="138"/>
      <c r="AL107" s="139" t="s">
        <v>1628</v>
      </c>
      <c r="AM107" s="431" t="str">
        <f>VLOOKUP($Q107,Resultados!$A$1:$C$49,3,FALSE)</f>
        <v>ELEVADA</v>
      </c>
    </row>
    <row r="108" spans="1:39" customFormat="1" ht="102">
      <c r="A108" s="372">
        <v>505</v>
      </c>
      <c r="B108" s="85">
        <v>45281</v>
      </c>
      <c r="C108" s="325" t="s">
        <v>12</v>
      </c>
      <c r="D108" s="79" t="s">
        <v>288</v>
      </c>
      <c r="E108" s="84" t="s">
        <v>1328</v>
      </c>
      <c r="F108" s="74">
        <v>6</v>
      </c>
      <c r="G108" s="74" t="s">
        <v>10</v>
      </c>
      <c r="H108" s="305">
        <v>45324</v>
      </c>
      <c r="I108" s="85"/>
      <c r="J108" s="85"/>
      <c r="K108" s="74" t="s">
        <v>1480</v>
      </c>
      <c r="L108" s="79" t="s">
        <v>2167</v>
      </c>
      <c r="M108" s="79" t="s">
        <v>294</v>
      </c>
      <c r="N108" s="174" t="s">
        <v>1779</v>
      </c>
      <c r="O108" s="24" t="str">
        <f>IF(Q108=" _","NO","SI")</f>
        <v>SI</v>
      </c>
      <c r="P108" s="24" t="str">
        <f ca="1">IF(color_Celda(E108)=12106214,"ROSA",IF(color_Celda(E108)=65535,"AMARILLO",IF(color_Celda(E108)=5296274,"VERDE",IF(color_Celda(E108)=16777215,"BLANCO","NO SE"))))</f>
        <v>ROSA</v>
      </c>
      <c r="Q108" s="79" t="s">
        <v>1162</v>
      </c>
      <c r="R108" s="4" t="str">
        <f>VLOOKUP($Q108,Resultados!$A$1:$B$49,2,FALSE)</f>
        <v>ELEVADA A JUICIO</v>
      </c>
      <c r="S108" s="79"/>
      <c r="T108" s="73"/>
      <c r="U108" s="73"/>
      <c r="V108" s="68"/>
      <c r="W108" s="74"/>
      <c r="X108" s="74"/>
      <c r="Y108" s="64"/>
      <c r="Z108" s="74"/>
      <c r="AA108" s="74"/>
      <c r="AB108" s="74"/>
      <c r="AC108" s="74"/>
      <c r="AD108" s="74"/>
      <c r="AE108" s="140"/>
      <c r="AF108" s="76">
        <v>7</v>
      </c>
      <c r="AG108" s="76"/>
      <c r="AH108" s="76">
        <v>0</v>
      </c>
      <c r="AI108" s="76"/>
      <c r="AJ108" s="122" t="s">
        <v>408</v>
      </c>
      <c r="AK108" s="130"/>
      <c r="AL108" s="139" t="s">
        <v>1628</v>
      </c>
      <c r="AM108" s="431" t="str">
        <f>VLOOKUP($Q108,Resultados!$A$1:$C$49,3,FALSE)</f>
        <v>ELEVADA</v>
      </c>
    </row>
    <row r="109" spans="1:39" customFormat="1" ht="63.75">
      <c r="A109" s="372">
        <v>539</v>
      </c>
      <c r="B109" s="85">
        <v>45296</v>
      </c>
      <c r="C109" s="326" t="s">
        <v>12</v>
      </c>
      <c r="D109" s="74" t="s">
        <v>1426</v>
      </c>
      <c r="E109" s="108" t="s">
        <v>1427</v>
      </c>
      <c r="F109" s="74">
        <v>5</v>
      </c>
      <c r="G109" s="79" t="s">
        <v>325</v>
      </c>
      <c r="H109" s="310">
        <v>45327</v>
      </c>
      <c r="I109" s="82"/>
      <c r="J109" s="82"/>
      <c r="K109" s="74"/>
      <c r="L109" s="79" t="s">
        <v>250</v>
      </c>
      <c r="M109" s="79" t="s">
        <v>234</v>
      </c>
      <c r="N109" s="174" t="s">
        <v>1824</v>
      </c>
      <c r="O109" s="24" t="str">
        <f>IF(Q109=" _","NO","SI")</f>
        <v>SI</v>
      </c>
      <c r="P109" s="24" t="str">
        <f ca="1">IF(color_Celda(E109)=12106214,"ROSA",IF(color_Celda(E109)=65535,"AMARILLO",IF(color_Celda(E109)=5296274,"VERDE",IF(color_Celda(E109)=16777215,"BLANCO","NO SE"))))</f>
        <v>ROSA</v>
      </c>
      <c r="Q109" s="79" t="s">
        <v>1162</v>
      </c>
      <c r="R109" s="4" t="str">
        <f>VLOOKUP($Q109,Resultados!$A$1:$B$49,2,FALSE)</f>
        <v>ELEVADA A JUICIO</v>
      </c>
      <c r="S109" s="79"/>
      <c r="T109" s="86"/>
      <c r="U109" s="86"/>
      <c r="V109" s="74"/>
      <c r="W109" s="74"/>
      <c r="X109" s="74"/>
      <c r="Y109" s="64"/>
      <c r="Z109" s="74"/>
      <c r="AA109" s="74"/>
      <c r="AB109" s="74"/>
      <c r="AC109" s="74"/>
      <c r="AD109" s="74"/>
      <c r="AE109" s="140"/>
      <c r="AF109" s="76"/>
      <c r="AG109" s="76"/>
      <c r="AH109" s="76"/>
      <c r="AI109" s="76"/>
      <c r="AJ109" s="122" t="s">
        <v>408</v>
      </c>
      <c r="AK109" s="130"/>
      <c r="AL109" s="139" t="s">
        <v>1628</v>
      </c>
      <c r="AM109" s="431" t="str">
        <f>VLOOKUP($Q109,Resultados!$A$1:$C$49,3,FALSE)</f>
        <v>ELEVADA</v>
      </c>
    </row>
    <row r="110" spans="1:39" customFormat="1" ht="102">
      <c r="A110" s="372">
        <v>509</v>
      </c>
      <c r="B110" s="85">
        <v>45282</v>
      </c>
      <c r="C110" s="325" t="s">
        <v>1330</v>
      </c>
      <c r="D110" s="79" t="s">
        <v>1331</v>
      </c>
      <c r="E110" s="84" t="s">
        <v>1359</v>
      </c>
      <c r="F110" s="74">
        <v>2</v>
      </c>
      <c r="G110" s="74" t="s">
        <v>325</v>
      </c>
      <c r="H110" s="305">
        <v>45328</v>
      </c>
      <c r="I110" s="85"/>
      <c r="J110" s="85"/>
      <c r="K110" s="74" t="s">
        <v>1480</v>
      </c>
      <c r="L110" s="79" t="s">
        <v>82</v>
      </c>
      <c r="M110" s="79" t="s">
        <v>45</v>
      </c>
      <c r="N110" s="174" t="s">
        <v>1824</v>
      </c>
      <c r="O110" s="24" t="str">
        <f>IF(Q110=" _","NO","SI")</f>
        <v>SI</v>
      </c>
      <c r="P110" s="24" t="str">
        <f ca="1">IF(color_Celda(E110)=12106214,"ROSA",IF(color_Celda(E110)=65535,"AMARILLO",IF(color_Celda(E110)=5296274,"VERDE",IF(color_Celda(E110)=16777215,"BLANCO","NO SE"))))</f>
        <v>ROSA</v>
      </c>
      <c r="Q110" s="79" t="s">
        <v>1162</v>
      </c>
      <c r="R110" s="4" t="str">
        <f>VLOOKUP($Q110,Resultados!$A$1:$B$49,2,FALSE)</f>
        <v>ELEVADA A JUICIO</v>
      </c>
      <c r="S110" s="79"/>
      <c r="T110" s="86"/>
      <c r="U110" s="86"/>
      <c r="V110" s="74"/>
      <c r="W110" s="74"/>
      <c r="X110" s="74"/>
      <c r="Y110" s="64"/>
      <c r="Z110" s="74"/>
      <c r="AA110" s="74"/>
      <c r="AB110" s="74"/>
      <c r="AC110" s="74"/>
      <c r="AD110" s="74"/>
      <c r="AE110" s="140"/>
      <c r="AF110" s="76">
        <v>7</v>
      </c>
      <c r="AG110" s="76"/>
      <c r="AH110" s="76">
        <v>0</v>
      </c>
      <c r="AI110" s="76"/>
      <c r="AJ110" s="122" t="s">
        <v>408</v>
      </c>
      <c r="AK110" s="130"/>
      <c r="AL110" s="139" t="s">
        <v>1628</v>
      </c>
      <c r="AM110" s="431" t="str">
        <f>VLOOKUP($Q110,Resultados!$A$1:$C$49,3,FALSE)</f>
        <v>ELEVADA</v>
      </c>
    </row>
    <row r="111" spans="1:39" customFormat="1" ht="114.75">
      <c r="A111" s="372">
        <v>474</v>
      </c>
      <c r="B111" s="85">
        <v>45274</v>
      </c>
      <c r="C111" s="325" t="s">
        <v>16</v>
      </c>
      <c r="D111" s="79" t="s">
        <v>1245</v>
      </c>
      <c r="E111" s="84" t="s">
        <v>2032</v>
      </c>
      <c r="F111" s="74">
        <v>1</v>
      </c>
      <c r="G111" s="74" t="s">
        <v>326</v>
      </c>
      <c r="H111" s="306">
        <v>45329</v>
      </c>
      <c r="I111" s="82" t="s">
        <v>143</v>
      </c>
      <c r="J111" s="85" t="s">
        <v>144</v>
      </c>
      <c r="K111" s="79" t="s">
        <v>231</v>
      </c>
      <c r="L111" s="79" t="s">
        <v>74</v>
      </c>
      <c r="M111" s="79" t="s">
        <v>1246</v>
      </c>
      <c r="N111" s="172" t="s">
        <v>1490</v>
      </c>
      <c r="O111" s="24" t="str">
        <f>IF(Q111=" _","NO","SI")</f>
        <v>SI</v>
      </c>
      <c r="P111" s="24" t="str">
        <f ca="1">IF(color_Celda(E111)=12106214,"ROSA",IF(color_Celda(E111)=65535,"AMARILLO",IF(color_Celda(E111)=5296274,"VERDE",IF(color_Celda(E111)=16777215,"BLANCO","NO SE"))))</f>
        <v>ROSA</v>
      </c>
      <c r="Q111" s="79" t="s">
        <v>96</v>
      </c>
      <c r="R111" s="4" t="str">
        <f>VLOOKUP($Q111,Resultados!$A$1:$B$49,2,FALSE)</f>
        <v>Juicio Abreviado</v>
      </c>
      <c r="S111" s="79"/>
      <c r="T111" s="86"/>
      <c r="U111" s="86"/>
      <c r="V111" s="74"/>
      <c r="W111" s="74"/>
      <c r="X111" s="74"/>
      <c r="Y111" s="64"/>
      <c r="Z111" s="74"/>
      <c r="AA111" s="74"/>
      <c r="AB111" s="74"/>
      <c r="AC111" s="74"/>
      <c r="AD111" s="74"/>
      <c r="AE111" s="140"/>
      <c r="AF111" s="76">
        <v>7</v>
      </c>
      <c r="AG111" s="76"/>
      <c r="AH111" s="76">
        <v>0</v>
      </c>
      <c r="AI111" s="76"/>
      <c r="AJ111" s="122" t="s">
        <v>408</v>
      </c>
      <c r="AK111" s="130"/>
      <c r="AL111" s="139" t="s">
        <v>1628</v>
      </c>
      <c r="AM111" s="431" t="str">
        <f>VLOOKUP($Q111,Resultados!$A$1:$C$49,3,FALSE)</f>
        <v>RESUELTA</v>
      </c>
    </row>
    <row r="112" spans="1:39" customFormat="1" ht="63.75">
      <c r="A112" s="510">
        <v>546</v>
      </c>
      <c r="B112" s="154">
        <v>45303</v>
      </c>
      <c r="C112" s="330" t="s">
        <v>1440</v>
      </c>
      <c r="D112" s="105" t="s">
        <v>1446</v>
      </c>
      <c r="E112" s="84" t="s">
        <v>3367</v>
      </c>
      <c r="F112" s="105">
        <v>2</v>
      </c>
      <c r="G112" s="105"/>
      <c r="H112" s="312">
        <v>45329</v>
      </c>
      <c r="I112" s="154"/>
      <c r="J112" s="154"/>
      <c r="K112" s="105" t="s">
        <v>1480</v>
      </c>
      <c r="L112" s="105" t="s">
        <v>83</v>
      </c>
      <c r="M112" s="105" t="s">
        <v>131</v>
      </c>
      <c r="N112" s="105" t="s">
        <v>3368</v>
      </c>
      <c r="O112" s="511" t="str">
        <f>IF(Q112=" _","NO","SI")</f>
        <v>SI</v>
      </c>
      <c r="P112" s="511" t="str">
        <f ca="1">IF(color_Celda(E112)=12106214,"ROSA",IF(color_Celda(E112)=65535,"AMARILLO",IF(color_Celda(E112)=5296274,"VERDE",IF(color_Celda(E112)=16777215,"BLANCO","NO SE"))))</f>
        <v>ROSA</v>
      </c>
      <c r="Q112" s="105" t="s">
        <v>1324</v>
      </c>
      <c r="R112" s="525" t="str">
        <f>VLOOKUP($Q112,Resultados!$A$1:$B$49,2,FALSE)</f>
        <v>RESUELTA EN ETAPA DE PREVENTIVA</v>
      </c>
      <c r="S112" s="105"/>
      <c r="T112" s="94"/>
      <c r="U112" s="94"/>
      <c r="V112" s="105"/>
      <c r="W112" s="105"/>
      <c r="X112" s="105"/>
      <c r="Y112" s="511"/>
      <c r="Z112" s="105"/>
      <c r="AA112" s="105"/>
      <c r="AB112" s="105"/>
      <c r="AC112" s="105"/>
      <c r="AD112" s="105"/>
      <c r="AE112" s="415"/>
      <c r="AF112" s="410"/>
      <c r="AG112" s="410"/>
      <c r="AH112" s="410"/>
      <c r="AI112" s="410"/>
      <c r="AJ112" s="122" t="s">
        <v>408</v>
      </c>
      <c r="AK112" s="423"/>
      <c r="AL112" s="139" t="s">
        <v>1628</v>
      </c>
      <c r="AM112" s="431" t="str">
        <f>VLOOKUP($Q112,Resultados!$A$1:$C$49,3,FALSE)</f>
        <v>RESUELTA</v>
      </c>
    </row>
    <row r="113" spans="1:39" customFormat="1" ht="38.25">
      <c r="A113" s="372">
        <v>463</v>
      </c>
      <c r="B113" s="85">
        <v>45273</v>
      </c>
      <c r="C113" s="326" t="s">
        <v>1577</v>
      </c>
      <c r="D113" s="79" t="s">
        <v>1226</v>
      </c>
      <c r="E113" s="84" t="s">
        <v>1239</v>
      </c>
      <c r="F113" s="74">
        <v>1</v>
      </c>
      <c r="G113" s="74" t="s">
        <v>10</v>
      </c>
      <c r="H113" s="305">
        <v>45330</v>
      </c>
      <c r="I113" s="85"/>
      <c r="J113" s="85"/>
      <c r="K113" s="74" t="s">
        <v>1480</v>
      </c>
      <c r="L113" s="79" t="s">
        <v>2172</v>
      </c>
      <c r="M113" s="79" t="s">
        <v>1238</v>
      </c>
      <c r="N113" s="174" t="s">
        <v>1775</v>
      </c>
      <c r="O113" s="24" t="str">
        <f>IF(Q113=" _","NO","SI")</f>
        <v>SI</v>
      </c>
      <c r="P113" s="24" t="str">
        <f ca="1">IF(color_Celda(E113)=12106214,"ROSA",IF(color_Celda(E113)=65535,"AMARILLO",IF(color_Celda(E113)=5296274,"VERDE",IF(color_Celda(E113)=16777215,"BLANCO","NO SE"))))</f>
        <v>ROSA</v>
      </c>
      <c r="Q113" s="79" t="s">
        <v>1162</v>
      </c>
      <c r="R113" s="4" t="str">
        <f>VLOOKUP($Q113,Resultados!$A$1:$B$49,2,FALSE)</f>
        <v>ELEVADA A JUICIO</v>
      </c>
      <c r="S113" s="79"/>
      <c r="T113" s="73"/>
      <c r="U113" s="73"/>
      <c r="V113" s="68"/>
      <c r="W113" s="74"/>
      <c r="X113" s="74"/>
      <c r="Y113" s="64"/>
      <c r="Z113" s="74"/>
      <c r="AA113" s="74"/>
      <c r="AB113" s="74"/>
      <c r="AC113" s="74"/>
      <c r="AD113" s="74"/>
      <c r="AE113" s="140"/>
      <c r="AF113" s="76">
        <v>7</v>
      </c>
      <c r="AG113" s="76"/>
      <c r="AH113" s="76">
        <v>0</v>
      </c>
      <c r="AI113" s="76"/>
      <c r="AJ113" s="122" t="s">
        <v>408</v>
      </c>
      <c r="AK113" s="130"/>
      <c r="AL113" s="139" t="s">
        <v>1628</v>
      </c>
      <c r="AM113" s="431" t="str">
        <f>VLOOKUP($Q113,Resultados!$A$1:$C$49,3,FALSE)</f>
        <v>ELEVADA</v>
      </c>
    </row>
    <row r="114" spans="1:39" customFormat="1" ht="63.75">
      <c r="A114" s="372">
        <v>600</v>
      </c>
      <c r="B114" s="17">
        <v>45330</v>
      </c>
      <c r="C114" s="328" t="s">
        <v>1565</v>
      </c>
      <c r="D114" s="16" t="s">
        <v>1566</v>
      </c>
      <c r="E114" s="164" t="s">
        <v>1806</v>
      </c>
      <c r="F114" s="165">
        <v>7</v>
      </c>
      <c r="G114" s="16" t="s">
        <v>10</v>
      </c>
      <c r="H114" s="307">
        <v>45330</v>
      </c>
      <c r="I114" s="163"/>
      <c r="J114" s="163"/>
      <c r="K114" s="165" t="str">
        <f>IFERROR(VLOOKUP(J114,Jueces!$A$1:$B$11,2,FALSE),"")</f>
        <v/>
      </c>
      <c r="L114" s="16" t="s">
        <v>75</v>
      </c>
      <c r="M114" s="16" t="s">
        <v>62</v>
      </c>
      <c r="N114" s="231" t="s">
        <v>2450</v>
      </c>
      <c r="O114" s="24" t="str">
        <f>IF(Q114=" _","NO","SI")</f>
        <v>SI</v>
      </c>
      <c r="P114" s="24" t="str">
        <f ca="1">IF(color_Celda(E114)=12106214,"ROSA",IF(color_Celda(E114)=65535,"AMARILLO",IF(color_Celda(E114)=5296274,"VERDE",IF(color_Celda(E114)=16777215,"BLANCO","NO SE"))))</f>
        <v>ROSA</v>
      </c>
      <c r="Q114" s="16" t="s">
        <v>1162</v>
      </c>
      <c r="R114" s="4" t="str">
        <f>VLOOKUP($Q114,Resultados!$A$1:$B$49,2,FALSE)</f>
        <v>ELEVADA A JUICIO</v>
      </c>
      <c r="S114" s="16"/>
      <c r="T114" s="166"/>
      <c r="U114" s="166"/>
      <c r="V114" s="165"/>
      <c r="W114" s="165"/>
      <c r="X114" s="165"/>
      <c r="Y114" s="64"/>
      <c r="Z114" s="165"/>
      <c r="AA114" s="165"/>
      <c r="AB114" s="165"/>
      <c r="AC114" s="165"/>
      <c r="AD114" s="165"/>
      <c r="AE114" s="167"/>
      <c r="AF114" s="168"/>
      <c r="AG114" s="168"/>
      <c r="AH114" s="168"/>
      <c r="AI114" s="168"/>
      <c r="AJ114" s="242" t="s">
        <v>408</v>
      </c>
      <c r="AK114" s="169"/>
      <c r="AL114" s="139" t="s">
        <v>1628</v>
      </c>
      <c r="AM114" s="431" t="str">
        <f>VLOOKUP($Q114,Resultados!$A$1:$C$49,3,FALSE)</f>
        <v>ELEVADA</v>
      </c>
    </row>
    <row r="115" spans="1:39" customFormat="1" ht="63.75">
      <c r="A115" s="372">
        <v>590</v>
      </c>
      <c r="B115" s="85">
        <v>45330</v>
      </c>
      <c r="C115" s="326" t="s">
        <v>1565</v>
      </c>
      <c r="D115" s="74" t="s">
        <v>1491</v>
      </c>
      <c r="E115" s="238" t="s">
        <v>1492</v>
      </c>
      <c r="F115" s="74">
        <v>6</v>
      </c>
      <c r="G115" s="74" t="s">
        <v>10</v>
      </c>
      <c r="H115" s="305">
        <v>45331</v>
      </c>
      <c r="I115" s="85"/>
      <c r="J115" s="85"/>
      <c r="K115" s="74" t="s">
        <v>1480</v>
      </c>
      <c r="L115" s="16" t="s">
        <v>83</v>
      </c>
      <c r="M115" s="16" t="s">
        <v>62</v>
      </c>
      <c r="N115" s="178" t="s">
        <v>2449</v>
      </c>
      <c r="O115" s="24" t="str">
        <f>IF(Q115=" _","NO","SI")</f>
        <v>SI</v>
      </c>
      <c r="P115" s="24" t="str">
        <f ca="1">IF(color_Celda(E115)=12106214,"ROSA",IF(color_Celda(E115)=65535,"AMARILLO",IF(color_Celda(E115)=5296274,"VERDE",IF(color_Celda(E115)=16777215,"BLANCO","NO SE"))))</f>
        <v>ROSA</v>
      </c>
      <c r="Q115" s="79" t="s">
        <v>1162</v>
      </c>
      <c r="R115" s="4" t="str">
        <f>VLOOKUP($Q115,Resultados!$A$1:$B$49,2,FALSE)</f>
        <v>ELEVADA A JUICIO</v>
      </c>
      <c r="S115" s="79"/>
      <c r="T115" s="86"/>
      <c r="U115" s="86"/>
      <c r="V115" s="74"/>
      <c r="W115" s="74"/>
      <c r="X115" s="74"/>
      <c r="Y115" s="64"/>
      <c r="Z115" s="74"/>
      <c r="AA115" s="74"/>
      <c r="AB115" s="74"/>
      <c r="AC115" s="74"/>
      <c r="AD115" s="74"/>
      <c r="AE115" s="140"/>
      <c r="AF115" s="76"/>
      <c r="AG115" s="76"/>
      <c r="AH115" s="76"/>
      <c r="AI115" s="76"/>
      <c r="AJ115" s="122" t="s">
        <v>408</v>
      </c>
      <c r="AK115" s="130"/>
      <c r="AL115" s="139" t="s">
        <v>1628</v>
      </c>
      <c r="AM115" s="431" t="str">
        <f>VLOOKUP($Q115,Resultados!$A$1:$C$49,3,FALSE)</f>
        <v>ELEVADA</v>
      </c>
    </row>
    <row r="116" spans="1:39" customFormat="1" ht="63.75">
      <c r="A116" s="372">
        <v>552</v>
      </c>
      <c r="B116" s="85">
        <v>45317</v>
      </c>
      <c r="C116" s="325" t="s">
        <v>793</v>
      </c>
      <c r="D116" s="79" t="s">
        <v>1459</v>
      </c>
      <c r="E116" s="84" t="s">
        <v>1460</v>
      </c>
      <c r="F116" s="74">
        <v>3</v>
      </c>
      <c r="G116" s="74"/>
      <c r="H116" s="305">
        <v>45336</v>
      </c>
      <c r="I116" s="85"/>
      <c r="J116" s="85"/>
      <c r="K116" s="74" t="s">
        <v>1480</v>
      </c>
      <c r="L116" s="79" t="s">
        <v>74</v>
      </c>
      <c r="M116" s="16" t="s">
        <v>1795</v>
      </c>
      <c r="N116" s="105" t="s">
        <v>1796</v>
      </c>
      <c r="O116" s="24" t="str">
        <f>IF(Q116=" _","NO","SI")</f>
        <v>SI</v>
      </c>
      <c r="P116" s="24" t="str">
        <f ca="1">IF(color_Celda(E116)=12106214,"ROSA",IF(color_Celda(E116)=65535,"AMARILLO",IF(color_Celda(E116)=5296274,"VERDE",IF(color_Celda(E116)=16777215,"BLANCO","NO SE"))))</f>
        <v>ROSA</v>
      </c>
      <c r="Q116" s="79" t="s">
        <v>1324</v>
      </c>
      <c r="R116" s="4" t="str">
        <f>VLOOKUP($Q116,Resultados!$A$1:$B$49,2,FALSE)</f>
        <v>RESUELTA EN ETAPA DE PREVENTIVA</v>
      </c>
      <c r="S116" s="79"/>
      <c r="T116" s="86"/>
      <c r="U116" s="86"/>
      <c r="V116" s="74"/>
      <c r="W116" s="74"/>
      <c r="X116" s="74"/>
      <c r="Y116" s="64"/>
      <c r="Z116" s="74"/>
      <c r="AA116" s="74"/>
      <c r="AB116" s="74"/>
      <c r="AC116" s="74"/>
      <c r="AD116" s="74"/>
      <c r="AE116" s="140"/>
      <c r="AF116" s="76"/>
      <c r="AG116" s="76"/>
      <c r="AH116" s="76"/>
      <c r="AI116" s="76"/>
      <c r="AJ116" s="122" t="s">
        <v>408</v>
      </c>
      <c r="AK116" s="130"/>
      <c r="AL116" s="139" t="s">
        <v>1628</v>
      </c>
      <c r="AM116" s="431" t="str">
        <f>VLOOKUP($Q116,Resultados!$A$1:$C$49,3,FALSE)</f>
        <v>RESUELTA</v>
      </c>
    </row>
    <row r="117" spans="1:39" customFormat="1" ht="26.25" customHeight="1">
      <c r="A117" s="372">
        <v>563</v>
      </c>
      <c r="B117" s="163">
        <v>45327</v>
      </c>
      <c r="C117" s="328" t="s">
        <v>803</v>
      </c>
      <c r="D117" s="16" t="s">
        <v>1525</v>
      </c>
      <c r="E117" s="164" t="s">
        <v>1526</v>
      </c>
      <c r="F117" s="165">
        <v>4</v>
      </c>
      <c r="G117" s="16" t="s">
        <v>325</v>
      </c>
      <c r="H117" s="307">
        <v>45336</v>
      </c>
      <c r="I117" s="163"/>
      <c r="J117" s="163"/>
      <c r="K117" s="165" t="str">
        <f>IFERROR(VLOOKUP(J117,Jueces!$A$1:$B$11,2,FALSE),"")</f>
        <v/>
      </c>
      <c r="L117" s="16" t="s">
        <v>2172</v>
      </c>
      <c r="M117" s="16" t="s">
        <v>234</v>
      </c>
      <c r="N117" s="179" t="s">
        <v>1860</v>
      </c>
      <c r="O117" s="24" t="str">
        <f>IF(Q117=" _","NO","SI")</f>
        <v>SI</v>
      </c>
      <c r="P117" s="24" t="str">
        <f ca="1">IF(color_Celda(E117)=12106214,"ROSA",IF(color_Celda(E117)=65535,"AMARILLO",IF(color_Celda(E117)=5296274,"VERDE",IF(color_Celda(E117)=16777215,"BLANCO","NO SE"))))</f>
        <v>ROSA</v>
      </c>
      <c r="Q117" s="16" t="s">
        <v>1162</v>
      </c>
      <c r="R117" s="4" t="str">
        <f>VLOOKUP($Q117,Resultados!$A$1:$B$49,2,FALSE)</f>
        <v>ELEVADA A JUICIO</v>
      </c>
      <c r="S117" s="16"/>
      <c r="T117" s="166"/>
      <c r="U117" s="166"/>
      <c r="V117" s="165"/>
      <c r="W117" s="165"/>
      <c r="X117" s="165"/>
      <c r="Y117" s="64"/>
      <c r="Z117" s="165"/>
      <c r="AA117" s="165"/>
      <c r="AB117" s="165"/>
      <c r="AC117" s="165"/>
      <c r="AD117" s="165"/>
      <c r="AE117" s="167"/>
      <c r="AF117" s="168"/>
      <c r="AG117" s="168"/>
      <c r="AH117" s="168"/>
      <c r="AI117" s="168"/>
      <c r="AJ117" s="242" t="s">
        <v>408</v>
      </c>
      <c r="AK117" s="169"/>
      <c r="AL117" s="139" t="s">
        <v>1628</v>
      </c>
      <c r="AM117" s="431" t="str">
        <f>VLOOKUP($Q117,Resultados!$A$1:$C$49,3,FALSE)</f>
        <v>ELEVADA</v>
      </c>
    </row>
    <row r="118" spans="1:39" customFormat="1" ht="102">
      <c r="A118" s="372">
        <v>565</v>
      </c>
      <c r="B118" s="163">
        <v>45327</v>
      </c>
      <c r="C118" s="328" t="s">
        <v>15</v>
      </c>
      <c r="D118" s="16" t="s">
        <v>1529</v>
      </c>
      <c r="E118" s="238" t="s">
        <v>2943</v>
      </c>
      <c r="F118" s="165">
        <v>5</v>
      </c>
      <c r="G118" s="165" t="s">
        <v>326</v>
      </c>
      <c r="H118" s="311">
        <v>45336</v>
      </c>
      <c r="I118" s="17"/>
      <c r="J118" s="163"/>
      <c r="K118" s="16"/>
      <c r="L118" s="16" t="s">
        <v>76</v>
      </c>
      <c r="M118" s="16" t="s">
        <v>359</v>
      </c>
      <c r="N118" s="16" t="s">
        <v>2685</v>
      </c>
      <c r="O118" s="24" t="str">
        <f>IF(Q118=" _","NO","SI")</f>
        <v>SI</v>
      </c>
      <c r="P118" s="24" t="str">
        <f ca="1">IF(color_Celda(E118)=12106214,"ROSA",IF(color_Celda(E118)=65535,"AMARILLO",IF(color_Celda(E118)=5296274,"VERDE",IF(color_Celda(E118)=16777215,"BLANCO","NO SE"))))</f>
        <v>ROSA</v>
      </c>
      <c r="Q118" s="16" t="s">
        <v>1324</v>
      </c>
      <c r="R118" s="4" t="str">
        <f>VLOOKUP($Q118,Resultados!$A$1:$B$49,2,FALSE)</f>
        <v>RESUELTA EN ETAPA DE PREVENTIVA</v>
      </c>
      <c r="S118" s="16"/>
      <c r="T118" s="166"/>
      <c r="U118" s="166"/>
      <c r="V118" s="165"/>
      <c r="W118" s="165"/>
      <c r="X118" s="165"/>
      <c r="Y118" s="64"/>
      <c r="Z118" s="165"/>
      <c r="AA118" s="165"/>
      <c r="AB118" s="165"/>
      <c r="AC118" s="165"/>
      <c r="AD118" s="165"/>
      <c r="AE118" s="167"/>
      <c r="AF118" s="168"/>
      <c r="AG118" s="168"/>
      <c r="AH118" s="168"/>
      <c r="AI118" s="168"/>
      <c r="AJ118" s="242" t="s">
        <v>408</v>
      </c>
      <c r="AK118" s="169"/>
      <c r="AL118" s="139" t="s">
        <v>1628</v>
      </c>
      <c r="AM118" s="431" t="str">
        <f>VLOOKUP($Q118,Resultados!$A$1:$C$49,3,FALSE)</f>
        <v>RESUELTA</v>
      </c>
    </row>
    <row r="119" spans="1:39" customFormat="1" ht="25.5">
      <c r="A119" s="372">
        <v>205</v>
      </c>
      <c r="B119" s="85">
        <v>45240</v>
      </c>
      <c r="C119" s="325" t="s">
        <v>721</v>
      </c>
      <c r="D119" s="79" t="s">
        <v>722</v>
      </c>
      <c r="E119" s="88" t="s">
        <v>723</v>
      </c>
      <c r="F119" s="74">
        <v>6</v>
      </c>
      <c r="G119" s="74" t="s">
        <v>326</v>
      </c>
      <c r="H119" s="305">
        <v>45343</v>
      </c>
      <c r="I119" s="85"/>
      <c r="J119" s="85"/>
      <c r="K119" s="74" t="s">
        <v>1480</v>
      </c>
      <c r="L119" s="79" t="s">
        <v>25</v>
      </c>
      <c r="M119" s="79" t="s">
        <v>724</v>
      </c>
      <c r="N119" s="74" t="s">
        <v>2623</v>
      </c>
      <c r="O119" s="24" t="str">
        <f>IF(Q119=" _","NO","SI")</f>
        <v>SI</v>
      </c>
      <c r="P119" s="24" t="str">
        <f ca="1">IF(color_Celda(E119)=12106214,"ROSA",IF(color_Celda(E119)=65535,"AMARILLO",IF(color_Celda(E119)=5296274,"VERDE",IF(color_Celda(E119)=16777215,"BLANCO","NO SE"))))</f>
        <v>ROSA</v>
      </c>
      <c r="Q119" s="79" t="s">
        <v>1162</v>
      </c>
      <c r="R119" s="4" t="str">
        <f>VLOOKUP($Q119,Resultados!$A$1:$B$49,2,FALSE)</f>
        <v>ELEVADA A JUICIO</v>
      </c>
      <c r="S119" s="79"/>
      <c r="T119" s="86"/>
      <c r="U119" s="86"/>
      <c r="V119" s="74"/>
      <c r="W119" s="74"/>
      <c r="X119" s="74"/>
      <c r="Y119" s="64"/>
      <c r="Z119" s="74"/>
      <c r="AA119" s="74"/>
      <c r="AB119" s="74"/>
      <c r="AC119" s="74"/>
      <c r="AD119" s="74"/>
      <c r="AE119" s="140"/>
      <c r="AF119" s="81">
        <v>7</v>
      </c>
      <c r="AG119" s="76"/>
      <c r="AH119" s="76">
        <v>0</v>
      </c>
      <c r="AI119" s="76"/>
      <c r="AJ119" s="122" t="s">
        <v>988</v>
      </c>
      <c r="AK119" s="138"/>
      <c r="AL119" s="139" t="s">
        <v>1628</v>
      </c>
      <c r="AM119" s="431" t="str">
        <f>VLOOKUP($Q119,Resultados!$A$1:$C$49,3,FALSE)</f>
        <v>ELEVADA</v>
      </c>
    </row>
    <row r="120" spans="1:39" customFormat="1" ht="63.75">
      <c r="A120" s="372">
        <v>487</v>
      </c>
      <c r="B120" s="85">
        <v>45278</v>
      </c>
      <c r="C120" s="325" t="s">
        <v>1280</v>
      </c>
      <c r="D120" s="79" t="s">
        <v>1281</v>
      </c>
      <c r="E120" s="84" t="s">
        <v>1290</v>
      </c>
      <c r="F120" s="74">
        <v>4</v>
      </c>
      <c r="G120" s="74" t="s">
        <v>326</v>
      </c>
      <c r="H120" s="305">
        <v>45343</v>
      </c>
      <c r="I120" s="85"/>
      <c r="J120" s="85"/>
      <c r="K120" s="74" t="s">
        <v>1480</v>
      </c>
      <c r="L120" s="79" t="s">
        <v>2172</v>
      </c>
      <c r="M120" s="79" t="s">
        <v>1291</v>
      </c>
      <c r="N120" s="105" t="s">
        <v>1777</v>
      </c>
      <c r="O120" s="24" t="str">
        <f>IF(Q120=" _","NO","SI")</f>
        <v>SI</v>
      </c>
      <c r="P120" s="24" t="str">
        <f ca="1">IF(color_Celda(E120)=12106214,"ROSA",IF(color_Celda(E120)=65535,"AMARILLO",IF(color_Celda(E120)=5296274,"VERDE",IF(color_Celda(E120)=16777215,"BLANCO","NO SE"))))</f>
        <v>ROSA</v>
      </c>
      <c r="Q120" s="79" t="s">
        <v>1162</v>
      </c>
      <c r="R120" s="4" t="str">
        <f>VLOOKUP($Q120,Resultados!$A$1:$B$49,2,FALSE)</f>
        <v>ELEVADA A JUICIO</v>
      </c>
      <c r="S120" s="79"/>
      <c r="T120" s="73"/>
      <c r="U120" s="73"/>
      <c r="V120" s="68"/>
      <c r="W120" s="74"/>
      <c r="X120" s="74"/>
      <c r="Y120" s="64"/>
      <c r="Z120" s="74"/>
      <c r="AA120" s="74"/>
      <c r="AB120" s="74"/>
      <c r="AC120" s="74"/>
      <c r="AD120" s="74"/>
      <c r="AE120" s="140"/>
      <c r="AF120" s="76">
        <v>7</v>
      </c>
      <c r="AG120" s="76"/>
      <c r="AH120" s="76">
        <v>0</v>
      </c>
      <c r="AI120" s="76"/>
      <c r="AJ120" s="122" t="s">
        <v>408</v>
      </c>
      <c r="AK120" s="130"/>
      <c r="AL120" s="139" t="s">
        <v>1628</v>
      </c>
      <c r="AM120" s="431" t="str">
        <f>VLOOKUP($Q120,Resultados!$A$1:$C$49,3,FALSE)</f>
        <v>ELEVADA</v>
      </c>
    </row>
    <row r="121" spans="1:39" customFormat="1" ht="63.75">
      <c r="A121" s="372">
        <v>508</v>
      </c>
      <c r="B121" s="85">
        <v>45282</v>
      </c>
      <c r="C121" s="325" t="s">
        <v>41</v>
      </c>
      <c r="D121" s="79" t="s">
        <v>1329</v>
      </c>
      <c r="E121" s="84" t="s">
        <v>2182</v>
      </c>
      <c r="F121" s="74">
        <v>3</v>
      </c>
      <c r="G121" s="74" t="s">
        <v>326</v>
      </c>
      <c r="H121" s="305">
        <v>45343</v>
      </c>
      <c r="I121" s="85"/>
      <c r="J121" s="85"/>
      <c r="K121" s="74" t="s">
        <v>1480</v>
      </c>
      <c r="L121" s="79" t="s">
        <v>73</v>
      </c>
      <c r="M121" s="79" t="s">
        <v>53</v>
      </c>
      <c r="N121" s="105" t="s">
        <v>2183</v>
      </c>
      <c r="O121" s="24" t="str">
        <f>IF(Q121=" _","NO","SI")</f>
        <v>SI</v>
      </c>
      <c r="P121" s="24" t="str">
        <f ca="1">IF(color_Celda(E121)=12106214,"ROSA",IF(color_Celda(E121)=65535,"AMARILLO",IF(color_Celda(E121)=5296274,"VERDE",IF(color_Celda(E121)=16777215,"BLANCO","NO SE"))))</f>
        <v>ROSA</v>
      </c>
      <c r="Q121" s="79" t="s">
        <v>1162</v>
      </c>
      <c r="R121" s="4" t="str">
        <f>VLOOKUP($Q121,Resultados!$A$1:$B$49,2,FALSE)</f>
        <v>ELEVADA A JUICIO</v>
      </c>
      <c r="S121" s="79"/>
      <c r="T121" s="86"/>
      <c r="U121" s="86"/>
      <c r="V121" s="74"/>
      <c r="W121" s="74"/>
      <c r="X121" s="74"/>
      <c r="Y121" s="64"/>
      <c r="Z121" s="74"/>
      <c r="AA121" s="74"/>
      <c r="AB121" s="74"/>
      <c r="AC121" s="74"/>
      <c r="AD121" s="74"/>
      <c r="AE121" s="140"/>
      <c r="AF121" s="76">
        <v>7</v>
      </c>
      <c r="AG121" s="76"/>
      <c r="AH121" s="76">
        <v>0</v>
      </c>
      <c r="AI121" s="76"/>
      <c r="AJ121" s="122" t="s">
        <v>408</v>
      </c>
      <c r="AK121" s="130"/>
      <c r="AL121" s="139" t="s">
        <v>1628</v>
      </c>
      <c r="AM121" s="431" t="str">
        <f>VLOOKUP($Q121,Resultados!$A$1:$C$49,3,FALSE)</f>
        <v>ELEVADA</v>
      </c>
    </row>
    <row r="122" spans="1:39" customFormat="1" ht="102">
      <c r="A122" s="372">
        <v>534</v>
      </c>
      <c r="B122" s="85">
        <v>45289</v>
      </c>
      <c r="C122" s="325" t="s">
        <v>1416</v>
      </c>
      <c r="D122" s="79" t="s">
        <v>1417</v>
      </c>
      <c r="E122" s="84" t="s">
        <v>1421</v>
      </c>
      <c r="F122" s="74">
        <v>5</v>
      </c>
      <c r="G122" s="74" t="s">
        <v>10</v>
      </c>
      <c r="H122" s="305">
        <v>45343</v>
      </c>
      <c r="I122" s="85"/>
      <c r="J122" s="85"/>
      <c r="K122" s="74" t="s">
        <v>1480</v>
      </c>
      <c r="L122" s="79" t="s">
        <v>25</v>
      </c>
      <c r="M122" s="239" t="s">
        <v>261</v>
      </c>
      <c r="N122" s="174" t="s">
        <v>1781</v>
      </c>
      <c r="O122" s="24" t="str">
        <f>IF(Q122=" _","NO","SI")</f>
        <v>SI</v>
      </c>
      <c r="P122" s="24" t="str">
        <f ca="1">IF(color_Celda(E122)=12106214,"ROSA",IF(color_Celda(E122)=65535,"AMARILLO",IF(color_Celda(E122)=5296274,"VERDE",IF(color_Celda(E122)=16777215,"BLANCO","NO SE"))))</f>
        <v>ROSA</v>
      </c>
      <c r="Q122" s="79" t="s">
        <v>1162</v>
      </c>
      <c r="R122" s="4" t="str">
        <f>VLOOKUP($Q122,Resultados!$A$1:$B$49,2,FALSE)</f>
        <v>ELEVADA A JUICIO</v>
      </c>
      <c r="S122" s="79"/>
      <c r="T122" s="86"/>
      <c r="U122" s="86"/>
      <c r="V122" s="74"/>
      <c r="W122" s="74"/>
      <c r="X122" s="74"/>
      <c r="Y122" s="64"/>
      <c r="Z122" s="74"/>
      <c r="AA122" s="74"/>
      <c r="AB122" s="74"/>
      <c r="AC122" s="74"/>
      <c r="AD122" s="74"/>
      <c r="AE122" s="140"/>
      <c r="AF122" s="76"/>
      <c r="AG122" s="76"/>
      <c r="AH122" s="76"/>
      <c r="AI122" s="76"/>
      <c r="AJ122" s="122" t="s">
        <v>408</v>
      </c>
      <c r="AK122" s="130"/>
      <c r="AL122" s="139" t="s">
        <v>1628</v>
      </c>
      <c r="AM122" s="431" t="str">
        <f>VLOOKUP($Q122,Resultados!$A$1:$C$49,3,FALSE)</f>
        <v>ELEVADA</v>
      </c>
    </row>
    <row r="123" spans="1:39" customFormat="1" ht="216.75">
      <c r="A123" s="372">
        <v>458</v>
      </c>
      <c r="B123" s="85">
        <v>45272</v>
      </c>
      <c r="C123" s="325" t="s">
        <v>1047</v>
      </c>
      <c r="D123" s="79" t="s">
        <v>1234</v>
      </c>
      <c r="E123" s="108" t="s">
        <v>1252</v>
      </c>
      <c r="F123" s="74">
        <v>3</v>
      </c>
      <c r="G123" s="74" t="s">
        <v>10</v>
      </c>
      <c r="H123" s="305">
        <v>45345</v>
      </c>
      <c r="I123" s="85"/>
      <c r="J123" s="85"/>
      <c r="K123" s="74" t="s">
        <v>1480</v>
      </c>
      <c r="L123" s="79" t="s">
        <v>42</v>
      </c>
      <c r="M123" s="79" t="s">
        <v>1253</v>
      </c>
      <c r="N123" s="174" t="s">
        <v>1776</v>
      </c>
      <c r="O123" s="24" t="str">
        <f>IF(Q123=" _","NO","SI")</f>
        <v>SI</v>
      </c>
      <c r="P123" s="24" t="str">
        <f ca="1">IF(color_Celda(E123)=12106214,"ROSA",IF(color_Celda(E123)=65535,"AMARILLO",IF(color_Celda(E123)=5296274,"VERDE",IF(color_Celda(E123)=16777215,"BLANCO","NO SE"))))</f>
        <v>ROSA</v>
      </c>
      <c r="Q123" s="79" t="s">
        <v>1162</v>
      </c>
      <c r="R123" s="4" t="str">
        <f>VLOOKUP($Q123,Resultados!$A$1:$B$49,2,FALSE)</f>
        <v>ELEVADA A JUICIO</v>
      </c>
      <c r="S123" s="79"/>
      <c r="T123" s="86"/>
      <c r="U123" s="86"/>
      <c r="V123" s="74"/>
      <c r="W123" s="74"/>
      <c r="X123" s="74"/>
      <c r="Y123" s="64"/>
      <c r="Z123" s="74"/>
      <c r="AA123" s="74"/>
      <c r="AB123" s="74"/>
      <c r="AC123" s="74"/>
      <c r="AD123" s="74"/>
      <c r="AE123" s="140"/>
      <c r="AF123" s="76">
        <v>7</v>
      </c>
      <c r="AG123" s="76"/>
      <c r="AH123" s="76">
        <v>0</v>
      </c>
      <c r="AI123" s="76"/>
      <c r="AJ123" s="122" t="s">
        <v>408</v>
      </c>
      <c r="AK123" s="130"/>
      <c r="AL123" s="139" t="s">
        <v>1628</v>
      </c>
      <c r="AM123" s="431" t="str">
        <f>VLOOKUP($Q123,Resultados!$A$1:$C$49,3,FALSE)</f>
        <v>ELEVADA</v>
      </c>
    </row>
    <row r="124" spans="1:39" customFormat="1" ht="39" customHeight="1">
      <c r="A124" s="372">
        <v>482</v>
      </c>
      <c r="B124" s="82">
        <v>45275</v>
      </c>
      <c r="C124" s="325" t="s">
        <v>1003</v>
      </c>
      <c r="D124" s="79" t="s">
        <v>1275</v>
      </c>
      <c r="E124" s="84" t="s">
        <v>1279</v>
      </c>
      <c r="F124" s="74">
        <v>5</v>
      </c>
      <c r="G124" s="74" t="s">
        <v>325</v>
      </c>
      <c r="H124" s="305">
        <v>45345</v>
      </c>
      <c r="I124" s="85"/>
      <c r="J124" s="85"/>
      <c r="K124" s="74" t="s">
        <v>1480</v>
      </c>
      <c r="L124" s="79" t="s">
        <v>83</v>
      </c>
      <c r="M124" s="79" t="s">
        <v>223</v>
      </c>
      <c r="N124" s="172" t="s">
        <v>1823</v>
      </c>
      <c r="O124" s="24" t="str">
        <f>IF(Q124=" _","NO","SI")</f>
        <v>SI</v>
      </c>
      <c r="P124" s="24" t="str">
        <f ca="1">IF(color_Celda(E124)=12106214,"ROSA",IF(color_Celda(E124)=65535,"AMARILLO",IF(color_Celda(E124)=5296274,"VERDE",IF(color_Celda(E124)=16777215,"BLANCO","NO SE"))))</f>
        <v>ROSA</v>
      </c>
      <c r="Q124" s="79" t="s">
        <v>1162</v>
      </c>
      <c r="R124" s="4" t="str">
        <f>VLOOKUP($Q124,Resultados!$A$1:$B$49,2,FALSE)</f>
        <v>ELEVADA A JUICIO</v>
      </c>
      <c r="S124" s="79"/>
      <c r="T124" s="86"/>
      <c r="U124" s="86"/>
      <c r="V124" s="74"/>
      <c r="W124" s="74"/>
      <c r="X124" s="74"/>
      <c r="Y124" s="64"/>
      <c r="Z124" s="74"/>
      <c r="AA124" s="74"/>
      <c r="AB124" s="74"/>
      <c r="AC124" s="74"/>
      <c r="AD124" s="74"/>
      <c r="AE124" s="140"/>
      <c r="AF124" s="76">
        <v>7</v>
      </c>
      <c r="AG124" s="76"/>
      <c r="AH124" s="76">
        <v>0</v>
      </c>
      <c r="AI124" s="76"/>
      <c r="AJ124" s="122" t="s">
        <v>408</v>
      </c>
      <c r="AK124" s="130"/>
      <c r="AL124" s="139" t="s">
        <v>1628</v>
      </c>
      <c r="AM124" s="431" t="str">
        <f>VLOOKUP($Q124,Resultados!$A$1:$C$49,3,FALSE)</f>
        <v>ELEVADA</v>
      </c>
    </row>
    <row r="125" spans="1:39" customFormat="1" ht="153">
      <c r="A125" s="372">
        <v>497</v>
      </c>
      <c r="B125" s="85">
        <v>45280</v>
      </c>
      <c r="C125" s="325" t="s">
        <v>716</v>
      </c>
      <c r="D125" s="79" t="s">
        <v>1309</v>
      </c>
      <c r="E125" s="84" t="s">
        <v>1321</v>
      </c>
      <c r="F125" s="74">
        <v>1</v>
      </c>
      <c r="G125" s="74" t="s">
        <v>326</v>
      </c>
      <c r="H125" s="305">
        <v>45345</v>
      </c>
      <c r="I125" s="85"/>
      <c r="J125" s="85"/>
      <c r="K125" s="74" t="s">
        <v>1480</v>
      </c>
      <c r="L125" s="79" t="s">
        <v>2172</v>
      </c>
      <c r="M125" s="79" t="s">
        <v>60</v>
      </c>
      <c r="N125" s="174" t="s">
        <v>1778</v>
      </c>
      <c r="O125" s="24" t="str">
        <f>IF(Q125=" _","NO","SI")</f>
        <v>SI</v>
      </c>
      <c r="P125" s="24" t="str">
        <f ca="1">IF(color_Celda(E125)=12106214,"ROSA",IF(color_Celda(E125)=65535,"AMARILLO",IF(color_Celda(E125)=5296274,"VERDE",IF(color_Celda(E125)=16777215,"BLANCO","NO SE"))))</f>
        <v>ROSA</v>
      </c>
      <c r="Q125" s="79" t="s">
        <v>1162</v>
      </c>
      <c r="R125" s="4" t="str">
        <f>VLOOKUP($Q125,Resultados!$A$1:$B$49,2,FALSE)</f>
        <v>ELEVADA A JUICIO</v>
      </c>
      <c r="S125" s="79"/>
      <c r="T125" s="86"/>
      <c r="U125" s="86"/>
      <c r="V125" s="74"/>
      <c r="W125" s="74"/>
      <c r="X125" s="74"/>
      <c r="Y125" s="64"/>
      <c r="Z125" s="74"/>
      <c r="AA125" s="74"/>
      <c r="AB125" s="74"/>
      <c r="AC125" s="74"/>
      <c r="AD125" s="74"/>
      <c r="AE125" s="140"/>
      <c r="AF125" s="76">
        <v>7</v>
      </c>
      <c r="AG125" s="76"/>
      <c r="AH125" s="76">
        <v>0</v>
      </c>
      <c r="AI125" s="76"/>
      <c r="AJ125" s="122" t="s">
        <v>408</v>
      </c>
      <c r="AK125" s="130"/>
      <c r="AL125" s="139" t="s">
        <v>1628</v>
      </c>
      <c r="AM125" s="431" t="str">
        <f>VLOOKUP($Q125,Resultados!$A$1:$C$49,3,FALSE)</f>
        <v>ELEVADA</v>
      </c>
    </row>
    <row r="126" spans="1:39" customFormat="1" ht="38.25">
      <c r="A126" s="372">
        <v>185</v>
      </c>
      <c r="B126" s="85">
        <v>45237</v>
      </c>
      <c r="C126" s="326" t="s">
        <v>3072</v>
      </c>
      <c r="D126" s="79" t="s">
        <v>673</v>
      </c>
      <c r="E126" s="88" t="s">
        <v>674</v>
      </c>
      <c r="F126" s="74">
        <v>7</v>
      </c>
      <c r="G126" s="74" t="s">
        <v>10</v>
      </c>
      <c r="H126" s="305">
        <v>45348</v>
      </c>
      <c r="I126" s="85"/>
      <c r="J126" s="85"/>
      <c r="K126" s="74" t="s">
        <v>1480</v>
      </c>
      <c r="L126" s="79" t="s">
        <v>42</v>
      </c>
      <c r="M126" s="79"/>
      <c r="N126" s="178" t="s">
        <v>2580</v>
      </c>
      <c r="O126" s="24" t="str">
        <f>IF(Q126=" _","NO","SI")</f>
        <v>SI</v>
      </c>
      <c r="P126" s="24" t="str">
        <f ca="1">IF(color_Celda(E126)=12106214,"ROSA",IF(color_Celda(E126)=65535,"AMARILLO",IF(color_Celda(E126)=5296274,"VERDE",IF(color_Celda(E126)=16777215,"BLANCO","NO SE"))))</f>
        <v>ROSA</v>
      </c>
      <c r="Q126" s="79" t="s">
        <v>1162</v>
      </c>
      <c r="R126" s="4" t="str">
        <f>VLOOKUP($Q126,Resultados!$A$1:$B$49,2,FALSE)</f>
        <v>ELEVADA A JUICIO</v>
      </c>
      <c r="S126" s="79"/>
      <c r="T126" s="86"/>
      <c r="U126" s="86"/>
      <c r="V126" s="74"/>
      <c r="W126" s="74"/>
      <c r="X126" s="74"/>
      <c r="Y126" s="64"/>
      <c r="Z126" s="74"/>
      <c r="AA126" s="74"/>
      <c r="AB126" s="74"/>
      <c r="AC126" s="74"/>
      <c r="AD126" s="74"/>
      <c r="AE126" s="140"/>
      <c r="AF126" s="81">
        <v>7</v>
      </c>
      <c r="AG126" s="76"/>
      <c r="AH126" s="76">
        <v>0</v>
      </c>
      <c r="AI126" s="76"/>
      <c r="AJ126" s="122" t="s">
        <v>988</v>
      </c>
      <c r="AK126" s="138"/>
      <c r="AL126" s="139" t="s">
        <v>1628</v>
      </c>
      <c r="AM126" s="431" t="str">
        <f>VLOOKUP($Q126,Resultados!$A$1:$C$49,3,FALSE)</f>
        <v>ELEVADA</v>
      </c>
    </row>
    <row r="127" spans="1:39" customFormat="1" ht="63.75">
      <c r="A127" s="372">
        <v>533</v>
      </c>
      <c r="B127" s="85">
        <v>45289</v>
      </c>
      <c r="C127" s="325" t="s">
        <v>1414</v>
      </c>
      <c r="D127" s="79" t="s">
        <v>1415</v>
      </c>
      <c r="E127" s="84" t="s">
        <v>1419</v>
      </c>
      <c r="F127" s="74">
        <v>6</v>
      </c>
      <c r="G127" s="74" t="s">
        <v>326</v>
      </c>
      <c r="H127" s="305">
        <v>45348</v>
      </c>
      <c r="I127" s="85"/>
      <c r="J127" s="85"/>
      <c r="K127" s="74" t="s">
        <v>1480</v>
      </c>
      <c r="L127" s="79" t="s">
        <v>211</v>
      </c>
      <c r="M127" s="356" t="s">
        <v>270</v>
      </c>
      <c r="N127" s="79" t="s">
        <v>2439</v>
      </c>
      <c r="O127" s="24" t="str">
        <f>IF(Q127=" _","NO","SI")</f>
        <v>SI</v>
      </c>
      <c r="P127" s="24" t="str">
        <f ca="1">IF(color_Celda(E127)=12106214,"ROSA",IF(color_Celda(E127)=65535,"AMARILLO",IF(color_Celda(E127)=5296274,"VERDE",IF(color_Celda(E127)=16777215,"BLANCO","NO SE"))))</f>
        <v>ROSA</v>
      </c>
      <c r="Q127" s="79" t="s">
        <v>2440</v>
      </c>
      <c r="R127" s="4" t="str">
        <f>VLOOKUP($Q127,Resultados!$A$1:$B$49,2,FALSE)</f>
        <v>Conciliación</v>
      </c>
      <c r="S127" s="79"/>
      <c r="T127" s="86"/>
      <c r="U127" s="86"/>
      <c r="V127" s="74"/>
      <c r="W127" s="74"/>
      <c r="X127" s="74"/>
      <c r="Y127" s="64"/>
      <c r="Z127" s="74"/>
      <c r="AA127" s="74"/>
      <c r="AB127" s="74"/>
      <c r="AC127" s="74"/>
      <c r="AD127" s="74"/>
      <c r="AE127" s="140"/>
      <c r="AF127" s="76"/>
      <c r="AG127" s="76"/>
      <c r="AH127" s="76"/>
      <c r="AI127" s="76"/>
      <c r="AJ127" s="122" t="s">
        <v>408</v>
      </c>
      <c r="AK127" s="130"/>
      <c r="AL127" s="139" t="s">
        <v>1628</v>
      </c>
      <c r="AM127" s="431" t="str">
        <f>VLOOKUP($Q127,Resultados!$A$1:$C$49,3,FALSE)</f>
        <v>RESUELTA</v>
      </c>
    </row>
    <row r="128" spans="1:39" customFormat="1" ht="89.25">
      <c r="A128" s="372">
        <v>568</v>
      </c>
      <c r="B128" s="163">
        <v>45328</v>
      </c>
      <c r="C128" s="328" t="s">
        <v>867</v>
      </c>
      <c r="D128" s="16" t="s">
        <v>1498</v>
      </c>
      <c r="E128" s="164" t="s">
        <v>1794</v>
      </c>
      <c r="F128" s="16">
        <v>3</v>
      </c>
      <c r="G128" s="16" t="s">
        <v>325</v>
      </c>
      <c r="H128" s="307">
        <v>45348</v>
      </c>
      <c r="I128" s="163"/>
      <c r="J128" s="163"/>
      <c r="K128" s="165" t="str">
        <f>IFERROR(VLOOKUP(J128,Jueces!$A$1:$B$11,2,FALSE),"")</f>
        <v/>
      </c>
      <c r="L128" s="16" t="s">
        <v>250</v>
      </c>
      <c r="M128" s="16" t="s">
        <v>44</v>
      </c>
      <c r="N128" s="16" t="s">
        <v>1803</v>
      </c>
      <c r="O128" s="24" t="str">
        <f>IF(Q128=" _","NO","SI")</f>
        <v>SI</v>
      </c>
      <c r="P128" s="24" t="str">
        <f ca="1">IF(color_Celda(E128)=12106214,"ROSA",IF(color_Celda(E128)=65535,"AMARILLO",IF(color_Celda(E128)=5296274,"VERDE",IF(color_Celda(E128)=16777215,"BLANCO","NO SE"))))</f>
        <v>ROSA</v>
      </c>
      <c r="Q128" s="16" t="s">
        <v>1324</v>
      </c>
      <c r="R128" s="4" t="str">
        <f>VLOOKUP($Q128,Resultados!$A$1:$B$49,2,FALSE)</f>
        <v>RESUELTA EN ETAPA DE PREVENTIVA</v>
      </c>
      <c r="S128" s="16"/>
      <c r="T128" s="166"/>
      <c r="U128" s="166"/>
      <c r="V128" s="165"/>
      <c r="W128" s="165"/>
      <c r="X128" s="165"/>
      <c r="Y128" s="64"/>
      <c r="Z128" s="165"/>
      <c r="AA128" s="165"/>
      <c r="AB128" s="165"/>
      <c r="AC128" s="165"/>
      <c r="AD128" s="165"/>
      <c r="AE128" s="167"/>
      <c r="AF128" s="168"/>
      <c r="AG128" s="168"/>
      <c r="AH128" s="168"/>
      <c r="AI128" s="168"/>
      <c r="AJ128" s="242" t="s">
        <v>408</v>
      </c>
      <c r="AK128" s="169"/>
      <c r="AL128" s="139" t="s">
        <v>1628</v>
      </c>
      <c r="AM128" s="431" t="str">
        <f>VLOOKUP($Q128,Resultados!$A$1:$C$49,3,FALSE)</f>
        <v>RESUELTA</v>
      </c>
    </row>
    <row r="129" spans="1:39" customFormat="1" ht="115.5" customHeight="1">
      <c r="A129" s="372">
        <v>304</v>
      </c>
      <c r="B129" s="85">
        <v>45251</v>
      </c>
      <c r="C129" s="326" t="s">
        <v>3073</v>
      </c>
      <c r="D129" s="79" t="s">
        <v>908</v>
      </c>
      <c r="E129" s="84" t="s">
        <v>912</v>
      </c>
      <c r="F129" s="74">
        <v>2</v>
      </c>
      <c r="G129" s="74" t="s">
        <v>325</v>
      </c>
      <c r="H129" s="305">
        <v>45349</v>
      </c>
      <c r="I129" s="85"/>
      <c r="J129" s="85"/>
      <c r="K129" s="74" t="s">
        <v>1480</v>
      </c>
      <c r="L129" s="79" t="s">
        <v>254</v>
      </c>
      <c r="M129" s="79" t="s">
        <v>62</v>
      </c>
      <c r="N129" s="172" t="s">
        <v>1367</v>
      </c>
      <c r="O129" s="24" t="str">
        <f>IF(Q129=" _","NO","SI")</f>
        <v>SI</v>
      </c>
      <c r="P129" s="24" t="str">
        <f ca="1">IF(color_Celda(E129)=12106214,"ROSA",IF(color_Celda(E129)=65535,"AMARILLO",IF(color_Celda(E129)=5296274,"VERDE",IF(color_Celda(E129)=16777215,"BLANCO","NO SE"))))</f>
        <v>ROSA</v>
      </c>
      <c r="Q129" s="79" t="s">
        <v>1162</v>
      </c>
      <c r="R129" s="4" t="str">
        <f>VLOOKUP($Q129,Resultados!$A$1:$B$49,2,FALSE)</f>
        <v>ELEVADA A JUICIO</v>
      </c>
      <c r="S129" s="79"/>
      <c r="T129" s="86"/>
      <c r="U129" s="86"/>
      <c r="V129" s="74"/>
      <c r="W129" s="74"/>
      <c r="X129" s="74"/>
      <c r="Y129" s="64"/>
      <c r="Z129" s="74"/>
      <c r="AA129" s="74"/>
      <c r="AB129" s="74"/>
      <c r="AC129" s="74"/>
      <c r="AD129" s="74"/>
      <c r="AE129" s="140"/>
      <c r="AF129" s="81">
        <v>7</v>
      </c>
      <c r="AG129" s="76"/>
      <c r="AH129" s="76">
        <v>0</v>
      </c>
      <c r="AI129" s="76"/>
      <c r="AJ129" s="122" t="s">
        <v>408</v>
      </c>
      <c r="AK129" s="130"/>
      <c r="AL129" s="139" t="s">
        <v>1628</v>
      </c>
      <c r="AM129" s="431" t="str">
        <f>VLOOKUP($Q129,Resultados!$A$1:$C$49,3,FALSE)</f>
        <v>ELEVADA</v>
      </c>
    </row>
    <row r="130" spans="1:39" customFormat="1" ht="63.75">
      <c r="A130" s="372">
        <v>521</v>
      </c>
      <c r="B130" s="85">
        <v>45288</v>
      </c>
      <c r="C130" s="325" t="s">
        <v>12</v>
      </c>
      <c r="D130" s="79" t="s">
        <v>1385</v>
      </c>
      <c r="E130" s="84" t="s">
        <v>1392</v>
      </c>
      <c r="F130" s="74">
        <v>5</v>
      </c>
      <c r="G130" s="74" t="s">
        <v>10</v>
      </c>
      <c r="H130" s="305">
        <v>45349</v>
      </c>
      <c r="I130" s="85"/>
      <c r="J130" s="85"/>
      <c r="K130" s="74"/>
      <c r="L130" s="79" t="s">
        <v>81</v>
      </c>
      <c r="M130" s="79" t="s">
        <v>1393</v>
      </c>
      <c r="N130" s="105" t="s">
        <v>2728</v>
      </c>
      <c r="O130" s="24" t="str">
        <f>IF(Q130=" _","NO","SI")</f>
        <v>SI</v>
      </c>
      <c r="P130" s="24" t="str">
        <f ca="1">IF(color_Celda(E130)=12106214,"ROSA",IF(color_Celda(E130)=65535,"AMARILLO",IF(color_Celda(E130)=5296274,"VERDE",IF(color_Celda(E130)=16777215,"BLANCO","NO SE"))))</f>
        <v>ROSA</v>
      </c>
      <c r="Q130" s="79" t="s">
        <v>1162</v>
      </c>
      <c r="R130" s="4" t="str">
        <f>VLOOKUP($Q130,Resultados!$A$1:$B$49,2,FALSE)</f>
        <v>ELEVADA A JUICIO</v>
      </c>
      <c r="S130" s="79"/>
      <c r="T130" s="86"/>
      <c r="U130" s="86"/>
      <c r="V130" s="74"/>
      <c r="W130" s="74"/>
      <c r="X130" s="74"/>
      <c r="Y130" s="64"/>
      <c r="Z130" s="74"/>
      <c r="AA130" s="74"/>
      <c r="AB130" s="74"/>
      <c r="AC130" s="74"/>
      <c r="AD130" s="74"/>
      <c r="AE130" s="140"/>
      <c r="AF130" s="76">
        <v>7</v>
      </c>
      <c r="AG130" s="76"/>
      <c r="AH130" s="76"/>
      <c r="AI130" s="76"/>
      <c r="AJ130" s="122" t="s">
        <v>408</v>
      </c>
      <c r="AK130" s="130">
        <v>0</v>
      </c>
      <c r="AL130" s="139" t="s">
        <v>1628</v>
      </c>
      <c r="AM130" s="431" t="str">
        <f>VLOOKUP($Q130,Resultados!$A$1:$C$49,3,FALSE)</f>
        <v>ELEVADA</v>
      </c>
    </row>
    <row r="131" spans="1:39" customFormat="1" ht="114.75">
      <c r="A131" s="372">
        <v>127</v>
      </c>
      <c r="B131" s="85">
        <v>45233</v>
      </c>
      <c r="C131" s="326" t="s">
        <v>1786</v>
      </c>
      <c r="D131" s="79" t="s">
        <v>591</v>
      </c>
      <c r="E131" s="88" t="s">
        <v>592</v>
      </c>
      <c r="F131" s="74">
        <v>2</v>
      </c>
      <c r="G131" s="74" t="s">
        <v>325</v>
      </c>
      <c r="H131" s="305">
        <v>45350</v>
      </c>
      <c r="I131" s="85"/>
      <c r="J131" s="85"/>
      <c r="K131" s="74" t="s">
        <v>1480</v>
      </c>
      <c r="L131" s="79" t="s">
        <v>80</v>
      </c>
      <c r="M131" s="79"/>
      <c r="N131" s="174" t="s">
        <v>2435</v>
      </c>
      <c r="O131" s="24" t="str">
        <f>IF(Q131=" _","NO","SI")</f>
        <v>SI</v>
      </c>
      <c r="P131" s="24" t="str">
        <f ca="1">IF(color_Celda(E131)=12106214,"ROSA",IF(color_Celda(E131)=65535,"AMARILLO",IF(color_Celda(E131)=5296274,"VERDE",IF(color_Celda(E131)=16777215,"BLANCO","NO SE"))))</f>
        <v>ROSA</v>
      </c>
      <c r="Q131" s="79" t="s">
        <v>1162</v>
      </c>
      <c r="R131" s="4" t="str">
        <f>VLOOKUP($Q131,Resultados!$A$1:$B$49,2,FALSE)</f>
        <v>ELEVADA A JUICIO</v>
      </c>
      <c r="S131" s="79"/>
      <c r="T131" s="86"/>
      <c r="U131" s="86"/>
      <c r="V131" s="74"/>
      <c r="W131" s="74"/>
      <c r="X131" s="74"/>
      <c r="Y131" s="64"/>
      <c r="Z131" s="74"/>
      <c r="AA131" s="74"/>
      <c r="AB131" s="74"/>
      <c r="AC131" s="74"/>
      <c r="AD131" s="74"/>
      <c r="AE131" s="140"/>
      <c r="AF131" s="81">
        <v>7</v>
      </c>
      <c r="AG131" s="76"/>
      <c r="AH131" s="76">
        <v>0</v>
      </c>
      <c r="AI131" s="76"/>
      <c r="AJ131" s="122" t="s">
        <v>988</v>
      </c>
      <c r="AK131" s="138"/>
      <c r="AL131" s="139" t="s">
        <v>1628</v>
      </c>
      <c r="AM131" s="431" t="str">
        <f>VLOOKUP($Q131,Resultados!$A$1:$C$49,3,FALSE)</f>
        <v>ELEVADA</v>
      </c>
    </row>
    <row r="132" spans="1:39" customFormat="1" ht="51">
      <c r="A132" s="372">
        <v>512</v>
      </c>
      <c r="B132" s="85">
        <v>45282</v>
      </c>
      <c r="C132" s="326"/>
      <c r="D132" s="79" t="s">
        <v>1350</v>
      </c>
      <c r="E132" s="84" t="s">
        <v>1357</v>
      </c>
      <c r="F132" s="74">
        <v>4</v>
      </c>
      <c r="G132" s="74" t="s">
        <v>326</v>
      </c>
      <c r="H132" s="305">
        <v>45350</v>
      </c>
      <c r="I132" s="85"/>
      <c r="J132" s="85"/>
      <c r="K132" s="74" t="s">
        <v>1480</v>
      </c>
      <c r="L132" s="79" t="s">
        <v>85</v>
      </c>
      <c r="M132" s="104" t="s">
        <v>1356</v>
      </c>
      <c r="N132" s="105" t="s">
        <v>2436</v>
      </c>
      <c r="O132" s="24" t="str">
        <f>IF(Q132=" _","NO","SI")</f>
        <v>SI</v>
      </c>
      <c r="P132" s="24" t="str">
        <f ca="1">IF(color_Celda(E132)=12106214,"ROSA",IF(color_Celda(E132)=65535,"AMARILLO",IF(color_Celda(E132)=5296274,"VERDE",IF(color_Celda(E132)=16777215,"BLANCO","NO SE"))))</f>
        <v>ROSA</v>
      </c>
      <c r="Q132" s="79" t="s">
        <v>1162</v>
      </c>
      <c r="R132" s="4" t="str">
        <f>VLOOKUP($Q132,Resultados!$A$1:$B$49,2,FALSE)</f>
        <v>ELEVADA A JUICIO</v>
      </c>
      <c r="S132" s="79"/>
      <c r="T132" s="86"/>
      <c r="U132" s="86"/>
      <c r="V132" s="74"/>
      <c r="W132" s="74"/>
      <c r="X132" s="74"/>
      <c r="Y132" s="64"/>
      <c r="Z132" s="74"/>
      <c r="AA132" s="74"/>
      <c r="AB132" s="74"/>
      <c r="AC132" s="74"/>
      <c r="AD132" s="74"/>
      <c r="AE132" s="140"/>
      <c r="AF132" s="76">
        <v>7</v>
      </c>
      <c r="AG132" s="76"/>
      <c r="AH132" s="76">
        <v>0</v>
      </c>
      <c r="AI132" s="76"/>
      <c r="AJ132" s="122" t="s">
        <v>408</v>
      </c>
      <c r="AK132" s="130"/>
      <c r="AL132" s="139" t="s">
        <v>1628</v>
      </c>
      <c r="AM132" s="431" t="str">
        <f>VLOOKUP($Q132,Resultados!$A$1:$C$49,3,FALSE)</f>
        <v>ELEVADA</v>
      </c>
    </row>
    <row r="133" spans="1:39" customFormat="1" ht="114.75">
      <c r="A133" s="372">
        <v>551</v>
      </c>
      <c r="B133" s="85">
        <v>45317</v>
      </c>
      <c r="C133" s="325" t="s">
        <v>1099</v>
      </c>
      <c r="D133" s="79" t="s">
        <v>1441</v>
      </c>
      <c r="E133" s="84" t="s">
        <v>1442</v>
      </c>
      <c r="F133" s="79">
        <v>1</v>
      </c>
      <c r="G133" s="74" t="s">
        <v>325</v>
      </c>
      <c r="H133" s="305">
        <v>45350</v>
      </c>
      <c r="I133" s="85"/>
      <c r="J133" s="85"/>
      <c r="K133" s="74" t="s">
        <v>1480</v>
      </c>
      <c r="L133" s="79" t="s">
        <v>81</v>
      </c>
      <c r="M133" s="79" t="s">
        <v>44</v>
      </c>
      <c r="N133" s="178" t="s">
        <v>1857</v>
      </c>
      <c r="O133" s="24" t="str">
        <f>IF(Q133=" _","NO","SI")</f>
        <v>SI</v>
      </c>
      <c r="P133" s="24" t="str">
        <f ca="1">IF(color_Celda(E133)=12106214,"ROSA",IF(color_Celda(E133)=65535,"AMARILLO",IF(color_Celda(E133)=5296274,"VERDE",IF(color_Celda(E133)=16777215,"BLANCO","NO SE"))))</f>
        <v>ROSA</v>
      </c>
      <c r="Q133" s="79" t="s">
        <v>1162</v>
      </c>
      <c r="R133" s="4" t="str">
        <f>VLOOKUP($Q133,Resultados!$A$1:$B$49,2,FALSE)</f>
        <v>ELEVADA A JUICIO</v>
      </c>
      <c r="S133" s="79"/>
      <c r="T133" s="86"/>
      <c r="U133" s="86"/>
      <c r="V133" s="74"/>
      <c r="W133" s="74"/>
      <c r="X133" s="74"/>
      <c r="Y133" s="64"/>
      <c r="Z133" s="74"/>
      <c r="AA133" s="74"/>
      <c r="AB133" s="74"/>
      <c r="AC133" s="74"/>
      <c r="AD133" s="74"/>
      <c r="AE133" s="140"/>
      <c r="AF133" s="76"/>
      <c r="AG133" s="76"/>
      <c r="AH133" s="76"/>
      <c r="AI133" s="76"/>
      <c r="AJ133" s="122" t="s">
        <v>408</v>
      </c>
      <c r="AK133" s="130"/>
      <c r="AL133" s="139" t="s">
        <v>1628</v>
      </c>
      <c r="AM133" s="431" t="str">
        <f>VLOOKUP($Q133,Resultados!$A$1:$C$49,3,FALSE)</f>
        <v>ELEVADA</v>
      </c>
    </row>
    <row r="134" spans="1:39" customFormat="1" ht="63.75">
      <c r="A134" s="372">
        <v>567</v>
      </c>
      <c r="B134" s="85">
        <v>45328</v>
      </c>
      <c r="C134" s="325" t="s">
        <v>1475</v>
      </c>
      <c r="D134" s="79" t="s">
        <v>1476</v>
      </c>
      <c r="E134" s="88" t="s">
        <v>1477</v>
      </c>
      <c r="F134" s="74">
        <v>2</v>
      </c>
      <c r="G134" s="74" t="s">
        <v>325</v>
      </c>
      <c r="H134" s="305">
        <v>45350</v>
      </c>
      <c r="I134" s="85"/>
      <c r="J134" s="85"/>
      <c r="K134" s="74" t="s">
        <v>1480</v>
      </c>
      <c r="L134" s="79" t="s">
        <v>82</v>
      </c>
      <c r="M134" s="79" t="s">
        <v>270</v>
      </c>
      <c r="N134" s="79" t="s">
        <v>3223</v>
      </c>
      <c r="O134" s="24" t="str">
        <f>IF(Q134=" _","NO","SI")</f>
        <v>SI</v>
      </c>
      <c r="P134" s="24" t="str">
        <f ca="1">IF(color_Celda(E134)=12106214,"ROSA",IF(color_Celda(E134)=65535,"AMARILLO",IF(color_Celda(E134)=5296274,"VERDE",IF(color_Celda(E134)=16777215,"BLANCO","NO SE"))))</f>
        <v>ROSA</v>
      </c>
      <c r="Q134" s="79" t="s">
        <v>1162</v>
      </c>
      <c r="R134" s="4" t="str">
        <f>VLOOKUP($Q134,Resultados!$A$1:$B$49,2,FALSE)</f>
        <v>ELEVADA A JUICIO</v>
      </c>
      <c r="S134" s="79"/>
      <c r="T134" s="86"/>
      <c r="U134" s="86"/>
      <c r="V134" s="74"/>
      <c r="W134" s="74"/>
      <c r="X134" s="74"/>
      <c r="Y134" s="64"/>
      <c r="Z134" s="74"/>
      <c r="AA134" s="74"/>
      <c r="AB134" s="74"/>
      <c r="AC134" s="74"/>
      <c r="AD134" s="74"/>
      <c r="AE134" s="140"/>
      <c r="AF134" s="76"/>
      <c r="AG134" s="76"/>
      <c r="AH134" s="76"/>
      <c r="AI134" s="76"/>
      <c r="AJ134" s="122" t="s">
        <v>988</v>
      </c>
      <c r="AK134" s="130"/>
      <c r="AL134" s="139" t="s">
        <v>1628</v>
      </c>
      <c r="AM134" s="431" t="str">
        <f>VLOOKUP($Q134,Resultados!$A$1:$C$49,3,FALSE)</f>
        <v>ELEVADA</v>
      </c>
    </row>
    <row r="135" spans="1:39" customFormat="1" ht="89.25">
      <c r="A135" s="372">
        <v>541</v>
      </c>
      <c r="B135" s="85">
        <v>45299</v>
      </c>
      <c r="C135" s="325" t="s">
        <v>1096</v>
      </c>
      <c r="D135" s="79" t="s">
        <v>1467</v>
      </c>
      <c r="E135" s="88" t="s">
        <v>1468</v>
      </c>
      <c r="F135" s="74">
        <v>1</v>
      </c>
      <c r="G135" s="74" t="s">
        <v>10</v>
      </c>
      <c r="H135" s="305">
        <v>45351</v>
      </c>
      <c r="I135" s="85"/>
      <c r="J135" s="85"/>
      <c r="K135" s="74" t="s">
        <v>1480</v>
      </c>
      <c r="L135" s="79" t="s">
        <v>2172</v>
      </c>
      <c r="M135" s="79" t="s">
        <v>2207</v>
      </c>
      <c r="N135" s="178" t="s">
        <v>2208</v>
      </c>
      <c r="O135" s="24" t="str">
        <f>IF(Q135=" _","NO","SI")</f>
        <v>SI</v>
      </c>
      <c r="P135" s="24" t="str">
        <f ca="1">IF(color_Celda(E135)=12106214,"ROSA",IF(color_Celda(E135)=65535,"AMARILLO",IF(color_Celda(E135)=5296274,"VERDE",IF(color_Celda(E135)=16777215,"BLANCO","NO SE"))))</f>
        <v>ROSA</v>
      </c>
      <c r="Q135" s="79" t="s">
        <v>1162</v>
      </c>
      <c r="R135" s="4" t="str">
        <f>VLOOKUP($Q135,Resultados!$A$1:$B$49,2,FALSE)</f>
        <v>ELEVADA A JUICIO</v>
      </c>
      <c r="S135" s="79"/>
      <c r="T135" s="86"/>
      <c r="U135" s="86"/>
      <c r="V135" s="74"/>
      <c r="W135" s="74"/>
      <c r="X135" s="74"/>
      <c r="Y135" s="64"/>
      <c r="Z135" s="74"/>
      <c r="AA135" s="74"/>
      <c r="AB135" s="74"/>
      <c r="AC135" s="74"/>
      <c r="AD135" s="74"/>
      <c r="AE135" s="140"/>
      <c r="AF135" s="76"/>
      <c r="AG135" s="76"/>
      <c r="AH135" s="76"/>
      <c r="AI135" s="76"/>
      <c r="AJ135" s="122" t="s">
        <v>988</v>
      </c>
      <c r="AK135" s="130"/>
      <c r="AL135" s="139" t="s">
        <v>1628</v>
      </c>
      <c r="AM135" s="431" t="str">
        <f>VLOOKUP($Q135,Resultados!$A$1:$C$49,3,FALSE)</f>
        <v>ELEVADA</v>
      </c>
    </row>
    <row r="136" spans="1:39" customFormat="1" ht="63.75">
      <c r="A136" s="372">
        <v>582</v>
      </c>
      <c r="B136" s="163">
        <v>45329</v>
      </c>
      <c r="C136" s="328" t="s">
        <v>1099</v>
      </c>
      <c r="D136" s="16" t="s">
        <v>1522</v>
      </c>
      <c r="E136" s="164" t="s">
        <v>1523</v>
      </c>
      <c r="F136" s="165">
        <v>7</v>
      </c>
      <c r="G136" s="16" t="s">
        <v>325</v>
      </c>
      <c r="H136" s="307">
        <v>45352</v>
      </c>
      <c r="I136" s="163"/>
      <c r="J136" s="163"/>
      <c r="K136" s="165" t="str">
        <f>IFERROR(VLOOKUP(J136,Jueces!$A$1:$B$11,2,FALSE),"")</f>
        <v/>
      </c>
      <c r="L136" s="16" t="s">
        <v>83</v>
      </c>
      <c r="M136" s="16" t="s">
        <v>90</v>
      </c>
      <c r="N136" s="231" t="s">
        <v>1824</v>
      </c>
      <c r="O136" s="24" t="str">
        <f>IF(Q136=" _","NO","SI")</f>
        <v>SI</v>
      </c>
      <c r="P136" s="24" t="str">
        <f ca="1">IF(color_Celda(E136)=12106214,"ROSA",IF(color_Celda(E136)=65535,"AMARILLO",IF(color_Celda(E136)=5296274,"VERDE",IF(color_Celda(E136)=16777215,"BLANCO","NO SE"))))</f>
        <v>ROSA</v>
      </c>
      <c r="Q136" s="16" t="s">
        <v>1162</v>
      </c>
      <c r="R136" s="4" t="str">
        <f>VLOOKUP($Q136,Resultados!$A$1:$B$49,2,FALSE)</f>
        <v>ELEVADA A JUICIO</v>
      </c>
      <c r="S136" s="16"/>
      <c r="T136" s="166"/>
      <c r="U136" s="166"/>
      <c r="V136" s="165"/>
      <c r="W136" s="165"/>
      <c r="X136" s="165"/>
      <c r="Y136" s="64"/>
      <c r="Z136" s="165"/>
      <c r="AA136" s="165"/>
      <c r="AB136" s="165"/>
      <c r="AC136" s="165"/>
      <c r="AD136" s="165"/>
      <c r="AE136" s="167"/>
      <c r="AF136" s="168"/>
      <c r="AG136" s="168"/>
      <c r="AH136" s="168"/>
      <c r="AI136" s="168"/>
      <c r="AJ136" s="242" t="s">
        <v>408</v>
      </c>
      <c r="AK136" s="169"/>
      <c r="AL136" s="139" t="s">
        <v>1628</v>
      </c>
      <c r="AM136" s="431" t="str">
        <f>VLOOKUP($Q136,Resultados!$A$1:$C$49,3,FALSE)</f>
        <v>ELEVADA</v>
      </c>
    </row>
    <row r="137" spans="1:39" customFormat="1" ht="127.5">
      <c r="A137" s="372">
        <v>76</v>
      </c>
      <c r="B137" s="85">
        <v>45230</v>
      </c>
      <c r="C137" s="326" t="s">
        <v>13</v>
      </c>
      <c r="D137" s="79" t="s">
        <v>521</v>
      </c>
      <c r="E137" s="88" t="s">
        <v>1163</v>
      </c>
      <c r="F137" s="74">
        <v>2</v>
      </c>
      <c r="G137" s="74" t="s">
        <v>325</v>
      </c>
      <c r="H137" s="305">
        <v>45355</v>
      </c>
      <c r="I137" s="85"/>
      <c r="J137" s="85"/>
      <c r="K137" s="74" t="s">
        <v>1480</v>
      </c>
      <c r="L137" s="79" t="s">
        <v>72</v>
      </c>
      <c r="M137" s="79" t="s">
        <v>523</v>
      </c>
      <c r="N137" s="172" t="s">
        <v>2434</v>
      </c>
      <c r="O137" s="24" t="str">
        <f>IF(Q137=" _","NO","SI")</f>
        <v>SI</v>
      </c>
      <c r="P137" s="24" t="str">
        <f ca="1">IF(color_Celda(E137)=12106214,"ROSA",IF(color_Celda(E137)=65535,"AMARILLO",IF(color_Celda(E137)=5296274,"VERDE",IF(color_Celda(E137)=16777215,"BLANCO","NO SE"))))</f>
        <v>ROSA</v>
      </c>
      <c r="Q137" s="79" t="s">
        <v>1162</v>
      </c>
      <c r="R137" s="4" t="str">
        <f>VLOOKUP($Q137,Resultados!$A$1:$B$49,2,FALSE)</f>
        <v>ELEVADA A JUICIO</v>
      </c>
      <c r="S137" s="79"/>
      <c r="T137" s="86"/>
      <c r="U137" s="86"/>
      <c r="V137" s="74"/>
      <c r="W137" s="74"/>
      <c r="X137" s="74"/>
      <c r="Y137" s="64"/>
      <c r="Z137" s="74"/>
      <c r="AA137" s="74"/>
      <c r="AB137" s="74"/>
      <c r="AC137" s="74"/>
      <c r="AD137" s="74"/>
      <c r="AE137" s="140"/>
      <c r="AF137" s="81">
        <v>7</v>
      </c>
      <c r="AG137" s="76"/>
      <c r="AH137" s="76">
        <v>0</v>
      </c>
      <c r="AI137" s="76"/>
      <c r="AJ137" s="122" t="s">
        <v>988</v>
      </c>
      <c r="AK137" s="138"/>
      <c r="AL137" s="139" t="s">
        <v>1628</v>
      </c>
      <c r="AM137" s="431" t="str">
        <f>VLOOKUP($Q137,Resultados!$A$1:$C$49,3,FALSE)</f>
        <v>ELEVADA</v>
      </c>
    </row>
    <row r="138" spans="1:39" customFormat="1" ht="51">
      <c r="A138" s="372">
        <v>174</v>
      </c>
      <c r="B138" s="163">
        <v>45236</v>
      </c>
      <c r="C138" s="327" t="s">
        <v>12</v>
      </c>
      <c r="D138" s="16" t="s">
        <v>2454</v>
      </c>
      <c r="E138" s="281" t="s">
        <v>2460</v>
      </c>
      <c r="F138" s="165">
        <v>4</v>
      </c>
      <c r="G138" s="165" t="s">
        <v>325</v>
      </c>
      <c r="H138" s="308">
        <v>45355</v>
      </c>
      <c r="I138" s="163"/>
      <c r="J138" s="163"/>
      <c r="K138" s="165" t="s">
        <v>1480</v>
      </c>
      <c r="L138" s="282" t="s">
        <v>77</v>
      </c>
      <c r="M138" s="282" t="s">
        <v>47</v>
      </c>
      <c r="N138" s="230" t="s">
        <v>2425</v>
      </c>
      <c r="O138" s="24" t="str">
        <f>IF(Q138=" _","NO","SI")</f>
        <v>SI</v>
      </c>
      <c r="P138" s="24" t="str">
        <f ca="1">IF(color_Celda(E138)=12106214,"ROSA",IF(color_Celda(E138)=65535,"AMARILLO",IF(color_Celda(E138)=5296274,"VERDE",IF(color_Celda(E138)=16777215,"BLANCO","NO SE"))))</f>
        <v>ROSA</v>
      </c>
      <c r="Q138" s="16" t="s">
        <v>1162</v>
      </c>
      <c r="R138" s="4" t="str">
        <f>VLOOKUP($Q138,Resultados!$A$1:$B$49,2,FALSE)</f>
        <v>ELEVADA A JUICIO</v>
      </c>
      <c r="S138" s="16"/>
      <c r="T138" s="283"/>
      <c r="U138" s="166"/>
      <c r="V138" s="165"/>
      <c r="W138" s="165"/>
      <c r="X138" s="165"/>
      <c r="Y138" s="64"/>
      <c r="Z138" s="165"/>
      <c r="AA138" s="165"/>
      <c r="AB138" s="165"/>
      <c r="AC138" s="165"/>
      <c r="AD138" s="165"/>
      <c r="AE138" s="167"/>
      <c r="AF138" s="168"/>
      <c r="AG138" s="168"/>
      <c r="AH138" s="168"/>
      <c r="AI138" s="168"/>
      <c r="AJ138" s="360" t="s">
        <v>988</v>
      </c>
      <c r="AK138" s="169"/>
      <c r="AL138" s="139" t="s">
        <v>1628</v>
      </c>
      <c r="AM138" s="431" t="str">
        <f>VLOOKUP($Q138,Resultados!$A$1:$C$49,3,FALSE)</f>
        <v>ELEVADA</v>
      </c>
    </row>
    <row r="139" spans="1:39" customFormat="1" ht="76.5">
      <c r="A139" s="372">
        <v>501</v>
      </c>
      <c r="B139" s="85">
        <v>45280</v>
      </c>
      <c r="C139" s="325" t="s">
        <v>716</v>
      </c>
      <c r="D139" s="79" t="s">
        <v>1337</v>
      </c>
      <c r="E139" s="84" t="s">
        <v>1338</v>
      </c>
      <c r="F139" s="74">
        <v>6</v>
      </c>
      <c r="G139" s="74" t="s">
        <v>325</v>
      </c>
      <c r="H139" s="312">
        <v>45355</v>
      </c>
      <c r="I139" s="85"/>
      <c r="J139" s="85"/>
      <c r="K139" s="74" t="s">
        <v>1480</v>
      </c>
      <c r="L139" s="79" t="s">
        <v>250</v>
      </c>
      <c r="M139" s="104" t="s">
        <v>1339</v>
      </c>
      <c r="N139" s="105" t="s">
        <v>2423</v>
      </c>
      <c r="O139" s="24" t="str">
        <f>IF(Q139=" _","NO","SI")</f>
        <v>SI</v>
      </c>
      <c r="P139" s="24" t="str">
        <f ca="1">IF(color_Celda(E139)=12106214,"ROSA",IF(color_Celda(E139)=65535,"AMARILLO",IF(color_Celda(E139)=5296274,"VERDE",IF(color_Celda(E139)=16777215,"BLANCO","NO SE"))))</f>
        <v>ROSA</v>
      </c>
      <c r="Q139" s="79" t="s">
        <v>1162</v>
      </c>
      <c r="R139" s="4" t="str">
        <f>VLOOKUP($Q139,Resultados!$A$1:$B$49,2,FALSE)</f>
        <v>ELEVADA A JUICIO</v>
      </c>
      <c r="S139" s="79"/>
      <c r="T139" s="86"/>
      <c r="U139" s="86"/>
      <c r="V139" s="74"/>
      <c r="W139" s="74"/>
      <c r="X139" s="74"/>
      <c r="Y139" s="64"/>
      <c r="Z139" s="74"/>
      <c r="AA139" s="74"/>
      <c r="AB139" s="74"/>
      <c r="AC139" s="74"/>
      <c r="AD139" s="74"/>
      <c r="AE139" s="140"/>
      <c r="AF139" s="76">
        <v>7</v>
      </c>
      <c r="AG139" s="76"/>
      <c r="AH139" s="76">
        <v>0</v>
      </c>
      <c r="AI139" s="76"/>
      <c r="AJ139" s="122" t="s">
        <v>408</v>
      </c>
      <c r="AK139" s="130"/>
      <c r="AL139" s="139" t="s">
        <v>1628</v>
      </c>
      <c r="AM139" s="431" t="str">
        <f>VLOOKUP($Q139,Resultados!$A$1:$C$49,3,FALSE)</f>
        <v>ELEVADA</v>
      </c>
    </row>
    <row r="140" spans="1:39" customFormat="1" ht="178.5">
      <c r="A140" s="372">
        <v>188</v>
      </c>
      <c r="B140" s="85">
        <v>45237</v>
      </c>
      <c r="C140" s="325" t="s">
        <v>701</v>
      </c>
      <c r="D140" s="79" t="s">
        <v>297</v>
      </c>
      <c r="E140" s="84" t="s">
        <v>702</v>
      </c>
      <c r="F140" s="74">
        <v>4</v>
      </c>
      <c r="G140" s="74" t="s">
        <v>1370</v>
      </c>
      <c r="H140" s="305">
        <v>45356</v>
      </c>
      <c r="I140" s="85"/>
      <c r="J140" s="85"/>
      <c r="K140" s="74" t="s">
        <v>1480</v>
      </c>
      <c r="L140" s="79" t="s">
        <v>77</v>
      </c>
      <c r="M140" s="79" t="s">
        <v>47</v>
      </c>
      <c r="N140" s="172" t="s">
        <v>1816</v>
      </c>
      <c r="O140" s="24" t="str">
        <f>IF(Q140=" _","NO","SI")</f>
        <v>SI</v>
      </c>
      <c r="P140" s="24" t="str">
        <f ca="1">IF(color_Celda(E140)=12106214,"ROSA",IF(color_Celda(E140)=65535,"AMARILLO",IF(color_Celda(E140)=5296274,"VERDE",IF(color_Celda(E140)=16777215,"BLANCO","NO SE"))))</f>
        <v>ROSA</v>
      </c>
      <c r="Q140" s="79" t="s">
        <v>1162</v>
      </c>
      <c r="R140" s="4" t="str">
        <f>VLOOKUP($Q140,Resultados!$A$1:$B$49,2,FALSE)</f>
        <v>ELEVADA A JUICIO</v>
      </c>
      <c r="S140" s="79"/>
      <c r="T140" s="86"/>
      <c r="U140" s="86"/>
      <c r="V140" s="74"/>
      <c r="W140" s="74"/>
      <c r="X140" s="74"/>
      <c r="Y140" s="64"/>
      <c r="Z140" s="74"/>
      <c r="AA140" s="74"/>
      <c r="AB140" s="74"/>
      <c r="AC140" s="74"/>
      <c r="AD140" s="74"/>
      <c r="AE140" s="140"/>
      <c r="AF140" s="81">
        <v>7</v>
      </c>
      <c r="AG140" s="76"/>
      <c r="AH140" s="76">
        <v>0</v>
      </c>
      <c r="AI140" s="76"/>
      <c r="AJ140" s="122" t="s">
        <v>408</v>
      </c>
      <c r="AK140" s="130"/>
      <c r="AL140" s="139" t="s">
        <v>1628</v>
      </c>
      <c r="AM140" s="431" t="str">
        <f>VLOOKUP($Q140,Resultados!$A$1:$C$49,3,FALSE)</f>
        <v>ELEVADA</v>
      </c>
    </row>
    <row r="141" spans="1:39" customFormat="1" ht="76.5">
      <c r="A141" s="372">
        <v>635</v>
      </c>
      <c r="B141" s="163">
        <v>45338</v>
      </c>
      <c r="C141" s="328" t="s">
        <v>1288</v>
      </c>
      <c r="D141" s="16" t="s">
        <v>1619</v>
      </c>
      <c r="E141" s="164" t="s">
        <v>1620</v>
      </c>
      <c r="F141" s="165">
        <v>3</v>
      </c>
      <c r="G141" s="16" t="s">
        <v>10</v>
      </c>
      <c r="H141" s="307">
        <v>45356</v>
      </c>
      <c r="I141" s="163"/>
      <c r="J141" s="163"/>
      <c r="K141" s="165" t="str">
        <f>IFERROR(VLOOKUP(J141,Jueces!$A$1:$B$11,2,FALSE),"")</f>
        <v/>
      </c>
      <c r="L141" s="16" t="s">
        <v>85</v>
      </c>
      <c r="M141" s="16" t="s">
        <v>46</v>
      </c>
      <c r="N141" s="231" t="s">
        <v>2451</v>
      </c>
      <c r="O141" s="24" t="str">
        <f>IF(Q141=" _","NO","SI")</f>
        <v>SI</v>
      </c>
      <c r="P141" s="24" t="str">
        <f ca="1">IF(color_Celda(E141)=12106214,"ROSA",IF(color_Celda(E141)=65535,"AMARILLO",IF(color_Celda(E141)=5296274,"VERDE",IF(color_Celda(E141)=16777215,"BLANCO","NO SE"))))</f>
        <v>ROSA</v>
      </c>
      <c r="Q141" s="16" t="s">
        <v>1162</v>
      </c>
      <c r="R141" s="4" t="str">
        <f>VLOOKUP($Q141,Resultados!$A$1:$B$49,2,FALSE)</f>
        <v>ELEVADA A JUICIO</v>
      </c>
      <c r="S141" s="16"/>
      <c r="T141" s="166"/>
      <c r="U141" s="166"/>
      <c r="V141" s="165"/>
      <c r="W141" s="165"/>
      <c r="X141" s="165"/>
      <c r="Y141" s="64"/>
      <c r="Z141" s="165"/>
      <c r="AA141" s="165"/>
      <c r="AB141" s="165"/>
      <c r="AC141" s="165"/>
      <c r="AD141" s="165"/>
      <c r="AE141" s="167"/>
      <c r="AF141" s="168"/>
      <c r="AG141" s="168"/>
      <c r="AH141" s="168"/>
      <c r="AI141" s="168"/>
      <c r="AJ141" s="242" t="s">
        <v>408</v>
      </c>
      <c r="AK141" s="169"/>
      <c r="AL141" s="139" t="s">
        <v>1628</v>
      </c>
      <c r="AM141" s="431" t="str">
        <f>VLOOKUP($Q141,Resultados!$A$1:$C$49,3,FALSE)</f>
        <v>ELEVADA</v>
      </c>
    </row>
    <row r="142" spans="1:39" customFormat="1" ht="127.5">
      <c r="A142" s="372">
        <v>209</v>
      </c>
      <c r="B142" s="85">
        <v>45240</v>
      </c>
      <c r="C142" s="325" t="s">
        <v>735</v>
      </c>
      <c r="D142" s="79" t="s">
        <v>736</v>
      </c>
      <c r="E142" s="88" t="s">
        <v>737</v>
      </c>
      <c r="F142" s="74">
        <v>6</v>
      </c>
      <c r="G142" s="74" t="s">
        <v>326</v>
      </c>
      <c r="H142" s="305">
        <v>45357</v>
      </c>
      <c r="I142" s="85"/>
      <c r="J142" s="85"/>
      <c r="K142" s="74" t="s">
        <v>1480</v>
      </c>
      <c r="L142" s="79" t="s">
        <v>78</v>
      </c>
      <c r="M142" s="79" t="s">
        <v>738</v>
      </c>
      <c r="N142" s="74" t="s">
        <v>1162</v>
      </c>
      <c r="O142" s="24" t="str">
        <f>IF(Q142=" _","NO","SI")</f>
        <v>SI</v>
      </c>
      <c r="P142" s="24" t="str">
        <f ca="1">IF(color_Celda(E142)=12106214,"ROSA",IF(color_Celda(E142)=65535,"AMARILLO",IF(color_Celda(E142)=5296274,"VERDE",IF(color_Celda(E142)=16777215,"BLANCO","NO SE"))))</f>
        <v>ROSA</v>
      </c>
      <c r="Q142" s="79" t="s">
        <v>1162</v>
      </c>
      <c r="R142" s="4" t="str">
        <f>VLOOKUP($Q142,Resultados!$A$1:$B$49,2,FALSE)</f>
        <v>ELEVADA A JUICIO</v>
      </c>
      <c r="S142" s="79"/>
      <c r="T142" s="86"/>
      <c r="U142" s="86"/>
      <c r="V142" s="74"/>
      <c r="W142" s="74"/>
      <c r="X142" s="74"/>
      <c r="Y142" s="64"/>
      <c r="Z142" s="74"/>
      <c r="AA142" s="74"/>
      <c r="AB142" s="74"/>
      <c r="AC142" s="74"/>
      <c r="AD142" s="74"/>
      <c r="AE142" s="140"/>
      <c r="AF142" s="81">
        <v>7</v>
      </c>
      <c r="AG142" s="76"/>
      <c r="AH142" s="76">
        <v>0</v>
      </c>
      <c r="AI142" s="76"/>
      <c r="AJ142" s="122" t="s">
        <v>988</v>
      </c>
      <c r="AK142" s="138"/>
      <c r="AL142" s="139" t="s">
        <v>1628</v>
      </c>
      <c r="AM142" s="431" t="str">
        <f>VLOOKUP($Q142,Resultados!$A$1:$C$49,3,FALSE)</f>
        <v>ELEVADA</v>
      </c>
    </row>
    <row r="143" spans="1:39" customFormat="1" ht="25.5">
      <c r="A143" s="372">
        <v>309</v>
      </c>
      <c r="B143" s="85">
        <v>45252</v>
      </c>
      <c r="C143" s="325" t="s">
        <v>918</v>
      </c>
      <c r="D143" s="79" t="s">
        <v>919</v>
      </c>
      <c r="E143" s="88" t="s">
        <v>920</v>
      </c>
      <c r="F143" s="74">
        <v>2</v>
      </c>
      <c r="G143" s="74" t="s">
        <v>325</v>
      </c>
      <c r="H143" s="305">
        <v>45357</v>
      </c>
      <c r="I143" s="85"/>
      <c r="J143" s="85"/>
      <c r="K143" s="74" t="s">
        <v>1480</v>
      </c>
      <c r="L143" s="79" t="s">
        <v>2172</v>
      </c>
      <c r="M143" s="79"/>
      <c r="N143" s="105" t="s">
        <v>2425</v>
      </c>
      <c r="O143" s="24" t="str">
        <f>IF(Q143=" _","NO","SI")</f>
        <v>SI</v>
      </c>
      <c r="P143" s="24" t="str">
        <f ca="1">IF(color_Celda(E143)=12106214,"ROSA",IF(color_Celda(E143)=65535,"AMARILLO",IF(color_Celda(E143)=5296274,"VERDE",IF(color_Celda(E143)=16777215,"BLANCO","NO SE"))))</f>
        <v>ROSA</v>
      </c>
      <c r="Q143" s="79" t="s">
        <v>1162</v>
      </c>
      <c r="R143" s="4" t="str">
        <f>VLOOKUP($Q143,Resultados!$A$1:$B$49,2,FALSE)</f>
        <v>ELEVADA A JUICIO</v>
      </c>
      <c r="S143" s="79"/>
      <c r="T143" s="86"/>
      <c r="U143" s="86"/>
      <c r="V143" s="74"/>
      <c r="W143" s="74"/>
      <c r="X143" s="74"/>
      <c r="Y143" s="64"/>
      <c r="Z143" s="74"/>
      <c r="AA143" s="74"/>
      <c r="AB143" s="74"/>
      <c r="AC143" s="74"/>
      <c r="AD143" s="74"/>
      <c r="AE143" s="140"/>
      <c r="AF143" s="81">
        <v>7</v>
      </c>
      <c r="AG143" s="76"/>
      <c r="AH143" s="76">
        <v>0</v>
      </c>
      <c r="AI143" s="76"/>
      <c r="AJ143" s="122" t="s">
        <v>988</v>
      </c>
      <c r="AK143" s="138"/>
      <c r="AL143" s="139" t="s">
        <v>1628</v>
      </c>
      <c r="AM143" s="431" t="str">
        <f>VLOOKUP($Q143,Resultados!$A$1:$C$49,3,FALSE)</f>
        <v>ELEVADA</v>
      </c>
    </row>
    <row r="144" spans="1:39" customFormat="1" ht="153">
      <c r="A144" s="372">
        <v>516</v>
      </c>
      <c r="B144" s="85">
        <v>45286</v>
      </c>
      <c r="C144" s="325" t="s">
        <v>1190</v>
      </c>
      <c r="D144" s="79" t="s">
        <v>273</v>
      </c>
      <c r="E144" s="84" t="s">
        <v>1351</v>
      </c>
      <c r="F144" s="74">
        <v>5</v>
      </c>
      <c r="G144" s="74" t="s">
        <v>10</v>
      </c>
      <c r="H144" s="305">
        <v>45357</v>
      </c>
      <c r="I144" s="85"/>
      <c r="J144" s="85"/>
      <c r="K144" s="74" t="s">
        <v>1480</v>
      </c>
      <c r="L144" s="79" t="s">
        <v>31</v>
      </c>
      <c r="M144" s="79" t="s">
        <v>260</v>
      </c>
      <c r="N144" s="105" t="s">
        <v>2730</v>
      </c>
      <c r="O144" s="24" t="str">
        <f>IF(Q144=" _","NO","SI")</f>
        <v>SI</v>
      </c>
      <c r="P144" s="24" t="str">
        <f ca="1">IF(color_Celda(E144)=12106214,"ROSA",IF(color_Celda(E144)=65535,"AMARILLO",IF(color_Celda(E144)=5296274,"VERDE",IF(color_Celda(E144)=16777215,"BLANCO","NO SE"))))</f>
        <v>ROSA</v>
      </c>
      <c r="Q144" s="79" t="s">
        <v>1162</v>
      </c>
      <c r="R144" s="4" t="str">
        <f>VLOOKUP($Q144,Resultados!$A$1:$B$49,2,FALSE)</f>
        <v>ELEVADA A JUICIO</v>
      </c>
      <c r="S144" s="79"/>
      <c r="T144" s="86"/>
      <c r="U144" s="86"/>
      <c r="V144" s="74"/>
      <c r="W144" s="74"/>
      <c r="X144" s="74"/>
      <c r="Y144" s="64"/>
      <c r="Z144" s="74"/>
      <c r="AA144" s="74"/>
      <c r="AB144" s="74"/>
      <c r="AC144" s="74"/>
      <c r="AD144" s="74"/>
      <c r="AE144" s="140"/>
      <c r="AF144" s="76">
        <v>7</v>
      </c>
      <c r="AG144" s="76"/>
      <c r="AH144" s="76">
        <v>0</v>
      </c>
      <c r="AI144" s="76"/>
      <c r="AJ144" s="122" t="s">
        <v>408</v>
      </c>
      <c r="AK144" s="130"/>
      <c r="AL144" s="139" t="s">
        <v>1628</v>
      </c>
      <c r="AM144" s="431" t="str">
        <f>VLOOKUP($Q144,Resultados!$A$1:$C$49,3,FALSE)</f>
        <v>ELEVADA</v>
      </c>
    </row>
    <row r="145" spans="1:39" customFormat="1" ht="89.25">
      <c r="A145" s="372">
        <v>543</v>
      </c>
      <c r="B145" s="85">
        <v>45301</v>
      </c>
      <c r="C145" s="325" t="s">
        <v>771</v>
      </c>
      <c r="D145" s="79" t="s">
        <v>1438</v>
      </c>
      <c r="E145" s="84" t="s">
        <v>1447</v>
      </c>
      <c r="F145" s="74">
        <v>3</v>
      </c>
      <c r="G145" s="74" t="s">
        <v>325</v>
      </c>
      <c r="H145" s="305">
        <v>45357</v>
      </c>
      <c r="I145" s="85"/>
      <c r="J145" s="85"/>
      <c r="K145" s="74" t="s">
        <v>1480</v>
      </c>
      <c r="L145" s="79" t="s">
        <v>77</v>
      </c>
      <c r="M145" s="79" t="s">
        <v>49</v>
      </c>
      <c r="N145" s="174" t="s">
        <v>2424</v>
      </c>
      <c r="O145" s="24" t="str">
        <f>IF(Q145=" _","NO","SI")</f>
        <v>SI</v>
      </c>
      <c r="P145" s="24" t="str">
        <f ca="1">IF(color_Celda(E145)=12106214,"ROSA",IF(color_Celda(E145)=65535,"AMARILLO",IF(color_Celda(E145)=5296274,"VERDE",IF(color_Celda(E145)=16777215,"BLANCO","NO SE"))))</f>
        <v>ROSA</v>
      </c>
      <c r="Q145" s="79" t="s">
        <v>1162</v>
      </c>
      <c r="R145" s="4" t="str">
        <f>VLOOKUP($Q145,Resultados!$A$1:$B$49,2,FALSE)</f>
        <v>ELEVADA A JUICIO</v>
      </c>
      <c r="S145" s="79"/>
      <c r="T145" s="86"/>
      <c r="U145" s="86"/>
      <c r="V145" s="74"/>
      <c r="W145" s="74"/>
      <c r="X145" s="74"/>
      <c r="Y145" s="64"/>
      <c r="Z145" s="74"/>
      <c r="AA145" s="74"/>
      <c r="AB145" s="74"/>
      <c r="AC145" s="74"/>
      <c r="AD145" s="74"/>
      <c r="AE145" s="140"/>
      <c r="AF145" s="76"/>
      <c r="AG145" s="76"/>
      <c r="AH145" s="76"/>
      <c r="AI145" s="76"/>
      <c r="AJ145" s="122" t="s">
        <v>408</v>
      </c>
      <c r="AK145" s="130"/>
      <c r="AL145" s="139" t="s">
        <v>1628</v>
      </c>
      <c r="AM145" s="431" t="str">
        <f>VLOOKUP($Q145,Resultados!$A$1:$C$49,3,FALSE)</f>
        <v>ELEVADA</v>
      </c>
    </row>
    <row r="146" spans="1:39" customFormat="1" ht="409.5">
      <c r="A146" s="372">
        <v>535</v>
      </c>
      <c r="B146" s="85">
        <v>45289</v>
      </c>
      <c r="C146" s="326">
        <v>0.52083333333333337</v>
      </c>
      <c r="D146" s="79" t="s">
        <v>1422</v>
      </c>
      <c r="E146" s="108" t="s">
        <v>1425</v>
      </c>
      <c r="F146" s="74">
        <v>5</v>
      </c>
      <c r="G146" s="74" t="s">
        <v>326</v>
      </c>
      <c r="H146" s="85">
        <v>45357</v>
      </c>
      <c r="I146" s="85"/>
      <c r="J146" s="85"/>
      <c r="K146" s="74" t="s">
        <v>1480</v>
      </c>
      <c r="L146" s="79" t="s">
        <v>1423</v>
      </c>
      <c r="M146" s="508" t="s">
        <v>1424</v>
      </c>
      <c r="N146" s="79" t="s">
        <v>3365</v>
      </c>
      <c r="O146" s="24" t="str">
        <f>IF(Q146=" _","NO","SI")</f>
        <v>SI</v>
      </c>
      <c r="P146" s="24" t="str">
        <f ca="1">IF(color_Celda(E146)=12106214,"ROSA",IF(color_Celda(E146)=65535,"AMARILLO",IF(color_Celda(E146)=5296274,"VERDE",IF(color_Celda(E146)=16777215,"BLANCO","NO SE"))))</f>
        <v>ROSA</v>
      </c>
      <c r="Q146" s="79" t="s">
        <v>2437</v>
      </c>
      <c r="R146" s="4" t="str">
        <f>VLOOKUP($Q146,Resultados!$A$1:$B$49,2,FALSE)</f>
        <v>DEVUELTA AL JUZGADO DE ORIGEN</v>
      </c>
      <c r="S146" s="79"/>
      <c r="T146" s="86"/>
      <c r="U146" s="86"/>
      <c r="V146" s="74"/>
      <c r="W146" s="74"/>
      <c r="X146" s="74"/>
      <c r="Y146" s="64"/>
      <c r="Z146" s="74"/>
      <c r="AA146" s="74"/>
      <c r="AB146" s="74"/>
      <c r="AC146" s="74"/>
      <c r="AD146" s="74"/>
      <c r="AE146" s="140"/>
      <c r="AF146" s="76"/>
      <c r="AG146" s="76"/>
      <c r="AH146" s="76"/>
      <c r="AI146" s="76"/>
      <c r="AJ146" s="122" t="s">
        <v>408</v>
      </c>
      <c r="AK146" s="130"/>
      <c r="AL146" s="139" t="s">
        <v>1628</v>
      </c>
      <c r="AM146" s="431" t="str">
        <f>VLOOKUP($Q146,Resultados!$A$1:$C$49,3,FALSE)</f>
        <v>DEVUELTA</v>
      </c>
    </row>
    <row r="147" spans="1:39" customFormat="1" ht="51">
      <c r="A147" s="372">
        <v>111</v>
      </c>
      <c r="B147" s="85">
        <v>45232</v>
      </c>
      <c r="C147" s="326" t="s">
        <v>12</v>
      </c>
      <c r="D147" s="79" t="s">
        <v>2455</v>
      </c>
      <c r="E147" s="88" t="s">
        <v>560</v>
      </c>
      <c r="F147" s="74">
        <v>4</v>
      </c>
      <c r="G147" s="74" t="s">
        <v>325</v>
      </c>
      <c r="H147" s="305">
        <v>45358</v>
      </c>
      <c r="I147" s="85"/>
      <c r="J147" s="85"/>
      <c r="K147" s="74" t="s">
        <v>1480</v>
      </c>
      <c r="L147" s="79" t="s">
        <v>74</v>
      </c>
      <c r="M147" s="79"/>
      <c r="N147" s="74" t="s">
        <v>2425</v>
      </c>
      <c r="O147" s="24" t="str">
        <f>IF(Q147=" _","NO","SI")</f>
        <v>SI</v>
      </c>
      <c r="P147" s="24" t="str">
        <f ca="1">IF(color_Celda(E147)=12106214,"ROSA",IF(color_Celda(E147)=65535,"AMARILLO",IF(color_Celda(E147)=5296274,"VERDE",IF(color_Celda(E147)=16777215,"BLANCO","NO SE"))))</f>
        <v>ROSA</v>
      </c>
      <c r="Q147" s="79" t="s">
        <v>1162</v>
      </c>
      <c r="R147" s="4" t="str">
        <f>VLOOKUP($Q147,Resultados!$A$1:$B$49,2,FALSE)</f>
        <v>ELEVADA A JUICIO</v>
      </c>
      <c r="S147" s="79"/>
      <c r="T147" s="86"/>
      <c r="U147" s="86"/>
      <c r="V147" s="74"/>
      <c r="W147" s="74"/>
      <c r="X147" s="74"/>
      <c r="Y147" s="64"/>
      <c r="Z147" s="74"/>
      <c r="AA147" s="74"/>
      <c r="AB147" s="74"/>
      <c r="AC147" s="74"/>
      <c r="AD147" s="74"/>
      <c r="AE147" s="140"/>
      <c r="AF147" s="81">
        <v>7</v>
      </c>
      <c r="AG147" s="76"/>
      <c r="AH147" s="76">
        <v>0</v>
      </c>
      <c r="AI147" s="76"/>
      <c r="AJ147" s="122" t="s">
        <v>988</v>
      </c>
      <c r="AK147" s="153"/>
      <c r="AL147" s="139" t="s">
        <v>1628</v>
      </c>
      <c r="AM147" s="431" t="str">
        <f>VLOOKUP($Q147,Resultados!$A$1:$C$49,3,FALSE)</f>
        <v>ELEVADA</v>
      </c>
    </row>
    <row r="148" spans="1:39" customFormat="1" ht="38.25">
      <c r="A148" s="372">
        <v>203</v>
      </c>
      <c r="B148" s="85">
        <v>45239</v>
      </c>
      <c r="C148" s="326" t="s">
        <v>981</v>
      </c>
      <c r="D148" s="79" t="s">
        <v>711</v>
      </c>
      <c r="E148" s="88" t="s">
        <v>712</v>
      </c>
      <c r="F148" s="74">
        <v>6</v>
      </c>
      <c r="G148" s="74" t="s">
        <v>326</v>
      </c>
      <c r="H148" s="305">
        <v>45358</v>
      </c>
      <c r="I148" s="85"/>
      <c r="J148" s="85"/>
      <c r="K148" s="74" t="s">
        <v>1480</v>
      </c>
      <c r="L148" s="79" t="s">
        <v>82</v>
      </c>
      <c r="M148" s="79" t="s">
        <v>270</v>
      </c>
      <c r="N148" s="74" t="s">
        <v>2623</v>
      </c>
      <c r="O148" s="24" t="str">
        <f>IF(Q148=" _","NO","SI")</f>
        <v>SI</v>
      </c>
      <c r="P148" s="24" t="str">
        <f ca="1">IF(color_Celda(E148)=12106214,"ROSA",IF(color_Celda(E148)=65535,"AMARILLO",IF(color_Celda(E148)=5296274,"VERDE",IF(color_Celda(E148)=16777215,"BLANCO","NO SE"))))</f>
        <v>ROSA</v>
      </c>
      <c r="Q148" s="79" t="s">
        <v>1162</v>
      </c>
      <c r="R148" s="4" t="str">
        <f>VLOOKUP($Q148,Resultados!$A$1:$B$49,2,FALSE)</f>
        <v>ELEVADA A JUICIO</v>
      </c>
      <c r="S148" s="79"/>
      <c r="T148" s="86"/>
      <c r="U148" s="86"/>
      <c r="V148" s="74"/>
      <c r="W148" s="74"/>
      <c r="X148" s="74"/>
      <c r="Y148" s="64"/>
      <c r="Z148" s="74"/>
      <c r="AA148" s="74"/>
      <c r="AB148" s="74"/>
      <c r="AC148" s="74"/>
      <c r="AD148" s="74"/>
      <c r="AE148" s="140"/>
      <c r="AF148" s="81">
        <v>7</v>
      </c>
      <c r="AG148" s="76"/>
      <c r="AH148" s="76">
        <v>0</v>
      </c>
      <c r="AI148" s="76"/>
      <c r="AJ148" s="122" t="s">
        <v>988</v>
      </c>
      <c r="AK148" s="138"/>
      <c r="AL148" s="139" t="s">
        <v>1628</v>
      </c>
      <c r="AM148" s="431" t="str">
        <f>VLOOKUP($Q148,Resultados!$A$1:$C$49,3,FALSE)</f>
        <v>ELEVADA</v>
      </c>
    </row>
    <row r="149" spans="1:39" customFormat="1" ht="38.25">
      <c r="A149" s="372">
        <v>466</v>
      </c>
      <c r="B149" s="85">
        <v>45273</v>
      </c>
      <c r="C149" s="325" t="s">
        <v>1096</v>
      </c>
      <c r="D149" s="79" t="s">
        <v>1254</v>
      </c>
      <c r="E149" s="84" t="s">
        <v>1255</v>
      </c>
      <c r="F149" s="74">
        <v>1</v>
      </c>
      <c r="G149" s="74" t="s">
        <v>326</v>
      </c>
      <c r="H149" s="305">
        <v>45358</v>
      </c>
      <c r="I149" s="85"/>
      <c r="J149" s="85"/>
      <c r="K149" s="74" t="s">
        <v>1480</v>
      </c>
      <c r="L149" s="79" t="s">
        <v>2172</v>
      </c>
      <c r="M149" s="79" t="s">
        <v>60</v>
      </c>
      <c r="N149" s="174" t="s">
        <v>2731</v>
      </c>
      <c r="O149" s="24" t="str">
        <f>IF(Q149=" _","NO","SI")</f>
        <v>SI</v>
      </c>
      <c r="P149" s="24" t="str">
        <f ca="1">IF(color_Celda(E149)=12106214,"ROSA",IF(color_Celda(E149)=65535,"AMARILLO",IF(color_Celda(E149)=5296274,"VERDE",IF(color_Celda(E149)=16777215,"BLANCO","NO SE"))))</f>
        <v>ROSA</v>
      </c>
      <c r="Q149" s="79" t="s">
        <v>1162</v>
      </c>
      <c r="R149" s="4" t="str">
        <f>VLOOKUP($Q149,Resultados!$A$1:$B$49,2,FALSE)</f>
        <v>ELEVADA A JUICIO</v>
      </c>
      <c r="S149" s="79"/>
      <c r="T149" s="86"/>
      <c r="U149" s="86"/>
      <c r="V149" s="74"/>
      <c r="W149" s="74"/>
      <c r="X149" s="74"/>
      <c r="Y149" s="64"/>
      <c r="Z149" s="74"/>
      <c r="AA149" s="74"/>
      <c r="AB149" s="74"/>
      <c r="AC149" s="74"/>
      <c r="AD149" s="74"/>
      <c r="AE149" s="140"/>
      <c r="AF149" s="76">
        <v>7</v>
      </c>
      <c r="AG149" s="76"/>
      <c r="AH149" s="76">
        <v>0</v>
      </c>
      <c r="AI149" s="76"/>
      <c r="AJ149" s="122" t="s">
        <v>408</v>
      </c>
      <c r="AK149" s="130"/>
      <c r="AL149" s="139" t="s">
        <v>1628</v>
      </c>
      <c r="AM149" s="431" t="str">
        <f>VLOOKUP($Q149,Resultados!$A$1:$C$49,3,FALSE)</f>
        <v>ELEVADA</v>
      </c>
    </row>
    <row r="150" spans="1:39" customFormat="1" ht="102">
      <c r="A150" s="372">
        <v>495</v>
      </c>
      <c r="B150" s="85">
        <v>45279</v>
      </c>
      <c r="C150" s="325" t="s">
        <v>1296</v>
      </c>
      <c r="D150" s="79" t="s">
        <v>1297</v>
      </c>
      <c r="E150" s="84" t="s">
        <v>1299</v>
      </c>
      <c r="F150" s="74">
        <v>6</v>
      </c>
      <c r="G150" s="74" t="s">
        <v>326</v>
      </c>
      <c r="H150" s="305">
        <v>45358</v>
      </c>
      <c r="I150" s="85"/>
      <c r="J150" s="85"/>
      <c r="K150" s="74" t="s">
        <v>1480</v>
      </c>
      <c r="L150" s="79" t="s">
        <v>2167</v>
      </c>
      <c r="M150" s="79" t="s">
        <v>1298</v>
      </c>
      <c r="N150" s="79" t="s">
        <v>2672</v>
      </c>
      <c r="O150" s="24" t="str">
        <f>IF(Q150=" _","NO","SI")</f>
        <v>SI</v>
      </c>
      <c r="P150" s="24" t="str">
        <f ca="1">IF(color_Celda(E150)=12106214,"ROSA",IF(color_Celda(E150)=65535,"AMARILLO",IF(color_Celda(E150)=5296274,"VERDE",IF(color_Celda(E150)=16777215,"BLANCO","NO SE"))))</f>
        <v>ROSA</v>
      </c>
      <c r="Q150" s="79" t="s">
        <v>1162</v>
      </c>
      <c r="R150" s="4" t="s">
        <v>1162</v>
      </c>
      <c r="S150" s="79"/>
      <c r="T150" s="86"/>
      <c r="U150" s="86"/>
      <c r="V150" s="74"/>
      <c r="W150" s="74"/>
      <c r="X150" s="74"/>
      <c r="Y150" s="64"/>
      <c r="Z150" s="74"/>
      <c r="AA150" s="74"/>
      <c r="AB150" s="74"/>
      <c r="AC150" s="74"/>
      <c r="AD150" s="74"/>
      <c r="AE150" s="140"/>
      <c r="AF150" s="76">
        <v>7</v>
      </c>
      <c r="AG150" s="76"/>
      <c r="AH150" s="76">
        <v>0</v>
      </c>
      <c r="AI150" s="76"/>
      <c r="AJ150" s="122" t="s">
        <v>408</v>
      </c>
      <c r="AK150" s="130"/>
      <c r="AL150" s="139" t="s">
        <v>1628</v>
      </c>
      <c r="AM150" s="431" t="str">
        <f>VLOOKUP($Q150,Resultados!$A$1:$C$49,3,FALSE)</f>
        <v>ELEVADA</v>
      </c>
    </row>
    <row r="151" spans="1:39" customFormat="1" ht="102">
      <c r="A151" s="372">
        <v>558</v>
      </c>
      <c r="B151" s="85">
        <v>45324</v>
      </c>
      <c r="C151" s="325" t="s">
        <v>16</v>
      </c>
      <c r="D151" s="79" t="s">
        <v>245</v>
      </c>
      <c r="E151" s="84" t="s">
        <v>1454</v>
      </c>
      <c r="F151" s="74">
        <v>4</v>
      </c>
      <c r="G151" s="74" t="s">
        <v>10</v>
      </c>
      <c r="H151" s="305">
        <v>45358</v>
      </c>
      <c r="I151" s="85"/>
      <c r="J151" s="85"/>
      <c r="K151" s="74" t="s">
        <v>1480</v>
      </c>
      <c r="L151" s="79" t="s">
        <v>81</v>
      </c>
      <c r="M151" s="79" t="s">
        <v>1355</v>
      </c>
      <c r="N151" s="174" t="s">
        <v>2447</v>
      </c>
      <c r="O151" s="24" t="str">
        <f>IF(Q151=" _","NO","SI")</f>
        <v>SI</v>
      </c>
      <c r="P151" s="24" t="str">
        <f ca="1">IF(color_Celda(E151)=12106214,"ROSA",IF(color_Celda(E151)=65535,"AMARILLO",IF(color_Celda(E151)=5296274,"VERDE",IF(color_Celda(E151)=16777215,"BLANCO","NO SE"))))</f>
        <v>ROSA</v>
      </c>
      <c r="Q151" s="79" t="s">
        <v>1162</v>
      </c>
      <c r="R151" s="4" t="str">
        <f>VLOOKUP($Q151,Resultados!$A$1:$B$49,2,FALSE)</f>
        <v>ELEVADA A JUICIO</v>
      </c>
      <c r="S151" s="79"/>
      <c r="T151" s="86"/>
      <c r="U151" s="86"/>
      <c r="V151" s="74"/>
      <c r="W151" s="74"/>
      <c r="X151" s="74"/>
      <c r="Y151" s="64"/>
      <c r="Z151" s="74"/>
      <c r="AA151" s="74"/>
      <c r="AB151" s="74"/>
      <c r="AC151" s="74"/>
      <c r="AD151" s="74"/>
      <c r="AE151" s="140"/>
      <c r="AF151" s="76"/>
      <c r="AG151" s="76"/>
      <c r="AH151" s="76"/>
      <c r="AI151" s="76"/>
      <c r="AJ151" s="122" t="s">
        <v>408</v>
      </c>
      <c r="AK151" s="130"/>
      <c r="AL151" s="139" t="s">
        <v>1628</v>
      </c>
      <c r="AM151" s="431" t="str">
        <f>VLOOKUP($Q151,Resultados!$A$1:$C$49,3,FALSE)</f>
        <v>ELEVADA</v>
      </c>
    </row>
    <row r="152" spans="1:39" customFormat="1" ht="63.75">
      <c r="A152" s="372">
        <v>561</v>
      </c>
      <c r="B152" s="85">
        <v>45327</v>
      </c>
      <c r="C152" s="325" t="s">
        <v>1352</v>
      </c>
      <c r="D152" s="79" t="s">
        <v>333</v>
      </c>
      <c r="E152" s="84" t="s">
        <v>1472</v>
      </c>
      <c r="F152" s="74">
        <v>1</v>
      </c>
      <c r="G152" s="74" t="s">
        <v>10</v>
      </c>
      <c r="H152" s="305">
        <v>45358</v>
      </c>
      <c r="I152" s="85"/>
      <c r="J152" s="85"/>
      <c r="K152" s="74" t="s">
        <v>1480</v>
      </c>
      <c r="L152" s="79" t="s">
        <v>86</v>
      </c>
      <c r="M152" s="79" t="s">
        <v>59</v>
      </c>
      <c r="N152" s="174" t="s">
        <v>2448</v>
      </c>
      <c r="O152" s="24" t="str">
        <f>IF(Q152=" _","NO","SI")</f>
        <v>SI</v>
      </c>
      <c r="P152" s="24" t="str">
        <f ca="1">IF(color_Celda(E152)=12106214,"ROSA",IF(color_Celda(E152)=65535,"AMARILLO",IF(color_Celda(E152)=5296274,"VERDE",IF(color_Celda(E152)=16777215,"BLANCO","NO SE"))))</f>
        <v>ROSA</v>
      </c>
      <c r="Q152" s="79" t="s">
        <v>1162</v>
      </c>
      <c r="R152" s="4" t="str">
        <f>VLOOKUP($Q152,Resultados!$A$1:$B$49,2,FALSE)</f>
        <v>ELEVADA A JUICIO</v>
      </c>
      <c r="S152" s="79"/>
      <c r="T152" s="86"/>
      <c r="U152" s="86"/>
      <c r="V152" s="74"/>
      <c r="W152" s="74"/>
      <c r="X152" s="74"/>
      <c r="Y152" s="64"/>
      <c r="Z152" s="74"/>
      <c r="AA152" s="74"/>
      <c r="AB152" s="74"/>
      <c r="AC152" s="74"/>
      <c r="AD152" s="74"/>
      <c r="AE152" s="140"/>
      <c r="AF152" s="76"/>
      <c r="AG152" s="76"/>
      <c r="AH152" s="76"/>
      <c r="AI152" s="76"/>
      <c r="AJ152" s="122" t="s">
        <v>408</v>
      </c>
      <c r="AK152" s="130"/>
      <c r="AL152" s="139" t="s">
        <v>1628</v>
      </c>
      <c r="AM152" s="431" t="str">
        <f>VLOOKUP($Q152,Resultados!$A$1:$C$49,3,FALSE)</f>
        <v>ELEVADA</v>
      </c>
    </row>
    <row r="153" spans="1:39" customFormat="1" ht="51">
      <c r="A153" s="372">
        <v>234</v>
      </c>
      <c r="B153" s="85">
        <v>45243</v>
      </c>
      <c r="C153" s="325" t="s">
        <v>803</v>
      </c>
      <c r="D153" s="79" t="s">
        <v>804</v>
      </c>
      <c r="E153" s="84" t="s">
        <v>806</v>
      </c>
      <c r="F153" s="74">
        <v>7</v>
      </c>
      <c r="G153" s="74" t="s">
        <v>10</v>
      </c>
      <c r="H153" s="305">
        <v>45359</v>
      </c>
      <c r="I153" s="85"/>
      <c r="J153" s="85"/>
      <c r="K153" s="74" t="s">
        <v>1480</v>
      </c>
      <c r="L153" s="79" t="s">
        <v>250</v>
      </c>
      <c r="M153" s="79" t="s">
        <v>805</v>
      </c>
      <c r="N153" s="172" t="s">
        <v>1162</v>
      </c>
      <c r="O153" s="24" t="str">
        <f>IF(Q153=" _","NO","SI")</f>
        <v>SI</v>
      </c>
      <c r="P153" s="24" t="str">
        <f ca="1">IF(color_Celda(E153)=12106214,"ROSA",IF(color_Celda(E153)=65535,"AMARILLO",IF(color_Celda(E153)=5296274,"VERDE",IF(color_Celda(E153)=16777215,"BLANCO","NO SE"))))</f>
        <v>ROSA</v>
      </c>
      <c r="Q153" s="79" t="s">
        <v>1162</v>
      </c>
      <c r="R153" s="4" t="str">
        <f>VLOOKUP($Q153,Resultados!$A$1:$B$49,2,FALSE)</f>
        <v>ELEVADA A JUICIO</v>
      </c>
      <c r="S153" s="79"/>
      <c r="T153" s="86"/>
      <c r="U153" s="86"/>
      <c r="V153" s="74"/>
      <c r="W153" s="74"/>
      <c r="X153" s="74"/>
      <c r="Y153" s="64"/>
      <c r="Z153" s="74"/>
      <c r="AA153" s="74"/>
      <c r="AB153" s="74"/>
      <c r="AC153" s="74"/>
      <c r="AD153" s="74"/>
      <c r="AE153" s="140"/>
      <c r="AF153" s="81">
        <v>7</v>
      </c>
      <c r="AG153" s="76"/>
      <c r="AH153" s="76">
        <v>0</v>
      </c>
      <c r="AI153" s="76"/>
      <c r="AJ153" s="122" t="s">
        <v>408</v>
      </c>
      <c r="AK153" s="138"/>
      <c r="AL153" s="139" t="s">
        <v>1628</v>
      </c>
      <c r="AM153" s="431" t="str">
        <f>VLOOKUP($Q153,Resultados!$A$1:$C$49,3,FALSE)</f>
        <v>ELEVADA</v>
      </c>
    </row>
    <row r="154" spans="1:39" customFormat="1" ht="38.25">
      <c r="A154" s="372">
        <v>544</v>
      </c>
      <c r="B154" s="85">
        <v>45301</v>
      </c>
      <c r="C154" s="325" t="s">
        <v>1135</v>
      </c>
      <c r="D154" s="79" t="s">
        <v>1448</v>
      </c>
      <c r="E154" s="84" t="s">
        <v>1449</v>
      </c>
      <c r="F154" s="74">
        <v>5</v>
      </c>
      <c r="G154" s="74" t="s">
        <v>10</v>
      </c>
      <c r="H154" s="305">
        <v>45359</v>
      </c>
      <c r="I154" s="85"/>
      <c r="J154" s="85"/>
      <c r="K154" s="74" t="s">
        <v>1480</v>
      </c>
      <c r="L154" s="79" t="s">
        <v>80</v>
      </c>
      <c r="M154" s="79" t="s">
        <v>260</v>
      </c>
      <c r="N154" s="174" t="s">
        <v>2446</v>
      </c>
      <c r="O154" s="24" t="str">
        <f>IF(Q154=" _","NO","SI")</f>
        <v>SI</v>
      </c>
      <c r="P154" s="24" t="str">
        <f ca="1">IF(color_Celda(E154)=12106214,"ROSA",IF(color_Celda(E154)=65535,"AMARILLO",IF(color_Celda(E154)=5296274,"VERDE",IF(color_Celda(E154)=16777215,"BLANCO","NO SE"))))</f>
        <v>ROSA</v>
      </c>
      <c r="Q154" s="79" t="s">
        <v>1162</v>
      </c>
      <c r="R154" s="4" t="str">
        <f>VLOOKUP($Q154,Resultados!$A$1:$B$49,2,FALSE)</f>
        <v>ELEVADA A JUICIO</v>
      </c>
      <c r="S154" s="79"/>
      <c r="T154" s="86"/>
      <c r="U154" s="86"/>
      <c r="V154" s="74"/>
      <c r="W154" s="74"/>
      <c r="X154" s="74"/>
      <c r="Y154" s="64"/>
      <c r="Z154" s="74"/>
      <c r="AA154" s="74"/>
      <c r="AB154" s="74"/>
      <c r="AC154" s="74"/>
      <c r="AD154" s="74"/>
      <c r="AE154" s="140"/>
      <c r="AF154" s="76"/>
      <c r="AG154" s="76"/>
      <c r="AH154" s="76"/>
      <c r="AI154" s="76"/>
      <c r="AJ154" s="122" t="s">
        <v>408</v>
      </c>
      <c r="AK154" s="130"/>
      <c r="AL154" s="139" t="s">
        <v>1628</v>
      </c>
      <c r="AM154" s="431" t="str">
        <f>VLOOKUP($Q154,Resultados!$A$1:$C$49,3,FALSE)</f>
        <v>ELEVADA</v>
      </c>
    </row>
    <row r="155" spans="1:39" customFormat="1" ht="51">
      <c r="A155" s="372">
        <v>557</v>
      </c>
      <c r="B155" s="85">
        <v>45323</v>
      </c>
      <c r="C155" s="325" t="s">
        <v>716</v>
      </c>
      <c r="D155" s="79" t="s">
        <v>351</v>
      </c>
      <c r="E155" s="84" t="s">
        <v>1469</v>
      </c>
      <c r="F155" s="74">
        <v>1</v>
      </c>
      <c r="G155" s="79" t="s">
        <v>325</v>
      </c>
      <c r="H155" s="305">
        <v>45359</v>
      </c>
      <c r="I155" s="85"/>
      <c r="J155" s="85"/>
      <c r="K155" s="74" t="s">
        <v>1480</v>
      </c>
      <c r="L155" s="79" t="s">
        <v>86</v>
      </c>
      <c r="M155" s="79" t="s">
        <v>59</v>
      </c>
      <c r="N155" s="174" t="s">
        <v>1162</v>
      </c>
      <c r="O155" s="24" t="str">
        <f>IF(Q155=" _","NO","SI")</f>
        <v>SI</v>
      </c>
      <c r="P155" s="24" t="str">
        <f ca="1">IF(color_Celda(E155)=12106214,"ROSA",IF(color_Celda(E155)=65535,"AMARILLO",IF(color_Celda(E155)=5296274,"VERDE",IF(color_Celda(E155)=16777215,"BLANCO","NO SE"))))</f>
        <v>ROSA</v>
      </c>
      <c r="Q155" s="79" t="s">
        <v>1162</v>
      </c>
      <c r="R155" s="4" t="str">
        <f>VLOOKUP($Q155,Resultados!$A$1:$B$49,2,FALSE)</f>
        <v>ELEVADA A JUICIO</v>
      </c>
      <c r="S155" s="79"/>
      <c r="T155" s="86"/>
      <c r="U155" s="86"/>
      <c r="V155" s="74"/>
      <c r="W155" s="74"/>
      <c r="X155" s="74"/>
      <c r="Y155" s="64"/>
      <c r="Z155" s="74"/>
      <c r="AA155" s="74"/>
      <c r="AB155" s="74"/>
      <c r="AC155" s="74"/>
      <c r="AD155" s="74"/>
      <c r="AE155" s="140"/>
      <c r="AF155" s="76"/>
      <c r="AG155" s="76"/>
      <c r="AH155" s="76"/>
      <c r="AI155" s="76"/>
      <c r="AJ155" s="122" t="s">
        <v>408</v>
      </c>
      <c r="AK155" s="130"/>
      <c r="AL155" s="139" t="s">
        <v>1628</v>
      </c>
      <c r="AM155" s="431" t="str">
        <f>VLOOKUP($Q155,Resultados!$A$1:$C$49,3,FALSE)</f>
        <v>ELEVADA</v>
      </c>
    </row>
    <row r="156" spans="1:39" customFormat="1" ht="89.25">
      <c r="A156" s="372">
        <v>626</v>
      </c>
      <c r="B156" s="163">
        <v>45338</v>
      </c>
      <c r="C156" s="328" t="s">
        <v>41</v>
      </c>
      <c r="D156" s="16" t="s">
        <v>230</v>
      </c>
      <c r="E156" s="164" t="s">
        <v>1743</v>
      </c>
      <c r="F156" s="165">
        <v>3</v>
      </c>
      <c r="G156" s="16" t="s">
        <v>325</v>
      </c>
      <c r="H156" s="307">
        <v>45359</v>
      </c>
      <c r="I156" s="163"/>
      <c r="J156" s="163"/>
      <c r="K156" s="165" t="str">
        <f>IFERROR(VLOOKUP(J156,Jueces!$A$1:$B$11,2,FALSE),"")</f>
        <v/>
      </c>
      <c r="L156" s="16" t="s">
        <v>31</v>
      </c>
      <c r="M156" s="16" t="s">
        <v>47</v>
      </c>
      <c r="N156" s="231" t="s">
        <v>2425</v>
      </c>
      <c r="O156" s="24" t="str">
        <f>IF(Q156=" _","NO","SI")</f>
        <v>SI</v>
      </c>
      <c r="P156" s="24" t="str">
        <f ca="1">IF(color_Celda(E156)=12106214,"ROSA",IF(color_Celda(E156)=65535,"AMARILLO",IF(color_Celda(E156)=5296274,"VERDE",IF(color_Celda(E156)=16777215,"BLANCO","NO SE"))))</f>
        <v>ROSA</v>
      </c>
      <c r="Q156" s="16" t="s">
        <v>1162</v>
      </c>
      <c r="R156" s="4" t="str">
        <f>VLOOKUP($Q156,Resultados!$A$1:$B$49,2,FALSE)</f>
        <v>ELEVADA A JUICIO</v>
      </c>
      <c r="S156" s="16"/>
      <c r="T156" s="166"/>
      <c r="U156" s="166"/>
      <c r="V156" s="165"/>
      <c r="W156" s="165"/>
      <c r="X156" s="165"/>
      <c r="Y156" s="64"/>
      <c r="Z156" s="165"/>
      <c r="AA156" s="165"/>
      <c r="AB156" s="165"/>
      <c r="AC156" s="165"/>
      <c r="AD156" s="165"/>
      <c r="AE156" s="167"/>
      <c r="AF156" s="168"/>
      <c r="AG156" s="168"/>
      <c r="AH156" s="168"/>
      <c r="AI156" s="168"/>
      <c r="AJ156" s="242" t="s">
        <v>408</v>
      </c>
      <c r="AK156" s="169"/>
      <c r="AL156" s="139" t="s">
        <v>1628</v>
      </c>
      <c r="AM156" s="431" t="str">
        <f>VLOOKUP($Q156,Resultados!$A$1:$C$49,3,FALSE)</f>
        <v>ELEVADA</v>
      </c>
    </row>
    <row r="157" spans="1:39" customFormat="1" ht="51">
      <c r="A157" s="372">
        <v>642</v>
      </c>
      <c r="B157" s="163">
        <v>45341</v>
      </c>
      <c r="C157" s="328" t="s">
        <v>899</v>
      </c>
      <c r="D157" s="16" t="s">
        <v>1654</v>
      </c>
      <c r="E157" s="164" t="s">
        <v>1745</v>
      </c>
      <c r="F157" s="165">
        <v>7</v>
      </c>
      <c r="G157" s="165" t="s">
        <v>325</v>
      </c>
      <c r="H157" s="307">
        <v>45359</v>
      </c>
      <c r="I157" s="163"/>
      <c r="J157" s="163"/>
      <c r="K157" s="165" t="str">
        <f>IFERROR(VLOOKUP(J157,Jueces!$A$1:$B$11,2,FALSE),"")</f>
        <v/>
      </c>
      <c r="L157" s="16" t="s">
        <v>86</v>
      </c>
      <c r="M157" s="16" t="s">
        <v>90</v>
      </c>
      <c r="N157" s="231" t="s">
        <v>1856</v>
      </c>
      <c r="O157" s="24" t="str">
        <f>IF(Q157=" _","NO","SI")</f>
        <v>SI</v>
      </c>
      <c r="P157" s="24" t="str">
        <f ca="1">IF(color_Celda(E157)=12106214,"ROSA",IF(color_Celda(E157)=65535,"AMARILLO",IF(color_Celda(E157)=5296274,"VERDE",IF(color_Celda(E157)=16777215,"BLANCO","NO SE"))))</f>
        <v>ROSA</v>
      </c>
      <c r="Q157" s="16" t="s">
        <v>1162</v>
      </c>
      <c r="R157" s="4" t="str">
        <f>VLOOKUP($Q157,Resultados!$A$1:$B$49,2,FALSE)</f>
        <v>ELEVADA A JUICIO</v>
      </c>
      <c r="S157" s="16"/>
      <c r="T157" s="166"/>
      <c r="U157" s="166"/>
      <c r="V157" s="165"/>
      <c r="W157" s="165"/>
      <c r="X157" s="165"/>
      <c r="Y157" s="64"/>
      <c r="Z157" s="165"/>
      <c r="AA157" s="165"/>
      <c r="AB157" s="165"/>
      <c r="AC157" s="165"/>
      <c r="AD157" s="165"/>
      <c r="AE157" s="167"/>
      <c r="AF157" s="168"/>
      <c r="AG157" s="168"/>
      <c r="AH157" s="168"/>
      <c r="AI157" s="168"/>
      <c r="AJ157" s="242" t="s">
        <v>408</v>
      </c>
      <c r="AK157" s="169"/>
      <c r="AL157" s="139" t="s">
        <v>1628</v>
      </c>
      <c r="AM157" s="431" t="str">
        <f>VLOOKUP($Q157,Resultados!$A$1:$C$49,3,FALSE)</f>
        <v>ELEVADA</v>
      </c>
    </row>
    <row r="158" spans="1:39" customFormat="1" ht="153">
      <c r="A158" s="364">
        <v>67</v>
      </c>
      <c r="B158" s="69">
        <v>45229</v>
      </c>
      <c r="C158" s="329" t="s">
        <v>1475</v>
      </c>
      <c r="D158" s="70" t="s">
        <v>23</v>
      </c>
      <c r="E158" s="92" t="s">
        <v>500</v>
      </c>
      <c r="F158" s="68">
        <v>3</v>
      </c>
      <c r="G158" s="68" t="s">
        <v>1750</v>
      </c>
      <c r="H158" s="69">
        <v>45362</v>
      </c>
      <c r="I158" s="69" t="s">
        <v>143</v>
      </c>
      <c r="J158" s="69" t="s">
        <v>9</v>
      </c>
      <c r="K158" s="68">
        <v>3</v>
      </c>
      <c r="L158" s="70" t="s">
        <v>75</v>
      </c>
      <c r="M158" s="70" t="s">
        <v>501</v>
      </c>
      <c r="N158" s="70" t="s">
        <v>2723</v>
      </c>
      <c r="O158" s="137" t="str">
        <f>IF(Q158=" _","NO","SI")</f>
        <v>NO</v>
      </c>
      <c r="P158" s="24" t="str">
        <f ca="1">IF(color_Celda(E158)=12106214,"ROSA",IF(color_Celda(E158)=65535,"AMARILLO",IF(color_Celda(E158)=5296274,"VERDE",IF(color_Celda(E158)=16777215,"BLANCO","NO SE"))))</f>
        <v>AMARILLO</v>
      </c>
      <c r="Q158" s="70" t="s">
        <v>108</v>
      </c>
      <c r="R158" s="170" t="str">
        <f>VLOOKUP($Q158,Resultados!$A$1:$B$49,2,FALSE)</f>
        <v xml:space="preserve"> _</v>
      </c>
      <c r="S158" s="70"/>
      <c r="T158" s="73"/>
      <c r="U158" s="73"/>
      <c r="V158" s="68"/>
      <c r="W158" s="68"/>
      <c r="X158" s="68"/>
      <c r="Y158" s="199"/>
      <c r="Z158" s="68"/>
      <c r="AA158" s="68"/>
      <c r="AB158" s="68"/>
      <c r="AC158" s="68"/>
      <c r="AD158" s="68"/>
      <c r="AE158" s="142"/>
      <c r="AF158" s="145">
        <v>7</v>
      </c>
      <c r="AG158" s="146"/>
      <c r="AH158" s="146">
        <v>0</v>
      </c>
      <c r="AI158" s="146"/>
      <c r="AJ158" s="124" t="s">
        <v>988</v>
      </c>
      <c r="AK158" s="135"/>
      <c r="AL158" s="151" t="s">
        <v>1627</v>
      </c>
      <c r="AM158" s="431" t="str">
        <f>VLOOKUP($Q158,Resultados!$A$1:$C$49,3,FALSE)</f>
        <v>TRAMITE</v>
      </c>
    </row>
    <row r="159" spans="1:39" customFormat="1" ht="102">
      <c r="A159" s="372">
        <v>15</v>
      </c>
      <c r="B159" s="82">
        <v>45217</v>
      </c>
      <c r="C159" s="325" t="s">
        <v>392</v>
      </c>
      <c r="D159" s="79" t="s">
        <v>393</v>
      </c>
      <c r="E159" s="84" t="s">
        <v>429</v>
      </c>
      <c r="F159" s="79">
        <v>1</v>
      </c>
      <c r="G159" s="79" t="s">
        <v>325</v>
      </c>
      <c r="H159" s="306">
        <v>45362</v>
      </c>
      <c r="I159" s="89"/>
      <c r="J159" s="82"/>
      <c r="K159" s="79" t="s">
        <v>1480</v>
      </c>
      <c r="L159" s="79" t="s">
        <v>394</v>
      </c>
      <c r="M159" s="79"/>
      <c r="N159" s="172" t="s">
        <v>1854</v>
      </c>
      <c r="O159" s="24" t="str">
        <f>IF(Q159=" _","NO","SI")</f>
        <v>SI</v>
      </c>
      <c r="P159" s="24" t="str">
        <f ca="1">IF(color_Celda(E159)=12106214,"ROSA",IF(color_Celda(E159)=65535,"AMARILLO",IF(color_Celda(E159)=5296274,"VERDE",IF(color_Celda(E159)=16777215,"BLANCO","NO SE"))))</f>
        <v>ROSA</v>
      </c>
      <c r="Q159" s="79" t="s">
        <v>1162</v>
      </c>
      <c r="R159" s="4" t="str">
        <f>VLOOKUP($Q159,Resultados!$A$1:$B$49,2,FALSE)</f>
        <v>ELEVADA A JUICIO</v>
      </c>
      <c r="S159" s="89"/>
      <c r="T159" s="86"/>
      <c r="U159" s="86"/>
      <c r="V159" s="79"/>
      <c r="W159" s="89"/>
      <c r="X159" s="79"/>
      <c r="Y159" s="64"/>
      <c r="Z159" s="90" t="s">
        <v>64</v>
      </c>
      <c r="AA159" s="94"/>
      <c r="AB159" s="90" t="s">
        <v>136</v>
      </c>
      <c r="AC159" s="85"/>
      <c r="AD159" s="85"/>
      <c r="AE159" s="140"/>
      <c r="AF159" s="81">
        <v>7</v>
      </c>
      <c r="AG159" s="76" t="s">
        <v>1485</v>
      </c>
      <c r="AH159" s="76">
        <v>0</v>
      </c>
      <c r="AI159" s="76"/>
      <c r="AJ159" s="122" t="s">
        <v>408</v>
      </c>
      <c r="AK159" s="138"/>
      <c r="AL159" s="139" t="s">
        <v>1628</v>
      </c>
      <c r="AM159" s="431" t="str">
        <f>VLOOKUP($Q159,Resultados!$A$1:$C$49,3,FALSE)</f>
        <v>ELEVADA</v>
      </c>
    </row>
    <row r="160" spans="1:39" customFormat="1" ht="51">
      <c r="A160" s="372">
        <v>553</v>
      </c>
      <c r="B160" s="85">
        <v>45320</v>
      </c>
      <c r="C160" s="325" t="s">
        <v>1443</v>
      </c>
      <c r="D160" s="79" t="s">
        <v>1444</v>
      </c>
      <c r="E160" s="84" t="s">
        <v>1445</v>
      </c>
      <c r="F160" s="74">
        <v>7</v>
      </c>
      <c r="G160" s="79" t="s">
        <v>10</v>
      </c>
      <c r="H160" s="305">
        <v>45362</v>
      </c>
      <c r="I160" s="85"/>
      <c r="J160" s="85"/>
      <c r="K160" s="74" t="s">
        <v>1480</v>
      </c>
      <c r="L160" s="79" t="s">
        <v>80</v>
      </c>
      <c r="M160" s="79" t="s">
        <v>67</v>
      </c>
      <c r="N160" s="174" t="s">
        <v>1162</v>
      </c>
      <c r="O160" s="24" t="str">
        <f>IF(Q160=" _","NO","SI")</f>
        <v>SI</v>
      </c>
      <c r="P160" s="24" t="str">
        <f ca="1">IF(color_Celda(E160)=12106214,"ROSA",IF(color_Celda(E160)=65535,"AMARILLO",IF(color_Celda(E160)=5296274,"VERDE",IF(color_Celda(E160)=16777215,"BLANCO","NO SE"))))</f>
        <v>ROSA</v>
      </c>
      <c r="Q160" s="79" t="s">
        <v>1162</v>
      </c>
      <c r="R160" s="4" t="str">
        <f>VLOOKUP($Q160,Resultados!$A$1:$B$49,2,FALSE)</f>
        <v>ELEVADA A JUICIO</v>
      </c>
      <c r="S160" s="79"/>
      <c r="T160" s="86"/>
      <c r="U160" s="86"/>
      <c r="V160" s="74"/>
      <c r="W160" s="74"/>
      <c r="X160" s="74"/>
      <c r="Y160" s="64"/>
      <c r="Z160" s="74"/>
      <c r="AA160" s="74"/>
      <c r="AB160" s="74"/>
      <c r="AC160" s="74"/>
      <c r="AD160" s="74"/>
      <c r="AE160" s="140"/>
      <c r="AF160" s="76"/>
      <c r="AG160" s="76"/>
      <c r="AH160" s="76"/>
      <c r="AI160" s="76"/>
      <c r="AJ160" s="122" t="s">
        <v>408</v>
      </c>
      <c r="AK160" s="130"/>
      <c r="AL160" s="139" t="s">
        <v>1628</v>
      </c>
      <c r="AM160" s="431" t="str">
        <f>VLOOKUP($Q160,Resultados!$A$1:$C$49,3,FALSE)</f>
        <v>ELEVADA</v>
      </c>
    </row>
    <row r="161" spans="1:39" customFormat="1" ht="76.5">
      <c r="A161" s="372">
        <v>562</v>
      </c>
      <c r="B161" s="154">
        <v>45327</v>
      </c>
      <c r="C161" s="330" t="s">
        <v>12</v>
      </c>
      <c r="D161" s="79" t="s">
        <v>1473</v>
      </c>
      <c r="E161" s="88" t="s">
        <v>1642</v>
      </c>
      <c r="F161" s="105">
        <v>5</v>
      </c>
      <c r="G161" s="79" t="s">
        <v>325</v>
      </c>
      <c r="H161" s="306">
        <v>45362</v>
      </c>
      <c r="I161" s="154"/>
      <c r="J161" s="154"/>
      <c r="K161" s="105" t="s">
        <v>1480</v>
      </c>
      <c r="L161" s="79" t="s">
        <v>1474</v>
      </c>
      <c r="M161" s="105" t="s">
        <v>1156</v>
      </c>
      <c r="N161" s="174" t="s">
        <v>1859</v>
      </c>
      <c r="O161" s="24" t="str">
        <f>IF(Q161=" _","NO","SI")</f>
        <v>SI</v>
      </c>
      <c r="P161" s="24" t="str">
        <f ca="1">IF(color_Celda(E161)=12106214,"ROSA",IF(color_Celda(E161)=65535,"AMARILLO",IF(color_Celda(E161)=5296274,"VERDE",IF(color_Celda(E161)=16777215,"BLANCO","NO SE"))))</f>
        <v>ROSA</v>
      </c>
      <c r="Q161" s="79" t="s">
        <v>1162</v>
      </c>
      <c r="R161" s="4" t="str">
        <f>VLOOKUP($Q161,Resultados!$A$1:$B$49,2,FALSE)</f>
        <v>ELEVADA A JUICIO</v>
      </c>
      <c r="S161" s="105"/>
      <c r="T161" s="94"/>
      <c r="U161" s="94"/>
      <c r="V161" s="105"/>
      <c r="W161" s="105"/>
      <c r="X161" s="105"/>
      <c r="Y161" s="64"/>
      <c r="Z161" s="105"/>
      <c r="AA161" s="105"/>
      <c r="AB161" s="105"/>
      <c r="AC161" s="105"/>
      <c r="AD161" s="105"/>
      <c r="AE161" s="415"/>
      <c r="AF161" s="410"/>
      <c r="AG161" s="410"/>
      <c r="AH161" s="410"/>
      <c r="AI161" s="410"/>
      <c r="AJ161" s="122" t="s">
        <v>408</v>
      </c>
      <c r="AK161" s="423"/>
      <c r="AL161" s="139" t="s">
        <v>1628</v>
      </c>
      <c r="AM161" s="431" t="str">
        <f>VLOOKUP($Q161,Resultados!$A$1:$C$49,3,FALSE)</f>
        <v>ELEVADA</v>
      </c>
    </row>
    <row r="162" spans="1:39" customFormat="1" ht="63.75">
      <c r="A162" s="372">
        <v>620</v>
      </c>
      <c r="B162" s="163">
        <v>45337</v>
      </c>
      <c r="C162" s="328" t="s">
        <v>217</v>
      </c>
      <c r="D162" s="16" t="s">
        <v>1569</v>
      </c>
      <c r="E162" s="281" t="s">
        <v>1570</v>
      </c>
      <c r="F162" s="165">
        <v>5</v>
      </c>
      <c r="G162" s="16" t="s">
        <v>10</v>
      </c>
      <c r="H162" s="307">
        <v>45362</v>
      </c>
      <c r="I162" s="163"/>
      <c r="J162" s="163"/>
      <c r="K162" s="165" t="str">
        <f>IFERROR(VLOOKUP(J162,Jueces!$A$1:$B$11,2,FALSE),"")</f>
        <v/>
      </c>
      <c r="L162" s="16" t="s">
        <v>79</v>
      </c>
      <c r="M162" s="16" t="s">
        <v>226</v>
      </c>
      <c r="N162" s="230" t="s">
        <v>1162</v>
      </c>
      <c r="O162" s="24" t="str">
        <f>IF(Q162=" _","NO","SI")</f>
        <v>SI</v>
      </c>
      <c r="P162" s="24" t="str">
        <f ca="1">IF(color_Celda(E162)=12106214,"ROSA",IF(color_Celda(E162)=65535,"AMARILLO",IF(color_Celda(E162)=5296274,"VERDE",IF(color_Celda(E162)=16777215,"BLANCO","NO SE"))))</f>
        <v>ROSA</v>
      </c>
      <c r="Q162" s="16" t="s">
        <v>1162</v>
      </c>
      <c r="R162" s="4" t="str">
        <f>VLOOKUP($Q162,Resultados!$A$1:$B$49,2,FALSE)</f>
        <v>ELEVADA A JUICIO</v>
      </c>
      <c r="S162" s="16"/>
      <c r="T162" s="166"/>
      <c r="U162" s="166"/>
      <c r="V162" s="165"/>
      <c r="W162" s="165"/>
      <c r="X162" s="165"/>
      <c r="Y162" s="64"/>
      <c r="Z162" s="165"/>
      <c r="AA162" s="165"/>
      <c r="AB162" s="165"/>
      <c r="AC162" s="165"/>
      <c r="AD162" s="165"/>
      <c r="AE162" s="167"/>
      <c r="AF162" s="168"/>
      <c r="AG162" s="168"/>
      <c r="AH162" s="168"/>
      <c r="AI162" s="168"/>
      <c r="AJ162" s="242" t="s">
        <v>988</v>
      </c>
      <c r="AK162" s="169"/>
      <c r="AL162" s="139" t="s">
        <v>1628</v>
      </c>
      <c r="AM162" s="431" t="str">
        <f>VLOOKUP($Q162,Resultados!$A$1:$C$49,3,FALSE)</f>
        <v>ELEVADA</v>
      </c>
    </row>
    <row r="163" spans="1:39" customFormat="1" ht="114.75">
      <c r="A163" s="372">
        <v>671</v>
      </c>
      <c r="B163" s="163">
        <v>45345</v>
      </c>
      <c r="C163" s="328" t="s">
        <v>1792</v>
      </c>
      <c r="D163" s="16" t="s">
        <v>219</v>
      </c>
      <c r="E163" s="164" t="s">
        <v>1793</v>
      </c>
      <c r="F163" s="165">
        <v>4</v>
      </c>
      <c r="G163" s="165" t="s">
        <v>326</v>
      </c>
      <c r="H163" s="307">
        <v>45362</v>
      </c>
      <c r="I163" s="163"/>
      <c r="J163" s="163"/>
      <c r="K163" s="165" t="str">
        <f>IFERROR(VLOOKUP(J163,Jueces!$A$1:$B$11,2,FALSE),"")</f>
        <v/>
      </c>
      <c r="L163" s="16" t="s">
        <v>87</v>
      </c>
      <c r="M163" s="16" t="s">
        <v>1355</v>
      </c>
      <c r="N163" s="16" t="s">
        <v>2786</v>
      </c>
      <c r="O163" s="24" t="str">
        <f>IF(Q163=" _","NO","SI")</f>
        <v>SI</v>
      </c>
      <c r="P163" s="24" t="str">
        <f ca="1">IF(color_Celda(E163)=12106214,"ROSA",IF(color_Celda(E163)=65535,"AMARILLO",IF(color_Celda(E163)=5296274,"VERDE",IF(color_Celda(E163)=16777215,"BLANCO","NO SE"))))</f>
        <v>ROSA</v>
      </c>
      <c r="Q163" s="16" t="s">
        <v>1162</v>
      </c>
      <c r="R163" s="4" t="str">
        <f>VLOOKUP($Q163,Resultados!$A$1:$B$49,2,FALSE)</f>
        <v>ELEVADA A JUICIO</v>
      </c>
      <c r="S163" s="16"/>
      <c r="T163" s="37"/>
      <c r="U163" s="37"/>
      <c r="V163" s="39"/>
      <c r="W163" s="165"/>
      <c r="X163" s="165"/>
      <c r="Y163" s="64"/>
      <c r="Z163" s="165"/>
      <c r="AA163" s="165"/>
      <c r="AB163" s="165"/>
      <c r="AC163" s="39"/>
      <c r="AD163" s="39"/>
      <c r="AE163" s="144"/>
      <c r="AF163" s="150"/>
      <c r="AG163" s="150"/>
      <c r="AH163" s="150"/>
      <c r="AI163" s="150"/>
      <c r="AJ163" s="242" t="s">
        <v>408</v>
      </c>
      <c r="AK163" s="169"/>
      <c r="AL163" s="139" t="s">
        <v>1628</v>
      </c>
      <c r="AM163" s="431" t="str">
        <f>VLOOKUP($Q163,Resultados!$A$1:$C$49,3,FALSE)</f>
        <v>ELEVADA</v>
      </c>
    </row>
    <row r="164" spans="1:39" customFormat="1" ht="51">
      <c r="A164" s="372">
        <v>691</v>
      </c>
      <c r="B164" s="163">
        <v>45349</v>
      </c>
      <c r="C164" s="328" t="s">
        <v>34</v>
      </c>
      <c r="D164" s="16" t="s">
        <v>1844</v>
      </c>
      <c r="E164" s="164" t="s">
        <v>1845</v>
      </c>
      <c r="F164" s="165">
        <v>7</v>
      </c>
      <c r="G164" s="16" t="s">
        <v>10</v>
      </c>
      <c r="H164" s="307">
        <v>45362</v>
      </c>
      <c r="I164" s="163"/>
      <c r="J164" s="163"/>
      <c r="K164" s="165" t="str">
        <f>IFERROR(VLOOKUP(J164,Jueces!$A$1:$B$11,2,FALSE),"")</f>
        <v/>
      </c>
      <c r="L164" s="16" t="s">
        <v>86</v>
      </c>
      <c r="M164" s="16" t="s">
        <v>322</v>
      </c>
      <c r="N164" s="179" t="s">
        <v>2452</v>
      </c>
      <c r="O164" s="24" t="str">
        <f>IF(Q164=" _","NO","SI")</f>
        <v>SI</v>
      </c>
      <c r="P164" s="24" t="str">
        <f ca="1">IF(color_Celda(E164)=12106214,"ROSA",IF(color_Celda(E164)=65535,"AMARILLO",IF(color_Celda(E164)=5296274,"VERDE",IF(color_Celda(E164)=16777215,"BLANCO","NO SE"))))</f>
        <v>ROSA</v>
      </c>
      <c r="Q164" s="16" t="s">
        <v>1162</v>
      </c>
      <c r="R164" s="4" t="str">
        <f>VLOOKUP($Q164,Resultados!$A$1:$B$49,2,FALSE)</f>
        <v>ELEVADA A JUICIO</v>
      </c>
      <c r="S164" s="16"/>
      <c r="T164" s="166"/>
      <c r="U164" s="166"/>
      <c r="V164" s="165"/>
      <c r="W164" s="165"/>
      <c r="X164" s="165"/>
      <c r="Y164" s="64"/>
      <c r="Z164" s="165"/>
      <c r="AA164" s="165"/>
      <c r="AB164" s="165"/>
      <c r="AC164" s="165"/>
      <c r="AD164" s="165"/>
      <c r="AE164" s="167"/>
      <c r="AF164" s="168"/>
      <c r="AG164" s="168"/>
      <c r="AH164" s="168"/>
      <c r="AI164" s="168"/>
      <c r="AJ164" s="242" t="s">
        <v>408</v>
      </c>
      <c r="AK164" s="169"/>
      <c r="AL164" s="139" t="s">
        <v>1628</v>
      </c>
      <c r="AM164" s="431" t="str">
        <f>VLOOKUP($Q164,Resultados!$A$1:$C$49,3,FALSE)</f>
        <v>ELEVADA</v>
      </c>
    </row>
    <row r="165" spans="1:39" customFormat="1" ht="51">
      <c r="A165" s="372">
        <v>302</v>
      </c>
      <c r="B165" s="85">
        <v>45251</v>
      </c>
      <c r="C165" s="325" t="s">
        <v>385</v>
      </c>
      <c r="D165" s="79" t="s">
        <v>904</v>
      </c>
      <c r="E165" s="88" t="s">
        <v>903</v>
      </c>
      <c r="F165" s="74">
        <v>3</v>
      </c>
      <c r="G165" s="74" t="s">
        <v>325</v>
      </c>
      <c r="H165" s="305">
        <v>45363</v>
      </c>
      <c r="I165" s="85"/>
      <c r="J165" s="85"/>
      <c r="K165" s="74" t="s">
        <v>1480</v>
      </c>
      <c r="L165" s="79" t="s">
        <v>254</v>
      </c>
      <c r="M165" s="79" t="s">
        <v>226</v>
      </c>
      <c r="N165" s="286" t="s">
        <v>2624</v>
      </c>
      <c r="O165" s="24" t="str">
        <f>IF(Q165=" _","NO","SI")</f>
        <v>SI</v>
      </c>
      <c r="P165" s="24" t="str">
        <f ca="1">IF(color_Celda(E165)=12106214,"ROSA",IF(color_Celda(E165)=65535,"AMARILLO",IF(color_Celda(E165)=5296274,"VERDE",IF(color_Celda(E165)=16777215,"BLANCO","NO SE"))))</f>
        <v>ROSA</v>
      </c>
      <c r="Q165" s="79" t="s">
        <v>1162</v>
      </c>
      <c r="R165" s="4" t="str">
        <f>VLOOKUP($Q165,Resultados!$A$1:$B$49,2,FALSE)</f>
        <v>ELEVADA A JUICIO</v>
      </c>
      <c r="S165" s="79"/>
      <c r="T165" s="86"/>
      <c r="U165" s="86"/>
      <c r="V165" s="74"/>
      <c r="W165" s="74"/>
      <c r="X165" s="74"/>
      <c r="Y165" s="64"/>
      <c r="Z165" s="74"/>
      <c r="AA165" s="74"/>
      <c r="AB165" s="74"/>
      <c r="AC165" s="74"/>
      <c r="AD165" s="74"/>
      <c r="AE165" s="140"/>
      <c r="AF165" s="81">
        <v>7</v>
      </c>
      <c r="AG165" s="76"/>
      <c r="AH165" s="76">
        <v>0</v>
      </c>
      <c r="AI165" s="76"/>
      <c r="AJ165" s="122" t="s">
        <v>988</v>
      </c>
      <c r="AK165" s="138"/>
      <c r="AL165" s="139" t="s">
        <v>1628</v>
      </c>
      <c r="AM165" s="431" t="str">
        <f>VLOOKUP($Q165,Resultados!$A$1:$C$49,3,FALSE)</f>
        <v>ELEVADA</v>
      </c>
    </row>
    <row r="166" spans="1:39" customFormat="1" ht="51">
      <c r="A166" s="372">
        <v>346</v>
      </c>
      <c r="B166" s="85">
        <v>45258</v>
      </c>
      <c r="C166" s="325" t="s">
        <v>899</v>
      </c>
      <c r="D166" s="79" t="s">
        <v>997</v>
      </c>
      <c r="E166" s="88" t="s">
        <v>998</v>
      </c>
      <c r="F166" s="74">
        <v>2</v>
      </c>
      <c r="G166" s="74" t="s">
        <v>325</v>
      </c>
      <c r="H166" s="305">
        <v>45363</v>
      </c>
      <c r="I166" s="85"/>
      <c r="J166" s="85"/>
      <c r="K166" s="74" t="s">
        <v>1480</v>
      </c>
      <c r="L166" s="79" t="s">
        <v>74</v>
      </c>
      <c r="M166" s="79"/>
      <c r="N166" s="74" t="s">
        <v>1162</v>
      </c>
      <c r="O166" s="24" t="str">
        <f>IF(Q166=" _","NO","SI")</f>
        <v>SI</v>
      </c>
      <c r="P166" s="24" t="str">
        <f ca="1">IF(color_Celda(E166)=12106214,"ROSA",IF(color_Celda(E166)=65535,"AMARILLO",IF(color_Celda(E166)=5296274,"VERDE",IF(color_Celda(E166)=16777215,"BLANCO","NO SE"))))</f>
        <v>ROSA</v>
      </c>
      <c r="Q166" s="79" t="s">
        <v>1162</v>
      </c>
      <c r="R166" s="4" t="str">
        <f>VLOOKUP($Q166,Resultados!$A$1:$B$49,2,FALSE)</f>
        <v>ELEVADA A JUICIO</v>
      </c>
      <c r="S166" s="79"/>
      <c r="T166" s="86"/>
      <c r="U166" s="86"/>
      <c r="V166" s="74"/>
      <c r="W166" s="74"/>
      <c r="X166" s="74"/>
      <c r="Y166" s="64"/>
      <c r="Z166" s="74"/>
      <c r="AA166" s="74"/>
      <c r="AB166" s="74"/>
      <c r="AC166" s="74"/>
      <c r="AD166" s="74"/>
      <c r="AE166" s="140"/>
      <c r="AF166" s="76">
        <v>7</v>
      </c>
      <c r="AG166" s="76"/>
      <c r="AH166" s="76">
        <v>0</v>
      </c>
      <c r="AI166" s="76"/>
      <c r="AJ166" s="122" t="s">
        <v>988</v>
      </c>
      <c r="AK166" s="138"/>
      <c r="AL166" s="139" t="s">
        <v>1628</v>
      </c>
      <c r="AM166" s="431" t="str">
        <f>VLOOKUP($Q166,Resultados!$A$1:$C$49,3,FALSE)</f>
        <v>ELEVADA</v>
      </c>
    </row>
    <row r="167" spans="1:39" customFormat="1" ht="114.75">
      <c r="A167" s="372">
        <v>542</v>
      </c>
      <c r="B167" s="85">
        <v>45300</v>
      </c>
      <c r="C167" s="325" t="s">
        <v>1120</v>
      </c>
      <c r="D167" s="79" t="s">
        <v>1450</v>
      </c>
      <c r="E167" s="84" t="s">
        <v>1451</v>
      </c>
      <c r="F167" s="74">
        <v>1</v>
      </c>
      <c r="G167" s="74" t="s">
        <v>325</v>
      </c>
      <c r="H167" s="305">
        <v>45363</v>
      </c>
      <c r="I167" s="85"/>
      <c r="J167" s="85"/>
      <c r="K167" s="74" t="s">
        <v>1480</v>
      </c>
      <c r="L167" s="79" t="s">
        <v>87</v>
      </c>
      <c r="M167" s="79" t="s">
        <v>59</v>
      </c>
      <c r="N167" s="174" t="s">
        <v>1162</v>
      </c>
      <c r="O167" s="24" t="str">
        <f>IF(Q167=" _","NO","SI")</f>
        <v>SI</v>
      </c>
      <c r="P167" s="24" t="str">
        <f ca="1">IF(color_Celda(E167)=12106214,"ROSA",IF(color_Celda(E167)=65535,"AMARILLO",IF(color_Celda(E167)=5296274,"VERDE",IF(color_Celda(E167)=16777215,"BLANCO","NO SE"))))</f>
        <v>ROSA</v>
      </c>
      <c r="Q167" s="79" t="s">
        <v>1162</v>
      </c>
      <c r="R167" s="4" t="str">
        <f>VLOOKUP($Q167,Resultados!$A$1:$B$49,2,FALSE)</f>
        <v>ELEVADA A JUICIO</v>
      </c>
      <c r="S167" s="79"/>
      <c r="T167" s="86"/>
      <c r="U167" s="86"/>
      <c r="V167" s="74"/>
      <c r="W167" s="74"/>
      <c r="X167" s="74"/>
      <c r="Y167" s="64"/>
      <c r="Z167" s="74"/>
      <c r="AA167" s="74"/>
      <c r="AB167" s="74"/>
      <c r="AC167" s="74"/>
      <c r="AD167" s="74"/>
      <c r="AE167" s="140"/>
      <c r="AF167" s="76"/>
      <c r="AG167" s="76"/>
      <c r="AH167" s="76"/>
      <c r="AI167" s="76"/>
      <c r="AJ167" s="122" t="s">
        <v>408</v>
      </c>
      <c r="AK167" s="130"/>
      <c r="AL167" s="139" t="s">
        <v>1628</v>
      </c>
      <c r="AM167" s="431" t="str">
        <f>VLOOKUP($Q167,Resultados!$A$1:$C$49,3,FALSE)</f>
        <v>ELEVADA</v>
      </c>
    </row>
    <row r="168" spans="1:39" customFormat="1" ht="76.5">
      <c r="A168" s="372">
        <v>68</v>
      </c>
      <c r="B168" s="85">
        <v>45230</v>
      </c>
      <c r="C168" s="326" t="s">
        <v>12</v>
      </c>
      <c r="D168" s="79" t="s">
        <v>502</v>
      </c>
      <c r="E168" s="88" t="s">
        <v>503</v>
      </c>
      <c r="F168" s="74">
        <v>2</v>
      </c>
      <c r="G168" s="74" t="s">
        <v>325</v>
      </c>
      <c r="H168" s="305">
        <v>45364</v>
      </c>
      <c r="I168" s="85"/>
      <c r="J168" s="85"/>
      <c r="K168" s="74" t="s">
        <v>1480</v>
      </c>
      <c r="L168" s="79" t="s">
        <v>79</v>
      </c>
      <c r="M168" s="79" t="s">
        <v>62</v>
      </c>
      <c r="N168" s="79" t="s">
        <v>2430</v>
      </c>
      <c r="O168" s="24" t="str">
        <f>IF(Q168=" _","NO","SI")</f>
        <v>SI</v>
      </c>
      <c r="P168" s="24" t="str">
        <f ca="1">IF(color_Celda(E168)=12106214,"ROSA",IF(color_Celda(E168)=65535,"AMARILLO",IF(color_Celda(E168)=5296274,"VERDE",IF(color_Celda(E168)=16777215,"BLANCO","NO SE"))))</f>
        <v>ROSA</v>
      </c>
      <c r="Q168" s="79" t="s">
        <v>1162</v>
      </c>
      <c r="R168" s="4" t="str">
        <f>VLOOKUP($Q168,Resultados!$A$1:$B$49,2,FALSE)</f>
        <v>ELEVADA A JUICIO</v>
      </c>
      <c r="S168" s="79"/>
      <c r="T168" s="73"/>
      <c r="U168" s="73"/>
      <c r="V168" s="68"/>
      <c r="W168" s="74"/>
      <c r="X168" s="74"/>
      <c r="Y168" s="64"/>
      <c r="Z168" s="74"/>
      <c r="AA168" s="74"/>
      <c r="AB168" s="74"/>
      <c r="AC168" s="68"/>
      <c r="AD168" s="68"/>
      <c r="AE168" s="142"/>
      <c r="AF168" s="145">
        <v>7</v>
      </c>
      <c r="AG168" s="146"/>
      <c r="AH168" s="146">
        <v>0</v>
      </c>
      <c r="AI168" s="146"/>
      <c r="AJ168" s="122" t="s">
        <v>988</v>
      </c>
      <c r="AK168" s="153"/>
      <c r="AL168" s="139" t="s">
        <v>1628</v>
      </c>
      <c r="AM168" s="431" t="str">
        <f>VLOOKUP($Q168,Resultados!$A$1:$C$49,3,FALSE)</f>
        <v>ELEVADA</v>
      </c>
    </row>
    <row r="169" spans="1:39" customFormat="1" ht="63.75">
      <c r="A169" s="372">
        <v>286</v>
      </c>
      <c r="B169" s="163">
        <v>45245</v>
      </c>
      <c r="C169" s="327" t="s">
        <v>12</v>
      </c>
      <c r="D169" s="16" t="s">
        <v>2625</v>
      </c>
      <c r="E169" s="281" t="s">
        <v>2644</v>
      </c>
      <c r="F169" s="165">
        <v>4</v>
      </c>
      <c r="G169" s="165" t="s">
        <v>325</v>
      </c>
      <c r="H169" s="307">
        <v>45364</v>
      </c>
      <c r="I169" s="163"/>
      <c r="J169" s="163"/>
      <c r="K169" s="165" t="s">
        <v>1480</v>
      </c>
      <c r="L169" s="79" t="s">
        <v>78</v>
      </c>
      <c r="M169" s="79" t="s">
        <v>47</v>
      </c>
      <c r="N169" s="16" t="s">
        <v>2425</v>
      </c>
      <c r="O169" s="24" t="str">
        <f>IF(Q169=" _","NO","SI")</f>
        <v>SI</v>
      </c>
      <c r="P169" s="24" t="str">
        <f ca="1">IF(color_Celda(E169)=12106214,"ROSA",IF(color_Celda(E169)=65535,"AMARILLO",IF(color_Celda(E169)=5296274,"VERDE",IF(color_Celda(E169)=16777215,"BLANCO","NO SE"))))</f>
        <v>ROSA</v>
      </c>
      <c r="Q169" s="16" t="s">
        <v>1162</v>
      </c>
      <c r="R169" s="4" t="str">
        <f>VLOOKUP($Q169,Resultados!$A$1:$B$49,2,FALSE)</f>
        <v>ELEVADA A JUICIO</v>
      </c>
      <c r="S169" s="16"/>
      <c r="T169" s="86"/>
      <c r="U169" s="166"/>
      <c r="V169" s="165"/>
      <c r="W169" s="165"/>
      <c r="X169" s="165"/>
      <c r="Y169" s="64"/>
      <c r="Z169" s="165"/>
      <c r="AA169" s="165"/>
      <c r="AB169" s="165"/>
      <c r="AC169" s="165"/>
      <c r="AD169" s="165"/>
      <c r="AE169" s="167"/>
      <c r="AF169" s="168"/>
      <c r="AG169" s="168"/>
      <c r="AH169" s="168"/>
      <c r="AI169" s="168"/>
      <c r="AJ169" s="122" t="s">
        <v>988</v>
      </c>
      <c r="AK169" s="169"/>
      <c r="AL169" s="139" t="s">
        <v>1628</v>
      </c>
      <c r="AM169" s="431" t="str">
        <f>VLOOKUP($Q169,Resultados!$A$1:$C$49,3,FALSE)</f>
        <v>ELEVADA</v>
      </c>
    </row>
    <row r="170" spans="1:39" customFormat="1" ht="76.5">
      <c r="A170" s="372">
        <v>298</v>
      </c>
      <c r="B170" s="163">
        <v>45246</v>
      </c>
      <c r="C170" s="328" t="s">
        <v>179</v>
      </c>
      <c r="D170" s="16" t="s">
        <v>2381</v>
      </c>
      <c r="E170" s="281" t="s">
        <v>2382</v>
      </c>
      <c r="F170" s="165">
        <v>2</v>
      </c>
      <c r="G170" s="16" t="s">
        <v>325</v>
      </c>
      <c r="H170" s="308">
        <v>45364</v>
      </c>
      <c r="I170" s="163"/>
      <c r="J170" s="163"/>
      <c r="K170" s="165" t="str">
        <f>IFERROR(VLOOKUP(J170,Jueces!$A$1:$B$11,2,FALSE),"")</f>
        <v/>
      </c>
      <c r="L170" s="16" t="s">
        <v>77</v>
      </c>
      <c r="M170" s="16" t="s">
        <v>46</v>
      </c>
      <c r="N170" s="16" t="s">
        <v>2425</v>
      </c>
      <c r="O170" s="24" t="str">
        <f>IF(Q170=" _","NO","SI")</f>
        <v>SI</v>
      </c>
      <c r="P170" s="24" t="str">
        <f ca="1">IF(color_Celda(E170)=12106214,"ROSA",IF(color_Celda(E170)=65535,"AMARILLO",IF(color_Celda(E170)=5296274,"VERDE",IF(color_Celda(E170)=16777215,"BLANCO","NO SE"))))</f>
        <v>ROSA</v>
      </c>
      <c r="Q170" s="16" t="s">
        <v>1162</v>
      </c>
      <c r="R170" s="4" t="str">
        <f>VLOOKUP($Q170,Resultados!$A$1:$B$49,2,FALSE)</f>
        <v>ELEVADA A JUICIO</v>
      </c>
      <c r="S170" s="16"/>
      <c r="T170" s="166"/>
      <c r="U170" s="166"/>
      <c r="V170" s="165"/>
      <c r="W170" s="165"/>
      <c r="X170" s="165"/>
      <c r="Y170" s="64"/>
      <c r="Z170" s="165"/>
      <c r="AA170" s="165"/>
      <c r="AB170" s="165"/>
      <c r="AC170" s="165"/>
      <c r="AD170" s="165"/>
      <c r="AE170" s="167"/>
      <c r="AF170" s="168"/>
      <c r="AG170" s="168"/>
      <c r="AH170" s="168"/>
      <c r="AI170" s="168"/>
      <c r="AJ170" s="242" t="s">
        <v>988</v>
      </c>
      <c r="AK170" s="169"/>
      <c r="AL170" s="139" t="s">
        <v>1628</v>
      </c>
      <c r="AM170" s="431" t="str">
        <f>VLOOKUP($Q170,Resultados!$A$1:$C$49,3,FALSE)</f>
        <v>ELEVADA</v>
      </c>
    </row>
    <row r="171" spans="1:39" customFormat="1" ht="38.25">
      <c r="A171" s="372">
        <v>547</v>
      </c>
      <c r="B171" s="85">
        <v>45306</v>
      </c>
      <c r="C171" s="325" t="s">
        <v>34</v>
      </c>
      <c r="D171" s="79" t="s">
        <v>1435</v>
      </c>
      <c r="E171" s="84" t="s">
        <v>1437</v>
      </c>
      <c r="F171" s="74">
        <v>1</v>
      </c>
      <c r="G171" s="74" t="s">
        <v>326</v>
      </c>
      <c r="H171" s="305">
        <v>45364</v>
      </c>
      <c r="I171" s="85"/>
      <c r="J171" s="85"/>
      <c r="K171" s="74" t="s">
        <v>1480</v>
      </c>
      <c r="L171" s="79" t="s">
        <v>254</v>
      </c>
      <c r="M171" s="79" t="s">
        <v>1436</v>
      </c>
      <c r="N171" s="178" t="s">
        <v>2729</v>
      </c>
      <c r="O171" s="24" t="str">
        <f>IF(Q171=" _","NO","SI")</f>
        <v>SI</v>
      </c>
      <c r="P171" s="24" t="str">
        <f ca="1">IF(color_Celda(E171)=12106214,"ROSA",IF(color_Celda(E171)=65535,"AMARILLO",IF(color_Celda(E171)=5296274,"VERDE",IF(color_Celda(E171)=16777215,"BLANCO","NO SE"))))</f>
        <v>ROSA</v>
      </c>
      <c r="Q171" s="79" t="s">
        <v>1162</v>
      </c>
      <c r="R171" s="4" t="str">
        <f>VLOOKUP($Q171,Resultados!$A$1:$B$49,2,FALSE)</f>
        <v>ELEVADA A JUICIO</v>
      </c>
      <c r="S171" s="79"/>
      <c r="T171" s="73"/>
      <c r="U171" s="73"/>
      <c r="V171" s="68"/>
      <c r="W171" s="74"/>
      <c r="X171" s="74"/>
      <c r="Y171" s="64"/>
      <c r="Z171" s="74"/>
      <c r="AA171" s="74"/>
      <c r="AB171" s="74"/>
      <c r="AC171" s="68"/>
      <c r="AD171" s="68"/>
      <c r="AE171" s="142"/>
      <c r="AF171" s="146"/>
      <c r="AG171" s="146"/>
      <c r="AH171" s="146"/>
      <c r="AI171" s="146"/>
      <c r="AJ171" s="122" t="s">
        <v>408</v>
      </c>
      <c r="AK171" s="130"/>
      <c r="AL171" s="139" t="s">
        <v>1628</v>
      </c>
      <c r="AM171" s="431" t="str">
        <f>VLOOKUP($Q171,Resultados!$A$1:$C$49,3,FALSE)</f>
        <v>ELEVADA</v>
      </c>
    </row>
    <row r="172" spans="1:39" customFormat="1" ht="63.75">
      <c r="A172" s="372">
        <v>623</v>
      </c>
      <c r="B172" s="163">
        <v>45337</v>
      </c>
      <c r="C172" s="328" t="s">
        <v>1608</v>
      </c>
      <c r="D172" s="16" t="s">
        <v>1609</v>
      </c>
      <c r="E172" s="164" t="s">
        <v>1797</v>
      </c>
      <c r="F172" s="165">
        <v>3</v>
      </c>
      <c r="G172" s="165" t="s">
        <v>10</v>
      </c>
      <c r="H172" s="307">
        <v>45364</v>
      </c>
      <c r="I172" s="163"/>
      <c r="J172" s="163"/>
      <c r="K172" s="165" t="str">
        <f>IFERROR(VLOOKUP(J172,Jueces!$A$1:$B$11,2,FALSE),"")</f>
        <v/>
      </c>
      <c r="L172" s="16" t="s">
        <v>250</v>
      </c>
      <c r="M172" s="16" t="s">
        <v>45</v>
      </c>
      <c r="N172" s="16" t="s">
        <v>2782</v>
      </c>
      <c r="O172" s="24" t="str">
        <f>IF(Q172=" _","NO","SI")</f>
        <v>SI</v>
      </c>
      <c r="P172" s="24" t="str">
        <f ca="1">IF(color_Celda(E172)=12106214,"ROSA",IF(color_Celda(E172)=65535,"AMARILLO",IF(color_Celda(E172)=5296274,"VERDE",IF(color_Celda(E172)=16777215,"BLANCO","NO SE"))))</f>
        <v>ROSA</v>
      </c>
      <c r="Q172" s="16" t="s">
        <v>1162</v>
      </c>
      <c r="R172" s="4" t="str">
        <f>VLOOKUP($Q172,Resultados!$A$1:$B$49,2,FALSE)</f>
        <v>ELEVADA A JUICIO</v>
      </c>
      <c r="S172" s="16"/>
      <c r="T172" s="166"/>
      <c r="U172" s="166"/>
      <c r="V172" s="165"/>
      <c r="W172" s="165"/>
      <c r="X172" s="165"/>
      <c r="Y172" s="64"/>
      <c r="Z172" s="165"/>
      <c r="AA172" s="165"/>
      <c r="AB172" s="165"/>
      <c r="AC172" s="165"/>
      <c r="AD172" s="165"/>
      <c r="AE172" s="167"/>
      <c r="AF172" s="168"/>
      <c r="AG172" s="168"/>
      <c r="AH172" s="168"/>
      <c r="AI172" s="168"/>
      <c r="AJ172" s="242" t="s">
        <v>408</v>
      </c>
      <c r="AK172" s="169"/>
      <c r="AL172" s="139" t="s">
        <v>1628</v>
      </c>
      <c r="AM172" s="431" t="str">
        <f>VLOOKUP($Q172,Resultados!$A$1:$C$49,3,FALSE)</f>
        <v>ELEVADA</v>
      </c>
    </row>
    <row r="173" spans="1:39" customFormat="1" ht="76.5">
      <c r="A173" s="372">
        <v>733</v>
      </c>
      <c r="B173" s="163">
        <v>45355</v>
      </c>
      <c r="C173" s="328" t="s">
        <v>721</v>
      </c>
      <c r="D173" s="16" t="s">
        <v>2039</v>
      </c>
      <c r="E173" s="164" t="s">
        <v>2040</v>
      </c>
      <c r="F173" s="165">
        <v>3</v>
      </c>
      <c r="G173" s="165" t="s">
        <v>10</v>
      </c>
      <c r="H173" s="307">
        <v>45364</v>
      </c>
      <c r="I173" s="163"/>
      <c r="J173" s="163"/>
      <c r="K173" s="165" t="str">
        <f>IFERROR(VLOOKUP(J173,Jueces!$A$1:$B$11,2,FALSE),"")</f>
        <v/>
      </c>
      <c r="L173" s="16" t="s">
        <v>72</v>
      </c>
      <c r="M173" s="16" t="s">
        <v>46</v>
      </c>
      <c r="N173" s="16" t="s">
        <v>2941</v>
      </c>
      <c r="O173" s="24" t="str">
        <f>IF(Q173=" _","NO","SI")</f>
        <v>SI</v>
      </c>
      <c r="P173" s="24" t="str">
        <f ca="1">IF(color_Celda(E173)=12106214,"ROSA",IF(color_Celda(E173)=65535,"AMARILLO",IF(color_Celda(E173)=5296274,"VERDE",IF(color_Celda(E173)=16777215,"BLANCO","NO SE"))))</f>
        <v>ROSA</v>
      </c>
      <c r="Q173" s="16" t="s">
        <v>1324</v>
      </c>
      <c r="R173" s="4" t="s">
        <v>1325</v>
      </c>
      <c r="S173" s="16"/>
      <c r="T173" s="37"/>
      <c r="U173" s="37"/>
      <c r="V173" s="39"/>
      <c r="W173" s="165"/>
      <c r="X173" s="165"/>
      <c r="Y173" s="64"/>
      <c r="Z173" s="165"/>
      <c r="AA173" s="165"/>
      <c r="AB173" s="165"/>
      <c r="AC173" s="39"/>
      <c r="AD173" s="39"/>
      <c r="AE173" s="144"/>
      <c r="AF173" s="150"/>
      <c r="AG173" s="150"/>
      <c r="AH173" s="150"/>
      <c r="AI173" s="150"/>
      <c r="AJ173" s="242" t="s">
        <v>408</v>
      </c>
      <c r="AK173" s="169"/>
      <c r="AL173" s="139" t="s">
        <v>1628</v>
      </c>
      <c r="AM173" s="431" t="str">
        <f>VLOOKUP($Q173,Resultados!$A$1:$C$49,3,FALSE)</f>
        <v>RESUELTA</v>
      </c>
    </row>
    <row r="174" spans="1:39" customFormat="1" ht="25.5">
      <c r="A174" s="372">
        <v>324</v>
      </c>
      <c r="B174" s="85">
        <v>45253</v>
      </c>
      <c r="C174" s="325" t="s">
        <v>955</v>
      </c>
      <c r="D174" s="79" t="s">
        <v>956</v>
      </c>
      <c r="E174" s="88" t="s">
        <v>957</v>
      </c>
      <c r="F174" s="74">
        <v>2</v>
      </c>
      <c r="G174" s="74" t="s">
        <v>325</v>
      </c>
      <c r="H174" s="305">
        <v>45365</v>
      </c>
      <c r="I174" s="85"/>
      <c r="J174" s="85"/>
      <c r="K174" s="74" t="s">
        <v>1480</v>
      </c>
      <c r="L174" s="79" t="s">
        <v>86</v>
      </c>
      <c r="M174" s="79"/>
      <c r="N174" s="74" t="s">
        <v>2425</v>
      </c>
      <c r="O174" s="24" t="str">
        <f>IF(Q174=" _","NO","SI")</f>
        <v>SI</v>
      </c>
      <c r="P174" s="24" t="str">
        <f ca="1">IF(color_Celda(E174)=12106214,"ROSA",IF(color_Celda(E174)=65535,"AMARILLO",IF(color_Celda(E174)=5296274,"VERDE",IF(color_Celda(E174)=16777215,"BLANCO","NO SE"))))</f>
        <v>ROSA</v>
      </c>
      <c r="Q174" s="79" t="s">
        <v>1162</v>
      </c>
      <c r="R174" s="4" t="str">
        <f>VLOOKUP($Q174,Resultados!$A$1:$B$49,2,FALSE)</f>
        <v>ELEVADA A JUICIO</v>
      </c>
      <c r="S174" s="79"/>
      <c r="T174" s="86"/>
      <c r="U174" s="86"/>
      <c r="V174" s="74"/>
      <c r="W174" s="74"/>
      <c r="X174" s="74"/>
      <c r="Y174" s="64"/>
      <c r="Z174" s="74"/>
      <c r="AA174" s="74"/>
      <c r="AB174" s="74"/>
      <c r="AC174" s="74"/>
      <c r="AD174" s="74"/>
      <c r="AE174" s="140"/>
      <c r="AF174" s="81">
        <v>7</v>
      </c>
      <c r="AG174" s="76"/>
      <c r="AH174" s="76">
        <v>0</v>
      </c>
      <c r="AI174" s="76"/>
      <c r="AJ174" s="122" t="s">
        <v>988</v>
      </c>
      <c r="AK174" s="138"/>
      <c r="AL174" s="139" t="s">
        <v>1628</v>
      </c>
      <c r="AM174" s="431" t="str">
        <f>VLOOKUP($Q174,Resultados!$A$1:$C$49,3,FALSE)</f>
        <v>ELEVADA</v>
      </c>
    </row>
    <row r="175" spans="1:39" customFormat="1" ht="38.25">
      <c r="A175" s="372">
        <v>556</v>
      </c>
      <c r="B175" s="85">
        <v>45323</v>
      </c>
      <c r="C175" s="325" t="s">
        <v>923</v>
      </c>
      <c r="D175" s="79" t="s">
        <v>1455</v>
      </c>
      <c r="E175" s="84" t="s">
        <v>1456</v>
      </c>
      <c r="F175" s="74">
        <v>4</v>
      </c>
      <c r="G175" s="74" t="s">
        <v>326</v>
      </c>
      <c r="H175" s="305">
        <v>45365</v>
      </c>
      <c r="I175" s="85"/>
      <c r="J175" s="85"/>
      <c r="K175" s="74" t="s">
        <v>1480</v>
      </c>
      <c r="L175" s="79" t="s">
        <v>83</v>
      </c>
      <c r="M175" s="79" t="s">
        <v>1238</v>
      </c>
      <c r="N175" s="79" t="s">
        <v>2683</v>
      </c>
      <c r="O175" s="24" t="str">
        <f>IF(Q175=" _","NO","SI")</f>
        <v>SI</v>
      </c>
      <c r="P175" s="24" t="str">
        <f ca="1">IF(color_Celda(E175)=12106214,"ROSA",IF(color_Celda(E175)=65535,"AMARILLO",IF(color_Celda(E175)=5296274,"VERDE",IF(color_Celda(E175)=16777215,"BLANCO","NO SE"))))</f>
        <v>ROSA</v>
      </c>
      <c r="Q175" s="79" t="s">
        <v>1162</v>
      </c>
      <c r="R175" s="4" t="str">
        <f>VLOOKUP($Q175,Resultados!$A$1:$B$49,2,FALSE)</f>
        <v>ELEVADA A JUICIO</v>
      </c>
      <c r="S175" s="79"/>
      <c r="T175" s="86"/>
      <c r="U175" s="86"/>
      <c r="V175" s="74"/>
      <c r="W175" s="74"/>
      <c r="X175" s="74"/>
      <c r="Y175" s="64"/>
      <c r="Z175" s="74"/>
      <c r="AA175" s="74"/>
      <c r="AB175" s="74"/>
      <c r="AC175" s="74"/>
      <c r="AD175" s="74"/>
      <c r="AE175" s="140"/>
      <c r="AF175" s="76"/>
      <c r="AG175" s="76"/>
      <c r="AH175" s="76"/>
      <c r="AI175" s="76"/>
      <c r="AJ175" s="122" t="s">
        <v>408</v>
      </c>
      <c r="AK175" s="130"/>
      <c r="AL175" s="139" t="s">
        <v>1628</v>
      </c>
      <c r="AM175" s="431" t="str">
        <f>VLOOKUP($Q175,Resultados!$A$1:$C$49,3,FALSE)</f>
        <v>ELEVADA</v>
      </c>
    </row>
    <row r="176" spans="1:39" customFormat="1" ht="38.25">
      <c r="A176" s="372">
        <v>704</v>
      </c>
      <c r="B176" s="163">
        <v>45350</v>
      </c>
      <c r="C176" s="328" t="s">
        <v>1120</v>
      </c>
      <c r="D176" s="16" t="s">
        <v>1888</v>
      </c>
      <c r="E176" s="164" t="s">
        <v>1889</v>
      </c>
      <c r="F176" s="165">
        <v>7</v>
      </c>
      <c r="G176" s="16" t="s">
        <v>10</v>
      </c>
      <c r="H176" s="307">
        <v>45365</v>
      </c>
      <c r="I176" s="163"/>
      <c r="J176" s="163"/>
      <c r="K176" s="165" t="str">
        <f>IFERROR(VLOOKUP(J176,Jueces!$A$1:$B$11,2,FALSE),"")</f>
        <v/>
      </c>
      <c r="L176" s="16" t="s">
        <v>86</v>
      </c>
      <c r="M176" s="16" t="s">
        <v>90</v>
      </c>
      <c r="N176" s="179" t="s">
        <v>2788</v>
      </c>
      <c r="O176" s="24" t="str">
        <f>IF(Q176=" _","NO","SI")</f>
        <v>SI</v>
      </c>
      <c r="P176" s="24" t="str">
        <f ca="1">IF(color_Celda(E176)=12106214,"ROSA",IF(color_Celda(E176)=65535,"AMARILLO",IF(color_Celda(E176)=5296274,"VERDE",IF(color_Celda(E176)=16777215,"BLANCO","NO SE"))))</f>
        <v>ROSA</v>
      </c>
      <c r="Q176" s="16" t="s">
        <v>1162</v>
      </c>
      <c r="R176" s="4" t="s">
        <v>1162</v>
      </c>
      <c r="S176" s="16"/>
      <c r="T176" s="37"/>
      <c r="U176" s="37"/>
      <c r="V176" s="39"/>
      <c r="W176" s="165"/>
      <c r="X176" s="165"/>
      <c r="Y176" s="64"/>
      <c r="Z176" s="165"/>
      <c r="AA176" s="165"/>
      <c r="AB176" s="165"/>
      <c r="AC176" s="39"/>
      <c r="AD176" s="39"/>
      <c r="AE176" s="144"/>
      <c r="AF176" s="150"/>
      <c r="AG176" s="150"/>
      <c r="AH176" s="150"/>
      <c r="AI176" s="150"/>
      <c r="AJ176" s="242" t="s">
        <v>408</v>
      </c>
      <c r="AK176" s="169"/>
      <c r="AL176" s="139" t="s">
        <v>1628</v>
      </c>
      <c r="AM176" s="431" t="str">
        <f>VLOOKUP($Q176,Resultados!$A$1:$C$49,3,FALSE)</f>
        <v>ELEVADA</v>
      </c>
    </row>
    <row r="177" spans="1:39" customFormat="1" ht="76.5">
      <c r="A177" s="372">
        <v>531</v>
      </c>
      <c r="B177" s="85">
        <v>45289</v>
      </c>
      <c r="C177" s="325" t="s">
        <v>12</v>
      </c>
      <c r="D177" s="79" t="s">
        <v>3028</v>
      </c>
      <c r="E177" s="84" t="s">
        <v>1420</v>
      </c>
      <c r="F177" s="74">
        <v>5</v>
      </c>
      <c r="G177" s="74" t="s">
        <v>325</v>
      </c>
      <c r="H177" s="305">
        <v>45366</v>
      </c>
      <c r="I177" s="85"/>
      <c r="J177" s="85"/>
      <c r="K177" s="74" t="s">
        <v>1480</v>
      </c>
      <c r="L177" s="79" t="s">
        <v>86</v>
      </c>
      <c r="M177" s="79" t="s">
        <v>260</v>
      </c>
      <c r="N177" s="174" t="s">
        <v>1856</v>
      </c>
      <c r="O177" s="24" t="str">
        <f>IF(Q177=" _","NO","SI")</f>
        <v>SI</v>
      </c>
      <c r="P177" s="24" t="str">
        <f ca="1">IF(color_Celda(E177)=12106214,"ROSA",IF(color_Celda(E177)=65535,"AMARILLO",IF(color_Celda(E177)=5296274,"VERDE",IF(color_Celda(E177)=16777215,"BLANCO","NO SE"))))</f>
        <v>ROSA</v>
      </c>
      <c r="Q177" s="79" t="s">
        <v>1162</v>
      </c>
      <c r="R177" s="4" t="str">
        <f>VLOOKUP($Q177,Resultados!$A$1:$B$49,2,FALSE)</f>
        <v>ELEVADA A JUICIO</v>
      </c>
      <c r="S177" s="79"/>
      <c r="T177" s="86"/>
      <c r="U177" s="86"/>
      <c r="V177" s="74"/>
      <c r="W177" s="74"/>
      <c r="X177" s="74"/>
      <c r="Y177" s="64"/>
      <c r="Z177" s="74"/>
      <c r="AA177" s="74"/>
      <c r="AB177" s="74"/>
      <c r="AC177" s="74"/>
      <c r="AD177" s="74"/>
      <c r="AE177" s="140"/>
      <c r="AF177" s="76"/>
      <c r="AG177" s="76"/>
      <c r="AH177" s="76"/>
      <c r="AI177" s="76"/>
      <c r="AJ177" s="122" t="s">
        <v>408</v>
      </c>
      <c r="AK177" s="130"/>
      <c r="AL177" s="139" t="s">
        <v>1628</v>
      </c>
      <c r="AM177" s="431" t="str">
        <f>VLOOKUP($Q177,Resultados!$A$1:$C$49,3,FALSE)</f>
        <v>ELEVADA</v>
      </c>
    </row>
    <row r="178" spans="1:39" customFormat="1" ht="51">
      <c r="A178" s="372">
        <v>641</v>
      </c>
      <c r="B178" s="163">
        <v>45341</v>
      </c>
      <c r="C178" s="328" t="s">
        <v>1652</v>
      </c>
      <c r="D178" s="16" t="s">
        <v>1653</v>
      </c>
      <c r="E178" s="164" t="s">
        <v>1700</v>
      </c>
      <c r="F178" s="165">
        <v>3</v>
      </c>
      <c r="G178" s="165" t="s">
        <v>10</v>
      </c>
      <c r="H178" s="307">
        <v>45366</v>
      </c>
      <c r="I178" s="163"/>
      <c r="J178" s="163"/>
      <c r="K178" s="165" t="str">
        <f>IFERROR(VLOOKUP(J178,Jueces!$A$1:$B$11,2,FALSE),"")</f>
        <v/>
      </c>
      <c r="L178" s="16" t="s">
        <v>42</v>
      </c>
      <c r="M178" s="16" t="s">
        <v>61</v>
      </c>
      <c r="N178" s="16" t="s">
        <v>2780</v>
      </c>
      <c r="O178" s="24" t="str">
        <f>IF(Q178=" _","NO","SI")</f>
        <v>SI</v>
      </c>
      <c r="P178" s="24" t="str">
        <f ca="1">IF(color_Celda(E178)=12106214,"ROSA",IF(color_Celda(E178)=65535,"AMARILLO",IF(color_Celda(E178)=5296274,"VERDE",IF(color_Celda(E178)=16777215,"BLANCO","NO SE"))))</f>
        <v>ROSA</v>
      </c>
      <c r="Q178" s="16" t="s">
        <v>1162</v>
      </c>
      <c r="R178" s="4" t="str">
        <f>VLOOKUP($Q178,Resultados!$A$1:$B$49,2,FALSE)</f>
        <v>ELEVADA A JUICIO</v>
      </c>
      <c r="S178" s="16"/>
      <c r="T178" s="37"/>
      <c r="U178" s="37"/>
      <c r="V178" s="39"/>
      <c r="W178" s="165"/>
      <c r="X178" s="165"/>
      <c r="Y178" s="64"/>
      <c r="Z178" s="165"/>
      <c r="AA178" s="165"/>
      <c r="AB178" s="165"/>
      <c r="AC178" s="39"/>
      <c r="AD178" s="39"/>
      <c r="AE178" s="144"/>
      <c r="AF178" s="150"/>
      <c r="AG178" s="150"/>
      <c r="AH178" s="150"/>
      <c r="AI178" s="150"/>
      <c r="AJ178" s="242" t="s">
        <v>408</v>
      </c>
      <c r="AK178" s="169"/>
      <c r="AL178" s="139" t="s">
        <v>1628</v>
      </c>
      <c r="AM178" s="431" t="str">
        <f>VLOOKUP($Q178,Resultados!$A$1:$C$49,3,FALSE)</f>
        <v>ELEVADA</v>
      </c>
    </row>
    <row r="179" spans="1:39" customFormat="1" ht="63.75">
      <c r="A179" s="372">
        <v>89</v>
      </c>
      <c r="B179" s="85">
        <v>45231</v>
      </c>
      <c r="C179" s="326" t="s">
        <v>12</v>
      </c>
      <c r="D179" s="79" t="s">
        <v>528</v>
      </c>
      <c r="E179" s="88" t="s">
        <v>529</v>
      </c>
      <c r="F179" s="74">
        <v>2</v>
      </c>
      <c r="G179" s="74" t="s">
        <v>325</v>
      </c>
      <c r="H179" s="305">
        <v>45369</v>
      </c>
      <c r="I179" s="85"/>
      <c r="J179" s="85"/>
      <c r="K179" s="74" t="s">
        <v>1480</v>
      </c>
      <c r="L179" s="79" t="s">
        <v>250</v>
      </c>
      <c r="M179" s="79" t="s">
        <v>62</v>
      </c>
      <c r="N179" s="74" t="s">
        <v>2646</v>
      </c>
      <c r="O179" s="24" t="str">
        <f>IF(Q179=" _","NO","SI")</f>
        <v>SI</v>
      </c>
      <c r="P179" s="24" t="str">
        <f ca="1">IF(color_Celda(E179)=12106214,"ROSA",IF(color_Celda(E179)=65535,"AMARILLO",IF(color_Celda(E179)=5296274,"VERDE",IF(color_Celda(E179)=16777215,"BLANCO","NO SE"))))</f>
        <v>ROSA</v>
      </c>
      <c r="Q179" s="79" t="s">
        <v>1162</v>
      </c>
      <c r="R179" s="4" t="str">
        <f>VLOOKUP($Q179,Resultados!$A$1:$B$49,2,FALSE)</f>
        <v>ELEVADA A JUICIO</v>
      </c>
      <c r="S179" s="79"/>
      <c r="T179" s="86"/>
      <c r="U179" s="86"/>
      <c r="V179" s="74"/>
      <c r="W179" s="74"/>
      <c r="X179" s="74"/>
      <c r="Y179" s="64"/>
      <c r="Z179" s="74"/>
      <c r="AA179" s="74"/>
      <c r="AB179" s="74"/>
      <c r="AC179" s="74"/>
      <c r="AD179" s="74"/>
      <c r="AE179" s="140"/>
      <c r="AF179" s="81">
        <v>7</v>
      </c>
      <c r="AG179" s="76"/>
      <c r="AH179" s="76">
        <v>0</v>
      </c>
      <c r="AI179" s="76"/>
      <c r="AJ179" s="122" t="s">
        <v>988</v>
      </c>
      <c r="AK179" s="138"/>
      <c r="AL179" s="139" t="s">
        <v>1628</v>
      </c>
      <c r="AM179" s="431" t="str">
        <f>VLOOKUP($Q179,Resultados!$A$1:$C$49,3,FALSE)</f>
        <v>ELEVADA</v>
      </c>
    </row>
    <row r="180" spans="1:39" customFormat="1" ht="51">
      <c r="A180" s="372">
        <v>95</v>
      </c>
      <c r="B180" s="85">
        <v>45231</v>
      </c>
      <c r="C180" s="326" t="s">
        <v>3075</v>
      </c>
      <c r="D180" s="79" t="s">
        <v>543</v>
      </c>
      <c r="E180" s="88" t="s">
        <v>544</v>
      </c>
      <c r="F180" s="74">
        <v>3</v>
      </c>
      <c r="G180" s="74" t="s">
        <v>1750</v>
      </c>
      <c r="H180" s="305">
        <v>45369</v>
      </c>
      <c r="I180" s="85"/>
      <c r="J180" s="85"/>
      <c r="K180" s="74" t="s">
        <v>1480</v>
      </c>
      <c r="L180" s="79" t="s">
        <v>79</v>
      </c>
      <c r="M180" s="79" t="s">
        <v>270</v>
      </c>
      <c r="N180" s="74" t="s">
        <v>2647</v>
      </c>
      <c r="O180" s="24" t="str">
        <f>IF(Q180=" _","NO","SI")</f>
        <v>SI</v>
      </c>
      <c r="P180" s="24" t="str">
        <f ca="1">IF(color_Celda(E180)=12106214,"ROSA",IF(color_Celda(E180)=65535,"AMARILLO",IF(color_Celda(E180)=5296274,"VERDE",IF(color_Celda(E180)=16777215,"BLANCO","NO SE"))))</f>
        <v>ROSA</v>
      </c>
      <c r="Q180" s="79" t="s">
        <v>1162</v>
      </c>
      <c r="R180" s="4" t="str">
        <f>VLOOKUP($Q180,Resultados!$A$1:$B$49,2,FALSE)</f>
        <v>ELEVADA A JUICIO</v>
      </c>
      <c r="S180" s="79"/>
      <c r="T180" s="86"/>
      <c r="U180" s="86"/>
      <c r="V180" s="74"/>
      <c r="W180" s="74"/>
      <c r="X180" s="74"/>
      <c r="Y180" s="64"/>
      <c r="Z180" s="74"/>
      <c r="AA180" s="74"/>
      <c r="AB180" s="74"/>
      <c r="AC180" s="74"/>
      <c r="AD180" s="74"/>
      <c r="AE180" s="140"/>
      <c r="AF180" s="81">
        <v>7</v>
      </c>
      <c r="AG180" s="76"/>
      <c r="AH180" s="76">
        <v>0</v>
      </c>
      <c r="AI180" s="76"/>
      <c r="AJ180" s="122" t="s">
        <v>988</v>
      </c>
      <c r="AK180" s="138"/>
      <c r="AL180" s="139" t="s">
        <v>1628</v>
      </c>
      <c r="AM180" s="431" t="str">
        <f>VLOOKUP($Q180,Resultados!$A$1:$C$49,3,FALSE)</f>
        <v>ELEVADA</v>
      </c>
    </row>
    <row r="181" spans="1:39" customFormat="1" ht="76.5">
      <c r="A181" s="372">
        <v>108</v>
      </c>
      <c r="B181" s="85">
        <v>45232</v>
      </c>
      <c r="C181" s="326" t="s">
        <v>12</v>
      </c>
      <c r="D181" s="79" t="s">
        <v>558</v>
      </c>
      <c r="E181" s="88" t="s">
        <v>554</v>
      </c>
      <c r="F181" s="74">
        <v>4</v>
      </c>
      <c r="G181" s="74" t="s">
        <v>325</v>
      </c>
      <c r="H181" s="305">
        <v>45369</v>
      </c>
      <c r="I181" s="85"/>
      <c r="J181" s="85"/>
      <c r="K181" s="74" t="s">
        <v>1480</v>
      </c>
      <c r="L181" s="79" t="s">
        <v>77</v>
      </c>
      <c r="M181" s="79"/>
      <c r="N181" s="74" t="s">
        <v>2425</v>
      </c>
      <c r="O181" s="24" t="str">
        <f>IF(Q181=" _","NO","SI")</f>
        <v>SI</v>
      </c>
      <c r="P181" s="24" t="str">
        <f ca="1">IF(color_Celda(E181)=12106214,"ROSA",IF(color_Celda(E181)=65535,"AMARILLO",IF(color_Celda(E181)=5296274,"VERDE",IF(color_Celda(E181)=16777215,"BLANCO","NO SE"))))</f>
        <v>ROSA</v>
      </c>
      <c r="Q181" s="79" t="s">
        <v>1162</v>
      </c>
      <c r="R181" s="4" t="str">
        <f>VLOOKUP($Q181,Resultados!$A$1:$B$49,2,FALSE)</f>
        <v>ELEVADA A JUICIO</v>
      </c>
      <c r="S181" s="79"/>
      <c r="T181" s="86"/>
      <c r="U181" s="86"/>
      <c r="V181" s="74"/>
      <c r="W181" s="74"/>
      <c r="X181" s="74"/>
      <c r="Y181" s="64"/>
      <c r="Z181" s="74"/>
      <c r="AA181" s="74"/>
      <c r="AB181" s="74"/>
      <c r="AC181" s="74"/>
      <c r="AD181" s="74"/>
      <c r="AE181" s="140"/>
      <c r="AF181" s="81">
        <v>7</v>
      </c>
      <c r="AG181" s="76"/>
      <c r="AH181" s="76">
        <v>0</v>
      </c>
      <c r="AI181" s="76"/>
      <c r="AJ181" s="122" t="s">
        <v>988</v>
      </c>
      <c r="AK181" s="153"/>
      <c r="AL181" s="139" t="s">
        <v>1628</v>
      </c>
      <c r="AM181" s="431" t="str">
        <f>VLOOKUP($Q181,Resultados!$A$1:$C$49,3,FALSE)</f>
        <v>ELEVADA</v>
      </c>
    </row>
    <row r="182" spans="1:39" customFormat="1" ht="51">
      <c r="A182" s="372">
        <v>374</v>
      </c>
      <c r="B182" s="85">
        <v>45260</v>
      </c>
      <c r="C182" s="325" t="s">
        <v>781</v>
      </c>
      <c r="D182" s="79" t="s">
        <v>1053</v>
      </c>
      <c r="E182" s="88" t="s">
        <v>1054</v>
      </c>
      <c r="F182" s="74">
        <v>1</v>
      </c>
      <c r="G182" s="74" t="s">
        <v>326</v>
      </c>
      <c r="H182" s="305">
        <v>45369</v>
      </c>
      <c r="I182" s="85"/>
      <c r="J182" s="85"/>
      <c r="K182" s="74" t="s">
        <v>1480</v>
      </c>
      <c r="L182" s="79" t="s">
        <v>82</v>
      </c>
      <c r="M182" s="79" t="s">
        <v>2212</v>
      </c>
      <c r="N182" s="174" t="s">
        <v>2774</v>
      </c>
      <c r="O182" s="24" t="str">
        <f>IF(Q182=" _","NO","SI")</f>
        <v>SI</v>
      </c>
      <c r="P182" s="24" t="str">
        <f ca="1">IF(color_Celda(E182)=12106214,"ROSA",IF(color_Celda(E182)=65535,"AMARILLO",IF(color_Celda(E182)=5296274,"VERDE",IF(color_Celda(E182)=16777215,"BLANCO","NO SE"))))</f>
        <v>ROSA</v>
      </c>
      <c r="Q182" s="79" t="s">
        <v>1162</v>
      </c>
      <c r="R182" s="4" t="str">
        <f>VLOOKUP($Q182,Resultados!$A$1:$B$49,2,FALSE)</f>
        <v>ELEVADA A JUICIO</v>
      </c>
      <c r="S182" s="79"/>
      <c r="T182" s="86"/>
      <c r="U182" s="86"/>
      <c r="V182" s="74"/>
      <c r="W182" s="74"/>
      <c r="X182" s="74"/>
      <c r="Y182" s="64"/>
      <c r="Z182" s="74"/>
      <c r="AA182" s="74"/>
      <c r="AB182" s="74"/>
      <c r="AC182" s="74"/>
      <c r="AD182" s="74"/>
      <c r="AE182" s="140"/>
      <c r="AF182" s="76">
        <v>7</v>
      </c>
      <c r="AG182" s="76"/>
      <c r="AH182" s="76">
        <v>0</v>
      </c>
      <c r="AI182" s="76"/>
      <c r="AJ182" s="122" t="s">
        <v>988</v>
      </c>
      <c r="AK182" s="138"/>
      <c r="AL182" s="139" t="s">
        <v>1628</v>
      </c>
      <c r="AM182" s="431" t="str">
        <f>VLOOKUP($Q182,Resultados!$A$1:$C$49,3,FALSE)</f>
        <v>ELEVADA</v>
      </c>
    </row>
    <row r="183" spans="1:39" customFormat="1" ht="76.5">
      <c r="A183" s="372">
        <v>435</v>
      </c>
      <c r="B183" s="82">
        <v>45266</v>
      </c>
      <c r="C183" s="325" t="s">
        <v>16</v>
      </c>
      <c r="D183" s="79" t="s">
        <v>264</v>
      </c>
      <c r="E183" s="84" t="s">
        <v>1160</v>
      </c>
      <c r="F183" s="74">
        <v>6</v>
      </c>
      <c r="G183" s="74" t="s">
        <v>325</v>
      </c>
      <c r="H183" s="305">
        <v>45369</v>
      </c>
      <c r="I183" s="85"/>
      <c r="J183" s="85"/>
      <c r="K183" s="74"/>
      <c r="L183" s="79" t="s">
        <v>84</v>
      </c>
      <c r="M183" s="79" t="s">
        <v>260</v>
      </c>
      <c r="N183" s="79" t="s">
        <v>2645</v>
      </c>
      <c r="O183" s="24" t="str">
        <f>IF(Q183=" _","NO","SI")</f>
        <v>SI</v>
      </c>
      <c r="P183" s="24" t="str">
        <f ca="1">IF(color_Celda(E183)=12106214,"ROSA",IF(color_Celda(E183)=65535,"AMARILLO",IF(color_Celda(E183)=5296274,"VERDE",IF(color_Celda(E183)=16777215,"BLANCO","NO SE"))))</f>
        <v>ROSA</v>
      </c>
      <c r="Q183" s="79" t="s">
        <v>1162</v>
      </c>
      <c r="R183" s="4" t="str">
        <f>VLOOKUP($Q183,Resultados!$A$1:$B$49,2,FALSE)</f>
        <v>ELEVADA A JUICIO</v>
      </c>
      <c r="S183" s="79"/>
      <c r="T183" s="86"/>
      <c r="U183" s="86"/>
      <c r="V183" s="74"/>
      <c r="W183" s="74"/>
      <c r="X183" s="74"/>
      <c r="Y183" s="64"/>
      <c r="Z183" s="74"/>
      <c r="AA183" s="74"/>
      <c r="AB183" s="74"/>
      <c r="AC183" s="74"/>
      <c r="AD183" s="74"/>
      <c r="AE183" s="140"/>
      <c r="AF183" s="76">
        <v>7</v>
      </c>
      <c r="AG183" s="76"/>
      <c r="AH183" s="76">
        <v>0</v>
      </c>
      <c r="AI183" s="76"/>
      <c r="AJ183" s="122" t="s">
        <v>408</v>
      </c>
      <c r="AK183" s="130"/>
      <c r="AL183" s="139" t="s">
        <v>1628</v>
      </c>
      <c r="AM183" s="431" t="str">
        <f>VLOOKUP($Q183,Resultados!$A$1:$C$49,3,FALSE)</f>
        <v>ELEVADA</v>
      </c>
    </row>
    <row r="184" spans="1:39" customFormat="1" ht="89.25">
      <c r="A184" s="372">
        <v>230</v>
      </c>
      <c r="B184" s="85">
        <v>45243</v>
      </c>
      <c r="C184" s="325" t="s">
        <v>793</v>
      </c>
      <c r="D184" s="79" t="s">
        <v>794</v>
      </c>
      <c r="E184" s="88" t="s">
        <v>795</v>
      </c>
      <c r="F184" s="74">
        <v>3</v>
      </c>
      <c r="G184" s="74" t="s">
        <v>1750</v>
      </c>
      <c r="H184" s="305">
        <v>45370</v>
      </c>
      <c r="I184" s="85"/>
      <c r="J184" s="85"/>
      <c r="K184" s="74" t="s">
        <v>1480</v>
      </c>
      <c r="L184" s="79" t="s">
        <v>80</v>
      </c>
      <c r="M184" s="79" t="s">
        <v>62</v>
      </c>
      <c r="N184" s="16" t="s">
        <v>2926</v>
      </c>
      <c r="O184" s="24" t="str">
        <f>IF(Q184=" _","NO","SI")</f>
        <v>SI</v>
      </c>
      <c r="P184" s="24" t="str">
        <f ca="1">IF(color_Celda(E184)=12106214,"ROSA",IF(color_Celda(E184)=65535,"AMARILLO",IF(color_Celda(E184)=5296274,"VERDE",IF(color_Celda(E184)=16777215,"BLANCO","NO SE"))))</f>
        <v>ROSA</v>
      </c>
      <c r="Q184" s="79" t="s">
        <v>2709</v>
      </c>
      <c r="R184" s="4" t="str">
        <f>VLOOKUP($Q184,Resultados!$A$1:$B$49,2,FALSE)</f>
        <v>DEVUELTA POR PRESCRIPCION</v>
      </c>
      <c r="S184" s="79"/>
      <c r="T184" s="73"/>
      <c r="U184" s="73"/>
      <c r="V184" s="68"/>
      <c r="W184" s="74"/>
      <c r="X184" s="74"/>
      <c r="Y184" s="64"/>
      <c r="Z184" s="74"/>
      <c r="AA184" s="74"/>
      <c r="AB184" s="74"/>
      <c r="AC184" s="68"/>
      <c r="AD184" s="68"/>
      <c r="AE184" s="142"/>
      <c r="AF184" s="145">
        <v>7</v>
      </c>
      <c r="AG184" s="146"/>
      <c r="AH184" s="146">
        <v>0</v>
      </c>
      <c r="AI184" s="146"/>
      <c r="AJ184" s="122" t="s">
        <v>988</v>
      </c>
      <c r="AK184" s="130"/>
      <c r="AL184" s="139" t="s">
        <v>1628</v>
      </c>
      <c r="AM184" s="431" t="str">
        <f>VLOOKUP($Q184,Resultados!$A$1:$C$49,3,FALSE)</f>
        <v>DEVUELTA</v>
      </c>
    </row>
    <row r="185" spans="1:39" customFormat="1" ht="38.25">
      <c r="A185" s="372">
        <v>267</v>
      </c>
      <c r="B185" s="85">
        <v>45245</v>
      </c>
      <c r="C185" s="326" t="s">
        <v>12</v>
      </c>
      <c r="D185" s="74" t="s">
        <v>845</v>
      </c>
      <c r="E185" s="287" t="s">
        <v>846</v>
      </c>
      <c r="F185" s="74">
        <v>3</v>
      </c>
      <c r="G185" s="74" t="s">
        <v>1750</v>
      </c>
      <c r="H185" s="305">
        <v>45370</v>
      </c>
      <c r="I185" s="85"/>
      <c r="J185" s="85"/>
      <c r="K185" s="74" t="s">
        <v>1480</v>
      </c>
      <c r="L185" s="79" t="s">
        <v>79</v>
      </c>
      <c r="M185" s="79"/>
      <c r="N185" s="79" t="s">
        <v>2648</v>
      </c>
      <c r="O185" s="24" t="str">
        <f>IF(Q185=" _","NO","SI")</f>
        <v>SI</v>
      </c>
      <c r="P185" s="24" t="str">
        <f ca="1">IF(color_Celda(E185)=12106214,"ROSA",IF(color_Celda(E185)=65535,"AMARILLO",IF(color_Celda(E185)=5296274,"VERDE",IF(color_Celda(E185)=16777215,"BLANCO","NO SE"))))</f>
        <v>ROSA</v>
      </c>
      <c r="Q185" s="79" t="s">
        <v>2437</v>
      </c>
      <c r="R185" s="4" t="str">
        <f>VLOOKUP($Q185,Resultados!$A$1:$B$49,2,FALSE)</f>
        <v>DEVUELTA AL JUZGADO DE ORIGEN</v>
      </c>
      <c r="S185" s="79"/>
      <c r="T185" s="86"/>
      <c r="U185" s="86"/>
      <c r="V185" s="74"/>
      <c r="W185" s="74"/>
      <c r="X185" s="74"/>
      <c r="Y185" s="64"/>
      <c r="Z185" s="74"/>
      <c r="AA185" s="74"/>
      <c r="AB185" s="74"/>
      <c r="AC185" s="74"/>
      <c r="AD185" s="74"/>
      <c r="AE185" s="140"/>
      <c r="AF185" s="81">
        <v>7</v>
      </c>
      <c r="AG185" s="76"/>
      <c r="AH185" s="76">
        <v>0</v>
      </c>
      <c r="AI185" s="76"/>
      <c r="AJ185" s="122" t="s">
        <v>988</v>
      </c>
      <c r="AK185" s="138"/>
      <c r="AL185" s="139" t="s">
        <v>1628</v>
      </c>
      <c r="AM185" s="431" t="str">
        <f>VLOOKUP($Q185,Resultados!$A$1:$C$49,3,FALSE)</f>
        <v>DEVUELTA</v>
      </c>
    </row>
    <row r="186" spans="1:39" customFormat="1" ht="38.25">
      <c r="A186" s="372">
        <v>279</v>
      </c>
      <c r="B186" s="163">
        <v>45245</v>
      </c>
      <c r="C186" s="328" t="s">
        <v>1501</v>
      </c>
      <c r="D186" s="16" t="s">
        <v>1502</v>
      </c>
      <c r="E186" s="281" t="s">
        <v>1503</v>
      </c>
      <c r="F186" s="165">
        <v>3</v>
      </c>
      <c r="G186" s="74" t="s">
        <v>1750</v>
      </c>
      <c r="H186" s="307">
        <v>45370</v>
      </c>
      <c r="I186" s="163"/>
      <c r="J186" s="163"/>
      <c r="K186" s="165" t="str">
        <f>IFERROR(VLOOKUP(J186,Jueces!$A$1:$B$11,2,FALSE),"")</f>
        <v/>
      </c>
      <c r="L186" s="16" t="s">
        <v>77</v>
      </c>
      <c r="M186" s="16"/>
      <c r="N186" s="16" t="s">
        <v>2709</v>
      </c>
      <c r="O186" s="24" t="str">
        <f>IF(Q186=" _","NO","SI")</f>
        <v>SI</v>
      </c>
      <c r="P186" s="24" t="str">
        <f ca="1">IF(color_Celda(E186)=12106214,"ROSA",IF(color_Celda(E186)=65535,"AMARILLO",IF(color_Celda(E186)=5296274,"VERDE",IF(color_Celda(E186)=16777215,"BLANCO","NO SE"))))</f>
        <v>ROSA</v>
      </c>
      <c r="Q186" s="16" t="s">
        <v>2709</v>
      </c>
      <c r="R186" s="4" t="str">
        <f>VLOOKUP($Q186,Resultados!$A$1:$B$49,2,FALSE)</f>
        <v>DEVUELTA POR PRESCRIPCION</v>
      </c>
      <c r="S186" s="16"/>
      <c r="T186" s="166"/>
      <c r="U186" s="166"/>
      <c r="V186" s="165"/>
      <c r="W186" s="165"/>
      <c r="X186" s="165"/>
      <c r="Y186" s="64"/>
      <c r="Z186" s="165"/>
      <c r="AA186" s="165"/>
      <c r="AB186" s="165"/>
      <c r="AC186" s="165"/>
      <c r="AD186" s="165"/>
      <c r="AE186" s="167"/>
      <c r="AF186" s="168"/>
      <c r="AG186" s="168"/>
      <c r="AH186" s="168"/>
      <c r="AI186" s="168"/>
      <c r="AJ186" s="242" t="s">
        <v>988</v>
      </c>
      <c r="AK186" s="169"/>
      <c r="AL186" s="139" t="s">
        <v>1628</v>
      </c>
      <c r="AM186" s="431" t="str">
        <f>VLOOKUP($Q186,Resultados!$A$1:$C$49,3,FALSE)</f>
        <v>DEVUELTA</v>
      </c>
    </row>
    <row r="187" spans="1:39" customFormat="1" ht="38.25">
      <c r="A187" s="372">
        <v>503</v>
      </c>
      <c r="B187" s="85">
        <v>45281</v>
      </c>
      <c r="C187" s="326" t="s">
        <v>913</v>
      </c>
      <c r="D187" s="79" t="s">
        <v>1315</v>
      </c>
      <c r="E187" s="88" t="s">
        <v>1316</v>
      </c>
      <c r="F187" s="74">
        <v>3</v>
      </c>
      <c r="G187" s="74" t="s">
        <v>1750</v>
      </c>
      <c r="H187" s="305">
        <v>45370</v>
      </c>
      <c r="I187" s="85"/>
      <c r="J187" s="85"/>
      <c r="K187" s="74" t="s">
        <v>1480</v>
      </c>
      <c r="L187" s="79" t="s">
        <v>79</v>
      </c>
      <c r="M187" s="79" t="s">
        <v>67</v>
      </c>
      <c r="N187" s="105" t="s">
        <v>2708</v>
      </c>
      <c r="O187" s="24" t="str">
        <f>IF(Q187=" _","NO","SI")</f>
        <v>SI</v>
      </c>
      <c r="P187" s="24" t="str">
        <f ca="1">IF(color_Celda(E187)=12106214,"ROSA",IF(color_Celda(E187)=65535,"AMARILLO",IF(color_Celda(E187)=5296274,"VERDE",IF(color_Celda(E187)=16777215,"BLANCO","NO SE"))))</f>
        <v>ROSA</v>
      </c>
      <c r="Q187" s="79" t="s">
        <v>2709</v>
      </c>
      <c r="R187" s="4" t="str">
        <f>VLOOKUP($Q187,Resultados!$A$1:$B$49,2,FALSE)</f>
        <v>DEVUELTA POR PRESCRIPCION</v>
      </c>
      <c r="S187" s="79"/>
      <c r="T187" s="86"/>
      <c r="U187" s="86"/>
      <c r="V187" s="74"/>
      <c r="W187" s="74"/>
      <c r="X187" s="74"/>
      <c r="Y187" s="64"/>
      <c r="Z187" s="74"/>
      <c r="AA187" s="74"/>
      <c r="AB187" s="74"/>
      <c r="AC187" s="74"/>
      <c r="AD187" s="74"/>
      <c r="AE187" s="140"/>
      <c r="AF187" s="76">
        <v>7</v>
      </c>
      <c r="AG187" s="76"/>
      <c r="AH187" s="76">
        <v>0</v>
      </c>
      <c r="AI187" s="76"/>
      <c r="AJ187" s="122" t="s">
        <v>988</v>
      </c>
      <c r="AK187" s="130"/>
      <c r="AL187" s="139" t="s">
        <v>1628</v>
      </c>
      <c r="AM187" s="431" t="str">
        <f>VLOOKUP($Q187,Resultados!$A$1:$C$49,3,FALSE)</f>
        <v>DEVUELTA</v>
      </c>
    </row>
    <row r="188" spans="1:39" customFormat="1" ht="51">
      <c r="A188" s="372">
        <v>550</v>
      </c>
      <c r="B188" s="163">
        <v>45313</v>
      </c>
      <c r="C188" s="328" t="s">
        <v>12</v>
      </c>
      <c r="D188" s="16" t="s">
        <v>2666</v>
      </c>
      <c r="E188" s="164" t="s">
        <v>2667</v>
      </c>
      <c r="F188" s="165">
        <v>3</v>
      </c>
      <c r="G188" s="16" t="s">
        <v>326</v>
      </c>
      <c r="H188" s="307">
        <v>45370</v>
      </c>
      <c r="I188" s="163"/>
      <c r="J188" s="163"/>
      <c r="K188" s="165" t="s">
        <v>1480</v>
      </c>
      <c r="L188" s="79" t="s">
        <v>2173</v>
      </c>
      <c r="M188" s="79" t="s">
        <v>1289</v>
      </c>
      <c r="N188" s="16" t="s">
        <v>2686</v>
      </c>
      <c r="O188" s="24" t="str">
        <f>IF(Q188=" _","NO","SI")</f>
        <v>SI</v>
      </c>
      <c r="P188" s="24" t="str">
        <f ca="1">IF(color_Celda(E188)=12106214,"ROSA",IF(color_Celda(E188)=65535,"AMARILLO",IF(color_Celda(E188)=5296274,"VERDE",IF(color_Celda(E188)=16777215,"BLANCO","NO SE"))))</f>
        <v>ROSA</v>
      </c>
      <c r="Q188" s="16" t="s">
        <v>1324</v>
      </c>
      <c r="R188" s="4" t="str">
        <f>VLOOKUP($Q188,Resultados!$A$1:$B$49,2,FALSE)</f>
        <v>RESUELTA EN ETAPA DE PREVENTIVA</v>
      </c>
      <c r="S188" s="16"/>
      <c r="T188" s="86"/>
      <c r="U188" s="166"/>
      <c r="V188" s="165"/>
      <c r="W188" s="165"/>
      <c r="X188" s="165"/>
      <c r="Y188" s="64"/>
      <c r="Z188" s="165"/>
      <c r="AA188" s="165"/>
      <c r="AB188" s="165"/>
      <c r="AC188" s="165"/>
      <c r="AD188" s="165"/>
      <c r="AE188" s="167"/>
      <c r="AF188" s="168"/>
      <c r="AG188" s="168"/>
      <c r="AH188" s="168"/>
      <c r="AI188" s="168"/>
      <c r="AJ188" s="122" t="s">
        <v>408</v>
      </c>
      <c r="AK188" s="169"/>
      <c r="AL188" s="139" t="s">
        <v>1628</v>
      </c>
      <c r="AM188" s="431" t="str">
        <f>VLOOKUP($Q188,Resultados!$A$1:$C$49,3,FALSE)</f>
        <v>RESUELTA</v>
      </c>
    </row>
    <row r="189" spans="1:39" customFormat="1" ht="102">
      <c r="A189" s="372">
        <v>630</v>
      </c>
      <c r="B189" s="17">
        <v>45338</v>
      </c>
      <c r="C189" s="328" t="s">
        <v>12</v>
      </c>
      <c r="D189" s="296" t="s">
        <v>1807</v>
      </c>
      <c r="E189" s="164" t="s">
        <v>1808</v>
      </c>
      <c r="F189" s="165">
        <v>7</v>
      </c>
      <c r="G189" s="165" t="s">
        <v>325</v>
      </c>
      <c r="H189" s="307">
        <v>45370</v>
      </c>
      <c r="I189" s="163"/>
      <c r="J189" s="163"/>
      <c r="K189" s="165" t="str">
        <f>IFERROR(VLOOKUP(J189,Jueces!$A$1:$B$11,2,FALSE),"")</f>
        <v/>
      </c>
      <c r="L189" s="16" t="s">
        <v>77</v>
      </c>
      <c r="M189" s="16" t="s">
        <v>67</v>
      </c>
      <c r="N189" s="231" t="s">
        <v>1162</v>
      </c>
      <c r="O189" s="24" t="str">
        <f>IF(Q189=" _","NO","SI")</f>
        <v>SI</v>
      </c>
      <c r="P189" s="24" t="str">
        <f ca="1">IF(color_Celda(E189)=12106214,"ROSA",IF(color_Celda(E189)=65535,"AMARILLO",IF(color_Celda(E189)=5296274,"VERDE",IF(color_Celda(E189)=16777215,"BLANCO","NO SE"))))</f>
        <v>ROSA</v>
      </c>
      <c r="Q189" s="16" t="s">
        <v>1162</v>
      </c>
      <c r="R189" s="4" t="str">
        <f>VLOOKUP($Q189,Resultados!$A$1:$B$49,2,FALSE)</f>
        <v>ELEVADA A JUICIO</v>
      </c>
      <c r="S189" s="16"/>
      <c r="T189" s="166"/>
      <c r="U189" s="166"/>
      <c r="V189" s="165"/>
      <c r="W189" s="165"/>
      <c r="X189" s="165"/>
      <c r="Y189" s="64"/>
      <c r="Z189" s="165"/>
      <c r="AA189" s="165"/>
      <c r="AB189" s="165"/>
      <c r="AC189" s="165"/>
      <c r="AD189" s="165"/>
      <c r="AE189" s="167"/>
      <c r="AF189" s="168"/>
      <c r="AG189" s="168"/>
      <c r="AH189" s="168"/>
      <c r="AI189" s="168"/>
      <c r="AJ189" s="242" t="s">
        <v>408</v>
      </c>
      <c r="AK189" s="169"/>
      <c r="AL189" s="139" t="s">
        <v>1628</v>
      </c>
      <c r="AM189" s="431" t="str">
        <f>VLOOKUP($Q189,Resultados!$A$1:$C$49,3,FALSE)</f>
        <v>ELEVADA</v>
      </c>
    </row>
    <row r="190" spans="1:39" customFormat="1" ht="114.75">
      <c r="A190" s="372">
        <v>644</v>
      </c>
      <c r="B190" s="163">
        <v>45341</v>
      </c>
      <c r="C190" s="327"/>
      <c r="D190" s="16" t="s">
        <v>1746</v>
      </c>
      <c r="E190" s="164" t="s">
        <v>1747</v>
      </c>
      <c r="F190" s="165">
        <v>5</v>
      </c>
      <c r="G190" s="165" t="s">
        <v>326</v>
      </c>
      <c r="H190" s="307">
        <v>45370</v>
      </c>
      <c r="I190" s="163"/>
      <c r="J190" s="163"/>
      <c r="K190" s="165" t="str">
        <f>IFERROR(VLOOKUP(J190,Jueces!$A$1:$B$11,2,FALSE),"")</f>
        <v/>
      </c>
      <c r="L190" s="16" t="s">
        <v>83</v>
      </c>
      <c r="M190" s="16" t="s">
        <v>260</v>
      </c>
      <c r="N190" s="230" t="s">
        <v>2784</v>
      </c>
      <c r="O190" s="24" t="str">
        <f>IF(Q190=" _","NO","SI")</f>
        <v>SI</v>
      </c>
      <c r="P190" s="24" t="str">
        <f ca="1">IF(color_Celda(E190)=12106214,"ROSA",IF(color_Celda(E190)=65535,"AMARILLO",IF(color_Celda(E190)=5296274,"VERDE",IF(color_Celda(E190)=16777215,"BLANCO","NO SE"))))</f>
        <v>ROSA</v>
      </c>
      <c r="Q190" s="16" t="s">
        <v>1162</v>
      </c>
      <c r="R190" s="4" t="s">
        <v>1162</v>
      </c>
      <c r="S190" s="16"/>
      <c r="T190" s="37"/>
      <c r="U190" s="37"/>
      <c r="V190" s="39"/>
      <c r="W190" s="165"/>
      <c r="X190" s="16" t="s">
        <v>3219</v>
      </c>
      <c r="Y190" s="64"/>
      <c r="Z190" s="165"/>
      <c r="AA190" s="165"/>
      <c r="AB190" s="165"/>
      <c r="AC190" s="39"/>
      <c r="AD190" s="39"/>
      <c r="AE190" s="144"/>
      <c r="AF190" s="150"/>
      <c r="AG190" s="150"/>
      <c r="AH190" s="150"/>
      <c r="AI190" s="150"/>
      <c r="AJ190" s="242" t="s">
        <v>408</v>
      </c>
      <c r="AK190" s="169"/>
      <c r="AL190" s="139" t="s">
        <v>1628</v>
      </c>
      <c r="AM190" s="431" t="str">
        <f>VLOOKUP($Q190,Resultados!$A$1:$C$49,3,FALSE)</f>
        <v>ELEVADA</v>
      </c>
    </row>
    <row r="191" spans="1:39" customFormat="1" ht="102">
      <c r="A191" s="372">
        <v>688</v>
      </c>
      <c r="B191" s="163">
        <v>45349</v>
      </c>
      <c r="C191" s="328" t="s">
        <v>1837</v>
      </c>
      <c r="D191" s="16" t="s">
        <v>1838</v>
      </c>
      <c r="E191" s="164" t="s">
        <v>1846</v>
      </c>
      <c r="F191" s="165">
        <v>7</v>
      </c>
      <c r="G191" s="16" t="s">
        <v>325</v>
      </c>
      <c r="H191" s="307">
        <v>45370</v>
      </c>
      <c r="I191" s="163"/>
      <c r="J191" s="163"/>
      <c r="K191" s="165" t="str">
        <f>IFERROR(VLOOKUP(J191,Jueces!$A$1:$B$11,2,FALSE),"")</f>
        <v/>
      </c>
      <c r="L191" s="16" t="s">
        <v>77</v>
      </c>
      <c r="M191" s="16" t="s">
        <v>131</v>
      </c>
      <c r="N191" s="231" t="s">
        <v>2425</v>
      </c>
      <c r="O191" s="24" t="str">
        <f>IF(Q191=" _","NO","SI")</f>
        <v>SI</v>
      </c>
      <c r="P191" s="24" t="str">
        <f ca="1">IF(color_Celda(E191)=12106214,"ROSA",IF(color_Celda(E191)=65535,"AMARILLO",IF(color_Celda(E191)=5296274,"VERDE",IF(color_Celda(E191)=16777215,"BLANCO","NO SE"))))</f>
        <v>ROSA</v>
      </c>
      <c r="Q191" s="16" t="s">
        <v>1162</v>
      </c>
      <c r="R191" s="4" t="str">
        <f>VLOOKUP($Q191,Resultados!$A$1:$B$49,2,FALSE)</f>
        <v>ELEVADA A JUICIO</v>
      </c>
      <c r="S191" s="16"/>
      <c r="T191" s="166"/>
      <c r="U191" s="166"/>
      <c r="V191" s="165"/>
      <c r="W191" s="165"/>
      <c r="X191" s="165"/>
      <c r="Y191" s="64"/>
      <c r="Z191" s="165"/>
      <c r="AA191" s="165"/>
      <c r="AB191" s="165"/>
      <c r="AC191" s="165"/>
      <c r="AD191" s="165"/>
      <c r="AE191" s="167"/>
      <c r="AF191" s="168"/>
      <c r="AG191" s="168"/>
      <c r="AH191" s="168"/>
      <c r="AI191" s="168"/>
      <c r="AJ191" s="242" t="s">
        <v>408</v>
      </c>
      <c r="AK191" s="169"/>
      <c r="AL191" s="139" t="s">
        <v>1628</v>
      </c>
      <c r="AM191" s="431" t="str">
        <f>VLOOKUP($Q191,Resultados!$A$1:$C$49,3,FALSE)</f>
        <v>ELEVADA</v>
      </c>
    </row>
    <row r="192" spans="1:39" customFormat="1" ht="102">
      <c r="A192" s="372">
        <v>110</v>
      </c>
      <c r="B192" s="85">
        <v>45232</v>
      </c>
      <c r="C192" s="326" t="s">
        <v>12</v>
      </c>
      <c r="D192" s="79" t="s">
        <v>557</v>
      </c>
      <c r="E192" s="88" t="s">
        <v>559</v>
      </c>
      <c r="F192" s="74">
        <v>4</v>
      </c>
      <c r="G192" s="74" t="s">
        <v>325</v>
      </c>
      <c r="H192" s="305">
        <v>45371</v>
      </c>
      <c r="I192" s="85"/>
      <c r="J192" s="85"/>
      <c r="K192" s="74" t="s">
        <v>1480</v>
      </c>
      <c r="L192" s="79" t="s">
        <v>74</v>
      </c>
      <c r="M192" s="79"/>
      <c r="N192" s="74" t="s">
        <v>1162</v>
      </c>
      <c r="O192" s="24" t="str">
        <f>IF(Q192=" _","NO","SI")</f>
        <v>SI</v>
      </c>
      <c r="P192" s="24" t="str">
        <f ca="1">IF(color_Celda(E192)=12106214,"ROSA",IF(color_Celda(E192)=65535,"AMARILLO",IF(color_Celda(E192)=5296274,"VERDE",IF(color_Celda(E192)=16777215,"BLANCO","NO SE"))))</f>
        <v>ROSA</v>
      </c>
      <c r="Q192" s="79" t="s">
        <v>1162</v>
      </c>
      <c r="R192" s="4" t="str">
        <f>VLOOKUP($Q192,Resultados!$A$1:$B$49,2,FALSE)</f>
        <v>ELEVADA A JUICIO</v>
      </c>
      <c r="S192" s="79"/>
      <c r="T192" s="86"/>
      <c r="U192" s="86"/>
      <c r="V192" s="74"/>
      <c r="W192" s="74"/>
      <c r="X192" s="74"/>
      <c r="Y192" s="64"/>
      <c r="Z192" s="74"/>
      <c r="AA192" s="74"/>
      <c r="AB192" s="74"/>
      <c r="AC192" s="74"/>
      <c r="AD192" s="74"/>
      <c r="AE192" s="140"/>
      <c r="AF192" s="81">
        <v>7</v>
      </c>
      <c r="AG192" s="76"/>
      <c r="AH192" s="76">
        <v>0</v>
      </c>
      <c r="AI192" s="76"/>
      <c r="AJ192" s="122" t="s">
        <v>988</v>
      </c>
      <c r="AK192" s="153"/>
      <c r="AL192" s="139" t="s">
        <v>1628</v>
      </c>
      <c r="AM192" s="431" t="str">
        <f>VLOOKUP($Q192,Resultados!$A$1:$C$49,3,FALSE)</f>
        <v>ELEVADA</v>
      </c>
    </row>
    <row r="193" spans="1:39" customFormat="1" ht="63.75">
      <c r="A193" s="372">
        <v>339</v>
      </c>
      <c r="B193" s="85">
        <v>45254</v>
      </c>
      <c r="C193" s="325" t="s">
        <v>15</v>
      </c>
      <c r="D193" s="79" t="s">
        <v>1304</v>
      </c>
      <c r="E193" s="88" t="s">
        <v>1305</v>
      </c>
      <c r="F193" s="74">
        <v>3</v>
      </c>
      <c r="G193" s="74" t="s">
        <v>1370</v>
      </c>
      <c r="H193" s="305">
        <v>45371</v>
      </c>
      <c r="I193" s="85"/>
      <c r="J193" s="85"/>
      <c r="K193" s="74" t="s">
        <v>1480</v>
      </c>
      <c r="L193" s="79" t="s">
        <v>80</v>
      </c>
      <c r="M193" s="79" t="s">
        <v>59</v>
      </c>
      <c r="N193" s="74" t="s">
        <v>2709</v>
      </c>
      <c r="O193" s="24" t="str">
        <f>IF(Q193=" _","NO","SI")</f>
        <v>SI</v>
      </c>
      <c r="P193" s="24" t="str">
        <f ca="1">IF(color_Celda(E193)=12106214,"ROSA",IF(color_Celda(E193)=65535,"AMARILLO",IF(color_Celda(E193)=5296274,"VERDE",IF(color_Celda(E193)=16777215,"BLANCO","NO SE"))))</f>
        <v>ROSA</v>
      </c>
      <c r="Q193" s="79" t="s">
        <v>2709</v>
      </c>
      <c r="R193" s="4" t="str">
        <f>VLOOKUP($Q193,Resultados!$A$1:$B$49,2,FALSE)</f>
        <v>DEVUELTA POR PRESCRIPCION</v>
      </c>
      <c r="S193" s="79"/>
      <c r="T193" s="86"/>
      <c r="U193" s="86"/>
      <c r="V193" s="74"/>
      <c r="W193" s="74"/>
      <c r="X193" s="74"/>
      <c r="Y193" s="64"/>
      <c r="Z193" s="74"/>
      <c r="AA193" s="74"/>
      <c r="AB193" s="74"/>
      <c r="AC193" s="74"/>
      <c r="AD193" s="74"/>
      <c r="AE193" s="140"/>
      <c r="AF193" s="76">
        <v>7</v>
      </c>
      <c r="AG193" s="76"/>
      <c r="AH193" s="76">
        <v>0</v>
      </c>
      <c r="AI193" s="76" t="s">
        <v>465</v>
      </c>
      <c r="AJ193" s="122" t="s">
        <v>988</v>
      </c>
      <c r="AK193" s="130"/>
      <c r="AL193" s="139" t="s">
        <v>1628</v>
      </c>
      <c r="AM193" s="431" t="str">
        <f>VLOOKUP($Q193,Resultados!$A$1:$C$49,3,FALSE)</f>
        <v>DEVUELTA</v>
      </c>
    </row>
    <row r="194" spans="1:39" customFormat="1" ht="76.5">
      <c r="A194" s="372">
        <v>594</v>
      </c>
      <c r="B194" s="163">
        <v>45330</v>
      </c>
      <c r="C194" s="328" t="s">
        <v>14</v>
      </c>
      <c r="D194" s="16" t="s">
        <v>1536</v>
      </c>
      <c r="E194" s="164" t="s">
        <v>1798</v>
      </c>
      <c r="F194" s="165">
        <v>1</v>
      </c>
      <c r="G194" s="16" t="s">
        <v>325</v>
      </c>
      <c r="H194" s="307">
        <v>45371</v>
      </c>
      <c r="I194" s="163"/>
      <c r="J194" s="163"/>
      <c r="K194" s="165" t="str">
        <f>IFERROR(VLOOKUP(J194,Jueces!$A$1:$B$11,2,FALSE),"")</f>
        <v/>
      </c>
      <c r="L194" s="16" t="s">
        <v>76</v>
      </c>
      <c r="M194" s="16" t="s">
        <v>59</v>
      </c>
      <c r="N194" s="179" t="s">
        <v>2710</v>
      </c>
      <c r="O194" s="24" t="str">
        <f>IF(Q194=" _","NO","SI")</f>
        <v>SI</v>
      </c>
      <c r="P194" s="24" t="str">
        <f ca="1">IF(color_Celda(E194)=12106214,"ROSA",IF(color_Celda(E194)=65535,"AMARILLO",IF(color_Celda(E194)=5296274,"VERDE",IF(color_Celda(E194)=16777215,"BLANCO","NO SE"))))</f>
        <v>ROSA</v>
      </c>
      <c r="Q194" s="16" t="s">
        <v>1162</v>
      </c>
      <c r="R194" s="4" t="str">
        <f>VLOOKUP($Q194,Resultados!$A$1:$B$49,2,FALSE)</f>
        <v>ELEVADA A JUICIO</v>
      </c>
      <c r="S194" s="16"/>
      <c r="T194" s="166"/>
      <c r="U194" s="166"/>
      <c r="V194" s="165"/>
      <c r="W194" s="165"/>
      <c r="X194" s="165"/>
      <c r="Y194" s="64"/>
      <c r="Z194" s="165"/>
      <c r="AA194" s="165"/>
      <c r="AB194" s="165"/>
      <c r="AC194" s="165"/>
      <c r="AD194" s="165"/>
      <c r="AE194" s="167"/>
      <c r="AF194" s="168"/>
      <c r="AG194" s="168"/>
      <c r="AH194" s="168"/>
      <c r="AI194" s="168"/>
      <c r="AJ194" s="242" t="s">
        <v>408</v>
      </c>
      <c r="AK194" s="169"/>
      <c r="AL194" s="139" t="s">
        <v>1628</v>
      </c>
      <c r="AM194" s="431" t="str">
        <f>VLOOKUP($Q194,Resultados!$A$1:$C$49,3,FALSE)</f>
        <v>ELEVADA</v>
      </c>
    </row>
    <row r="195" spans="1:39" customFormat="1" ht="63.75">
      <c r="A195" s="372">
        <v>662</v>
      </c>
      <c r="B195" s="163">
        <v>45344</v>
      </c>
      <c r="C195" s="328" t="s">
        <v>1400</v>
      </c>
      <c r="D195" s="16" t="s">
        <v>1748</v>
      </c>
      <c r="E195" s="164" t="s">
        <v>1749</v>
      </c>
      <c r="F195" s="165">
        <v>3</v>
      </c>
      <c r="G195" s="165" t="s">
        <v>10</v>
      </c>
      <c r="H195" s="307">
        <v>45371</v>
      </c>
      <c r="I195" s="163"/>
      <c r="J195" s="163"/>
      <c r="K195" s="165" t="str">
        <f>IFERROR(VLOOKUP(J195,Jueces!$A$1:$B$11,2,FALSE),"")</f>
        <v/>
      </c>
      <c r="L195" s="16" t="s">
        <v>84</v>
      </c>
      <c r="M195" s="16" t="s">
        <v>47</v>
      </c>
      <c r="N195" s="16" t="s">
        <v>2785</v>
      </c>
      <c r="O195" s="24" t="str">
        <f>IF(Q195=" _","NO","SI")</f>
        <v>SI</v>
      </c>
      <c r="P195" s="24" t="str">
        <f ca="1">IF(color_Celda(E195)=12106214,"ROSA",IF(color_Celda(E195)=65535,"AMARILLO",IF(color_Celda(E195)=5296274,"VERDE",IF(color_Celda(E195)=16777215,"BLANCO","NO SE"))))</f>
        <v>ROSA</v>
      </c>
      <c r="Q195" s="16" t="s">
        <v>1324</v>
      </c>
      <c r="R195" s="4" t="s">
        <v>1325</v>
      </c>
      <c r="S195" s="16"/>
      <c r="T195" s="37"/>
      <c r="U195" s="37"/>
      <c r="V195" s="39"/>
      <c r="W195" s="165"/>
      <c r="X195" s="165"/>
      <c r="Y195" s="64"/>
      <c r="Z195" s="165"/>
      <c r="AA195" s="165"/>
      <c r="AB195" s="165"/>
      <c r="AC195" s="39"/>
      <c r="AD195" s="39"/>
      <c r="AE195" s="144"/>
      <c r="AF195" s="150"/>
      <c r="AG195" s="150"/>
      <c r="AH195" s="150"/>
      <c r="AI195" s="150"/>
      <c r="AJ195" s="242" t="s">
        <v>408</v>
      </c>
      <c r="AK195" s="169"/>
      <c r="AL195" s="139" t="s">
        <v>1628</v>
      </c>
      <c r="AM195" s="431" t="str">
        <f>VLOOKUP($Q195,Resultados!$A$1:$C$49,3,FALSE)</f>
        <v>RESUELTA</v>
      </c>
    </row>
    <row r="196" spans="1:39" customFormat="1" ht="102">
      <c r="A196" s="372">
        <v>636</v>
      </c>
      <c r="B196" s="163">
        <v>45338</v>
      </c>
      <c r="C196" s="328" t="s">
        <v>1475</v>
      </c>
      <c r="D196" s="16" t="s">
        <v>1655</v>
      </c>
      <c r="E196" s="281" t="s">
        <v>1656</v>
      </c>
      <c r="F196" s="165">
        <v>1</v>
      </c>
      <c r="G196" s="165" t="s">
        <v>326</v>
      </c>
      <c r="H196" s="307">
        <v>45372</v>
      </c>
      <c r="I196" s="163"/>
      <c r="J196" s="163"/>
      <c r="K196" s="165" t="str">
        <f>IFERROR(VLOOKUP(J196,Jueces!$A$1:$B$11,2,FALSE),"")</f>
        <v/>
      </c>
      <c r="L196" s="16" t="s">
        <v>127</v>
      </c>
      <c r="M196" s="16" t="s">
        <v>1660</v>
      </c>
      <c r="N196" s="231" t="s">
        <v>2783</v>
      </c>
      <c r="O196" s="24" t="str">
        <f>IF(Q196=" _","NO","SI")</f>
        <v>SI</v>
      </c>
      <c r="P196" s="24" t="str">
        <f ca="1">IF(color_Celda(E196)=12106214,"ROSA",IF(color_Celda(E196)=65535,"AMARILLO",IF(color_Celda(E196)=5296274,"VERDE",IF(color_Celda(E196)=16777215,"BLANCO","NO SE"))))</f>
        <v>ROSA</v>
      </c>
      <c r="Q196" s="16" t="s">
        <v>1162</v>
      </c>
      <c r="R196" s="4" t="str">
        <f>VLOOKUP($Q196,Resultados!$A$1:$B$49,2,FALSE)</f>
        <v>ELEVADA A JUICIO</v>
      </c>
      <c r="S196" s="16"/>
      <c r="T196" s="166"/>
      <c r="U196" s="166"/>
      <c r="V196" s="165"/>
      <c r="W196" s="165"/>
      <c r="X196" s="165"/>
      <c r="Y196" s="64"/>
      <c r="Z196" s="165"/>
      <c r="AA196" s="165"/>
      <c r="AB196" s="165"/>
      <c r="AC196" s="165"/>
      <c r="AD196" s="165"/>
      <c r="AE196" s="167"/>
      <c r="AF196" s="168"/>
      <c r="AG196" s="168"/>
      <c r="AH196" s="168"/>
      <c r="AI196" s="168"/>
      <c r="AJ196" s="242" t="s">
        <v>988</v>
      </c>
      <c r="AK196" s="169"/>
      <c r="AL196" s="139" t="s">
        <v>1628</v>
      </c>
      <c r="AM196" s="431" t="str">
        <f>VLOOKUP($Q196,Resultados!$A$1:$C$49,3,FALSE)</f>
        <v>ELEVADA</v>
      </c>
    </row>
    <row r="197" spans="1:39" customFormat="1" ht="38.25">
      <c r="A197" s="372">
        <v>239</v>
      </c>
      <c r="B197" s="163">
        <v>45243</v>
      </c>
      <c r="C197" s="328" t="s">
        <v>12</v>
      </c>
      <c r="D197" s="16" t="s">
        <v>2231</v>
      </c>
      <c r="E197" s="281" t="s">
        <v>2232</v>
      </c>
      <c r="F197" s="165">
        <v>6</v>
      </c>
      <c r="G197" s="16" t="s">
        <v>326</v>
      </c>
      <c r="H197" s="307">
        <v>45373</v>
      </c>
      <c r="I197" s="163"/>
      <c r="J197" s="163"/>
      <c r="K197" s="165" t="str">
        <f>IFERROR(VLOOKUP(J197,Jueces!$A$1:$B$11,2,FALSE),"")</f>
        <v/>
      </c>
      <c r="L197" s="16" t="s">
        <v>77</v>
      </c>
      <c r="M197" s="16" t="s">
        <v>2233</v>
      </c>
      <c r="N197" s="16" t="s">
        <v>2725</v>
      </c>
      <c r="O197" s="24" t="str">
        <f>IF(Q197=" _","NO","SI")</f>
        <v>SI</v>
      </c>
      <c r="P197" s="24" t="str">
        <f ca="1">IF(color_Celda(E197)=12106214,"ROSA",IF(color_Celda(E197)=65535,"AMARILLO",IF(color_Celda(E197)=5296274,"VERDE",IF(color_Celda(E197)=16777215,"BLANCO","NO SE"))))</f>
        <v>ROSA</v>
      </c>
      <c r="Q197" s="16" t="s">
        <v>1162</v>
      </c>
      <c r="R197" s="4" t="str">
        <f>VLOOKUP($Q197,Resultados!$A$1:$B$49,2,FALSE)</f>
        <v>ELEVADA A JUICIO</v>
      </c>
      <c r="S197" s="16"/>
      <c r="T197" s="37"/>
      <c r="U197" s="37"/>
      <c r="V197" s="39"/>
      <c r="W197" s="165"/>
      <c r="X197" s="165"/>
      <c r="Y197" s="64"/>
      <c r="Z197" s="165"/>
      <c r="AA197" s="165"/>
      <c r="AB197" s="165"/>
      <c r="AC197" s="39"/>
      <c r="AD197" s="39"/>
      <c r="AE197" s="144"/>
      <c r="AF197" s="150"/>
      <c r="AG197" s="150"/>
      <c r="AH197" s="150"/>
      <c r="AI197" s="150"/>
      <c r="AJ197" s="242" t="s">
        <v>988</v>
      </c>
      <c r="AK197" s="169"/>
      <c r="AL197" s="139" t="s">
        <v>1628</v>
      </c>
      <c r="AM197" s="431" t="str">
        <f>VLOOKUP($Q197,Resultados!$A$1:$C$49,3,FALSE)</f>
        <v>ELEVADA</v>
      </c>
    </row>
    <row r="198" spans="1:39" customFormat="1" ht="89.25">
      <c r="A198" s="372">
        <v>564</v>
      </c>
      <c r="B198" s="163">
        <v>45327</v>
      </c>
      <c r="C198" s="328" t="s">
        <v>371</v>
      </c>
      <c r="D198" s="16" t="s">
        <v>280</v>
      </c>
      <c r="E198" s="164" t="s">
        <v>1527</v>
      </c>
      <c r="F198" s="16">
        <v>4</v>
      </c>
      <c r="G198" s="16" t="s">
        <v>10</v>
      </c>
      <c r="H198" s="307">
        <v>45373</v>
      </c>
      <c r="I198" s="163"/>
      <c r="J198" s="163"/>
      <c r="K198" s="165" t="str">
        <f>IFERROR(VLOOKUP(J198,Jueces!$A$1:$B$11,2,FALSE),"")</f>
        <v/>
      </c>
      <c r="L198" s="16" t="s">
        <v>87</v>
      </c>
      <c r="M198" s="16" t="s">
        <v>281</v>
      </c>
      <c r="N198" s="16" t="s">
        <v>2727</v>
      </c>
      <c r="O198" s="24" t="str">
        <f>IF(Q198=" _","NO","SI")</f>
        <v>SI</v>
      </c>
      <c r="P198" s="24" t="str">
        <f ca="1">IF(color_Celda(E198)=12106214,"ROSA",IF(color_Celda(E198)=65535,"AMARILLO",IF(color_Celda(E198)=5296274,"VERDE",IF(color_Celda(E198)=16777215,"BLANCO","NO SE"))))</f>
        <v>ROSA</v>
      </c>
      <c r="Q198" s="16" t="s">
        <v>1162</v>
      </c>
      <c r="R198" s="4" t="str">
        <f>VLOOKUP($Q198,Resultados!$A$1:$B$49,2,FALSE)</f>
        <v>ELEVADA A JUICIO</v>
      </c>
      <c r="S198" s="16"/>
      <c r="T198" s="166"/>
      <c r="U198" s="166"/>
      <c r="V198" s="165"/>
      <c r="W198" s="165"/>
      <c r="X198" s="165"/>
      <c r="Y198" s="64"/>
      <c r="Z198" s="165"/>
      <c r="AA198" s="165"/>
      <c r="AB198" s="165"/>
      <c r="AC198" s="165"/>
      <c r="AD198" s="165"/>
      <c r="AE198" s="167"/>
      <c r="AF198" s="168"/>
      <c r="AG198" s="168"/>
      <c r="AH198" s="168"/>
      <c r="AI198" s="168"/>
      <c r="AJ198" s="242" t="s">
        <v>408</v>
      </c>
      <c r="AK198" s="169"/>
      <c r="AL198" s="139" t="s">
        <v>1628</v>
      </c>
      <c r="AM198" s="431" t="str">
        <f>VLOOKUP($Q198,Resultados!$A$1:$C$49,3,FALSE)</f>
        <v>ELEVADA</v>
      </c>
    </row>
    <row r="199" spans="1:39" customFormat="1" ht="76.5">
      <c r="A199" s="372">
        <v>723</v>
      </c>
      <c r="B199" s="163">
        <v>45351</v>
      </c>
      <c r="C199" s="328" t="s">
        <v>1989</v>
      </c>
      <c r="D199" s="16" t="s">
        <v>1990</v>
      </c>
      <c r="E199" s="164" t="s">
        <v>2003</v>
      </c>
      <c r="F199" s="165">
        <v>7</v>
      </c>
      <c r="G199" s="165" t="s">
        <v>326</v>
      </c>
      <c r="H199" s="308">
        <v>45373</v>
      </c>
      <c r="I199" s="163"/>
      <c r="J199" s="163"/>
      <c r="K199" s="165" t="str">
        <f>IFERROR(VLOOKUP(J199,Jueces!$A$1:$B$11,2,FALSE),"")</f>
        <v/>
      </c>
      <c r="L199" s="16" t="s">
        <v>74</v>
      </c>
      <c r="M199" s="16" t="s">
        <v>361</v>
      </c>
      <c r="N199" s="179" t="s">
        <v>2726</v>
      </c>
      <c r="O199" s="24" t="str">
        <f>IF(Q199=" _","NO","SI")</f>
        <v>SI</v>
      </c>
      <c r="P199" s="24" t="str">
        <f ca="1">IF(color_Celda(E199)=12106214,"ROSA",IF(color_Celda(E199)=65535,"AMARILLO",IF(color_Celda(E199)=5296274,"VERDE",IF(color_Celda(E199)=16777215,"BLANCO","NO SE"))))</f>
        <v>ROSA</v>
      </c>
      <c r="Q199" s="16" t="s">
        <v>1162</v>
      </c>
      <c r="R199" s="4" t="str">
        <f>VLOOKUP($Q199,Resultados!$A$1:$B$49,2,FALSE)</f>
        <v>ELEVADA A JUICIO</v>
      </c>
      <c r="S199" s="16"/>
      <c r="T199" s="37"/>
      <c r="U199" s="37"/>
      <c r="V199" s="39"/>
      <c r="W199" s="165"/>
      <c r="X199" s="165"/>
      <c r="Y199" s="64"/>
      <c r="Z199" s="165"/>
      <c r="AA199" s="165"/>
      <c r="AB199" s="165"/>
      <c r="AC199" s="39"/>
      <c r="AD199" s="39"/>
      <c r="AE199" s="144"/>
      <c r="AF199" s="150"/>
      <c r="AG199" s="150"/>
      <c r="AH199" s="150"/>
      <c r="AI199" s="150"/>
      <c r="AJ199" s="242" t="s">
        <v>408</v>
      </c>
      <c r="AK199" s="169"/>
      <c r="AL199" s="139" t="s">
        <v>1628</v>
      </c>
      <c r="AM199" s="431" t="str">
        <f>VLOOKUP($Q199,Resultados!$A$1:$C$49,3,FALSE)</f>
        <v>ELEVADA</v>
      </c>
    </row>
    <row r="200" spans="1:39" customFormat="1" ht="76.5">
      <c r="A200" s="372">
        <v>788</v>
      </c>
      <c r="B200" s="163">
        <v>45363</v>
      </c>
      <c r="C200" s="328" t="s">
        <v>1952</v>
      </c>
      <c r="D200" s="16" t="s">
        <v>2581</v>
      </c>
      <c r="E200" s="164" t="s">
        <v>2591</v>
      </c>
      <c r="F200" s="165">
        <v>5</v>
      </c>
      <c r="G200" s="165" t="s">
        <v>325</v>
      </c>
      <c r="H200" s="307">
        <v>45373</v>
      </c>
      <c r="I200" s="163"/>
      <c r="J200" s="163"/>
      <c r="K200" s="165" t="s">
        <v>1480</v>
      </c>
      <c r="L200" s="79" t="s">
        <v>2172</v>
      </c>
      <c r="M200" s="79" t="s">
        <v>270</v>
      </c>
      <c r="N200" s="16" t="s">
        <v>2711</v>
      </c>
      <c r="O200" s="24" t="str">
        <f>IF(Q200=" _","NO","SI")</f>
        <v>SI</v>
      </c>
      <c r="P200" s="24" t="str">
        <f ca="1">IF(color_Celda(E200)=12106214,"ROSA",IF(color_Celda(E200)=65535,"AMARILLO",IF(color_Celda(E200)=5296274,"VERDE",IF(color_Celda(E200)=16777215,"BLANCO","NO SE"))))</f>
        <v>ROSA</v>
      </c>
      <c r="Q200" s="16" t="s">
        <v>2437</v>
      </c>
      <c r="R200" s="4" t="str">
        <f>VLOOKUP($Q200,Resultados!$A$1:$B$49,2,FALSE)</f>
        <v>DEVUELTA AL JUZGADO DE ORIGEN</v>
      </c>
      <c r="S200" s="16"/>
      <c r="T200" s="86"/>
      <c r="U200" s="166"/>
      <c r="V200" s="165"/>
      <c r="W200" s="165"/>
      <c r="X200" s="165"/>
      <c r="Y200" s="64"/>
      <c r="Z200" s="165"/>
      <c r="AA200" s="165"/>
      <c r="AB200" s="165"/>
      <c r="AC200" s="165"/>
      <c r="AD200" s="165"/>
      <c r="AE200" s="167"/>
      <c r="AF200" s="168"/>
      <c r="AG200" s="168"/>
      <c r="AH200" s="168"/>
      <c r="AI200" s="168"/>
      <c r="AJ200" s="122" t="s">
        <v>408</v>
      </c>
      <c r="AK200" s="169"/>
      <c r="AL200" s="139" t="s">
        <v>1628</v>
      </c>
      <c r="AM200" s="431" t="str">
        <f>VLOOKUP($Q200,Resultados!$A$1:$C$49,3,FALSE)</f>
        <v>DEVUELTA</v>
      </c>
    </row>
    <row r="201" spans="1:39" customFormat="1" ht="114.75">
      <c r="A201" s="372">
        <v>50</v>
      </c>
      <c r="B201" s="85">
        <v>45224</v>
      </c>
      <c r="C201" s="326" t="s">
        <v>16</v>
      </c>
      <c r="D201" s="79" t="s">
        <v>483</v>
      </c>
      <c r="E201" s="88" t="s">
        <v>484</v>
      </c>
      <c r="F201" s="74">
        <v>7</v>
      </c>
      <c r="G201" s="74" t="s">
        <v>2996</v>
      </c>
      <c r="H201" s="305">
        <v>45376</v>
      </c>
      <c r="I201" s="85"/>
      <c r="J201" s="85"/>
      <c r="K201" s="74" t="s">
        <v>1480</v>
      </c>
      <c r="L201" s="79" t="s">
        <v>248</v>
      </c>
      <c r="M201" s="104" t="s">
        <v>52</v>
      </c>
      <c r="N201" s="105" t="s">
        <v>3358</v>
      </c>
      <c r="O201" s="24" t="str">
        <f>IF(Q201=" _","NO","SI")</f>
        <v>SI</v>
      </c>
      <c r="P201" s="24" t="str">
        <f ca="1">IF(color_Celda(E201)=12106214,"ROSA",IF(color_Celda(E201)=65535,"AMARILLO",IF(color_Celda(E201)=5296274,"VERDE",IF(color_Celda(E201)=16777215,"BLANCO","NO SE"))))</f>
        <v>ROSA</v>
      </c>
      <c r="Q201" s="79" t="s">
        <v>1162</v>
      </c>
      <c r="R201" s="4" t="str">
        <f>VLOOKUP($Q201,Resultados!$A$1:$B$49,2,FALSE)</f>
        <v>ELEVADA A JUICIO</v>
      </c>
      <c r="S201" s="79"/>
      <c r="T201" s="86"/>
      <c r="U201" s="86"/>
      <c r="V201" s="74"/>
      <c r="W201" s="74"/>
      <c r="X201" s="74"/>
      <c r="Y201" s="64"/>
      <c r="Z201" s="74"/>
      <c r="AA201" s="74"/>
      <c r="AB201" s="74"/>
      <c r="AC201" s="74"/>
      <c r="AD201" s="74"/>
      <c r="AE201" s="140"/>
      <c r="AF201" s="81">
        <v>7</v>
      </c>
      <c r="AG201" s="76"/>
      <c r="AH201" s="76">
        <v>0</v>
      </c>
      <c r="AI201" s="76"/>
      <c r="AJ201" s="122" t="s">
        <v>988</v>
      </c>
      <c r="AK201" s="153"/>
      <c r="AL201" s="139" t="s">
        <v>1628</v>
      </c>
      <c r="AM201" s="431" t="str">
        <f>VLOOKUP($Q201,Resultados!$A$1:$C$49,3,FALSE)</f>
        <v>ELEVADA</v>
      </c>
    </row>
    <row r="202" spans="1:39" customFormat="1" ht="38.25">
      <c r="A202" s="372">
        <v>616</v>
      </c>
      <c r="B202" s="163">
        <v>45336</v>
      </c>
      <c r="C202" s="328" t="s">
        <v>742</v>
      </c>
      <c r="D202" s="16" t="s">
        <v>268</v>
      </c>
      <c r="E202" s="164" t="s">
        <v>1600</v>
      </c>
      <c r="F202" s="165">
        <v>6</v>
      </c>
      <c r="G202" s="165" t="s">
        <v>10</v>
      </c>
      <c r="H202" s="307">
        <v>45376</v>
      </c>
      <c r="I202" s="163"/>
      <c r="J202" s="163"/>
      <c r="K202" s="165" t="str">
        <f>IFERROR(VLOOKUP(J202,Jueces!$A$1:$B$11,2,FALSE),"")</f>
        <v/>
      </c>
      <c r="L202" s="16" t="s">
        <v>31</v>
      </c>
      <c r="M202" s="16" t="s">
        <v>1436</v>
      </c>
      <c r="N202" s="230" t="s">
        <v>2781</v>
      </c>
      <c r="O202" s="24" t="str">
        <f>IF(Q202=" _","NO","SI")</f>
        <v>SI</v>
      </c>
      <c r="P202" s="24" t="str">
        <f ca="1">IF(color_Celda(E202)=12106214,"ROSA",IF(color_Celda(E202)=65535,"AMARILLO",IF(color_Celda(E202)=5296274,"VERDE",IF(color_Celda(E202)=16777215,"BLANCO","NO SE"))))</f>
        <v>ROSA</v>
      </c>
      <c r="Q202" s="16" t="s">
        <v>1162</v>
      </c>
      <c r="R202" s="4" t="str">
        <f>VLOOKUP($Q202,Resultados!$A$1:$B$49,2,FALSE)</f>
        <v>ELEVADA A JUICIO</v>
      </c>
      <c r="S202" s="16"/>
      <c r="T202" s="37"/>
      <c r="U202" s="37"/>
      <c r="V202" s="39"/>
      <c r="W202" s="165"/>
      <c r="X202" s="165"/>
      <c r="Y202" s="64"/>
      <c r="Z202" s="165"/>
      <c r="AA202" s="165"/>
      <c r="AB202" s="165"/>
      <c r="AC202" s="39"/>
      <c r="AD202" s="39"/>
      <c r="AE202" s="144"/>
      <c r="AF202" s="150"/>
      <c r="AG202" s="150"/>
      <c r="AH202" s="150"/>
      <c r="AI202" s="150"/>
      <c r="AJ202" s="242" t="s">
        <v>408</v>
      </c>
      <c r="AK202" s="169"/>
      <c r="AL202" s="139" t="s">
        <v>1628</v>
      </c>
      <c r="AM202" s="431" t="str">
        <f>VLOOKUP($Q202,Resultados!$A$1:$C$49,3,FALSE)</f>
        <v>ELEVADA</v>
      </c>
    </row>
    <row r="203" spans="1:39" customFormat="1" ht="89.25">
      <c r="A203" s="372">
        <v>853</v>
      </c>
      <c r="B203" s="163">
        <v>45376</v>
      </c>
      <c r="C203" s="328" t="s">
        <v>3076</v>
      </c>
      <c r="D203" s="16" t="s">
        <v>3222</v>
      </c>
      <c r="E203" s="299" t="s">
        <v>2934</v>
      </c>
      <c r="F203" s="165">
        <v>4</v>
      </c>
      <c r="G203" s="16" t="s">
        <v>325</v>
      </c>
      <c r="H203" s="307">
        <v>45376</v>
      </c>
      <c r="I203" s="163"/>
      <c r="J203" s="163"/>
      <c r="K203" s="165" t="s">
        <v>1480</v>
      </c>
      <c r="L203" s="79" t="s">
        <v>2169</v>
      </c>
      <c r="M203" s="79" t="s">
        <v>2935</v>
      </c>
      <c r="N203" s="230" t="s">
        <v>2928</v>
      </c>
      <c r="O203" s="24" t="str">
        <f>IF(Q203=" _","NO","SI")</f>
        <v>SI</v>
      </c>
      <c r="P203" s="24" t="str">
        <f ca="1">IF(color_Celda(E203)=12106214,"ROSA",IF(color_Celda(E203)=65535,"AMARILLO",IF(color_Celda(E203)=5296274,"VERDE",IF(color_Celda(E203)=16777215,"BLANCO","NO SE"))))</f>
        <v>ROSA</v>
      </c>
      <c r="Q203" s="16" t="s">
        <v>1162</v>
      </c>
      <c r="R203" s="4" t="str">
        <f>VLOOKUP($Q203,Resultados!$A$1:$B$49,2,FALSE)</f>
        <v>ELEVADA A JUICIO</v>
      </c>
      <c r="S203" s="16"/>
      <c r="T203" s="86"/>
      <c r="U203" s="166"/>
      <c r="V203" s="165"/>
      <c r="W203" s="165"/>
      <c r="X203" s="165"/>
      <c r="Y203" s="64"/>
      <c r="Z203" s="165"/>
      <c r="AA203" s="165"/>
      <c r="AB203" s="165"/>
      <c r="AC203" s="165"/>
      <c r="AD203" s="165"/>
      <c r="AE203" s="167"/>
      <c r="AF203" s="168"/>
      <c r="AG203" s="168"/>
      <c r="AH203" s="168"/>
      <c r="AI203" s="168"/>
      <c r="AJ203" s="122" t="s">
        <v>988</v>
      </c>
      <c r="AK203" s="169"/>
      <c r="AL203" s="139" t="s">
        <v>1628</v>
      </c>
      <c r="AM203" s="431" t="str">
        <f>VLOOKUP($Q203,Resultados!$A$1:$C$49,3,FALSE)</f>
        <v>ELEVADA</v>
      </c>
    </row>
    <row r="204" spans="1:39" customFormat="1" ht="127.5">
      <c r="A204" s="372">
        <v>797</v>
      </c>
      <c r="B204" s="163">
        <v>45364</v>
      </c>
      <c r="C204" s="328" t="s">
        <v>2242</v>
      </c>
      <c r="D204" s="16" t="s">
        <v>2600</v>
      </c>
      <c r="E204" s="164" t="s">
        <v>2601</v>
      </c>
      <c r="F204" s="165">
        <v>7</v>
      </c>
      <c r="G204" s="16" t="s">
        <v>1750</v>
      </c>
      <c r="H204" s="307">
        <v>45377</v>
      </c>
      <c r="I204" s="17" t="s">
        <v>239</v>
      </c>
      <c r="J204" s="163" t="s">
        <v>7</v>
      </c>
      <c r="K204" s="165">
        <v>2</v>
      </c>
      <c r="L204" s="79" t="s">
        <v>2167</v>
      </c>
      <c r="M204" s="79" t="s">
        <v>67</v>
      </c>
      <c r="N204" s="231" t="s">
        <v>2732</v>
      </c>
      <c r="O204" s="24" t="str">
        <f>IF(Q204=" _","NO","SI")</f>
        <v>SI</v>
      </c>
      <c r="P204" s="24" t="str">
        <f ca="1">IF(color_Celda(E204)=12106214,"ROSA",IF(color_Celda(E204)=65535,"AMARILLO",IF(color_Celda(E204)=5296274,"VERDE",IF(color_Celda(E204)=16777215,"BLANCO","NO SE"))))</f>
        <v>ROSA</v>
      </c>
      <c r="Q204" s="16" t="s">
        <v>95</v>
      </c>
      <c r="R204" s="4" t="str">
        <f>VLOOKUP($Q204,Resultados!$A$1:$B$49,2,FALSE)</f>
        <v>Juicio Abreviado</v>
      </c>
      <c r="S204" s="16"/>
      <c r="T204" s="86"/>
      <c r="U204" s="166"/>
      <c r="V204" s="165"/>
      <c r="W204" s="165"/>
      <c r="X204" s="165"/>
      <c r="Y204" s="64"/>
      <c r="Z204" s="165"/>
      <c r="AA204" s="165"/>
      <c r="AB204" s="165"/>
      <c r="AC204" s="165"/>
      <c r="AD204" s="165"/>
      <c r="AE204" s="167"/>
      <c r="AF204" s="168"/>
      <c r="AG204" s="168"/>
      <c r="AH204" s="168"/>
      <c r="AI204" s="168"/>
      <c r="AJ204" s="122" t="s">
        <v>408</v>
      </c>
      <c r="AK204" s="169"/>
      <c r="AL204" s="139" t="s">
        <v>1628</v>
      </c>
      <c r="AM204" s="431" t="str">
        <f>VLOOKUP($Q204,Resultados!$A$1:$C$49,3,FALSE)</f>
        <v>RESUELTA</v>
      </c>
    </row>
    <row r="205" spans="1:39" customFormat="1" ht="51">
      <c r="A205" s="372">
        <v>284</v>
      </c>
      <c r="B205" s="17">
        <v>45245</v>
      </c>
      <c r="C205" s="328" t="s">
        <v>798</v>
      </c>
      <c r="D205" s="16" t="s">
        <v>866</v>
      </c>
      <c r="E205" s="281" t="s">
        <v>2228</v>
      </c>
      <c r="F205" s="165">
        <v>6</v>
      </c>
      <c r="G205" s="16" t="s">
        <v>326</v>
      </c>
      <c r="H205" s="307">
        <v>45377</v>
      </c>
      <c r="I205" s="163"/>
      <c r="J205" s="163"/>
      <c r="K205" s="165" t="str">
        <f>IFERROR(VLOOKUP(J205,Jueces!$A$1:$B$11,2,FALSE),"")</f>
        <v/>
      </c>
      <c r="L205" s="16" t="s">
        <v>2229</v>
      </c>
      <c r="M205" s="16" t="s">
        <v>2230</v>
      </c>
      <c r="N205" s="230" t="s">
        <v>2775</v>
      </c>
      <c r="O205" s="24" t="str">
        <f>IF(Q205=" _","NO","SI")</f>
        <v>SI</v>
      </c>
      <c r="P205" s="24" t="str">
        <f ca="1">IF(color_Celda(E205)=12106214,"ROSA",IF(color_Celda(E205)=65535,"AMARILLO",IF(color_Celda(E205)=5296274,"VERDE",IF(color_Celda(E205)=16777215,"BLANCO","NO SE"))))</f>
        <v>ROSA</v>
      </c>
      <c r="Q205" s="16" t="s">
        <v>1162</v>
      </c>
      <c r="R205" s="4" t="str">
        <f>VLOOKUP($Q205,Resultados!$A$1:$B$49,2,FALSE)</f>
        <v>ELEVADA A JUICIO</v>
      </c>
      <c r="S205" s="16"/>
      <c r="T205" s="166"/>
      <c r="U205" s="166"/>
      <c r="V205" s="165"/>
      <c r="W205" s="165"/>
      <c r="X205" s="165"/>
      <c r="Y205" s="64"/>
      <c r="Z205" s="165"/>
      <c r="AA205" s="165"/>
      <c r="AB205" s="165"/>
      <c r="AC205" s="165"/>
      <c r="AD205" s="165"/>
      <c r="AE205" s="167"/>
      <c r="AF205" s="168"/>
      <c r="AG205" s="168"/>
      <c r="AH205" s="168"/>
      <c r="AI205" s="168"/>
      <c r="AJ205" s="242" t="s">
        <v>988</v>
      </c>
      <c r="AK205" s="169"/>
      <c r="AL205" s="139" t="s">
        <v>1628</v>
      </c>
      <c r="AM205" s="431" t="str">
        <f>VLOOKUP($Q205,Resultados!$A$1:$C$49,3,FALSE)</f>
        <v>ELEVADA</v>
      </c>
    </row>
    <row r="206" spans="1:39" customFormat="1" ht="38.25">
      <c r="A206" s="372">
        <v>522</v>
      </c>
      <c r="B206" s="85">
        <v>45288</v>
      </c>
      <c r="C206" s="326"/>
      <c r="D206" s="79" t="s">
        <v>299</v>
      </c>
      <c r="E206" s="84" t="s">
        <v>1387</v>
      </c>
      <c r="F206" s="74">
        <v>6</v>
      </c>
      <c r="G206" s="74" t="s">
        <v>326</v>
      </c>
      <c r="H206" s="305">
        <v>45377</v>
      </c>
      <c r="I206" s="85"/>
      <c r="J206" s="85"/>
      <c r="K206" s="74" t="s">
        <v>1480</v>
      </c>
      <c r="L206" s="79" t="s">
        <v>248</v>
      </c>
      <c r="M206" s="79" t="s">
        <v>49</v>
      </c>
      <c r="N206" s="105" t="s">
        <v>2775</v>
      </c>
      <c r="O206" s="24" t="str">
        <f>IF(Q206=" _","NO","SI")</f>
        <v>SI</v>
      </c>
      <c r="P206" s="24" t="str">
        <f ca="1">IF(color_Celda(E206)=12106214,"ROSA",IF(color_Celda(E206)=65535,"AMARILLO",IF(color_Celda(E206)=5296274,"VERDE",IF(color_Celda(E206)=16777215,"BLANCO","NO SE"))))</f>
        <v>ROSA</v>
      </c>
      <c r="Q206" s="79" t="s">
        <v>1162</v>
      </c>
      <c r="R206" s="4" t="str">
        <f>VLOOKUP($Q206,Resultados!$A$1:$B$49,2,FALSE)</f>
        <v>ELEVADA A JUICIO</v>
      </c>
      <c r="S206" s="79"/>
      <c r="T206" s="86"/>
      <c r="U206" s="86"/>
      <c r="V206" s="74"/>
      <c r="W206" s="74"/>
      <c r="X206" s="74"/>
      <c r="Y206" s="64"/>
      <c r="Z206" s="74"/>
      <c r="AA206" s="74"/>
      <c r="AB206" s="74"/>
      <c r="AC206" s="74"/>
      <c r="AD206" s="74"/>
      <c r="AE206" s="140"/>
      <c r="AF206" s="76">
        <v>7</v>
      </c>
      <c r="AG206" s="76"/>
      <c r="AH206" s="76"/>
      <c r="AI206" s="76"/>
      <c r="AJ206" s="122" t="s">
        <v>408</v>
      </c>
      <c r="AK206" s="130"/>
      <c r="AL206" s="139" t="s">
        <v>1628</v>
      </c>
      <c r="AM206" s="431" t="str">
        <f>VLOOKUP($Q206,Resultados!$A$1:$C$49,3,FALSE)</f>
        <v>ELEVADA</v>
      </c>
    </row>
    <row r="207" spans="1:39" customFormat="1" ht="76.5">
      <c r="A207" s="372">
        <v>548</v>
      </c>
      <c r="B207" s="85">
        <v>45306</v>
      </c>
      <c r="C207" s="325" t="s">
        <v>1465</v>
      </c>
      <c r="D207" s="79" t="s">
        <v>154</v>
      </c>
      <c r="E207" s="84" t="s">
        <v>1466</v>
      </c>
      <c r="F207" s="74">
        <v>2</v>
      </c>
      <c r="G207" s="74" t="s">
        <v>326</v>
      </c>
      <c r="H207" s="305">
        <v>45377</v>
      </c>
      <c r="I207" s="85"/>
      <c r="J207" s="85"/>
      <c r="K207" s="74" t="s">
        <v>1480</v>
      </c>
      <c r="L207" s="79" t="s">
        <v>31</v>
      </c>
      <c r="M207" s="79" t="s">
        <v>156</v>
      </c>
      <c r="N207" s="105" t="s">
        <v>2780</v>
      </c>
      <c r="O207" s="24" t="str">
        <f>IF(Q207=" _","NO","SI")</f>
        <v>SI</v>
      </c>
      <c r="P207" s="24" t="str">
        <f ca="1">IF(color_Celda(E207)=12106214,"ROSA",IF(color_Celda(E207)=65535,"AMARILLO",IF(color_Celda(E207)=5296274,"VERDE",IF(color_Celda(E207)=16777215,"BLANCO","NO SE"))))</f>
        <v>ROSA</v>
      </c>
      <c r="Q207" s="79" t="s">
        <v>1162</v>
      </c>
      <c r="R207" s="4" t="str">
        <f>VLOOKUP($Q207,Resultados!$A$1:$B$49,2,FALSE)</f>
        <v>ELEVADA A JUICIO</v>
      </c>
      <c r="S207" s="79"/>
      <c r="T207" s="86"/>
      <c r="U207" s="86"/>
      <c r="V207" s="74"/>
      <c r="W207" s="74"/>
      <c r="X207" s="74"/>
      <c r="Y207" s="64"/>
      <c r="Z207" s="74"/>
      <c r="AA207" s="74"/>
      <c r="AB207" s="74"/>
      <c r="AC207" s="74"/>
      <c r="AD207" s="74"/>
      <c r="AE207" s="140"/>
      <c r="AF207" s="76"/>
      <c r="AG207" s="76"/>
      <c r="AH207" s="76"/>
      <c r="AI207" s="76"/>
      <c r="AJ207" s="122" t="s">
        <v>408</v>
      </c>
      <c r="AK207" s="130"/>
      <c r="AL207" s="139" t="s">
        <v>1628</v>
      </c>
      <c r="AM207" s="431" t="str">
        <f>VLOOKUP($Q207,Resultados!$A$1:$C$49,3,FALSE)</f>
        <v>ELEVADA</v>
      </c>
    </row>
    <row r="208" spans="1:39" customFormat="1" ht="51">
      <c r="A208" s="372">
        <v>692</v>
      </c>
      <c r="B208" s="163">
        <v>45349</v>
      </c>
      <c r="C208" s="328" t="s">
        <v>1010</v>
      </c>
      <c r="D208" s="16" t="s">
        <v>1847</v>
      </c>
      <c r="E208" s="281" t="s">
        <v>1848</v>
      </c>
      <c r="F208" s="165">
        <v>5</v>
      </c>
      <c r="G208" s="165" t="s">
        <v>326</v>
      </c>
      <c r="H208" s="307">
        <v>45377</v>
      </c>
      <c r="I208" s="163"/>
      <c r="J208" s="163"/>
      <c r="K208" s="165" t="str">
        <f>IFERROR(VLOOKUP(J208,Jueces!$A$1:$B$11,2,FALSE),"")</f>
        <v/>
      </c>
      <c r="L208" s="16" t="s">
        <v>79</v>
      </c>
      <c r="M208" s="16" t="s">
        <v>257</v>
      </c>
      <c r="N208" s="230" t="s">
        <v>2787</v>
      </c>
      <c r="O208" s="24" t="str">
        <f>IF(Q208=" _","NO","SI")</f>
        <v>SI</v>
      </c>
      <c r="P208" s="24" t="str">
        <f ca="1">IF(color_Celda(E208)=12106214,"ROSA",IF(color_Celda(E208)=65535,"AMARILLO",IF(color_Celda(E208)=5296274,"VERDE",IF(color_Celda(E208)=16777215,"BLANCO","NO SE"))))</f>
        <v>ROSA</v>
      </c>
      <c r="Q208" s="16" t="s">
        <v>1162</v>
      </c>
      <c r="R208" s="4" t="str">
        <f>VLOOKUP($Q208,Resultados!$A$1:$B$49,2,FALSE)</f>
        <v>ELEVADA A JUICIO</v>
      </c>
      <c r="S208" s="16"/>
      <c r="T208" s="166"/>
      <c r="U208" s="166"/>
      <c r="V208" s="165"/>
      <c r="W208" s="165"/>
      <c r="X208" s="165"/>
      <c r="Y208" s="64"/>
      <c r="Z208" s="165"/>
      <c r="AA208" s="165"/>
      <c r="AB208" s="165"/>
      <c r="AC208" s="165"/>
      <c r="AD208" s="165"/>
      <c r="AE208" s="167"/>
      <c r="AF208" s="168"/>
      <c r="AG208" s="168"/>
      <c r="AH208" s="168"/>
      <c r="AI208" s="168"/>
      <c r="AJ208" s="242" t="s">
        <v>988</v>
      </c>
      <c r="AK208" s="169"/>
      <c r="AL208" s="139" t="s">
        <v>1628</v>
      </c>
      <c r="AM208" s="431" t="str">
        <f>VLOOKUP($Q208,Resultados!$A$1:$C$49,3,FALSE)</f>
        <v>ELEVADA</v>
      </c>
    </row>
    <row r="209" spans="1:39" customFormat="1" ht="76.5">
      <c r="A209" s="372">
        <v>787</v>
      </c>
      <c r="B209" s="163">
        <v>45363</v>
      </c>
      <c r="C209" s="328" t="s">
        <v>26</v>
      </c>
      <c r="D209" s="16" t="s">
        <v>2533</v>
      </c>
      <c r="E209" s="164" t="s">
        <v>2535</v>
      </c>
      <c r="F209" s="165">
        <v>7</v>
      </c>
      <c r="G209" s="16" t="s">
        <v>10</v>
      </c>
      <c r="H209" s="307">
        <v>45377</v>
      </c>
      <c r="I209" s="163"/>
      <c r="J209" s="163"/>
      <c r="K209" s="165" t="s">
        <v>1480</v>
      </c>
      <c r="L209" s="79" t="s">
        <v>77</v>
      </c>
      <c r="M209" s="79" t="s">
        <v>2534</v>
      </c>
      <c r="N209" s="231" t="s">
        <v>2790</v>
      </c>
      <c r="O209" s="24" t="str">
        <f>IF(Q209=" _","NO","SI")</f>
        <v>SI</v>
      </c>
      <c r="P209" s="24" t="str">
        <f ca="1">IF(color_Celda(E209)=12106214,"ROSA",IF(color_Celda(E209)=65535,"AMARILLO",IF(color_Celda(E209)=5296274,"VERDE",IF(color_Celda(E209)=16777215,"BLANCO","NO SE"))))</f>
        <v>ROSA</v>
      </c>
      <c r="Q209" s="16" t="s">
        <v>1162</v>
      </c>
      <c r="R209" s="4" t="str">
        <f>VLOOKUP($Q209,Resultados!$A$1:$B$49,2,FALSE)</f>
        <v>ELEVADA A JUICIO</v>
      </c>
      <c r="S209" s="16"/>
      <c r="T209" s="86"/>
      <c r="U209" s="166"/>
      <c r="V209" s="165"/>
      <c r="W209" s="165"/>
      <c r="X209" s="165"/>
      <c r="Y209" s="64"/>
      <c r="Z209" s="165"/>
      <c r="AA209" s="165"/>
      <c r="AB209" s="165"/>
      <c r="AC209" s="165"/>
      <c r="AD209" s="165"/>
      <c r="AE209" s="167"/>
      <c r="AF209" s="168"/>
      <c r="AG209" s="168"/>
      <c r="AH209" s="168"/>
      <c r="AI209" s="168"/>
      <c r="AJ209" s="122" t="s">
        <v>408</v>
      </c>
      <c r="AK209" s="169"/>
      <c r="AL209" s="139" t="s">
        <v>1628</v>
      </c>
      <c r="AM209" s="431" t="str">
        <f>VLOOKUP($Q209,Resultados!$A$1:$C$49,3,FALSE)</f>
        <v>ELEVADA</v>
      </c>
    </row>
    <row r="210" spans="1:39" customFormat="1" ht="76.5">
      <c r="A210" s="372">
        <v>236</v>
      </c>
      <c r="B210" s="163">
        <v>45243</v>
      </c>
      <c r="C210" s="328" t="s">
        <v>3077</v>
      </c>
      <c r="D210" s="16" t="s">
        <v>1688</v>
      </c>
      <c r="E210" s="281" t="s">
        <v>1689</v>
      </c>
      <c r="F210" s="165">
        <v>3</v>
      </c>
      <c r="G210" s="165" t="s">
        <v>1370</v>
      </c>
      <c r="H210" s="307">
        <v>45378</v>
      </c>
      <c r="I210" s="163"/>
      <c r="J210" s="163"/>
      <c r="K210" s="165" t="str">
        <f>IFERROR(VLOOKUP(J210,Jueces!$A$1:$B$11,2,FALSE),"")</f>
        <v/>
      </c>
      <c r="L210" s="16" t="s">
        <v>2172</v>
      </c>
      <c r="M210" s="16" t="s">
        <v>43</v>
      </c>
      <c r="N210" s="16" t="s">
        <v>2932</v>
      </c>
      <c r="O210" s="24" t="str">
        <f>IF(Q210=" _","NO","SI")</f>
        <v>SI</v>
      </c>
      <c r="P210" s="24" t="str">
        <f ca="1">IF(color_Celda(E210)=12106214,"ROSA",IF(color_Celda(E210)=65535,"AMARILLO",IF(color_Celda(E210)=5296274,"VERDE",IF(color_Celda(E210)=16777215,"BLANCO","NO SE"))))</f>
        <v>ROSA</v>
      </c>
      <c r="Q210" s="16" t="s">
        <v>2709</v>
      </c>
      <c r="R210" s="4" t="str">
        <f>VLOOKUP($Q210,Resultados!$A$1:$B$49,2,FALSE)</f>
        <v>DEVUELTA POR PRESCRIPCION</v>
      </c>
      <c r="S210" s="16"/>
      <c r="T210" s="166"/>
      <c r="U210" s="166"/>
      <c r="V210" s="165"/>
      <c r="W210" s="165"/>
      <c r="X210" s="165"/>
      <c r="Y210" s="64"/>
      <c r="Z210" s="165"/>
      <c r="AA210" s="165"/>
      <c r="AB210" s="165"/>
      <c r="AC210" s="165"/>
      <c r="AD210" s="165"/>
      <c r="AE210" s="167"/>
      <c r="AF210" s="168"/>
      <c r="AG210" s="168"/>
      <c r="AH210" s="168"/>
      <c r="AI210" s="168"/>
      <c r="AJ210" s="242" t="s">
        <v>988</v>
      </c>
      <c r="AK210" s="169"/>
      <c r="AL210" s="139" t="s">
        <v>1628</v>
      </c>
      <c r="AM210" s="431" t="str">
        <f>VLOOKUP($Q210,Resultados!$A$1:$C$49,3,FALSE)</f>
        <v>DEVUELTA</v>
      </c>
    </row>
    <row r="211" spans="1:39" customFormat="1" ht="114.75">
      <c r="A211" s="372">
        <v>311</v>
      </c>
      <c r="B211" s="85">
        <v>45252</v>
      </c>
      <c r="C211" s="325" t="s">
        <v>923</v>
      </c>
      <c r="D211" s="79" t="s">
        <v>924</v>
      </c>
      <c r="E211" s="88" t="s">
        <v>925</v>
      </c>
      <c r="F211" s="74">
        <v>3</v>
      </c>
      <c r="G211" s="74" t="s">
        <v>5</v>
      </c>
      <c r="H211" s="305">
        <v>45378</v>
      </c>
      <c r="I211" s="85"/>
      <c r="J211" s="85"/>
      <c r="K211" s="74" t="s">
        <v>1480</v>
      </c>
      <c r="L211" s="79" t="s">
        <v>74</v>
      </c>
      <c r="M211" s="79" t="s">
        <v>46</v>
      </c>
      <c r="N211" s="74" t="s">
        <v>2930</v>
      </c>
      <c r="O211" s="24" t="str">
        <f>IF(Q211=" _","NO","SI")</f>
        <v>SI</v>
      </c>
      <c r="P211" s="24" t="str">
        <f ca="1">IF(color_Celda(E211)=12106214,"ROSA",IF(color_Celda(E211)=65535,"AMARILLO",IF(color_Celda(E211)=5296274,"VERDE",IF(color_Celda(E211)=16777215,"BLANCO","NO SE"))))</f>
        <v>ROSA</v>
      </c>
      <c r="Q211" s="79" t="s">
        <v>3306</v>
      </c>
      <c r="R211" s="4" t="str">
        <f>VLOOKUP($Q211,Resultados!$A$1:$B$49,2,FALSE)</f>
        <v>DEVUELTA CON REBELDIA</v>
      </c>
      <c r="S211" s="79"/>
      <c r="T211" s="86"/>
      <c r="U211" s="86"/>
      <c r="V211" s="74"/>
      <c r="W211" s="74"/>
      <c r="X211" s="74"/>
      <c r="Y211" s="64"/>
      <c r="Z211" s="74"/>
      <c r="AA211" s="74"/>
      <c r="AB211" s="74"/>
      <c r="AC211" s="74"/>
      <c r="AD211" s="74"/>
      <c r="AE211" s="140"/>
      <c r="AF211" s="81">
        <v>7</v>
      </c>
      <c r="AG211" s="76"/>
      <c r="AH211" s="76">
        <v>0</v>
      </c>
      <c r="AI211" s="76"/>
      <c r="AJ211" s="122" t="s">
        <v>988</v>
      </c>
      <c r="AK211" s="130"/>
      <c r="AL211" s="139" t="s">
        <v>1628</v>
      </c>
      <c r="AM211" s="431" t="str">
        <f>VLOOKUP($Q211,Resultados!$A$1:$C$49,3,FALSE)</f>
        <v>DEVUELTA</v>
      </c>
    </row>
    <row r="212" spans="1:39" customFormat="1" ht="51">
      <c r="A212" s="372">
        <v>340</v>
      </c>
      <c r="B212" s="163">
        <v>45254</v>
      </c>
      <c r="C212" s="328" t="s">
        <v>15</v>
      </c>
      <c r="D212" s="16" t="s">
        <v>1507</v>
      </c>
      <c r="E212" s="281" t="s">
        <v>1508</v>
      </c>
      <c r="F212" s="165">
        <v>3</v>
      </c>
      <c r="G212" s="74" t="s">
        <v>1750</v>
      </c>
      <c r="H212" s="307">
        <v>45378</v>
      </c>
      <c r="I212" s="163"/>
      <c r="J212" s="163"/>
      <c r="K212" s="165" t="str">
        <f>IFERROR(VLOOKUP(J212,Jueces!$A$1:$B$11,2,FALSE),"")</f>
        <v/>
      </c>
      <c r="L212" s="16" t="s">
        <v>86</v>
      </c>
      <c r="M212" s="16"/>
      <c r="N212" s="16" t="s">
        <v>2931</v>
      </c>
      <c r="O212" s="24" t="str">
        <f>IF(Q212=" _","NO","SI")</f>
        <v>SI</v>
      </c>
      <c r="P212" s="24" t="str">
        <f ca="1">IF(color_Celda(E212)=12106214,"ROSA",IF(color_Celda(E212)=65535,"AMARILLO",IF(color_Celda(E212)=5296274,"VERDE",IF(color_Celda(E212)=16777215,"BLANCO","NO SE"))))</f>
        <v>ROSA</v>
      </c>
      <c r="Q212" s="16" t="s">
        <v>3306</v>
      </c>
      <c r="R212" s="4" t="s">
        <v>2437</v>
      </c>
      <c r="S212" s="16"/>
      <c r="T212" s="166"/>
      <c r="U212" s="166"/>
      <c r="V212" s="165"/>
      <c r="W212" s="165"/>
      <c r="X212" s="165"/>
      <c r="Y212" s="64"/>
      <c r="Z212" s="165"/>
      <c r="AA212" s="165"/>
      <c r="AB212" s="165"/>
      <c r="AC212" s="165"/>
      <c r="AD212" s="165"/>
      <c r="AE212" s="167"/>
      <c r="AF212" s="168"/>
      <c r="AG212" s="168"/>
      <c r="AH212" s="168"/>
      <c r="AI212" s="168"/>
      <c r="AJ212" s="242" t="s">
        <v>988</v>
      </c>
      <c r="AK212" s="169"/>
      <c r="AL212" s="139" t="s">
        <v>1628</v>
      </c>
      <c r="AM212" s="431" t="str">
        <f>VLOOKUP($Q212,Resultados!$A$1:$C$49,3,FALSE)</f>
        <v>DEVUELTA</v>
      </c>
    </row>
    <row r="213" spans="1:39" customFormat="1" ht="51">
      <c r="A213" s="372">
        <v>341</v>
      </c>
      <c r="B213" s="163">
        <v>45254</v>
      </c>
      <c r="C213" s="328" t="s">
        <v>15</v>
      </c>
      <c r="D213" s="16" t="s">
        <v>1515</v>
      </c>
      <c r="E213" s="281" t="s">
        <v>1516</v>
      </c>
      <c r="F213" s="165">
        <v>3</v>
      </c>
      <c r="G213" s="74" t="s">
        <v>1750</v>
      </c>
      <c r="H213" s="307">
        <v>45378</v>
      </c>
      <c r="I213" s="163"/>
      <c r="J213" s="163"/>
      <c r="K213" s="165" t="str">
        <f>IFERROR(VLOOKUP(J213,Jueces!$A$1:$B$11,2,FALSE),"")</f>
        <v/>
      </c>
      <c r="L213" s="16" t="s">
        <v>2170</v>
      </c>
      <c r="M213" s="16" t="s">
        <v>47</v>
      </c>
      <c r="N213" s="16" t="s">
        <v>2933</v>
      </c>
      <c r="O213" s="24" t="str">
        <f>IF(Q213=" _","NO","SI")</f>
        <v>SI</v>
      </c>
      <c r="P213" s="24" t="str">
        <f ca="1">IF(color_Celda(E213)=12106214,"ROSA",IF(color_Celda(E213)=65535,"AMARILLO",IF(color_Celda(E213)=5296274,"VERDE",IF(color_Celda(E213)=16777215,"BLANCO","NO SE"))))</f>
        <v>ROSA</v>
      </c>
      <c r="Q213" s="16" t="s">
        <v>3306</v>
      </c>
      <c r="R213" s="4" t="str">
        <f>VLOOKUP($Q213,Resultados!$A$1:$B$49,2,FALSE)</f>
        <v>DEVUELTA CON REBELDIA</v>
      </c>
      <c r="S213" s="16"/>
      <c r="T213" s="166"/>
      <c r="U213" s="166"/>
      <c r="V213" s="165"/>
      <c r="W213" s="165"/>
      <c r="X213" s="165"/>
      <c r="Y213" s="64"/>
      <c r="Z213" s="165"/>
      <c r="AA213" s="165"/>
      <c r="AB213" s="165"/>
      <c r="AC213" s="165"/>
      <c r="AD213" s="165"/>
      <c r="AE213" s="167"/>
      <c r="AF213" s="168"/>
      <c r="AG213" s="168"/>
      <c r="AH213" s="168"/>
      <c r="AI213" s="168"/>
      <c r="AJ213" s="242" t="s">
        <v>988</v>
      </c>
      <c r="AK213" s="169"/>
      <c r="AL213" s="139" t="s">
        <v>1628</v>
      </c>
      <c r="AM213" s="431" t="str">
        <f>VLOOKUP($Q213,Resultados!$A$1:$C$49,3,FALSE)</f>
        <v>DEVUELTA</v>
      </c>
    </row>
    <row r="214" spans="1:39" customFormat="1" ht="51">
      <c r="A214" s="372">
        <v>415</v>
      </c>
      <c r="B214" s="85">
        <v>45265</v>
      </c>
      <c r="C214" s="325" t="s">
        <v>1123</v>
      </c>
      <c r="D214" s="79" t="s">
        <v>1124</v>
      </c>
      <c r="E214" s="88" t="s">
        <v>1125</v>
      </c>
      <c r="F214" s="74">
        <v>4</v>
      </c>
      <c r="G214" s="74" t="s">
        <v>325</v>
      </c>
      <c r="H214" s="305">
        <v>45378</v>
      </c>
      <c r="I214" s="85"/>
      <c r="J214" s="85"/>
      <c r="K214" s="74" t="s">
        <v>1480</v>
      </c>
      <c r="L214" s="79" t="s">
        <v>72</v>
      </c>
      <c r="M214" s="79"/>
      <c r="N214" s="74" t="s">
        <v>2708</v>
      </c>
      <c r="O214" s="24" t="str">
        <f>IF(Q214=" _","NO","SI")</f>
        <v>SI</v>
      </c>
      <c r="P214" s="24" t="str">
        <f ca="1">IF(color_Celda(E214)=12106214,"ROSA",IF(color_Celda(E214)=65535,"AMARILLO",IF(color_Celda(E214)=5296274,"VERDE",IF(color_Celda(E214)=16777215,"BLANCO","NO SE"))))</f>
        <v>ROSA</v>
      </c>
      <c r="Q214" s="79" t="s">
        <v>2709</v>
      </c>
      <c r="R214" s="4" t="str">
        <f>VLOOKUP($Q214,Resultados!$A$1:$B$49,2,FALSE)</f>
        <v>DEVUELTA POR PRESCRIPCION</v>
      </c>
      <c r="S214" s="79"/>
      <c r="T214" s="86"/>
      <c r="U214" s="86"/>
      <c r="V214" s="74"/>
      <c r="W214" s="74"/>
      <c r="X214" s="74"/>
      <c r="Y214" s="64"/>
      <c r="Z214" s="74"/>
      <c r="AA214" s="74"/>
      <c r="AB214" s="74"/>
      <c r="AC214" s="74"/>
      <c r="AD214" s="74"/>
      <c r="AE214" s="140"/>
      <c r="AF214" s="76">
        <v>7</v>
      </c>
      <c r="AG214" s="76"/>
      <c r="AH214" s="76">
        <v>0</v>
      </c>
      <c r="AI214" s="76"/>
      <c r="AJ214" s="122" t="s">
        <v>988</v>
      </c>
      <c r="AK214" s="153"/>
      <c r="AL214" s="139" t="s">
        <v>1628</v>
      </c>
      <c r="AM214" s="431" t="str">
        <f>VLOOKUP($Q214,Resultados!$A$1:$C$49,3,FALSE)</f>
        <v>DEVUELTA</v>
      </c>
    </row>
    <row r="215" spans="1:39" customFormat="1" ht="127.5">
      <c r="A215" s="372">
        <v>554</v>
      </c>
      <c r="B215" s="85">
        <v>45320</v>
      </c>
      <c r="C215" s="326" t="s">
        <v>15</v>
      </c>
      <c r="D215" s="79" t="s">
        <v>1457</v>
      </c>
      <c r="E215" s="84" t="s">
        <v>1458</v>
      </c>
      <c r="F215" s="74">
        <v>5</v>
      </c>
      <c r="G215" s="74" t="s">
        <v>325</v>
      </c>
      <c r="H215" s="305">
        <v>45378</v>
      </c>
      <c r="I215" s="85"/>
      <c r="J215" s="85"/>
      <c r="K215" s="74" t="s">
        <v>1480</v>
      </c>
      <c r="L215" s="79" t="s">
        <v>127</v>
      </c>
      <c r="M215" s="79" t="s">
        <v>270</v>
      </c>
      <c r="N215" s="74" t="s">
        <v>2929</v>
      </c>
      <c r="O215" s="24" t="str">
        <f>IF(Q215=" _","NO","SI")</f>
        <v>SI</v>
      </c>
      <c r="P215" s="24" t="str">
        <f ca="1">IF(color_Celda(E215)=12106214,"ROSA",IF(color_Celda(E215)=65535,"AMARILLO",IF(color_Celda(E215)=5296274,"VERDE",IF(color_Celda(E215)=16777215,"BLANCO","NO SE"))))</f>
        <v>ROSA</v>
      </c>
      <c r="Q215" s="79" t="s">
        <v>1162</v>
      </c>
      <c r="R215" s="4" t="str">
        <f>VLOOKUP($Q215,Resultados!$A$1:$B$49,2,FALSE)</f>
        <v>ELEVADA A JUICIO</v>
      </c>
      <c r="S215" s="79"/>
      <c r="T215" s="86"/>
      <c r="U215" s="86"/>
      <c r="V215" s="74"/>
      <c r="W215" s="74"/>
      <c r="X215" s="74"/>
      <c r="Y215" s="64"/>
      <c r="Z215" s="74"/>
      <c r="AA215" s="74"/>
      <c r="AB215" s="74"/>
      <c r="AC215" s="74"/>
      <c r="AD215" s="74"/>
      <c r="AE215" s="140"/>
      <c r="AF215" s="76"/>
      <c r="AG215" s="76"/>
      <c r="AH215" s="76"/>
      <c r="AI215" s="76"/>
      <c r="AJ215" s="122" t="s">
        <v>408</v>
      </c>
      <c r="AK215" s="130"/>
      <c r="AL215" s="139" t="s">
        <v>1628</v>
      </c>
      <c r="AM215" s="431" t="str">
        <f>VLOOKUP($Q215,Resultados!$A$1:$C$49,3,FALSE)</f>
        <v>ELEVADA</v>
      </c>
    </row>
    <row r="216" spans="1:39" customFormat="1" ht="114.75">
      <c r="A216" s="372">
        <v>449</v>
      </c>
      <c r="B216" s="85">
        <v>45267</v>
      </c>
      <c r="C216" s="325" t="s">
        <v>130</v>
      </c>
      <c r="D216" s="79" t="s">
        <v>1195</v>
      </c>
      <c r="E216" s="84" t="s">
        <v>1205</v>
      </c>
      <c r="F216" s="74">
        <v>3</v>
      </c>
      <c r="G216" s="74" t="s">
        <v>326</v>
      </c>
      <c r="H216" s="305">
        <v>45385</v>
      </c>
      <c r="I216" s="85"/>
      <c r="J216" s="85"/>
      <c r="K216" s="74" t="s">
        <v>1480</v>
      </c>
      <c r="L216" s="79" t="s">
        <v>2172</v>
      </c>
      <c r="M216" s="79" t="s">
        <v>327</v>
      </c>
      <c r="N216" s="79" t="s">
        <v>2682</v>
      </c>
      <c r="O216" s="24" t="str">
        <f>IF(Q216=" _","NO","SI")</f>
        <v>SI</v>
      </c>
      <c r="P216" s="24" t="str">
        <f ca="1">IF(color_Celda(E216)=12106214,"ROSA",IF(color_Celda(E216)=65535,"AMARILLO",IF(color_Celda(E216)=5296274,"VERDE",IF(color_Celda(E216)=16777215,"BLANCO","NO SE"))))</f>
        <v>ROSA</v>
      </c>
      <c r="Q216" s="79" t="s">
        <v>1162</v>
      </c>
      <c r="R216" s="4" t="str">
        <f>VLOOKUP($Q216,Resultados!$A$1:$B$49,2,FALSE)</f>
        <v>ELEVADA A JUICIO</v>
      </c>
      <c r="S216" s="79"/>
      <c r="T216" s="86"/>
      <c r="U216" s="86"/>
      <c r="V216" s="74"/>
      <c r="W216" s="74"/>
      <c r="X216" s="74"/>
      <c r="Y216" s="64"/>
      <c r="Z216" s="74"/>
      <c r="AA216" s="74"/>
      <c r="AB216" s="74"/>
      <c r="AC216" s="74"/>
      <c r="AD216" s="74"/>
      <c r="AE216" s="140"/>
      <c r="AF216" s="76">
        <v>7</v>
      </c>
      <c r="AG216" s="76"/>
      <c r="AH216" s="76">
        <v>0</v>
      </c>
      <c r="AI216" s="76"/>
      <c r="AJ216" s="122" t="s">
        <v>408</v>
      </c>
      <c r="AK216" s="130"/>
      <c r="AL216" s="139" t="s">
        <v>1628</v>
      </c>
      <c r="AM216" s="431" t="str">
        <f>VLOOKUP($Q216,Resultados!$A$1:$C$49,3,FALSE)</f>
        <v>ELEVADA</v>
      </c>
    </row>
    <row r="217" spans="1:39" customFormat="1" ht="63.75">
      <c r="A217" s="372">
        <v>294</v>
      </c>
      <c r="B217" s="85">
        <v>45246</v>
      </c>
      <c r="C217" s="325" t="s">
        <v>891</v>
      </c>
      <c r="D217" s="79" t="s">
        <v>892</v>
      </c>
      <c r="E217" s="88" t="s">
        <v>893</v>
      </c>
      <c r="F217" s="74">
        <v>6</v>
      </c>
      <c r="G217" s="74" t="s">
        <v>2996</v>
      </c>
      <c r="H217" s="305">
        <v>45386</v>
      </c>
      <c r="I217" s="85"/>
      <c r="J217" s="85"/>
      <c r="K217" s="74" t="s">
        <v>1480</v>
      </c>
      <c r="L217" s="79" t="s">
        <v>74</v>
      </c>
      <c r="M217" s="79"/>
      <c r="N217" s="105" t="s">
        <v>2998</v>
      </c>
      <c r="O217" s="24" t="str">
        <f>IF(Q217=" _","NO","SI")</f>
        <v>SI</v>
      </c>
      <c r="P217" s="24" t="str">
        <f ca="1">IF(color_Celda(E217)=12106214,"ROSA",IF(color_Celda(E217)=65535,"AMARILLO",IF(color_Celda(E217)=5296274,"VERDE",IF(color_Celda(E217)=16777215,"BLANCO","NO SE"))))</f>
        <v>ROSA</v>
      </c>
      <c r="Q217" s="79" t="s">
        <v>1162</v>
      </c>
      <c r="R217" s="4" t="str">
        <f>VLOOKUP($Q217,Resultados!$A$1:$B$49,2,FALSE)</f>
        <v>ELEVADA A JUICIO</v>
      </c>
      <c r="S217" s="79"/>
      <c r="T217" s="86"/>
      <c r="U217" s="86"/>
      <c r="V217" s="74"/>
      <c r="W217" s="74"/>
      <c r="X217" s="74"/>
      <c r="Y217" s="64"/>
      <c r="Z217" s="74"/>
      <c r="AA217" s="74"/>
      <c r="AB217" s="74"/>
      <c r="AC217" s="74"/>
      <c r="AD217" s="74"/>
      <c r="AE217" s="140"/>
      <c r="AF217" s="81">
        <v>7</v>
      </c>
      <c r="AG217" s="76"/>
      <c r="AH217" s="76">
        <v>0</v>
      </c>
      <c r="AI217" s="76"/>
      <c r="AJ217" s="122" t="s">
        <v>988</v>
      </c>
      <c r="AK217" s="138"/>
      <c r="AL217" s="139" t="s">
        <v>1628</v>
      </c>
      <c r="AM217" s="431" t="str">
        <f>VLOOKUP($Q217,Resultados!$A$1:$C$49,3,FALSE)</f>
        <v>ELEVADA</v>
      </c>
    </row>
    <row r="218" spans="1:39" customFormat="1" ht="38.25">
      <c r="A218" s="372">
        <v>402</v>
      </c>
      <c r="B218" s="85">
        <v>45265</v>
      </c>
      <c r="C218" s="325" t="s">
        <v>753</v>
      </c>
      <c r="D218" s="79" t="s">
        <v>1094</v>
      </c>
      <c r="E218" s="88" t="s">
        <v>1095</v>
      </c>
      <c r="F218" s="79">
        <v>4</v>
      </c>
      <c r="G218" s="74" t="s">
        <v>325</v>
      </c>
      <c r="H218" s="85">
        <v>45386</v>
      </c>
      <c r="I218" s="85"/>
      <c r="J218" s="85"/>
      <c r="K218" s="74" t="s">
        <v>1480</v>
      </c>
      <c r="L218" s="79" t="s">
        <v>75</v>
      </c>
      <c r="M218" s="79"/>
      <c r="N218" s="105" t="s">
        <v>2708</v>
      </c>
      <c r="O218" s="24" t="str">
        <f>IF(Q218=" _","NO","SI")</f>
        <v>SI</v>
      </c>
      <c r="P218" s="24" t="str">
        <f ca="1">IF(color_Celda(E218)=12106214,"ROSA",IF(color_Celda(E218)=65535,"AMARILLO",IF(color_Celda(E218)=5296274,"VERDE",IF(color_Celda(E218)=16777215,"BLANCO","NO SE"))))</f>
        <v>ROSA</v>
      </c>
      <c r="Q218" s="79" t="s">
        <v>2709</v>
      </c>
      <c r="R218" s="4" t="str">
        <f>VLOOKUP($Q218,Resultados!$A$1:$B$49,2,FALSE)</f>
        <v>DEVUELTA POR PRESCRIPCION</v>
      </c>
      <c r="S218" s="79"/>
      <c r="T218" s="86"/>
      <c r="U218" s="86"/>
      <c r="V218" s="74"/>
      <c r="W218" s="74"/>
      <c r="X218" s="74"/>
      <c r="Y218" s="64"/>
      <c r="Z218" s="74"/>
      <c r="AA218" s="74"/>
      <c r="AB218" s="74"/>
      <c r="AC218" s="74"/>
      <c r="AD218" s="74"/>
      <c r="AE218" s="140"/>
      <c r="AF218" s="76">
        <v>7</v>
      </c>
      <c r="AG218" s="76"/>
      <c r="AH218" s="76">
        <v>0</v>
      </c>
      <c r="AI218" s="76"/>
      <c r="AJ218" s="122" t="s">
        <v>988</v>
      </c>
      <c r="AK218" s="138"/>
      <c r="AL218" s="139" t="s">
        <v>1628</v>
      </c>
      <c r="AM218" s="431" t="str">
        <f>VLOOKUP($Q218,Resultados!$A$1:$C$49,3,FALSE)</f>
        <v>DEVUELTA</v>
      </c>
    </row>
    <row r="219" spans="1:39" customFormat="1" ht="63.75">
      <c r="A219" s="372">
        <v>493</v>
      </c>
      <c r="B219" s="85">
        <v>45279</v>
      </c>
      <c r="C219" s="325" t="s">
        <v>1288</v>
      </c>
      <c r="D219" s="79" t="s">
        <v>1200</v>
      </c>
      <c r="E219" s="84" t="s">
        <v>3002</v>
      </c>
      <c r="F219" s="74">
        <v>1</v>
      </c>
      <c r="G219" s="74" t="s">
        <v>10</v>
      </c>
      <c r="H219" s="85">
        <v>45391</v>
      </c>
      <c r="I219" s="85"/>
      <c r="J219" s="85"/>
      <c r="K219" s="74" t="s">
        <v>1480</v>
      </c>
      <c r="L219" s="79" t="s">
        <v>2170</v>
      </c>
      <c r="M219" s="79" t="s">
        <v>1289</v>
      </c>
      <c r="N219" s="105" t="s">
        <v>3001</v>
      </c>
      <c r="O219" s="24" t="str">
        <f>IF(Q219=" _","NO","SI")</f>
        <v>SI</v>
      </c>
      <c r="P219" s="24" t="str">
        <f ca="1">IF(color_Celda(E219)=12106214,"ROSA",IF(color_Celda(E219)=65535,"AMARILLO",IF(color_Celda(E219)=5296274,"VERDE",IF(color_Celda(E219)=16777215,"BLANCO","NO SE"))))</f>
        <v>ROSA</v>
      </c>
      <c r="Q219" s="79" t="s">
        <v>95</v>
      </c>
      <c r="R219" s="4" t="str">
        <f>VLOOKUP($Q219,Resultados!$A$1:$B$49,2,FALSE)</f>
        <v>Juicio Abreviado</v>
      </c>
      <c r="S219" s="79"/>
      <c r="T219" s="86"/>
      <c r="U219" s="86"/>
      <c r="V219" s="74"/>
      <c r="W219" s="74"/>
      <c r="X219" s="74"/>
      <c r="Y219" s="64"/>
      <c r="Z219" s="74"/>
      <c r="AA219" s="74"/>
      <c r="AB219" s="74"/>
      <c r="AC219" s="74"/>
      <c r="AD219" s="74"/>
      <c r="AE219" s="140"/>
      <c r="AF219" s="76">
        <v>7</v>
      </c>
      <c r="AG219" s="76"/>
      <c r="AH219" s="76">
        <v>0</v>
      </c>
      <c r="AI219" s="76"/>
      <c r="AJ219" s="122" t="s">
        <v>408</v>
      </c>
      <c r="AK219" s="130"/>
      <c r="AL219" s="139" t="s">
        <v>1628</v>
      </c>
      <c r="AM219" s="431" t="str">
        <f>VLOOKUP($Q219,Resultados!$A$1:$C$49,3,FALSE)</f>
        <v>RESUELTA</v>
      </c>
    </row>
    <row r="220" spans="1:39" customFormat="1" ht="51">
      <c r="A220" s="372">
        <v>708</v>
      </c>
      <c r="B220" s="163">
        <v>45350</v>
      </c>
      <c r="C220" s="328" t="s">
        <v>721</v>
      </c>
      <c r="D220" s="16" t="s">
        <v>1971</v>
      </c>
      <c r="E220" s="164" t="s">
        <v>1975</v>
      </c>
      <c r="F220" s="165">
        <v>1</v>
      </c>
      <c r="G220" s="165" t="s">
        <v>326</v>
      </c>
      <c r="H220" s="307">
        <v>45391</v>
      </c>
      <c r="I220" s="17"/>
      <c r="J220" s="17"/>
      <c r="K220" s="16"/>
      <c r="L220" s="16" t="s">
        <v>2172</v>
      </c>
      <c r="M220" s="16" t="s">
        <v>60</v>
      </c>
      <c r="N220" s="179" t="s">
        <v>2950</v>
      </c>
      <c r="O220" s="24" t="str">
        <f>IF(Q220=" _","NO","SI")</f>
        <v>SI</v>
      </c>
      <c r="P220" s="24" t="str">
        <f ca="1">IF(color_Celda(E220)=12106214,"ROSA",IF(color_Celda(E220)=65535,"AMARILLO",IF(color_Celda(E220)=5296274,"VERDE",IF(color_Celda(E220)=16777215,"BLANCO","NO SE"))))</f>
        <v>ROSA</v>
      </c>
      <c r="Q220" s="16" t="s">
        <v>1162</v>
      </c>
      <c r="R220" s="4" t="str">
        <f>VLOOKUP($Q220,Resultados!$A$1:$B$49,2,FALSE)</f>
        <v>ELEVADA A JUICIO</v>
      </c>
      <c r="S220" s="16"/>
      <c r="T220" s="166"/>
      <c r="U220" s="166"/>
      <c r="V220" s="165"/>
      <c r="W220" s="165"/>
      <c r="X220" s="165"/>
      <c r="Y220" s="64"/>
      <c r="Z220" s="165"/>
      <c r="AA220" s="165"/>
      <c r="AB220" s="165"/>
      <c r="AC220" s="165"/>
      <c r="AD220" s="165"/>
      <c r="AE220" s="167"/>
      <c r="AF220" s="168"/>
      <c r="AG220" s="168"/>
      <c r="AH220" s="168"/>
      <c r="AI220" s="168"/>
      <c r="AJ220" s="242" t="s">
        <v>408</v>
      </c>
      <c r="AK220" s="169"/>
      <c r="AL220" s="139" t="s">
        <v>1628</v>
      </c>
      <c r="AM220" s="431" t="str">
        <f>VLOOKUP($Q220,Resultados!$A$1:$C$49,3,FALSE)</f>
        <v>ELEVADA</v>
      </c>
    </row>
    <row r="221" spans="1:39" customFormat="1" ht="165.75">
      <c r="A221" s="372">
        <v>789</v>
      </c>
      <c r="B221" s="163">
        <v>45363</v>
      </c>
      <c r="C221" s="328" t="s">
        <v>867</v>
      </c>
      <c r="D221" s="16" t="s">
        <v>2582</v>
      </c>
      <c r="E221" s="164" t="s">
        <v>2619</v>
      </c>
      <c r="F221" s="165">
        <v>7</v>
      </c>
      <c r="G221" s="16" t="s">
        <v>2996</v>
      </c>
      <c r="H221" s="307">
        <v>45391</v>
      </c>
      <c r="I221" s="163"/>
      <c r="J221" s="163"/>
      <c r="K221" s="165" t="s">
        <v>1480</v>
      </c>
      <c r="L221" s="79" t="s">
        <v>250</v>
      </c>
      <c r="M221" s="79" t="s">
        <v>52</v>
      </c>
      <c r="N221" s="179" t="s">
        <v>1162</v>
      </c>
      <c r="O221" s="24" t="str">
        <f>IF(Q221=" _","NO","SI")</f>
        <v>SI</v>
      </c>
      <c r="P221" s="24" t="str">
        <f ca="1">IF(color_Celda(E221)=12106214,"ROSA",IF(color_Celda(E221)=65535,"AMARILLO",IF(color_Celda(E221)=5296274,"VERDE",IF(color_Celda(E221)=16777215,"BLANCO","NO SE"))))</f>
        <v>ROSA</v>
      </c>
      <c r="Q221" s="16" t="s">
        <v>1162</v>
      </c>
      <c r="R221" s="4" t="str">
        <f>VLOOKUP($Q221,Resultados!$A$1:$B$49,2,FALSE)</f>
        <v>ELEVADA A JUICIO</v>
      </c>
      <c r="S221" s="16"/>
      <c r="T221" s="86"/>
      <c r="U221" s="166"/>
      <c r="V221" s="165"/>
      <c r="W221" s="165"/>
      <c r="X221" s="165"/>
      <c r="Y221" s="64"/>
      <c r="Z221" s="165"/>
      <c r="AA221" s="165"/>
      <c r="AB221" s="165"/>
      <c r="AC221" s="165"/>
      <c r="AD221" s="165"/>
      <c r="AE221" s="167"/>
      <c r="AF221" s="168"/>
      <c r="AG221" s="168"/>
      <c r="AH221" s="168"/>
      <c r="AI221" s="168"/>
      <c r="AJ221" s="122" t="s">
        <v>408</v>
      </c>
      <c r="AK221" s="169"/>
      <c r="AL221" s="139" t="s">
        <v>1628</v>
      </c>
      <c r="AM221" s="431" t="str">
        <f>VLOOKUP($Q221,Resultados!$A$1:$C$49,3,FALSE)</f>
        <v>ELEVADA</v>
      </c>
    </row>
    <row r="222" spans="1:39" customFormat="1" ht="76.5">
      <c r="A222" s="372">
        <v>794</v>
      </c>
      <c r="B222" s="163">
        <v>45363</v>
      </c>
      <c r="C222" s="328" t="s">
        <v>26</v>
      </c>
      <c r="D222" s="16" t="s">
        <v>2594</v>
      </c>
      <c r="E222" s="164" t="s">
        <v>2596</v>
      </c>
      <c r="F222" s="165">
        <v>7</v>
      </c>
      <c r="G222" s="16" t="s">
        <v>326</v>
      </c>
      <c r="H222" s="308">
        <v>45391</v>
      </c>
      <c r="I222" s="163"/>
      <c r="J222" s="163"/>
      <c r="K222" s="165" t="s">
        <v>1480</v>
      </c>
      <c r="L222" s="79" t="s">
        <v>88</v>
      </c>
      <c r="M222" s="79" t="s">
        <v>90</v>
      </c>
      <c r="N222" s="179" t="s">
        <v>2999</v>
      </c>
      <c r="O222" s="24" t="str">
        <f>IF(Q222=" _","NO","SI")</f>
        <v>SI</v>
      </c>
      <c r="P222" s="24" t="str">
        <f ca="1">IF(color_Celda(E222)=12106214,"ROSA",IF(color_Celda(E222)=65535,"AMARILLO",IF(color_Celda(E222)=5296274,"VERDE",IF(color_Celda(E222)=16777215,"BLANCO","NO SE"))))</f>
        <v>ROSA</v>
      </c>
      <c r="Q222" s="16" t="s">
        <v>1162</v>
      </c>
      <c r="R222" s="4" t="str">
        <f>VLOOKUP($Q222,Resultados!$A$1:$B$49,2,FALSE)</f>
        <v>ELEVADA A JUICIO</v>
      </c>
      <c r="S222" s="16"/>
      <c r="T222" s="86"/>
      <c r="U222" s="166"/>
      <c r="V222" s="165"/>
      <c r="W222" s="165"/>
      <c r="X222" s="165"/>
      <c r="Y222" s="64"/>
      <c r="Z222" s="165"/>
      <c r="AA222" s="165"/>
      <c r="AB222" s="165"/>
      <c r="AC222" s="165"/>
      <c r="AD222" s="165"/>
      <c r="AE222" s="167"/>
      <c r="AF222" s="168"/>
      <c r="AG222" s="168"/>
      <c r="AH222" s="168"/>
      <c r="AI222" s="168"/>
      <c r="AJ222" s="122" t="s">
        <v>408</v>
      </c>
      <c r="AK222" s="169"/>
      <c r="AL222" s="139" t="s">
        <v>1628</v>
      </c>
      <c r="AM222" s="431" t="str">
        <f>VLOOKUP($Q222,Resultados!$A$1:$C$49,3,FALSE)</f>
        <v>ELEVADA</v>
      </c>
    </row>
    <row r="223" spans="1:39" customFormat="1" ht="51">
      <c r="A223" s="372">
        <v>221</v>
      </c>
      <c r="B223" s="85">
        <v>45243</v>
      </c>
      <c r="C223" s="325" t="s">
        <v>753</v>
      </c>
      <c r="D223" s="79" t="s">
        <v>754</v>
      </c>
      <c r="E223" s="88" t="s">
        <v>755</v>
      </c>
      <c r="F223" s="74">
        <v>2</v>
      </c>
      <c r="G223" s="74" t="s">
        <v>325</v>
      </c>
      <c r="H223" s="305">
        <v>45393</v>
      </c>
      <c r="I223" s="85"/>
      <c r="J223" s="85"/>
      <c r="K223" s="74" t="s">
        <v>1480</v>
      </c>
      <c r="L223" s="79" t="s">
        <v>25</v>
      </c>
      <c r="M223" s="79"/>
      <c r="N223" s="74" t="s">
        <v>2986</v>
      </c>
      <c r="O223" s="24" t="str">
        <f>IF(Q223=" _","NO","SI")</f>
        <v>SI</v>
      </c>
      <c r="P223" s="24" t="str">
        <f ca="1">IF(color_Celda(E223)=12106214,"ROSA",IF(color_Celda(E223)=65535,"AMARILLO",IF(color_Celda(E223)=5296274,"VERDE",IF(color_Celda(E223)=16777215,"BLANCO","NO SE"))))</f>
        <v>ROSA</v>
      </c>
      <c r="Q223" s="79" t="s">
        <v>1162</v>
      </c>
      <c r="R223" s="4" t="str">
        <f>VLOOKUP($Q223,Resultados!$A$1:$B$49,2,FALSE)</f>
        <v>ELEVADA A JUICIO</v>
      </c>
      <c r="S223" s="79"/>
      <c r="T223" s="86"/>
      <c r="U223" s="86"/>
      <c r="V223" s="74"/>
      <c r="W223" s="74"/>
      <c r="X223" s="74"/>
      <c r="Y223" s="64"/>
      <c r="Z223" s="74"/>
      <c r="AA223" s="74"/>
      <c r="AB223" s="74"/>
      <c r="AC223" s="74"/>
      <c r="AD223" s="74"/>
      <c r="AE223" s="140"/>
      <c r="AF223" s="81">
        <v>7</v>
      </c>
      <c r="AG223" s="76"/>
      <c r="AH223" s="76">
        <v>0</v>
      </c>
      <c r="AI223" s="76"/>
      <c r="AJ223" s="122" t="s">
        <v>988</v>
      </c>
      <c r="AK223" s="138"/>
      <c r="AL223" s="139" t="s">
        <v>1628</v>
      </c>
      <c r="AM223" s="431" t="str">
        <f>VLOOKUP($Q223,Resultados!$A$1:$C$49,3,FALSE)</f>
        <v>ELEVADA</v>
      </c>
    </row>
    <row r="224" spans="1:39" customFormat="1" ht="165.75">
      <c r="A224" s="372">
        <v>271</v>
      </c>
      <c r="B224" s="85">
        <v>45245</v>
      </c>
      <c r="C224" s="325" t="s">
        <v>860</v>
      </c>
      <c r="D224" s="79" t="s">
        <v>38</v>
      </c>
      <c r="E224" s="88" t="s">
        <v>861</v>
      </c>
      <c r="F224" s="74">
        <v>3</v>
      </c>
      <c r="G224" s="74" t="s">
        <v>2996</v>
      </c>
      <c r="H224" s="85">
        <v>45393</v>
      </c>
      <c r="I224" s="85"/>
      <c r="J224" s="85"/>
      <c r="K224" s="74" t="s">
        <v>1480</v>
      </c>
      <c r="L224" s="79" t="s">
        <v>87</v>
      </c>
      <c r="M224" s="79" t="s">
        <v>52</v>
      </c>
      <c r="N224" s="79" t="s">
        <v>2997</v>
      </c>
      <c r="O224" s="24" t="str">
        <f>IF(Q224=" _","NO","SI")</f>
        <v>SI</v>
      </c>
      <c r="P224" s="24" t="str">
        <f ca="1">IF(color_Celda(E224)=12106214,"ROSA",IF(color_Celda(E224)=65535,"AMARILLO",IF(color_Celda(E224)=5296274,"VERDE",IF(color_Celda(E224)=16777215,"BLANCO","NO SE"))))</f>
        <v>ROSA</v>
      </c>
      <c r="Q224" s="79" t="s">
        <v>1162</v>
      </c>
      <c r="R224" s="4" t="str">
        <f>VLOOKUP($Q224,Resultados!$A$1:$B$49,2,FALSE)</f>
        <v>ELEVADA A JUICIO</v>
      </c>
      <c r="S224" s="79"/>
      <c r="T224" s="86"/>
      <c r="U224" s="86"/>
      <c r="V224" s="74"/>
      <c r="W224" s="74"/>
      <c r="X224" s="74"/>
      <c r="Y224" s="64"/>
      <c r="Z224" s="74"/>
      <c r="AA224" s="74"/>
      <c r="AB224" s="74"/>
      <c r="AC224" s="74"/>
      <c r="AD224" s="74"/>
      <c r="AE224" s="140"/>
      <c r="AF224" s="81">
        <v>7</v>
      </c>
      <c r="AG224" s="76"/>
      <c r="AH224" s="76">
        <v>0</v>
      </c>
      <c r="AI224" s="76"/>
      <c r="AJ224" s="122" t="s">
        <v>988</v>
      </c>
      <c r="AK224" s="138"/>
      <c r="AL224" s="139" t="s">
        <v>1628</v>
      </c>
      <c r="AM224" s="431" t="str">
        <f>VLOOKUP($Q224,Resultados!$A$1:$C$49,3,FALSE)</f>
        <v>ELEVADA</v>
      </c>
    </row>
    <row r="225" spans="1:39" customFormat="1" ht="102">
      <c r="A225" s="372">
        <v>701</v>
      </c>
      <c r="B225" s="163">
        <v>45350</v>
      </c>
      <c r="C225" s="328" t="s">
        <v>1411</v>
      </c>
      <c r="D225" s="16" t="s">
        <v>1879</v>
      </c>
      <c r="E225" s="164" t="s">
        <v>1883</v>
      </c>
      <c r="F225" s="165">
        <v>3</v>
      </c>
      <c r="G225" s="16" t="s">
        <v>325</v>
      </c>
      <c r="H225" s="307">
        <v>45393</v>
      </c>
      <c r="I225" s="163"/>
      <c r="J225" s="163"/>
      <c r="K225" s="165" t="str">
        <f>IFERROR(VLOOKUP(J225,Jueces!$A$1:$B$11,2,FALSE),"")</f>
        <v/>
      </c>
      <c r="L225" s="16" t="s">
        <v>2172</v>
      </c>
      <c r="M225" s="16" t="s">
        <v>44</v>
      </c>
      <c r="N225" s="16" t="s">
        <v>2985</v>
      </c>
      <c r="O225" s="24" t="str">
        <f>IF(Q225=" _","NO","SI")</f>
        <v>SI</v>
      </c>
      <c r="P225" s="24" t="str">
        <f ca="1">IF(color_Celda(E225)=12106214,"ROSA",IF(color_Celda(E225)=65535,"AMARILLO",IF(color_Celda(E225)=5296274,"VERDE",IF(color_Celda(E225)=16777215,"BLANCO","NO SE"))))</f>
        <v>ROSA</v>
      </c>
      <c r="Q225" s="16" t="s">
        <v>1162</v>
      </c>
      <c r="R225" s="4" t="str">
        <f>VLOOKUP($Q225,Resultados!$A$1:$B$49,2,FALSE)</f>
        <v>ELEVADA A JUICIO</v>
      </c>
      <c r="S225" s="16"/>
      <c r="T225" s="166"/>
      <c r="U225" s="166"/>
      <c r="V225" s="165"/>
      <c r="W225" s="165"/>
      <c r="X225" s="165"/>
      <c r="Y225" s="64"/>
      <c r="Z225" s="165"/>
      <c r="AA225" s="165"/>
      <c r="AB225" s="165"/>
      <c r="AC225" s="165"/>
      <c r="AD225" s="165"/>
      <c r="AE225" s="167"/>
      <c r="AF225" s="168"/>
      <c r="AG225" s="168"/>
      <c r="AH225" s="168"/>
      <c r="AI225" s="168"/>
      <c r="AJ225" s="242" t="s">
        <v>408</v>
      </c>
      <c r="AK225" s="169"/>
      <c r="AL225" s="139" t="s">
        <v>1628</v>
      </c>
      <c r="AM225" s="431" t="str">
        <f>VLOOKUP($Q225,Resultados!$A$1:$C$49,3,FALSE)</f>
        <v>ELEVADA</v>
      </c>
    </row>
    <row r="226" spans="1:39" customFormat="1" ht="89.25">
      <c r="A226" s="372">
        <v>835</v>
      </c>
      <c r="B226" s="163">
        <v>45373</v>
      </c>
      <c r="C226" s="328" t="s">
        <v>776</v>
      </c>
      <c r="D226" s="16" t="s">
        <v>2664</v>
      </c>
      <c r="E226" s="164" t="s">
        <v>2665</v>
      </c>
      <c r="F226" s="165">
        <v>4</v>
      </c>
      <c r="G226" s="16" t="s">
        <v>2996</v>
      </c>
      <c r="H226" s="307">
        <v>45393</v>
      </c>
      <c r="I226" s="163"/>
      <c r="J226" s="163"/>
      <c r="K226" s="165" t="s">
        <v>1480</v>
      </c>
      <c r="L226" s="79" t="s">
        <v>2170</v>
      </c>
      <c r="M226" s="79" t="s">
        <v>61</v>
      </c>
      <c r="N226" s="179" t="s">
        <v>2995</v>
      </c>
      <c r="O226" s="24" t="str">
        <f>IF(Q226=" _","NO","SI")</f>
        <v>SI</v>
      </c>
      <c r="P226" s="24" t="str">
        <f ca="1">IF(color_Celda(E226)=12106214,"ROSA",IF(color_Celda(E226)=65535,"AMARILLO",IF(color_Celda(E226)=5296274,"VERDE",IF(color_Celda(E226)=16777215,"BLANCO","NO SE"))))</f>
        <v>ROSA</v>
      </c>
      <c r="Q226" s="296" t="s">
        <v>1162</v>
      </c>
      <c r="R226" s="4" t="str">
        <f>VLOOKUP($Q226,Resultados!$A$1:$B$49,2,FALSE)</f>
        <v>ELEVADA A JUICIO</v>
      </c>
      <c r="S226" s="16"/>
      <c r="T226" s="86"/>
      <c r="U226" s="166"/>
      <c r="V226" s="165"/>
      <c r="W226" s="165"/>
      <c r="X226" s="165"/>
      <c r="Y226" s="64"/>
      <c r="Z226" s="165"/>
      <c r="AA226" s="165"/>
      <c r="AB226" s="165"/>
      <c r="AC226" s="165"/>
      <c r="AD226" s="165"/>
      <c r="AE226" s="167"/>
      <c r="AF226" s="168"/>
      <c r="AG226" s="168"/>
      <c r="AH226" s="168"/>
      <c r="AI226" s="168"/>
      <c r="AJ226" s="122" t="s">
        <v>408</v>
      </c>
      <c r="AK226" s="169"/>
      <c r="AL226" s="139" t="s">
        <v>1628</v>
      </c>
      <c r="AM226" s="431" t="str">
        <f>VLOOKUP($Q226,Resultados!$A$1:$C$49,3,FALSE)</f>
        <v>ELEVADA</v>
      </c>
    </row>
    <row r="227" spans="1:39" customFormat="1" ht="63.75">
      <c r="A227" s="372">
        <v>836</v>
      </c>
      <c r="B227" s="163">
        <v>45373</v>
      </c>
      <c r="C227" s="328" t="s">
        <v>12</v>
      </c>
      <c r="D227" s="16" t="s">
        <v>2696</v>
      </c>
      <c r="E227" s="164" t="s">
        <v>2722</v>
      </c>
      <c r="F227" s="165">
        <v>6</v>
      </c>
      <c r="G227" s="16" t="s">
        <v>2996</v>
      </c>
      <c r="H227" s="307">
        <v>45393</v>
      </c>
      <c r="I227" s="163"/>
      <c r="J227" s="163"/>
      <c r="K227" s="165" t="s">
        <v>1480</v>
      </c>
      <c r="L227" s="79" t="s">
        <v>2171</v>
      </c>
      <c r="M227" s="79" t="s">
        <v>270</v>
      </c>
      <c r="N227" s="179" t="s">
        <v>3000</v>
      </c>
      <c r="O227" s="24" t="str">
        <f>IF(Q227=" _","NO","SI")</f>
        <v>SI</v>
      </c>
      <c r="P227" s="24" t="str">
        <f ca="1">IF(color_Celda(E227)=12106214,"ROSA",IF(color_Celda(E227)=65535,"AMARILLO",IF(color_Celda(E227)=5296274,"VERDE",IF(color_Celda(E227)=16777215,"BLANCO","NO SE"))))</f>
        <v>ROSA</v>
      </c>
      <c r="Q227" s="16" t="s">
        <v>1162</v>
      </c>
      <c r="R227" s="4" t="str">
        <f>VLOOKUP($Q227,Resultados!$A$1:$B$49,2,FALSE)</f>
        <v>ELEVADA A JUICIO</v>
      </c>
      <c r="S227" s="16"/>
      <c r="T227" s="86"/>
      <c r="U227" s="166"/>
      <c r="V227" s="165"/>
      <c r="W227" s="165"/>
      <c r="X227" s="165"/>
      <c r="Y227" s="64"/>
      <c r="Z227" s="165"/>
      <c r="AA227" s="165"/>
      <c r="AB227" s="165"/>
      <c r="AC227" s="165"/>
      <c r="AD227" s="165"/>
      <c r="AE227" s="167"/>
      <c r="AF227" s="168"/>
      <c r="AG227" s="168"/>
      <c r="AH227" s="168"/>
      <c r="AI227" s="168"/>
      <c r="AJ227" s="122" t="s">
        <v>408</v>
      </c>
      <c r="AK227" s="169"/>
      <c r="AL227" s="139" t="s">
        <v>1628</v>
      </c>
      <c r="AM227" s="431" t="str">
        <f>VLOOKUP($Q227,Resultados!$A$1:$C$49,3,FALSE)</f>
        <v>ELEVADA</v>
      </c>
    </row>
    <row r="228" spans="1:39" customFormat="1" ht="63.75">
      <c r="A228" s="372">
        <v>750</v>
      </c>
      <c r="B228" s="163">
        <v>45357</v>
      </c>
      <c r="C228" s="328">
        <v>0.38819444444444445</v>
      </c>
      <c r="D228" s="16" t="s">
        <v>2118</v>
      </c>
      <c r="E228" s="281" t="s">
        <v>2119</v>
      </c>
      <c r="F228" s="165">
        <v>2</v>
      </c>
      <c r="G228" s="16" t="s">
        <v>325</v>
      </c>
      <c r="H228" s="163">
        <v>45393</v>
      </c>
      <c r="I228" s="163"/>
      <c r="J228" s="163"/>
      <c r="K228" s="165" t="str">
        <f>IFERROR(VLOOKUP(J228,Jueces!$A$1:$B$11,2,FALSE),"")</f>
        <v/>
      </c>
      <c r="L228" s="16" t="s">
        <v>250</v>
      </c>
      <c r="M228" s="16" t="s">
        <v>1289</v>
      </c>
      <c r="N228" s="230" t="s">
        <v>3333</v>
      </c>
      <c r="O228" s="24" t="str">
        <f>IF(Q228=" _","NO","SI")</f>
        <v>SI</v>
      </c>
      <c r="P228" s="24" t="str">
        <f ca="1">IF(color_Celda(E228)=12106214,"ROSA",IF(color_Celda(E228)=65535,"AMARILLO",IF(color_Celda(E228)=5296274,"VERDE",IF(color_Celda(E228)=16777215,"BLANCO","NO SE"))))</f>
        <v>ROSA</v>
      </c>
      <c r="Q228" s="16" t="s">
        <v>2437</v>
      </c>
      <c r="R228" s="4" t="str">
        <f>VLOOKUP($Q228,Resultados!$A$1:$B$49,2,FALSE)</f>
        <v>DEVUELTA AL JUZGADO DE ORIGEN</v>
      </c>
      <c r="S228" s="16"/>
      <c r="T228" s="166"/>
      <c r="U228" s="166"/>
      <c r="V228" s="165"/>
      <c r="W228" s="165"/>
      <c r="X228" s="165"/>
      <c r="Y228" s="64"/>
      <c r="Z228" s="165"/>
      <c r="AA228" s="165"/>
      <c r="AB228" s="165"/>
      <c r="AC228" s="165"/>
      <c r="AD228" s="165"/>
      <c r="AE228" s="167"/>
      <c r="AF228" s="168"/>
      <c r="AG228" s="168"/>
      <c r="AH228" s="168"/>
      <c r="AI228" s="168"/>
      <c r="AJ228" s="242" t="s">
        <v>988</v>
      </c>
      <c r="AK228" s="169"/>
      <c r="AL228" s="139" t="s">
        <v>1628</v>
      </c>
      <c r="AM228" s="431" t="str">
        <f>VLOOKUP($Q228,Resultados!$A$1:$C$49,3,FALSE)</f>
        <v>DEVUELTA</v>
      </c>
    </row>
    <row r="229" spans="1:39" customFormat="1" ht="38.25">
      <c r="A229" s="372">
        <v>143</v>
      </c>
      <c r="B229" s="163">
        <v>45233</v>
      </c>
      <c r="C229" s="328" t="s">
        <v>860</v>
      </c>
      <c r="D229" s="16" t="s">
        <v>2292</v>
      </c>
      <c r="E229" s="281" t="s">
        <v>2293</v>
      </c>
      <c r="F229" s="165">
        <v>4</v>
      </c>
      <c r="G229" s="16" t="s">
        <v>325</v>
      </c>
      <c r="H229" s="163">
        <v>45394</v>
      </c>
      <c r="I229" s="163"/>
      <c r="J229" s="163"/>
      <c r="K229" s="165" t="str">
        <f>IFERROR(VLOOKUP(J229,Jueces!$A$1:$B$11,2,FALSE),"")</f>
        <v/>
      </c>
      <c r="L229" s="16" t="s">
        <v>74</v>
      </c>
      <c r="M229" s="16" t="s">
        <v>46</v>
      </c>
      <c r="N229" s="230" t="s">
        <v>1162</v>
      </c>
      <c r="O229" s="24" t="str">
        <f>IF(Q229=" _","NO","SI")</f>
        <v>SI</v>
      </c>
      <c r="P229" s="24" t="str">
        <f ca="1">IF(color_Celda(E229)=12106214,"ROSA",IF(color_Celda(E229)=65535,"AMARILLO",IF(color_Celda(E229)=5296274,"VERDE",IF(color_Celda(E229)=16777215,"BLANCO","NO SE"))))</f>
        <v>ROSA</v>
      </c>
      <c r="Q229" s="16" t="s">
        <v>1162</v>
      </c>
      <c r="R229" s="4" t="str">
        <f>VLOOKUP($Q229,Resultados!$A$1:$B$49,2,FALSE)</f>
        <v>ELEVADA A JUICIO</v>
      </c>
      <c r="S229" s="16"/>
      <c r="T229" s="166"/>
      <c r="U229" s="166"/>
      <c r="V229" s="165"/>
      <c r="W229" s="165"/>
      <c r="X229" s="165"/>
      <c r="Y229" s="64"/>
      <c r="Z229" s="165"/>
      <c r="AA229" s="165"/>
      <c r="AB229" s="165"/>
      <c r="AC229" s="165"/>
      <c r="AD229" s="165"/>
      <c r="AE229" s="167"/>
      <c r="AF229" s="168"/>
      <c r="AG229" s="168"/>
      <c r="AH229" s="168"/>
      <c r="AI229" s="168"/>
      <c r="AJ229" s="242" t="s">
        <v>988</v>
      </c>
      <c r="AK229" s="169"/>
      <c r="AL229" s="139" t="s">
        <v>1628</v>
      </c>
      <c r="AM229" s="431" t="str">
        <f>VLOOKUP($Q229,Resultados!$A$1:$C$49,3,FALSE)</f>
        <v>ELEVADA</v>
      </c>
    </row>
    <row r="230" spans="1:39" customFormat="1" ht="63.75">
      <c r="A230" s="372">
        <v>61</v>
      </c>
      <c r="B230" s="85">
        <v>45226</v>
      </c>
      <c r="C230" s="326" t="s">
        <v>1091</v>
      </c>
      <c r="D230" s="79" t="s">
        <v>296</v>
      </c>
      <c r="E230" s="88" t="s">
        <v>495</v>
      </c>
      <c r="F230" s="74">
        <v>6</v>
      </c>
      <c r="G230" s="74" t="s">
        <v>2996</v>
      </c>
      <c r="H230" s="85">
        <v>45397</v>
      </c>
      <c r="I230" s="85"/>
      <c r="J230" s="85"/>
      <c r="K230" s="74" t="s">
        <v>1480</v>
      </c>
      <c r="L230" s="79" t="s">
        <v>77</v>
      </c>
      <c r="M230" s="79" t="s">
        <v>48</v>
      </c>
      <c r="N230" s="105" t="s">
        <v>2425</v>
      </c>
      <c r="O230" s="24" t="str">
        <f>IF(Q230=" _","NO","SI")</f>
        <v>SI</v>
      </c>
      <c r="P230" s="24" t="str">
        <f ca="1">IF(color_Celda(E230)=12106214,"ROSA",IF(color_Celda(E230)=65535,"AMARILLO",IF(color_Celda(E230)=5296274,"VERDE",IF(color_Celda(E230)=16777215,"BLANCO","NO SE"))))</f>
        <v>ROSA</v>
      </c>
      <c r="Q230" s="79" t="s">
        <v>1162</v>
      </c>
      <c r="R230" s="4" t="str">
        <f>VLOOKUP($Q230,Resultados!$A$1:$B$49,2,FALSE)</f>
        <v>ELEVADA A JUICIO</v>
      </c>
      <c r="S230" s="79"/>
      <c r="T230" s="86"/>
      <c r="U230" s="86"/>
      <c r="V230" s="74"/>
      <c r="W230" s="74"/>
      <c r="X230" s="74"/>
      <c r="Y230" s="64"/>
      <c r="Z230" s="74"/>
      <c r="AA230" s="74"/>
      <c r="AB230" s="74"/>
      <c r="AC230" s="74"/>
      <c r="AD230" s="74"/>
      <c r="AE230" s="140"/>
      <c r="AF230" s="81">
        <v>7</v>
      </c>
      <c r="AG230" s="76"/>
      <c r="AH230" s="76">
        <v>0</v>
      </c>
      <c r="AI230" s="76"/>
      <c r="AJ230" s="122" t="s">
        <v>988</v>
      </c>
      <c r="AK230" s="153"/>
      <c r="AL230" s="139" t="s">
        <v>1628</v>
      </c>
      <c r="AM230" s="431" t="str">
        <f>VLOOKUP($Q230,Resultados!$A$1:$C$49,3,FALSE)</f>
        <v>ELEVADA</v>
      </c>
    </row>
    <row r="231" spans="1:39" customFormat="1" ht="38.25">
      <c r="A231" s="372">
        <v>75</v>
      </c>
      <c r="B231" s="85">
        <v>45230</v>
      </c>
      <c r="C231" s="326" t="s">
        <v>13</v>
      </c>
      <c r="D231" s="79" t="s">
        <v>517</v>
      </c>
      <c r="E231" s="88" t="s">
        <v>518</v>
      </c>
      <c r="F231" s="74">
        <v>2</v>
      </c>
      <c r="G231" s="74" t="s">
        <v>325</v>
      </c>
      <c r="H231" s="85">
        <v>45397</v>
      </c>
      <c r="I231" s="85"/>
      <c r="J231" s="85"/>
      <c r="K231" s="74" t="s">
        <v>1480</v>
      </c>
      <c r="L231" s="79" t="s">
        <v>77</v>
      </c>
      <c r="M231" s="79" t="s">
        <v>44</v>
      </c>
      <c r="N231" s="105" t="s">
        <v>1162</v>
      </c>
      <c r="O231" s="24" t="str">
        <f>IF(Q231=" _","NO","SI")</f>
        <v>SI</v>
      </c>
      <c r="P231" s="24" t="str">
        <f ca="1">IF(color_Celda(E231)=12106214,"ROSA",IF(color_Celda(E231)=65535,"AMARILLO",IF(color_Celda(E231)=5296274,"VERDE",IF(color_Celda(E231)=16777215,"BLANCO","NO SE"))))</f>
        <v>ROSA</v>
      </c>
      <c r="Q231" s="79" t="s">
        <v>1162</v>
      </c>
      <c r="R231" s="4" t="str">
        <f>VLOOKUP($Q231,Resultados!$A$1:$B$49,2,FALSE)</f>
        <v>ELEVADA A JUICIO</v>
      </c>
      <c r="S231" s="79"/>
      <c r="T231" s="86"/>
      <c r="U231" s="86"/>
      <c r="V231" s="74"/>
      <c r="W231" s="74"/>
      <c r="X231" s="74"/>
      <c r="Y231" s="64"/>
      <c r="Z231" s="74"/>
      <c r="AA231" s="74"/>
      <c r="AB231" s="74"/>
      <c r="AC231" s="74"/>
      <c r="AD231" s="74"/>
      <c r="AE231" s="140"/>
      <c r="AF231" s="81">
        <v>7</v>
      </c>
      <c r="AG231" s="76"/>
      <c r="AH231" s="76">
        <v>0</v>
      </c>
      <c r="AI231" s="76"/>
      <c r="AJ231" s="122" t="s">
        <v>988</v>
      </c>
      <c r="AK231" s="138"/>
      <c r="AL231" s="139" t="s">
        <v>1628</v>
      </c>
      <c r="AM231" s="431" t="str">
        <f>VLOOKUP($Q231,Resultados!$A$1:$C$49,3,FALSE)</f>
        <v>ELEVADA</v>
      </c>
    </row>
    <row r="232" spans="1:39" customFormat="1" ht="76.5">
      <c r="A232" s="372">
        <v>258</v>
      </c>
      <c r="B232" s="85">
        <v>45245</v>
      </c>
      <c r="C232" s="326">
        <v>0.33333333333333331</v>
      </c>
      <c r="D232" s="79" t="s">
        <v>827</v>
      </c>
      <c r="E232" s="88" t="s">
        <v>828</v>
      </c>
      <c r="F232" s="74">
        <v>3</v>
      </c>
      <c r="G232" s="74" t="s">
        <v>1750</v>
      </c>
      <c r="H232" s="85">
        <v>45397</v>
      </c>
      <c r="I232" s="85"/>
      <c r="J232" s="85"/>
      <c r="K232" s="74" t="s">
        <v>1480</v>
      </c>
      <c r="L232" s="79" t="s">
        <v>77</v>
      </c>
      <c r="M232" s="79" t="s">
        <v>59</v>
      </c>
      <c r="N232" s="79" t="s">
        <v>3060</v>
      </c>
      <c r="O232" s="24" t="str">
        <f>IF(Q232=" _","NO","SI")</f>
        <v>SI</v>
      </c>
      <c r="P232" s="24" t="str">
        <f ca="1">IF(color_Celda(E232)=12106214,"ROSA",IF(color_Celda(E232)=65535,"AMARILLO",IF(color_Celda(E232)=5296274,"VERDE",IF(color_Celda(E232)=16777215,"BLANCO","NO SE"))))</f>
        <v>ROSA</v>
      </c>
      <c r="Q232" s="79" t="s">
        <v>1324</v>
      </c>
      <c r="R232" s="4" t="str">
        <f>VLOOKUP($Q232,Resultados!$A$1:$B$49,2,FALSE)</f>
        <v>RESUELTA EN ETAPA DE PREVENTIVA</v>
      </c>
      <c r="S232" s="79"/>
      <c r="T232" s="86"/>
      <c r="U232" s="86"/>
      <c r="V232" s="74"/>
      <c r="W232" s="74"/>
      <c r="X232" s="74"/>
      <c r="Y232" s="64"/>
      <c r="Z232" s="74"/>
      <c r="AA232" s="74"/>
      <c r="AB232" s="74"/>
      <c r="AC232" s="74"/>
      <c r="AD232" s="74"/>
      <c r="AE232" s="140"/>
      <c r="AF232" s="81">
        <v>7</v>
      </c>
      <c r="AG232" s="76"/>
      <c r="AH232" s="76">
        <v>0</v>
      </c>
      <c r="AI232" s="76"/>
      <c r="AJ232" s="122" t="s">
        <v>988</v>
      </c>
      <c r="AK232" s="130"/>
      <c r="AL232" s="139" t="s">
        <v>1628</v>
      </c>
      <c r="AM232" s="431" t="str">
        <f>VLOOKUP($Q232,Resultados!$A$1:$C$49,3,FALSE)</f>
        <v>RESUELTA</v>
      </c>
    </row>
    <row r="233" spans="1:39" customFormat="1" ht="89.25">
      <c r="A233" s="372">
        <v>433</v>
      </c>
      <c r="B233" s="85">
        <v>45266</v>
      </c>
      <c r="C233" s="325" t="s">
        <v>12</v>
      </c>
      <c r="D233" s="79" t="s">
        <v>278</v>
      </c>
      <c r="E233" s="88" t="s">
        <v>1146</v>
      </c>
      <c r="F233" s="74">
        <v>6</v>
      </c>
      <c r="G233" s="74" t="s">
        <v>2996</v>
      </c>
      <c r="H233" s="85">
        <v>45397</v>
      </c>
      <c r="I233" s="85"/>
      <c r="J233" s="85"/>
      <c r="K233" s="74" t="s">
        <v>1480</v>
      </c>
      <c r="L233" s="79" t="s">
        <v>74</v>
      </c>
      <c r="M233" s="79" t="s">
        <v>3056</v>
      </c>
      <c r="N233" s="105" t="s">
        <v>2425</v>
      </c>
      <c r="O233" s="24" t="str">
        <f>IF(Q233=" _","NO","SI")</f>
        <v>SI</v>
      </c>
      <c r="P233" s="24" t="str">
        <f ca="1">IF(color_Celda(E233)=12106214,"ROSA",IF(color_Celda(E233)=65535,"AMARILLO",IF(color_Celda(E233)=5296274,"VERDE",IF(color_Celda(E233)=16777215,"BLANCO","NO SE"))))</f>
        <v>ROSA</v>
      </c>
      <c r="Q233" s="79" t="s">
        <v>1162</v>
      </c>
      <c r="R233" s="4" t="str">
        <f>VLOOKUP($Q233,Resultados!$A$1:$B$49,2,FALSE)</f>
        <v>ELEVADA A JUICIO</v>
      </c>
      <c r="S233" s="79"/>
      <c r="T233" s="86"/>
      <c r="U233" s="86"/>
      <c r="V233" s="74"/>
      <c r="W233" s="74"/>
      <c r="X233" s="74"/>
      <c r="Y233" s="64"/>
      <c r="Z233" s="74"/>
      <c r="AA233" s="74"/>
      <c r="AB233" s="74"/>
      <c r="AC233" s="74"/>
      <c r="AD233" s="74"/>
      <c r="AE233" s="140"/>
      <c r="AF233" s="76">
        <v>7</v>
      </c>
      <c r="AG233" s="76"/>
      <c r="AH233" s="76">
        <v>0</v>
      </c>
      <c r="AI233" s="76"/>
      <c r="AJ233" s="122" t="s">
        <v>988</v>
      </c>
      <c r="AK233" s="138"/>
      <c r="AL233" s="139" t="s">
        <v>1628</v>
      </c>
      <c r="AM233" s="431" t="str">
        <f>VLOOKUP($Q233,Resultados!$A$1:$C$49,3,FALSE)</f>
        <v>ELEVADA</v>
      </c>
    </row>
    <row r="234" spans="1:39" customFormat="1" ht="76.5">
      <c r="A234" s="372">
        <v>815</v>
      </c>
      <c r="B234" s="163">
        <v>45370</v>
      </c>
      <c r="C234" s="328" t="s">
        <v>1497</v>
      </c>
      <c r="D234" s="16" t="s">
        <v>2715</v>
      </c>
      <c r="E234" s="164" t="s">
        <v>2847</v>
      </c>
      <c r="F234" s="165">
        <v>4</v>
      </c>
      <c r="G234" s="16" t="s">
        <v>325</v>
      </c>
      <c r="H234" s="163">
        <v>45397</v>
      </c>
      <c r="I234" s="163"/>
      <c r="J234" s="163"/>
      <c r="K234" s="165" t="s">
        <v>1480</v>
      </c>
      <c r="L234" s="79" t="s">
        <v>2172</v>
      </c>
      <c r="M234" s="79" t="s">
        <v>46</v>
      </c>
      <c r="N234" s="230" t="s">
        <v>1162</v>
      </c>
      <c r="O234" s="24" t="str">
        <f>IF(Q234=" _","NO","SI")</f>
        <v>SI</v>
      </c>
      <c r="P234" s="24" t="str">
        <f ca="1">IF(color_Celda(E234)=12106214,"ROSA",IF(color_Celda(E234)=65535,"AMARILLO",IF(color_Celda(E234)=5296274,"VERDE",IF(color_Celda(E234)=16777215,"BLANCO","NO SE"))))</f>
        <v>ROSA</v>
      </c>
      <c r="Q234" s="16" t="s">
        <v>1162</v>
      </c>
      <c r="R234" s="4" t="str">
        <f>VLOOKUP($Q234,Resultados!$A$1:$B$49,2,FALSE)</f>
        <v>ELEVADA A JUICIO</v>
      </c>
      <c r="S234" s="16"/>
      <c r="T234" s="86"/>
      <c r="U234" s="166"/>
      <c r="V234" s="165"/>
      <c r="W234" s="165"/>
      <c r="X234" s="165"/>
      <c r="Y234" s="64"/>
      <c r="Z234" s="165"/>
      <c r="AA234" s="165"/>
      <c r="AB234" s="165"/>
      <c r="AC234" s="165"/>
      <c r="AD234" s="165"/>
      <c r="AE234" s="167"/>
      <c r="AF234" s="168"/>
      <c r="AG234" s="168"/>
      <c r="AH234" s="168"/>
      <c r="AI234" s="168"/>
      <c r="AJ234" s="122" t="s">
        <v>408</v>
      </c>
      <c r="AK234" s="169"/>
      <c r="AL234" s="139" t="s">
        <v>1628</v>
      </c>
      <c r="AM234" s="431" t="str">
        <f>VLOOKUP($Q234,Resultados!$A$1:$C$49,3,FALSE)</f>
        <v>ELEVADA</v>
      </c>
    </row>
    <row r="235" spans="1:39" customFormat="1" ht="76.5">
      <c r="A235" s="372">
        <v>96</v>
      </c>
      <c r="B235" s="85">
        <v>45231</v>
      </c>
      <c r="C235" s="326">
        <v>0.49791666666666662</v>
      </c>
      <c r="D235" s="79" t="s">
        <v>545</v>
      </c>
      <c r="E235" s="88" t="s">
        <v>546</v>
      </c>
      <c r="F235" s="74">
        <v>6</v>
      </c>
      <c r="G235" s="74" t="s">
        <v>2996</v>
      </c>
      <c r="H235" s="305">
        <v>45398</v>
      </c>
      <c r="I235" s="85"/>
      <c r="J235" s="85"/>
      <c r="K235" s="74" t="s">
        <v>1480</v>
      </c>
      <c r="L235" s="79" t="s">
        <v>87</v>
      </c>
      <c r="M235" s="79" t="s">
        <v>2269</v>
      </c>
      <c r="N235" s="74" t="s">
        <v>3089</v>
      </c>
      <c r="O235" s="24" t="str">
        <f>IF(Q235=" _","NO","SI")</f>
        <v>SI</v>
      </c>
      <c r="P235" s="24" t="str">
        <f ca="1">IF(color_Celda(E235)=12106214,"ROSA",IF(color_Celda(E235)=65535,"AMARILLO",IF(color_Celda(E235)=5296274,"VERDE",IF(color_Celda(E235)=16777215,"BLANCO","NO SE"))))</f>
        <v>ROSA</v>
      </c>
      <c r="Q235" s="79" t="s">
        <v>2437</v>
      </c>
      <c r="R235" s="4" t="str">
        <f>VLOOKUP($Q235,Resultados!$A$1:$B$49,2,FALSE)</f>
        <v>DEVUELTA AL JUZGADO DE ORIGEN</v>
      </c>
      <c r="S235" s="79"/>
      <c r="T235" s="86"/>
      <c r="U235" s="86"/>
      <c r="V235" s="74"/>
      <c r="W235" s="74"/>
      <c r="X235" s="74"/>
      <c r="Y235" s="64"/>
      <c r="Z235" s="74"/>
      <c r="AA235" s="74"/>
      <c r="AB235" s="74"/>
      <c r="AC235" s="74"/>
      <c r="AD235" s="74"/>
      <c r="AE235" s="140"/>
      <c r="AF235" s="81">
        <v>7</v>
      </c>
      <c r="AG235" s="76"/>
      <c r="AH235" s="76">
        <v>0</v>
      </c>
      <c r="AI235" s="76"/>
      <c r="AJ235" s="122" t="s">
        <v>988</v>
      </c>
      <c r="AK235" s="138"/>
      <c r="AL235" s="139" t="s">
        <v>1628</v>
      </c>
      <c r="AM235" s="431" t="str">
        <f>VLOOKUP($Q235,Resultados!$A$1:$C$49,3,FALSE)</f>
        <v>DEVUELTA</v>
      </c>
    </row>
    <row r="236" spans="1:39" customFormat="1" ht="38.25">
      <c r="A236" s="372">
        <v>412</v>
      </c>
      <c r="B236" s="85">
        <v>45265</v>
      </c>
      <c r="C236" s="326" t="s">
        <v>3074</v>
      </c>
      <c r="D236" s="79" t="s">
        <v>1117</v>
      </c>
      <c r="E236" s="88" t="s">
        <v>1118</v>
      </c>
      <c r="F236" s="74">
        <v>4</v>
      </c>
      <c r="G236" s="74" t="s">
        <v>325</v>
      </c>
      <c r="H236" s="305">
        <v>45398</v>
      </c>
      <c r="I236" s="85"/>
      <c r="J236" s="85"/>
      <c r="K236" s="74" t="s">
        <v>1480</v>
      </c>
      <c r="L236" s="79" t="s">
        <v>25</v>
      </c>
      <c r="M236" s="79"/>
      <c r="N236" s="105" t="s">
        <v>1162</v>
      </c>
      <c r="O236" s="24" t="str">
        <f>IF(Q236=" _","NO","SI")</f>
        <v>SI</v>
      </c>
      <c r="P236" s="24" t="str">
        <f ca="1">IF(color_Celda(E236)=12106214,"ROSA",IF(color_Celda(E236)=65535,"AMARILLO",IF(color_Celda(E236)=5296274,"VERDE",IF(color_Celda(E236)=16777215,"BLANCO","NO SE"))))</f>
        <v>ROSA</v>
      </c>
      <c r="Q236" s="79" t="s">
        <v>1162</v>
      </c>
      <c r="R236" s="4" t="str">
        <f>VLOOKUP($Q236,Resultados!$A$1:$B$49,2,FALSE)</f>
        <v>ELEVADA A JUICIO</v>
      </c>
      <c r="S236" s="79"/>
      <c r="T236" s="86"/>
      <c r="U236" s="86"/>
      <c r="V236" s="74"/>
      <c r="W236" s="74"/>
      <c r="X236" s="74"/>
      <c r="Y236" s="64"/>
      <c r="Z236" s="74"/>
      <c r="AA236" s="74"/>
      <c r="AB236" s="74"/>
      <c r="AC236" s="74"/>
      <c r="AD236" s="74"/>
      <c r="AE236" s="140"/>
      <c r="AF236" s="76">
        <v>7</v>
      </c>
      <c r="AG236" s="76"/>
      <c r="AH236" s="76">
        <v>0</v>
      </c>
      <c r="AI236" s="76"/>
      <c r="AJ236" s="122" t="s">
        <v>988</v>
      </c>
      <c r="AK236" s="153"/>
      <c r="AL236" s="139" t="s">
        <v>1628</v>
      </c>
      <c r="AM236" s="431" t="str">
        <f>VLOOKUP($Q236,Resultados!$A$1:$C$49,3,FALSE)</f>
        <v>ELEVADA</v>
      </c>
    </row>
    <row r="237" spans="1:39" customFormat="1" ht="38.25">
      <c r="A237" s="372">
        <v>382</v>
      </c>
      <c r="B237" s="85">
        <v>45261</v>
      </c>
      <c r="C237" s="325">
        <v>0.4513888888888889</v>
      </c>
      <c r="D237" s="79" t="s">
        <v>1155</v>
      </c>
      <c r="E237" s="88" t="s">
        <v>1108</v>
      </c>
      <c r="F237" s="79">
        <v>4</v>
      </c>
      <c r="G237" s="74" t="s">
        <v>325</v>
      </c>
      <c r="H237" s="85">
        <v>45399</v>
      </c>
      <c r="I237" s="85"/>
      <c r="J237" s="85"/>
      <c r="K237" s="74" t="s">
        <v>1480</v>
      </c>
      <c r="L237" s="79" t="s">
        <v>79</v>
      </c>
      <c r="M237" s="79" t="s">
        <v>1156</v>
      </c>
      <c r="N237" s="105" t="s">
        <v>1162</v>
      </c>
      <c r="O237" s="24" t="str">
        <f>IF(Q237=" _","NO","SI")</f>
        <v>SI</v>
      </c>
      <c r="P237" s="24" t="str">
        <f ca="1">IF(color_Celda(E237)=12106214,"ROSA",IF(color_Celda(E237)=65535,"AMARILLO",IF(color_Celda(E237)=5296274,"VERDE",IF(color_Celda(E237)=16777215,"BLANCO","NO SE"))))</f>
        <v>ROSA</v>
      </c>
      <c r="Q237" s="79" t="s">
        <v>1162</v>
      </c>
      <c r="R237" s="4" t="str">
        <f>VLOOKUP($Q237,Resultados!$A$1:$B$49,2,FALSE)</f>
        <v>ELEVADA A JUICIO</v>
      </c>
      <c r="S237" s="79"/>
      <c r="T237" s="86"/>
      <c r="U237" s="86"/>
      <c r="V237" s="74"/>
      <c r="W237" s="74"/>
      <c r="X237" s="74"/>
      <c r="Y237" s="64"/>
      <c r="Z237" s="74"/>
      <c r="AA237" s="74"/>
      <c r="AB237" s="74"/>
      <c r="AC237" s="74"/>
      <c r="AD237" s="74"/>
      <c r="AE237" s="140"/>
      <c r="AF237" s="76">
        <v>7</v>
      </c>
      <c r="AG237" s="76"/>
      <c r="AH237" s="76">
        <v>0</v>
      </c>
      <c r="AI237" s="76"/>
      <c r="AJ237" s="122" t="s">
        <v>988</v>
      </c>
      <c r="AK237" s="153"/>
      <c r="AL237" s="139" t="s">
        <v>1628</v>
      </c>
      <c r="AM237" s="431" t="str">
        <f>VLOOKUP($Q237,Resultados!$A$1:$C$49,3,FALSE)</f>
        <v>ELEVADA</v>
      </c>
    </row>
    <row r="238" spans="1:39" customFormat="1" ht="127.5">
      <c r="A238" s="374">
        <v>648</v>
      </c>
      <c r="B238" s="347">
        <v>45343</v>
      </c>
      <c r="C238" s="348" t="s">
        <v>1644</v>
      </c>
      <c r="D238" s="349" t="s">
        <v>1645</v>
      </c>
      <c r="E238" s="40" t="s">
        <v>1646</v>
      </c>
      <c r="F238" s="350">
        <v>5</v>
      </c>
      <c r="G238" s="350" t="s">
        <v>10</v>
      </c>
      <c r="H238" s="347">
        <v>45399</v>
      </c>
      <c r="I238" s="347"/>
      <c r="J238" s="347"/>
      <c r="K238" s="350" t="str">
        <f>IFERROR(VLOOKUP(J238,Jueces!$A$1:$B$11,2,FALSE),"")</f>
        <v/>
      </c>
      <c r="L238" s="349" t="s">
        <v>248</v>
      </c>
      <c r="M238" s="349" t="s">
        <v>1647</v>
      </c>
      <c r="N238" s="349" t="s">
        <v>3151</v>
      </c>
      <c r="O238" s="266" t="str">
        <f>IF(Q238=" _","NO","SI")</f>
        <v>NO</v>
      </c>
      <c r="P238" s="24" t="str">
        <f ca="1">IF(color_Celda(E238)=12106214,"ROSA",IF(color_Celda(E238)=65535,"AMARILLO",IF(color_Celda(E238)=5296274,"VERDE",IF(color_Celda(E238)=16777215,"BLANCO","NO SE"))))</f>
        <v>AMARILLO</v>
      </c>
      <c r="Q238" s="349" t="s">
        <v>108</v>
      </c>
      <c r="R238" s="267" t="str">
        <f>VLOOKUP($Q238,Resultados!$A$1:$B$49,2,FALSE)</f>
        <v xml:space="preserve"> _</v>
      </c>
      <c r="S238" s="349"/>
      <c r="T238" s="352">
        <v>45399</v>
      </c>
      <c r="U238" s="351"/>
      <c r="V238" s="350"/>
      <c r="W238" s="350"/>
      <c r="X238" s="349" t="s">
        <v>3150</v>
      </c>
      <c r="Y238" s="269"/>
      <c r="Z238" s="350"/>
      <c r="AA238" s="350"/>
      <c r="AB238" s="350"/>
      <c r="AC238" s="350"/>
      <c r="AD238" s="350"/>
      <c r="AE238" s="416"/>
      <c r="AF238" s="418"/>
      <c r="AG238" s="418"/>
      <c r="AH238" s="418"/>
      <c r="AI238" s="418"/>
      <c r="AJ238" s="419" t="s">
        <v>988</v>
      </c>
      <c r="AK238" s="425"/>
      <c r="AL238" s="273" t="s">
        <v>1627</v>
      </c>
      <c r="AM238" s="431" t="str">
        <f>VLOOKUP($Q238,Resultados!$A$1:$C$49,3,FALSE)</f>
        <v>TRAMITE</v>
      </c>
    </row>
    <row r="239" spans="1:39" customFormat="1" ht="51">
      <c r="A239" s="372">
        <v>924</v>
      </c>
      <c r="B239" s="163">
        <v>45397</v>
      </c>
      <c r="C239" s="328" t="s">
        <v>111</v>
      </c>
      <c r="D239" s="16" t="s">
        <v>3050</v>
      </c>
      <c r="E239" s="281" t="s">
        <v>3051</v>
      </c>
      <c r="F239" s="165">
        <v>4</v>
      </c>
      <c r="G239" s="16" t="s">
        <v>325</v>
      </c>
      <c r="H239" s="163">
        <v>45399</v>
      </c>
      <c r="I239" s="163"/>
      <c r="J239" s="163"/>
      <c r="K239" s="165" t="s">
        <v>1480</v>
      </c>
      <c r="L239" s="79" t="s">
        <v>72</v>
      </c>
      <c r="M239" s="79" t="s">
        <v>234</v>
      </c>
      <c r="N239" s="16" t="s">
        <v>3110</v>
      </c>
      <c r="O239" s="24" t="str">
        <f>IF(Q239=" _","NO","SI")</f>
        <v>SI</v>
      </c>
      <c r="P239" s="24" t="str">
        <f ca="1">IF(color_Celda(E239)=12106214,"ROSA",IF(color_Celda(E239)=65535,"AMARILLO",IF(color_Celda(E239)=5296274,"VERDE",IF(color_Celda(E239)=16777215,"BLANCO","NO SE"))))</f>
        <v>ROSA</v>
      </c>
      <c r="Q239" s="16" t="s">
        <v>1162</v>
      </c>
      <c r="R239" s="4" t="str">
        <f>VLOOKUP($Q239,Resultados!$A$1:$B$49,2,FALSE)</f>
        <v>ELEVADA A JUICIO</v>
      </c>
      <c r="S239" s="16"/>
      <c r="T239" s="86"/>
      <c r="U239" s="166"/>
      <c r="V239" s="165"/>
      <c r="W239" s="165"/>
      <c r="X239" s="165"/>
      <c r="Y239" s="64"/>
      <c r="Z239" s="165"/>
      <c r="AA239" s="165"/>
      <c r="AB239" s="165"/>
      <c r="AC239" s="165"/>
      <c r="AD239" s="165"/>
      <c r="AE239" s="167"/>
      <c r="AF239" s="168"/>
      <c r="AG239" s="168"/>
      <c r="AH239" s="168"/>
      <c r="AI239" s="168"/>
      <c r="AJ239" s="122" t="s">
        <v>988</v>
      </c>
      <c r="AK239" s="169"/>
      <c r="AL239" s="139" t="s">
        <v>1628</v>
      </c>
      <c r="AM239" s="431" t="str">
        <f>VLOOKUP($Q239,Resultados!$A$1:$C$49,3,FALSE)</f>
        <v>ELEVADA</v>
      </c>
    </row>
    <row r="240" spans="1:39" customFormat="1" ht="89.25">
      <c r="A240" s="372">
        <v>141</v>
      </c>
      <c r="B240" s="85">
        <v>45233</v>
      </c>
      <c r="C240" s="326">
        <v>0.49236111111111108</v>
      </c>
      <c r="D240" s="79" t="s">
        <v>614</v>
      </c>
      <c r="E240" s="88" t="s">
        <v>615</v>
      </c>
      <c r="F240" s="74">
        <v>2</v>
      </c>
      <c r="G240" s="74" t="s">
        <v>325</v>
      </c>
      <c r="H240" s="85">
        <v>45400</v>
      </c>
      <c r="I240" s="85"/>
      <c r="J240" s="85"/>
      <c r="K240" s="74" t="s">
        <v>1480</v>
      </c>
      <c r="L240" s="79" t="s">
        <v>83</v>
      </c>
      <c r="M240" s="79" t="s">
        <v>1289</v>
      </c>
      <c r="N240" s="74" t="s">
        <v>3153</v>
      </c>
      <c r="O240" s="24" t="str">
        <f>IF(Q240=" _","NO","SI")</f>
        <v>SI</v>
      </c>
      <c r="P240" s="24" t="str">
        <f ca="1">IF(color_Celda(E240)=12106214,"ROSA",IF(color_Celda(E240)=65535,"AMARILLO",IF(color_Celda(E240)=5296274,"VERDE",IF(color_Celda(E240)=16777215,"BLANCO","NO SE"))))</f>
        <v>ROSA</v>
      </c>
      <c r="Q240" s="79" t="s">
        <v>1324</v>
      </c>
      <c r="R240" s="4" t="str">
        <f>VLOOKUP($Q240,Resultados!$A$1:$B$49,2,FALSE)</f>
        <v>RESUELTA EN ETAPA DE PREVENTIVA</v>
      </c>
      <c r="S240" s="79"/>
      <c r="T240" s="86"/>
      <c r="U240" s="86"/>
      <c r="V240" s="74"/>
      <c r="W240" s="74"/>
      <c r="X240" s="74"/>
      <c r="Y240" s="64"/>
      <c r="Z240" s="74"/>
      <c r="AA240" s="74"/>
      <c r="AB240" s="74"/>
      <c r="AC240" s="74"/>
      <c r="AD240" s="74"/>
      <c r="AE240" s="140"/>
      <c r="AF240" s="81">
        <v>7</v>
      </c>
      <c r="AG240" s="76"/>
      <c r="AH240" s="76">
        <v>0</v>
      </c>
      <c r="AI240" s="76"/>
      <c r="AJ240" s="122" t="s">
        <v>988</v>
      </c>
      <c r="AK240" s="138"/>
      <c r="AL240" s="139" t="s">
        <v>1628</v>
      </c>
      <c r="AM240" s="431" t="str">
        <f>VLOOKUP($Q240,Resultados!$A$1:$C$49,3,FALSE)</f>
        <v>RESUELTA</v>
      </c>
    </row>
    <row r="241" spans="1:39" customFormat="1" ht="153">
      <c r="A241" s="372">
        <v>737</v>
      </c>
      <c r="B241" s="163">
        <v>45356</v>
      </c>
      <c r="C241" s="328" t="s">
        <v>12</v>
      </c>
      <c r="D241" s="16" t="s">
        <v>2065</v>
      </c>
      <c r="E241" s="281" t="s">
        <v>2066</v>
      </c>
      <c r="F241" s="165">
        <v>6</v>
      </c>
      <c r="G241" s="16" t="s">
        <v>326</v>
      </c>
      <c r="H241" s="163">
        <v>45400</v>
      </c>
      <c r="I241" s="163"/>
      <c r="J241" s="163"/>
      <c r="K241" s="165" t="str">
        <f>IFERROR(VLOOKUP(J241,Jueces!$A$1:$B$11,2,FALSE),"")</f>
        <v/>
      </c>
      <c r="L241" s="16" t="s">
        <v>75</v>
      </c>
      <c r="M241" s="16" t="s">
        <v>2105</v>
      </c>
      <c r="N241" s="16" t="s">
        <v>3152</v>
      </c>
      <c r="O241" s="24" t="str">
        <f>IF(Q241=" _","NO","SI")</f>
        <v>SI</v>
      </c>
      <c r="P241" s="24" t="str">
        <f ca="1">IF(color_Celda(E241)=12106214,"ROSA",IF(color_Celda(E241)=65535,"AMARILLO",IF(color_Celda(E241)=5296274,"VERDE",IF(color_Celda(E241)=16777215,"BLANCO","NO SE"))))</f>
        <v>ROSA</v>
      </c>
      <c r="Q241" s="16" t="s">
        <v>2437</v>
      </c>
      <c r="R241" s="4" t="str">
        <f>VLOOKUP($Q241,Resultados!$A$1:$B$49,2,FALSE)</f>
        <v>DEVUELTA AL JUZGADO DE ORIGEN</v>
      </c>
      <c r="S241" s="296">
        <v>45349</v>
      </c>
      <c r="T241" s="166"/>
      <c r="U241" s="166"/>
      <c r="V241" s="165"/>
      <c r="W241" s="165"/>
      <c r="X241" s="165"/>
      <c r="Y241" s="64"/>
      <c r="Z241" s="165"/>
      <c r="AA241" s="165"/>
      <c r="AB241" s="165"/>
      <c r="AC241" s="165"/>
      <c r="AD241" s="165"/>
      <c r="AE241" s="167"/>
      <c r="AF241" s="168"/>
      <c r="AG241" s="168"/>
      <c r="AH241" s="168"/>
      <c r="AI241" s="168"/>
      <c r="AJ241" s="242" t="s">
        <v>988</v>
      </c>
      <c r="AK241" s="169"/>
      <c r="AL241" s="139" t="s">
        <v>1628</v>
      </c>
      <c r="AM241" s="431" t="str">
        <f>VLOOKUP($Q241,Resultados!$A$1:$C$49,3,FALSE)</f>
        <v>DEVUELTA</v>
      </c>
    </row>
    <row r="242" spans="1:39" customFormat="1" ht="51">
      <c r="A242" s="372">
        <v>832</v>
      </c>
      <c r="B242" s="163">
        <v>45372</v>
      </c>
      <c r="C242" s="328" t="s">
        <v>2225</v>
      </c>
      <c r="D242" s="16" t="s">
        <v>2695</v>
      </c>
      <c r="E242" s="164" t="s">
        <v>2721</v>
      </c>
      <c r="F242" s="165">
        <v>5</v>
      </c>
      <c r="G242" s="16" t="s">
        <v>325</v>
      </c>
      <c r="H242" s="163">
        <v>45400</v>
      </c>
      <c r="I242" s="163"/>
      <c r="J242" s="163"/>
      <c r="K242" s="165" t="s">
        <v>1480</v>
      </c>
      <c r="L242" s="79" t="s">
        <v>88</v>
      </c>
      <c r="M242" s="79" t="s">
        <v>361</v>
      </c>
      <c r="N242" s="16" t="s">
        <v>3148</v>
      </c>
      <c r="O242" s="24" t="str">
        <f>IF(Q242=" _","NO","SI")</f>
        <v>SI</v>
      </c>
      <c r="P242" s="24" t="str">
        <f ca="1">IF(color_Celda(E242)=12106214,"ROSA",IF(color_Celda(E242)=65535,"AMARILLO",IF(color_Celda(E242)=5296274,"VERDE",IF(color_Celda(E242)=16777215,"BLANCO","NO SE"))))</f>
        <v>ROSA</v>
      </c>
      <c r="Q242" s="16" t="s">
        <v>1162</v>
      </c>
      <c r="R242" s="4" t="str">
        <f>VLOOKUP($Q242,Resultados!$A$1:$B$49,2,FALSE)</f>
        <v>ELEVADA A JUICIO</v>
      </c>
      <c r="S242" s="16"/>
      <c r="T242" s="86"/>
      <c r="U242" s="166"/>
      <c r="V242" s="165"/>
      <c r="W242" s="165"/>
      <c r="X242" s="165"/>
      <c r="Y242" s="64"/>
      <c r="Z242" s="165"/>
      <c r="AA242" s="165"/>
      <c r="AB242" s="165"/>
      <c r="AC242" s="165"/>
      <c r="AD242" s="165"/>
      <c r="AE242" s="167"/>
      <c r="AF242" s="168"/>
      <c r="AG242" s="168"/>
      <c r="AH242" s="168"/>
      <c r="AI242" s="168"/>
      <c r="AJ242" s="122" t="s">
        <v>408</v>
      </c>
      <c r="AK242" s="169"/>
      <c r="AL242" s="139" t="s">
        <v>1628</v>
      </c>
      <c r="AM242" s="431" t="str">
        <f>VLOOKUP($Q242,Resultados!$A$1:$C$49,3,FALSE)</f>
        <v>ELEVADA</v>
      </c>
    </row>
    <row r="243" spans="1:39" customFormat="1" ht="127.5">
      <c r="A243" s="372">
        <v>913</v>
      </c>
      <c r="B243" s="163">
        <v>45394</v>
      </c>
      <c r="C243" s="328" t="s">
        <v>217</v>
      </c>
      <c r="D243" s="16" t="s">
        <v>3008</v>
      </c>
      <c r="E243" s="164" t="s">
        <v>3009</v>
      </c>
      <c r="F243" s="165">
        <v>5</v>
      </c>
      <c r="G243" s="16" t="s">
        <v>325</v>
      </c>
      <c r="H243" s="163">
        <v>45400</v>
      </c>
      <c r="I243" s="163"/>
      <c r="J243" s="163"/>
      <c r="K243" s="165" t="s">
        <v>1480</v>
      </c>
      <c r="L243" s="79" t="s">
        <v>2173</v>
      </c>
      <c r="M243" s="79" t="s">
        <v>260</v>
      </c>
      <c r="N243" s="16" t="s">
        <v>3147</v>
      </c>
      <c r="O243" s="24" t="str">
        <f>IF(Q243=" _","NO","SI")</f>
        <v>SI</v>
      </c>
      <c r="P243" s="24" t="str">
        <f ca="1">IF(color_Celda(E243)=12106214,"ROSA",IF(color_Celda(E243)=65535,"AMARILLO",IF(color_Celda(E243)=5296274,"VERDE",IF(color_Celda(E243)=16777215,"BLANCO","NO SE"))))</f>
        <v>ROSA</v>
      </c>
      <c r="Q243" s="16" t="s">
        <v>1162</v>
      </c>
      <c r="R243" s="4" t="str">
        <f>VLOOKUP($Q243,Resultados!$A$1:$B$49,2,FALSE)</f>
        <v>ELEVADA A JUICIO</v>
      </c>
      <c r="S243" s="16"/>
      <c r="T243" s="86"/>
      <c r="U243" s="166"/>
      <c r="V243" s="165"/>
      <c r="W243" s="165"/>
      <c r="X243" s="165"/>
      <c r="Y243" s="64"/>
      <c r="Z243" s="165"/>
      <c r="AA243" s="165"/>
      <c r="AB243" s="165"/>
      <c r="AC243" s="165"/>
      <c r="AD243" s="165"/>
      <c r="AE243" s="167"/>
      <c r="AF243" s="168"/>
      <c r="AG243" s="168"/>
      <c r="AH243" s="168"/>
      <c r="AI243" s="168"/>
      <c r="AJ243" s="122" t="s">
        <v>408</v>
      </c>
      <c r="AK243" s="169"/>
      <c r="AL243" s="139" t="s">
        <v>1628</v>
      </c>
      <c r="AM243" s="431" t="str">
        <f>VLOOKUP($Q243,Resultados!$A$1:$C$49,3,FALSE)</f>
        <v>ELEVADA</v>
      </c>
    </row>
    <row r="244" spans="1:39" customFormat="1" ht="63.75">
      <c r="A244" s="372">
        <v>199</v>
      </c>
      <c r="B244" s="85">
        <v>45239</v>
      </c>
      <c r="C244" s="325" t="s">
        <v>703</v>
      </c>
      <c r="D244" s="79" t="s">
        <v>704</v>
      </c>
      <c r="E244" s="88" t="s">
        <v>705</v>
      </c>
      <c r="F244" s="74">
        <v>3</v>
      </c>
      <c r="G244" s="74" t="s">
        <v>1750</v>
      </c>
      <c r="H244" s="305">
        <v>45401</v>
      </c>
      <c r="I244" s="85"/>
      <c r="J244" s="85"/>
      <c r="K244" s="74" t="s">
        <v>1480</v>
      </c>
      <c r="L244" s="79" t="s">
        <v>250</v>
      </c>
      <c r="M244" s="79" t="s">
        <v>47</v>
      </c>
      <c r="N244" s="105" t="s">
        <v>1162</v>
      </c>
      <c r="O244" s="24" t="str">
        <f>IF(Q244=" _","NO","SI")</f>
        <v>SI</v>
      </c>
      <c r="P244" s="24" t="str">
        <f ca="1">IF(color_Celda(E244)=12106214,"ROSA",IF(color_Celda(E244)=65535,"AMARILLO",IF(color_Celda(E244)=5296274,"VERDE",IF(color_Celda(E244)=16777215,"BLANCO","NO SE"))))</f>
        <v>ROSA</v>
      </c>
      <c r="Q244" s="79" t="s">
        <v>1162</v>
      </c>
      <c r="R244" s="4" t="str">
        <f>VLOOKUP($Q244,Resultados!$A$1:$B$49,2,FALSE)</f>
        <v>ELEVADA A JUICIO</v>
      </c>
      <c r="S244" s="79"/>
      <c r="T244" s="393">
        <v>45399</v>
      </c>
      <c r="U244" s="393">
        <v>45401</v>
      </c>
      <c r="V244" s="74"/>
      <c r="W244" s="74"/>
      <c r="X244" s="74" t="s">
        <v>3111</v>
      </c>
      <c r="Y244" s="64"/>
      <c r="Z244" s="74"/>
      <c r="AA244" s="74"/>
      <c r="AB244" s="74"/>
      <c r="AC244" s="74"/>
      <c r="AD244" s="74"/>
      <c r="AE244" s="140"/>
      <c r="AF244" s="81">
        <v>7</v>
      </c>
      <c r="AG244" s="76"/>
      <c r="AH244" s="76">
        <v>0</v>
      </c>
      <c r="AI244" s="76"/>
      <c r="AJ244" s="122" t="s">
        <v>988</v>
      </c>
      <c r="AK244" s="138"/>
      <c r="AL244" s="139" t="s">
        <v>1628</v>
      </c>
      <c r="AM244" s="431" t="str">
        <f>VLOOKUP($Q244,Resultados!$A$1:$C$49,3,FALSE)</f>
        <v>ELEVADA</v>
      </c>
    </row>
    <row r="245" spans="1:39" customFormat="1" ht="51">
      <c r="A245" s="372">
        <v>874</v>
      </c>
      <c r="B245" s="163">
        <v>45387</v>
      </c>
      <c r="C245" s="328" t="s">
        <v>239</v>
      </c>
      <c r="D245" s="16" t="s">
        <v>2794</v>
      </c>
      <c r="E245" s="164" t="s">
        <v>2796</v>
      </c>
      <c r="F245" s="165">
        <v>3</v>
      </c>
      <c r="G245" s="16" t="s">
        <v>325</v>
      </c>
      <c r="H245" s="163">
        <v>45401</v>
      </c>
      <c r="I245" s="163"/>
      <c r="J245" s="163"/>
      <c r="K245" s="165" t="s">
        <v>1480</v>
      </c>
      <c r="L245" s="79" t="s">
        <v>42</v>
      </c>
      <c r="M245" s="79" t="s">
        <v>45</v>
      </c>
      <c r="N245" s="16" t="s">
        <v>3201</v>
      </c>
      <c r="O245" s="24" t="str">
        <f>IF(Q245=" _","NO","SI")</f>
        <v>SI</v>
      </c>
      <c r="P245" s="24" t="str">
        <f ca="1">IF(color_Celda(E245)=12106214,"ROSA",IF(color_Celda(E245)=65535,"AMARILLO",IF(color_Celda(E245)=5296274,"VERDE",IF(color_Celda(E245)=16777215,"BLANCO","NO SE"))))</f>
        <v>ROSA</v>
      </c>
      <c r="Q245" s="16" t="s">
        <v>1162</v>
      </c>
      <c r="R245" s="4" t="str">
        <f>VLOOKUP($Q245,Resultados!$A$1:$B$49,2,FALSE)</f>
        <v>ELEVADA A JUICIO</v>
      </c>
      <c r="S245" s="16"/>
      <c r="T245" s="86"/>
      <c r="U245" s="166"/>
      <c r="V245" s="165"/>
      <c r="W245" s="165"/>
      <c r="X245" s="165"/>
      <c r="Y245" s="64"/>
      <c r="Z245" s="165"/>
      <c r="AA245" s="165"/>
      <c r="AB245" s="165"/>
      <c r="AC245" s="165"/>
      <c r="AD245" s="165"/>
      <c r="AE245" s="167"/>
      <c r="AF245" s="168"/>
      <c r="AG245" s="168"/>
      <c r="AH245" s="168"/>
      <c r="AI245" s="168"/>
      <c r="AJ245" s="122" t="s">
        <v>408</v>
      </c>
      <c r="AK245" s="169"/>
      <c r="AL245" s="139" t="s">
        <v>1628</v>
      </c>
      <c r="AM245" s="431" t="str">
        <f>VLOOKUP($Q245,Resultados!$A$1:$C$49,3,FALSE)</f>
        <v>ELEVADA</v>
      </c>
    </row>
    <row r="246" spans="1:39" customFormat="1" ht="127.5">
      <c r="A246" s="372">
        <v>922</v>
      </c>
      <c r="B246" s="163">
        <v>45397</v>
      </c>
      <c r="C246" s="328" t="s">
        <v>980</v>
      </c>
      <c r="D246" s="16" t="s">
        <v>3041</v>
      </c>
      <c r="E246" s="281" t="s">
        <v>3042</v>
      </c>
      <c r="F246" s="165">
        <v>3</v>
      </c>
      <c r="G246" s="16" t="s">
        <v>1750</v>
      </c>
      <c r="H246" s="163">
        <v>45401</v>
      </c>
      <c r="I246" s="163"/>
      <c r="J246" s="163"/>
      <c r="K246" s="165" t="s">
        <v>1480</v>
      </c>
      <c r="L246" s="79" t="s">
        <v>250</v>
      </c>
      <c r="M246" s="79" t="s">
        <v>3055</v>
      </c>
      <c r="N246" s="16" t="s">
        <v>3200</v>
      </c>
      <c r="O246" s="24" t="str">
        <f>IF(Q246=" _","NO","SI")</f>
        <v>SI</v>
      </c>
      <c r="P246" s="24" t="str">
        <f ca="1">IF(color_Celda(E246)=12106214,"ROSA",IF(color_Celda(E246)=65535,"AMARILLO",IF(color_Celda(E246)=5296274,"VERDE",IF(color_Celda(E246)=16777215,"BLANCO","NO SE"))))</f>
        <v>ROSA</v>
      </c>
      <c r="Q246" s="16" t="s">
        <v>2437</v>
      </c>
      <c r="R246" s="4" t="str">
        <f>VLOOKUP($Q246,Resultados!$A$1:$B$49,2,FALSE)</f>
        <v>DEVUELTA AL JUZGADO DE ORIGEN</v>
      </c>
      <c r="S246" s="16"/>
      <c r="T246" s="86"/>
      <c r="U246" s="166"/>
      <c r="V246" s="165"/>
      <c r="W246" s="165"/>
      <c r="X246" s="165"/>
      <c r="Y246" s="64"/>
      <c r="Z246" s="165"/>
      <c r="AA246" s="165"/>
      <c r="AB246" s="165"/>
      <c r="AC246" s="165"/>
      <c r="AD246" s="165"/>
      <c r="AE246" s="167"/>
      <c r="AF246" s="168"/>
      <c r="AG246" s="168"/>
      <c r="AH246" s="168"/>
      <c r="AI246" s="168"/>
      <c r="AJ246" s="122" t="s">
        <v>988</v>
      </c>
      <c r="AK246" s="169"/>
      <c r="AL246" s="139" t="s">
        <v>1628</v>
      </c>
      <c r="AM246" s="431" t="str">
        <f>VLOOKUP($Q246,Resultados!$A$1:$C$49,3,FALSE)</f>
        <v>DEVUELTA</v>
      </c>
    </row>
    <row r="247" spans="1:39" customFormat="1" ht="140.25">
      <c r="A247" s="212">
        <v>956</v>
      </c>
      <c r="B247" s="38">
        <v>45401</v>
      </c>
      <c r="C247" s="32" t="s">
        <v>3026</v>
      </c>
      <c r="D247" s="32" t="s">
        <v>3188</v>
      </c>
      <c r="E247" s="41" t="s">
        <v>3214</v>
      </c>
      <c r="F247" s="39">
        <v>5</v>
      </c>
      <c r="G247" s="32" t="s">
        <v>2876</v>
      </c>
      <c r="H247" s="38">
        <v>45404</v>
      </c>
      <c r="I247" s="38"/>
      <c r="J247" s="38"/>
      <c r="K247" s="39" t="s">
        <v>1480</v>
      </c>
      <c r="L247" s="70" t="s">
        <v>87</v>
      </c>
      <c r="M247" s="70" t="s">
        <v>270</v>
      </c>
      <c r="N247" s="32" t="s">
        <v>3287</v>
      </c>
      <c r="O247" s="137" t="str">
        <f>IF(Q247=" _","NO","SI")</f>
        <v>NO</v>
      </c>
      <c r="P247" s="24" t="str">
        <f ca="1">IF(color_Celda(E247)=12106214,"ROSA",IF(color_Celda(E247)=65535,"AMARILLO",IF(color_Celda(E247)=5296274,"VERDE",IF(color_Celda(E247)=16777215,"BLANCO","NO SE"))))</f>
        <v>AMARILLO</v>
      </c>
      <c r="Q247" s="70" t="s">
        <v>108</v>
      </c>
      <c r="R247" s="170" t="str">
        <f>VLOOKUP($Q247,Resultados!$A$1:$B$49,2,FALSE)</f>
        <v xml:space="preserve"> _</v>
      </c>
      <c r="S247" s="32" t="s">
        <v>3215</v>
      </c>
      <c r="T247" s="73"/>
      <c r="U247" s="37"/>
      <c r="V247" s="39"/>
      <c r="W247" s="39"/>
      <c r="X247" s="39"/>
      <c r="Y247" s="199"/>
      <c r="Z247" s="39"/>
      <c r="AA247" s="39"/>
      <c r="AB247" s="39"/>
      <c r="AC247" s="39"/>
      <c r="AD247" s="39"/>
      <c r="AE247" s="144"/>
      <c r="AF247" s="150"/>
      <c r="AG247" s="150"/>
      <c r="AH247" s="150"/>
      <c r="AI247" s="150"/>
      <c r="AJ247" s="124" t="s">
        <v>408</v>
      </c>
      <c r="AK247" s="136"/>
      <c r="AL247" s="151" t="s">
        <v>1627</v>
      </c>
      <c r="AM247" s="431" t="str">
        <f>VLOOKUP($Q247,Resultados!$A$1:$C$49,3,FALSE)</f>
        <v>TRAMITE</v>
      </c>
    </row>
    <row r="248" spans="1:39" customFormat="1" ht="76.5">
      <c r="A248" s="372">
        <v>645</v>
      </c>
      <c r="B248" s="163">
        <v>45341</v>
      </c>
      <c r="C248" s="328" t="s">
        <v>850</v>
      </c>
      <c r="D248" s="16" t="s">
        <v>1946</v>
      </c>
      <c r="E248" s="281" t="s">
        <v>1947</v>
      </c>
      <c r="F248" s="165">
        <v>4</v>
      </c>
      <c r="G248" s="165" t="s">
        <v>325</v>
      </c>
      <c r="H248" s="163">
        <v>45405</v>
      </c>
      <c r="I248" s="163"/>
      <c r="J248" s="163"/>
      <c r="K248" s="165" t="str">
        <f>IFERROR(VLOOKUP(J248,Jueces!$A$1:$B$11,2,FALSE),"")</f>
        <v/>
      </c>
      <c r="L248" s="16" t="s">
        <v>74</v>
      </c>
      <c r="M248" s="16" t="s">
        <v>1156</v>
      </c>
      <c r="N248" s="505" t="s">
        <v>3297</v>
      </c>
      <c r="O248" s="24" t="str">
        <f>IF(Q248=" _","NO","SI")</f>
        <v>SI</v>
      </c>
      <c r="P248" s="24" t="str">
        <f ca="1">IF(color_Celda(E248)=12106214,"ROSA",IF(color_Celda(E248)=65535,"AMARILLO",IF(color_Celda(E248)=5296274,"VERDE",IF(color_Celda(E248)=16777215,"BLANCO","NO SE"))))</f>
        <v>ROSA</v>
      </c>
      <c r="Q248" s="16" t="s">
        <v>1162</v>
      </c>
      <c r="R248" s="4" t="str">
        <f>VLOOKUP($Q248,Resultados!$A$1:$B$49,2,FALSE)</f>
        <v>ELEVADA A JUICIO</v>
      </c>
      <c r="S248" s="16"/>
      <c r="T248" s="166"/>
      <c r="U248" s="166"/>
      <c r="V248" s="165"/>
      <c r="W248" s="165"/>
      <c r="X248" s="165"/>
      <c r="Y248" s="64"/>
      <c r="Z248" s="165"/>
      <c r="AA248" s="165"/>
      <c r="AB248" s="165"/>
      <c r="AC248" s="165"/>
      <c r="AD248" s="165"/>
      <c r="AE248" s="167"/>
      <c r="AF248" s="168"/>
      <c r="AG248" s="168"/>
      <c r="AH248" s="168"/>
      <c r="AI248" s="168"/>
      <c r="AJ248" s="242" t="s">
        <v>988</v>
      </c>
      <c r="AK248" s="169"/>
      <c r="AL248" s="139" t="s">
        <v>1628</v>
      </c>
      <c r="AM248" s="431" t="str">
        <f>VLOOKUP($Q248,Resultados!$A$1:$C$49,3,FALSE)</f>
        <v>ELEVADA</v>
      </c>
    </row>
    <row r="249" spans="1:39" customFormat="1" ht="102">
      <c r="A249" s="372">
        <v>665</v>
      </c>
      <c r="B249" s="17">
        <v>45344</v>
      </c>
      <c r="C249" s="328" t="s">
        <v>1334</v>
      </c>
      <c r="D249" s="16" t="s">
        <v>1870</v>
      </c>
      <c r="E249" s="281" t="s">
        <v>1871</v>
      </c>
      <c r="F249" s="165">
        <v>2</v>
      </c>
      <c r="G249" s="165" t="s">
        <v>325</v>
      </c>
      <c r="H249" s="163">
        <v>45406</v>
      </c>
      <c r="I249" s="17" t="s">
        <v>14</v>
      </c>
      <c r="J249" s="17" t="s">
        <v>7</v>
      </c>
      <c r="K249" s="16" t="s">
        <v>3003</v>
      </c>
      <c r="L249" s="16" t="s">
        <v>77</v>
      </c>
      <c r="M249" s="16" t="s">
        <v>1872</v>
      </c>
      <c r="N249" s="16" t="s">
        <v>3329</v>
      </c>
      <c r="O249" s="24" t="str">
        <f>IF(Q249=" _","NO","SI")</f>
        <v>SI</v>
      </c>
      <c r="P249" s="24" t="str">
        <f ca="1">IF(color_Celda(E249)=12106214,"ROSA",IF(color_Celda(E249)=65535,"AMARILLO",IF(color_Celda(E249)=5296274,"VERDE",IF(color_Celda(E249)=16777215,"BLANCO","NO SE"))))</f>
        <v>ROSA</v>
      </c>
      <c r="Q249" s="16" t="s">
        <v>96</v>
      </c>
      <c r="R249" s="4" t="str">
        <f>VLOOKUP($Q249,Resultados!$A$1:$B$49,2,FALSE)</f>
        <v>Juicio Abreviado</v>
      </c>
      <c r="S249" s="16"/>
      <c r="T249" s="166"/>
      <c r="U249" s="166"/>
      <c r="V249" s="165"/>
      <c r="W249" s="165"/>
      <c r="X249" s="165"/>
      <c r="Y249" s="64"/>
      <c r="Z249" s="165"/>
      <c r="AA249" s="165"/>
      <c r="AB249" s="165"/>
      <c r="AC249" s="165"/>
      <c r="AD249" s="165"/>
      <c r="AE249" s="167"/>
      <c r="AF249" s="168"/>
      <c r="AG249" s="168"/>
      <c r="AH249" s="168"/>
      <c r="AI249" s="168"/>
      <c r="AJ249" s="242" t="s">
        <v>988</v>
      </c>
      <c r="AK249" s="169"/>
      <c r="AL249" s="139" t="s">
        <v>1628</v>
      </c>
      <c r="AM249" s="431" t="str">
        <f>VLOOKUP($Q249,Resultados!$A$1:$C$49,3,FALSE)</f>
        <v>RESUELTA</v>
      </c>
    </row>
    <row r="250" spans="1:39" customFormat="1" ht="51">
      <c r="A250" s="372">
        <v>60</v>
      </c>
      <c r="B250" s="85">
        <v>45226</v>
      </c>
      <c r="C250" s="326">
        <v>0.45624999999999999</v>
      </c>
      <c r="D250" s="79" t="s">
        <v>491</v>
      </c>
      <c r="E250" s="88" t="s">
        <v>492</v>
      </c>
      <c r="F250" s="74">
        <v>6</v>
      </c>
      <c r="G250" s="74" t="s">
        <v>2996</v>
      </c>
      <c r="H250" s="85">
        <v>45406</v>
      </c>
      <c r="I250" s="85"/>
      <c r="J250" s="85"/>
      <c r="K250" s="74" t="s">
        <v>1480</v>
      </c>
      <c r="L250" s="79" t="s">
        <v>248</v>
      </c>
      <c r="M250" s="79" t="s">
        <v>260</v>
      </c>
      <c r="N250" s="105" t="s">
        <v>3357</v>
      </c>
      <c r="O250" s="24" t="str">
        <f>IF(Q250=" _","NO","SI")</f>
        <v>SI</v>
      </c>
      <c r="P250" s="24" t="str">
        <f ca="1">IF(color_Celda(E250)=12106214,"ROSA",IF(color_Celda(E250)=65535,"AMARILLO",IF(color_Celda(E250)=5296274,"VERDE",IF(color_Celda(E250)=16777215,"BLANCO","NO SE"))))</f>
        <v>ROSA</v>
      </c>
      <c r="Q250" s="79" t="s">
        <v>1162</v>
      </c>
      <c r="R250" s="4" t="str">
        <f>VLOOKUP($Q250,Resultados!$A$1:$B$49,2,FALSE)</f>
        <v>ELEVADA A JUICIO</v>
      </c>
      <c r="S250" s="79"/>
      <c r="T250" s="393">
        <v>45400</v>
      </c>
      <c r="U250" s="393">
        <v>45406</v>
      </c>
      <c r="V250" s="74"/>
      <c r="W250" s="74"/>
      <c r="X250" s="74" t="s">
        <v>3149</v>
      </c>
      <c r="Y250" s="64"/>
      <c r="Z250" s="74"/>
      <c r="AA250" s="74"/>
      <c r="AB250" s="74"/>
      <c r="AC250" s="74"/>
      <c r="AD250" s="74"/>
      <c r="AE250" s="140"/>
      <c r="AF250" s="81">
        <v>7</v>
      </c>
      <c r="AG250" s="76"/>
      <c r="AH250" s="76">
        <v>0</v>
      </c>
      <c r="AI250" s="76"/>
      <c r="AJ250" s="122" t="s">
        <v>988</v>
      </c>
      <c r="AK250" s="153"/>
      <c r="AL250" s="139" t="s">
        <v>1628</v>
      </c>
      <c r="AM250" s="431" t="str">
        <f>VLOOKUP($Q250,Resultados!$A$1:$C$49,3,FALSE)</f>
        <v>ELEVADA</v>
      </c>
    </row>
    <row r="251" spans="1:39" customFormat="1" ht="51">
      <c r="A251" s="372">
        <v>870</v>
      </c>
      <c r="B251" s="514">
        <v>45386</v>
      </c>
      <c r="C251" s="517" t="s">
        <v>2777</v>
      </c>
      <c r="D251" s="168" t="s">
        <v>2778</v>
      </c>
      <c r="E251" s="521" t="s">
        <v>2779</v>
      </c>
      <c r="F251" s="168">
        <v>6</v>
      </c>
      <c r="G251" s="168" t="s">
        <v>325</v>
      </c>
      <c r="H251" s="514">
        <v>45406</v>
      </c>
      <c r="I251" s="514"/>
      <c r="J251" s="514"/>
      <c r="K251" s="168" t="s">
        <v>1480</v>
      </c>
      <c r="L251" s="77" t="s">
        <v>85</v>
      </c>
      <c r="M251" s="77" t="s">
        <v>261</v>
      </c>
      <c r="N251" s="4" t="s">
        <v>1162</v>
      </c>
      <c r="O251" s="24" t="str">
        <f>IF(Q251=" _","NO","SI")</f>
        <v>SI</v>
      </c>
      <c r="P251" s="24" t="str">
        <f ca="1">IF(color_Celda(E251)=12106214,"ROSA",IF(color_Celda(E251)=65535,"AMARILLO",IF(color_Celda(E251)=5296274,"VERDE",IF(color_Celda(E251)=16777215,"BLANCO","NO SE"))))</f>
        <v>ROSA</v>
      </c>
      <c r="Q251" s="4" t="s">
        <v>1162</v>
      </c>
      <c r="R251" s="4" t="str">
        <f>VLOOKUP($Q251,Resultados!$A$1:$B$49,2,FALSE)</f>
        <v>ELEVADA A JUICIO</v>
      </c>
      <c r="S251" s="4"/>
      <c r="T251" s="526">
        <v>45405</v>
      </c>
      <c r="U251" s="528">
        <v>45406</v>
      </c>
      <c r="V251" s="168"/>
      <c r="W251" s="168"/>
      <c r="X251" s="4" t="s">
        <v>3299</v>
      </c>
      <c r="Y251" s="64"/>
      <c r="Z251" s="168"/>
      <c r="AA251" s="168"/>
      <c r="AB251" s="168"/>
      <c r="AC251" s="168"/>
      <c r="AD251" s="168"/>
      <c r="AE251" s="529"/>
      <c r="AF251" s="168"/>
      <c r="AG251" s="168"/>
      <c r="AH251" s="168"/>
      <c r="AI251" s="168"/>
      <c r="AJ251" s="122" t="s">
        <v>408</v>
      </c>
      <c r="AK251" s="169"/>
      <c r="AL251" s="139" t="s">
        <v>1628</v>
      </c>
      <c r="AM251" s="431" t="str">
        <f>VLOOKUP($Q251,Resultados!$A$1:$C$49,3,FALSE)</f>
        <v>ELEVADA</v>
      </c>
    </row>
    <row r="252" spans="1:39" customFormat="1" ht="63.75">
      <c r="A252" s="372">
        <v>569</v>
      </c>
      <c r="B252" s="163">
        <v>45328</v>
      </c>
      <c r="C252" s="328" t="s">
        <v>1520</v>
      </c>
      <c r="D252" s="16" t="s">
        <v>1519</v>
      </c>
      <c r="E252" s="281" t="s">
        <v>1521</v>
      </c>
      <c r="F252" s="165">
        <v>7</v>
      </c>
      <c r="G252" s="16" t="s">
        <v>2996</v>
      </c>
      <c r="H252" s="307">
        <v>45406</v>
      </c>
      <c r="I252" s="163"/>
      <c r="J252" s="163"/>
      <c r="K252" s="165" t="str">
        <f>IFERROR(VLOOKUP(J252,Jueces!$A$1:$B$11,2,FALSE),"")</f>
        <v/>
      </c>
      <c r="L252" s="16" t="s">
        <v>127</v>
      </c>
      <c r="M252" s="16" t="s">
        <v>44</v>
      </c>
      <c r="N252" s="230" t="s">
        <v>3357</v>
      </c>
      <c r="O252" s="24" t="str">
        <f>IF(Q252=" _","NO","SI")</f>
        <v>SI</v>
      </c>
      <c r="P252" s="24" t="str">
        <f ca="1">IF(color_Celda(E252)=12106214,"ROSA",IF(color_Celda(E252)=65535,"AMARILLO",IF(color_Celda(E252)=5296274,"VERDE",IF(color_Celda(E252)=16777215,"BLANCO","NO SE"))))</f>
        <v>ROSA</v>
      </c>
      <c r="Q252" s="16" t="s">
        <v>1162</v>
      </c>
      <c r="R252" s="4" t="str">
        <f>VLOOKUP($Q252,Resultados!$A$1:$B$49,2,FALSE)</f>
        <v>ELEVADA A JUICIO</v>
      </c>
      <c r="S252" s="16"/>
      <c r="T252" s="166"/>
      <c r="U252" s="166"/>
      <c r="V252" s="165"/>
      <c r="W252" s="165"/>
      <c r="X252" s="165"/>
      <c r="Y252" s="64"/>
      <c r="Z252" s="165"/>
      <c r="AA252" s="165"/>
      <c r="AB252" s="165"/>
      <c r="AC252" s="165"/>
      <c r="AD252" s="165"/>
      <c r="AE252" s="167"/>
      <c r="AF252" s="168"/>
      <c r="AG252" s="168"/>
      <c r="AH252" s="168"/>
      <c r="AI252" s="168"/>
      <c r="AJ252" s="242" t="s">
        <v>988</v>
      </c>
      <c r="AK252" s="169"/>
      <c r="AL252" s="139" t="s">
        <v>1628</v>
      </c>
      <c r="AM252" s="431" t="str">
        <f>VLOOKUP($Q252,Resultados!$A$1:$C$49,3,FALSE)</f>
        <v>ELEVADA</v>
      </c>
    </row>
    <row r="253" spans="1:39" customFormat="1" ht="102">
      <c r="A253" s="372">
        <v>752</v>
      </c>
      <c r="B253" s="17">
        <v>45357</v>
      </c>
      <c r="C253" s="328" t="s">
        <v>1010</v>
      </c>
      <c r="D253" s="16" t="s">
        <v>2122</v>
      </c>
      <c r="E253" s="164" t="s">
        <v>2224</v>
      </c>
      <c r="F253" s="165">
        <v>7</v>
      </c>
      <c r="G253" s="16" t="s">
        <v>10</v>
      </c>
      <c r="H253" s="307">
        <v>45406</v>
      </c>
      <c r="I253" s="163"/>
      <c r="J253" s="163"/>
      <c r="K253" s="165" t="str">
        <f>IFERROR(VLOOKUP(J253,Jueces!$A$1:$B$11,2,FALSE),"")</f>
        <v/>
      </c>
      <c r="L253" s="16" t="s">
        <v>82</v>
      </c>
      <c r="M253" s="16" t="s">
        <v>90</v>
      </c>
      <c r="N253" s="16" t="s">
        <v>3359</v>
      </c>
      <c r="O253" s="24" t="str">
        <f>IF(Q253=" _","NO","SI")</f>
        <v>SI</v>
      </c>
      <c r="P253" s="24" t="str">
        <f ca="1">IF(color_Celda(E253)=12106214,"ROSA",IF(color_Celda(E253)=65535,"AMARILLO",IF(color_Celda(E253)=5296274,"VERDE",IF(color_Celda(E253)=16777215,"BLANCO","NO SE"))))</f>
        <v>ROSA</v>
      </c>
      <c r="Q253" s="16" t="s">
        <v>1162</v>
      </c>
      <c r="R253" s="4" t="str">
        <f>VLOOKUP($Q253,Resultados!$A$1:$B$49,2,FALSE)</f>
        <v>ELEVADA A JUICIO</v>
      </c>
      <c r="S253" s="16"/>
      <c r="T253" s="166"/>
      <c r="U253" s="166"/>
      <c r="V253" s="165"/>
      <c r="W253" s="165"/>
      <c r="X253" s="165"/>
      <c r="Y253" s="64"/>
      <c r="Z253" s="165"/>
      <c r="AA253" s="165"/>
      <c r="AB253" s="165"/>
      <c r="AC253" s="165"/>
      <c r="AD253" s="165"/>
      <c r="AE253" s="167"/>
      <c r="AF253" s="168"/>
      <c r="AG253" s="168"/>
      <c r="AH253" s="168"/>
      <c r="AI253" s="168"/>
      <c r="AJ253" s="242" t="s">
        <v>408</v>
      </c>
      <c r="AK253" s="169"/>
      <c r="AL253" s="139" t="s">
        <v>1628</v>
      </c>
      <c r="AM253" s="431" t="str">
        <f>VLOOKUP($Q253,Resultados!$A$1:$C$49,3,FALSE)</f>
        <v>ELEVADA</v>
      </c>
    </row>
    <row r="254" spans="1:39" customFormat="1" ht="38.25">
      <c r="A254" s="372">
        <v>38</v>
      </c>
      <c r="B254" s="85">
        <v>45222</v>
      </c>
      <c r="C254" s="325" t="s">
        <v>12</v>
      </c>
      <c r="D254" s="79" t="s">
        <v>421</v>
      </c>
      <c r="E254" s="88" t="s">
        <v>422</v>
      </c>
      <c r="F254" s="74">
        <v>3</v>
      </c>
      <c r="G254" s="74" t="s">
        <v>1750</v>
      </c>
      <c r="H254" s="305">
        <v>45407</v>
      </c>
      <c r="I254" s="85"/>
      <c r="J254" s="85"/>
      <c r="K254" s="74" t="s">
        <v>1480</v>
      </c>
      <c r="L254" s="79" t="s">
        <v>83</v>
      </c>
      <c r="M254" s="79" t="s">
        <v>131</v>
      </c>
      <c r="N254" s="105" t="s">
        <v>3364</v>
      </c>
      <c r="O254" s="24" t="str">
        <f>IF(Q254=" _","NO","SI")</f>
        <v>SI</v>
      </c>
      <c r="P254" s="24" t="str">
        <f ca="1">IF(color_Celda(E254)=12106214,"ROSA",IF(color_Celda(E254)=65535,"AMARILLO",IF(color_Celda(E254)=5296274,"VERDE",IF(color_Celda(E254)=16777215,"BLANCO","NO SE"))))</f>
        <v>ROSA</v>
      </c>
      <c r="Q254" s="79" t="s">
        <v>2437</v>
      </c>
      <c r="R254" s="4" t="str">
        <f>VLOOKUP($Q254,Resultados!$A$1:$B$49,2,FALSE)</f>
        <v>DEVUELTA AL JUZGADO DE ORIGEN</v>
      </c>
      <c r="S254" s="79"/>
      <c r="T254" s="86"/>
      <c r="U254" s="86"/>
      <c r="V254" s="74"/>
      <c r="W254" s="74"/>
      <c r="X254" s="74"/>
      <c r="Y254" s="64"/>
      <c r="Z254" s="74"/>
      <c r="AA254" s="74"/>
      <c r="AB254" s="74"/>
      <c r="AC254" s="74"/>
      <c r="AD254" s="74"/>
      <c r="AE254" s="140"/>
      <c r="AF254" s="81">
        <v>7</v>
      </c>
      <c r="AG254" s="76"/>
      <c r="AH254" s="76">
        <v>0</v>
      </c>
      <c r="AI254" s="152"/>
      <c r="AJ254" s="122" t="s">
        <v>988</v>
      </c>
      <c r="AK254" s="138"/>
      <c r="AL254" s="139" t="s">
        <v>1628</v>
      </c>
      <c r="AM254" s="431" t="str">
        <f>VLOOKUP($Q254,Resultados!$A$1:$C$49,3,FALSE)</f>
        <v>DEVUELTA</v>
      </c>
    </row>
    <row r="255" spans="1:39" customFormat="1" ht="165.75">
      <c r="A255" s="372">
        <v>98</v>
      </c>
      <c r="B255" s="85">
        <v>45231</v>
      </c>
      <c r="C255" s="326">
        <v>0.52986111111111112</v>
      </c>
      <c r="D255" s="79" t="s">
        <v>571</v>
      </c>
      <c r="E255" s="88" t="s">
        <v>572</v>
      </c>
      <c r="F255" s="74">
        <v>6</v>
      </c>
      <c r="G255" s="74" t="s">
        <v>2876</v>
      </c>
      <c r="H255" s="305">
        <v>45407</v>
      </c>
      <c r="I255" s="85"/>
      <c r="J255" s="85"/>
      <c r="K255" s="74" t="s">
        <v>1480</v>
      </c>
      <c r="L255" s="79" t="s">
        <v>86</v>
      </c>
      <c r="M255" s="79" t="s">
        <v>260</v>
      </c>
      <c r="N255" s="74" t="s">
        <v>3361</v>
      </c>
      <c r="O255" s="24" t="str">
        <f>IF(Q255=" _","NO","SI")</f>
        <v>SI</v>
      </c>
      <c r="P255" s="24" t="str">
        <f ca="1">IF(color_Celda(E255)=12106214,"ROSA",IF(color_Celda(E255)=65535,"AMARILLO",IF(color_Celda(E255)=5296274,"VERDE",IF(color_Celda(E255)=16777215,"BLANCO","NO SE"))))</f>
        <v>ROSA</v>
      </c>
      <c r="Q255" s="79" t="s">
        <v>2437</v>
      </c>
      <c r="R255" s="4" t="str">
        <f>VLOOKUP($Q255,Resultados!$A$1:$B$49,2,FALSE)</f>
        <v>DEVUELTA AL JUZGADO DE ORIGEN</v>
      </c>
      <c r="S255" s="79"/>
      <c r="T255" s="393">
        <v>45405</v>
      </c>
      <c r="U255" s="393">
        <v>45407</v>
      </c>
      <c r="V255" s="74"/>
      <c r="W255" s="74"/>
      <c r="X255" s="74" t="s">
        <v>3300</v>
      </c>
      <c r="Y255" s="64"/>
      <c r="Z255" s="74"/>
      <c r="AA255" s="74"/>
      <c r="AB255" s="74"/>
      <c r="AC255" s="74"/>
      <c r="AD255" s="74"/>
      <c r="AE255" s="140"/>
      <c r="AF255" s="81">
        <v>7</v>
      </c>
      <c r="AG255" s="76"/>
      <c r="AH255" s="76">
        <v>0</v>
      </c>
      <c r="AI255" s="76"/>
      <c r="AJ255" s="122" t="s">
        <v>988</v>
      </c>
      <c r="AK255" s="153"/>
      <c r="AL255" s="139" t="s">
        <v>1628</v>
      </c>
      <c r="AM255" s="431" t="str">
        <f>VLOOKUP($Q255,Resultados!$A$1:$C$49,3,FALSE)</f>
        <v>DEVUELTA</v>
      </c>
    </row>
    <row r="256" spans="1:39" customFormat="1" ht="51">
      <c r="A256" s="372">
        <v>776</v>
      </c>
      <c r="B256" s="163">
        <v>45359</v>
      </c>
      <c r="C256" s="328" t="s">
        <v>12</v>
      </c>
      <c r="D256" s="16" t="s">
        <v>2222</v>
      </c>
      <c r="E256" s="281" t="s">
        <v>2223</v>
      </c>
      <c r="F256" s="165">
        <v>2</v>
      </c>
      <c r="G256" s="16" t="s">
        <v>325</v>
      </c>
      <c r="H256" s="307">
        <v>45407</v>
      </c>
      <c r="I256" s="163"/>
      <c r="J256" s="163"/>
      <c r="K256" s="165" t="str">
        <f>IFERROR(VLOOKUP(J256,Jueces!$A$1:$B$11,2,FALSE),"")</f>
        <v/>
      </c>
      <c r="L256" s="16" t="s">
        <v>2173</v>
      </c>
      <c r="M256" s="16" t="s">
        <v>131</v>
      </c>
      <c r="N256" s="16" t="s">
        <v>3363</v>
      </c>
      <c r="O256" s="24" t="str">
        <f>IF(Q256=" _","NO","SI")</f>
        <v>SI</v>
      </c>
      <c r="P256" s="24" t="str">
        <f ca="1">IF(color_Celda(E256)=12106214,"ROSA",IF(color_Celda(E256)=65535,"AMARILLO",IF(color_Celda(E256)=5296274,"VERDE",IF(color_Celda(E256)=16777215,"BLANCO","NO SE"))))</f>
        <v>ROSA</v>
      </c>
      <c r="Q256" s="16" t="s">
        <v>1162</v>
      </c>
      <c r="R256" s="4" t="str">
        <f>VLOOKUP($Q256,Resultados!$A$1:$B$49,2,FALSE)</f>
        <v>ELEVADA A JUICIO</v>
      </c>
      <c r="S256" s="16"/>
      <c r="T256" s="166"/>
      <c r="U256" s="166"/>
      <c r="V256" s="165"/>
      <c r="W256" s="165"/>
      <c r="X256" s="165"/>
      <c r="Y256" s="64"/>
      <c r="Z256" s="165"/>
      <c r="AA256" s="165"/>
      <c r="AB256" s="165"/>
      <c r="AC256" s="165"/>
      <c r="AD256" s="165"/>
      <c r="AE256" s="167"/>
      <c r="AF256" s="168"/>
      <c r="AG256" s="168"/>
      <c r="AH256" s="168"/>
      <c r="AI256" s="168"/>
      <c r="AJ256" s="242" t="s">
        <v>988</v>
      </c>
      <c r="AK256" s="169"/>
      <c r="AL256" s="139" t="s">
        <v>1628</v>
      </c>
      <c r="AM256" s="431" t="str">
        <f>VLOOKUP($Q256,Resultados!$A$1:$C$49,3,FALSE)</f>
        <v>ELEVADA</v>
      </c>
    </row>
    <row r="257" spans="1:39" customFormat="1" ht="38.25">
      <c r="A257" s="372">
        <v>861</v>
      </c>
      <c r="B257" s="163">
        <v>45378</v>
      </c>
      <c r="C257" s="328" t="s">
        <v>461</v>
      </c>
      <c r="D257" s="16" t="s">
        <v>2755</v>
      </c>
      <c r="E257" s="281" t="s">
        <v>2756</v>
      </c>
      <c r="F257" s="165">
        <v>7</v>
      </c>
      <c r="G257" s="16" t="s">
        <v>10</v>
      </c>
      <c r="H257" s="163">
        <v>45407</v>
      </c>
      <c r="I257" s="163"/>
      <c r="J257" s="163"/>
      <c r="K257" s="165" t="s">
        <v>1480</v>
      </c>
      <c r="L257" s="79" t="s">
        <v>75</v>
      </c>
      <c r="M257" s="79" t="s">
        <v>270</v>
      </c>
      <c r="N257" s="230" t="s">
        <v>3362</v>
      </c>
      <c r="O257" s="24" t="str">
        <f>IF(Q257=" _","NO","SI")</f>
        <v>SI</v>
      </c>
      <c r="P257" s="24" t="str">
        <f ca="1">IF(color_Celda(E257)=12106214,"ROSA",IF(color_Celda(E257)=65535,"AMARILLO",IF(color_Celda(E257)=5296274,"VERDE",IF(color_Celda(E257)=16777215,"BLANCO","NO SE"))))</f>
        <v>ROSA</v>
      </c>
      <c r="Q257" s="16" t="s">
        <v>2437</v>
      </c>
      <c r="R257" s="4" t="str">
        <f>VLOOKUP($Q257,Resultados!$A$1:$B$49,2,FALSE)</f>
        <v>DEVUELTA AL JUZGADO DE ORIGEN</v>
      </c>
      <c r="S257" s="16"/>
      <c r="T257" s="86"/>
      <c r="U257" s="166"/>
      <c r="V257" s="165"/>
      <c r="W257" s="165"/>
      <c r="X257" s="165"/>
      <c r="Y257" s="64"/>
      <c r="Z257" s="165"/>
      <c r="AA257" s="165"/>
      <c r="AB257" s="165"/>
      <c r="AC257" s="165"/>
      <c r="AD257" s="165"/>
      <c r="AE257" s="167"/>
      <c r="AF257" s="168"/>
      <c r="AG257" s="168"/>
      <c r="AH257" s="168"/>
      <c r="AI257" s="168"/>
      <c r="AJ257" s="122" t="s">
        <v>988</v>
      </c>
      <c r="AK257" s="169"/>
      <c r="AL257" s="139" t="s">
        <v>1628</v>
      </c>
      <c r="AM257" s="431" t="str">
        <f>VLOOKUP($Q257,Resultados!$A$1:$C$49,3,FALSE)</f>
        <v>DEVUELTA</v>
      </c>
    </row>
    <row r="258" spans="1:39" customFormat="1" ht="63.75">
      <c r="A258" s="372">
        <v>921</v>
      </c>
      <c r="B258" s="163">
        <v>45397</v>
      </c>
      <c r="C258" s="16" t="s">
        <v>3073</v>
      </c>
      <c r="D258" s="16" t="s">
        <v>3120</v>
      </c>
      <c r="E258" s="164" t="s">
        <v>3138</v>
      </c>
      <c r="F258" s="165">
        <v>7</v>
      </c>
      <c r="G258" s="16" t="s">
        <v>325</v>
      </c>
      <c r="H258" s="163">
        <v>45407</v>
      </c>
      <c r="I258" s="163"/>
      <c r="J258" s="163"/>
      <c r="K258" s="165" t="s">
        <v>1480</v>
      </c>
      <c r="L258" s="79" t="s">
        <v>2171</v>
      </c>
      <c r="M258" s="79" t="s">
        <v>67</v>
      </c>
      <c r="N258" s="16" t="s">
        <v>3360</v>
      </c>
      <c r="O258" s="24" t="str">
        <f>IF(Q258=" _","NO","SI")</f>
        <v>SI</v>
      </c>
      <c r="P258" s="24" t="str">
        <f ca="1">IF(color_Celda(E258)=12106214,"ROSA",IF(color_Celda(E258)=65535,"AMARILLO",IF(color_Celda(E258)=5296274,"VERDE",IF(color_Celda(E258)=16777215,"BLANCO","NO SE"))))</f>
        <v>ROSA</v>
      </c>
      <c r="Q258" s="16" t="s">
        <v>1162</v>
      </c>
      <c r="R258" s="4" t="str">
        <f>VLOOKUP($Q258,Resultados!$A$1:$B$49,2,FALSE)</f>
        <v>ELEVADA A JUICIO</v>
      </c>
      <c r="S258" s="296">
        <v>45398</v>
      </c>
      <c r="T258" s="393">
        <v>45406</v>
      </c>
      <c r="U258" s="448">
        <v>45407</v>
      </c>
      <c r="V258" s="165"/>
      <c r="W258" s="165"/>
      <c r="X258" s="165" t="s">
        <v>3330</v>
      </c>
      <c r="Y258" s="64"/>
      <c r="Z258" s="165"/>
      <c r="AA258" s="165"/>
      <c r="AB258" s="165"/>
      <c r="AC258" s="165"/>
      <c r="AD258" s="165"/>
      <c r="AE258" s="167"/>
      <c r="AF258" s="168"/>
      <c r="AG258" s="168"/>
      <c r="AH258" s="168"/>
      <c r="AI258" s="168"/>
      <c r="AJ258" s="122" t="s">
        <v>408</v>
      </c>
      <c r="AK258" s="169"/>
      <c r="AL258" s="139" t="s">
        <v>1628</v>
      </c>
      <c r="AM258" s="431" t="str">
        <f>VLOOKUP($Q258,Resultados!$A$1:$C$49,3,FALSE)</f>
        <v>ELEVADA</v>
      </c>
    </row>
    <row r="259" spans="1:39" customFormat="1" ht="25.5">
      <c r="A259" s="372">
        <v>867</v>
      </c>
      <c r="B259" s="163">
        <v>45385</v>
      </c>
      <c r="C259" s="328" t="s">
        <v>15</v>
      </c>
      <c r="D259" s="16" t="s">
        <v>2761</v>
      </c>
      <c r="E259" s="281" t="s">
        <v>2973</v>
      </c>
      <c r="F259" s="165">
        <v>4</v>
      </c>
      <c r="G259" s="165" t="s">
        <v>325</v>
      </c>
      <c r="H259" s="307">
        <v>45408</v>
      </c>
      <c r="I259" s="163"/>
      <c r="J259" s="163"/>
      <c r="K259" s="165" t="s">
        <v>1480</v>
      </c>
      <c r="L259" s="79" t="s">
        <v>85</v>
      </c>
      <c r="M259" s="79" t="s">
        <v>46</v>
      </c>
      <c r="N259" s="230" t="s">
        <v>1162</v>
      </c>
      <c r="O259" s="24" t="str">
        <f>IF(Q259=" _","NO","SI")</f>
        <v>SI</v>
      </c>
      <c r="P259" s="24" t="str">
        <f ca="1">IF(color_Celda(E259)=12106214,"ROSA",IF(color_Celda(E259)=65535,"AMARILLO",IF(color_Celda(E259)=5296274,"VERDE",IF(color_Celda(E259)=16777215,"BLANCO","NO SE"))))</f>
        <v>ROSA</v>
      </c>
      <c r="Q259" s="16" t="s">
        <v>1162</v>
      </c>
      <c r="R259" s="4" t="str">
        <f>VLOOKUP($Q259,Resultados!$A$1:$B$49,2,FALSE)</f>
        <v>ELEVADA A JUICIO</v>
      </c>
      <c r="S259" s="16"/>
      <c r="T259" s="86"/>
      <c r="U259" s="166"/>
      <c r="V259" s="165"/>
      <c r="W259" s="165"/>
      <c r="X259" s="165"/>
      <c r="Y259" s="64"/>
      <c r="Z259" s="165"/>
      <c r="AA259" s="165"/>
      <c r="AB259" s="165"/>
      <c r="AC259" s="165"/>
      <c r="AD259" s="165"/>
      <c r="AE259" s="167"/>
      <c r="AF259" s="168"/>
      <c r="AG259" s="168"/>
      <c r="AH259" s="168"/>
      <c r="AI259" s="168"/>
      <c r="AJ259" s="122" t="s">
        <v>988</v>
      </c>
      <c r="AK259" s="169"/>
      <c r="AL259" s="139" t="s">
        <v>1628</v>
      </c>
      <c r="AM259" s="431" t="str">
        <f>VLOOKUP($Q259,Resultados!$A$1:$C$49,3,FALSE)</f>
        <v>ELEVADA</v>
      </c>
    </row>
    <row r="260" spans="1:39" customFormat="1" ht="76.5">
      <c r="A260" s="453">
        <v>350</v>
      </c>
      <c r="B260" s="454">
        <v>45258</v>
      </c>
      <c r="C260" s="455" t="s">
        <v>143</v>
      </c>
      <c r="D260" s="456" t="s">
        <v>1005</v>
      </c>
      <c r="E260" s="457" t="s">
        <v>1006</v>
      </c>
      <c r="F260" s="458">
        <v>2</v>
      </c>
      <c r="G260" s="458" t="s">
        <v>325</v>
      </c>
      <c r="H260" s="454">
        <v>45432</v>
      </c>
      <c r="I260" s="454" t="s">
        <v>14</v>
      </c>
      <c r="J260" s="454" t="s">
        <v>7</v>
      </c>
      <c r="K260" s="458" t="s">
        <v>231</v>
      </c>
      <c r="L260" s="456" t="s">
        <v>82</v>
      </c>
      <c r="M260" s="456" t="s">
        <v>49</v>
      </c>
      <c r="N260" s="458" t="s">
        <v>3349</v>
      </c>
      <c r="O260" s="459" t="str">
        <f>IF(Q260=" _","NO","SI")</f>
        <v>NO</v>
      </c>
      <c r="P260" s="459" t="str">
        <f ca="1">IF(color_Celda(E260)=12106214,"ROSA",IF(color_Celda(E260)=65535,"AMARILLO",IF(color_Celda(E260)=5296274,"VERDE",IF(color_Celda(E260)=16777215,"BLANCO","NO SE"))))</f>
        <v>BLANCO</v>
      </c>
      <c r="Q260" s="456" t="s">
        <v>108</v>
      </c>
      <c r="R260" s="460" t="str">
        <f>VLOOKUP($Q260,Resultados!$A$1:$B$49,2,FALSE)</f>
        <v xml:space="preserve"> _</v>
      </c>
      <c r="S260" s="456"/>
      <c r="T260" s="461"/>
      <c r="U260" s="461"/>
      <c r="V260" s="458"/>
      <c r="W260" s="458"/>
      <c r="X260" s="458"/>
      <c r="Y260" s="462"/>
      <c r="Z260" s="458"/>
      <c r="AA260" s="458"/>
      <c r="AB260" s="458"/>
      <c r="AC260" s="458"/>
      <c r="AD260" s="458"/>
      <c r="AE260" s="463"/>
      <c r="AF260" s="464">
        <v>7</v>
      </c>
      <c r="AG260" s="464"/>
      <c r="AH260" s="464">
        <v>0</v>
      </c>
      <c r="AI260" s="464"/>
      <c r="AJ260" s="506" t="s">
        <v>988</v>
      </c>
      <c r="AK260" s="465"/>
      <c r="AL260" s="466" t="s">
        <v>1627</v>
      </c>
      <c r="AM260" s="431" t="str">
        <f>VLOOKUP($Q260,Resultados!$A$1:$C$49,3,FALSE)</f>
        <v>TRAMITE</v>
      </c>
    </row>
    <row r="261" spans="1:39" customFormat="1" ht="76.5">
      <c r="A261" s="364">
        <v>2</v>
      </c>
      <c r="B261" s="69">
        <v>45209</v>
      </c>
      <c r="C261" s="332" t="s">
        <v>756</v>
      </c>
      <c r="D261" s="70" t="s">
        <v>757</v>
      </c>
      <c r="E261" s="92" t="s">
        <v>758</v>
      </c>
      <c r="F261" s="68">
        <v>2</v>
      </c>
      <c r="G261" s="68" t="s">
        <v>325</v>
      </c>
      <c r="H261" s="69"/>
      <c r="I261" s="69"/>
      <c r="J261" s="69"/>
      <c r="K261" s="68" t="s">
        <v>1480</v>
      </c>
      <c r="L261" s="70" t="s">
        <v>250</v>
      </c>
      <c r="M261" s="70" t="s">
        <v>62</v>
      </c>
      <c r="N261" s="68" t="s">
        <v>2271</v>
      </c>
      <c r="O261" s="24" t="str">
        <f>IF(Q261=" _","NO","SI")</f>
        <v>NO</v>
      </c>
      <c r="P261" s="24" t="str">
        <f ca="1">IF(color_Celda(E261)=12106214,"ROSA",IF(color_Celda(E261)=65535,"AMARILLO",IF(color_Celda(E261)=5296274,"VERDE",IF(color_Celda(E261)=16777215,"BLANCO","NO SE"))))</f>
        <v>AMARILLO</v>
      </c>
      <c r="Q261" s="70" t="s">
        <v>108</v>
      </c>
      <c r="R261" s="170" t="str">
        <f>VLOOKUP($Q261,Resultados!$A$1:$B$49,2,FALSE)</f>
        <v xml:space="preserve"> _</v>
      </c>
      <c r="S261" s="70"/>
      <c r="T261" s="73"/>
      <c r="U261" s="73"/>
      <c r="V261" s="68"/>
      <c r="W261" s="68"/>
      <c r="X261" s="68"/>
      <c r="Y261" s="64"/>
      <c r="Z261" s="68"/>
      <c r="AA261" s="68"/>
      <c r="AB261" s="68"/>
      <c r="AC261" s="68"/>
      <c r="AD261" s="68"/>
      <c r="AE261" s="142"/>
      <c r="AF261" s="145">
        <v>7</v>
      </c>
      <c r="AG261" s="146"/>
      <c r="AH261" s="146">
        <v>0</v>
      </c>
      <c r="AI261" s="146"/>
      <c r="AJ261" s="124" t="s">
        <v>988</v>
      </c>
      <c r="AK261" s="134"/>
      <c r="AL261" s="151" t="s">
        <v>1627</v>
      </c>
      <c r="AM261" s="431" t="str">
        <f>VLOOKUP($Q261,Resultados!$A$1:$C$49,3,FALSE)</f>
        <v>TRAMITE</v>
      </c>
    </row>
    <row r="262" spans="1:39" customFormat="1" ht="51">
      <c r="A262" s="364">
        <v>3</v>
      </c>
      <c r="B262" s="72">
        <v>45216</v>
      </c>
      <c r="C262" s="332" t="s">
        <v>12</v>
      </c>
      <c r="D262" s="70" t="s">
        <v>365</v>
      </c>
      <c r="E262" s="92" t="s">
        <v>455</v>
      </c>
      <c r="F262" s="70">
        <v>3</v>
      </c>
      <c r="G262" s="70" t="s">
        <v>10</v>
      </c>
      <c r="H262" s="72"/>
      <c r="I262" s="91"/>
      <c r="J262" s="72"/>
      <c r="K262" s="70" t="s">
        <v>1480</v>
      </c>
      <c r="L262" s="70" t="s">
        <v>366</v>
      </c>
      <c r="M262" s="70" t="s">
        <v>1289</v>
      </c>
      <c r="N262" s="70" t="s">
        <v>2673</v>
      </c>
      <c r="O262" s="137" t="str">
        <f>IF(Q262=" _","NO","SI")</f>
        <v>NO</v>
      </c>
      <c r="P262" s="24" t="str">
        <f ca="1">IF(color_Celda(E262)=12106214,"ROSA",IF(color_Celda(E262)=65535,"AMARILLO",IF(color_Celda(E262)=5296274,"VERDE",IF(color_Celda(E262)=16777215,"BLANCO","NO SE"))))</f>
        <v>AMARILLO</v>
      </c>
      <c r="Q262" s="70" t="s">
        <v>108</v>
      </c>
      <c r="R262" s="170" t="str">
        <f>VLOOKUP($Q262,Resultados!$A$1:$B$49,2,FALSE)</f>
        <v xml:space="preserve"> _</v>
      </c>
      <c r="S262" s="70" t="s">
        <v>367</v>
      </c>
      <c r="T262" s="86"/>
      <c r="U262" s="86"/>
      <c r="V262" s="79"/>
      <c r="W262" s="70"/>
      <c r="X262" s="70"/>
      <c r="Y262" s="199"/>
      <c r="Z262" s="93"/>
      <c r="AA262" s="73"/>
      <c r="AB262" s="93"/>
      <c r="AC262" s="85">
        <v>45217</v>
      </c>
      <c r="AD262" s="85">
        <v>45218</v>
      </c>
      <c r="AE262" s="140">
        <v>45216</v>
      </c>
      <c r="AF262" s="81">
        <v>45224</v>
      </c>
      <c r="AG262" s="223" t="s">
        <v>1485</v>
      </c>
      <c r="AH262" s="224">
        <v>0</v>
      </c>
      <c r="AI262" s="76"/>
      <c r="AJ262" s="124" t="s">
        <v>988</v>
      </c>
      <c r="AK262" s="132"/>
      <c r="AL262" s="151" t="s">
        <v>1627</v>
      </c>
      <c r="AM262" s="431" t="str">
        <f>VLOOKUP($Q262,Resultados!$A$1:$C$49,3,FALSE)</f>
        <v>TRAMITE</v>
      </c>
    </row>
    <row r="263" spans="1:39" customFormat="1" ht="63.75">
      <c r="A263" s="364">
        <v>6</v>
      </c>
      <c r="B263" s="72">
        <v>45216</v>
      </c>
      <c r="C263" s="332" t="s">
        <v>739</v>
      </c>
      <c r="D263" s="70" t="s">
        <v>282</v>
      </c>
      <c r="E263" s="92" t="s">
        <v>391</v>
      </c>
      <c r="F263" s="70">
        <v>8</v>
      </c>
      <c r="G263" s="70" t="s">
        <v>5</v>
      </c>
      <c r="H263" s="72"/>
      <c r="I263" s="91"/>
      <c r="J263" s="72"/>
      <c r="K263" s="70" t="s">
        <v>1480</v>
      </c>
      <c r="L263" s="70" t="s">
        <v>127</v>
      </c>
      <c r="M263" s="70" t="s">
        <v>70</v>
      </c>
      <c r="N263" s="70" t="s">
        <v>401</v>
      </c>
      <c r="O263" s="24" t="str">
        <f>IF(Q263=" _","NO","SI")</f>
        <v>NO</v>
      </c>
      <c r="P263" s="24" t="str">
        <f ca="1">IF(color_Celda(E263)=12106214,"ROSA",IF(color_Celda(E263)=65535,"AMARILLO",IF(color_Celda(E263)=5296274,"VERDE",IF(color_Celda(E263)=16777215,"BLANCO","NO SE"))))</f>
        <v>AMARILLO</v>
      </c>
      <c r="Q263" s="70" t="s">
        <v>108</v>
      </c>
      <c r="R263" s="170" t="str">
        <f>VLOOKUP($Q263,Resultados!$A$1:$B$49,2,FALSE)</f>
        <v xml:space="preserve"> _</v>
      </c>
      <c r="S263" s="70"/>
      <c r="T263" s="73"/>
      <c r="U263" s="73"/>
      <c r="V263" s="70"/>
      <c r="W263" s="70"/>
      <c r="X263" s="70"/>
      <c r="Y263" s="64"/>
      <c r="Z263" s="93"/>
      <c r="AA263" s="344"/>
      <c r="AB263" s="93"/>
      <c r="AC263" s="69"/>
      <c r="AD263" s="69"/>
      <c r="AE263" s="142"/>
      <c r="AF263" s="145">
        <v>7</v>
      </c>
      <c r="AG263" s="146" t="s">
        <v>1485</v>
      </c>
      <c r="AH263" s="147">
        <v>0</v>
      </c>
      <c r="AI263" s="146"/>
      <c r="AJ263" s="124" t="s">
        <v>988</v>
      </c>
      <c r="AK263" s="132"/>
      <c r="AL263" s="151" t="s">
        <v>1627</v>
      </c>
      <c r="AM263" s="431" t="str">
        <f>VLOOKUP($Q263,Resultados!$A$1:$C$49,3,FALSE)</f>
        <v>TRAMITE</v>
      </c>
    </row>
    <row r="264" spans="1:39" customFormat="1" ht="204">
      <c r="A264" s="364">
        <v>26</v>
      </c>
      <c r="B264" s="69">
        <v>45218</v>
      </c>
      <c r="C264" s="332" t="s">
        <v>404</v>
      </c>
      <c r="D264" s="70" t="s">
        <v>405</v>
      </c>
      <c r="E264" s="71" t="s">
        <v>442</v>
      </c>
      <c r="F264" s="68">
        <v>1</v>
      </c>
      <c r="G264" s="68" t="s">
        <v>325</v>
      </c>
      <c r="H264" s="69"/>
      <c r="I264" s="69"/>
      <c r="J264" s="69"/>
      <c r="K264" s="68" t="s">
        <v>1480</v>
      </c>
      <c r="L264" s="70" t="s">
        <v>36</v>
      </c>
      <c r="M264" s="70" t="s">
        <v>226</v>
      </c>
      <c r="N264" s="70" t="s">
        <v>3295</v>
      </c>
      <c r="O264" s="137" t="str">
        <f>IF(Q264=" _","NO","SI")</f>
        <v>NO</v>
      </c>
      <c r="P264" s="24" t="str">
        <f ca="1">IF(color_Celda(E264)=12106214,"ROSA",IF(color_Celda(E264)=65535,"AMARILLO",IF(color_Celda(E264)=5296274,"VERDE",IF(color_Celda(E264)=16777215,"BLANCO","NO SE"))))</f>
        <v>AMARILLO</v>
      </c>
      <c r="Q264" s="70" t="s">
        <v>108</v>
      </c>
      <c r="R264" s="170" t="str">
        <f>VLOOKUP($Q264,Resultados!$A$1:$B$49,2,FALSE)</f>
        <v xml:space="preserve"> _</v>
      </c>
      <c r="S264" s="70"/>
      <c r="T264" s="73"/>
      <c r="U264" s="73"/>
      <c r="V264" s="68"/>
      <c r="W264" s="68"/>
      <c r="X264" s="68"/>
      <c r="Y264" s="199"/>
      <c r="Z264" s="68"/>
      <c r="AA264" s="68"/>
      <c r="AB264" s="68"/>
      <c r="AC264" s="68"/>
      <c r="AD264" s="68"/>
      <c r="AE264" s="142"/>
      <c r="AF264" s="145">
        <v>7</v>
      </c>
      <c r="AG264" s="146"/>
      <c r="AH264" s="146">
        <v>0</v>
      </c>
      <c r="AI264" s="177"/>
      <c r="AJ264" s="124" t="s">
        <v>408</v>
      </c>
      <c r="AK264" s="134"/>
      <c r="AL264" s="151" t="s">
        <v>1627</v>
      </c>
      <c r="AM264" s="431" t="str">
        <f>VLOOKUP($Q264,Resultados!$A$1:$C$49,3,FALSE)</f>
        <v>TRAMITE</v>
      </c>
    </row>
    <row r="265" spans="1:39" customFormat="1" ht="38.25">
      <c r="A265" s="364">
        <v>27</v>
      </c>
      <c r="B265" s="69">
        <v>45219</v>
      </c>
      <c r="C265" s="329" t="s">
        <v>2418</v>
      </c>
      <c r="D265" s="70" t="s">
        <v>409</v>
      </c>
      <c r="E265" s="92" t="s">
        <v>410</v>
      </c>
      <c r="F265" s="68">
        <v>3</v>
      </c>
      <c r="G265" s="68" t="s">
        <v>1750</v>
      </c>
      <c r="H265" s="69"/>
      <c r="I265" s="69"/>
      <c r="J265" s="69"/>
      <c r="K265" s="68" t="s">
        <v>1480</v>
      </c>
      <c r="L265" s="70" t="s">
        <v>25</v>
      </c>
      <c r="M265" s="70" t="s">
        <v>47</v>
      </c>
      <c r="N265" s="101" t="s">
        <v>1858</v>
      </c>
      <c r="O265" s="24" t="str">
        <f>IF(Q265=" _","NO","SI")</f>
        <v>NO</v>
      </c>
      <c r="P265" s="24" t="str">
        <f ca="1">IF(color_Celda(E265)=12106214,"ROSA",IF(color_Celda(E265)=65535,"AMARILLO",IF(color_Celda(E265)=5296274,"VERDE",IF(color_Celda(E265)=16777215,"BLANCO","NO SE"))))</f>
        <v>AMARILLO</v>
      </c>
      <c r="Q265" s="70" t="s">
        <v>108</v>
      </c>
      <c r="R265" s="170" t="str">
        <f>VLOOKUP($Q265,Resultados!$A$1:$B$49,2,FALSE)</f>
        <v xml:space="preserve"> _</v>
      </c>
      <c r="S265" s="70"/>
      <c r="T265" s="73"/>
      <c r="U265" s="73"/>
      <c r="V265" s="68"/>
      <c r="W265" s="68"/>
      <c r="X265" s="68"/>
      <c r="Y265" s="64"/>
      <c r="Z265" s="93"/>
      <c r="AA265" s="68"/>
      <c r="AB265" s="73"/>
      <c r="AC265" s="68"/>
      <c r="AD265" s="68"/>
      <c r="AE265" s="142"/>
      <c r="AF265" s="145">
        <v>7</v>
      </c>
      <c r="AG265" s="146"/>
      <c r="AH265" s="146">
        <v>0</v>
      </c>
      <c r="AI265" s="177"/>
      <c r="AJ265" s="124" t="s">
        <v>988</v>
      </c>
      <c r="AK265" s="134"/>
      <c r="AL265" s="151" t="s">
        <v>1627</v>
      </c>
      <c r="AM265" s="431" t="str">
        <f>VLOOKUP($Q265,Resultados!$A$1:$C$49,3,FALSE)</f>
        <v>TRAMITE</v>
      </c>
    </row>
    <row r="266" spans="1:39" customFormat="1" ht="51">
      <c r="A266" s="364">
        <v>30</v>
      </c>
      <c r="B266" s="69">
        <v>45219</v>
      </c>
      <c r="C266" s="332" t="s">
        <v>415</v>
      </c>
      <c r="D266" s="70" t="s">
        <v>416</v>
      </c>
      <c r="E266" s="92" t="s">
        <v>417</v>
      </c>
      <c r="F266" s="68">
        <v>3</v>
      </c>
      <c r="G266" s="68" t="s">
        <v>5</v>
      </c>
      <c r="H266" s="69"/>
      <c r="I266" s="69"/>
      <c r="J266" s="69"/>
      <c r="K266" s="68" t="s">
        <v>1480</v>
      </c>
      <c r="L266" s="70" t="s">
        <v>25</v>
      </c>
      <c r="M266" s="70" t="s">
        <v>44</v>
      </c>
      <c r="N266" s="68" t="s">
        <v>1858</v>
      </c>
      <c r="O266" s="24" t="str">
        <f>IF(Q266=" _","NO","SI")</f>
        <v>NO</v>
      </c>
      <c r="P266" s="24" t="str">
        <f ca="1">IF(color_Celda(E266)=12106214,"ROSA",IF(color_Celda(E266)=65535,"AMARILLO",IF(color_Celda(E266)=5296274,"VERDE",IF(color_Celda(E266)=16777215,"BLANCO","NO SE"))))</f>
        <v>AMARILLO</v>
      </c>
      <c r="Q266" s="70" t="s">
        <v>108</v>
      </c>
      <c r="R266" s="170" t="str">
        <f>VLOOKUP($Q266,Resultados!$A$1:$B$49,2,FALSE)</f>
        <v xml:space="preserve"> _</v>
      </c>
      <c r="S266" s="70"/>
      <c r="T266" s="73"/>
      <c r="U266" s="73"/>
      <c r="V266" s="68"/>
      <c r="W266" s="68"/>
      <c r="X266" s="68"/>
      <c r="Y266" s="64"/>
      <c r="Z266" s="68"/>
      <c r="AA266" s="68"/>
      <c r="AB266" s="68"/>
      <c r="AC266" s="68"/>
      <c r="AD266" s="68"/>
      <c r="AE266" s="142"/>
      <c r="AF266" s="145">
        <v>7</v>
      </c>
      <c r="AG266" s="146"/>
      <c r="AH266" s="146">
        <v>0</v>
      </c>
      <c r="AI266" s="149"/>
      <c r="AJ266" s="123" t="s">
        <v>988</v>
      </c>
      <c r="AK266" s="131"/>
      <c r="AL266" s="129" t="s">
        <v>1627</v>
      </c>
      <c r="AM266" s="431" t="str">
        <f>VLOOKUP($Q266,Resultados!$A$1:$C$49,3,FALSE)</f>
        <v>TRAMITE</v>
      </c>
    </row>
    <row r="267" spans="1:39" customFormat="1" ht="89.25">
      <c r="A267" s="364">
        <v>53</v>
      </c>
      <c r="B267" s="69">
        <v>45225</v>
      </c>
      <c r="C267" s="329" t="s">
        <v>1697</v>
      </c>
      <c r="D267" s="70" t="s">
        <v>470</v>
      </c>
      <c r="E267" s="92" t="s">
        <v>471</v>
      </c>
      <c r="F267" s="68">
        <v>7</v>
      </c>
      <c r="G267" s="68" t="s">
        <v>325</v>
      </c>
      <c r="H267" s="69"/>
      <c r="I267" s="69"/>
      <c r="J267" s="69"/>
      <c r="K267" s="68" t="s">
        <v>1480</v>
      </c>
      <c r="L267" s="70" t="s">
        <v>75</v>
      </c>
      <c r="M267" s="70" t="s">
        <v>226</v>
      </c>
      <c r="N267" s="68" t="s">
        <v>1342</v>
      </c>
      <c r="O267" s="24" t="str">
        <f>IF(Q267=" _","NO","SI")</f>
        <v>NO</v>
      </c>
      <c r="P267" s="24" t="str">
        <f ca="1">IF(color_Celda(E267)=12106214,"ROSA",IF(color_Celda(E267)=65535,"AMARILLO",IF(color_Celda(E267)=5296274,"VERDE",IF(color_Celda(E267)=16777215,"BLANCO","NO SE"))))</f>
        <v>AMARILLO</v>
      </c>
      <c r="Q267" s="70" t="s">
        <v>108</v>
      </c>
      <c r="R267" s="170" t="str">
        <f>VLOOKUP($Q267,Resultados!$A$1:$B$49,2,FALSE)</f>
        <v xml:space="preserve"> _</v>
      </c>
      <c r="S267" s="70"/>
      <c r="T267" s="73"/>
      <c r="U267" s="73"/>
      <c r="V267" s="68"/>
      <c r="W267" s="68"/>
      <c r="X267" s="68"/>
      <c r="Y267" s="64"/>
      <c r="Z267" s="68"/>
      <c r="AA267" s="68"/>
      <c r="AB267" s="68"/>
      <c r="AC267" s="68"/>
      <c r="AD267" s="68"/>
      <c r="AE267" s="142"/>
      <c r="AF267" s="145">
        <v>7</v>
      </c>
      <c r="AG267" s="146"/>
      <c r="AH267" s="146">
        <v>0</v>
      </c>
      <c r="AI267" s="148"/>
      <c r="AJ267" s="123" t="s">
        <v>988</v>
      </c>
      <c r="AK267" s="131"/>
      <c r="AL267" s="129" t="s">
        <v>1627</v>
      </c>
      <c r="AM267" s="431" t="str">
        <f>VLOOKUP($Q267,Resultados!$A$1:$C$49,3,FALSE)</f>
        <v>TRAMITE</v>
      </c>
    </row>
    <row r="268" spans="1:39" customFormat="1" ht="63.75">
      <c r="A268" s="364">
        <v>54</v>
      </c>
      <c r="B268" s="69">
        <v>45225</v>
      </c>
      <c r="C268" s="329" t="s">
        <v>1170</v>
      </c>
      <c r="D268" s="70" t="s">
        <v>293</v>
      </c>
      <c r="E268" s="92" t="s">
        <v>472</v>
      </c>
      <c r="F268" s="68">
        <v>7</v>
      </c>
      <c r="G268" s="68" t="s">
        <v>326</v>
      </c>
      <c r="H268" s="69"/>
      <c r="I268" s="69"/>
      <c r="J268" s="69"/>
      <c r="K268" s="68" t="s">
        <v>1480</v>
      </c>
      <c r="L268" s="70" t="s">
        <v>72</v>
      </c>
      <c r="M268" s="70" t="s">
        <v>47</v>
      </c>
      <c r="N268" s="68" t="s">
        <v>1342</v>
      </c>
      <c r="O268" s="24" t="str">
        <f>IF(Q268=" _","NO","SI")</f>
        <v>NO</v>
      </c>
      <c r="P268" s="24" t="str">
        <f ca="1">IF(color_Celda(E268)=12106214,"ROSA",IF(color_Celda(E268)=65535,"AMARILLO",IF(color_Celda(E268)=5296274,"VERDE",IF(color_Celda(E268)=16777215,"BLANCO","NO SE"))))</f>
        <v>AMARILLO</v>
      </c>
      <c r="Q268" s="70" t="s">
        <v>108</v>
      </c>
      <c r="R268" s="170" t="str">
        <f>VLOOKUP($Q268,Resultados!$A$1:$B$49,2,FALSE)</f>
        <v xml:space="preserve"> _</v>
      </c>
      <c r="S268" s="70"/>
      <c r="T268" s="73"/>
      <c r="U268" s="73"/>
      <c r="V268" s="68"/>
      <c r="W268" s="68"/>
      <c r="X268" s="68"/>
      <c r="Y268" s="64"/>
      <c r="Z268" s="68"/>
      <c r="AA268" s="68"/>
      <c r="AB268" s="68"/>
      <c r="AC268" s="68"/>
      <c r="AD268" s="68"/>
      <c r="AE268" s="142"/>
      <c r="AF268" s="145">
        <v>7</v>
      </c>
      <c r="AG268" s="146"/>
      <c r="AH268" s="146">
        <v>0</v>
      </c>
      <c r="AI268" s="148"/>
      <c r="AJ268" s="123" t="s">
        <v>988</v>
      </c>
      <c r="AK268" s="131"/>
      <c r="AL268" s="129" t="s">
        <v>1627</v>
      </c>
      <c r="AM268" s="431" t="str">
        <f>VLOOKUP($Q268,Resultados!$A$1:$C$49,3,FALSE)</f>
        <v>TRAMITE</v>
      </c>
    </row>
    <row r="269" spans="1:39" customFormat="1" ht="38.25">
      <c r="A269" s="364">
        <v>58</v>
      </c>
      <c r="B269" s="69">
        <v>45226</v>
      </c>
      <c r="C269" s="329" t="s">
        <v>1497</v>
      </c>
      <c r="D269" s="70" t="s">
        <v>493</v>
      </c>
      <c r="E269" s="92" t="s">
        <v>494</v>
      </c>
      <c r="F269" s="68">
        <v>6</v>
      </c>
      <c r="G269" s="68" t="s">
        <v>326</v>
      </c>
      <c r="H269" s="69"/>
      <c r="I269" s="69"/>
      <c r="J269" s="69"/>
      <c r="K269" s="68" t="s">
        <v>1480</v>
      </c>
      <c r="L269" s="70" t="s">
        <v>2172</v>
      </c>
      <c r="M269" s="70" t="s">
        <v>260</v>
      </c>
      <c r="N269" s="68" t="s">
        <v>2675</v>
      </c>
      <c r="O269" s="24" t="str">
        <f>IF(Q269=" _","NO","SI")</f>
        <v>NO</v>
      </c>
      <c r="P269" s="24" t="str">
        <f ca="1">IF(color_Celda(E269)=12106214,"ROSA",IF(color_Celda(E269)=65535,"AMARILLO",IF(color_Celda(E269)=5296274,"VERDE",IF(color_Celda(E269)=16777215,"BLANCO","NO SE"))))</f>
        <v>AMARILLO</v>
      </c>
      <c r="Q269" s="70" t="s">
        <v>108</v>
      </c>
      <c r="R269" s="170" t="str">
        <f>VLOOKUP($Q269,Resultados!$A$1:$B$49,2,FALSE)</f>
        <v xml:space="preserve"> _</v>
      </c>
      <c r="S269" s="70"/>
      <c r="T269" s="73"/>
      <c r="U269" s="73"/>
      <c r="V269" s="68"/>
      <c r="W269" s="68"/>
      <c r="X269" s="68"/>
      <c r="Y269" s="64"/>
      <c r="Z269" s="68"/>
      <c r="AA269" s="68"/>
      <c r="AB269" s="68"/>
      <c r="AC269" s="68"/>
      <c r="AD269" s="68"/>
      <c r="AE269" s="142"/>
      <c r="AF269" s="145">
        <v>7</v>
      </c>
      <c r="AG269" s="146"/>
      <c r="AH269" s="146">
        <v>0</v>
      </c>
      <c r="AI269" s="146"/>
      <c r="AJ269" s="124" t="s">
        <v>988</v>
      </c>
      <c r="AK269" s="132"/>
      <c r="AL269" s="129" t="s">
        <v>1627</v>
      </c>
      <c r="AM269" s="431" t="str">
        <f>VLOOKUP($Q269,Resultados!$A$1:$C$49,3,FALSE)</f>
        <v>TRAMITE</v>
      </c>
    </row>
    <row r="270" spans="1:39" customFormat="1" ht="76.5">
      <c r="A270" s="364">
        <v>64</v>
      </c>
      <c r="B270" s="69">
        <v>45229</v>
      </c>
      <c r="C270" s="329">
        <v>0.41041666666666665</v>
      </c>
      <c r="D270" s="70" t="s">
        <v>489</v>
      </c>
      <c r="E270" s="92" t="s">
        <v>490</v>
      </c>
      <c r="F270" s="68">
        <v>2</v>
      </c>
      <c r="G270" s="68" t="s">
        <v>325</v>
      </c>
      <c r="H270" s="69"/>
      <c r="I270" s="69"/>
      <c r="J270" s="69"/>
      <c r="K270" s="68" t="s">
        <v>1480</v>
      </c>
      <c r="L270" s="70" t="s">
        <v>77</v>
      </c>
      <c r="M270" s="70" t="s">
        <v>131</v>
      </c>
      <c r="N270" s="68" t="s">
        <v>1342</v>
      </c>
      <c r="O270" s="24" t="str">
        <f>IF(Q270=" _","NO","SI")</f>
        <v>NO</v>
      </c>
      <c r="P270" s="24" t="str">
        <f ca="1">IF(color_Celda(E270)=12106214,"ROSA",IF(color_Celda(E270)=65535,"AMARILLO",IF(color_Celda(E270)=5296274,"VERDE",IF(color_Celda(E270)=16777215,"BLANCO","NO SE"))))</f>
        <v>AMARILLO</v>
      </c>
      <c r="Q270" s="70" t="s">
        <v>108</v>
      </c>
      <c r="R270" s="170" t="str">
        <f>VLOOKUP($Q270,Resultados!$A$1:$B$49,2,FALSE)</f>
        <v xml:space="preserve"> _</v>
      </c>
      <c r="S270" s="70"/>
      <c r="T270" s="73"/>
      <c r="U270" s="73"/>
      <c r="V270" s="68"/>
      <c r="W270" s="68"/>
      <c r="X270" s="68"/>
      <c r="Y270" s="64"/>
      <c r="Z270" s="68"/>
      <c r="AA270" s="68"/>
      <c r="AB270" s="68"/>
      <c r="AC270" s="68"/>
      <c r="AD270" s="68"/>
      <c r="AE270" s="142"/>
      <c r="AF270" s="145">
        <v>7</v>
      </c>
      <c r="AG270" s="146"/>
      <c r="AH270" s="146">
        <v>0</v>
      </c>
      <c r="AI270" s="148"/>
      <c r="AJ270" s="123" t="s">
        <v>988</v>
      </c>
      <c r="AK270" s="133"/>
      <c r="AL270" s="129" t="s">
        <v>1627</v>
      </c>
      <c r="AM270" s="431" t="str">
        <f>VLOOKUP($Q270,Resultados!$A$1:$C$49,3,FALSE)</f>
        <v>TRAMITE</v>
      </c>
    </row>
    <row r="271" spans="1:39" customFormat="1" ht="63.75">
      <c r="A271" s="364">
        <v>65</v>
      </c>
      <c r="B271" s="69">
        <v>45229</v>
      </c>
      <c r="C271" s="329">
        <v>0.4680555555555555</v>
      </c>
      <c r="D271" s="68" t="s">
        <v>496</v>
      </c>
      <c r="E271" s="106" t="s">
        <v>497</v>
      </c>
      <c r="F271" s="68">
        <v>6</v>
      </c>
      <c r="G271" s="68" t="s">
        <v>5</v>
      </c>
      <c r="H271" s="69"/>
      <c r="I271" s="69"/>
      <c r="J271" s="69"/>
      <c r="K271" s="68" t="s">
        <v>1480</v>
      </c>
      <c r="L271" s="70" t="s">
        <v>250</v>
      </c>
      <c r="M271" s="70" t="s">
        <v>62</v>
      </c>
      <c r="N271" s="70" t="s">
        <v>499</v>
      </c>
      <c r="O271" s="24" t="str">
        <f>IF(Q271=" _","NO","SI")</f>
        <v>NO</v>
      </c>
      <c r="P271" s="24" t="str">
        <f ca="1">IF(color_Celda(E271)=12106214,"ROSA",IF(color_Celda(E271)=65535,"AMARILLO",IF(color_Celda(E271)=5296274,"VERDE",IF(color_Celda(E271)=16777215,"BLANCO","NO SE"))))</f>
        <v>AMARILLO</v>
      </c>
      <c r="Q271" s="70" t="s">
        <v>108</v>
      </c>
      <c r="R271" s="170" t="str">
        <f>VLOOKUP($Q271,Resultados!$A$1:$B$49,2,FALSE)</f>
        <v xml:space="preserve"> _</v>
      </c>
      <c r="S271" s="70"/>
      <c r="T271" s="73"/>
      <c r="U271" s="73"/>
      <c r="V271" s="68"/>
      <c r="W271" s="68"/>
      <c r="X271" s="68"/>
      <c r="Y271" s="64"/>
      <c r="Z271" s="68"/>
      <c r="AA271" s="68"/>
      <c r="AB271" s="68"/>
      <c r="AC271" s="68"/>
      <c r="AD271" s="68"/>
      <c r="AE271" s="142"/>
      <c r="AF271" s="145">
        <v>7</v>
      </c>
      <c r="AG271" s="146"/>
      <c r="AH271" s="146">
        <v>0</v>
      </c>
      <c r="AI271" s="146"/>
      <c r="AJ271" s="123" t="s">
        <v>988</v>
      </c>
      <c r="AK271" s="133"/>
      <c r="AL271" s="129" t="s">
        <v>1627</v>
      </c>
      <c r="AM271" s="431" t="str">
        <f>VLOOKUP($Q271,Resultados!$A$1:$C$49,3,FALSE)</f>
        <v>TRAMITE</v>
      </c>
    </row>
    <row r="272" spans="1:39" customFormat="1" ht="89.25">
      <c r="A272" s="364">
        <v>69</v>
      </c>
      <c r="B272" s="69">
        <v>45230</v>
      </c>
      <c r="C272" s="329">
        <v>0.33333333333333331</v>
      </c>
      <c r="D272" s="70" t="s">
        <v>505</v>
      </c>
      <c r="E272" s="92" t="s">
        <v>504</v>
      </c>
      <c r="F272" s="68">
        <v>2</v>
      </c>
      <c r="G272" s="68" t="s">
        <v>325</v>
      </c>
      <c r="H272" s="69"/>
      <c r="I272" s="69"/>
      <c r="J272" s="69"/>
      <c r="K272" s="68" t="s">
        <v>1480</v>
      </c>
      <c r="L272" s="70" t="s">
        <v>87</v>
      </c>
      <c r="M272" s="70" t="s">
        <v>520</v>
      </c>
      <c r="N272" s="101" t="s">
        <v>2678</v>
      </c>
      <c r="O272" s="24" t="str">
        <f>IF(Q272=" _","NO","SI")</f>
        <v>NO</v>
      </c>
      <c r="P272" s="24" t="str">
        <f ca="1">IF(color_Celda(E272)=12106214,"ROSA",IF(color_Celda(E272)=65535,"AMARILLO",IF(color_Celda(E272)=5296274,"VERDE",IF(color_Celda(E272)=16777215,"BLANCO","NO SE"))))</f>
        <v>AMARILLO</v>
      </c>
      <c r="Q272" s="70" t="s">
        <v>108</v>
      </c>
      <c r="R272" s="170" t="str">
        <f>VLOOKUP($Q272,Resultados!$A$1:$B$49,2,FALSE)</f>
        <v xml:space="preserve"> _</v>
      </c>
      <c r="S272" s="70"/>
      <c r="T272" s="73"/>
      <c r="U272" s="73"/>
      <c r="V272" s="68"/>
      <c r="W272" s="68"/>
      <c r="X272" s="68"/>
      <c r="Y272" s="64"/>
      <c r="Z272" s="68"/>
      <c r="AA272" s="68"/>
      <c r="AB272" s="68"/>
      <c r="AC272" s="68"/>
      <c r="AD272" s="68"/>
      <c r="AE272" s="142"/>
      <c r="AF272" s="145">
        <v>7</v>
      </c>
      <c r="AG272" s="146"/>
      <c r="AH272" s="146">
        <v>0</v>
      </c>
      <c r="AI272" s="146"/>
      <c r="AJ272" s="123" t="s">
        <v>988</v>
      </c>
      <c r="AK272" s="133"/>
      <c r="AL272" s="129" t="s">
        <v>1627</v>
      </c>
      <c r="AM272" s="431" t="str">
        <f>VLOOKUP($Q272,Resultados!$A$1:$C$49,3,FALSE)</f>
        <v>TRAMITE</v>
      </c>
    </row>
    <row r="273" spans="1:39" customFormat="1" ht="89.25">
      <c r="A273" s="364">
        <v>70</v>
      </c>
      <c r="B273" s="69">
        <v>45230</v>
      </c>
      <c r="C273" s="329">
        <v>0.33333333333333331</v>
      </c>
      <c r="D273" s="70" t="s">
        <v>506</v>
      </c>
      <c r="E273" s="92" t="s">
        <v>507</v>
      </c>
      <c r="F273" s="68">
        <v>2</v>
      </c>
      <c r="G273" s="68" t="s">
        <v>325</v>
      </c>
      <c r="H273" s="69"/>
      <c r="I273" s="69"/>
      <c r="J273" s="69"/>
      <c r="K273" s="68" t="s">
        <v>1480</v>
      </c>
      <c r="L273" s="70" t="s">
        <v>79</v>
      </c>
      <c r="M273" s="70" t="s">
        <v>519</v>
      </c>
      <c r="N273" s="101" t="s">
        <v>3012</v>
      </c>
      <c r="O273" s="137" t="str">
        <f>IF(Q273=" _","NO","SI")</f>
        <v>NO</v>
      </c>
      <c r="P273" s="24" t="str">
        <f ca="1">IF(color_Celda(E273)=12106214,"ROSA",IF(color_Celda(E273)=65535,"AMARILLO",IF(color_Celda(E273)=5296274,"VERDE",IF(color_Celda(E273)=16777215,"BLANCO","NO SE"))))</f>
        <v>AMARILLO</v>
      </c>
      <c r="Q273" s="70" t="s">
        <v>108</v>
      </c>
      <c r="R273" s="170"/>
      <c r="S273" s="70"/>
      <c r="T273" s="73"/>
      <c r="U273" s="73"/>
      <c r="V273" s="68"/>
      <c r="W273" s="68"/>
      <c r="X273" s="68"/>
      <c r="Y273" s="199"/>
      <c r="Z273" s="68"/>
      <c r="AA273" s="68"/>
      <c r="AB273" s="68"/>
      <c r="AC273" s="68"/>
      <c r="AD273" s="68"/>
      <c r="AE273" s="142"/>
      <c r="AF273" s="145">
        <v>7</v>
      </c>
      <c r="AG273" s="146"/>
      <c r="AH273" s="146">
        <v>0</v>
      </c>
      <c r="AI273" s="146"/>
      <c r="AJ273" s="124" t="s">
        <v>988</v>
      </c>
      <c r="AK273" s="135"/>
      <c r="AL273" s="151" t="s">
        <v>1627</v>
      </c>
      <c r="AM273" s="431" t="str">
        <f>VLOOKUP($Q273,Resultados!$A$1:$C$49,3,FALSE)</f>
        <v>TRAMITE</v>
      </c>
    </row>
    <row r="274" spans="1:39" customFormat="1" ht="63.75">
      <c r="A274" s="364">
        <v>71</v>
      </c>
      <c r="B274" s="69">
        <v>45230</v>
      </c>
      <c r="C274" s="329">
        <v>0.33333333333333331</v>
      </c>
      <c r="D274" s="70" t="s">
        <v>508</v>
      </c>
      <c r="E274" s="92" t="s">
        <v>509</v>
      </c>
      <c r="F274" s="68">
        <v>2</v>
      </c>
      <c r="G274" s="68" t="s">
        <v>325</v>
      </c>
      <c r="H274" s="69"/>
      <c r="I274" s="69"/>
      <c r="J274" s="69"/>
      <c r="K274" s="68" t="s">
        <v>1480</v>
      </c>
      <c r="L274" s="70" t="s">
        <v>127</v>
      </c>
      <c r="M274" s="70" t="s">
        <v>47</v>
      </c>
      <c r="N274" s="101" t="s">
        <v>2678</v>
      </c>
      <c r="O274" s="24" t="str">
        <f>IF(Q274=" _","NO","SI")</f>
        <v>NO</v>
      </c>
      <c r="P274" s="24" t="str">
        <f ca="1">IF(color_Celda(E274)=12106214,"ROSA",IF(color_Celda(E274)=65535,"AMARILLO",IF(color_Celda(E274)=5296274,"VERDE",IF(color_Celda(E274)=16777215,"BLANCO","NO SE"))))</f>
        <v>AMARILLO</v>
      </c>
      <c r="Q274" s="70" t="s">
        <v>108</v>
      </c>
      <c r="R274" s="170" t="str">
        <f>VLOOKUP($Q274,Resultados!$A$1:$B$49,2,FALSE)</f>
        <v xml:space="preserve"> _</v>
      </c>
      <c r="S274" s="70"/>
      <c r="T274" s="73"/>
      <c r="U274" s="73"/>
      <c r="V274" s="68"/>
      <c r="W274" s="68"/>
      <c r="X274" s="68"/>
      <c r="Y274" s="64"/>
      <c r="Z274" s="68"/>
      <c r="AA274" s="68"/>
      <c r="AB274" s="68"/>
      <c r="AC274" s="68"/>
      <c r="AD274" s="68"/>
      <c r="AE274" s="142"/>
      <c r="AF274" s="145">
        <v>7</v>
      </c>
      <c r="AG274" s="146"/>
      <c r="AH274" s="146">
        <v>0</v>
      </c>
      <c r="AI274" s="146"/>
      <c r="AJ274" s="123" t="s">
        <v>988</v>
      </c>
      <c r="AK274" s="133"/>
      <c r="AL274" s="129" t="s">
        <v>1627</v>
      </c>
      <c r="AM274" s="431" t="str">
        <f>VLOOKUP($Q274,Resultados!$A$1:$C$49,3,FALSE)</f>
        <v>TRAMITE</v>
      </c>
    </row>
    <row r="275" spans="1:39" customFormat="1" ht="89.25">
      <c r="A275" s="364">
        <v>73</v>
      </c>
      <c r="B275" s="69">
        <v>45230</v>
      </c>
      <c r="C275" s="329">
        <v>0.33333333333333331</v>
      </c>
      <c r="D275" s="70" t="s">
        <v>512</v>
      </c>
      <c r="E275" s="92" t="s">
        <v>513</v>
      </c>
      <c r="F275" s="68">
        <v>7</v>
      </c>
      <c r="G275" s="68" t="s">
        <v>5</v>
      </c>
      <c r="H275" s="69"/>
      <c r="I275" s="69"/>
      <c r="J275" s="69"/>
      <c r="K275" s="68" t="s">
        <v>1480</v>
      </c>
      <c r="L275" s="70" t="s">
        <v>86</v>
      </c>
      <c r="M275" s="70" t="s">
        <v>60</v>
      </c>
      <c r="N275" s="70" t="s">
        <v>526</v>
      </c>
      <c r="O275" s="24" t="str">
        <f>IF(Q275=" _","NO","SI")</f>
        <v>NO</v>
      </c>
      <c r="P275" s="24" t="str">
        <f ca="1">IF(color_Celda(E275)=12106214,"ROSA",IF(color_Celda(E275)=65535,"AMARILLO",IF(color_Celda(E275)=5296274,"VERDE",IF(color_Celda(E275)=16777215,"BLANCO","NO SE"))))</f>
        <v>AMARILLO</v>
      </c>
      <c r="Q275" s="70" t="s">
        <v>108</v>
      </c>
      <c r="R275" s="170" t="str">
        <f>VLOOKUP($Q275,Resultados!$A$1:$B$49,2,FALSE)</f>
        <v xml:space="preserve"> _</v>
      </c>
      <c r="S275" s="70"/>
      <c r="T275" s="73"/>
      <c r="U275" s="73"/>
      <c r="V275" s="68"/>
      <c r="W275" s="68"/>
      <c r="X275" s="68"/>
      <c r="Y275" s="64"/>
      <c r="Z275" s="68"/>
      <c r="AA275" s="68"/>
      <c r="AB275" s="68"/>
      <c r="AC275" s="68"/>
      <c r="AD275" s="68"/>
      <c r="AE275" s="142"/>
      <c r="AF275" s="145">
        <v>7</v>
      </c>
      <c r="AG275" s="146"/>
      <c r="AH275" s="146">
        <v>0</v>
      </c>
      <c r="AI275" s="146"/>
      <c r="AJ275" s="123" t="s">
        <v>988</v>
      </c>
      <c r="AK275" s="133"/>
      <c r="AL275" s="129" t="s">
        <v>1627</v>
      </c>
      <c r="AM275" s="431" t="str">
        <f>VLOOKUP($Q275,Resultados!$A$1:$C$49,3,FALSE)</f>
        <v>TRAMITE</v>
      </c>
    </row>
    <row r="276" spans="1:39" customFormat="1" ht="38.25">
      <c r="A276" s="364">
        <v>74</v>
      </c>
      <c r="B276" s="69">
        <v>45230</v>
      </c>
      <c r="C276" s="329">
        <v>0.33333333333333331</v>
      </c>
      <c r="D276" s="70" t="s">
        <v>514</v>
      </c>
      <c r="E276" s="92" t="s">
        <v>515</v>
      </c>
      <c r="F276" s="68">
        <v>3</v>
      </c>
      <c r="G276" s="68" t="s">
        <v>5</v>
      </c>
      <c r="H276" s="69"/>
      <c r="I276" s="69"/>
      <c r="J276" s="69"/>
      <c r="K276" s="68" t="s">
        <v>1480</v>
      </c>
      <c r="L276" s="70" t="s">
        <v>85</v>
      </c>
      <c r="M276" s="70" t="s">
        <v>67</v>
      </c>
      <c r="N276" s="68"/>
      <c r="O276" s="24" t="str">
        <f>IF(Q276=" _","NO","SI")</f>
        <v>NO</v>
      </c>
      <c r="P276" s="24" t="str">
        <f ca="1">IF(color_Celda(E276)=12106214,"ROSA",IF(color_Celda(E276)=65535,"AMARILLO",IF(color_Celda(E276)=5296274,"VERDE",IF(color_Celda(E276)=16777215,"BLANCO","NO SE"))))</f>
        <v>AMARILLO</v>
      </c>
      <c r="Q276" s="70" t="s">
        <v>108</v>
      </c>
      <c r="R276" s="170" t="str">
        <f>VLOOKUP($Q276,Resultados!$A$1:$B$49,2,FALSE)</f>
        <v xml:space="preserve"> _</v>
      </c>
      <c r="S276" s="70"/>
      <c r="T276" s="73"/>
      <c r="U276" s="73"/>
      <c r="V276" s="68"/>
      <c r="W276" s="68"/>
      <c r="X276" s="68"/>
      <c r="Y276" s="64"/>
      <c r="Z276" s="68"/>
      <c r="AA276" s="68"/>
      <c r="AB276" s="68"/>
      <c r="AC276" s="68"/>
      <c r="AD276" s="68"/>
      <c r="AE276" s="142"/>
      <c r="AF276" s="145">
        <v>7</v>
      </c>
      <c r="AG276" s="146"/>
      <c r="AH276" s="146">
        <v>0</v>
      </c>
      <c r="AI276" s="146"/>
      <c r="AJ276" s="124" t="s">
        <v>988</v>
      </c>
      <c r="AK276" s="133"/>
      <c r="AL276" s="129" t="s">
        <v>1627</v>
      </c>
      <c r="AM276" s="431" t="str">
        <f>VLOOKUP($Q276,Resultados!$A$1:$C$49,3,FALSE)</f>
        <v>TRAMITE</v>
      </c>
    </row>
    <row r="277" spans="1:39" customFormat="1" ht="63.75">
      <c r="A277" s="372">
        <v>78</v>
      </c>
      <c r="B277" s="163">
        <v>45230</v>
      </c>
      <c r="C277" s="327">
        <v>0.41666666666666669</v>
      </c>
      <c r="D277" s="16" t="s">
        <v>2350</v>
      </c>
      <c r="E277" s="281" t="s">
        <v>2351</v>
      </c>
      <c r="F277" s="165">
        <v>4</v>
      </c>
      <c r="G277" s="165" t="s">
        <v>325</v>
      </c>
      <c r="H277" s="307">
        <v>45408</v>
      </c>
      <c r="I277" s="163"/>
      <c r="J277" s="163"/>
      <c r="K277" s="165" t="str">
        <f>IFERROR(VLOOKUP(J277,Jueces!$A$1:$B$11,2,FALSE),"")</f>
        <v/>
      </c>
      <c r="L277" s="16" t="s">
        <v>250</v>
      </c>
      <c r="M277" s="16"/>
      <c r="N277" s="16" t="s">
        <v>3378</v>
      </c>
      <c r="O277" s="24" t="str">
        <f>IF(Q277=" _","NO","SI")</f>
        <v>SI</v>
      </c>
      <c r="P277" s="24" t="str">
        <f ca="1">IF(color_Celda(E277)=12106214,"ROSA",IF(color_Celda(E277)=65535,"AMARILLO",IF(color_Celda(E277)=5296274,"VERDE",IF(color_Celda(E277)=16777215,"BLANCO","NO SE"))))</f>
        <v>ROSA</v>
      </c>
      <c r="Q277" s="16" t="s">
        <v>1162</v>
      </c>
      <c r="R277" s="4" t="str">
        <f>VLOOKUP($Q277,Resultados!$A$1:$B$49,2,FALSE)</f>
        <v>ELEVADA A JUICIO</v>
      </c>
      <c r="S277" s="16"/>
      <c r="T277" s="166"/>
      <c r="U277" s="166"/>
      <c r="V277" s="165"/>
      <c r="W277" s="165"/>
      <c r="X277" s="165"/>
      <c r="Y277" s="64"/>
      <c r="Z277" s="165"/>
      <c r="AA277" s="165"/>
      <c r="AB277" s="165"/>
      <c r="AC277" s="165"/>
      <c r="AD277" s="165"/>
      <c r="AE277" s="167"/>
      <c r="AF277" s="168"/>
      <c r="AG277" s="168"/>
      <c r="AH277" s="168"/>
      <c r="AI277" s="168"/>
      <c r="AJ277" s="242" t="s">
        <v>988</v>
      </c>
      <c r="AK277" s="169"/>
      <c r="AL277" s="139" t="s">
        <v>1628</v>
      </c>
      <c r="AM277" s="431" t="str">
        <f>VLOOKUP($Q277,Resultados!$A$1:$C$49,3,FALSE)</f>
        <v>ELEVADA</v>
      </c>
    </row>
    <row r="278" spans="1:39" customFormat="1" ht="63.75">
      <c r="A278" s="364">
        <v>79</v>
      </c>
      <c r="B278" s="38">
        <v>45230</v>
      </c>
      <c r="C278" s="337" t="s">
        <v>2297</v>
      </c>
      <c r="D278" s="32" t="s">
        <v>2298</v>
      </c>
      <c r="E278" s="40" t="s">
        <v>2299</v>
      </c>
      <c r="F278" s="39">
        <v>4</v>
      </c>
      <c r="G278" s="32" t="s">
        <v>325</v>
      </c>
      <c r="H278" s="38"/>
      <c r="I278" s="38"/>
      <c r="J278" s="38"/>
      <c r="K278" s="39" t="str">
        <f>IFERROR(VLOOKUP(J278,Jueces!$A$1:$B$11,2,FALSE),"")</f>
        <v/>
      </c>
      <c r="L278" s="32" t="s">
        <v>71</v>
      </c>
      <c r="M278" s="39" t="s">
        <v>1436</v>
      </c>
      <c r="N278" s="32" t="s">
        <v>1342</v>
      </c>
      <c r="O278" s="24" t="str">
        <f>IF(Q278=" _","NO","SI")</f>
        <v>NO</v>
      </c>
      <c r="P278" s="24" t="str">
        <f ca="1">IF(color_Celda(E278)=12106214,"ROSA",IF(color_Celda(E278)=65535,"AMARILLO",IF(color_Celda(E278)=5296274,"VERDE",IF(color_Celda(E278)=16777215,"BLANCO","NO SE"))))</f>
        <v>AMARILLO</v>
      </c>
      <c r="Q278" s="32" t="s">
        <v>108</v>
      </c>
      <c r="R278" s="170" t="str">
        <f>VLOOKUP($Q278,Resultados!$A$1:$B$49,2,FALSE)</f>
        <v xml:space="preserve"> _</v>
      </c>
      <c r="S278" s="32"/>
      <c r="T278" s="37"/>
      <c r="U278" s="37"/>
      <c r="V278" s="39"/>
      <c r="W278" s="39"/>
      <c r="X278" s="39"/>
      <c r="Y278" s="64"/>
      <c r="Z278" s="39"/>
      <c r="AA278" s="39"/>
      <c r="AB278" s="39"/>
      <c r="AC278" s="39"/>
      <c r="AD278" s="39"/>
      <c r="AE278" s="144"/>
      <c r="AF278" s="150"/>
      <c r="AG278" s="150"/>
      <c r="AH278" s="150"/>
      <c r="AI278" s="150"/>
      <c r="AJ278" s="359" t="s">
        <v>988</v>
      </c>
      <c r="AK278" s="136"/>
      <c r="AL278" s="151" t="s">
        <v>1627</v>
      </c>
      <c r="AM278" s="431" t="str">
        <f>VLOOKUP($Q278,Resultados!$A$1:$C$49,3,FALSE)</f>
        <v>TRAMITE</v>
      </c>
    </row>
    <row r="279" spans="1:39" customFormat="1" ht="25.5">
      <c r="A279" s="364">
        <v>80</v>
      </c>
      <c r="B279" s="38">
        <v>45230</v>
      </c>
      <c r="C279" s="337" t="s">
        <v>2297</v>
      </c>
      <c r="D279" s="32" t="s">
        <v>2322</v>
      </c>
      <c r="E279" s="40" t="s">
        <v>2323</v>
      </c>
      <c r="F279" s="39">
        <v>4</v>
      </c>
      <c r="G279" s="39" t="s">
        <v>325</v>
      </c>
      <c r="H279" s="38"/>
      <c r="I279" s="38"/>
      <c r="J279" s="38"/>
      <c r="K279" s="39" t="str">
        <f>IFERROR(VLOOKUP(J279,Jueces!$A$1:$B$11,2,FALSE),"")</f>
        <v/>
      </c>
      <c r="L279" s="32" t="s">
        <v>2169</v>
      </c>
      <c r="M279" s="32" t="s">
        <v>260</v>
      </c>
      <c r="N279" s="32" t="s">
        <v>2271</v>
      </c>
      <c r="O279" s="24" t="str">
        <f>IF(Q279=" _","NO","SI")</f>
        <v>NO</v>
      </c>
      <c r="P279" s="24" t="str">
        <f ca="1">IF(color_Celda(E279)=12106214,"ROSA",IF(color_Celda(E279)=65535,"AMARILLO",IF(color_Celda(E279)=5296274,"VERDE",IF(color_Celda(E279)=16777215,"BLANCO","NO SE"))))</f>
        <v>AMARILLO</v>
      </c>
      <c r="Q279" s="32" t="s">
        <v>108</v>
      </c>
      <c r="R279" s="170" t="str">
        <f>VLOOKUP($Q279,Resultados!$A$1:$B$49,2,FALSE)</f>
        <v xml:space="preserve"> _</v>
      </c>
      <c r="S279" s="32"/>
      <c r="T279" s="37"/>
      <c r="U279" s="37"/>
      <c r="V279" s="39"/>
      <c r="W279" s="39"/>
      <c r="X279" s="39"/>
      <c r="Y279" s="64"/>
      <c r="Z279" s="39"/>
      <c r="AA279" s="39"/>
      <c r="AB279" s="39"/>
      <c r="AC279" s="39"/>
      <c r="AD279" s="39"/>
      <c r="AE279" s="144"/>
      <c r="AF279" s="150"/>
      <c r="AG279" s="150"/>
      <c r="AH279" s="150"/>
      <c r="AI279" s="150"/>
      <c r="AJ279" s="359" t="s">
        <v>988</v>
      </c>
      <c r="AK279" s="136"/>
      <c r="AL279" s="151" t="s">
        <v>1627</v>
      </c>
      <c r="AM279" s="431" t="str">
        <f>VLOOKUP($Q279,Resultados!$A$1:$C$49,3,FALSE)</f>
        <v>TRAMITE</v>
      </c>
    </row>
    <row r="280" spans="1:39" customFormat="1" ht="38.25">
      <c r="A280" s="364">
        <v>81</v>
      </c>
      <c r="B280" s="38">
        <v>45230</v>
      </c>
      <c r="C280" s="331" t="s">
        <v>12</v>
      </c>
      <c r="D280" s="32" t="s">
        <v>2456</v>
      </c>
      <c r="E280" s="40" t="s">
        <v>2457</v>
      </c>
      <c r="F280" s="39">
        <v>4</v>
      </c>
      <c r="G280" s="39" t="s">
        <v>325</v>
      </c>
      <c r="H280" s="38"/>
      <c r="I280" s="38"/>
      <c r="J280" s="38"/>
      <c r="K280" s="39" t="str">
        <f>IFERROR(VLOOKUP(J280,Jueces!$A$1:$B$11,2,FALSE),"")</f>
        <v/>
      </c>
      <c r="L280" s="32"/>
      <c r="M280" s="32"/>
      <c r="N280" s="43" t="s">
        <v>1858</v>
      </c>
      <c r="O280" s="137" t="str">
        <f>IF(Q280=" _","NO","SI")</f>
        <v>NO</v>
      </c>
      <c r="P280" s="24" t="str">
        <f ca="1">IF(color_Celda(E280)=12106214,"ROSA",IF(color_Celda(E280)=65535,"AMARILLO",IF(color_Celda(E280)=5296274,"VERDE",IF(color_Celda(E280)=16777215,"BLANCO","NO SE"))))</f>
        <v>AMARILLO</v>
      </c>
      <c r="Q280" s="32" t="s">
        <v>108</v>
      </c>
      <c r="R280" s="170" t="str">
        <f>VLOOKUP($Q280,Resultados!$A$1:$B$49,2,FALSE)</f>
        <v xml:space="preserve"> _</v>
      </c>
      <c r="S280" s="32"/>
      <c r="T280" s="37"/>
      <c r="U280" s="37"/>
      <c r="V280" s="39"/>
      <c r="W280" s="39"/>
      <c r="X280" s="39"/>
      <c r="Y280" s="199"/>
      <c r="Z280" s="39"/>
      <c r="AA280" s="39"/>
      <c r="AB280" s="39"/>
      <c r="AC280" s="39"/>
      <c r="AD280" s="39"/>
      <c r="AE280" s="144"/>
      <c r="AF280" s="150"/>
      <c r="AG280" s="150"/>
      <c r="AH280" s="150"/>
      <c r="AI280" s="150"/>
      <c r="AJ280" s="128" t="s">
        <v>988</v>
      </c>
      <c r="AK280" s="136"/>
      <c r="AL280" s="151" t="s">
        <v>1627</v>
      </c>
      <c r="AM280" s="431" t="str">
        <f>VLOOKUP($Q280,Resultados!$A$1:$C$49,3,FALSE)</f>
        <v>TRAMITE</v>
      </c>
    </row>
    <row r="281" spans="1:39" customFormat="1" ht="102">
      <c r="A281" s="364">
        <v>82</v>
      </c>
      <c r="B281" s="38">
        <v>45230</v>
      </c>
      <c r="C281" s="337" t="s">
        <v>2297</v>
      </c>
      <c r="D281" s="32" t="s">
        <v>2516</v>
      </c>
      <c r="E281" s="40" t="s">
        <v>2517</v>
      </c>
      <c r="F281" s="39">
        <v>4</v>
      </c>
      <c r="G281" s="39" t="s">
        <v>325</v>
      </c>
      <c r="H281" s="38"/>
      <c r="I281" s="38"/>
      <c r="J281" s="38"/>
      <c r="K281" s="39" t="s">
        <v>1480</v>
      </c>
      <c r="L281" s="70" t="s">
        <v>75</v>
      </c>
      <c r="M281" s="70" t="s">
        <v>45</v>
      </c>
      <c r="N281" s="39" t="s">
        <v>1342</v>
      </c>
      <c r="O281" s="137" t="str">
        <f>IF(Q281=" _","NO","SI")</f>
        <v>NO</v>
      </c>
      <c r="P281" s="24" t="str">
        <f ca="1">IF(color_Celda(E281)=12106214,"ROSA",IF(color_Celda(E281)=65535,"AMARILLO",IF(color_Celda(E281)=5296274,"VERDE",IF(color_Celda(E281)=16777215,"BLANCO","NO SE"))))</f>
        <v>AMARILLO</v>
      </c>
      <c r="Q281" s="32" t="s">
        <v>108</v>
      </c>
      <c r="R281" s="170" t="str">
        <f>VLOOKUP($Q281,Resultados!$A$1:$B$49,2,FALSE)</f>
        <v xml:space="preserve"> _</v>
      </c>
      <c r="S281" s="32"/>
      <c r="T281" s="73"/>
      <c r="U281" s="37"/>
      <c r="V281" s="39"/>
      <c r="W281" s="39"/>
      <c r="X281" s="39"/>
      <c r="Y281" s="199"/>
      <c r="Z281" s="39"/>
      <c r="AA281" s="39"/>
      <c r="AB281" s="39"/>
      <c r="AC281" s="39"/>
      <c r="AD281" s="39"/>
      <c r="AE281" s="144"/>
      <c r="AF281" s="150"/>
      <c r="AG281" s="150"/>
      <c r="AH281" s="150"/>
      <c r="AI281" s="150"/>
      <c r="AJ281" s="126" t="s">
        <v>988</v>
      </c>
      <c r="AK281" s="136"/>
      <c r="AL281" s="151" t="s">
        <v>1627</v>
      </c>
      <c r="AM281" s="431" t="str">
        <f>VLOOKUP($Q281,Resultados!$A$1:$C$49,3,FALSE)</f>
        <v>TRAMITE</v>
      </c>
    </row>
    <row r="282" spans="1:39" customFormat="1" ht="38.25">
      <c r="A282" s="364">
        <v>83</v>
      </c>
      <c r="B282" s="38">
        <v>45230</v>
      </c>
      <c r="C282" s="337" t="s">
        <v>2297</v>
      </c>
      <c r="D282" s="32" t="s">
        <v>2529</v>
      </c>
      <c r="E282" s="40" t="s">
        <v>2530</v>
      </c>
      <c r="F282" s="39">
        <v>4</v>
      </c>
      <c r="G282" s="39" t="s">
        <v>325</v>
      </c>
      <c r="H282" s="38"/>
      <c r="I282" s="38"/>
      <c r="J282" s="38"/>
      <c r="K282" s="39" t="s">
        <v>1480</v>
      </c>
      <c r="L282" s="70" t="s">
        <v>2170</v>
      </c>
      <c r="M282" s="70" t="s">
        <v>260</v>
      </c>
      <c r="N282" s="32" t="s">
        <v>2271</v>
      </c>
      <c r="O282" s="137" t="str">
        <f>IF(Q282=" _","NO","SI")</f>
        <v>NO</v>
      </c>
      <c r="P282" s="24" t="str">
        <f ca="1">IF(color_Celda(E282)=12106214,"ROSA",IF(color_Celda(E282)=65535,"AMARILLO",IF(color_Celda(E282)=5296274,"VERDE",IF(color_Celda(E282)=16777215,"BLANCO","NO SE"))))</f>
        <v>AMARILLO</v>
      </c>
      <c r="Q282" s="32" t="s">
        <v>108</v>
      </c>
      <c r="R282" s="170" t="str">
        <f>VLOOKUP($Q282,Resultados!$A$1:$B$49,2,FALSE)</f>
        <v xml:space="preserve"> _</v>
      </c>
      <c r="S282" s="32"/>
      <c r="T282" s="73"/>
      <c r="U282" s="37"/>
      <c r="V282" s="39"/>
      <c r="W282" s="39"/>
      <c r="X282" s="39"/>
      <c r="Y282" s="199"/>
      <c r="Z282" s="39"/>
      <c r="AA282" s="39"/>
      <c r="AB282" s="39"/>
      <c r="AC282" s="39"/>
      <c r="AD282" s="39"/>
      <c r="AE282" s="144"/>
      <c r="AF282" s="150"/>
      <c r="AG282" s="150"/>
      <c r="AH282" s="150"/>
      <c r="AI282" s="150"/>
      <c r="AJ282" s="126" t="s">
        <v>988</v>
      </c>
      <c r="AK282" s="136"/>
      <c r="AL282" s="151" t="s">
        <v>1627</v>
      </c>
      <c r="AM282" s="431" t="str">
        <f>VLOOKUP($Q282,Resultados!$A$1:$C$49,3,FALSE)</f>
        <v>TRAMITE</v>
      </c>
    </row>
    <row r="283" spans="1:39" customFormat="1" ht="25.5">
      <c r="A283" s="364">
        <v>84</v>
      </c>
      <c r="B283" s="38">
        <v>45230</v>
      </c>
      <c r="C283" s="331">
        <v>0.54166666666666663</v>
      </c>
      <c r="D283" s="32" t="s">
        <v>2531</v>
      </c>
      <c r="E283" s="40" t="s">
        <v>2532</v>
      </c>
      <c r="F283" s="39">
        <v>4</v>
      </c>
      <c r="G283" s="39" t="s">
        <v>325</v>
      </c>
      <c r="H283" s="38"/>
      <c r="I283" s="38"/>
      <c r="J283" s="38"/>
      <c r="K283" s="39" t="s">
        <v>1480</v>
      </c>
      <c r="L283" s="70" t="s">
        <v>252</v>
      </c>
      <c r="M283" s="70" t="s">
        <v>2536</v>
      </c>
      <c r="N283" s="39" t="s">
        <v>1342</v>
      </c>
      <c r="O283" s="137" t="str">
        <f>IF(Q283=" _","NO","SI")</f>
        <v>NO</v>
      </c>
      <c r="P283" s="24" t="str">
        <f ca="1">IF(color_Celda(E283)=12106214,"ROSA",IF(color_Celda(E283)=65535,"AMARILLO",IF(color_Celda(E283)=5296274,"VERDE",IF(color_Celda(E283)=16777215,"BLANCO","NO SE"))))</f>
        <v>AMARILLO</v>
      </c>
      <c r="Q283" s="32" t="s">
        <v>108</v>
      </c>
      <c r="R283" s="170" t="str">
        <f>VLOOKUP($Q283,Resultados!$A$1:$B$49,2,FALSE)</f>
        <v xml:space="preserve"> _</v>
      </c>
      <c r="S283" s="32"/>
      <c r="T283" s="73"/>
      <c r="U283" s="37"/>
      <c r="V283" s="39"/>
      <c r="W283" s="39"/>
      <c r="X283" s="39"/>
      <c r="Y283" s="199"/>
      <c r="Z283" s="39"/>
      <c r="AA283" s="39"/>
      <c r="AB283" s="39"/>
      <c r="AC283" s="39"/>
      <c r="AD283" s="39"/>
      <c r="AE283" s="144"/>
      <c r="AF283" s="150"/>
      <c r="AG283" s="150"/>
      <c r="AH283" s="150"/>
      <c r="AI283" s="150"/>
      <c r="AJ283" s="126" t="s">
        <v>988</v>
      </c>
      <c r="AK283" s="136"/>
      <c r="AL283" s="151" t="s">
        <v>1627</v>
      </c>
      <c r="AM283" s="431" t="str">
        <f>VLOOKUP($Q283,Resultados!$A$1:$C$49,3,FALSE)</f>
        <v>TRAMITE</v>
      </c>
    </row>
    <row r="284" spans="1:39" customFormat="1" ht="63.75">
      <c r="A284" s="364">
        <v>85</v>
      </c>
      <c r="B284" s="38">
        <v>45230</v>
      </c>
      <c r="C284" s="331">
        <v>0.54166666666666663</v>
      </c>
      <c r="D284" s="32" t="s">
        <v>2537</v>
      </c>
      <c r="E284" s="40" t="s">
        <v>2538</v>
      </c>
      <c r="F284" s="39">
        <v>4</v>
      </c>
      <c r="G284" s="39" t="s">
        <v>325</v>
      </c>
      <c r="H284" s="38"/>
      <c r="I284" s="38"/>
      <c r="J284" s="38"/>
      <c r="K284" s="39" t="s">
        <v>1480</v>
      </c>
      <c r="L284" s="70" t="s">
        <v>82</v>
      </c>
      <c r="M284" s="70" t="s">
        <v>2540</v>
      </c>
      <c r="N284" s="32" t="s">
        <v>2539</v>
      </c>
      <c r="O284" s="137" t="str">
        <f>IF(Q284=" _","NO","SI")</f>
        <v>NO</v>
      </c>
      <c r="P284" s="24" t="str">
        <f ca="1">IF(color_Celda(E284)=12106214,"ROSA",IF(color_Celda(E284)=65535,"AMARILLO",IF(color_Celda(E284)=5296274,"VERDE",IF(color_Celda(E284)=16777215,"BLANCO","NO SE"))))</f>
        <v>AMARILLO</v>
      </c>
      <c r="Q284" s="32" t="s">
        <v>108</v>
      </c>
      <c r="R284" s="170" t="str">
        <f>VLOOKUP($Q284,Resultados!$A$1:$B$49,2,FALSE)</f>
        <v xml:space="preserve"> _</v>
      </c>
      <c r="S284" s="32"/>
      <c r="T284" s="73"/>
      <c r="U284" s="37"/>
      <c r="V284" s="39"/>
      <c r="W284" s="39"/>
      <c r="X284" s="39"/>
      <c r="Y284" s="199"/>
      <c r="Z284" s="39"/>
      <c r="AA284" s="39"/>
      <c r="AB284" s="39"/>
      <c r="AC284" s="39"/>
      <c r="AD284" s="39"/>
      <c r="AE284" s="144"/>
      <c r="AF284" s="150"/>
      <c r="AG284" s="150"/>
      <c r="AH284" s="150"/>
      <c r="AI284" s="150"/>
      <c r="AJ284" s="126" t="s">
        <v>988</v>
      </c>
      <c r="AK284" s="136"/>
      <c r="AL284" s="151" t="s">
        <v>1627</v>
      </c>
      <c r="AM284" s="431" t="str">
        <f>VLOOKUP($Q284,Resultados!$A$1:$C$49,3,FALSE)</f>
        <v>TRAMITE</v>
      </c>
    </row>
    <row r="285" spans="1:39" customFormat="1" ht="63.75">
      <c r="A285" s="364">
        <v>86</v>
      </c>
      <c r="B285" s="38">
        <v>45230</v>
      </c>
      <c r="C285" s="337" t="s">
        <v>2297</v>
      </c>
      <c r="D285" s="32" t="s">
        <v>2554</v>
      </c>
      <c r="E285" s="40" t="s">
        <v>2592</v>
      </c>
      <c r="F285" s="39">
        <v>4</v>
      </c>
      <c r="G285" s="39" t="s">
        <v>325</v>
      </c>
      <c r="H285" s="38"/>
      <c r="I285" s="38"/>
      <c r="J285" s="38"/>
      <c r="K285" s="39" t="s">
        <v>1480</v>
      </c>
      <c r="L285" s="70" t="s">
        <v>2173</v>
      </c>
      <c r="M285" s="70" t="s">
        <v>226</v>
      </c>
      <c r="N285" s="32" t="s">
        <v>2271</v>
      </c>
      <c r="O285" s="137" t="str">
        <f>IF(Q285=" _","NO","SI")</f>
        <v>NO</v>
      </c>
      <c r="P285" s="24" t="str">
        <f ca="1">IF(color_Celda(E285)=12106214,"ROSA",IF(color_Celda(E285)=65535,"AMARILLO",IF(color_Celda(E285)=5296274,"VERDE",IF(color_Celda(E285)=16777215,"BLANCO","NO SE"))))</f>
        <v>AMARILLO</v>
      </c>
      <c r="Q285" s="32" t="s">
        <v>108</v>
      </c>
      <c r="R285" s="170" t="str">
        <f>VLOOKUP($Q285,Resultados!$A$1:$B$49,2,FALSE)</f>
        <v xml:space="preserve"> _</v>
      </c>
      <c r="S285" s="32"/>
      <c r="T285" s="73"/>
      <c r="U285" s="37"/>
      <c r="V285" s="39"/>
      <c r="W285" s="39"/>
      <c r="X285" s="39"/>
      <c r="Y285" s="199"/>
      <c r="Z285" s="39"/>
      <c r="AA285" s="39"/>
      <c r="AB285" s="39"/>
      <c r="AC285" s="39"/>
      <c r="AD285" s="39"/>
      <c r="AE285" s="144"/>
      <c r="AF285" s="150"/>
      <c r="AG285" s="150"/>
      <c r="AH285" s="150"/>
      <c r="AI285" s="150"/>
      <c r="AJ285" s="126" t="s">
        <v>988</v>
      </c>
      <c r="AK285" s="136"/>
      <c r="AL285" s="151" t="s">
        <v>1627</v>
      </c>
      <c r="AM285" s="431" t="str">
        <f>VLOOKUP($Q285,Resultados!$A$1:$C$49,3,FALSE)</f>
        <v>TRAMITE</v>
      </c>
    </row>
    <row r="286" spans="1:39" customFormat="1" ht="38.25">
      <c r="A286" s="364">
        <v>87</v>
      </c>
      <c r="B286" s="38">
        <v>45230</v>
      </c>
      <c r="C286" s="337" t="s">
        <v>2297</v>
      </c>
      <c r="D286" s="32" t="s">
        <v>2555</v>
      </c>
      <c r="E286" s="40" t="s">
        <v>2556</v>
      </c>
      <c r="F286" s="39">
        <v>4</v>
      </c>
      <c r="G286" s="39" t="s">
        <v>325</v>
      </c>
      <c r="H286" s="38"/>
      <c r="I286" s="38"/>
      <c r="J286" s="38"/>
      <c r="K286" s="39" t="s">
        <v>1480</v>
      </c>
      <c r="L286" s="70" t="s">
        <v>74</v>
      </c>
      <c r="M286" s="70" t="s">
        <v>47</v>
      </c>
      <c r="N286" s="39" t="s">
        <v>1342</v>
      </c>
      <c r="O286" s="137" t="str">
        <f>IF(Q286=" _","NO","SI")</f>
        <v>NO</v>
      </c>
      <c r="P286" s="24" t="str">
        <f ca="1">IF(color_Celda(E286)=12106214,"ROSA",IF(color_Celda(E286)=65535,"AMARILLO",IF(color_Celda(E286)=5296274,"VERDE",IF(color_Celda(E286)=16777215,"BLANCO","NO SE"))))</f>
        <v>AMARILLO</v>
      </c>
      <c r="Q286" s="32" t="s">
        <v>108</v>
      </c>
      <c r="R286" s="170" t="str">
        <f>VLOOKUP($Q286,Resultados!$A$1:$B$49,2,FALSE)</f>
        <v xml:space="preserve"> _</v>
      </c>
      <c r="S286" s="32"/>
      <c r="T286" s="73"/>
      <c r="U286" s="37"/>
      <c r="V286" s="39"/>
      <c r="W286" s="39"/>
      <c r="X286" s="39"/>
      <c r="Y286" s="199"/>
      <c r="Z286" s="39"/>
      <c r="AA286" s="39"/>
      <c r="AB286" s="39"/>
      <c r="AC286" s="39"/>
      <c r="AD286" s="39"/>
      <c r="AE286" s="144"/>
      <c r="AF286" s="150"/>
      <c r="AG286" s="150"/>
      <c r="AH286" s="150"/>
      <c r="AI286" s="150"/>
      <c r="AJ286" s="126" t="s">
        <v>988</v>
      </c>
      <c r="AK286" s="136"/>
      <c r="AL286" s="151" t="s">
        <v>1627</v>
      </c>
      <c r="AM286" s="431" t="str">
        <f>VLOOKUP($Q286,Resultados!$A$1:$C$49,3,FALSE)</f>
        <v>TRAMITE</v>
      </c>
    </row>
    <row r="287" spans="1:39" customFormat="1" ht="76.5">
      <c r="A287" s="364">
        <v>91</v>
      </c>
      <c r="B287" s="69">
        <v>45231</v>
      </c>
      <c r="C287" s="329">
        <v>0.42777777777777781</v>
      </c>
      <c r="D287" s="70" t="s">
        <v>532</v>
      </c>
      <c r="E287" s="92" t="s">
        <v>533</v>
      </c>
      <c r="F287" s="68">
        <v>6</v>
      </c>
      <c r="G287" s="68" t="s">
        <v>326</v>
      </c>
      <c r="H287" s="69"/>
      <c r="I287" s="69"/>
      <c r="J287" s="69"/>
      <c r="K287" s="68" t="s">
        <v>1480</v>
      </c>
      <c r="L287" s="70" t="s">
        <v>79</v>
      </c>
      <c r="M287" s="70"/>
      <c r="N287" s="68" t="s">
        <v>2679</v>
      </c>
      <c r="O287" s="24" t="str">
        <f>IF(Q287=" _","NO","SI")</f>
        <v>NO</v>
      </c>
      <c r="P287" s="24" t="str">
        <f ca="1">IF(color_Celda(E287)=12106214,"ROSA",IF(color_Celda(E287)=65535,"AMARILLO",IF(color_Celda(E287)=5296274,"VERDE",IF(color_Celda(E287)=16777215,"BLANCO","NO SE"))))</f>
        <v>AMARILLO</v>
      </c>
      <c r="Q287" s="70" t="s">
        <v>108</v>
      </c>
      <c r="R287" s="170" t="str">
        <f>VLOOKUP($Q287,Resultados!$A$1:$B$49,2,FALSE)</f>
        <v xml:space="preserve"> _</v>
      </c>
      <c r="S287" s="70"/>
      <c r="T287" s="99"/>
      <c r="U287" s="99"/>
      <c r="V287" s="107"/>
      <c r="W287" s="68"/>
      <c r="X287" s="68"/>
      <c r="Y287" s="64"/>
      <c r="Z287" s="68"/>
      <c r="AA287" s="68"/>
      <c r="AB287" s="68"/>
      <c r="AC287" s="107"/>
      <c r="AD287" s="107"/>
      <c r="AE287" s="143"/>
      <c r="AF287" s="145">
        <v>7</v>
      </c>
      <c r="AG287" s="118"/>
      <c r="AH287" s="118">
        <v>0</v>
      </c>
      <c r="AI287" s="118"/>
      <c r="AJ287" s="126" t="s">
        <v>988</v>
      </c>
      <c r="AK287" s="134"/>
      <c r="AL287" s="151" t="s">
        <v>1627</v>
      </c>
      <c r="AM287" s="431" t="str">
        <f>VLOOKUP($Q287,Resultados!$A$1:$C$49,3,FALSE)</f>
        <v>TRAMITE</v>
      </c>
    </row>
    <row r="288" spans="1:39" customFormat="1" ht="38.25">
      <c r="A288" s="364">
        <v>92</v>
      </c>
      <c r="B288" s="69">
        <v>45231</v>
      </c>
      <c r="C288" s="329">
        <v>0.43472222222222223</v>
      </c>
      <c r="D288" s="70" t="s">
        <v>534</v>
      </c>
      <c r="E288" s="92" t="s">
        <v>535</v>
      </c>
      <c r="F288" s="68">
        <v>6</v>
      </c>
      <c r="G288" s="68" t="s">
        <v>326</v>
      </c>
      <c r="H288" s="69"/>
      <c r="I288" s="69"/>
      <c r="J288" s="69"/>
      <c r="K288" s="68" t="s">
        <v>1480</v>
      </c>
      <c r="L288" s="70" t="s">
        <v>74</v>
      </c>
      <c r="M288" s="70" t="s">
        <v>44</v>
      </c>
      <c r="N288" s="68" t="s">
        <v>1342</v>
      </c>
      <c r="O288" s="24" t="str">
        <f>IF(Q288=" _","NO","SI")</f>
        <v>NO</v>
      </c>
      <c r="P288" s="24" t="str">
        <f ca="1">IF(color_Celda(E288)=12106214,"ROSA",IF(color_Celda(E288)=65535,"AMARILLO",IF(color_Celda(E288)=5296274,"VERDE",IF(color_Celda(E288)=16777215,"BLANCO","NO SE"))))</f>
        <v>AMARILLO</v>
      </c>
      <c r="Q288" s="70" t="s">
        <v>108</v>
      </c>
      <c r="R288" s="170" t="str">
        <f>VLOOKUP($Q288,Resultados!$A$1:$B$49,2,FALSE)</f>
        <v xml:space="preserve"> _</v>
      </c>
      <c r="S288" s="70"/>
      <c r="T288" s="73"/>
      <c r="U288" s="73"/>
      <c r="V288" s="68"/>
      <c r="W288" s="68"/>
      <c r="X288" s="68"/>
      <c r="Y288" s="64"/>
      <c r="Z288" s="68"/>
      <c r="AA288" s="68"/>
      <c r="AB288" s="68"/>
      <c r="AC288" s="68"/>
      <c r="AD288" s="68"/>
      <c r="AE288" s="142"/>
      <c r="AF288" s="145">
        <v>7</v>
      </c>
      <c r="AG288" s="146"/>
      <c r="AH288" s="146">
        <v>0</v>
      </c>
      <c r="AI288" s="146"/>
      <c r="AJ288" s="126" t="s">
        <v>988</v>
      </c>
      <c r="AK288" s="134"/>
      <c r="AL288" s="151" t="s">
        <v>1627</v>
      </c>
      <c r="AM288" s="431" t="str">
        <f>VLOOKUP($Q288,Resultados!$A$1:$C$49,3,FALSE)</f>
        <v>TRAMITE</v>
      </c>
    </row>
    <row r="289" spans="1:39" customFormat="1" ht="63.75">
      <c r="A289" s="364">
        <v>93</v>
      </c>
      <c r="B289" s="69">
        <v>45231</v>
      </c>
      <c r="C289" s="329">
        <v>0.4381944444444445</v>
      </c>
      <c r="D289" s="70" t="s">
        <v>538</v>
      </c>
      <c r="E289" s="92" t="s">
        <v>2234</v>
      </c>
      <c r="F289" s="68">
        <v>6</v>
      </c>
      <c r="G289" s="68" t="s">
        <v>326</v>
      </c>
      <c r="H289" s="69"/>
      <c r="I289" s="69"/>
      <c r="J289" s="69"/>
      <c r="K289" s="68" t="s">
        <v>1480</v>
      </c>
      <c r="L289" s="70" t="s">
        <v>71</v>
      </c>
      <c r="M289" s="70"/>
      <c r="N289" s="68" t="s">
        <v>2680</v>
      </c>
      <c r="O289" s="24" t="str">
        <f>IF(Q289=" _","NO","SI")</f>
        <v>NO</v>
      </c>
      <c r="P289" s="24" t="str">
        <f ca="1">IF(color_Celda(E289)=12106214,"ROSA",IF(color_Celda(E289)=65535,"AMARILLO",IF(color_Celda(E289)=5296274,"VERDE",IF(color_Celda(E289)=16777215,"BLANCO","NO SE"))))</f>
        <v>AMARILLO</v>
      </c>
      <c r="Q289" s="70" t="s">
        <v>108</v>
      </c>
      <c r="R289" s="170" t="str">
        <f>VLOOKUP($Q289,Resultados!$A$1:$B$49,2,FALSE)</f>
        <v xml:space="preserve"> _</v>
      </c>
      <c r="S289" s="70"/>
      <c r="T289" s="99"/>
      <c r="U289" s="99"/>
      <c r="V289" s="107"/>
      <c r="W289" s="68"/>
      <c r="X289" s="68"/>
      <c r="Y289" s="64"/>
      <c r="Z289" s="68"/>
      <c r="AA289" s="68"/>
      <c r="AB289" s="68"/>
      <c r="AC289" s="107"/>
      <c r="AD289" s="107"/>
      <c r="AE289" s="143"/>
      <c r="AF289" s="145">
        <v>7</v>
      </c>
      <c r="AG289" s="118"/>
      <c r="AH289" s="118">
        <v>0</v>
      </c>
      <c r="AI289" s="118"/>
      <c r="AJ289" s="126" t="s">
        <v>988</v>
      </c>
      <c r="AK289" s="134"/>
      <c r="AL289" s="151" t="s">
        <v>1627</v>
      </c>
      <c r="AM289" s="431" t="str">
        <f>VLOOKUP($Q289,Resultados!$A$1:$C$49,3,FALSE)</f>
        <v>TRAMITE</v>
      </c>
    </row>
    <row r="290" spans="1:39" customFormat="1" ht="63.75">
      <c r="A290" s="364">
        <v>94</v>
      </c>
      <c r="B290" s="69">
        <v>45231</v>
      </c>
      <c r="C290" s="329">
        <v>0.44236111111111115</v>
      </c>
      <c r="D290" s="70" t="s">
        <v>539</v>
      </c>
      <c r="E290" s="92" t="s">
        <v>540</v>
      </c>
      <c r="F290" s="68">
        <v>6</v>
      </c>
      <c r="G290" s="68" t="s">
        <v>326</v>
      </c>
      <c r="H290" s="69"/>
      <c r="I290" s="69"/>
      <c r="J290" s="69"/>
      <c r="K290" s="68" t="s">
        <v>1480</v>
      </c>
      <c r="L290" s="70" t="s">
        <v>250</v>
      </c>
      <c r="M290" s="70" t="s">
        <v>44</v>
      </c>
      <c r="N290" s="68" t="s">
        <v>1342</v>
      </c>
      <c r="O290" s="24" t="str">
        <f>IF(Q290=" _","NO","SI")</f>
        <v>NO</v>
      </c>
      <c r="P290" s="24" t="str">
        <f ca="1">IF(color_Celda(E290)=12106214,"ROSA",IF(color_Celda(E290)=65535,"AMARILLO",IF(color_Celda(E290)=5296274,"VERDE",IF(color_Celda(E290)=16777215,"BLANCO","NO SE"))))</f>
        <v>AMARILLO</v>
      </c>
      <c r="Q290" s="70" t="s">
        <v>108</v>
      </c>
      <c r="R290" s="170" t="str">
        <f>VLOOKUP($Q290,Resultados!$A$1:$B$49,2,FALSE)</f>
        <v xml:space="preserve"> _</v>
      </c>
      <c r="S290" s="70"/>
      <c r="T290" s="73"/>
      <c r="U290" s="73"/>
      <c r="V290" s="68"/>
      <c r="W290" s="68"/>
      <c r="X290" s="68"/>
      <c r="Y290" s="64"/>
      <c r="Z290" s="68"/>
      <c r="AA290" s="68"/>
      <c r="AB290" s="68"/>
      <c r="AC290" s="68"/>
      <c r="AD290" s="68"/>
      <c r="AE290" s="142"/>
      <c r="AF290" s="145">
        <v>7</v>
      </c>
      <c r="AG290" s="146"/>
      <c r="AH290" s="146">
        <v>0</v>
      </c>
      <c r="AI290" s="146"/>
      <c r="AJ290" s="126" t="s">
        <v>988</v>
      </c>
      <c r="AK290" s="134"/>
      <c r="AL290" s="151" t="s">
        <v>1627</v>
      </c>
      <c r="AM290" s="431" t="str">
        <f>VLOOKUP($Q290,Resultados!$A$1:$C$49,3,FALSE)</f>
        <v>TRAMITE</v>
      </c>
    </row>
    <row r="291" spans="1:39" customFormat="1" ht="63.75">
      <c r="A291" s="364">
        <v>97</v>
      </c>
      <c r="B291" s="69">
        <v>45231</v>
      </c>
      <c r="C291" s="329">
        <v>0.4916666666666667</v>
      </c>
      <c r="D291" s="70" t="s">
        <v>547</v>
      </c>
      <c r="E291" s="92" t="s">
        <v>548</v>
      </c>
      <c r="F291" s="68">
        <v>3</v>
      </c>
      <c r="G291" s="68" t="s">
        <v>1750</v>
      </c>
      <c r="H291" s="69"/>
      <c r="I291" s="69"/>
      <c r="J291" s="69"/>
      <c r="K291" s="68" t="s">
        <v>1480</v>
      </c>
      <c r="L291" s="70" t="s">
        <v>77</v>
      </c>
      <c r="M291" s="70" t="s">
        <v>1634</v>
      </c>
      <c r="N291" s="68" t="s">
        <v>1635</v>
      </c>
      <c r="O291" s="24" t="str">
        <f>IF(Q291=" _","NO","SI")</f>
        <v>NO</v>
      </c>
      <c r="P291" s="24" t="str">
        <f ca="1">IF(color_Celda(E291)=12106214,"ROSA",IF(color_Celda(E291)=65535,"AMARILLO",IF(color_Celda(E291)=5296274,"VERDE",IF(color_Celda(E291)=16777215,"BLANCO","NO SE"))))</f>
        <v>AMARILLO</v>
      </c>
      <c r="Q291" s="70" t="s">
        <v>108</v>
      </c>
      <c r="R291" s="170" t="str">
        <f>VLOOKUP($Q291,Resultados!$A$1:$B$49,2,FALSE)</f>
        <v xml:space="preserve"> _</v>
      </c>
      <c r="S291" s="70"/>
      <c r="T291" s="73"/>
      <c r="U291" s="73"/>
      <c r="V291" s="68"/>
      <c r="W291" s="68"/>
      <c r="X291" s="68"/>
      <c r="Y291" s="64"/>
      <c r="Z291" s="68"/>
      <c r="AA291" s="68"/>
      <c r="AB291" s="68"/>
      <c r="AC291" s="68"/>
      <c r="AD291" s="68"/>
      <c r="AE291" s="142"/>
      <c r="AF291" s="145">
        <v>7</v>
      </c>
      <c r="AG291" s="146"/>
      <c r="AH291" s="146">
        <v>0</v>
      </c>
      <c r="AI291" s="146"/>
      <c r="AJ291" s="126" t="s">
        <v>988</v>
      </c>
      <c r="AK291" s="134"/>
      <c r="AL291" s="151" t="s">
        <v>1627</v>
      </c>
      <c r="AM291" s="431" t="str">
        <f>VLOOKUP($Q291,Resultados!$A$1:$C$49,3,FALSE)</f>
        <v>TRAMITE</v>
      </c>
    </row>
    <row r="292" spans="1:39" customFormat="1" ht="51">
      <c r="A292" s="364">
        <v>101</v>
      </c>
      <c r="B292" s="38">
        <v>45231</v>
      </c>
      <c r="C292" s="337" t="s">
        <v>16</v>
      </c>
      <c r="D292" s="32" t="s">
        <v>1517</v>
      </c>
      <c r="E292" s="40" t="s">
        <v>1518</v>
      </c>
      <c r="F292" s="39">
        <v>3</v>
      </c>
      <c r="G292" s="68" t="s">
        <v>1750</v>
      </c>
      <c r="H292" s="38"/>
      <c r="I292" s="38"/>
      <c r="J292" s="38"/>
      <c r="K292" s="39" t="str">
        <f>IFERROR(VLOOKUP(J292,Jueces!$A$1:$B$11,2,FALSE),"")</f>
        <v/>
      </c>
      <c r="L292" s="32" t="s">
        <v>161</v>
      </c>
      <c r="M292" s="32"/>
      <c r="N292" s="32" t="s">
        <v>1506</v>
      </c>
      <c r="O292" s="24" t="str">
        <f>IF(Q292=" _","NO","SI")</f>
        <v>NO</v>
      </c>
      <c r="P292" s="24" t="str">
        <f ca="1">IF(color_Celda(E292)=12106214,"ROSA",IF(color_Celda(E292)=65535,"AMARILLO",IF(color_Celda(E292)=5296274,"VERDE",IF(color_Celda(E292)=16777215,"BLANCO","NO SE"))))</f>
        <v>AMARILLO</v>
      </c>
      <c r="Q292" s="32" t="s">
        <v>108</v>
      </c>
      <c r="R292" s="170" t="str">
        <f>VLOOKUP($Q292,Resultados!$A$1:$B$49,2,FALSE)</f>
        <v xml:space="preserve"> _</v>
      </c>
      <c r="S292" s="32"/>
      <c r="T292" s="37"/>
      <c r="U292" s="37"/>
      <c r="V292" s="39"/>
      <c r="W292" s="39"/>
      <c r="X292" s="39"/>
      <c r="Y292" s="64"/>
      <c r="Z292" s="39"/>
      <c r="AA292" s="39"/>
      <c r="AB292" s="39"/>
      <c r="AC292" s="39"/>
      <c r="AD292" s="39"/>
      <c r="AE292" s="144"/>
      <c r="AF292" s="150"/>
      <c r="AG292" s="150"/>
      <c r="AH292" s="150"/>
      <c r="AI292" s="150"/>
      <c r="AJ292" s="128" t="s">
        <v>988</v>
      </c>
      <c r="AK292" s="136"/>
      <c r="AL292" s="129" t="s">
        <v>1627</v>
      </c>
      <c r="AM292" s="431" t="str">
        <f>VLOOKUP($Q292,Resultados!$A$1:$C$49,3,FALSE)</f>
        <v>TRAMITE</v>
      </c>
    </row>
    <row r="293" spans="1:39" customFormat="1" ht="76.5">
      <c r="A293" s="364">
        <v>102</v>
      </c>
      <c r="B293" s="35">
        <v>45231</v>
      </c>
      <c r="C293" s="331">
        <v>0.52777777777777779</v>
      </c>
      <c r="D293" s="32" t="s">
        <v>536</v>
      </c>
      <c r="E293" s="40" t="s">
        <v>537</v>
      </c>
      <c r="F293" s="39">
        <v>6</v>
      </c>
      <c r="G293" s="32" t="s">
        <v>326</v>
      </c>
      <c r="H293" s="38"/>
      <c r="I293" s="38"/>
      <c r="J293" s="38"/>
      <c r="K293" s="39" t="str">
        <f>IFERROR(VLOOKUP(J293,Jueces!$A$1:$B$11,2,FALSE),"")</f>
        <v/>
      </c>
      <c r="L293" s="32" t="s">
        <v>2235</v>
      </c>
      <c r="M293" s="32" t="s">
        <v>2236</v>
      </c>
      <c r="N293" s="32" t="s">
        <v>1342</v>
      </c>
      <c r="O293" s="24" t="str">
        <f>IF(Q293=" _","NO","SI")</f>
        <v>NO</v>
      </c>
      <c r="P293" s="24" t="str">
        <f ca="1">IF(color_Celda(E293)=12106214,"ROSA",IF(color_Celda(E293)=65535,"AMARILLO",IF(color_Celda(E293)=5296274,"VERDE",IF(color_Celda(E293)=16777215,"BLANCO","NO SE"))))</f>
        <v>AMARILLO</v>
      </c>
      <c r="Q293" s="32" t="s">
        <v>108</v>
      </c>
      <c r="R293" s="170" t="str">
        <f>VLOOKUP($Q293,Resultados!$A$1:$B$49,2,FALSE)</f>
        <v xml:space="preserve"> _</v>
      </c>
      <c r="S293" s="32"/>
      <c r="T293" s="37"/>
      <c r="U293" s="37"/>
      <c r="V293" s="39"/>
      <c r="W293" s="39"/>
      <c r="X293" s="39"/>
      <c r="Y293" s="64"/>
      <c r="Z293" s="39"/>
      <c r="AA293" s="39"/>
      <c r="AB293" s="39"/>
      <c r="AC293" s="39"/>
      <c r="AD293" s="39"/>
      <c r="AE293" s="144"/>
      <c r="AF293" s="150"/>
      <c r="AG293" s="150"/>
      <c r="AH293" s="150"/>
      <c r="AI293" s="150"/>
      <c r="AJ293" s="128" t="s">
        <v>988</v>
      </c>
      <c r="AK293" s="136"/>
      <c r="AL293" s="151" t="s">
        <v>1627</v>
      </c>
      <c r="AM293" s="431" t="str">
        <f>VLOOKUP($Q293,Resultados!$A$1:$C$49,3,FALSE)</f>
        <v>TRAMITE</v>
      </c>
    </row>
    <row r="294" spans="1:39" customFormat="1" ht="38.25">
      <c r="A294" s="364">
        <v>103</v>
      </c>
      <c r="B294" s="38">
        <v>45231</v>
      </c>
      <c r="C294" s="331">
        <v>0.41666666666666669</v>
      </c>
      <c r="D294" s="32" t="s">
        <v>2337</v>
      </c>
      <c r="E294" s="40" t="s">
        <v>2338</v>
      </c>
      <c r="F294" s="39">
        <v>4</v>
      </c>
      <c r="G294" s="39" t="s">
        <v>325</v>
      </c>
      <c r="H294" s="38"/>
      <c r="I294" s="38"/>
      <c r="J294" s="38"/>
      <c r="K294" s="39" t="str">
        <f>IFERROR(VLOOKUP(J294,Jueces!$A$1:$B$11,2,FALSE),"")</f>
        <v/>
      </c>
      <c r="L294" s="32" t="s">
        <v>78</v>
      </c>
      <c r="M294" s="32" t="s">
        <v>62</v>
      </c>
      <c r="N294" s="43" t="s">
        <v>1858</v>
      </c>
      <c r="O294" s="24" t="str">
        <f>IF(Q294=" _","NO","SI")</f>
        <v>NO</v>
      </c>
      <c r="P294" s="24" t="str">
        <f ca="1">IF(color_Celda(E294)=12106214,"ROSA",IF(color_Celda(E294)=65535,"AMARILLO",IF(color_Celda(E294)=5296274,"VERDE",IF(color_Celda(E294)=16777215,"BLANCO","NO SE"))))</f>
        <v>AMARILLO</v>
      </c>
      <c r="Q294" s="32" t="s">
        <v>108</v>
      </c>
      <c r="R294" s="170" t="str">
        <f>VLOOKUP($Q294,Resultados!$A$1:$B$49,2,FALSE)</f>
        <v xml:space="preserve"> _</v>
      </c>
      <c r="S294" s="32"/>
      <c r="T294" s="37"/>
      <c r="U294" s="37"/>
      <c r="V294" s="39"/>
      <c r="W294" s="39"/>
      <c r="X294" s="39"/>
      <c r="Y294" s="64"/>
      <c r="Z294" s="39"/>
      <c r="AA294" s="39"/>
      <c r="AB294" s="39"/>
      <c r="AC294" s="39"/>
      <c r="AD294" s="39"/>
      <c r="AE294" s="144"/>
      <c r="AF294" s="150"/>
      <c r="AG294" s="150"/>
      <c r="AH294" s="150"/>
      <c r="AI294" s="150"/>
      <c r="AJ294" s="128" t="s">
        <v>988</v>
      </c>
      <c r="AK294" s="136"/>
      <c r="AL294" s="151" t="s">
        <v>1627</v>
      </c>
      <c r="AM294" s="431" t="str">
        <f>VLOOKUP($Q294,Resultados!$A$1:$C$49,3,FALSE)</f>
        <v>TRAMITE</v>
      </c>
    </row>
    <row r="295" spans="1:39" customFormat="1" ht="63.75">
      <c r="A295" s="364">
        <v>104</v>
      </c>
      <c r="B295" s="38">
        <v>45231</v>
      </c>
      <c r="C295" s="331">
        <v>0.41666666666666669</v>
      </c>
      <c r="D295" s="32" t="s">
        <v>2476</v>
      </c>
      <c r="E295" s="40" t="s">
        <v>2477</v>
      </c>
      <c r="F295" s="39">
        <v>4</v>
      </c>
      <c r="G295" s="39" t="s">
        <v>325</v>
      </c>
      <c r="H295" s="38"/>
      <c r="I295" s="38"/>
      <c r="J295" s="38"/>
      <c r="K295" s="39" t="s">
        <v>1480</v>
      </c>
      <c r="L295" s="70" t="s">
        <v>2167</v>
      </c>
      <c r="M295" s="70" t="s">
        <v>2478</v>
      </c>
      <c r="N295" s="32" t="s">
        <v>2479</v>
      </c>
      <c r="O295" s="137" t="str">
        <f>IF(Q295=" _","NO","SI")</f>
        <v>NO</v>
      </c>
      <c r="P295" s="24" t="str">
        <f ca="1">IF(color_Celda(E295)=12106214,"ROSA",IF(color_Celda(E295)=65535,"AMARILLO",IF(color_Celda(E295)=5296274,"VERDE",IF(color_Celda(E295)=16777215,"BLANCO","NO SE"))))</f>
        <v>AMARILLO</v>
      </c>
      <c r="Q295" s="32" t="s">
        <v>108</v>
      </c>
      <c r="R295" s="170" t="str">
        <f>VLOOKUP($Q295,Resultados!$A$1:$B$49,2,FALSE)</f>
        <v xml:space="preserve"> _</v>
      </c>
      <c r="S295" s="32"/>
      <c r="T295" s="73"/>
      <c r="U295" s="37"/>
      <c r="V295" s="39"/>
      <c r="W295" s="39"/>
      <c r="X295" s="39"/>
      <c r="Y295" s="199"/>
      <c r="Z295" s="39"/>
      <c r="AA295" s="39"/>
      <c r="AB295" s="39"/>
      <c r="AC295" s="39"/>
      <c r="AD295" s="39"/>
      <c r="AE295" s="144"/>
      <c r="AF295" s="150"/>
      <c r="AG295" s="150"/>
      <c r="AH295" s="150"/>
      <c r="AI295" s="150"/>
      <c r="AJ295" s="126" t="s">
        <v>988</v>
      </c>
      <c r="AK295" s="136"/>
      <c r="AL295" s="151" t="s">
        <v>1627</v>
      </c>
      <c r="AM295" s="431" t="str">
        <f>VLOOKUP($Q295,Resultados!$A$1:$C$49,3,FALSE)</f>
        <v>TRAMITE</v>
      </c>
    </row>
    <row r="296" spans="1:39" customFormat="1" ht="63.75">
      <c r="A296" s="364">
        <v>105</v>
      </c>
      <c r="B296" s="69">
        <v>45232</v>
      </c>
      <c r="C296" s="329">
        <v>0.33333333333333331</v>
      </c>
      <c r="D296" s="70" t="s">
        <v>581</v>
      </c>
      <c r="E296" s="92" t="s">
        <v>549</v>
      </c>
      <c r="F296" s="68">
        <v>4</v>
      </c>
      <c r="G296" s="68" t="s">
        <v>325</v>
      </c>
      <c r="H296" s="69"/>
      <c r="I296" s="69"/>
      <c r="J296" s="69"/>
      <c r="K296" s="68" t="s">
        <v>1480</v>
      </c>
      <c r="L296" s="70" t="s">
        <v>79</v>
      </c>
      <c r="M296" s="70"/>
      <c r="N296" s="68"/>
      <c r="O296" s="24" t="str">
        <f>IF(Q296=" _","NO","SI")</f>
        <v>NO</v>
      </c>
      <c r="P296" s="24" t="str">
        <f ca="1">IF(color_Celda(E296)=12106214,"ROSA",IF(color_Celda(E296)=65535,"AMARILLO",IF(color_Celda(E296)=5296274,"VERDE",IF(color_Celda(E296)=16777215,"BLANCO","NO SE"))))</f>
        <v>AMARILLO</v>
      </c>
      <c r="Q296" s="70" t="s">
        <v>108</v>
      </c>
      <c r="R296" s="170" t="str">
        <f>VLOOKUP($Q296,Resultados!$A$1:$B$49,2,FALSE)</f>
        <v xml:space="preserve"> _</v>
      </c>
      <c r="S296" s="70"/>
      <c r="T296" s="73"/>
      <c r="U296" s="73"/>
      <c r="V296" s="68"/>
      <c r="W296" s="68"/>
      <c r="X296" s="68"/>
      <c r="Y296" s="64"/>
      <c r="Z296" s="68"/>
      <c r="AA296" s="68"/>
      <c r="AB296" s="68"/>
      <c r="AC296" s="68"/>
      <c r="AD296" s="68"/>
      <c r="AE296" s="142"/>
      <c r="AF296" s="145">
        <v>7</v>
      </c>
      <c r="AG296" s="146"/>
      <c r="AH296" s="146">
        <v>0</v>
      </c>
      <c r="AI296" s="146"/>
      <c r="AJ296" s="126" t="s">
        <v>988</v>
      </c>
      <c r="AK296" s="131"/>
      <c r="AL296" s="129" t="s">
        <v>1627</v>
      </c>
      <c r="AM296" s="431" t="str">
        <f>VLOOKUP($Q296,Resultados!$A$1:$C$49,3,FALSE)</f>
        <v>TRAMITE</v>
      </c>
    </row>
    <row r="297" spans="1:39" customFormat="1" ht="51">
      <c r="A297" s="364">
        <v>106</v>
      </c>
      <c r="B297" s="69">
        <v>45232</v>
      </c>
      <c r="C297" s="329">
        <v>0.33611111111111108</v>
      </c>
      <c r="D297" s="70" t="s">
        <v>550</v>
      </c>
      <c r="E297" s="92" t="s">
        <v>551</v>
      </c>
      <c r="F297" s="68">
        <v>4</v>
      </c>
      <c r="G297" s="68" t="s">
        <v>325</v>
      </c>
      <c r="H297" s="69"/>
      <c r="I297" s="69"/>
      <c r="J297" s="69"/>
      <c r="K297" s="68" t="s">
        <v>1480</v>
      </c>
      <c r="L297" s="70" t="s">
        <v>127</v>
      </c>
      <c r="M297" s="70" t="s">
        <v>1156</v>
      </c>
      <c r="N297" s="68" t="s">
        <v>2388</v>
      </c>
      <c r="O297" s="24" t="str">
        <f>IF(Q297=" _","NO","SI")</f>
        <v>NO</v>
      </c>
      <c r="P297" s="24" t="str">
        <f ca="1">IF(color_Celda(E297)=12106214,"ROSA",IF(color_Celda(E297)=65535,"AMARILLO",IF(color_Celda(E297)=5296274,"VERDE",IF(color_Celda(E297)=16777215,"BLANCO","NO SE"))))</f>
        <v>AMARILLO</v>
      </c>
      <c r="Q297" s="70" t="s">
        <v>108</v>
      </c>
      <c r="R297" s="170" t="str">
        <f>VLOOKUP($Q297,Resultados!$A$1:$B$49,2,FALSE)</f>
        <v xml:space="preserve"> _</v>
      </c>
      <c r="S297" s="70"/>
      <c r="T297" s="73"/>
      <c r="U297" s="73"/>
      <c r="V297" s="68"/>
      <c r="W297" s="68"/>
      <c r="X297" s="68"/>
      <c r="Y297" s="64"/>
      <c r="Z297" s="68"/>
      <c r="AA297" s="68"/>
      <c r="AB297" s="68"/>
      <c r="AC297" s="68"/>
      <c r="AD297" s="68"/>
      <c r="AE297" s="142"/>
      <c r="AF297" s="145">
        <v>7</v>
      </c>
      <c r="AG297" s="146"/>
      <c r="AH297" s="146">
        <v>0</v>
      </c>
      <c r="AI297" s="146"/>
      <c r="AJ297" s="126" t="s">
        <v>988</v>
      </c>
      <c r="AK297" s="131"/>
      <c r="AL297" s="129" t="s">
        <v>1627</v>
      </c>
      <c r="AM297" s="431" t="str">
        <f>VLOOKUP($Q297,Resultados!$A$1:$C$49,3,FALSE)</f>
        <v>TRAMITE</v>
      </c>
    </row>
    <row r="298" spans="1:39" customFormat="1" ht="89.25">
      <c r="A298" s="364">
        <v>107</v>
      </c>
      <c r="B298" s="69">
        <v>45232</v>
      </c>
      <c r="C298" s="329">
        <v>0.33333333333333331</v>
      </c>
      <c r="D298" s="70" t="s">
        <v>552</v>
      </c>
      <c r="E298" s="92" t="s">
        <v>553</v>
      </c>
      <c r="F298" s="68">
        <v>4</v>
      </c>
      <c r="G298" s="68" t="s">
        <v>325</v>
      </c>
      <c r="H298" s="69"/>
      <c r="I298" s="69"/>
      <c r="J298" s="69"/>
      <c r="K298" s="68" t="s">
        <v>1480</v>
      </c>
      <c r="L298" s="70" t="s">
        <v>83</v>
      </c>
      <c r="M298" s="70" t="s">
        <v>45</v>
      </c>
      <c r="N298" s="68" t="s">
        <v>1342</v>
      </c>
      <c r="O298" s="137" t="str">
        <f>IF(Q298=" _","NO","SI")</f>
        <v>NO</v>
      </c>
      <c r="P298" s="24" t="str">
        <f ca="1">IF(color_Celda(E298)=12106214,"ROSA",IF(color_Celda(E298)=65535,"AMARILLO",IF(color_Celda(E298)=5296274,"VERDE",IF(color_Celda(E298)=16777215,"BLANCO","NO SE"))))</f>
        <v>AMARILLO</v>
      </c>
      <c r="Q298" s="70" t="s">
        <v>108</v>
      </c>
      <c r="R298" s="170" t="str">
        <f>VLOOKUP($Q298,Resultados!$A$1:$B$49,2,FALSE)</f>
        <v xml:space="preserve"> _</v>
      </c>
      <c r="S298" s="70"/>
      <c r="T298" s="73"/>
      <c r="U298" s="73"/>
      <c r="V298" s="68"/>
      <c r="W298" s="68"/>
      <c r="X298" s="68"/>
      <c r="Y298" s="199"/>
      <c r="Z298" s="68"/>
      <c r="AA298" s="68"/>
      <c r="AB298" s="68"/>
      <c r="AC298" s="68"/>
      <c r="AD298" s="68"/>
      <c r="AE298" s="142"/>
      <c r="AF298" s="145">
        <v>7</v>
      </c>
      <c r="AG298" s="146"/>
      <c r="AH298" s="146">
        <v>0</v>
      </c>
      <c r="AI298" s="146"/>
      <c r="AJ298" s="126" t="s">
        <v>988</v>
      </c>
      <c r="AK298" s="135"/>
      <c r="AL298" s="151" t="s">
        <v>1627</v>
      </c>
      <c r="AM298" s="431" t="str">
        <f>VLOOKUP($Q298,Resultados!$A$1:$C$49,3,FALSE)</f>
        <v>TRAMITE</v>
      </c>
    </row>
    <row r="299" spans="1:39" customFormat="1" ht="63.75">
      <c r="A299" s="364">
        <v>109</v>
      </c>
      <c r="B299" s="69">
        <v>45232</v>
      </c>
      <c r="C299" s="329">
        <v>0.33333333333333331</v>
      </c>
      <c r="D299" s="70" t="s">
        <v>555</v>
      </c>
      <c r="E299" s="92" t="s">
        <v>556</v>
      </c>
      <c r="F299" s="68">
        <v>4</v>
      </c>
      <c r="G299" s="68" t="s">
        <v>325</v>
      </c>
      <c r="H299" s="69"/>
      <c r="I299" s="69"/>
      <c r="J299" s="69"/>
      <c r="K299" s="68" t="s">
        <v>1480</v>
      </c>
      <c r="L299" s="70" t="s">
        <v>250</v>
      </c>
      <c r="M299" s="70"/>
      <c r="N299" s="68"/>
      <c r="O299" s="24" t="str">
        <f>IF(Q299=" _","NO","SI")</f>
        <v>NO</v>
      </c>
      <c r="P299" s="24" t="str">
        <f ca="1">IF(color_Celda(E299)=12106214,"ROSA",IF(color_Celda(E299)=65535,"AMARILLO",IF(color_Celda(E299)=5296274,"VERDE",IF(color_Celda(E299)=16777215,"BLANCO","NO SE"))))</f>
        <v>AMARILLO</v>
      </c>
      <c r="Q299" s="70" t="s">
        <v>108</v>
      </c>
      <c r="R299" s="170" t="str">
        <f>VLOOKUP($Q299,Resultados!$A$1:$B$49,2,FALSE)</f>
        <v xml:space="preserve"> _</v>
      </c>
      <c r="S299" s="70"/>
      <c r="T299" s="73"/>
      <c r="U299" s="73"/>
      <c r="V299" s="68"/>
      <c r="W299" s="68"/>
      <c r="X299" s="68"/>
      <c r="Y299" s="64"/>
      <c r="Z299" s="68"/>
      <c r="AA299" s="68"/>
      <c r="AB299" s="68"/>
      <c r="AC299" s="68"/>
      <c r="AD299" s="68"/>
      <c r="AE299" s="142"/>
      <c r="AF299" s="145">
        <v>7</v>
      </c>
      <c r="AG299" s="146"/>
      <c r="AH299" s="146">
        <v>0</v>
      </c>
      <c r="AI299" s="146"/>
      <c r="AJ299" s="126" t="s">
        <v>988</v>
      </c>
      <c r="AK299" s="133"/>
      <c r="AL299" s="129" t="s">
        <v>1627</v>
      </c>
      <c r="AM299" s="431" t="str">
        <f>VLOOKUP($Q299,Resultados!$A$1:$C$49,3,FALSE)</f>
        <v>TRAMITE</v>
      </c>
    </row>
    <row r="300" spans="1:39" customFormat="1" ht="51">
      <c r="A300" s="364">
        <v>112</v>
      </c>
      <c r="B300" s="69">
        <v>45232</v>
      </c>
      <c r="C300" s="329">
        <v>0.33333333333333331</v>
      </c>
      <c r="D300" s="70" t="s">
        <v>561</v>
      </c>
      <c r="E300" s="92" t="s">
        <v>562</v>
      </c>
      <c r="F300" s="68">
        <v>4</v>
      </c>
      <c r="G300" s="68" t="s">
        <v>325</v>
      </c>
      <c r="H300" s="69"/>
      <c r="I300" s="69"/>
      <c r="J300" s="69"/>
      <c r="K300" s="68" t="s">
        <v>1480</v>
      </c>
      <c r="L300" s="70" t="s">
        <v>211</v>
      </c>
      <c r="M300" s="70" t="s">
        <v>1156</v>
      </c>
      <c r="N300" s="68" t="s">
        <v>3226</v>
      </c>
      <c r="O300" s="24" t="str">
        <f>IF(Q300=" _","NO","SI")</f>
        <v>NO</v>
      </c>
      <c r="P300" s="24" t="str">
        <f ca="1">IF(color_Celda(E300)=12106214,"ROSA",IF(color_Celda(E300)=65535,"AMARILLO",IF(color_Celda(E300)=5296274,"VERDE",IF(color_Celda(E300)=16777215,"BLANCO","NO SE"))))</f>
        <v>AMARILLO</v>
      </c>
      <c r="Q300" s="70" t="s">
        <v>108</v>
      </c>
      <c r="R300" s="170" t="str">
        <f>VLOOKUP($Q300,Resultados!$A$1:$B$49,2,FALSE)</f>
        <v xml:space="preserve"> _</v>
      </c>
      <c r="S300" s="70"/>
      <c r="T300" s="73"/>
      <c r="U300" s="73"/>
      <c r="V300" s="68"/>
      <c r="W300" s="68"/>
      <c r="X300" s="68"/>
      <c r="Y300" s="64"/>
      <c r="Z300" s="68"/>
      <c r="AA300" s="68"/>
      <c r="AB300" s="68"/>
      <c r="AC300" s="68"/>
      <c r="AD300" s="68"/>
      <c r="AE300" s="142"/>
      <c r="AF300" s="145">
        <v>7</v>
      </c>
      <c r="AG300" s="146"/>
      <c r="AH300" s="146">
        <v>0</v>
      </c>
      <c r="AI300" s="146"/>
      <c r="AJ300" s="126" t="s">
        <v>988</v>
      </c>
      <c r="AK300" s="133"/>
      <c r="AL300" s="129" t="s">
        <v>1627</v>
      </c>
      <c r="AM300" s="431" t="str">
        <f>VLOOKUP($Q300,Resultados!$A$1:$C$49,3,FALSE)</f>
        <v>TRAMITE</v>
      </c>
    </row>
    <row r="301" spans="1:39" customFormat="1" ht="76.5">
      <c r="A301" s="364">
        <v>113</v>
      </c>
      <c r="B301" s="69">
        <v>45232</v>
      </c>
      <c r="C301" s="329">
        <v>0.33333333333333331</v>
      </c>
      <c r="D301" s="70" t="s">
        <v>563</v>
      </c>
      <c r="E301" s="92" t="s">
        <v>564</v>
      </c>
      <c r="F301" s="68">
        <v>4</v>
      </c>
      <c r="G301" s="68" t="s">
        <v>325</v>
      </c>
      <c r="H301" s="69"/>
      <c r="I301" s="69"/>
      <c r="J301" s="69"/>
      <c r="K301" s="68" t="s">
        <v>1480</v>
      </c>
      <c r="L301" s="70" t="s">
        <v>72</v>
      </c>
      <c r="M301" s="70"/>
      <c r="N301" s="68"/>
      <c r="O301" s="24" t="str">
        <f>IF(Q301=" _","NO","SI")</f>
        <v>NO</v>
      </c>
      <c r="P301" s="24" t="str">
        <f ca="1">IF(color_Celda(E301)=12106214,"ROSA",IF(color_Celda(E301)=65535,"AMARILLO",IF(color_Celda(E301)=5296274,"VERDE",IF(color_Celda(E301)=16777215,"BLANCO","NO SE"))))</f>
        <v>AMARILLO</v>
      </c>
      <c r="Q301" s="70" t="s">
        <v>108</v>
      </c>
      <c r="R301" s="170" t="str">
        <f>VLOOKUP($Q301,Resultados!$A$1:$B$49,2,FALSE)</f>
        <v xml:space="preserve"> _</v>
      </c>
      <c r="S301" s="70"/>
      <c r="T301" s="73"/>
      <c r="U301" s="73"/>
      <c r="V301" s="68"/>
      <c r="W301" s="68"/>
      <c r="X301" s="68"/>
      <c r="Y301" s="64"/>
      <c r="Z301" s="68"/>
      <c r="AA301" s="68"/>
      <c r="AB301" s="68"/>
      <c r="AC301" s="68"/>
      <c r="AD301" s="68"/>
      <c r="AE301" s="142"/>
      <c r="AF301" s="145">
        <v>7</v>
      </c>
      <c r="AG301" s="146"/>
      <c r="AH301" s="146">
        <v>0</v>
      </c>
      <c r="AI301" s="146"/>
      <c r="AJ301" s="126" t="s">
        <v>988</v>
      </c>
      <c r="AK301" s="133"/>
      <c r="AL301" s="129" t="s">
        <v>1627</v>
      </c>
      <c r="AM301" s="431" t="str">
        <f>VLOOKUP($Q301,Resultados!$A$1:$C$49,3,FALSE)</f>
        <v>TRAMITE</v>
      </c>
    </row>
    <row r="302" spans="1:39" customFormat="1" ht="102">
      <c r="A302" s="364">
        <v>114</v>
      </c>
      <c r="B302" s="69">
        <v>45232</v>
      </c>
      <c r="C302" s="329">
        <v>0.33333333333333331</v>
      </c>
      <c r="D302" s="70" t="s">
        <v>32</v>
      </c>
      <c r="E302" s="92" t="s">
        <v>565</v>
      </c>
      <c r="F302" s="68">
        <v>4</v>
      </c>
      <c r="G302" s="68" t="s">
        <v>325</v>
      </c>
      <c r="H302" s="69"/>
      <c r="I302" s="69"/>
      <c r="J302" s="69"/>
      <c r="K302" s="68" t="s">
        <v>1480</v>
      </c>
      <c r="L302" s="70" t="s">
        <v>250</v>
      </c>
      <c r="M302" s="70"/>
      <c r="N302" s="68"/>
      <c r="O302" s="24" t="str">
        <f>IF(Q302=" _","NO","SI")</f>
        <v>NO</v>
      </c>
      <c r="P302" s="24" t="str">
        <f ca="1">IF(color_Celda(E302)=12106214,"ROSA",IF(color_Celda(E302)=65535,"AMARILLO",IF(color_Celda(E302)=5296274,"VERDE",IF(color_Celda(E302)=16777215,"BLANCO","NO SE"))))</f>
        <v>AMARILLO</v>
      </c>
      <c r="Q302" s="70" t="s">
        <v>108</v>
      </c>
      <c r="R302" s="170" t="str">
        <f>VLOOKUP($Q302,Resultados!$A$1:$B$49,2,FALSE)</f>
        <v xml:space="preserve"> _</v>
      </c>
      <c r="S302" s="70"/>
      <c r="T302" s="73"/>
      <c r="U302" s="73"/>
      <c r="V302" s="68"/>
      <c r="W302" s="68"/>
      <c r="X302" s="68"/>
      <c r="Y302" s="64"/>
      <c r="Z302" s="68"/>
      <c r="AA302" s="68"/>
      <c r="AB302" s="68"/>
      <c r="AC302" s="68"/>
      <c r="AD302" s="68"/>
      <c r="AE302" s="142"/>
      <c r="AF302" s="145">
        <v>7</v>
      </c>
      <c r="AG302" s="146"/>
      <c r="AH302" s="146">
        <v>0</v>
      </c>
      <c r="AI302" s="146"/>
      <c r="AJ302" s="126" t="s">
        <v>988</v>
      </c>
      <c r="AK302" s="133"/>
      <c r="AL302" s="129" t="s">
        <v>1627</v>
      </c>
      <c r="AM302" s="431" t="str">
        <f>VLOOKUP($Q302,Resultados!$A$1:$C$49,3,FALSE)</f>
        <v>TRAMITE</v>
      </c>
    </row>
    <row r="303" spans="1:39" customFormat="1" ht="38.25">
      <c r="A303" s="364">
        <v>115</v>
      </c>
      <c r="B303" s="69">
        <v>45232</v>
      </c>
      <c r="C303" s="329">
        <v>0.33333333333333331</v>
      </c>
      <c r="D303" s="70" t="s">
        <v>566</v>
      </c>
      <c r="E303" s="92" t="s">
        <v>567</v>
      </c>
      <c r="F303" s="68">
        <v>4</v>
      </c>
      <c r="G303" s="68" t="s">
        <v>325</v>
      </c>
      <c r="H303" s="69"/>
      <c r="I303" s="69"/>
      <c r="J303" s="69"/>
      <c r="K303" s="68" t="s">
        <v>1480</v>
      </c>
      <c r="L303" s="70" t="s">
        <v>250</v>
      </c>
      <c r="M303" s="70"/>
      <c r="N303" s="101" t="s">
        <v>1858</v>
      </c>
      <c r="O303" s="24" t="str">
        <f>IF(Q303=" _","NO","SI")</f>
        <v>NO</v>
      </c>
      <c r="P303" s="24" t="str">
        <f ca="1">IF(color_Celda(E303)=12106214,"ROSA",IF(color_Celda(E303)=65535,"AMARILLO",IF(color_Celda(E303)=5296274,"VERDE",IF(color_Celda(E303)=16777215,"BLANCO","NO SE"))))</f>
        <v>AMARILLO</v>
      </c>
      <c r="Q303" s="70" t="s">
        <v>108</v>
      </c>
      <c r="R303" s="170" t="str">
        <f>VLOOKUP($Q303,Resultados!$A$1:$B$49,2,FALSE)</f>
        <v xml:space="preserve"> _</v>
      </c>
      <c r="S303" s="70"/>
      <c r="T303" s="73"/>
      <c r="U303" s="73"/>
      <c r="V303" s="68"/>
      <c r="W303" s="68"/>
      <c r="X303" s="68"/>
      <c r="Y303" s="64"/>
      <c r="Z303" s="68"/>
      <c r="AA303" s="68"/>
      <c r="AB303" s="68"/>
      <c r="AC303" s="68"/>
      <c r="AD303" s="68"/>
      <c r="AE303" s="142"/>
      <c r="AF303" s="145">
        <v>7</v>
      </c>
      <c r="AG303" s="146"/>
      <c r="AH303" s="146">
        <v>0</v>
      </c>
      <c r="AI303" s="146"/>
      <c r="AJ303" s="126" t="s">
        <v>988</v>
      </c>
      <c r="AK303" s="133"/>
      <c r="AL303" s="129" t="s">
        <v>1627</v>
      </c>
      <c r="AM303" s="431" t="str">
        <f>VLOOKUP($Q303,Resultados!$A$1:$C$49,3,FALSE)</f>
        <v>TRAMITE</v>
      </c>
    </row>
    <row r="304" spans="1:39" customFormat="1" ht="76.5">
      <c r="A304" s="364">
        <v>116</v>
      </c>
      <c r="B304" s="69">
        <v>45232</v>
      </c>
      <c r="C304" s="329">
        <v>0.33333333333333331</v>
      </c>
      <c r="D304" s="70" t="s">
        <v>568</v>
      </c>
      <c r="E304" s="92" t="s">
        <v>2681</v>
      </c>
      <c r="F304" s="68">
        <v>6</v>
      </c>
      <c r="G304" s="68" t="s">
        <v>326</v>
      </c>
      <c r="H304" s="69"/>
      <c r="I304" s="69"/>
      <c r="J304" s="69"/>
      <c r="K304" s="68" t="s">
        <v>1480</v>
      </c>
      <c r="L304" s="70" t="s">
        <v>2172</v>
      </c>
      <c r="M304" s="70"/>
      <c r="N304" s="68" t="s">
        <v>2577</v>
      </c>
      <c r="O304" s="137" t="str">
        <f>IF(Q304=" _","NO","SI")</f>
        <v>NO</v>
      </c>
      <c r="P304" s="24" t="str">
        <f ca="1">IF(color_Celda(E304)=12106214,"ROSA",IF(color_Celda(E304)=65535,"AMARILLO",IF(color_Celda(E304)=5296274,"VERDE",IF(color_Celda(E304)=16777215,"BLANCO","NO SE"))))</f>
        <v>AMARILLO</v>
      </c>
      <c r="Q304" s="70" t="s">
        <v>108</v>
      </c>
      <c r="R304" s="170" t="str">
        <f>VLOOKUP($Q304,Resultados!$A$1:$B$49,2,FALSE)</f>
        <v xml:space="preserve"> _</v>
      </c>
      <c r="S304" s="70"/>
      <c r="T304" s="73"/>
      <c r="U304" s="73"/>
      <c r="V304" s="68"/>
      <c r="W304" s="68"/>
      <c r="X304" s="68"/>
      <c r="Y304" s="199"/>
      <c r="Z304" s="68"/>
      <c r="AA304" s="68"/>
      <c r="AB304" s="68"/>
      <c r="AC304" s="68"/>
      <c r="AD304" s="68"/>
      <c r="AE304" s="142"/>
      <c r="AF304" s="145">
        <v>7</v>
      </c>
      <c r="AG304" s="146"/>
      <c r="AH304" s="146">
        <v>0</v>
      </c>
      <c r="AI304" s="146"/>
      <c r="AJ304" s="126" t="s">
        <v>988</v>
      </c>
      <c r="AK304" s="135"/>
      <c r="AL304" s="151" t="s">
        <v>1627</v>
      </c>
      <c r="AM304" s="431" t="str">
        <f>VLOOKUP($Q304,Resultados!$A$1:$C$49,3,FALSE)</f>
        <v>TRAMITE</v>
      </c>
    </row>
    <row r="305" spans="1:39" customFormat="1" ht="165.75">
      <c r="A305" s="364">
        <v>117</v>
      </c>
      <c r="B305" s="69">
        <v>45232</v>
      </c>
      <c r="C305" s="329">
        <v>0.33333333333333331</v>
      </c>
      <c r="D305" s="70" t="s">
        <v>569</v>
      </c>
      <c r="E305" s="92" t="s">
        <v>570</v>
      </c>
      <c r="F305" s="68">
        <v>6</v>
      </c>
      <c r="G305" s="68" t="s">
        <v>326</v>
      </c>
      <c r="H305" s="69"/>
      <c r="I305" s="69"/>
      <c r="J305" s="69"/>
      <c r="K305" s="68" t="s">
        <v>1480</v>
      </c>
      <c r="L305" s="70" t="s">
        <v>42</v>
      </c>
      <c r="M305" s="70" t="s">
        <v>2314</v>
      </c>
      <c r="N305" s="68" t="s">
        <v>2315</v>
      </c>
      <c r="O305" s="24" t="str">
        <f>IF(Q305=" _","NO","SI")</f>
        <v>NO</v>
      </c>
      <c r="P305" s="24" t="str">
        <f ca="1">IF(color_Celda(E305)=12106214,"ROSA",IF(color_Celda(E305)=65535,"AMARILLO",IF(color_Celda(E305)=5296274,"VERDE",IF(color_Celda(E305)=16777215,"BLANCO","NO SE"))))</f>
        <v>AMARILLO</v>
      </c>
      <c r="Q305" s="70" t="s">
        <v>108</v>
      </c>
      <c r="R305" s="170" t="str">
        <f>VLOOKUP($Q305,Resultados!$A$1:$B$49,2,FALSE)</f>
        <v xml:space="preserve"> _</v>
      </c>
      <c r="S305" s="70"/>
      <c r="T305" s="73"/>
      <c r="U305" s="73"/>
      <c r="V305" s="68"/>
      <c r="W305" s="68"/>
      <c r="X305" s="68"/>
      <c r="Y305" s="64"/>
      <c r="Z305" s="68"/>
      <c r="AA305" s="68"/>
      <c r="AB305" s="68"/>
      <c r="AC305" s="68"/>
      <c r="AD305" s="68"/>
      <c r="AE305" s="142"/>
      <c r="AF305" s="145">
        <v>7</v>
      </c>
      <c r="AG305" s="146"/>
      <c r="AH305" s="146">
        <v>0</v>
      </c>
      <c r="AI305" s="146"/>
      <c r="AJ305" s="126" t="s">
        <v>988</v>
      </c>
      <c r="AK305" s="135"/>
      <c r="AL305" s="151" t="s">
        <v>1627</v>
      </c>
      <c r="AM305" s="431" t="str">
        <f>VLOOKUP($Q305,Resultados!$A$1:$C$49,3,FALSE)</f>
        <v>TRAMITE</v>
      </c>
    </row>
    <row r="306" spans="1:39" customFormat="1" ht="102">
      <c r="A306" s="372">
        <v>118</v>
      </c>
      <c r="B306" s="85">
        <v>45232</v>
      </c>
      <c r="C306" s="326">
        <v>0.4284722222222222</v>
      </c>
      <c r="D306" s="79" t="s">
        <v>573</v>
      </c>
      <c r="E306" s="88" t="s">
        <v>574</v>
      </c>
      <c r="F306" s="74">
        <v>6</v>
      </c>
      <c r="G306" s="74" t="s">
        <v>326</v>
      </c>
      <c r="H306" s="85"/>
      <c r="I306" s="85"/>
      <c r="J306" s="85"/>
      <c r="K306" s="74" t="s">
        <v>1480</v>
      </c>
      <c r="L306" s="79" t="s">
        <v>86</v>
      </c>
      <c r="M306" s="79"/>
      <c r="N306" s="74" t="s">
        <v>2945</v>
      </c>
      <c r="O306" s="24" t="str">
        <f>IF(Q306=" _","NO","SI")</f>
        <v>SI</v>
      </c>
      <c r="P306" s="24" t="str">
        <f ca="1">IF(color_Celda(E306)=12106214,"ROSA",IF(color_Celda(E306)=65535,"AMARILLO",IF(color_Celda(E306)=5296274,"VERDE",IF(color_Celda(E306)=16777215,"BLANCO","NO SE"))))</f>
        <v>ROSA</v>
      </c>
      <c r="Q306" s="79" t="s">
        <v>2437</v>
      </c>
      <c r="R306" s="4" t="str">
        <f>VLOOKUP($Q306,Resultados!$A$1:$B$49,2,FALSE)</f>
        <v>DEVUELTA AL JUZGADO DE ORIGEN</v>
      </c>
      <c r="S306" s="79"/>
      <c r="T306" s="86"/>
      <c r="U306" s="86"/>
      <c r="V306" s="74"/>
      <c r="W306" s="74"/>
      <c r="X306" s="74"/>
      <c r="Y306" s="64"/>
      <c r="Z306" s="74"/>
      <c r="AA306" s="74"/>
      <c r="AB306" s="74"/>
      <c r="AC306" s="74"/>
      <c r="AD306" s="74"/>
      <c r="AE306" s="140"/>
      <c r="AF306" s="81">
        <v>7</v>
      </c>
      <c r="AG306" s="76"/>
      <c r="AH306" s="76">
        <v>0</v>
      </c>
      <c r="AI306" s="76"/>
      <c r="AJ306" s="125" t="s">
        <v>988</v>
      </c>
      <c r="AK306" s="153"/>
      <c r="AL306" s="139" t="s">
        <v>1628</v>
      </c>
      <c r="AM306" s="431" t="str">
        <f>VLOOKUP($Q306,Resultados!$A$1:$C$49,3,FALSE)</f>
        <v>DEVUELTA</v>
      </c>
    </row>
    <row r="307" spans="1:39" customFormat="1" ht="76.5">
      <c r="A307" s="364">
        <v>119</v>
      </c>
      <c r="B307" s="398">
        <v>45232</v>
      </c>
      <c r="C307" s="400">
        <v>0.42777777777777781</v>
      </c>
      <c r="D307" s="240" t="s">
        <v>575</v>
      </c>
      <c r="E307" s="403" t="s">
        <v>576</v>
      </c>
      <c r="F307" s="146">
        <v>6</v>
      </c>
      <c r="G307" s="146" t="s">
        <v>326</v>
      </c>
      <c r="H307" s="398"/>
      <c r="I307" s="398"/>
      <c r="J307" s="398"/>
      <c r="K307" s="146" t="s">
        <v>1480</v>
      </c>
      <c r="L307" s="240" t="s">
        <v>83</v>
      </c>
      <c r="M307" s="240" t="s">
        <v>46</v>
      </c>
      <c r="N307" s="146" t="s">
        <v>2218</v>
      </c>
      <c r="O307" s="24" t="str">
        <f>IF(Q307=" _","NO","SI")</f>
        <v>NO</v>
      </c>
      <c r="P307" s="24" t="str">
        <f ca="1">IF(color_Celda(E307)=12106214,"ROSA",IF(color_Celda(E307)=65535,"AMARILLO",IF(color_Celda(E307)=5296274,"VERDE",IF(color_Celda(E307)=16777215,"BLANCO","NO SE"))))</f>
        <v>AMARILLO</v>
      </c>
      <c r="Q307" s="240" t="s">
        <v>108</v>
      </c>
      <c r="R307" s="267" t="str">
        <f>VLOOKUP($Q307,Resultados!$A$1:$B$49,2,FALSE)</f>
        <v xml:space="preserve"> _</v>
      </c>
      <c r="S307" s="240"/>
      <c r="T307" s="411"/>
      <c r="U307" s="411"/>
      <c r="V307" s="146"/>
      <c r="W307" s="146"/>
      <c r="X307" s="146"/>
      <c r="Y307" s="64"/>
      <c r="Z307" s="146"/>
      <c r="AA307" s="146"/>
      <c r="AB307" s="146"/>
      <c r="AC307" s="146"/>
      <c r="AD307" s="146"/>
      <c r="AE307" s="413"/>
      <c r="AF307" s="145">
        <v>7</v>
      </c>
      <c r="AG307" s="146"/>
      <c r="AH307" s="146">
        <v>0</v>
      </c>
      <c r="AI307" s="146"/>
      <c r="AJ307" s="124" t="s">
        <v>988</v>
      </c>
      <c r="AK307" s="135"/>
      <c r="AL307" s="151" t="s">
        <v>1627</v>
      </c>
      <c r="AM307" s="431" t="str">
        <f>VLOOKUP($Q307,Resultados!$A$1:$C$49,3,FALSE)</f>
        <v>TRAMITE</v>
      </c>
    </row>
    <row r="308" spans="1:39" customFormat="1" ht="38.25">
      <c r="A308" s="364">
        <v>120</v>
      </c>
      <c r="B308" s="69">
        <v>45232</v>
      </c>
      <c r="C308" s="329">
        <v>0.43263888888888885</v>
      </c>
      <c r="D308" s="70" t="s">
        <v>577</v>
      </c>
      <c r="E308" s="92" t="s">
        <v>578</v>
      </c>
      <c r="F308" s="68">
        <v>6</v>
      </c>
      <c r="G308" s="68" t="s">
        <v>326</v>
      </c>
      <c r="H308" s="69"/>
      <c r="I308" s="69"/>
      <c r="J308" s="69"/>
      <c r="K308" s="68" t="s">
        <v>1480</v>
      </c>
      <c r="L308" s="70" t="s">
        <v>77</v>
      </c>
      <c r="M308" s="70" t="s">
        <v>131</v>
      </c>
      <c r="N308" s="68" t="s">
        <v>2295</v>
      </c>
      <c r="O308" s="24" t="str">
        <f>IF(Q308=" _","NO","SI")</f>
        <v>NO</v>
      </c>
      <c r="P308" s="24" t="str">
        <f ca="1">IF(color_Celda(E308)=12106214,"ROSA",IF(color_Celda(E308)=65535,"AMARILLO",IF(color_Celda(E308)=5296274,"VERDE",IF(color_Celda(E308)=16777215,"BLANCO","NO SE"))))</f>
        <v>AMARILLO</v>
      </c>
      <c r="Q308" s="70" t="s">
        <v>108</v>
      </c>
      <c r="R308" s="267" t="str">
        <f>VLOOKUP($Q308,Resultados!$A$1:$B$49,2,FALSE)</f>
        <v xml:space="preserve"> _</v>
      </c>
      <c r="S308" s="70"/>
      <c r="T308" s="73"/>
      <c r="U308" s="73"/>
      <c r="V308" s="68"/>
      <c r="W308" s="68"/>
      <c r="X308" s="68"/>
      <c r="Y308" s="64"/>
      <c r="Z308" s="68"/>
      <c r="AA308" s="68"/>
      <c r="AB308" s="68"/>
      <c r="AC308" s="68"/>
      <c r="AD308" s="68"/>
      <c r="AE308" s="142"/>
      <c r="AF308" s="145">
        <v>7</v>
      </c>
      <c r="AG308" s="146"/>
      <c r="AH308" s="146">
        <v>0</v>
      </c>
      <c r="AI308" s="146"/>
      <c r="AJ308" s="126" t="s">
        <v>988</v>
      </c>
      <c r="AK308" s="135"/>
      <c r="AL308" s="151" t="s">
        <v>1627</v>
      </c>
      <c r="AM308" s="431" t="str">
        <f>VLOOKUP($Q308,Resultados!$A$1:$C$49,3,FALSE)</f>
        <v>TRAMITE</v>
      </c>
    </row>
    <row r="309" spans="1:39" customFormat="1" ht="51">
      <c r="A309" s="364">
        <v>121</v>
      </c>
      <c r="B309" s="69">
        <v>45232</v>
      </c>
      <c r="C309" s="329">
        <v>0.4381944444444445</v>
      </c>
      <c r="D309" s="70" t="s">
        <v>579</v>
      </c>
      <c r="E309" s="92" t="s">
        <v>580</v>
      </c>
      <c r="F309" s="68">
        <v>2</v>
      </c>
      <c r="G309" s="68" t="s">
        <v>325</v>
      </c>
      <c r="H309" s="69"/>
      <c r="I309" s="69"/>
      <c r="J309" s="69"/>
      <c r="K309" s="68" t="s">
        <v>1480</v>
      </c>
      <c r="L309" s="70" t="s">
        <v>87</v>
      </c>
      <c r="M309" s="70" t="s">
        <v>2385</v>
      </c>
      <c r="N309" s="68" t="s">
        <v>1342</v>
      </c>
      <c r="O309" s="24" t="str">
        <f>IF(Q309=" _","NO","SI")</f>
        <v>NO</v>
      </c>
      <c r="P309" s="24" t="str">
        <f ca="1">IF(color_Celda(E309)=12106214,"ROSA",IF(color_Celda(E309)=65535,"AMARILLO",IF(color_Celda(E309)=5296274,"VERDE",IF(color_Celda(E309)=16777215,"BLANCO","NO SE"))))</f>
        <v>AMARILLO</v>
      </c>
      <c r="Q309" s="70" t="s">
        <v>108</v>
      </c>
      <c r="R309" s="267" t="str">
        <f>VLOOKUP($Q309,Resultados!$A$1:$B$49,2,FALSE)</f>
        <v xml:space="preserve"> _</v>
      </c>
      <c r="S309" s="70"/>
      <c r="T309" s="73"/>
      <c r="U309" s="73"/>
      <c r="V309" s="68"/>
      <c r="W309" s="68"/>
      <c r="X309" s="68"/>
      <c r="Y309" s="64"/>
      <c r="Z309" s="68"/>
      <c r="AA309" s="68"/>
      <c r="AB309" s="68"/>
      <c r="AC309" s="68"/>
      <c r="AD309" s="68"/>
      <c r="AE309" s="142"/>
      <c r="AF309" s="145">
        <v>7</v>
      </c>
      <c r="AG309" s="146"/>
      <c r="AH309" s="146">
        <v>0</v>
      </c>
      <c r="AI309" s="146"/>
      <c r="AJ309" s="126" t="s">
        <v>988</v>
      </c>
      <c r="AK309" s="135"/>
      <c r="AL309" s="151" t="s">
        <v>1627</v>
      </c>
      <c r="AM309" s="431" t="str">
        <f>VLOOKUP($Q309,Resultados!$A$1:$C$49,3,FALSE)</f>
        <v>TRAMITE</v>
      </c>
    </row>
    <row r="310" spans="1:39" customFormat="1" ht="38.25">
      <c r="A310" s="364">
        <v>126</v>
      </c>
      <c r="B310" s="69">
        <v>45233</v>
      </c>
      <c r="C310" s="329">
        <v>0.39513888888888887</v>
      </c>
      <c r="D310" s="70" t="s">
        <v>589</v>
      </c>
      <c r="E310" s="92" t="s">
        <v>590</v>
      </c>
      <c r="F310" s="68">
        <v>2</v>
      </c>
      <c r="G310" s="68" t="s">
        <v>325</v>
      </c>
      <c r="H310" s="69"/>
      <c r="I310" s="69"/>
      <c r="J310" s="69"/>
      <c r="K310" s="68" t="s">
        <v>1480</v>
      </c>
      <c r="L310" s="70" t="s">
        <v>82</v>
      </c>
      <c r="M310" s="70" t="s">
        <v>2432</v>
      </c>
      <c r="N310" s="68" t="s">
        <v>2431</v>
      </c>
      <c r="O310" s="137" t="str">
        <f>IF(Q310=" _","NO","SI")</f>
        <v>NO</v>
      </c>
      <c r="P310" s="24" t="str">
        <f ca="1">IF(color_Celda(E310)=12106214,"ROSA",IF(color_Celda(E310)=65535,"AMARILLO",IF(color_Celda(E310)=5296274,"VERDE",IF(color_Celda(E310)=16777215,"BLANCO","NO SE"))))</f>
        <v>AMARILLO</v>
      </c>
      <c r="Q310" s="70" t="s">
        <v>108</v>
      </c>
      <c r="R310" s="267" t="str">
        <f>VLOOKUP($Q310,Resultados!$A$1:$B$49,2,FALSE)</f>
        <v xml:space="preserve"> _</v>
      </c>
      <c r="S310" s="70"/>
      <c r="T310" s="73"/>
      <c r="U310" s="73"/>
      <c r="V310" s="68"/>
      <c r="W310" s="68"/>
      <c r="X310" s="68"/>
      <c r="Y310" s="64"/>
      <c r="Z310" s="68"/>
      <c r="AA310" s="68"/>
      <c r="AB310" s="68"/>
      <c r="AC310" s="68"/>
      <c r="AD310" s="68"/>
      <c r="AE310" s="142"/>
      <c r="AF310" s="145">
        <v>7</v>
      </c>
      <c r="AG310" s="146"/>
      <c r="AH310" s="146">
        <v>0</v>
      </c>
      <c r="AI310" s="146"/>
      <c r="AJ310" s="126" t="s">
        <v>988</v>
      </c>
      <c r="AK310" s="134"/>
      <c r="AL310" s="151" t="s">
        <v>1627</v>
      </c>
      <c r="AM310" s="431" t="str">
        <f>VLOOKUP($Q310,Resultados!$A$1:$C$49,3,FALSE)</f>
        <v>TRAMITE</v>
      </c>
    </row>
    <row r="311" spans="1:39" customFormat="1" ht="89.25">
      <c r="A311" s="364">
        <v>128</v>
      </c>
      <c r="B311" s="69">
        <v>45233</v>
      </c>
      <c r="C311" s="329">
        <v>0.375</v>
      </c>
      <c r="D311" s="70" t="s">
        <v>593</v>
      </c>
      <c r="E311" s="92" t="s">
        <v>594</v>
      </c>
      <c r="F311" s="68">
        <v>2</v>
      </c>
      <c r="G311" s="68" t="s">
        <v>325</v>
      </c>
      <c r="H311" s="69"/>
      <c r="I311" s="69"/>
      <c r="J311" s="69"/>
      <c r="K311" s="68" t="s">
        <v>1480</v>
      </c>
      <c r="L311" s="70" t="s">
        <v>250</v>
      </c>
      <c r="M311" s="70" t="s">
        <v>45</v>
      </c>
      <c r="N311" s="68" t="s">
        <v>3228</v>
      </c>
      <c r="O311" s="24" t="str">
        <f>IF(Q311=" _","NO","SI")</f>
        <v>NO</v>
      </c>
      <c r="P311" s="24" t="str">
        <f ca="1">IF(color_Celda(E311)=12106214,"ROSA",IF(color_Celda(E311)=65535,"AMARILLO",IF(color_Celda(E311)=5296274,"VERDE",IF(color_Celda(E311)=16777215,"BLANCO","NO SE"))))</f>
        <v>AMARILLO</v>
      </c>
      <c r="Q311" s="70" t="s">
        <v>108</v>
      </c>
      <c r="R311" s="267" t="str">
        <f>VLOOKUP($Q311,Resultados!$A$1:$B$49,2,FALSE)</f>
        <v xml:space="preserve"> _</v>
      </c>
      <c r="S311" s="70"/>
      <c r="T311" s="73"/>
      <c r="U311" s="73"/>
      <c r="V311" s="68"/>
      <c r="W311" s="68"/>
      <c r="X311" s="68"/>
      <c r="Y311" s="64"/>
      <c r="Z311" s="68"/>
      <c r="AA311" s="68"/>
      <c r="AB311" s="68"/>
      <c r="AC311" s="68"/>
      <c r="AD311" s="68"/>
      <c r="AE311" s="142"/>
      <c r="AF311" s="145">
        <v>7</v>
      </c>
      <c r="AG311" s="146"/>
      <c r="AH311" s="146">
        <v>0</v>
      </c>
      <c r="AI311" s="146"/>
      <c r="AJ311" s="126" t="s">
        <v>988</v>
      </c>
      <c r="AK311" s="134"/>
      <c r="AL311" s="151" t="s">
        <v>1627</v>
      </c>
      <c r="AM311" s="431" t="str">
        <f>VLOOKUP($Q311,Resultados!$A$1:$C$49,3,FALSE)</f>
        <v>TRAMITE</v>
      </c>
    </row>
    <row r="312" spans="1:39" customFormat="1" ht="38.25">
      <c r="A312" s="364">
        <v>129</v>
      </c>
      <c r="B312" s="69">
        <v>45233</v>
      </c>
      <c r="C312" s="329">
        <v>0.3743055555555555</v>
      </c>
      <c r="D312" s="70" t="s">
        <v>595</v>
      </c>
      <c r="E312" s="92" t="s">
        <v>596</v>
      </c>
      <c r="F312" s="68">
        <v>2</v>
      </c>
      <c r="G312" s="68" t="s">
        <v>325</v>
      </c>
      <c r="H312" s="69"/>
      <c r="I312" s="69"/>
      <c r="J312" s="69"/>
      <c r="K312" s="68" t="s">
        <v>1480</v>
      </c>
      <c r="L312" s="70" t="s">
        <v>80</v>
      </c>
      <c r="M312" s="70" t="s">
        <v>1355</v>
      </c>
      <c r="N312" s="68" t="s">
        <v>2271</v>
      </c>
      <c r="O312" s="24" t="str">
        <f>IF(Q312=" _","NO","SI")</f>
        <v>NO</v>
      </c>
      <c r="P312" s="24" t="str">
        <f ca="1">IF(color_Celda(E312)=12106214,"ROSA",IF(color_Celda(E312)=65535,"AMARILLO",IF(color_Celda(E312)=5296274,"VERDE",IF(color_Celda(E312)=16777215,"BLANCO","NO SE"))))</f>
        <v>AMARILLO</v>
      </c>
      <c r="Q312" s="70" t="s">
        <v>108</v>
      </c>
      <c r="R312" s="267" t="str">
        <f>VLOOKUP($Q312,Resultados!$A$1:$B$49,2,FALSE)</f>
        <v xml:space="preserve"> _</v>
      </c>
      <c r="S312" s="70"/>
      <c r="T312" s="73"/>
      <c r="U312" s="73"/>
      <c r="V312" s="68"/>
      <c r="W312" s="68"/>
      <c r="X312" s="68"/>
      <c r="Y312" s="64"/>
      <c r="Z312" s="68"/>
      <c r="AA312" s="68"/>
      <c r="AB312" s="68"/>
      <c r="AC312" s="68"/>
      <c r="AD312" s="68"/>
      <c r="AE312" s="142"/>
      <c r="AF312" s="145">
        <v>7</v>
      </c>
      <c r="AG312" s="146"/>
      <c r="AH312" s="146">
        <v>0</v>
      </c>
      <c r="AI312" s="146"/>
      <c r="AJ312" s="126" t="s">
        <v>988</v>
      </c>
      <c r="AK312" s="134"/>
      <c r="AL312" s="151" t="s">
        <v>1627</v>
      </c>
      <c r="AM312" s="431" t="str">
        <f>VLOOKUP($Q312,Resultados!$A$1:$C$49,3,FALSE)</f>
        <v>TRAMITE</v>
      </c>
    </row>
    <row r="313" spans="1:39" customFormat="1" ht="140.25">
      <c r="A313" s="364">
        <v>130</v>
      </c>
      <c r="B313" s="69">
        <v>45233</v>
      </c>
      <c r="C313" s="329">
        <v>0.37013888888888885</v>
      </c>
      <c r="D313" s="70" t="s">
        <v>329</v>
      </c>
      <c r="E313" s="92" t="s">
        <v>597</v>
      </c>
      <c r="F313" s="68">
        <v>7</v>
      </c>
      <c r="G313" s="68" t="s">
        <v>10</v>
      </c>
      <c r="H313" s="69"/>
      <c r="I313" s="69"/>
      <c r="J313" s="69"/>
      <c r="K313" s="68" t="s">
        <v>1480</v>
      </c>
      <c r="L313" s="70" t="s">
        <v>79</v>
      </c>
      <c r="M313" s="70" t="s">
        <v>632</v>
      </c>
      <c r="N313" s="68"/>
      <c r="O313" s="24" t="str">
        <f>IF(Q313=" _","NO","SI")</f>
        <v>NO</v>
      </c>
      <c r="P313" s="24" t="str">
        <f ca="1">IF(color_Celda(E313)=12106214,"ROSA",IF(color_Celda(E313)=65535,"AMARILLO",IF(color_Celda(E313)=5296274,"VERDE",IF(color_Celda(E313)=16777215,"BLANCO","NO SE"))))</f>
        <v>AMARILLO</v>
      </c>
      <c r="Q313" s="70" t="s">
        <v>108</v>
      </c>
      <c r="R313" s="267" t="str">
        <f>VLOOKUP($Q313,Resultados!$A$1:$B$49,2,FALSE)</f>
        <v xml:space="preserve"> _</v>
      </c>
      <c r="S313" s="70"/>
      <c r="T313" s="73"/>
      <c r="U313" s="73"/>
      <c r="V313" s="68"/>
      <c r="W313" s="68"/>
      <c r="X313" s="68"/>
      <c r="Y313" s="64"/>
      <c r="Z313" s="68"/>
      <c r="AA313" s="68"/>
      <c r="AB313" s="68"/>
      <c r="AC313" s="68"/>
      <c r="AD313" s="68"/>
      <c r="AE313" s="142"/>
      <c r="AF313" s="145">
        <v>7</v>
      </c>
      <c r="AG313" s="146"/>
      <c r="AH313" s="146">
        <v>0</v>
      </c>
      <c r="AI313" s="146"/>
      <c r="AJ313" s="361" t="s">
        <v>988</v>
      </c>
      <c r="AK313" s="131"/>
      <c r="AL313" s="129" t="s">
        <v>1627</v>
      </c>
      <c r="AM313" s="431" t="str">
        <f>VLOOKUP($Q313,Resultados!$A$1:$C$49,3,FALSE)</f>
        <v>TRAMITE</v>
      </c>
    </row>
    <row r="314" spans="1:39" customFormat="1" ht="38.25">
      <c r="A314" s="364">
        <v>131</v>
      </c>
      <c r="B314" s="69">
        <v>45233</v>
      </c>
      <c r="C314" s="329">
        <v>0.34930555555555554</v>
      </c>
      <c r="D314" s="70" t="s">
        <v>598</v>
      </c>
      <c r="E314" s="92" t="s">
        <v>599</v>
      </c>
      <c r="F314" s="68">
        <v>2</v>
      </c>
      <c r="G314" s="68" t="s">
        <v>325</v>
      </c>
      <c r="H314" s="69"/>
      <c r="I314" s="69"/>
      <c r="J314" s="69"/>
      <c r="K314" s="68" t="s">
        <v>1480</v>
      </c>
      <c r="L314" s="70" t="s">
        <v>25</v>
      </c>
      <c r="M314" s="70"/>
      <c r="N314" s="68" t="s">
        <v>2577</v>
      </c>
      <c r="O314" s="137" t="str">
        <f>IF(Q314=" _","NO","SI")</f>
        <v>NO</v>
      </c>
      <c r="P314" s="24" t="str">
        <f ca="1">IF(color_Celda(E314)=12106214,"ROSA",IF(color_Celda(E314)=65535,"AMARILLO",IF(color_Celda(E314)=5296274,"VERDE",IF(color_Celda(E314)=16777215,"BLANCO","NO SE"))))</f>
        <v>AMARILLO</v>
      </c>
      <c r="Q314" s="70" t="s">
        <v>108</v>
      </c>
      <c r="R314" s="267" t="str">
        <f>VLOOKUP($Q314,Resultados!$A$1:$B$49,2,FALSE)</f>
        <v xml:space="preserve"> _</v>
      </c>
      <c r="S314" s="70"/>
      <c r="T314" s="73"/>
      <c r="U314" s="73"/>
      <c r="V314" s="68"/>
      <c r="W314" s="68"/>
      <c r="X314" s="68"/>
      <c r="Y314" s="199"/>
      <c r="Z314" s="68"/>
      <c r="AA314" s="68"/>
      <c r="AB314" s="68"/>
      <c r="AC314" s="68"/>
      <c r="AD314" s="68"/>
      <c r="AE314" s="142"/>
      <c r="AF314" s="145">
        <v>7</v>
      </c>
      <c r="AG314" s="146"/>
      <c r="AH314" s="146">
        <v>0</v>
      </c>
      <c r="AI314" s="146"/>
      <c r="AJ314" s="126" t="s">
        <v>988</v>
      </c>
      <c r="AK314" s="134"/>
      <c r="AL314" s="151" t="s">
        <v>1627</v>
      </c>
      <c r="AM314" s="431" t="str">
        <f>VLOOKUP($Q314,Resultados!$A$1:$C$49,3,FALSE)</f>
        <v>TRAMITE</v>
      </c>
    </row>
    <row r="315" spans="1:39" customFormat="1" ht="38.25">
      <c r="A315" s="364">
        <v>132</v>
      </c>
      <c r="B315" s="69">
        <v>45233</v>
      </c>
      <c r="C315" s="329">
        <v>0.3347222222222222</v>
      </c>
      <c r="D315" s="70" t="s">
        <v>600</v>
      </c>
      <c r="E315" s="92" t="s">
        <v>601</v>
      </c>
      <c r="F315" s="68">
        <v>3</v>
      </c>
      <c r="G315" s="68" t="s">
        <v>1750</v>
      </c>
      <c r="H315" s="69"/>
      <c r="I315" s="69"/>
      <c r="J315" s="69"/>
      <c r="K315" s="68" t="s">
        <v>1480</v>
      </c>
      <c r="L315" s="70" t="s">
        <v>79</v>
      </c>
      <c r="M315" s="70" t="s">
        <v>61</v>
      </c>
      <c r="N315" s="68" t="s">
        <v>2559</v>
      </c>
      <c r="O315" s="24" t="str">
        <f>IF(Q315=" _","NO","SI")</f>
        <v>NO</v>
      </c>
      <c r="P315" s="24" t="str">
        <f ca="1">IF(color_Celda(E315)=12106214,"ROSA",IF(color_Celda(E315)=65535,"AMARILLO",IF(color_Celda(E315)=5296274,"VERDE",IF(color_Celda(E315)=16777215,"BLANCO","NO SE"))))</f>
        <v>AMARILLO</v>
      </c>
      <c r="Q315" s="70" t="s">
        <v>108</v>
      </c>
      <c r="R315" s="267" t="str">
        <f>VLOOKUP($Q315,Resultados!$A$1:$B$49,2,FALSE)</f>
        <v xml:space="preserve"> _</v>
      </c>
      <c r="S315" s="70"/>
      <c r="T315" s="73"/>
      <c r="U315" s="73"/>
      <c r="V315" s="68"/>
      <c r="W315" s="68"/>
      <c r="X315" s="68"/>
      <c r="Y315" s="64"/>
      <c r="Z315" s="68"/>
      <c r="AA315" s="68"/>
      <c r="AB315" s="68"/>
      <c r="AC315" s="68"/>
      <c r="AD315" s="68"/>
      <c r="AE315" s="142"/>
      <c r="AF315" s="145">
        <v>7</v>
      </c>
      <c r="AG315" s="146"/>
      <c r="AH315" s="146">
        <v>0</v>
      </c>
      <c r="AI315" s="146"/>
      <c r="AJ315" s="126" t="s">
        <v>988</v>
      </c>
      <c r="AK315" s="134"/>
      <c r="AL315" s="151" t="s">
        <v>1627</v>
      </c>
      <c r="AM315" s="431" t="str">
        <f>VLOOKUP($Q315,Resultados!$A$1:$C$49,3,FALSE)</f>
        <v>TRAMITE</v>
      </c>
    </row>
    <row r="316" spans="1:39" customFormat="1" ht="63.75">
      <c r="A316" s="364">
        <v>133</v>
      </c>
      <c r="B316" s="69">
        <v>45233</v>
      </c>
      <c r="C316" s="329">
        <v>0.33333333333333331</v>
      </c>
      <c r="D316" s="70" t="s">
        <v>602</v>
      </c>
      <c r="E316" s="92" t="s">
        <v>603</v>
      </c>
      <c r="F316" s="68">
        <v>3</v>
      </c>
      <c r="G316" s="68" t="s">
        <v>1750</v>
      </c>
      <c r="H316" s="69"/>
      <c r="I316" s="69"/>
      <c r="J316" s="69"/>
      <c r="K316" s="68" t="s">
        <v>1480</v>
      </c>
      <c r="L316" s="70" t="s">
        <v>74</v>
      </c>
      <c r="M316" s="70" t="s">
        <v>62</v>
      </c>
      <c r="N316" s="68"/>
      <c r="O316" s="24" t="str">
        <f>IF(Q316=" _","NO","SI")</f>
        <v>NO</v>
      </c>
      <c r="P316" s="24" t="str">
        <f ca="1">IF(color_Celda(E316)=12106214,"ROSA",IF(color_Celda(E316)=65535,"AMARILLO",IF(color_Celda(E316)=5296274,"VERDE",IF(color_Celda(E316)=16777215,"BLANCO","NO SE"))))</f>
        <v>AMARILLO</v>
      </c>
      <c r="Q316" s="70" t="s">
        <v>108</v>
      </c>
      <c r="R316" s="267" t="str">
        <f>VLOOKUP($Q316,Resultados!$A$1:$B$49,2,FALSE)</f>
        <v xml:space="preserve"> _</v>
      </c>
      <c r="S316" s="70"/>
      <c r="T316" s="73"/>
      <c r="U316" s="73"/>
      <c r="V316" s="68"/>
      <c r="W316" s="68"/>
      <c r="X316" s="68"/>
      <c r="Y316" s="64"/>
      <c r="Z316" s="68"/>
      <c r="AA316" s="68"/>
      <c r="AB316" s="68"/>
      <c r="AC316" s="68"/>
      <c r="AD316" s="68"/>
      <c r="AE316" s="142"/>
      <c r="AF316" s="145">
        <v>7</v>
      </c>
      <c r="AG316" s="146"/>
      <c r="AH316" s="146">
        <v>0</v>
      </c>
      <c r="AI316" s="146"/>
      <c r="AJ316" s="126" t="s">
        <v>988</v>
      </c>
      <c r="AK316" s="134"/>
      <c r="AL316" s="129" t="s">
        <v>1627</v>
      </c>
      <c r="AM316" s="431" t="str">
        <f>VLOOKUP($Q316,Resultados!$A$1:$C$49,3,FALSE)</f>
        <v>TRAMITE</v>
      </c>
    </row>
    <row r="317" spans="1:39" customFormat="1" ht="51">
      <c r="A317" s="364">
        <v>134</v>
      </c>
      <c r="B317" s="69">
        <v>45233</v>
      </c>
      <c r="C317" s="329">
        <v>0.33333333333333331</v>
      </c>
      <c r="D317" s="70" t="s">
        <v>604</v>
      </c>
      <c r="E317" s="92" t="s">
        <v>605</v>
      </c>
      <c r="F317" s="68">
        <v>3</v>
      </c>
      <c r="G317" s="68" t="s">
        <v>1750</v>
      </c>
      <c r="H317" s="69"/>
      <c r="I317" s="69"/>
      <c r="J317" s="69"/>
      <c r="K317" s="68" t="s">
        <v>1480</v>
      </c>
      <c r="L317" s="70" t="s">
        <v>2172</v>
      </c>
      <c r="M317" s="70" t="s">
        <v>260</v>
      </c>
      <c r="N317" s="68"/>
      <c r="O317" s="24" t="str">
        <f>IF(Q317=" _","NO","SI")</f>
        <v>NO</v>
      </c>
      <c r="P317" s="24" t="str">
        <f ca="1">IF(color_Celda(E317)=12106214,"ROSA",IF(color_Celda(E317)=65535,"AMARILLO",IF(color_Celda(E317)=5296274,"VERDE",IF(color_Celda(E317)=16777215,"BLANCO","NO SE"))))</f>
        <v>AMARILLO</v>
      </c>
      <c r="Q317" s="70" t="s">
        <v>108</v>
      </c>
      <c r="R317" s="267" t="str">
        <f>VLOOKUP($Q317,Resultados!$A$1:$B$49,2,FALSE)</f>
        <v xml:space="preserve"> _</v>
      </c>
      <c r="S317" s="70"/>
      <c r="T317" s="73"/>
      <c r="U317" s="73"/>
      <c r="V317" s="68"/>
      <c r="W317" s="68"/>
      <c r="X317" s="68"/>
      <c r="Y317" s="64"/>
      <c r="Z317" s="68"/>
      <c r="AA317" s="68"/>
      <c r="AB317" s="68"/>
      <c r="AC317" s="68"/>
      <c r="AD317" s="68"/>
      <c r="AE317" s="142"/>
      <c r="AF317" s="145">
        <v>7</v>
      </c>
      <c r="AG317" s="146"/>
      <c r="AH317" s="146">
        <v>0</v>
      </c>
      <c r="AI317" s="146"/>
      <c r="AJ317" s="126" t="s">
        <v>988</v>
      </c>
      <c r="AK317" s="134"/>
      <c r="AL317" s="129" t="s">
        <v>1627</v>
      </c>
      <c r="AM317" s="431" t="str">
        <f>VLOOKUP($Q317,Resultados!$A$1:$C$49,3,FALSE)</f>
        <v>TRAMITE</v>
      </c>
    </row>
    <row r="318" spans="1:39" customFormat="1" ht="76.5">
      <c r="A318" s="364">
        <v>135</v>
      </c>
      <c r="B318" s="69">
        <v>45233</v>
      </c>
      <c r="C318" s="329">
        <v>0.40347222222222223</v>
      </c>
      <c r="D318" s="70" t="s">
        <v>606</v>
      </c>
      <c r="E318" s="92" t="s">
        <v>607</v>
      </c>
      <c r="F318" s="68">
        <v>2</v>
      </c>
      <c r="G318" s="68" t="s">
        <v>325</v>
      </c>
      <c r="H318" s="69"/>
      <c r="I318" s="69"/>
      <c r="J318" s="69"/>
      <c r="K318" s="68" t="s">
        <v>1480</v>
      </c>
      <c r="L318" s="70" t="s">
        <v>72</v>
      </c>
      <c r="M318" s="70" t="s">
        <v>45</v>
      </c>
      <c r="N318" s="68" t="s">
        <v>2271</v>
      </c>
      <c r="O318" s="24" t="str">
        <f>IF(Q318=" _","NO","SI")</f>
        <v>NO</v>
      </c>
      <c r="P318" s="24" t="str">
        <f ca="1">IF(color_Celda(E318)=12106214,"ROSA",IF(color_Celda(E318)=65535,"AMARILLO",IF(color_Celda(E318)=5296274,"VERDE",IF(color_Celda(E318)=16777215,"BLANCO","NO SE"))))</f>
        <v>AMARILLO</v>
      </c>
      <c r="Q318" s="70" t="s">
        <v>108</v>
      </c>
      <c r="R318" s="267" t="str">
        <f>VLOOKUP($Q318,Resultados!$A$1:$B$49,2,FALSE)</f>
        <v xml:space="preserve"> _</v>
      </c>
      <c r="S318" s="70"/>
      <c r="T318" s="73"/>
      <c r="U318" s="73"/>
      <c r="V318" s="68"/>
      <c r="W318" s="68"/>
      <c r="X318" s="68"/>
      <c r="Y318" s="64"/>
      <c r="Z318" s="68"/>
      <c r="AA318" s="68"/>
      <c r="AB318" s="68"/>
      <c r="AC318" s="68"/>
      <c r="AD318" s="68"/>
      <c r="AE318" s="142"/>
      <c r="AF318" s="145">
        <v>7</v>
      </c>
      <c r="AG318" s="146"/>
      <c r="AH318" s="146">
        <v>0</v>
      </c>
      <c r="AI318" s="146"/>
      <c r="AJ318" s="126" t="s">
        <v>988</v>
      </c>
      <c r="AK318" s="134"/>
      <c r="AL318" s="151" t="s">
        <v>1627</v>
      </c>
      <c r="AM318" s="431" t="str">
        <f>VLOOKUP($Q318,Resultados!$A$1:$C$49,3,FALSE)</f>
        <v>TRAMITE</v>
      </c>
    </row>
    <row r="319" spans="1:39" customFormat="1" ht="63.75">
      <c r="A319" s="364">
        <v>137</v>
      </c>
      <c r="B319" s="69">
        <v>45233</v>
      </c>
      <c r="C319" s="329">
        <v>0.4694444444444445</v>
      </c>
      <c r="D319" s="70" t="s">
        <v>2345</v>
      </c>
      <c r="E319" s="92" t="s">
        <v>2346</v>
      </c>
      <c r="F319" s="68">
        <v>2</v>
      </c>
      <c r="G319" s="68" t="s">
        <v>325</v>
      </c>
      <c r="H319" s="69"/>
      <c r="I319" s="69"/>
      <c r="J319" s="69"/>
      <c r="K319" s="68" t="s">
        <v>1480</v>
      </c>
      <c r="L319" s="70" t="s">
        <v>252</v>
      </c>
      <c r="M319" s="70" t="s">
        <v>1156</v>
      </c>
      <c r="N319" s="68" t="s">
        <v>1342</v>
      </c>
      <c r="O319" s="24" t="str">
        <f>IF(Q319=" _","NO","SI")</f>
        <v>NO</v>
      </c>
      <c r="P319" s="24" t="str">
        <f ca="1">IF(color_Celda(E319)=12106214,"ROSA",IF(color_Celda(E319)=65535,"AMARILLO",IF(color_Celda(E319)=5296274,"VERDE",IF(color_Celda(E319)=16777215,"BLANCO","NO SE"))))</f>
        <v>AMARILLO</v>
      </c>
      <c r="Q319" s="70" t="s">
        <v>108</v>
      </c>
      <c r="R319" s="267" t="str">
        <f>VLOOKUP($Q319,Resultados!$A$1:$B$49,2,FALSE)</f>
        <v xml:space="preserve"> _</v>
      </c>
      <c r="S319" s="70"/>
      <c r="T319" s="73"/>
      <c r="U319" s="73"/>
      <c r="V319" s="68"/>
      <c r="W319" s="68"/>
      <c r="X319" s="68"/>
      <c r="Y319" s="64"/>
      <c r="Z319" s="68"/>
      <c r="AA319" s="68"/>
      <c r="AB319" s="68"/>
      <c r="AC319" s="68"/>
      <c r="AD319" s="68"/>
      <c r="AE319" s="142"/>
      <c r="AF319" s="145">
        <v>7</v>
      </c>
      <c r="AG319" s="146"/>
      <c r="AH319" s="146">
        <v>0</v>
      </c>
      <c r="AI319" s="146"/>
      <c r="AJ319" s="126" t="s">
        <v>988</v>
      </c>
      <c r="AK319" s="134"/>
      <c r="AL319" s="151" t="s">
        <v>1627</v>
      </c>
      <c r="AM319" s="431" t="str">
        <f>VLOOKUP($Q319,Resultados!$A$1:$C$49,3,FALSE)</f>
        <v>TRAMITE</v>
      </c>
    </row>
    <row r="320" spans="1:39" customFormat="1" ht="25.5">
      <c r="A320" s="364">
        <v>138</v>
      </c>
      <c r="B320" s="69">
        <v>45233</v>
      </c>
      <c r="C320" s="329">
        <v>0.46527777777777773</v>
      </c>
      <c r="D320" s="70" t="s">
        <v>610</v>
      </c>
      <c r="E320" s="92" t="s">
        <v>611</v>
      </c>
      <c r="F320" s="68">
        <v>2</v>
      </c>
      <c r="G320" s="68" t="s">
        <v>325</v>
      </c>
      <c r="H320" s="69"/>
      <c r="I320" s="69"/>
      <c r="J320" s="69"/>
      <c r="K320" s="68" t="s">
        <v>1480</v>
      </c>
      <c r="L320" s="70" t="s">
        <v>25</v>
      </c>
      <c r="M320" s="70" t="s">
        <v>122</v>
      </c>
      <c r="N320" s="68" t="s">
        <v>2388</v>
      </c>
      <c r="O320" s="24" t="str">
        <f>IF(Q320=" _","NO","SI")</f>
        <v>NO</v>
      </c>
      <c r="P320" s="24" t="str">
        <f ca="1">IF(color_Celda(E320)=12106214,"ROSA",IF(color_Celda(E320)=65535,"AMARILLO",IF(color_Celda(E320)=5296274,"VERDE",IF(color_Celda(E320)=16777215,"BLANCO","NO SE"))))</f>
        <v>AMARILLO</v>
      </c>
      <c r="Q320" s="70" t="s">
        <v>108</v>
      </c>
      <c r="R320" s="267" t="str">
        <f>VLOOKUP($Q320,Resultados!$A$1:$B$49,2,FALSE)</f>
        <v xml:space="preserve"> _</v>
      </c>
      <c r="S320" s="70"/>
      <c r="T320" s="73"/>
      <c r="U320" s="73"/>
      <c r="V320" s="68"/>
      <c r="W320" s="68"/>
      <c r="X320" s="68"/>
      <c r="Y320" s="64"/>
      <c r="Z320" s="68"/>
      <c r="AA320" s="68"/>
      <c r="AB320" s="68"/>
      <c r="AC320" s="68"/>
      <c r="AD320" s="68"/>
      <c r="AE320" s="142"/>
      <c r="AF320" s="145">
        <v>7</v>
      </c>
      <c r="AG320" s="146"/>
      <c r="AH320" s="146">
        <v>0</v>
      </c>
      <c r="AI320" s="146"/>
      <c r="AJ320" s="126" t="s">
        <v>988</v>
      </c>
      <c r="AK320" s="134"/>
      <c r="AL320" s="151" t="s">
        <v>1627</v>
      </c>
      <c r="AM320" s="431" t="str">
        <f>VLOOKUP($Q320,Resultados!$A$1:$C$49,3,FALSE)</f>
        <v>TRAMITE</v>
      </c>
    </row>
    <row r="321" spans="1:39" customFormat="1" ht="38.25">
      <c r="A321" s="364">
        <v>140</v>
      </c>
      <c r="B321" s="69">
        <v>45233</v>
      </c>
      <c r="C321" s="329">
        <v>0.48819444444444443</v>
      </c>
      <c r="D321" s="70" t="s">
        <v>612</v>
      </c>
      <c r="E321" s="92" t="s">
        <v>613</v>
      </c>
      <c r="F321" s="68">
        <v>2</v>
      </c>
      <c r="G321" s="68" t="s">
        <v>325</v>
      </c>
      <c r="H321" s="69"/>
      <c r="I321" s="69"/>
      <c r="J321" s="69"/>
      <c r="K321" s="68" t="s">
        <v>1480</v>
      </c>
      <c r="L321" s="70" t="s">
        <v>77</v>
      </c>
      <c r="M321" s="70" t="s">
        <v>45</v>
      </c>
      <c r="N321" s="68"/>
      <c r="O321" s="24" t="str">
        <f>IF(Q321=" _","NO","SI")</f>
        <v>NO</v>
      </c>
      <c r="P321" s="24" t="str">
        <f ca="1">IF(color_Celda(E321)=12106214,"ROSA",IF(color_Celda(E321)=65535,"AMARILLO",IF(color_Celda(E321)=5296274,"VERDE",IF(color_Celda(E321)=16777215,"BLANCO","NO SE"))))</f>
        <v>AMARILLO</v>
      </c>
      <c r="Q321" s="70" t="s">
        <v>108</v>
      </c>
      <c r="R321" s="267" t="str">
        <f>VLOOKUP($Q321,Resultados!$A$1:$B$49,2,FALSE)</f>
        <v xml:space="preserve"> _</v>
      </c>
      <c r="S321" s="70"/>
      <c r="T321" s="73"/>
      <c r="U321" s="73"/>
      <c r="V321" s="68"/>
      <c r="W321" s="68"/>
      <c r="X321" s="68"/>
      <c r="Y321" s="64"/>
      <c r="Z321" s="68"/>
      <c r="AA321" s="68"/>
      <c r="AB321" s="68"/>
      <c r="AC321" s="68"/>
      <c r="AD321" s="68"/>
      <c r="AE321" s="142"/>
      <c r="AF321" s="145">
        <v>7</v>
      </c>
      <c r="AG321" s="146"/>
      <c r="AH321" s="146">
        <v>0</v>
      </c>
      <c r="AI321" s="146"/>
      <c r="AJ321" s="126" t="s">
        <v>988</v>
      </c>
      <c r="AK321" s="134"/>
      <c r="AL321" s="151" t="s">
        <v>1627</v>
      </c>
      <c r="AM321" s="431" t="str">
        <f>VLOOKUP($Q321,Resultados!$A$1:$C$49,3,FALSE)</f>
        <v>TRAMITE</v>
      </c>
    </row>
    <row r="322" spans="1:39" customFormat="1" ht="25.5">
      <c r="A322" s="364">
        <v>144</v>
      </c>
      <c r="B322" s="38">
        <v>45233</v>
      </c>
      <c r="C322" s="331">
        <v>0.44444444444444442</v>
      </c>
      <c r="D322" s="32" t="s">
        <v>2341</v>
      </c>
      <c r="E322" s="40" t="s">
        <v>2342</v>
      </c>
      <c r="F322" s="39">
        <v>4</v>
      </c>
      <c r="G322" s="39" t="s">
        <v>325</v>
      </c>
      <c r="H322" s="38"/>
      <c r="I322" s="38"/>
      <c r="J322" s="38"/>
      <c r="K322" s="39" t="str">
        <f>IFERROR(VLOOKUP(J322,Jueces!$A$1:$B$11,2,FALSE),"")</f>
        <v/>
      </c>
      <c r="L322" s="32" t="s">
        <v>72</v>
      </c>
      <c r="M322" s="32" t="s">
        <v>47</v>
      </c>
      <c r="N322" s="32" t="s">
        <v>1342</v>
      </c>
      <c r="O322" s="24" t="str">
        <f>IF(Q322=" _","NO","SI")</f>
        <v>NO</v>
      </c>
      <c r="P322" s="24" t="str">
        <f ca="1">IF(color_Celda(E322)=12106214,"ROSA",IF(color_Celda(E322)=65535,"AMARILLO",IF(color_Celda(E322)=5296274,"VERDE",IF(color_Celda(E322)=16777215,"BLANCO","NO SE"))))</f>
        <v>AMARILLO</v>
      </c>
      <c r="Q322" s="32" t="s">
        <v>108</v>
      </c>
      <c r="R322" s="267" t="str">
        <f>VLOOKUP($Q322,Resultados!$A$1:$B$49,2,FALSE)</f>
        <v xml:space="preserve"> _</v>
      </c>
      <c r="S322" s="32"/>
      <c r="T322" s="37"/>
      <c r="U322" s="37"/>
      <c r="V322" s="39"/>
      <c r="W322" s="39"/>
      <c r="X322" s="39"/>
      <c r="Y322" s="64"/>
      <c r="Z322" s="39"/>
      <c r="AA322" s="39"/>
      <c r="AB322" s="39"/>
      <c r="AC322" s="39"/>
      <c r="AD322" s="39"/>
      <c r="AE322" s="144"/>
      <c r="AF322" s="150"/>
      <c r="AG322" s="150"/>
      <c r="AH322" s="150"/>
      <c r="AI322" s="150"/>
      <c r="AJ322" s="128" t="s">
        <v>988</v>
      </c>
      <c r="AK322" s="136"/>
      <c r="AL322" s="151" t="s">
        <v>1627</v>
      </c>
      <c r="AM322" s="431" t="str">
        <f>VLOOKUP($Q322,Resultados!$A$1:$C$49,3,FALSE)</f>
        <v>TRAMITE</v>
      </c>
    </row>
    <row r="323" spans="1:39" customFormat="1" ht="25.5">
      <c r="A323" s="364">
        <v>145</v>
      </c>
      <c r="B323" s="38">
        <v>45233</v>
      </c>
      <c r="C323" s="337" t="s">
        <v>742</v>
      </c>
      <c r="D323" s="32" t="s">
        <v>2371</v>
      </c>
      <c r="E323" s="40" t="s">
        <v>2372</v>
      </c>
      <c r="F323" s="39">
        <v>2</v>
      </c>
      <c r="G323" s="32" t="s">
        <v>325</v>
      </c>
      <c r="H323" s="38"/>
      <c r="I323" s="38"/>
      <c r="J323" s="38"/>
      <c r="K323" s="39" t="str">
        <f>IFERROR(VLOOKUP(J323,Jueces!$A$1:$B$11,2,FALSE),"")</f>
        <v/>
      </c>
      <c r="L323" s="32" t="s">
        <v>73</v>
      </c>
      <c r="M323" s="32" t="s">
        <v>2373</v>
      </c>
      <c r="N323" s="32" t="s">
        <v>2271</v>
      </c>
      <c r="O323" s="24" t="str">
        <f>IF(Q323=" _","NO","SI")</f>
        <v>NO</v>
      </c>
      <c r="P323" s="24" t="str">
        <f ca="1">IF(color_Celda(E323)=12106214,"ROSA",IF(color_Celda(E323)=65535,"AMARILLO",IF(color_Celda(E323)=5296274,"VERDE",IF(color_Celda(E323)=16777215,"BLANCO","NO SE"))))</f>
        <v>AMARILLO</v>
      </c>
      <c r="Q323" s="32" t="s">
        <v>108</v>
      </c>
      <c r="R323" s="267" t="str">
        <f>VLOOKUP($Q323,Resultados!$A$1:$B$49,2,FALSE)</f>
        <v xml:space="preserve"> _</v>
      </c>
      <c r="S323" s="32"/>
      <c r="T323" s="37"/>
      <c r="U323" s="37"/>
      <c r="V323" s="39"/>
      <c r="W323" s="39"/>
      <c r="X323" s="39"/>
      <c r="Y323" s="64"/>
      <c r="Z323" s="39"/>
      <c r="AA323" s="39"/>
      <c r="AB323" s="39"/>
      <c r="AC323" s="39"/>
      <c r="AD323" s="39"/>
      <c r="AE323" s="144"/>
      <c r="AF323" s="150"/>
      <c r="AG323" s="150"/>
      <c r="AH323" s="150"/>
      <c r="AI323" s="150"/>
      <c r="AJ323" s="128" t="s">
        <v>988</v>
      </c>
      <c r="AK323" s="136"/>
      <c r="AL323" s="151" t="s">
        <v>1627</v>
      </c>
      <c r="AM323" s="431" t="str">
        <f>VLOOKUP($Q323,Resultados!$A$1:$C$49,3,FALSE)</f>
        <v>TRAMITE</v>
      </c>
    </row>
    <row r="324" spans="1:39" customFormat="1" ht="51">
      <c r="A324" s="364">
        <v>146</v>
      </c>
      <c r="B324" s="38">
        <v>45233</v>
      </c>
      <c r="C324" s="337" t="s">
        <v>860</v>
      </c>
      <c r="D324" s="32" t="s">
        <v>2324</v>
      </c>
      <c r="E324" s="40" t="s">
        <v>2325</v>
      </c>
      <c r="F324" s="39">
        <v>4</v>
      </c>
      <c r="G324" s="39" t="s">
        <v>325</v>
      </c>
      <c r="H324" s="38"/>
      <c r="I324" s="38"/>
      <c r="J324" s="38"/>
      <c r="K324" s="39" t="str">
        <f>IFERROR(VLOOKUP(J324,Jueces!$A$1:$B$11,2,FALSE),"")</f>
        <v/>
      </c>
      <c r="L324" s="32" t="s">
        <v>73</v>
      </c>
      <c r="M324" s="32" t="s">
        <v>47</v>
      </c>
      <c r="N324" s="32" t="s">
        <v>2271</v>
      </c>
      <c r="O324" s="24" t="str">
        <f>IF(Q324=" _","NO","SI")</f>
        <v>NO</v>
      </c>
      <c r="P324" s="24" t="str">
        <f ca="1">IF(color_Celda(E324)=12106214,"ROSA",IF(color_Celda(E324)=65535,"AMARILLO",IF(color_Celda(E324)=5296274,"VERDE",IF(color_Celda(E324)=16777215,"BLANCO","NO SE"))))</f>
        <v>AMARILLO</v>
      </c>
      <c r="Q324" s="32" t="s">
        <v>108</v>
      </c>
      <c r="R324" s="267" t="str">
        <f>VLOOKUP($Q324,Resultados!$A$1:$B$49,2,FALSE)</f>
        <v xml:space="preserve"> _</v>
      </c>
      <c r="S324" s="32"/>
      <c r="T324" s="37"/>
      <c r="U324" s="37"/>
      <c r="V324" s="39"/>
      <c r="W324" s="39"/>
      <c r="X324" s="39"/>
      <c r="Y324" s="64"/>
      <c r="Z324" s="39"/>
      <c r="AA324" s="39"/>
      <c r="AB324" s="39"/>
      <c r="AC324" s="39"/>
      <c r="AD324" s="39"/>
      <c r="AE324" s="144"/>
      <c r="AF324" s="150"/>
      <c r="AG324" s="150"/>
      <c r="AH324" s="150"/>
      <c r="AI324" s="150"/>
      <c r="AJ324" s="128" t="s">
        <v>988</v>
      </c>
      <c r="AK324" s="136"/>
      <c r="AL324" s="151" t="s">
        <v>1627</v>
      </c>
      <c r="AM324" s="431" t="str">
        <f>VLOOKUP($Q324,Resultados!$A$1:$C$49,3,FALSE)</f>
        <v>TRAMITE</v>
      </c>
    </row>
    <row r="325" spans="1:39" customFormat="1" ht="38.25">
      <c r="A325" s="364">
        <v>147</v>
      </c>
      <c r="B325" s="38">
        <v>45233</v>
      </c>
      <c r="C325" s="337" t="s">
        <v>860</v>
      </c>
      <c r="D325" s="32" t="s">
        <v>2326</v>
      </c>
      <c r="E325" s="40" t="s">
        <v>2327</v>
      </c>
      <c r="F325" s="39">
        <v>4</v>
      </c>
      <c r="G325" s="39" t="s">
        <v>325</v>
      </c>
      <c r="H325" s="38"/>
      <c r="I325" s="38"/>
      <c r="J325" s="38"/>
      <c r="K325" s="39" t="str">
        <f>IFERROR(VLOOKUP(J325,Jueces!$A$1:$B$11,2,FALSE),"")</f>
        <v/>
      </c>
      <c r="L325" s="32" t="s">
        <v>78</v>
      </c>
      <c r="M325" s="32" t="s">
        <v>2328</v>
      </c>
      <c r="N325" s="32" t="s">
        <v>2271</v>
      </c>
      <c r="O325" s="24" t="str">
        <f>IF(Q325=" _","NO","SI")</f>
        <v>NO</v>
      </c>
      <c r="P325" s="24" t="str">
        <f ca="1">IF(color_Celda(E325)=12106214,"ROSA",IF(color_Celda(E325)=65535,"AMARILLO",IF(color_Celda(E325)=5296274,"VERDE",IF(color_Celda(E325)=16777215,"BLANCO","NO SE"))))</f>
        <v>AMARILLO</v>
      </c>
      <c r="Q325" s="32" t="s">
        <v>108</v>
      </c>
      <c r="R325" s="267" t="str">
        <f>VLOOKUP($Q325,Resultados!$A$1:$B$49,2,FALSE)</f>
        <v xml:space="preserve"> _</v>
      </c>
      <c r="S325" s="32"/>
      <c r="T325" s="37"/>
      <c r="U325" s="37"/>
      <c r="V325" s="39"/>
      <c r="W325" s="39"/>
      <c r="X325" s="39"/>
      <c r="Y325" s="64"/>
      <c r="Z325" s="39"/>
      <c r="AA325" s="39"/>
      <c r="AB325" s="39"/>
      <c r="AC325" s="39"/>
      <c r="AD325" s="39"/>
      <c r="AE325" s="144"/>
      <c r="AF325" s="150"/>
      <c r="AG325" s="150"/>
      <c r="AH325" s="150"/>
      <c r="AI325" s="150"/>
      <c r="AJ325" s="128" t="s">
        <v>988</v>
      </c>
      <c r="AK325" s="136"/>
      <c r="AL325" s="151" t="s">
        <v>1627</v>
      </c>
      <c r="AM325" s="431" t="str">
        <f>VLOOKUP($Q325,Resultados!$A$1:$C$49,3,FALSE)</f>
        <v>TRAMITE</v>
      </c>
    </row>
    <row r="326" spans="1:39" customFormat="1" ht="51">
      <c r="A326" s="364">
        <v>148</v>
      </c>
      <c r="B326" s="38">
        <v>45233</v>
      </c>
      <c r="C326" s="337" t="s">
        <v>860</v>
      </c>
      <c r="D326" s="32" t="s">
        <v>2329</v>
      </c>
      <c r="E326" s="40" t="s">
        <v>2330</v>
      </c>
      <c r="F326" s="39">
        <v>4</v>
      </c>
      <c r="G326" s="39" t="s">
        <v>325</v>
      </c>
      <c r="H326" s="38"/>
      <c r="I326" s="38"/>
      <c r="J326" s="38"/>
      <c r="K326" s="39" t="str">
        <f>IFERROR(VLOOKUP(J326,Jueces!$A$1:$B$11,2,FALSE),"")</f>
        <v/>
      </c>
      <c r="L326" s="32" t="s">
        <v>2169</v>
      </c>
      <c r="M326" s="32" t="s">
        <v>131</v>
      </c>
      <c r="N326" s="32" t="s">
        <v>1342</v>
      </c>
      <c r="O326" s="24" t="str">
        <f>IF(Q326=" _","NO","SI")</f>
        <v>NO</v>
      </c>
      <c r="P326" s="24" t="str">
        <f ca="1">IF(color_Celda(E326)=12106214,"ROSA",IF(color_Celda(E326)=65535,"AMARILLO",IF(color_Celda(E326)=5296274,"VERDE",IF(color_Celda(E326)=16777215,"BLANCO","NO SE"))))</f>
        <v>AMARILLO</v>
      </c>
      <c r="Q326" s="32" t="s">
        <v>108</v>
      </c>
      <c r="R326" s="267" t="str">
        <f>VLOOKUP($Q326,Resultados!$A$1:$B$49,2,FALSE)</f>
        <v xml:space="preserve"> _</v>
      </c>
      <c r="S326" s="32"/>
      <c r="T326" s="37"/>
      <c r="U326" s="37"/>
      <c r="V326" s="39"/>
      <c r="W326" s="39"/>
      <c r="X326" s="39"/>
      <c r="Y326" s="64"/>
      <c r="Z326" s="39"/>
      <c r="AA326" s="39"/>
      <c r="AB326" s="39"/>
      <c r="AC326" s="39"/>
      <c r="AD326" s="39"/>
      <c r="AE326" s="144"/>
      <c r="AF326" s="150"/>
      <c r="AG326" s="150"/>
      <c r="AH326" s="150"/>
      <c r="AI326" s="150"/>
      <c r="AJ326" s="128" t="s">
        <v>988</v>
      </c>
      <c r="AK326" s="136"/>
      <c r="AL326" s="151" t="s">
        <v>1627</v>
      </c>
      <c r="AM326" s="431" t="str">
        <f>VLOOKUP($Q326,Resultados!$A$1:$C$49,3,FALSE)</f>
        <v>TRAMITE</v>
      </c>
    </row>
    <row r="327" spans="1:39" customFormat="1" ht="63.75">
      <c r="A327" s="364">
        <v>149</v>
      </c>
      <c r="B327" s="38">
        <v>45233</v>
      </c>
      <c r="C327" s="337" t="s">
        <v>860</v>
      </c>
      <c r="D327" s="32" t="s">
        <v>2333</v>
      </c>
      <c r="E327" s="40" t="s">
        <v>2334</v>
      </c>
      <c r="F327" s="39">
        <v>4</v>
      </c>
      <c r="G327" s="39" t="s">
        <v>325</v>
      </c>
      <c r="H327" s="38"/>
      <c r="I327" s="38"/>
      <c r="J327" s="38"/>
      <c r="K327" s="39" t="str">
        <f>IFERROR(VLOOKUP(J327,Jueces!$A$1:$B$11,2,FALSE),"")</f>
        <v/>
      </c>
      <c r="L327" s="32" t="s">
        <v>250</v>
      </c>
      <c r="M327" s="32" t="s">
        <v>2335</v>
      </c>
      <c r="N327" s="32" t="s">
        <v>2271</v>
      </c>
      <c r="O327" s="24" t="str">
        <f>IF(Q327=" _","NO","SI")</f>
        <v>NO</v>
      </c>
      <c r="P327" s="24" t="str">
        <f ca="1">IF(color_Celda(E327)=12106214,"ROSA",IF(color_Celda(E327)=65535,"AMARILLO",IF(color_Celda(E327)=5296274,"VERDE",IF(color_Celda(E327)=16777215,"BLANCO","NO SE"))))</f>
        <v>AMARILLO</v>
      </c>
      <c r="Q327" s="32" t="s">
        <v>108</v>
      </c>
      <c r="R327" s="267" t="str">
        <f>VLOOKUP($Q327,Resultados!$A$1:$B$49,2,FALSE)</f>
        <v xml:space="preserve"> _</v>
      </c>
      <c r="S327" s="32"/>
      <c r="T327" s="37"/>
      <c r="U327" s="37"/>
      <c r="V327" s="39"/>
      <c r="W327" s="39"/>
      <c r="X327" s="39"/>
      <c r="Y327" s="64"/>
      <c r="Z327" s="39"/>
      <c r="AA327" s="39"/>
      <c r="AB327" s="39"/>
      <c r="AC327" s="39"/>
      <c r="AD327" s="39"/>
      <c r="AE327" s="144"/>
      <c r="AF327" s="150"/>
      <c r="AG327" s="150"/>
      <c r="AH327" s="150"/>
      <c r="AI327" s="150"/>
      <c r="AJ327" s="128" t="s">
        <v>988</v>
      </c>
      <c r="AK327" s="136"/>
      <c r="AL327" s="151" t="s">
        <v>1627</v>
      </c>
      <c r="AM327" s="431" t="str">
        <f>VLOOKUP($Q327,Resultados!$A$1:$C$49,3,FALSE)</f>
        <v>TRAMITE</v>
      </c>
    </row>
    <row r="328" spans="1:39" customFormat="1" ht="51">
      <c r="A328" s="364">
        <v>150</v>
      </c>
      <c r="B328" s="38">
        <v>45233</v>
      </c>
      <c r="C328" s="331">
        <v>0.44444444444444442</v>
      </c>
      <c r="D328" s="32" t="s">
        <v>2358</v>
      </c>
      <c r="E328" s="40" t="s">
        <v>2359</v>
      </c>
      <c r="F328" s="39">
        <v>4</v>
      </c>
      <c r="G328" s="32" t="s">
        <v>325</v>
      </c>
      <c r="H328" s="38"/>
      <c r="I328" s="38"/>
      <c r="J328" s="38"/>
      <c r="K328" s="39" t="str">
        <f>IFERROR(VLOOKUP(J328,Jueces!$A$1:$B$11,2,FALSE),"")</f>
        <v/>
      </c>
      <c r="L328" s="32" t="s">
        <v>2360</v>
      </c>
      <c r="M328" s="32" t="s">
        <v>1156</v>
      </c>
      <c r="N328" s="32" t="s">
        <v>2361</v>
      </c>
      <c r="O328" s="24" t="str">
        <f>IF(Q328=" _","NO","SI")</f>
        <v>NO</v>
      </c>
      <c r="P328" s="24" t="str">
        <f ca="1">IF(color_Celda(E328)=12106214,"ROSA",IF(color_Celda(E328)=65535,"AMARILLO",IF(color_Celda(E328)=5296274,"VERDE",IF(color_Celda(E328)=16777215,"BLANCO","NO SE"))))</f>
        <v>AMARILLO</v>
      </c>
      <c r="Q328" s="32" t="s">
        <v>108</v>
      </c>
      <c r="R328" s="267" t="str">
        <f>VLOOKUP($Q328,Resultados!$A$1:$B$49,2,FALSE)</f>
        <v xml:space="preserve"> _</v>
      </c>
      <c r="S328" s="32"/>
      <c r="T328" s="37"/>
      <c r="U328" s="37"/>
      <c r="V328" s="39"/>
      <c r="W328" s="39"/>
      <c r="X328" s="39"/>
      <c r="Y328" s="64"/>
      <c r="Z328" s="39"/>
      <c r="AA328" s="39"/>
      <c r="AB328" s="39"/>
      <c r="AC328" s="39"/>
      <c r="AD328" s="39"/>
      <c r="AE328" s="144"/>
      <c r="AF328" s="150"/>
      <c r="AG328" s="150"/>
      <c r="AH328" s="150"/>
      <c r="AI328" s="150"/>
      <c r="AJ328" s="128" t="s">
        <v>988</v>
      </c>
      <c r="AK328" s="136"/>
      <c r="AL328" s="151" t="s">
        <v>1627</v>
      </c>
      <c r="AM328" s="431" t="str">
        <f>VLOOKUP($Q328,Resultados!$A$1:$C$49,3,FALSE)</f>
        <v>TRAMITE</v>
      </c>
    </row>
    <row r="329" spans="1:39" customFormat="1" ht="38.25">
      <c r="A329" s="364">
        <v>151</v>
      </c>
      <c r="B329" s="69">
        <v>45236</v>
      </c>
      <c r="C329" s="329">
        <v>0.33333333333333331</v>
      </c>
      <c r="D329" s="70" t="s">
        <v>616</v>
      </c>
      <c r="E329" s="92" t="s">
        <v>617</v>
      </c>
      <c r="F329" s="68">
        <v>2</v>
      </c>
      <c r="G329" s="68" t="s">
        <v>325</v>
      </c>
      <c r="H329" s="69"/>
      <c r="I329" s="69"/>
      <c r="J329" s="69"/>
      <c r="K329" s="68" t="s">
        <v>1480</v>
      </c>
      <c r="L329" s="70" t="s">
        <v>72</v>
      </c>
      <c r="M329" s="70" t="s">
        <v>1355</v>
      </c>
      <c r="N329" s="68" t="s">
        <v>2271</v>
      </c>
      <c r="O329" s="24" t="str">
        <f>IF(Q329=" _","NO","SI")</f>
        <v>NO</v>
      </c>
      <c r="P329" s="24" t="str">
        <f ca="1">IF(color_Celda(E329)=12106214,"ROSA",IF(color_Celda(E329)=65535,"AMARILLO",IF(color_Celda(E329)=5296274,"VERDE",IF(color_Celda(E329)=16777215,"BLANCO","NO SE"))))</f>
        <v>AMARILLO</v>
      </c>
      <c r="Q329" s="70" t="s">
        <v>108</v>
      </c>
      <c r="R329" s="267" t="str">
        <f>VLOOKUP($Q329,Resultados!$A$1:$B$49,2,FALSE)</f>
        <v xml:space="preserve"> _</v>
      </c>
      <c r="S329" s="70"/>
      <c r="T329" s="73"/>
      <c r="U329" s="73"/>
      <c r="V329" s="68"/>
      <c r="W329" s="68"/>
      <c r="X329" s="68"/>
      <c r="Y329" s="64"/>
      <c r="Z329" s="68"/>
      <c r="AA329" s="68"/>
      <c r="AB329" s="68"/>
      <c r="AC329" s="68"/>
      <c r="AD329" s="68"/>
      <c r="AE329" s="142"/>
      <c r="AF329" s="145">
        <v>7</v>
      </c>
      <c r="AG329" s="146"/>
      <c r="AH329" s="146">
        <v>0</v>
      </c>
      <c r="AI329" s="146"/>
      <c r="AJ329" s="126" t="s">
        <v>988</v>
      </c>
      <c r="AK329" s="134"/>
      <c r="AL329" s="151" t="s">
        <v>1627</v>
      </c>
      <c r="AM329" s="431" t="str">
        <f>VLOOKUP($Q329,Resultados!$A$1:$C$49,3,FALSE)</f>
        <v>TRAMITE</v>
      </c>
    </row>
    <row r="330" spans="1:39" customFormat="1" ht="51">
      <c r="A330" s="364">
        <v>152</v>
      </c>
      <c r="B330" s="69">
        <v>45236</v>
      </c>
      <c r="C330" s="329">
        <v>0.33333333333333331</v>
      </c>
      <c r="D330" s="70" t="s">
        <v>618</v>
      </c>
      <c r="E330" s="92" t="s">
        <v>619</v>
      </c>
      <c r="F330" s="68">
        <v>7</v>
      </c>
      <c r="G330" s="68" t="s">
        <v>10</v>
      </c>
      <c r="H330" s="69"/>
      <c r="I330" s="69"/>
      <c r="J330" s="69"/>
      <c r="K330" s="68" t="s">
        <v>1480</v>
      </c>
      <c r="L330" s="70" t="s">
        <v>87</v>
      </c>
      <c r="M330" s="70"/>
      <c r="N330" s="68" t="s">
        <v>2577</v>
      </c>
      <c r="O330" s="137" t="str">
        <f>IF(Q330=" _","NO","SI")</f>
        <v>NO</v>
      </c>
      <c r="P330" s="24" t="str">
        <f ca="1">IF(color_Celda(E330)=12106214,"ROSA",IF(color_Celda(E330)=65535,"AMARILLO",IF(color_Celda(E330)=5296274,"VERDE",IF(color_Celda(E330)=16777215,"BLANCO","NO SE"))))</f>
        <v>AMARILLO</v>
      </c>
      <c r="Q330" s="70" t="s">
        <v>108</v>
      </c>
      <c r="R330" s="267" t="str">
        <f>VLOOKUP($Q330,Resultados!$A$1:$B$49,2,FALSE)</f>
        <v xml:space="preserve"> _</v>
      </c>
      <c r="S330" s="70"/>
      <c r="T330" s="73"/>
      <c r="U330" s="73"/>
      <c r="V330" s="68"/>
      <c r="W330" s="68"/>
      <c r="X330" s="68"/>
      <c r="Y330" s="199"/>
      <c r="Z330" s="68"/>
      <c r="AA330" s="68"/>
      <c r="AB330" s="68"/>
      <c r="AC330" s="68"/>
      <c r="AD330" s="68"/>
      <c r="AE330" s="142"/>
      <c r="AF330" s="145">
        <v>7</v>
      </c>
      <c r="AG330" s="146"/>
      <c r="AH330" s="146">
        <v>0</v>
      </c>
      <c r="AI330" s="146"/>
      <c r="AJ330" s="126" t="s">
        <v>988</v>
      </c>
      <c r="AK330" s="134"/>
      <c r="AL330" s="151" t="s">
        <v>1627</v>
      </c>
      <c r="AM330" s="431" t="str">
        <f>VLOOKUP($Q330,Resultados!$A$1:$C$49,3,FALSE)</f>
        <v>TRAMITE</v>
      </c>
    </row>
    <row r="331" spans="1:39" customFormat="1" ht="38.25">
      <c r="A331" s="364">
        <v>153</v>
      </c>
      <c r="B331" s="69">
        <v>45236</v>
      </c>
      <c r="C331" s="332">
        <v>0.33333333333333331</v>
      </c>
      <c r="D331" s="70" t="s">
        <v>620</v>
      </c>
      <c r="E331" s="92" t="s">
        <v>621</v>
      </c>
      <c r="F331" s="68">
        <v>2</v>
      </c>
      <c r="G331" s="68" t="s">
        <v>325</v>
      </c>
      <c r="H331" s="69"/>
      <c r="I331" s="69"/>
      <c r="J331" s="69"/>
      <c r="K331" s="68" t="s">
        <v>1480</v>
      </c>
      <c r="L331" s="70" t="s">
        <v>74</v>
      </c>
      <c r="M331" s="70" t="s">
        <v>59</v>
      </c>
      <c r="N331" s="68" t="s">
        <v>2271</v>
      </c>
      <c r="O331" s="24" t="str">
        <f>IF(Q331=" _","NO","SI")</f>
        <v>NO</v>
      </c>
      <c r="P331" s="24" t="str">
        <f ca="1">IF(color_Celda(E331)=12106214,"ROSA",IF(color_Celda(E331)=65535,"AMARILLO",IF(color_Celda(E331)=5296274,"VERDE",IF(color_Celda(E331)=16777215,"BLANCO","NO SE"))))</f>
        <v>AMARILLO</v>
      </c>
      <c r="Q331" s="70" t="s">
        <v>108</v>
      </c>
      <c r="R331" s="267" t="str">
        <f>VLOOKUP($Q331,Resultados!$A$1:$B$49,2,FALSE)</f>
        <v xml:space="preserve"> _</v>
      </c>
      <c r="S331" s="70"/>
      <c r="T331" s="73"/>
      <c r="U331" s="73"/>
      <c r="V331" s="68"/>
      <c r="W331" s="68"/>
      <c r="X331" s="68"/>
      <c r="Y331" s="64"/>
      <c r="Z331" s="68"/>
      <c r="AA331" s="68"/>
      <c r="AB331" s="68"/>
      <c r="AC331" s="68"/>
      <c r="AD331" s="68"/>
      <c r="AE331" s="142"/>
      <c r="AF331" s="145">
        <v>7</v>
      </c>
      <c r="AG331" s="146"/>
      <c r="AH331" s="146">
        <v>0</v>
      </c>
      <c r="AI331" s="146"/>
      <c r="AJ331" s="126" t="s">
        <v>988</v>
      </c>
      <c r="AK331" s="134"/>
      <c r="AL331" s="151" t="s">
        <v>1627</v>
      </c>
      <c r="AM331" s="431" t="str">
        <f>VLOOKUP($Q331,Resultados!$A$1:$C$49,3,FALSE)</f>
        <v>TRAMITE</v>
      </c>
    </row>
    <row r="332" spans="1:39" customFormat="1" ht="51">
      <c r="A332" s="364">
        <v>154</v>
      </c>
      <c r="B332" s="69">
        <v>45236</v>
      </c>
      <c r="C332" s="329">
        <v>0.33333333333333331</v>
      </c>
      <c r="D332" s="70" t="s">
        <v>622</v>
      </c>
      <c r="E332" s="92" t="s">
        <v>623</v>
      </c>
      <c r="F332" s="68">
        <v>2</v>
      </c>
      <c r="G332" s="68" t="s">
        <v>325</v>
      </c>
      <c r="H332" s="69"/>
      <c r="I332" s="69"/>
      <c r="J332" s="69"/>
      <c r="K332" s="68" t="s">
        <v>1480</v>
      </c>
      <c r="L332" s="70" t="s">
        <v>2170</v>
      </c>
      <c r="M332" s="70" t="s">
        <v>1289</v>
      </c>
      <c r="N332" s="68" t="s">
        <v>2433</v>
      </c>
      <c r="O332" s="137" t="str">
        <f>IF(Q332=" _","NO","SI")</f>
        <v>NO</v>
      </c>
      <c r="P332" s="24" t="str">
        <f ca="1">IF(color_Celda(E332)=12106214,"ROSA",IF(color_Celda(E332)=65535,"AMARILLO",IF(color_Celda(E332)=5296274,"VERDE",IF(color_Celda(E332)=16777215,"BLANCO","NO SE"))))</f>
        <v>AMARILLO</v>
      </c>
      <c r="Q332" s="70" t="s">
        <v>108</v>
      </c>
      <c r="R332" s="267" t="str">
        <f>VLOOKUP($Q332,Resultados!$A$1:$B$49,2,FALSE)</f>
        <v xml:space="preserve"> _</v>
      </c>
      <c r="S332" s="70"/>
      <c r="T332" s="73"/>
      <c r="U332" s="73"/>
      <c r="V332" s="68"/>
      <c r="W332" s="68"/>
      <c r="X332" s="68"/>
      <c r="Y332" s="64"/>
      <c r="Z332" s="68"/>
      <c r="AA332" s="68"/>
      <c r="AB332" s="68"/>
      <c r="AC332" s="68"/>
      <c r="AD332" s="68"/>
      <c r="AE332" s="142"/>
      <c r="AF332" s="145">
        <v>7</v>
      </c>
      <c r="AG332" s="146"/>
      <c r="AH332" s="146">
        <v>0</v>
      </c>
      <c r="AI332" s="146"/>
      <c r="AJ332" s="126" t="s">
        <v>988</v>
      </c>
      <c r="AK332" s="134"/>
      <c r="AL332" s="151" t="s">
        <v>1627</v>
      </c>
      <c r="AM332" s="431" t="str">
        <f>VLOOKUP($Q332,Resultados!$A$1:$C$49,3,FALSE)</f>
        <v>TRAMITE</v>
      </c>
    </row>
    <row r="333" spans="1:39" customFormat="1" ht="89.25">
      <c r="A333" s="364">
        <v>155</v>
      </c>
      <c r="B333" s="69">
        <v>45236</v>
      </c>
      <c r="C333" s="329">
        <v>0.33333333333333331</v>
      </c>
      <c r="D333" s="70" t="s">
        <v>624</v>
      </c>
      <c r="E333" s="92" t="s">
        <v>625</v>
      </c>
      <c r="F333" s="68">
        <v>2</v>
      </c>
      <c r="G333" s="68" t="s">
        <v>325</v>
      </c>
      <c r="H333" s="69"/>
      <c r="I333" s="69"/>
      <c r="J333" s="69"/>
      <c r="K333" s="68" t="s">
        <v>1480</v>
      </c>
      <c r="L333" s="70" t="s">
        <v>75</v>
      </c>
      <c r="M333" s="70" t="s">
        <v>44</v>
      </c>
      <c r="N333" s="68" t="s">
        <v>2271</v>
      </c>
      <c r="O333" s="24" t="str">
        <f>IF(Q333=" _","NO","SI")</f>
        <v>NO</v>
      </c>
      <c r="P333" s="24" t="str">
        <f ca="1">IF(color_Celda(E333)=12106214,"ROSA",IF(color_Celda(E333)=65535,"AMARILLO",IF(color_Celda(E333)=5296274,"VERDE",IF(color_Celda(E333)=16777215,"BLANCO","NO SE"))))</f>
        <v>AMARILLO</v>
      </c>
      <c r="Q333" s="70" t="s">
        <v>108</v>
      </c>
      <c r="R333" s="267" t="str">
        <f>VLOOKUP($Q333,Resultados!$A$1:$B$49,2,FALSE)</f>
        <v xml:space="preserve"> _</v>
      </c>
      <c r="S333" s="70"/>
      <c r="T333" s="73"/>
      <c r="U333" s="73"/>
      <c r="V333" s="68"/>
      <c r="W333" s="68"/>
      <c r="X333" s="68"/>
      <c r="Y333" s="64"/>
      <c r="Z333" s="68"/>
      <c r="AA333" s="68"/>
      <c r="AB333" s="68"/>
      <c r="AC333" s="68"/>
      <c r="AD333" s="68"/>
      <c r="AE333" s="142"/>
      <c r="AF333" s="145">
        <v>7</v>
      </c>
      <c r="AG333" s="146"/>
      <c r="AH333" s="146">
        <v>0</v>
      </c>
      <c r="AI333" s="146"/>
      <c r="AJ333" s="126" t="s">
        <v>988</v>
      </c>
      <c r="AK333" s="134"/>
      <c r="AL333" s="151" t="s">
        <v>1627</v>
      </c>
      <c r="AM333" s="431" t="str">
        <f>VLOOKUP($Q333,Resultados!$A$1:$C$49,3,FALSE)</f>
        <v>TRAMITE</v>
      </c>
    </row>
    <row r="334" spans="1:39" customFormat="1" ht="63.75">
      <c r="A334" s="364">
        <v>156</v>
      </c>
      <c r="B334" s="69">
        <v>45236</v>
      </c>
      <c r="C334" s="329">
        <v>0.33333333333333331</v>
      </c>
      <c r="D334" s="70" t="s">
        <v>626</v>
      </c>
      <c r="E334" s="92" t="s">
        <v>627</v>
      </c>
      <c r="F334" s="68">
        <v>2</v>
      </c>
      <c r="G334" s="68" t="s">
        <v>325</v>
      </c>
      <c r="H334" s="69"/>
      <c r="I334" s="69"/>
      <c r="J334" s="69"/>
      <c r="K334" s="68" t="s">
        <v>1480</v>
      </c>
      <c r="L334" s="70" t="s">
        <v>83</v>
      </c>
      <c r="M334" s="70"/>
      <c r="N334" s="68"/>
      <c r="O334" s="137" t="str">
        <f>IF(Q334=" _","NO","SI")</f>
        <v>NO</v>
      </c>
      <c r="P334" s="24" t="str">
        <f ca="1">IF(color_Celda(E334)=12106214,"ROSA",IF(color_Celda(E334)=65535,"AMARILLO",IF(color_Celda(E334)=5296274,"VERDE",IF(color_Celda(E334)=16777215,"BLANCO","NO SE"))))</f>
        <v>AMARILLO</v>
      </c>
      <c r="Q334" s="70" t="s">
        <v>108</v>
      </c>
      <c r="R334" s="267" t="str">
        <f>VLOOKUP($Q334,Resultados!$A$1:$B$49,2,FALSE)</f>
        <v xml:space="preserve"> _</v>
      </c>
      <c r="S334" s="70"/>
      <c r="T334" s="73"/>
      <c r="U334" s="73"/>
      <c r="V334" s="68"/>
      <c r="W334" s="68"/>
      <c r="X334" s="68"/>
      <c r="Y334" s="199"/>
      <c r="Z334" s="68"/>
      <c r="AA334" s="68"/>
      <c r="AB334" s="68"/>
      <c r="AC334" s="68"/>
      <c r="AD334" s="68"/>
      <c r="AE334" s="142"/>
      <c r="AF334" s="145">
        <v>7</v>
      </c>
      <c r="AG334" s="146"/>
      <c r="AH334" s="146">
        <v>0</v>
      </c>
      <c r="AI334" s="146"/>
      <c r="AJ334" s="126" t="s">
        <v>988</v>
      </c>
      <c r="AK334" s="134"/>
      <c r="AL334" s="151" t="s">
        <v>1627</v>
      </c>
      <c r="AM334" s="431" t="str">
        <f>VLOOKUP($Q334,Resultados!$A$1:$C$49,3,FALSE)</f>
        <v>TRAMITE</v>
      </c>
    </row>
    <row r="335" spans="1:39" customFormat="1" ht="76.5">
      <c r="A335" s="364">
        <v>157</v>
      </c>
      <c r="B335" s="69">
        <v>45236</v>
      </c>
      <c r="C335" s="329">
        <v>0.33333333333333331</v>
      </c>
      <c r="D335" s="70" t="s">
        <v>628</v>
      </c>
      <c r="E335" s="92" t="s">
        <v>629</v>
      </c>
      <c r="F335" s="68">
        <v>2</v>
      </c>
      <c r="G335" s="68" t="s">
        <v>325</v>
      </c>
      <c r="H335" s="69"/>
      <c r="I335" s="69"/>
      <c r="J335" s="69"/>
      <c r="K335" s="68" t="s">
        <v>1480</v>
      </c>
      <c r="L335" s="70" t="s">
        <v>78</v>
      </c>
      <c r="M335" s="70" t="s">
        <v>1156</v>
      </c>
      <c r="N335" s="68" t="s">
        <v>2271</v>
      </c>
      <c r="O335" s="24" t="str">
        <f>IF(Q335=" _","NO","SI")</f>
        <v>NO</v>
      </c>
      <c r="P335" s="24" t="str">
        <f ca="1">IF(color_Celda(E335)=12106214,"ROSA",IF(color_Celda(E335)=65535,"AMARILLO",IF(color_Celda(E335)=5296274,"VERDE",IF(color_Celda(E335)=16777215,"BLANCO","NO SE"))))</f>
        <v>AMARILLO</v>
      </c>
      <c r="Q335" s="70" t="s">
        <v>108</v>
      </c>
      <c r="R335" s="267" t="str">
        <f>VLOOKUP($Q335,Resultados!$A$1:$B$49,2,FALSE)</f>
        <v xml:space="preserve"> _</v>
      </c>
      <c r="S335" s="70"/>
      <c r="T335" s="73"/>
      <c r="U335" s="73"/>
      <c r="V335" s="68"/>
      <c r="W335" s="68"/>
      <c r="X335" s="68"/>
      <c r="Y335" s="64"/>
      <c r="Z335" s="68"/>
      <c r="AA335" s="68"/>
      <c r="AB335" s="68"/>
      <c r="AC335" s="68"/>
      <c r="AD335" s="68"/>
      <c r="AE335" s="142"/>
      <c r="AF335" s="145">
        <v>7</v>
      </c>
      <c r="AG335" s="146"/>
      <c r="AH335" s="146">
        <v>0</v>
      </c>
      <c r="AI335" s="146"/>
      <c r="AJ335" s="126" t="s">
        <v>988</v>
      </c>
      <c r="AK335" s="134"/>
      <c r="AL335" s="151" t="s">
        <v>1627</v>
      </c>
      <c r="AM335" s="431" t="str">
        <f>VLOOKUP($Q335,Resultados!$A$1:$C$49,3,FALSE)</f>
        <v>TRAMITE</v>
      </c>
    </row>
    <row r="336" spans="1:39" customFormat="1" ht="51">
      <c r="A336" s="364">
        <v>158</v>
      </c>
      <c r="B336" s="69">
        <v>45236</v>
      </c>
      <c r="C336" s="329">
        <v>0.33333333333333331</v>
      </c>
      <c r="D336" s="70" t="s">
        <v>630</v>
      </c>
      <c r="E336" s="92" t="s">
        <v>631</v>
      </c>
      <c r="F336" s="68">
        <v>2</v>
      </c>
      <c r="G336" s="68" t="s">
        <v>325</v>
      </c>
      <c r="H336" s="69"/>
      <c r="I336" s="69"/>
      <c r="J336" s="69"/>
      <c r="K336" s="68" t="s">
        <v>1480</v>
      </c>
      <c r="L336" s="70" t="s">
        <v>250</v>
      </c>
      <c r="M336" s="70" t="s">
        <v>62</v>
      </c>
      <c r="N336" s="68" t="s">
        <v>2271</v>
      </c>
      <c r="O336" s="24" t="str">
        <f>IF(Q336=" _","NO","SI")</f>
        <v>NO</v>
      </c>
      <c r="P336" s="24" t="str">
        <f ca="1">IF(color_Celda(E336)=12106214,"ROSA",IF(color_Celda(E336)=65535,"AMARILLO",IF(color_Celda(E336)=5296274,"VERDE",IF(color_Celda(E336)=16777215,"BLANCO","NO SE"))))</f>
        <v>AMARILLO</v>
      </c>
      <c r="Q336" s="70" t="s">
        <v>108</v>
      </c>
      <c r="R336" s="267" t="str">
        <f>VLOOKUP($Q336,Resultados!$A$1:$B$49,2,FALSE)</f>
        <v xml:space="preserve"> _</v>
      </c>
      <c r="S336" s="70"/>
      <c r="T336" s="73"/>
      <c r="U336" s="73"/>
      <c r="V336" s="68"/>
      <c r="W336" s="68"/>
      <c r="X336" s="68"/>
      <c r="Y336" s="64"/>
      <c r="Z336" s="68"/>
      <c r="AA336" s="68"/>
      <c r="AB336" s="68"/>
      <c r="AC336" s="68"/>
      <c r="AD336" s="68"/>
      <c r="AE336" s="142"/>
      <c r="AF336" s="145">
        <v>7</v>
      </c>
      <c r="AG336" s="146"/>
      <c r="AH336" s="146">
        <v>0</v>
      </c>
      <c r="AI336" s="146"/>
      <c r="AJ336" s="126" t="s">
        <v>988</v>
      </c>
      <c r="AK336" s="134"/>
      <c r="AL336" s="151" t="s">
        <v>1627</v>
      </c>
      <c r="AM336" s="431" t="str">
        <f>VLOOKUP($Q336,Resultados!$A$1:$C$49,3,FALSE)</f>
        <v>TRAMITE</v>
      </c>
    </row>
    <row r="337" spans="1:39" customFormat="1" ht="102">
      <c r="A337" s="364">
        <v>159</v>
      </c>
      <c r="B337" s="69">
        <v>45236</v>
      </c>
      <c r="C337" s="329">
        <v>0.40347222222222223</v>
      </c>
      <c r="D337" s="70" t="s">
        <v>312</v>
      </c>
      <c r="E337" s="92" t="s">
        <v>633</v>
      </c>
      <c r="F337" s="68">
        <v>6</v>
      </c>
      <c r="G337" s="68" t="s">
        <v>326</v>
      </c>
      <c r="H337" s="69"/>
      <c r="I337" s="69"/>
      <c r="J337" s="69"/>
      <c r="K337" s="68" t="s">
        <v>1480</v>
      </c>
      <c r="L337" s="70" t="s">
        <v>72</v>
      </c>
      <c r="M337" s="70"/>
      <c r="N337" s="68" t="s">
        <v>2254</v>
      </c>
      <c r="O337" s="24" t="str">
        <f>IF(Q337=" _","NO","SI")</f>
        <v>NO</v>
      </c>
      <c r="P337" s="24" t="str">
        <f ca="1">IF(color_Celda(E337)=12106214,"ROSA",IF(color_Celda(E337)=65535,"AMARILLO",IF(color_Celda(E337)=5296274,"VERDE",IF(color_Celda(E337)=16777215,"BLANCO","NO SE"))))</f>
        <v>AMARILLO</v>
      </c>
      <c r="Q337" s="70" t="s">
        <v>108</v>
      </c>
      <c r="R337" s="267" t="str">
        <f>VLOOKUP($Q337,Resultados!$A$1:$B$49,2,FALSE)</f>
        <v xml:space="preserve"> _</v>
      </c>
      <c r="S337" s="70"/>
      <c r="T337" s="99"/>
      <c r="U337" s="99"/>
      <c r="V337" s="107"/>
      <c r="W337" s="68"/>
      <c r="X337" s="68"/>
      <c r="Y337" s="64"/>
      <c r="Z337" s="68"/>
      <c r="AA337" s="68"/>
      <c r="AB337" s="68"/>
      <c r="AC337" s="107"/>
      <c r="AD337" s="107"/>
      <c r="AE337" s="143"/>
      <c r="AF337" s="145">
        <v>7</v>
      </c>
      <c r="AG337" s="118"/>
      <c r="AH337" s="118">
        <v>0</v>
      </c>
      <c r="AI337" s="118"/>
      <c r="AJ337" s="126" t="s">
        <v>988</v>
      </c>
      <c r="AK337" s="134"/>
      <c r="AL337" s="151" t="s">
        <v>1627</v>
      </c>
      <c r="AM337" s="431" t="str">
        <f>VLOOKUP($Q337,Resultados!$A$1:$C$49,3,FALSE)</f>
        <v>TRAMITE</v>
      </c>
    </row>
    <row r="338" spans="1:39" customFormat="1" ht="114.75">
      <c r="A338" s="364">
        <v>160</v>
      </c>
      <c r="B338" s="69">
        <v>45236</v>
      </c>
      <c r="C338" s="329">
        <v>0.41388888888888892</v>
      </c>
      <c r="D338" s="70" t="s">
        <v>634</v>
      </c>
      <c r="E338" s="92" t="s">
        <v>1391</v>
      </c>
      <c r="F338" s="68">
        <v>6</v>
      </c>
      <c r="G338" s="68" t="s">
        <v>326</v>
      </c>
      <c r="H338" s="69"/>
      <c r="I338" s="69"/>
      <c r="J338" s="69"/>
      <c r="K338" s="68" t="s">
        <v>1480</v>
      </c>
      <c r="L338" s="70" t="s">
        <v>83</v>
      </c>
      <c r="M338" s="70" t="s">
        <v>260</v>
      </c>
      <c r="N338" s="70" t="s">
        <v>1342</v>
      </c>
      <c r="O338" s="24" t="str">
        <f>IF(Q338=" _","NO","SI")</f>
        <v>NO</v>
      </c>
      <c r="P338" s="24" t="str">
        <f ca="1">IF(color_Celda(E338)=12106214,"ROSA",IF(color_Celda(E338)=65535,"AMARILLO",IF(color_Celda(E338)=5296274,"VERDE",IF(color_Celda(E338)=16777215,"BLANCO","NO SE"))))</f>
        <v>AMARILLO</v>
      </c>
      <c r="Q338" s="70" t="s">
        <v>108</v>
      </c>
      <c r="R338" s="267" t="str">
        <f>VLOOKUP($Q338,Resultados!$A$1:$B$49,2,FALSE)</f>
        <v xml:space="preserve"> _</v>
      </c>
      <c r="S338" s="70"/>
      <c r="T338" s="73"/>
      <c r="U338" s="73"/>
      <c r="V338" s="68"/>
      <c r="W338" s="68"/>
      <c r="X338" s="68"/>
      <c r="Y338" s="64"/>
      <c r="Z338" s="68"/>
      <c r="AA338" s="68"/>
      <c r="AB338" s="68"/>
      <c r="AC338" s="68"/>
      <c r="AD338" s="68"/>
      <c r="AE338" s="142"/>
      <c r="AF338" s="145">
        <v>7</v>
      </c>
      <c r="AG338" s="146"/>
      <c r="AH338" s="146">
        <v>0</v>
      </c>
      <c r="AI338" s="146"/>
      <c r="AJ338" s="126" t="s">
        <v>988</v>
      </c>
      <c r="AK338" s="132"/>
      <c r="AL338" s="129" t="s">
        <v>1627</v>
      </c>
      <c r="AM338" s="431" t="str">
        <f>VLOOKUP($Q338,Resultados!$A$1:$C$49,3,FALSE)</f>
        <v>TRAMITE</v>
      </c>
    </row>
    <row r="339" spans="1:39" customFormat="1" ht="89.25">
      <c r="A339" s="364">
        <v>161</v>
      </c>
      <c r="B339" s="69">
        <v>45236</v>
      </c>
      <c r="C339" s="329">
        <v>0.43124999999999997</v>
      </c>
      <c r="D339" s="70" t="s">
        <v>638</v>
      </c>
      <c r="E339" s="92" t="s">
        <v>639</v>
      </c>
      <c r="F339" s="68">
        <v>6</v>
      </c>
      <c r="G339" s="68" t="s">
        <v>326</v>
      </c>
      <c r="H339" s="69"/>
      <c r="I339" s="69"/>
      <c r="J339" s="69"/>
      <c r="K339" s="68" t="s">
        <v>1480</v>
      </c>
      <c r="L339" s="70" t="s">
        <v>80</v>
      </c>
      <c r="M339" s="70" t="s">
        <v>62</v>
      </c>
      <c r="N339" s="68" t="s">
        <v>1342</v>
      </c>
      <c r="O339" s="24" t="str">
        <f>IF(Q339=" _","NO","SI")</f>
        <v>NO</v>
      </c>
      <c r="P339" s="24" t="str">
        <f ca="1">IF(color_Celda(E339)=12106214,"ROSA",IF(color_Celda(E339)=65535,"AMARILLO",IF(color_Celda(E339)=5296274,"VERDE",IF(color_Celda(E339)=16777215,"BLANCO","NO SE"))))</f>
        <v>AMARILLO</v>
      </c>
      <c r="Q339" s="70" t="s">
        <v>108</v>
      </c>
      <c r="R339" s="267" t="str">
        <f>VLOOKUP($Q339,Resultados!$A$1:$B$49,2,FALSE)</f>
        <v xml:space="preserve"> _</v>
      </c>
      <c r="S339" s="70"/>
      <c r="T339" s="73"/>
      <c r="U339" s="73"/>
      <c r="V339" s="68"/>
      <c r="W339" s="68"/>
      <c r="X339" s="68"/>
      <c r="Y339" s="64"/>
      <c r="Z339" s="68"/>
      <c r="AA339" s="68"/>
      <c r="AB339" s="68"/>
      <c r="AC339" s="68"/>
      <c r="AD339" s="68"/>
      <c r="AE339" s="142"/>
      <c r="AF339" s="145">
        <v>7</v>
      </c>
      <c r="AG339" s="146"/>
      <c r="AH339" s="146">
        <v>0</v>
      </c>
      <c r="AI339" s="146"/>
      <c r="AJ339" s="126" t="s">
        <v>988</v>
      </c>
      <c r="AK339" s="134"/>
      <c r="AL339" s="151" t="s">
        <v>1627</v>
      </c>
      <c r="AM339" s="431" t="str">
        <f>VLOOKUP($Q339,Resultados!$A$1:$C$49,3,FALSE)</f>
        <v>TRAMITE</v>
      </c>
    </row>
    <row r="340" spans="1:39" customFormat="1" ht="51">
      <c r="A340" s="364">
        <v>162</v>
      </c>
      <c r="B340" s="69">
        <v>45236</v>
      </c>
      <c r="C340" s="329">
        <v>0.47083333333333338</v>
      </c>
      <c r="D340" s="70" t="s">
        <v>640</v>
      </c>
      <c r="E340" s="92" t="s">
        <v>2239</v>
      </c>
      <c r="F340" s="68">
        <v>6</v>
      </c>
      <c r="G340" s="68" t="s">
        <v>326</v>
      </c>
      <c r="H340" s="69"/>
      <c r="I340" s="69"/>
      <c r="J340" s="69"/>
      <c r="K340" s="68" t="s">
        <v>1480</v>
      </c>
      <c r="L340" s="70" t="s">
        <v>127</v>
      </c>
      <c r="M340" s="70" t="s">
        <v>2240</v>
      </c>
      <c r="N340" s="68" t="s">
        <v>2241</v>
      </c>
      <c r="O340" s="24" t="str">
        <f>IF(Q340=" _","NO","SI")</f>
        <v>NO</v>
      </c>
      <c r="P340" s="24" t="str">
        <f ca="1">IF(color_Celda(E340)=12106214,"ROSA",IF(color_Celda(E340)=65535,"AMARILLO",IF(color_Celda(E340)=5296274,"VERDE",IF(color_Celda(E340)=16777215,"BLANCO","NO SE"))))</f>
        <v>AMARILLO</v>
      </c>
      <c r="Q340" s="70" t="s">
        <v>108</v>
      </c>
      <c r="R340" s="267" t="str">
        <f>VLOOKUP($Q340,Resultados!$A$1:$B$49,2,FALSE)</f>
        <v xml:space="preserve"> _</v>
      </c>
      <c r="S340" s="70"/>
      <c r="T340" s="73"/>
      <c r="U340" s="73"/>
      <c r="V340" s="68"/>
      <c r="W340" s="68"/>
      <c r="X340" s="68"/>
      <c r="Y340" s="64"/>
      <c r="Z340" s="68"/>
      <c r="AA340" s="68"/>
      <c r="AB340" s="68"/>
      <c r="AC340" s="68"/>
      <c r="AD340" s="68"/>
      <c r="AE340" s="142"/>
      <c r="AF340" s="145">
        <v>7</v>
      </c>
      <c r="AG340" s="146"/>
      <c r="AH340" s="146">
        <v>0</v>
      </c>
      <c r="AI340" s="146"/>
      <c r="AJ340" s="126" t="s">
        <v>988</v>
      </c>
      <c r="AK340" s="134"/>
      <c r="AL340" s="151" t="s">
        <v>1627</v>
      </c>
      <c r="AM340" s="431" t="str">
        <f>VLOOKUP($Q340,Resultados!$A$1:$C$49,3,FALSE)</f>
        <v>TRAMITE</v>
      </c>
    </row>
    <row r="341" spans="1:39" customFormat="1" ht="63.75">
      <c r="A341" s="364">
        <v>163</v>
      </c>
      <c r="B341" s="69">
        <v>45236</v>
      </c>
      <c r="C341" s="329">
        <v>0.42569444444444443</v>
      </c>
      <c r="D341" s="70" t="s">
        <v>641</v>
      </c>
      <c r="E341" s="92" t="s">
        <v>642</v>
      </c>
      <c r="F341" s="68">
        <v>6</v>
      </c>
      <c r="G341" s="68" t="s">
        <v>326</v>
      </c>
      <c r="H341" s="69"/>
      <c r="I341" s="69"/>
      <c r="J341" s="69"/>
      <c r="K341" s="68" t="s">
        <v>1480</v>
      </c>
      <c r="L341" s="70" t="s">
        <v>250</v>
      </c>
      <c r="M341" s="70"/>
      <c r="N341" s="68" t="s">
        <v>2253</v>
      </c>
      <c r="O341" s="24" t="str">
        <f>IF(Q341=" _","NO","SI")</f>
        <v>NO</v>
      </c>
      <c r="P341" s="24" t="str">
        <f ca="1">IF(color_Celda(E341)=12106214,"ROSA",IF(color_Celda(E341)=65535,"AMARILLO",IF(color_Celda(E341)=5296274,"VERDE",IF(color_Celda(E341)=16777215,"BLANCO","NO SE"))))</f>
        <v>AMARILLO</v>
      </c>
      <c r="Q341" s="70" t="s">
        <v>108</v>
      </c>
      <c r="R341" s="267" t="str">
        <f>VLOOKUP($Q341,Resultados!$A$1:$B$49,2,FALSE)</f>
        <v xml:space="preserve"> _</v>
      </c>
      <c r="S341" s="70"/>
      <c r="T341" s="99"/>
      <c r="U341" s="99"/>
      <c r="V341" s="107"/>
      <c r="W341" s="68"/>
      <c r="X341" s="68"/>
      <c r="Y341" s="64"/>
      <c r="Z341" s="68"/>
      <c r="AA341" s="68"/>
      <c r="AB341" s="68"/>
      <c r="AC341" s="107"/>
      <c r="AD341" s="107"/>
      <c r="AE341" s="143"/>
      <c r="AF341" s="145">
        <v>7</v>
      </c>
      <c r="AG341" s="118"/>
      <c r="AH341" s="118">
        <v>0</v>
      </c>
      <c r="AI341" s="118"/>
      <c r="AJ341" s="126" t="s">
        <v>988</v>
      </c>
      <c r="AK341" s="134"/>
      <c r="AL341" s="151" t="s">
        <v>1627</v>
      </c>
      <c r="AM341" s="431" t="str">
        <f>VLOOKUP($Q341,Resultados!$A$1:$C$49,3,FALSE)</f>
        <v>TRAMITE</v>
      </c>
    </row>
    <row r="342" spans="1:39" customFormat="1" ht="76.5">
      <c r="A342" s="364">
        <v>164</v>
      </c>
      <c r="B342" s="69">
        <v>45236</v>
      </c>
      <c r="C342" s="329">
        <v>0.45555555555555555</v>
      </c>
      <c r="D342" s="70" t="s">
        <v>643</v>
      </c>
      <c r="E342" s="92" t="s">
        <v>644</v>
      </c>
      <c r="F342" s="68">
        <v>6</v>
      </c>
      <c r="G342" s="68" t="s">
        <v>326</v>
      </c>
      <c r="H342" s="69"/>
      <c r="I342" s="69"/>
      <c r="J342" s="69"/>
      <c r="K342" s="68" t="s">
        <v>1480</v>
      </c>
      <c r="L342" s="70" t="s">
        <v>254</v>
      </c>
      <c r="M342" s="70" t="s">
        <v>131</v>
      </c>
      <c r="N342" s="68" t="s">
        <v>2265</v>
      </c>
      <c r="O342" s="24" t="str">
        <f>IF(Q342=" _","NO","SI")</f>
        <v>NO</v>
      </c>
      <c r="P342" s="24" t="str">
        <f ca="1">IF(color_Celda(E342)=12106214,"ROSA",IF(color_Celda(E342)=65535,"AMARILLO",IF(color_Celda(E342)=5296274,"VERDE",IF(color_Celda(E342)=16777215,"BLANCO","NO SE"))))</f>
        <v>AMARILLO</v>
      </c>
      <c r="Q342" s="70" t="s">
        <v>108</v>
      </c>
      <c r="R342" s="267" t="str">
        <f>VLOOKUP($Q342,Resultados!$A$1:$B$49,2,FALSE)</f>
        <v xml:space="preserve"> _</v>
      </c>
      <c r="S342" s="70"/>
      <c r="T342" s="73"/>
      <c r="U342" s="73"/>
      <c r="V342" s="68"/>
      <c r="W342" s="68"/>
      <c r="X342" s="68"/>
      <c r="Y342" s="64"/>
      <c r="Z342" s="68"/>
      <c r="AA342" s="68"/>
      <c r="AB342" s="68"/>
      <c r="AC342" s="68"/>
      <c r="AD342" s="68"/>
      <c r="AE342" s="142"/>
      <c r="AF342" s="145">
        <v>7</v>
      </c>
      <c r="AG342" s="146"/>
      <c r="AH342" s="146">
        <v>0</v>
      </c>
      <c r="AI342" s="146"/>
      <c r="AJ342" s="126" t="s">
        <v>988</v>
      </c>
      <c r="AK342" s="134"/>
      <c r="AL342" s="151" t="s">
        <v>1627</v>
      </c>
      <c r="AM342" s="431" t="str">
        <f>VLOOKUP($Q342,Resultados!$A$1:$C$49,3,FALSE)</f>
        <v>TRAMITE</v>
      </c>
    </row>
    <row r="343" spans="1:39" customFormat="1" ht="63.75">
      <c r="A343" s="364">
        <v>165</v>
      </c>
      <c r="B343" s="69">
        <v>45236</v>
      </c>
      <c r="C343" s="329">
        <v>0.46249999999999997</v>
      </c>
      <c r="D343" s="70" t="s">
        <v>645</v>
      </c>
      <c r="E343" s="92" t="s">
        <v>646</v>
      </c>
      <c r="F343" s="68">
        <v>6</v>
      </c>
      <c r="G343" s="68" t="s">
        <v>326</v>
      </c>
      <c r="H343" s="69"/>
      <c r="I343" s="69"/>
      <c r="J343" s="69"/>
      <c r="K343" s="68" t="s">
        <v>1480</v>
      </c>
      <c r="L343" s="70" t="s">
        <v>77</v>
      </c>
      <c r="M343" s="70"/>
      <c r="N343" s="68" t="s">
        <v>1342</v>
      </c>
      <c r="O343" s="24" t="str">
        <f>IF(Q343=" _","NO","SI")</f>
        <v>NO</v>
      </c>
      <c r="P343" s="24" t="str">
        <f ca="1">IF(color_Celda(E343)=12106214,"ROSA",IF(color_Celda(E343)=65535,"AMARILLO",IF(color_Celda(E343)=5296274,"VERDE",IF(color_Celda(E343)=16777215,"BLANCO","NO SE"))))</f>
        <v>AMARILLO</v>
      </c>
      <c r="Q343" s="70" t="s">
        <v>108</v>
      </c>
      <c r="R343" s="267" t="str">
        <f>VLOOKUP($Q343,Resultados!$A$1:$B$49,2,FALSE)</f>
        <v xml:space="preserve"> _</v>
      </c>
      <c r="S343" s="70"/>
      <c r="T343" s="99"/>
      <c r="U343" s="99"/>
      <c r="V343" s="107"/>
      <c r="W343" s="68"/>
      <c r="X343" s="68"/>
      <c r="Y343" s="64"/>
      <c r="Z343" s="68"/>
      <c r="AA343" s="68"/>
      <c r="AB343" s="68"/>
      <c r="AC343" s="107"/>
      <c r="AD343" s="107"/>
      <c r="AE343" s="143"/>
      <c r="AF343" s="145">
        <v>7</v>
      </c>
      <c r="AG343" s="118"/>
      <c r="AH343" s="118">
        <v>0</v>
      </c>
      <c r="AI343" s="118"/>
      <c r="AJ343" s="126" t="s">
        <v>988</v>
      </c>
      <c r="AK343" s="134"/>
      <c r="AL343" s="151" t="s">
        <v>1627</v>
      </c>
      <c r="AM343" s="431" t="str">
        <f>VLOOKUP($Q343,Resultados!$A$1:$C$49,3,FALSE)</f>
        <v>TRAMITE</v>
      </c>
    </row>
    <row r="344" spans="1:39" customFormat="1" ht="63.75">
      <c r="A344" s="364">
        <v>166</v>
      </c>
      <c r="B344" s="69">
        <v>45236</v>
      </c>
      <c r="C344" s="329">
        <v>0.42430555555555555</v>
      </c>
      <c r="D344" s="70" t="s">
        <v>647</v>
      </c>
      <c r="E344" s="92" t="s">
        <v>648</v>
      </c>
      <c r="F344" s="68">
        <v>6</v>
      </c>
      <c r="G344" s="68" t="s">
        <v>326</v>
      </c>
      <c r="H344" s="69"/>
      <c r="I344" s="69"/>
      <c r="J344" s="69"/>
      <c r="K344" s="68" t="s">
        <v>1480</v>
      </c>
      <c r="L344" s="70" t="s">
        <v>25</v>
      </c>
      <c r="M344" s="70" t="s">
        <v>1156</v>
      </c>
      <c r="N344" s="68" t="s">
        <v>2238</v>
      </c>
      <c r="O344" s="24" t="str">
        <f>IF(Q344=" _","NO","SI")</f>
        <v>NO</v>
      </c>
      <c r="P344" s="24" t="str">
        <f ca="1">IF(color_Celda(E344)=12106214,"ROSA",IF(color_Celda(E344)=65535,"AMARILLO",IF(color_Celda(E344)=5296274,"VERDE",IF(color_Celda(E344)=16777215,"BLANCO","NO SE"))))</f>
        <v>AMARILLO</v>
      </c>
      <c r="Q344" s="70" t="s">
        <v>108</v>
      </c>
      <c r="R344" s="267" t="str">
        <f>VLOOKUP($Q344,Resultados!$A$1:$B$49,2,FALSE)</f>
        <v xml:space="preserve"> _</v>
      </c>
      <c r="S344" s="70"/>
      <c r="T344" s="73"/>
      <c r="U344" s="73"/>
      <c r="V344" s="68"/>
      <c r="W344" s="68"/>
      <c r="X344" s="68"/>
      <c r="Y344" s="64"/>
      <c r="Z344" s="68"/>
      <c r="AA344" s="68"/>
      <c r="AB344" s="68"/>
      <c r="AC344" s="68"/>
      <c r="AD344" s="68"/>
      <c r="AE344" s="142"/>
      <c r="AF344" s="145">
        <v>7</v>
      </c>
      <c r="AG344" s="146"/>
      <c r="AH344" s="146">
        <v>0</v>
      </c>
      <c r="AI344" s="146"/>
      <c r="AJ344" s="126" t="s">
        <v>988</v>
      </c>
      <c r="AK344" s="134"/>
      <c r="AL344" s="151" t="s">
        <v>1627</v>
      </c>
      <c r="AM344" s="431" t="str">
        <f>VLOOKUP($Q344,Resultados!$A$1:$C$49,3,FALSE)</f>
        <v>TRAMITE</v>
      </c>
    </row>
    <row r="345" spans="1:39" customFormat="1" ht="76.5">
      <c r="A345" s="364">
        <v>168</v>
      </c>
      <c r="B345" s="35">
        <v>45236</v>
      </c>
      <c r="C345" s="337" t="s">
        <v>2242</v>
      </c>
      <c r="D345" s="32" t="s">
        <v>2243</v>
      </c>
      <c r="E345" s="40" t="s">
        <v>2244</v>
      </c>
      <c r="F345" s="39">
        <v>6</v>
      </c>
      <c r="G345" s="32" t="s">
        <v>326</v>
      </c>
      <c r="H345" s="38"/>
      <c r="I345" s="38"/>
      <c r="J345" s="38"/>
      <c r="K345" s="39" t="str">
        <f>IFERROR(VLOOKUP(J345,Jueces!$A$1:$B$11,2,FALSE),"")</f>
        <v/>
      </c>
      <c r="L345" s="32" t="s">
        <v>77</v>
      </c>
      <c r="M345" s="32" t="s">
        <v>2245</v>
      </c>
      <c r="N345" s="32" t="s">
        <v>1342</v>
      </c>
      <c r="O345" s="24" t="str">
        <f>IF(Q345=" _","NO","SI")</f>
        <v>NO</v>
      </c>
      <c r="P345" s="24" t="str">
        <f ca="1">IF(color_Celda(E345)=12106214,"ROSA",IF(color_Celda(E345)=65535,"AMARILLO",IF(color_Celda(E345)=5296274,"VERDE",IF(color_Celda(E345)=16777215,"BLANCO","NO SE"))))</f>
        <v>AMARILLO</v>
      </c>
      <c r="Q345" s="32" t="s">
        <v>108</v>
      </c>
      <c r="R345" s="267" t="str">
        <f>VLOOKUP($Q345,Resultados!$A$1:$B$49,2,FALSE)</f>
        <v xml:space="preserve"> _</v>
      </c>
      <c r="S345" s="32"/>
      <c r="T345" s="37"/>
      <c r="U345" s="37"/>
      <c r="V345" s="39"/>
      <c r="W345" s="39"/>
      <c r="X345" s="39"/>
      <c r="Y345" s="64"/>
      <c r="Z345" s="39"/>
      <c r="AA345" s="39"/>
      <c r="AB345" s="39"/>
      <c r="AC345" s="39"/>
      <c r="AD345" s="39"/>
      <c r="AE345" s="144"/>
      <c r="AF345" s="150"/>
      <c r="AG345" s="150"/>
      <c r="AH345" s="150"/>
      <c r="AI345" s="150"/>
      <c r="AJ345" s="128" t="s">
        <v>988</v>
      </c>
      <c r="AK345" s="136"/>
      <c r="AL345" s="151" t="s">
        <v>1627</v>
      </c>
      <c r="AM345" s="431" t="str">
        <f>VLOOKUP($Q345,Resultados!$A$1:$C$49,3,FALSE)</f>
        <v>TRAMITE</v>
      </c>
    </row>
    <row r="346" spans="1:39" customFormat="1" ht="38.25">
      <c r="A346" s="364">
        <v>169</v>
      </c>
      <c r="B346" s="38">
        <v>45236</v>
      </c>
      <c r="C346" s="337" t="s">
        <v>239</v>
      </c>
      <c r="D346" s="32" t="s">
        <v>2248</v>
      </c>
      <c r="E346" s="40" t="s">
        <v>2249</v>
      </c>
      <c r="F346" s="39">
        <v>6</v>
      </c>
      <c r="G346" s="39" t="s">
        <v>326</v>
      </c>
      <c r="H346" s="38"/>
      <c r="I346" s="38"/>
      <c r="J346" s="38"/>
      <c r="K346" s="39" t="str">
        <f>IFERROR(VLOOKUP(J346,Jueces!$A$1:$B$11,2,FALSE),"")</f>
        <v/>
      </c>
      <c r="L346" s="32" t="s">
        <v>2169</v>
      </c>
      <c r="M346" s="32" t="s">
        <v>270</v>
      </c>
      <c r="N346" s="32" t="s">
        <v>1342</v>
      </c>
      <c r="O346" s="24" t="str">
        <f>IF(Q346=" _","NO","SI")</f>
        <v>NO</v>
      </c>
      <c r="P346" s="24" t="str">
        <f ca="1">IF(color_Celda(E346)=12106214,"ROSA",IF(color_Celda(E346)=65535,"AMARILLO",IF(color_Celda(E346)=5296274,"VERDE",IF(color_Celda(E346)=16777215,"BLANCO","NO SE"))))</f>
        <v>AMARILLO</v>
      </c>
      <c r="Q346" s="32" t="s">
        <v>108</v>
      </c>
      <c r="R346" s="267" t="str">
        <f>VLOOKUP($Q346,Resultados!$A$1:$B$49,2,FALSE)</f>
        <v xml:space="preserve"> _</v>
      </c>
      <c r="S346" s="32"/>
      <c r="T346" s="37"/>
      <c r="U346" s="37"/>
      <c r="V346" s="39"/>
      <c r="W346" s="39"/>
      <c r="X346" s="39"/>
      <c r="Y346" s="64"/>
      <c r="Z346" s="39"/>
      <c r="AA346" s="39"/>
      <c r="AB346" s="39"/>
      <c r="AC346" s="39"/>
      <c r="AD346" s="39"/>
      <c r="AE346" s="144"/>
      <c r="AF346" s="150"/>
      <c r="AG346" s="150"/>
      <c r="AH346" s="150"/>
      <c r="AI346" s="150"/>
      <c r="AJ346" s="128" t="s">
        <v>988</v>
      </c>
      <c r="AK346" s="136"/>
      <c r="AL346" s="151" t="s">
        <v>1627</v>
      </c>
      <c r="AM346" s="431" t="str">
        <f>VLOOKUP($Q346,Resultados!$A$1:$C$49,3,FALSE)</f>
        <v>TRAMITE</v>
      </c>
    </row>
    <row r="347" spans="1:39" customFormat="1" ht="25.5">
      <c r="A347" s="364">
        <v>170</v>
      </c>
      <c r="B347" s="38">
        <v>45236</v>
      </c>
      <c r="C347" s="331">
        <v>0.53472222222222221</v>
      </c>
      <c r="D347" s="32" t="s">
        <v>2339</v>
      </c>
      <c r="E347" s="40" t="s">
        <v>2340</v>
      </c>
      <c r="F347" s="39">
        <v>4</v>
      </c>
      <c r="G347" s="39" t="s">
        <v>325</v>
      </c>
      <c r="H347" s="38"/>
      <c r="I347" s="38"/>
      <c r="J347" s="38"/>
      <c r="K347" s="39" t="str">
        <f>IFERROR(VLOOKUP(J347,Jueces!$A$1:$B$11,2,FALSE),"")</f>
        <v/>
      </c>
      <c r="L347" s="32" t="s">
        <v>74</v>
      </c>
      <c r="M347" s="32" t="s">
        <v>270</v>
      </c>
      <c r="N347" s="32" t="s">
        <v>3224</v>
      </c>
      <c r="O347" s="24" t="str">
        <f>IF(Q347=" _","NO","SI")</f>
        <v>NO</v>
      </c>
      <c r="P347" s="24" t="str">
        <f ca="1">IF(color_Celda(E347)=12106214,"ROSA",IF(color_Celda(E347)=65535,"AMARILLO",IF(color_Celda(E347)=5296274,"VERDE",IF(color_Celda(E347)=16777215,"BLANCO","NO SE"))))</f>
        <v>AMARILLO</v>
      </c>
      <c r="Q347" s="32" t="s">
        <v>108</v>
      </c>
      <c r="R347" s="267" t="str">
        <f>VLOOKUP($Q347,Resultados!$A$1:$B$49,2,FALSE)</f>
        <v xml:space="preserve"> _</v>
      </c>
      <c r="S347" s="32"/>
      <c r="T347" s="37"/>
      <c r="U347" s="37"/>
      <c r="V347" s="39"/>
      <c r="W347" s="39"/>
      <c r="X347" s="39"/>
      <c r="Y347" s="64"/>
      <c r="Z347" s="39"/>
      <c r="AA347" s="39"/>
      <c r="AB347" s="39"/>
      <c r="AC347" s="39"/>
      <c r="AD347" s="39"/>
      <c r="AE347" s="144"/>
      <c r="AF347" s="150"/>
      <c r="AG347" s="150"/>
      <c r="AH347" s="150"/>
      <c r="AI347" s="150"/>
      <c r="AJ347" s="128" t="s">
        <v>988</v>
      </c>
      <c r="AK347" s="136"/>
      <c r="AL347" s="151" t="s">
        <v>1627</v>
      </c>
      <c r="AM347" s="431" t="str">
        <f>VLOOKUP($Q347,Resultados!$A$1:$C$49,3,FALSE)</f>
        <v>TRAMITE</v>
      </c>
    </row>
    <row r="348" spans="1:39" customFormat="1" ht="25.5">
      <c r="A348" s="364">
        <v>171</v>
      </c>
      <c r="B348" s="38">
        <v>45236</v>
      </c>
      <c r="C348" s="331">
        <v>0.53472222222222221</v>
      </c>
      <c r="D348" s="32" t="s">
        <v>2355</v>
      </c>
      <c r="E348" s="40" t="s">
        <v>2356</v>
      </c>
      <c r="F348" s="39">
        <v>4</v>
      </c>
      <c r="G348" s="39" t="s">
        <v>325</v>
      </c>
      <c r="H348" s="38"/>
      <c r="I348" s="38"/>
      <c r="J348" s="38"/>
      <c r="K348" s="39" t="str">
        <f>IFERROR(VLOOKUP(J348,Jueces!$A$1:$B$11,2,FALSE),"")</f>
        <v/>
      </c>
      <c r="L348" s="32" t="s">
        <v>72</v>
      </c>
      <c r="M348" s="32" t="s">
        <v>47</v>
      </c>
      <c r="N348" s="32" t="s">
        <v>2315</v>
      </c>
      <c r="O348" s="24" t="str">
        <f>IF(Q348=" _","NO","SI")</f>
        <v>NO</v>
      </c>
      <c r="P348" s="24" t="str">
        <f ca="1">IF(color_Celda(E348)=12106214,"ROSA",IF(color_Celda(E348)=65535,"AMARILLO",IF(color_Celda(E348)=5296274,"VERDE",IF(color_Celda(E348)=16777215,"BLANCO","NO SE"))))</f>
        <v>AMARILLO</v>
      </c>
      <c r="Q348" s="32" t="s">
        <v>108</v>
      </c>
      <c r="R348" s="267" t="str">
        <f>VLOOKUP($Q348,Resultados!$A$1:$B$49,2,FALSE)</f>
        <v xml:space="preserve"> _</v>
      </c>
      <c r="S348" s="32"/>
      <c r="T348" s="37"/>
      <c r="U348" s="37"/>
      <c r="V348" s="39"/>
      <c r="W348" s="39"/>
      <c r="X348" s="39"/>
      <c r="Y348" s="64"/>
      <c r="Z348" s="39"/>
      <c r="AA348" s="39"/>
      <c r="AB348" s="39"/>
      <c r="AC348" s="39"/>
      <c r="AD348" s="39"/>
      <c r="AE348" s="144"/>
      <c r="AF348" s="150"/>
      <c r="AG348" s="150"/>
      <c r="AH348" s="150"/>
      <c r="AI348" s="150"/>
      <c r="AJ348" s="128" t="s">
        <v>988</v>
      </c>
      <c r="AK348" s="136"/>
      <c r="AL348" s="151" t="s">
        <v>1627</v>
      </c>
      <c r="AM348" s="431" t="str">
        <f>VLOOKUP($Q348,Resultados!$A$1:$C$49,3,FALSE)</f>
        <v>TRAMITE</v>
      </c>
    </row>
    <row r="349" spans="1:39" customFormat="1" ht="25.5">
      <c r="A349" s="364">
        <v>172</v>
      </c>
      <c r="B349" s="38">
        <v>45236</v>
      </c>
      <c r="C349" s="337" t="s">
        <v>1443</v>
      </c>
      <c r="D349" s="32" t="s">
        <v>2331</v>
      </c>
      <c r="E349" s="40" t="s">
        <v>2332</v>
      </c>
      <c r="F349" s="39">
        <v>4</v>
      </c>
      <c r="G349" s="39" t="s">
        <v>325</v>
      </c>
      <c r="H349" s="38"/>
      <c r="I349" s="38"/>
      <c r="J349" s="38"/>
      <c r="K349" s="39" t="str">
        <f>IFERROR(VLOOKUP(J349,Jueces!$A$1:$B$11,2,FALSE),"")</f>
        <v/>
      </c>
      <c r="L349" s="32" t="s">
        <v>72</v>
      </c>
      <c r="M349" s="32" t="s">
        <v>226</v>
      </c>
      <c r="N349" s="32" t="s">
        <v>2271</v>
      </c>
      <c r="O349" s="24" t="str">
        <f>IF(Q349=" _","NO","SI")</f>
        <v>NO</v>
      </c>
      <c r="P349" s="24" t="str">
        <f ca="1">IF(color_Celda(E349)=12106214,"ROSA",IF(color_Celda(E349)=65535,"AMARILLO",IF(color_Celda(E349)=5296274,"VERDE",IF(color_Celda(E349)=16777215,"BLANCO","NO SE"))))</f>
        <v>AMARILLO</v>
      </c>
      <c r="Q349" s="32" t="s">
        <v>108</v>
      </c>
      <c r="R349" s="267" t="str">
        <f>VLOOKUP($Q349,Resultados!$A$1:$B$49,2,FALSE)</f>
        <v xml:space="preserve"> _</v>
      </c>
      <c r="S349" s="32"/>
      <c r="T349" s="37"/>
      <c r="U349" s="37"/>
      <c r="V349" s="39"/>
      <c r="W349" s="39"/>
      <c r="X349" s="39"/>
      <c r="Y349" s="64"/>
      <c r="Z349" s="39"/>
      <c r="AA349" s="39"/>
      <c r="AB349" s="39"/>
      <c r="AC349" s="39"/>
      <c r="AD349" s="39"/>
      <c r="AE349" s="144"/>
      <c r="AF349" s="150"/>
      <c r="AG349" s="150"/>
      <c r="AH349" s="150"/>
      <c r="AI349" s="150"/>
      <c r="AJ349" s="128" t="s">
        <v>988</v>
      </c>
      <c r="AK349" s="136"/>
      <c r="AL349" s="151" t="s">
        <v>1627</v>
      </c>
      <c r="AM349" s="431" t="str">
        <f>VLOOKUP($Q349,Resultados!$A$1:$C$49,3,FALSE)</f>
        <v>TRAMITE</v>
      </c>
    </row>
    <row r="350" spans="1:39" customFormat="1" ht="51">
      <c r="A350" s="364">
        <v>173</v>
      </c>
      <c r="B350" s="38">
        <v>45236</v>
      </c>
      <c r="C350" s="331">
        <v>0.53472222222222221</v>
      </c>
      <c r="D350" s="32" t="s">
        <v>2362</v>
      </c>
      <c r="E350" s="40" t="s">
        <v>2363</v>
      </c>
      <c r="F350" s="39">
        <v>4</v>
      </c>
      <c r="G350" s="32" t="s">
        <v>2364</v>
      </c>
      <c r="H350" s="38"/>
      <c r="I350" s="38"/>
      <c r="J350" s="38"/>
      <c r="K350" s="39" t="str">
        <f>IFERROR(VLOOKUP(J350,Jueces!$A$1:$B$11,2,FALSE),"")</f>
        <v/>
      </c>
      <c r="L350" s="32" t="s">
        <v>2365</v>
      </c>
      <c r="M350" s="32" t="s">
        <v>1156</v>
      </c>
      <c r="N350" s="32" t="s">
        <v>2366</v>
      </c>
      <c r="O350" s="24" t="str">
        <f>IF(Q350=" _","NO","SI")</f>
        <v>NO</v>
      </c>
      <c r="P350" s="24" t="str">
        <f ca="1">IF(color_Celda(E350)=12106214,"ROSA",IF(color_Celda(E350)=65535,"AMARILLO",IF(color_Celda(E350)=5296274,"VERDE",IF(color_Celda(E350)=16777215,"BLANCO","NO SE"))))</f>
        <v>AMARILLO</v>
      </c>
      <c r="Q350" s="32" t="s">
        <v>108</v>
      </c>
      <c r="R350" s="267" t="str">
        <f>VLOOKUP($Q350,Resultados!$A$1:$B$49,2,FALSE)</f>
        <v xml:space="preserve"> _</v>
      </c>
      <c r="S350" s="32"/>
      <c r="T350" s="37"/>
      <c r="U350" s="37"/>
      <c r="V350" s="39"/>
      <c r="W350" s="39"/>
      <c r="X350" s="39"/>
      <c r="Y350" s="64"/>
      <c r="Z350" s="39"/>
      <c r="AA350" s="39"/>
      <c r="AB350" s="39"/>
      <c r="AC350" s="39"/>
      <c r="AD350" s="39"/>
      <c r="AE350" s="144"/>
      <c r="AF350" s="150"/>
      <c r="AG350" s="150"/>
      <c r="AH350" s="150"/>
      <c r="AI350" s="150"/>
      <c r="AJ350" s="128" t="s">
        <v>988</v>
      </c>
      <c r="AK350" s="136"/>
      <c r="AL350" s="151" t="s">
        <v>1627</v>
      </c>
      <c r="AM350" s="431" t="str">
        <f>VLOOKUP($Q350,Resultados!$A$1:$C$49,3,FALSE)</f>
        <v>TRAMITE</v>
      </c>
    </row>
    <row r="351" spans="1:39" customFormat="1" ht="51">
      <c r="A351" s="364">
        <v>175</v>
      </c>
      <c r="B351" s="69">
        <v>45237</v>
      </c>
      <c r="C351" s="329">
        <v>0.33333333333333331</v>
      </c>
      <c r="D351" s="70" t="s">
        <v>649</v>
      </c>
      <c r="E351" s="92" t="s">
        <v>2237</v>
      </c>
      <c r="F351" s="68">
        <v>6</v>
      </c>
      <c r="G351" s="68" t="s">
        <v>326</v>
      </c>
      <c r="H351" s="69"/>
      <c r="I351" s="69"/>
      <c r="J351" s="69"/>
      <c r="K351" s="68" t="s">
        <v>1480</v>
      </c>
      <c r="L351" s="70" t="s">
        <v>82</v>
      </c>
      <c r="M351" s="70" t="s">
        <v>234</v>
      </c>
      <c r="N351" s="68" t="s">
        <v>1342</v>
      </c>
      <c r="O351" s="24" t="str">
        <f>IF(Q351=" _","NO","SI")</f>
        <v>NO</v>
      </c>
      <c r="P351" s="24" t="str">
        <f ca="1">IF(color_Celda(E351)=12106214,"ROSA",IF(color_Celda(E351)=65535,"AMARILLO",IF(color_Celda(E351)=5296274,"VERDE",IF(color_Celda(E351)=16777215,"BLANCO","NO SE"))))</f>
        <v>AMARILLO</v>
      </c>
      <c r="Q351" s="70" t="s">
        <v>108</v>
      </c>
      <c r="R351" s="267" t="str">
        <f>VLOOKUP($Q351,Resultados!$A$1:$B$49,2,FALSE)</f>
        <v xml:space="preserve"> _</v>
      </c>
      <c r="S351" s="70"/>
      <c r="T351" s="73"/>
      <c r="U351" s="73"/>
      <c r="V351" s="68"/>
      <c r="W351" s="68"/>
      <c r="X351" s="68"/>
      <c r="Y351" s="64"/>
      <c r="Z351" s="68"/>
      <c r="AA351" s="68"/>
      <c r="AB351" s="68"/>
      <c r="AC351" s="68"/>
      <c r="AD351" s="68"/>
      <c r="AE351" s="142"/>
      <c r="AF351" s="145">
        <v>7</v>
      </c>
      <c r="AG351" s="146"/>
      <c r="AH351" s="146">
        <v>0</v>
      </c>
      <c r="AI351" s="146"/>
      <c r="AJ351" s="126" t="s">
        <v>988</v>
      </c>
      <c r="AK351" s="134"/>
      <c r="AL351" s="151" t="s">
        <v>1627</v>
      </c>
      <c r="AM351" s="431" t="str">
        <f>VLOOKUP($Q351,Resultados!$A$1:$C$49,3,FALSE)</f>
        <v>TRAMITE</v>
      </c>
    </row>
    <row r="352" spans="1:39" customFormat="1" ht="25.5">
      <c r="A352" s="364">
        <v>176</v>
      </c>
      <c r="B352" s="69">
        <v>45237</v>
      </c>
      <c r="C352" s="329">
        <v>0.45833333333333331</v>
      </c>
      <c r="D352" s="70" t="s">
        <v>215</v>
      </c>
      <c r="E352" s="92" t="s">
        <v>653</v>
      </c>
      <c r="F352" s="68">
        <v>4</v>
      </c>
      <c r="G352" s="68" t="s">
        <v>325</v>
      </c>
      <c r="H352" s="69"/>
      <c r="I352" s="69"/>
      <c r="J352" s="69"/>
      <c r="K352" s="68" t="s">
        <v>1480</v>
      </c>
      <c r="L352" s="70" t="s">
        <v>250</v>
      </c>
      <c r="M352" s="70" t="s">
        <v>46</v>
      </c>
      <c r="N352" s="70" t="s">
        <v>654</v>
      </c>
      <c r="O352" s="24" t="str">
        <f>IF(Q352=" _","NO","SI")</f>
        <v>NO</v>
      </c>
      <c r="P352" s="24" t="str">
        <f ca="1">IF(color_Celda(E352)=12106214,"ROSA",IF(color_Celda(E352)=65535,"AMARILLO",IF(color_Celda(E352)=5296274,"VERDE",IF(color_Celda(E352)=16777215,"BLANCO","NO SE"))))</f>
        <v>AMARILLO</v>
      </c>
      <c r="Q352" s="70" t="s">
        <v>108</v>
      </c>
      <c r="R352" s="267" t="str">
        <f>VLOOKUP($Q352,Resultados!$A$1:$B$49,2,FALSE)</f>
        <v xml:space="preserve"> _</v>
      </c>
      <c r="S352" s="70"/>
      <c r="T352" s="73"/>
      <c r="U352" s="73"/>
      <c r="V352" s="68"/>
      <c r="W352" s="68"/>
      <c r="X352" s="68"/>
      <c r="Y352" s="64"/>
      <c r="Z352" s="68"/>
      <c r="AA352" s="68"/>
      <c r="AB352" s="68"/>
      <c r="AC352" s="68"/>
      <c r="AD352" s="68"/>
      <c r="AE352" s="142"/>
      <c r="AF352" s="145">
        <v>7</v>
      </c>
      <c r="AG352" s="146"/>
      <c r="AH352" s="146">
        <v>0</v>
      </c>
      <c r="AI352" s="146"/>
      <c r="AJ352" s="361" t="s">
        <v>988</v>
      </c>
      <c r="AK352" s="131"/>
      <c r="AL352" s="129" t="s">
        <v>1627</v>
      </c>
      <c r="AM352" s="431" t="str">
        <f>VLOOKUP($Q352,Resultados!$A$1:$C$49,3,FALSE)</f>
        <v>TRAMITE</v>
      </c>
    </row>
    <row r="353" spans="1:39" customFormat="1" ht="38.25">
      <c r="A353" s="364">
        <v>177</v>
      </c>
      <c r="B353" s="69">
        <v>45237</v>
      </c>
      <c r="C353" s="329">
        <v>0.47916666666666669</v>
      </c>
      <c r="D353" s="70" t="s">
        <v>655</v>
      </c>
      <c r="E353" s="92" t="s">
        <v>656</v>
      </c>
      <c r="F353" s="68">
        <v>2</v>
      </c>
      <c r="G353" s="68" t="s">
        <v>325</v>
      </c>
      <c r="H353" s="69"/>
      <c r="I353" s="69"/>
      <c r="J353" s="69"/>
      <c r="K353" s="68" t="s">
        <v>1480</v>
      </c>
      <c r="L353" s="70" t="s">
        <v>74</v>
      </c>
      <c r="M353" s="70" t="s">
        <v>226</v>
      </c>
      <c r="N353" s="68" t="s">
        <v>1858</v>
      </c>
      <c r="O353" s="137" t="str">
        <f>IF(Q353=" _","NO","SI")</f>
        <v>NO</v>
      </c>
      <c r="P353" s="24" t="str">
        <f ca="1">IF(color_Celda(E353)=12106214,"ROSA",IF(color_Celda(E353)=65535,"AMARILLO",IF(color_Celda(E353)=5296274,"VERDE",IF(color_Celda(E353)=16777215,"BLANCO","NO SE"))))</f>
        <v>AMARILLO</v>
      </c>
      <c r="Q353" s="70" t="s">
        <v>108</v>
      </c>
      <c r="R353" s="267" t="str">
        <f>VLOOKUP($Q353,Resultados!$A$1:$B$49,2,FALSE)</f>
        <v xml:space="preserve"> _</v>
      </c>
      <c r="S353" s="70"/>
      <c r="T353" s="73"/>
      <c r="U353" s="73"/>
      <c r="V353" s="68"/>
      <c r="W353" s="68"/>
      <c r="X353" s="68"/>
      <c r="Y353" s="64"/>
      <c r="Z353" s="68"/>
      <c r="AA353" s="68"/>
      <c r="AB353" s="68"/>
      <c r="AC353" s="68"/>
      <c r="AD353" s="68"/>
      <c r="AE353" s="142"/>
      <c r="AF353" s="145">
        <v>7</v>
      </c>
      <c r="AG353" s="146"/>
      <c r="AH353" s="146">
        <v>0</v>
      </c>
      <c r="AI353" s="146"/>
      <c r="AJ353" s="126" t="s">
        <v>988</v>
      </c>
      <c r="AK353" s="134"/>
      <c r="AL353" s="151" t="s">
        <v>1627</v>
      </c>
      <c r="AM353" s="431" t="str">
        <f>VLOOKUP($Q353,Resultados!$A$1:$C$49,3,FALSE)</f>
        <v>TRAMITE</v>
      </c>
    </row>
    <row r="354" spans="1:39" customFormat="1" ht="51">
      <c r="A354" s="364">
        <v>178</v>
      </c>
      <c r="B354" s="69">
        <v>45237</v>
      </c>
      <c r="C354" s="329">
        <v>0.45416666666666666</v>
      </c>
      <c r="D354" s="70" t="s">
        <v>657</v>
      </c>
      <c r="E354" s="92" t="s">
        <v>658</v>
      </c>
      <c r="F354" s="68">
        <v>2</v>
      </c>
      <c r="G354" s="68" t="s">
        <v>325</v>
      </c>
      <c r="H354" s="69"/>
      <c r="I354" s="69"/>
      <c r="J354" s="69"/>
      <c r="K354" s="68" t="s">
        <v>1480</v>
      </c>
      <c r="L354" s="70" t="s">
        <v>74</v>
      </c>
      <c r="M354" s="70" t="s">
        <v>2387</v>
      </c>
      <c r="N354" s="68" t="s">
        <v>2388</v>
      </c>
      <c r="O354" s="24" t="str">
        <f>IF(Q354=" _","NO","SI")</f>
        <v>NO</v>
      </c>
      <c r="P354" s="24" t="str">
        <f ca="1">IF(color_Celda(E354)=12106214,"ROSA",IF(color_Celda(E354)=65535,"AMARILLO",IF(color_Celda(E354)=5296274,"VERDE",IF(color_Celda(E354)=16777215,"BLANCO","NO SE"))))</f>
        <v>AMARILLO</v>
      </c>
      <c r="Q354" s="70" t="s">
        <v>108</v>
      </c>
      <c r="R354" s="267" t="str">
        <f>VLOOKUP($Q354,Resultados!$A$1:$B$49,2,FALSE)</f>
        <v xml:space="preserve"> _</v>
      </c>
      <c r="S354" s="70"/>
      <c r="T354" s="73"/>
      <c r="U354" s="73"/>
      <c r="V354" s="68"/>
      <c r="W354" s="68"/>
      <c r="X354" s="68"/>
      <c r="Y354" s="64"/>
      <c r="Z354" s="68"/>
      <c r="AA354" s="68"/>
      <c r="AB354" s="68"/>
      <c r="AC354" s="68"/>
      <c r="AD354" s="68"/>
      <c r="AE354" s="142"/>
      <c r="AF354" s="145">
        <v>7</v>
      </c>
      <c r="AG354" s="146"/>
      <c r="AH354" s="146">
        <v>0</v>
      </c>
      <c r="AI354" s="146"/>
      <c r="AJ354" s="126" t="s">
        <v>988</v>
      </c>
      <c r="AK354" s="134"/>
      <c r="AL354" s="151" t="s">
        <v>1627</v>
      </c>
      <c r="AM354" s="431" t="str">
        <f>VLOOKUP($Q354,Resultados!$A$1:$C$49,3,FALSE)</f>
        <v>TRAMITE</v>
      </c>
    </row>
    <row r="355" spans="1:39" customFormat="1" ht="38.25">
      <c r="A355" s="364">
        <v>179</v>
      </c>
      <c r="B355" s="69">
        <v>45237</v>
      </c>
      <c r="C355" s="329">
        <v>0.47500000000000003</v>
      </c>
      <c r="D355" s="70" t="s">
        <v>659</v>
      </c>
      <c r="E355" s="92" t="s">
        <v>660</v>
      </c>
      <c r="F355" s="68">
        <v>2</v>
      </c>
      <c r="G355" s="68" t="s">
        <v>325</v>
      </c>
      <c r="H355" s="69"/>
      <c r="I355" s="69"/>
      <c r="J355" s="69"/>
      <c r="K355" s="68" t="s">
        <v>1480</v>
      </c>
      <c r="L355" s="70" t="s">
        <v>86</v>
      </c>
      <c r="M355" s="70" t="s">
        <v>45</v>
      </c>
      <c r="N355" s="68" t="s">
        <v>1342</v>
      </c>
      <c r="O355" s="24" t="str">
        <f>IF(Q355=" _","NO","SI")</f>
        <v>NO</v>
      </c>
      <c r="P355" s="24" t="str">
        <f ca="1">IF(color_Celda(E355)=12106214,"ROSA",IF(color_Celda(E355)=65535,"AMARILLO",IF(color_Celda(E355)=5296274,"VERDE",IF(color_Celda(E355)=16777215,"BLANCO","NO SE"))))</f>
        <v>AMARILLO</v>
      </c>
      <c r="Q355" s="70" t="s">
        <v>108</v>
      </c>
      <c r="R355" s="267" t="str">
        <f>VLOOKUP($Q355,Resultados!$A$1:$B$49,2,FALSE)</f>
        <v xml:space="preserve"> _</v>
      </c>
      <c r="S355" s="70"/>
      <c r="T355" s="73"/>
      <c r="U355" s="73"/>
      <c r="V355" s="68"/>
      <c r="W355" s="68"/>
      <c r="X355" s="68"/>
      <c r="Y355" s="64"/>
      <c r="Z355" s="68"/>
      <c r="AA355" s="68"/>
      <c r="AB355" s="68"/>
      <c r="AC355" s="68"/>
      <c r="AD355" s="68"/>
      <c r="AE355" s="142"/>
      <c r="AF355" s="145">
        <v>7</v>
      </c>
      <c r="AG355" s="146"/>
      <c r="AH355" s="146">
        <v>0</v>
      </c>
      <c r="AI355" s="146"/>
      <c r="AJ355" s="126" t="s">
        <v>988</v>
      </c>
      <c r="AK355" s="134"/>
      <c r="AL355" s="151" t="s">
        <v>1627</v>
      </c>
      <c r="AM355" s="431" t="str">
        <f>VLOOKUP($Q355,Resultados!$A$1:$C$49,3,FALSE)</f>
        <v>TRAMITE</v>
      </c>
    </row>
    <row r="356" spans="1:39" customFormat="1" ht="25.5">
      <c r="A356" s="364">
        <v>180</v>
      </c>
      <c r="B356" s="69">
        <v>45237</v>
      </c>
      <c r="C356" s="332" t="s">
        <v>661</v>
      </c>
      <c r="D356" s="70" t="s">
        <v>662</v>
      </c>
      <c r="E356" s="92" t="s">
        <v>663</v>
      </c>
      <c r="F356" s="68">
        <v>2</v>
      </c>
      <c r="G356" s="68" t="s">
        <v>325</v>
      </c>
      <c r="H356" s="69"/>
      <c r="I356" s="69"/>
      <c r="J356" s="69"/>
      <c r="K356" s="68" t="s">
        <v>1480</v>
      </c>
      <c r="L356" s="70" t="s">
        <v>73</v>
      </c>
      <c r="M356" s="70" t="s">
        <v>67</v>
      </c>
      <c r="N356" s="68" t="s">
        <v>2388</v>
      </c>
      <c r="O356" s="24" t="str">
        <f>IF(Q356=" _","NO","SI")</f>
        <v>NO</v>
      </c>
      <c r="P356" s="24" t="str">
        <f ca="1">IF(color_Celda(E356)=12106214,"ROSA",IF(color_Celda(E356)=65535,"AMARILLO",IF(color_Celda(E356)=5296274,"VERDE",IF(color_Celda(E356)=16777215,"BLANCO","NO SE"))))</f>
        <v>AMARILLO</v>
      </c>
      <c r="Q356" s="70" t="s">
        <v>108</v>
      </c>
      <c r="R356" s="267" t="str">
        <f>VLOOKUP($Q356,Resultados!$A$1:$B$49,2,FALSE)</f>
        <v xml:space="preserve"> _</v>
      </c>
      <c r="S356" s="70"/>
      <c r="T356" s="73"/>
      <c r="U356" s="73"/>
      <c r="V356" s="68"/>
      <c r="W356" s="68"/>
      <c r="X356" s="68"/>
      <c r="Y356" s="64"/>
      <c r="Z356" s="68"/>
      <c r="AA356" s="68"/>
      <c r="AB356" s="68"/>
      <c r="AC356" s="68"/>
      <c r="AD356" s="68"/>
      <c r="AE356" s="142"/>
      <c r="AF356" s="145">
        <v>7</v>
      </c>
      <c r="AG356" s="146"/>
      <c r="AH356" s="146">
        <v>0</v>
      </c>
      <c r="AI356" s="146"/>
      <c r="AJ356" s="126" t="s">
        <v>988</v>
      </c>
      <c r="AK356" s="134"/>
      <c r="AL356" s="151" t="s">
        <v>1627</v>
      </c>
      <c r="AM356" s="431" t="str">
        <f>VLOOKUP($Q356,Resultados!$A$1:$C$49,3,FALSE)</f>
        <v>TRAMITE</v>
      </c>
    </row>
    <row r="357" spans="1:39" customFormat="1" ht="25.5">
      <c r="A357" s="364">
        <v>181</v>
      </c>
      <c r="B357" s="69">
        <v>45237</v>
      </c>
      <c r="C357" s="329">
        <v>0.47638888888888892</v>
      </c>
      <c r="D357" s="70" t="s">
        <v>664</v>
      </c>
      <c r="E357" s="92" t="s">
        <v>665</v>
      </c>
      <c r="F357" s="68">
        <v>2</v>
      </c>
      <c r="G357" s="68" t="s">
        <v>325</v>
      </c>
      <c r="H357" s="69"/>
      <c r="I357" s="69"/>
      <c r="J357" s="69"/>
      <c r="K357" s="68" t="s">
        <v>1480</v>
      </c>
      <c r="L357" s="70" t="s">
        <v>73</v>
      </c>
      <c r="M357" s="70" t="s">
        <v>2557</v>
      </c>
      <c r="N357" s="68" t="s">
        <v>2388</v>
      </c>
      <c r="O357" s="137" t="str">
        <f>IF(Q357=" _","NO","SI")</f>
        <v>NO</v>
      </c>
      <c r="P357" s="24" t="str">
        <f ca="1">IF(color_Celda(E357)=12106214,"ROSA",IF(color_Celda(E357)=65535,"AMARILLO",IF(color_Celda(E357)=5296274,"VERDE",IF(color_Celda(E357)=16777215,"BLANCO","NO SE"))))</f>
        <v>AMARILLO</v>
      </c>
      <c r="Q357" s="70" t="s">
        <v>108</v>
      </c>
      <c r="R357" s="267" t="str">
        <f>VLOOKUP($Q357,Resultados!$A$1:$B$49,2,FALSE)</f>
        <v xml:space="preserve"> _</v>
      </c>
      <c r="S357" s="70"/>
      <c r="T357" s="73"/>
      <c r="U357" s="73"/>
      <c r="V357" s="68"/>
      <c r="W357" s="68"/>
      <c r="X357" s="68"/>
      <c r="Y357" s="199"/>
      <c r="Z357" s="68"/>
      <c r="AA357" s="68"/>
      <c r="AB357" s="68"/>
      <c r="AC357" s="68"/>
      <c r="AD357" s="68"/>
      <c r="AE357" s="142"/>
      <c r="AF357" s="145">
        <v>7</v>
      </c>
      <c r="AG357" s="146"/>
      <c r="AH357" s="146">
        <v>0</v>
      </c>
      <c r="AI357" s="146"/>
      <c r="AJ357" s="126" t="s">
        <v>988</v>
      </c>
      <c r="AK357" s="134"/>
      <c r="AL357" s="151" t="s">
        <v>1627</v>
      </c>
      <c r="AM357" s="431" t="str">
        <f>VLOOKUP($Q357,Resultados!$A$1:$C$49,3,FALSE)</f>
        <v>TRAMITE</v>
      </c>
    </row>
    <row r="358" spans="1:39" customFormat="1" ht="114.75">
      <c r="A358" s="364">
        <v>183</v>
      </c>
      <c r="B358" s="69">
        <v>45237</v>
      </c>
      <c r="C358" s="329">
        <v>0.4777777777777778</v>
      </c>
      <c r="D358" s="70" t="s">
        <v>668</v>
      </c>
      <c r="E358" s="92" t="s">
        <v>669</v>
      </c>
      <c r="F358" s="68">
        <v>2</v>
      </c>
      <c r="G358" s="68" t="s">
        <v>325</v>
      </c>
      <c r="H358" s="69"/>
      <c r="I358" s="69"/>
      <c r="J358" s="69"/>
      <c r="K358" s="68" t="s">
        <v>1480</v>
      </c>
      <c r="L358" s="70" t="s">
        <v>2170</v>
      </c>
      <c r="M358" s="70"/>
      <c r="N358" s="68" t="s">
        <v>2577</v>
      </c>
      <c r="O358" s="137" t="str">
        <f>IF(Q358=" _","NO","SI")</f>
        <v>NO</v>
      </c>
      <c r="P358" s="24" t="str">
        <f ca="1">IF(color_Celda(E358)=12106214,"ROSA",IF(color_Celda(E358)=65535,"AMARILLO",IF(color_Celda(E358)=5296274,"VERDE",IF(color_Celda(E358)=16777215,"BLANCO","NO SE"))))</f>
        <v>AMARILLO</v>
      </c>
      <c r="Q358" s="70" t="s">
        <v>108</v>
      </c>
      <c r="R358" s="267" t="str">
        <f>VLOOKUP($Q358,Resultados!$A$1:$B$49,2,FALSE)</f>
        <v xml:space="preserve"> _</v>
      </c>
      <c r="S358" s="70"/>
      <c r="T358" s="73"/>
      <c r="U358" s="73"/>
      <c r="V358" s="68"/>
      <c r="W358" s="68"/>
      <c r="X358" s="68"/>
      <c r="Y358" s="199"/>
      <c r="Z358" s="68"/>
      <c r="AA358" s="68"/>
      <c r="AB358" s="68"/>
      <c r="AC358" s="68"/>
      <c r="AD358" s="68"/>
      <c r="AE358" s="142"/>
      <c r="AF358" s="145">
        <v>7</v>
      </c>
      <c r="AG358" s="146"/>
      <c r="AH358" s="146">
        <v>0</v>
      </c>
      <c r="AI358" s="146"/>
      <c r="AJ358" s="126" t="s">
        <v>988</v>
      </c>
      <c r="AK358" s="134"/>
      <c r="AL358" s="151" t="s">
        <v>1627</v>
      </c>
      <c r="AM358" s="431" t="str">
        <f>VLOOKUP($Q358,Resultados!$A$1:$C$49,3,FALSE)</f>
        <v>TRAMITE</v>
      </c>
    </row>
    <row r="359" spans="1:39" customFormat="1" ht="38.25">
      <c r="A359" s="364">
        <v>184</v>
      </c>
      <c r="B359" s="69">
        <v>45237</v>
      </c>
      <c r="C359" s="329">
        <v>0.47986111111111113</v>
      </c>
      <c r="D359" s="70" t="s">
        <v>670</v>
      </c>
      <c r="E359" s="92" t="s">
        <v>671</v>
      </c>
      <c r="F359" s="68">
        <v>2</v>
      </c>
      <c r="G359" s="68" t="s">
        <v>325</v>
      </c>
      <c r="H359" s="69"/>
      <c r="I359" s="69"/>
      <c r="J359" s="69"/>
      <c r="K359" s="68" t="s">
        <v>1480</v>
      </c>
      <c r="L359" s="70" t="s">
        <v>74</v>
      </c>
      <c r="M359" s="70" t="s">
        <v>61</v>
      </c>
      <c r="N359" s="68"/>
      <c r="O359" s="137" t="str">
        <f>IF(Q359=" _","NO","SI")</f>
        <v>NO</v>
      </c>
      <c r="P359" s="24" t="str">
        <f ca="1">IF(color_Celda(E359)=12106214,"ROSA",IF(color_Celda(E359)=65535,"AMARILLO",IF(color_Celda(E359)=5296274,"VERDE",IF(color_Celda(E359)=16777215,"BLANCO","NO SE"))))</f>
        <v>AMARILLO</v>
      </c>
      <c r="Q359" s="70" t="s">
        <v>108</v>
      </c>
      <c r="R359" s="267" t="str">
        <f>VLOOKUP($Q359,Resultados!$A$1:$B$49,2,FALSE)</f>
        <v xml:space="preserve"> _</v>
      </c>
      <c r="S359" s="70"/>
      <c r="T359" s="73"/>
      <c r="U359" s="73"/>
      <c r="V359" s="68"/>
      <c r="W359" s="68"/>
      <c r="X359" s="68"/>
      <c r="Y359" s="64"/>
      <c r="Z359" s="68"/>
      <c r="AA359" s="68"/>
      <c r="AB359" s="68"/>
      <c r="AC359" s="68"/>
      <c r="AD359" s="68"/>
      <c r="AE359" s="142"/>
      <c r="AF359" s="145">
        <v>7</v>
      </c>
      <c r="AG359" s="146"/>
      <c r="AH359" s="146">
        <v>0</v>
      </c>
      <c r="AI359" s="146"/>
      <c r="AJ359" s="126" t="s">
        <v>988</v>
      </c>
      <c r="AK359" s="134"/>
      <c r="AL359" s="151" t="s">
        <v>1627</v>
      </c>
      <c r="AM359" s="431" t="str">
        <f>VLOOKUP($Q359,Resultados!$A$1:$C$49,3,FALSE)</f>
        <v>TRAMITE</v>
      </c>
    </row>
    <row r="360" spans="1:39" customFormat="1" ht="38.25">
      <c r="A360" s="364">
        <v>186</v>
      </c>
      <c r="B360" s="69">
        <v>45237</v>
      </c>
      <c r="C360" s="329">
        <v>0.53333333333333333</v>
      </c>
      <c r="D360" s="70" t="s">
        <v>675</v>
      </c>
      <c r="E360" s="92" t="s">
        <v>676</v>
      </c>
      <c r="F360" s="68">
        <v>3</v>
      </c>
      <c r="G360" s="68" t="s">
        <v>1750</v>
      </c>
      <c r="H360" s="69"/>
      <c r="I360" s="69"/>
      <c r="J360" s="69"/>
      <c r="K360" s="68" t="s">
        <v>1480</v>
      </c>
      <c r="L360" s="70" t="s">
        <v>74</v>
      </c>
      <c r="M360" s="70" t="s">
        <v>60</v>
      </c>
      <c r="N360" s="68"/>
      <c r="O360" s="24" t="str">
        <f>IF(Q360=" _","NO","SI")</f>
        <v>NO</v>
      </c>
      <c r="P360" s="24" t="str">
        <f ca="1">IF(color_Celda(E360)=12106214,"ROSA",IF(color_Celda(E360)=65535,"AMARILLO",IF(color_Celda(E360)=5296274,"VERDE",IF(color_Celda(E360)=16777215,"BLANCO","NO SE"))))</f>
        <v>AMARILLO</v>
      </c>
      <c r="Q360" s="70" t="s">
        <v>108</v>
      </c>
      <c r="R360" s="267" t="str">
        <f>VLOOKUP($Q360,Resultados!$A$1:$B$49,2,FALSE)</f>
        <v xml:space="preserve"> _</v>
      </c>
      <c r="S360" s="70"/>
      <c r="T360" s="73"/>
      <c r="U360" s="73"/>
      <c r="V360" s="68"/>
      <c r="W360" s="68"/>
      <c r="X360" s="68"/>
      <c r="Y360" s="64"/>
      <c r="Z360" s="68"/>
      <c r="AA360" s="68"/>
      <c r="AB360" s="68"/>
      <c r="AC360" s="68"/>
      <c r="AD360" s="68"/>
      <c r="AE360" s="142"/>
      <c r="AF360" s="145">
        <v>7</v>
      </c>
      <c r="AG360" s="146"/>
      <c r="AH360" s="146">
        <v>0</v>
      </c>
      <c r="AI360" s="146"/>
      <c r="AJ360" s="126" t="s">
        <v>988</v>
      </c>
      <c r="AK360" s="132"/>
      <c r="AL360" s="129" t="s">
        <v>1627</v>
      </c>
      <c r="AM360" s="431" t="str">
        <f>VLOOKUP($Q360,Resultados!$A$1:$C$49,3,FALSE)</f>
        <v>TRAMITE</v>
      </c>
    </row>
    <row r="361" spans="1:39" customFormat="1" ht="25.5">
      <c r="A361" s="364">
        <v>187</v>
      </c>
      <c r="B361" s="69">
        <v>45237</v>
      </c>
      <c r="C361" s="332" t="s">
        <v>687</v>
      </c>
      <c r="D361" s="70" t="s">
        <v>688</v>
      </c>
      <c r="E361" s="92" t="s">
        <v>689</v>
      </c>
      <c r="F361" s="68">
        <v>3</v>
      </c>
      <c r="G361" s="68" t="s">
        <v>1750</v>
      </c>
      <c r="H361" s="69"/>
      <c r="I361" s="69"/>
      <c r="J361" s="69"/>
      <c r="K361" s="68" t="s">
        <v>1480</v>
      </c>
      <c r="L361" s="70" t="s">
        <v>250</v>
      </c>
      <c r="M361" s="70" t="s">
        <v>67</v>
      </c>
      <c r="N361" s="68" t="s">
        <v>1630</v>
      </c>
      <c r="O361" s="24" t="str">
        <f>IF(Q361=" _","NO","SI")</f>
        <v>NO</v>
      </c>
      <c r="P361" s="24" t="str">
        <f ca="1">IF(color_Celda(E361)=12106214,"ROSA",IF(color_Celda(E361)=65535,"AMARILLO",IF(color_Celda(E361)=5296274,"VERDE",IF(color_Celda(E361)=16777215,"BLANCO","NO SE"))))</f>
        <v>AMARILLO</v>
      </c>
      <c r="Q361" s="70" t="s">
        <v>108</v>
      </c>
      <c r="R361" s="267" t="str">
        <f>VLOOKUP($Q361,Resultados!$A$1:$B$49,2,FALSE)</f>
        <v xml:space="preserve"> _</v>
      </c>
      <c r="S361" s="70"/>
      <c r="T361" s="73"/>
      <c r="U361" s="73"/>
      <c r="V361" s="68"/>
      <c r="W361" s="68"/>
      <c r="X361" s="68"/>
      <c r="Y361" s="64"/>
      <c r="Z361" s="68"/>
      <c r="AA361" s="68"/>
      <c r="AB361" s="68"/>
      <c r="AC361" s="68"/>
      <c r="AD361" s="68"/>
      <c r="AE361" s="142"/>
      <c r="AF361" s="145">
        <v>7</v>
      </c>
      <c r="AG361" s="146"/>
      <c r="AH361" s="146">
        <v>0</v>
      </c>
      <c r="AI361" s="146"/>
      <c r="AJ361" s="126" t="s">
        <v>988</v>
      </c>
      <c r="AK361" s="134"/>
      <c r="AL361" s="151" t="s">
        <v>1627</v>
      </c>
      <c r="AM361" s="431" t="str">
        <f>VLOOKUP($Q361,Resultados!$A$1:$C$49,3,FALSE)</f>
        <v>TRAMITE</v>
      </c>
    </row>
    <row r="362" spans="1:39" customFormat="1" ht="38.25">
      <c r="A362" s="364">
        <v>189</v>
      </c>
      <c r="B362" s="69">
        <v>45238</v>
      </c>
      <c r="C362" s="329">
        <v>0.33333333333333331</v>
      </c>
      <c r="D362" s="70" t="s">
        <v>677</v>
      </c>
      <c r="E362" s="92" t="s">
        <v>678</v>
      </c>
      <c r="F362" s="68">
        <v>6</v>
      </c>
      <c r="G362" s="68" t="s">
        <v>326</v>
      </c>
      <c r="H362" s="69"/>
      <c r="I362" s="69"/>
      <c r="J362" s="69"/>
      <c r="K362" s="68" t="s">
        <v>1480</v>
      </c>
      <c r="L362" s="70" t="s">
        <v>86</v>
      </c>
      <c r="M362" s="70" t="s">
        <v>260</v>
      </c>
      <c r="N362" s="68" t="s">
        <v>2296</v>
      </c>
      <c r="O362" s="24" t="str">
        <f>IF(Q362=" _","NO","SI")</f>
        <v>NO</v>
      </c>
      <c r="P362" s="24" t="str">
        <f ca="1">IF(color_Celda(E362)=12106214,"ROSA",IF(color_Celda(E362)=65535,"AMARILLO",IF(color_Celda(E362)=5296274,"VERDE",IF(color_Celda(E362)=16777215,"BLANCO","NO SE"))))</f>
        <v>AMARILLO</v>
      </c>
      <c r="Q362" s="70" t="s">
        <v>108</v>
      </c>
      <c r="R362" s="267" t="str">
        <f>VLOOKUP($Q362,Resultados!$A$1:$B$49,2,FALSE)</f>
        <v xml:space="preserve"> _</v>
      </c>
      <c r="S362" s="70"/>
      <c r="T362" s="73"/>
      <c r="U362" s="73"/>
      <c r="V362" s="68"/>
      <c r="W362" s="68"/>
      <c r="X362" s="68"/>
      <c r="Y362" s="64"/>
      <c r="Z362" s="68"/>
      <c r="AA362" s="68"/>
      <c r="AB362" s="68"/>
      <c r="AC362" s="68"/>
      <c r="AD362" s="68"/>
      <c r="AE362" s="142"/>
      <c r="AF362" s="145">
        <v>7</v>
      </c>
      <c r="AG362" s="146"/>
      <c r="AH362" s="146">
        <v>0</v>
      </c>
      <c r="AI362" s="146"/>
      <c r="AJ362" s="126" t="s">
        <v>988</v>
      </c>
      <c r="AK362" s="134"/>
      <c r="AL362" s="151" t="s">
        <v>1627</v>
      </c>
      <c r="AM362" s="431" t="str">
        <f>VLOOKUP($Q362,Resultados!$A$1:$C$49,3,FALSE)</f>
        <v>TRAMITE</v>
      </c>
    </row>
    <row r="363" spans="1:39" customFormat="1" ht="38.25">
      <c r="A363" s="364">
        <v>190</v>
      </c>
      <c r="B363" s="69">
        <v>45238</v>
      </c>
      <c r="C363" s="332" t="s">
        <v>12</v>
      </c>
      <c r="D363" s="70" t="s">
        <v>679</v>
      </c>
      <c r="E363" s="92" t="s">
        <v>680</v>
      </c>
      <c r="F363" s="68">
        <v>3</v>
      </c>
      <c r="G363" s="68" t="s">
        <v>1750</v>
      </c>
      <c r="H363" s="69"/>
      <c r="I363" s="69"/>
      <c r="J363" s="69"/>
      <c r="K363" s="68" t="s">
        <v>1480</v>
      </c>
      <c r="L363" s="70" t="s">
        <v>74</v>
      </c>
      <c r="M363" s="70" t="s">
        <v>47</v>
      </c>
      <c r="N363" s="111" t="s">
        <v>1499</v>
      </c>
      <c r="O363" s="24" t="str">
        <f>IF(Q363=" _","NO","SI")</f>
        <v>NO</v>
      </c>
      <c r="P363" s="24" t="str">
        <f ca="1">IF(color_Celda(E363)=12106214,"ROSA",IF(color_Celda(E363)=65535,"AMARILLO",IF(color_Celda(E363)=5296274,"VERDE",IF(color_Celda(E363)=16777215,"BLANCO","NO SE"))))</f>
        <v>AMARILLO</v>
      </c>
      <c r="Q363" s="70" t="s">
        <v>108</v>
      </c>
      <c r="R363" s="267" t="str">
        <f>VLOOKUP($Q363,Resultados!$A$1:$B$49,2,FALSE)</f>
        <v xml:space="preserve"> _</v>
      </c>
      <c r="S363" s="70"/>
      <c r="T363" s="73"/>
      <c r="U363" s="73"/>
      <c r="V363" s="68"/>
      <c r="W363" s="68"/>
      <c r="X363" s="68"/>
      <c r="Y363" s="64"/>
      <c r="Z363" s="68"/>
      <c r="AA363" s="68"/>
      <c r="AB363" s="68"/>
      <c r="AC363" s="68"/>
      <c r="AD363" s="68"/>
      <c r="AE363" s="142"/>
      <c r="AF363" s="145">
        <v>7</v>
      </c>
      <c r="AG363" s="146"/>
      <c r="AH363" s="146">
        <v>0</v>
      </c>
      <c r="AI363" s="146" t="s">
        <v>465</v>
      </c>
      <c r="AJ363" s="126" t="s">
        <v>988</v>
      </c>
      <c r="AK363" s="132"/>
      <c r="AL363" s="129" t="s">
        <v>1627</v>
      </c>
      <c r="AM363" s="431" t="str">
        <f>VLOOKUP($Q363,Resultados!$A$1:$C$49,3,FALSE)</f>
        <v>TRAMITE</v>
      </c>
    </row>
    <row r="364" spans="1:39" customFormat="1" ht="25.5">
      <c r="A364" s="364">
        <v>191</v>
      </c>
      <c r="B364" s="69">
        <v>45238</v>
      </c>
      <c r="C364" s="332" t="s">
        <v>681</v>
      </c>
      <c r="D364" s="70" t="s">
        <v>682</v>
      </c>
      <c r="E364" s="92" t="s">
        <v>683</v>
      </c>
      <c r="F364" s="68">
        <v>3</v>
      </c>
      <c r="G364" s="68" t="s">
        <v>1750</v>
      </c>
      <c r="H364" s="69"/>
      <c r="I364" s="69"/>
      <c r="J364" s="69"/>
      <c r="K364" s="68" t="s">
        <v>1480</v>
      </c>
      <c r="L364" s="70" t="s">
        <v>211</v>
      </c>
      <c r="M364" s="70" t="s">
        <v>315</v>
      </c>
      <c r="N364" s="68" t="s">
        <v>1682</v>
      </c>
      <c r="O364" s="24" t="str">
        <f>IF(Q364=" _","NO","SI")</f>
        <v>NO</v>
      </c>
      <c r="P364" s="24" t="str">
        <f ca="1">IF(color_Celda(E364)=12106214,"ROSA",IF(color_Celda(E364)=65535,"AMARILLO",IF(color_Celda(E364)=5296274,"VERDE",IF(color_Celda(E364)=16777215,"BLANCO","NO SE"))))</f>
        <v>AMARILLO</v>
      </c>
      <c r="Q364" s="70" t="s">
        <v>108</v>
      </c>
      <c r="R364" s="267" t="str">
        <f>VLOOKUP($Q364,Resultados!$A$1:$B$49,2,FALSE)</f>
        <v xml:space="preserve"> _</v>
      </c>
      <c r="S364" s="70"/>
      <c r="T364" s="73"/>
      <c r="U364" s="73"/>
      <c r="V364" s="68"/>
      <c r="W364" s="68"/>
      <c r="X364" s="68"/>
      <c r="Y364" s="64"/>
      <c r="Z364" s="68"/>
      <c r="AA364" s="68"/>
      <c r="AB364" s="68"/>
      <c r="AC364" s="68"/>
      <c r="AD364" s="68"/>
      <c r="AE364" s="142"/>
      <c r="AF364" s="145">
        <v>7</v>
      </c>
      <c r="AG364" s="146"/>
      <c r="AH364" s="146">
        <v>0</v>
      </c>
      <c r="AI364" s="146"/>
      <c r="AJ364" s="126" t="s">
        <v>988</v>
      </c>
      <c r="AK364" s="134"/>
      <c r="AL364" s="151" t="s">
        <v>1627</v>
      </c>
      <c r="AM364" s="431" t="str">
        <f>VLOOKUP($Q364,Resultados!$A$1:$C$49,3,FALSE)</f>
        <v>TRAMITE</v>
      </c>
    </row>
    <row r="365" spans="1:39" customFormat="1" ht="38.25">
      <c r="A365" s="364">
        <v>192</v>
      </c>
      <c r="B365" s="69">
        <v>45238</v>
      </c>
      <c r="C365" s="332" t="s">
        <v>12</v>
      </c>
      <c r="D365" s="70" t="s">
        <v>684</v>
      </c>
      <c r="E365" s="92" t="s">
        <v>685</v>
      </c>
      <c r="F365" s="68">
        <v>3</v>
      </c>
      <c r="G365" s="68" t="s">
        <v>1750</v>
      </c>
      <c r="H365" s="69"/>
      <c r="I365" s="69"/>
      <c r="J365" s="69"/>
      <c r="K365" s="68" t="s">
        <v>1480</v>
      </c>
      <c r="L365" s="70" t="s">
        <v>74</v>
      </c>
      <c r="M365" s="70" t="s">
        <v>686</v>
      </c>
      <c r="N365" s="68" t="s">
        <v>1629</v>
      </c>
      <c r="O365" s="24" t="str">
        <f>IF(Q365=" _","NO","SI")</f>
        <v>NO</v>
      </c>
      <c r="P365" s="24" t="str">
        <f ca="1">IF(color_Celda(E365)=12106214,"ROSA",IF(color_Celda(E365)=65535,"AMARILLO",IF(color_Celda(E365)=5296274,"VERDE",IF(color_Celda(E365)=16777215,"BLANCO","NO SE"))))</f>
        <v>AMARILLO</v>
      </c>
      <c r="Q365" s="70" t="s">
        <v>108</v>
      </c>
      <c r="R365" s="267" t="str">
        <f>VLOOKUP($Q365,Resultados!$A$1:$B$49,2,FALSE)</f>
        <v xml:space="preserve"> _</v>
      </c>
      <c r="S365" s="70"/>
      <c r="T365" s="73"/>
      <c r="U365" s="73"/>
      <c r="V365" s="68"/>
      <c r="W365" s="68"/>
      <c r="X365" s="68"/>
      <c r="Y365" s="64"/>
      <c r="Z365" s="68"/>
      <c r="AA365" s="68"/>
      <c r="AB365" s="68"/>
      <c r="AC365" s="68"/>
      <c r="AD365" s="68"/>
      <c r="AE365" s="142"/>
      <c r="AF365" s="145">
        <v>7</v>
      </c>
      <c r="AG365" s="146"/>
      <c r="AH365" s="146">
        <v>0</v>
      </c>
      <c r="AI365" s="146"/>
      <c r="AJ365" s="126" t="s">
        <v>988</v>
      </c>
      <c r="AK365" s="134"/>
      <c r="AL365" s="151" t="s">
        <v>1627</v>
      </c>
      <c r="AM365" s="431" t="str">
        <f>VLOOKUP($Q365,Resultados!$A$1:$C$49,3,FALSE)</f>
        <v>TRAMITE</v>
      </c>
    </row>
    <row r="366" spans="1:39" customFormat="1" ht="63.75">
      <c r="A366" s="364">
        <v>193</v>
      </c>
      <c r="B366" s="69">
        <v>45238</v>
      </c>
      <c r="C366" s="332" t="s">
        <v>12</v>
      </c>
      <c r="D366" s="70" t="s">
        <v>690</v>
      </c>
      <c r="E366" s="92" t="s">
        <v>691</v>
      </c>
      <c r="F366" s="68">
        <v>6</v>
      </c>
      <c r="G366" s="68" t="s">
        <v>326</v>
      </c>
      <c r="H366" s="69"/>
      <c r="I366" s="69"/>
      <c r="J366" s="69"/>
      <c r="K366" s="68" t="s">
        <v>1480</v>
      </c>
      <c r="L366" s="70" t="s">
        <v>79</v>
      </c>
      <c r="M366" s="70" t="s">
        <v>692</v>
      </c>
      <c r="N366" s="68" t="s">
        <v>2294</v>
      </c>
      <c r="O366" s="24" t="str">
        <f>IF(Q366=" _","NO","SI")</f>
        <v>NO</v>
      </c>
      <c r="P366" s="24" t="str">
        <f ca="1">IF(color_Celda(E366)=12106214,"ROSA",IF(color_Celda(E366)=65535,"AMARILLO",IF(color_Celda(E366)=5296274,"VERDE",IF(color_Celda(E366)=16777215,"BLANCO","NO SE"))))</f>
        <v>AMARILLO</v>
      </c>
      <c r="Q366" s="70" t="s">
        <v>108</v>
      </c>
      <c r="R366" s="267" t="str">
        <f>VLOOKUP($Q366,Resultados!$A$1:$B$49,2,FALSE)</f>
        <v xml:space="preserve"> _</v>
      </c>
      <c r="S366" s="70"/>
      <c r="T366" s="73"/>
      <c r="U366" s="73"/>
      <c r="V366" s="68"/>
      <c r="W366" s="68"/>
      <c r="X366" s="68"/>
      <c r="Y366" s="64"/>
      <c r="Z366" s="68"/>
      <c r="AA366" s="68"/>
      <c r="AB366" s="68"/>
      <c r="AC366" s="68"/>
      <c r="AD366" s="68"/>
      <c r="AE366" s="142"/>
      <c r="AF366" s="145">
        <v>7</v>
      </c>
      <c r="AG366" s="146"/>
      <c r="AH366" s="146">
        <v>0</v>
      </c>
      <c r="AI366" s="146"/>
      <c r="AJ366" s="126" t="s">
        <v>988</v>
      </c>
      <c r="AK366" s="134"/>
      <c r="AL366" s="151" t="s">
        <v>1627</v>
      </c>
      <c r="AM366" s="431" t="str">
        <f>VLOOKUP($Q366,Resultados!$A$1:$C$49,3,FALSE)</f>
        <v>TRAMITE</v>
      </c>
    </row>
    <row r="367" spans="1:39" customFormat="1" ht="38.25">
      <c r="A367" s="364">
        <v>194</v>
      </c>
      <c r="B367" s="69">
        <v>45238</v>
      </c>
      <c r="C367" s="332" t="s">
        <v>12</v>
      </c>
      <c r="D367" s="70" t="s">
        <v>693</v>
      </c>
      <c r="E367" s="92" t="s">
        <v>694</v>
      </c>
      <c r="F367" s="68">
        <v>6</v>
      </c>
      <c r="G367" s="68" t="s">
        <v>326</v>
      </c>
      <c r="H367" s="69"/>
      <c r="I367" s="69"/>
      <c r="J367" s="69"/>
      <c r="K367" s="68" t="s">
        <v>1480</v>
      </c>
      <c r="L367" s="70" t="s">
        <v>79</v>
      </c>
      <c r="M367" s="70" t="s">
        <v>67</v>
      </c>
      <c r="N367" s="68" t="s">
        <v>1342</v>
      </c>
      <c r="O367" s="24" t="str">
        <f>IF(Q367=" _","NO","SI")</f>
        <v>NO</v>
      </c>
      <c r="P367" s="24" t="str">
        <f ca="1">IF(color_Celda(E367)=12106214,"ROSA",IF(color_Celda(E367)=65535,"AMARILLO",IF(color_Celda(E367)=5296274,"VERDE",IF(color_Celda(E367)=16777215,"BLANCO","NO SE"))))</f>
        <v>AMARILLO</v>
      </c>
      <c r="Q367" s="70" t="s">
        <v>108</v>
      </c>
      <c r="R367" s="267" t="str">
        <f>VLOOKUP($Q367,Resultados!$A$1:$B$49,2,FALSE)</f>
        <v xml:space="preserve"> _</v>
      </c>
      <c r="S367" s="70"/>
      <c r="T367" s="73"/>
      <c r="U367" s="73"/>
      <c r="V367" s="68"/>
      <c r="W367" s="68"/>
      <c r="X367" s="68"/>
      <c r="Y367" s="64"/>
      <c r="Z367" s="68"/>
      <c r="AA367" s="68"/>
      <c r="AB367" s="68"/>
      <c r="AC367" s="68"/>
      <c r="AD367" s="68"/>
      <c r="AE367" s="142"/>
      <c r="AF367" s="145">
        <v>7</v>
      </c>
      <c r="AG367" s="146"/>
      <c r="AH367" s="146">
        <v>0</v>
      </c>
      <c r="AI367" s="146"/>
      <c r="AJ367" s="126" t="s">
        <v>988</v>
      </c>
      <c r="AK367" s="134"/>
      <c r="AL367" s="151" t="s">
        <v>1627</v>
      </c>
      <c r="AM367" s="431" t="str">
        <f>VLOOKUP($Q367,Resultados!$A$1:$C$49,3,FALSE)</f>
        <v>TRAMITE</v>
      </c>
    </row>
    <row r="368" spans="1:39" customFormat="1" ht="38.25">
      <c r="A368" s="364">
        <v>195</v>
      </c>
      <c r="B368" s="69">
        <v>45238</v>
      </c>
      <c r="C368" s="329">
        <v>0.33333333333333331</v>
      </c>
      <c r="D368" s="70" t="s">
        <v>695</v>
      </c>
      <c r="E368" s="92" t="s">
        <v>696</v>
      </c>
      <c r="F368" s="68">
        <v>6</v>
      </c>
      <c r="G368" s="68" t="s">
        <v>326</v>
      </c>
      <c r="H368" s="69"/>
      <c r="I368" s="69"/>
      <c r="J368" s="69"/>
      <c r="K368" s="68" t="s">
        <v>1480</v>
      </c>
      <c r="L368" s="70" t="s">
        <v>250</v>
      </c>
      <c r="M368" s="70" t="s">
        <v>697</v>
      </c>
      <c r="N368" s="68" t="s">
        <v>1342</v>
      </c>
      <c r="O368" s="24" t="str">
        <f>IF(Q368=" _","NO","SI")</f>
        <v>NO</v>
      </c>
      <c r="P368" s="24" t="str">
        <f ca="1">IF(color_Celda(E368)=12106214,"ROSA",IF(color_Celda(E368)=65535,"AMARILLO",IF(color_Celda(E368)=5296274,"VERDE",IF(color_Celda(E368)=16777215,"BLANCO","NO SE"))))</f>
        <v>AMARILLO</v>
      </c>
      <c r="Q368" s="70" t="s">
        <v>108</v>
      </c>
      <c r="R368" s="267" t="str">
        <f>VLOOKUP($Q368,Resultados!$A$1:$B$49,2,FALSE)</f>
        <v xml:space="preserve"> _</v>
      </c>
      <c r="S368" s="70"/>
      <c r="T368" s="73"/>
      <c r="U368" s="73"/>
      <c r="V368" s="68"/>
      <c r="W368" s="68"/>
      <c r="X368" s="68"/>
      <c r="Y368" s="64"/>
      <c r="Z368" s="68"/>
      <c r="AA368" s="68"/>
      <c r="AB368" s="68"/>
      <c r="AC368" s="68"/>
      <c r="AD368" s="68"/>
      <c r="AE368" s="142"/>
      <c r="AF368" s="145">
        <v>7</v>
      </c>
      <c r="AG368" s="146"/>
      <c r="AH368" s="146">
        <v>0</v>
      </c>
      <c r="AI368" s="146"/>
      <c r="AJ368" s="126" t="s">
        <v>988</v>
      </c>
      <c r="AK368" s="134"/>
      <c r="AL368" s="151" t="s">
        <v>1627</v>
      </c>
      <c r="AM368" s="431" t="str">
        <f>VLOOKUP($Q368,Resultados!$A$1:$C$49,3,FALSE)</f>
        <v>TRAMITE</v>
      </c>
    </row>
    <row r="369" spans="1:39" customFormat="1" ht="51">
      <c r="A369" s="364">
        <v>196</v>
      </c>
      <c r="B369" s="69">
        <v>45238</v>
      </c>
      <c r="C369" s="332" t="s">
        <v>698</v>
      </c>
      <c r="D369" s="70" t="s">
        <v>699</v>
      </c>
      <c r="E369" s="92" t="s">
        <v>700</v>
      </c>
      <c r="F369" s="68">
        <v>2</v>
      </c>
      <c r="G369" s="68" t="s">
        <v>325</v>
      </c>
      <c r="H369" s="69"/>
      <c r="I369" s="69"/>
      <c r="J369" s="69"/>
      <c r="K369" s="68" t="s">
        <v>1480</v>
      </c>
      <c r="L369" s="70" t="s">
        <v>2167</v>
      </c>
      <c r="M369" s="70"/>
      <c r="N369" s="68" t="s">
        <v>2577</v>
      </c>
      <c r="O369" s="137" t="str">
        <f>IF(Q369=" _","NO","SI")</f>
        <v>NO</v>
      </c>
      <c r="P369" s="24" t="str">
        <f ca="1">IF(color_Celda(E369)=12106214,"ROSA",IF(color_Celda(E369)=65535,"AMARILLO",IF(color_Celda(E369)=5296274,"VERDE",IF(color_Celda(E369)=16777215,"BLANCO","NO SE"))))</f>
        <v>AMARILLO</v>
      </c>
      <c r="Q369" s="70" t="s">
        <v>108</v>
      </c>
      <c r="R369" s="267" t="str">
        <f>VLOOKUP($Q369,Resultados!$A$1:$B$49,2,FALSE)</f>
        <v xml:space="preserve"> _</v>
      </c>
      <c r="S369" s="70"/>
      <c r="T369" s="73"/>
      <c r="U369" s="73"/>
      <c r="V369" s="68"/>
      <c r="W369" s="68"/>
      <c r="X369" s="68"/>
      <c r="Y369" s="199"/>
      <c r="Z369" s="68"/>
      <c r="AA369" s="68"/>
      <c r="AB369" s="68"/>
      <c r="AC369" s="68"/>
      <c r="AD369" s="68"/>
      <c r="AE369" s="142"/>
      <c r="AF369" s="145">
        <v>7</v>
      </c>
      <c r="AG369" s="146"/>
      <c r="AH369" s="146">
        <v>0</v>
      </c>
      <c r="AI369" s="146"/>
      <c r="AJ369" s="126" t="s">
        <v>988</v>
      </c>
      <c r="AK369" s="134"/>
      <c r="AL369" s="151" t="s">
        <v>1627</v>
      </c>
      <c r="AM369" s="431" t="str">
        <f>VLOOKUP($Q369,Resultados!$A$1:$C$49,3,FALSE)</f>
        <v>TRAMITE</v>
      </c>
    </row>
    <row r="370" spans="1:39" customFormat="1" ht="51">
      <c r="A370" s="364">
        <v>198</v>
      </c>
      <c r="B370" s="69">
        <v>45238</v>
      </c>
      <c r="C370" s="332" t="s">
        <v>1306</v>
      </c>
      <c r="D370" s="70" t="s">
        <v>1307</v>
      </c>
      <c r="E370" s="92" t="s">
        <v>1308</v>
      </c>
      <c r="F370" s="68">
        <v>3</v>
      </c>
      <c r="G370" s="68" t="s">
        <v>1750</v>
      </c>
      <c r="H370" s="69"/>
      <c r="I370" s="69"/>
      <c r="J370" s="69"/>
      <c r="K370" s="68" t="s">
        <v>1480</v>
      </c>
      <c r="L370" s="70" t="s">
        <v>71</v>
      </c>
      <c r="M370" s="70" t="s">
        <v>90</v>
      </c>
      <c r="N370" s="111" t="s">
        <v>1499</v>
      </c>
      <c r="O370" s="24" t="str">
        <f>IF(Q370=" _","NO","SI")</f>
        <v>NO</v>
      </c>
      <c r="P370" s="24" t="str">
        <f ca="1">IF(color_Celda(E370)=12106214,"ROSA",IF(color_Celda(E370)=65535,"AMARILLO",IF(color_Celda(E370)=5296274,"VERDE",IF(color_Celda(E370)=16777215,"BLANCO","NO SE"))))</f>
        <v>AMARILLO</v>
      </c>
      <c r="Q370" s="70" t="s">
        <v>108</v>
      </c>
      <c r="R370" s="267" t="str">
        <f>VLOOKUP($Q370,Resultados!$A$1:$B$49,2,FALSE)</f>
        <v xml:space="preserve"> _</v>
      </c>
      <c r="S370" s="70"/>
      <c r="T370" s="73"/>
      <c r="U370" s="73"/>
      <c r="V370" s="68"/>
      <c r="W370" s="68"/>
      <c r="X370" s="68"/>
      <c r="Y370" s="64"/>
      <c r="Z370" s="68"/>
      <c r="AA370" s="68"/>
      <c r="AB370" s="68"/>
      <c r="AC370" s="68"/>
      <c r="AD370" s="68"/>
      <c r="AE370" s="142"/>
      <c r="AF370" s="146">
        <v>7</v>
      </c>
      <c r="AG370" s="146"/>
      <c r="AH370" s="146">
        <v>0</v>
      </c>
      <c r="AI370" s="146"/>
      <c r="AJ370" s="126" t="s">
        <v>988</v>
      </c>
      <c r="AK370" s="132"/>
      <c r="AL370" s="129" t="s">
        <v>1627</v>
      </c>
      <c r="AM370" s="431" t="str">
        <f>VLOOKUP($Q370,Resultados!$A$1:$C$49,3,FALSE)</f>
        <v>TRAMITE</v>
      </c>
    </row>
    <row r="371" spans="1:39" customFormat="1" ht="38.25">
      <c r="A371" s="364">
        <v>202</v>
      </c>
      <c r="B371" s="69">
        <v>45239</v>
      </c>
      <c r="C371" s="329">
        <v>0.41805555555555557</v>
      </c>
      <c r="D371" s="70" t="s">
        <v>709</v>
      </c>
      <c r="E371" s="92" t="s">
        <v>710</v>
      </c>
      <c r="F371" s="68">
        <v>6</v>
      </c>
      <c r="G371" s="68" t="s">
        <v>326</v>
      </c>
      <c r="H371" s="69"/>
      <c r="I371" s="69"/>
      <c r="J371" s="69"/>
      <c r="K371" s="68" t="s">
        <v>1480</v>
      </c>
      <c r="L371" s="70" t="s">
        <v>83</v>
      </c>
      <c r="M371" s="70" t="s">
        <v>270</v>
      </c>
      <c r="N371" s="68" t="s">
        <v>1342</v>
      </c>
      <c r="O371" s="24" t="str">
        <f>IF(Q371=" _","NO","SI")</f>
        <v>NO</v>
      </c>
      <c r="P371" s="24" t="str">
        <f ca="1">IF(color_Celda(E371)=12106214,"ROSA",IF(color_Celda(E371)=65535,"AMARILLO",IF(color_Celda(E371)=5296274,"VERDE",IF(color_Celda(E371)=16777215,"BLANCO","NO SE"))))</f>
        <v>AMARILLO</v>
      </c>
      <c r="Q371" s="70" t="s">
        <v>108</v>
      </c>
      <c r="R371" s="267" t="str">
        <f>VLOOKUP($Q371,Resultados!$A$1:$B$49,2,FALSE)</f>
        <v xml:space="preserve"> _</v>
      </c>
      <c r="S371" s="70"/>
      <c r="T371" s="73"/>
      <c r="U371" s="73"/>
      <c r="V371" s="68"/>
      <c r="W371" s="68"/>
      <c r="X371" s="68"/>
      <c r="Y371" s="64"/>
      <c r="Z371" s="68"/>
      <c r="AA371" s="68"/>
      <c r="AB371" s="68"/>
      <c r="AC371" s="68"/>
      <c r="AD371" s="68"/>
      <c r="AE371" s="142"/>
      <c r="AF371" s="145">
        <v>7</v>
      </c>
      <c r="AG371" s="146"/>
      <c r="AH371" s="146">
        <v>0</v>
      </c>
      <c r="AI371" s="146"/>
      <c r="AJ371" s="126" t="s">
        <v>988</v>
      </c>
      <c r="AK371" s="134"/>
      <c r="AL371" s="151" t="s">
        <v>1627</v>
      </c>
      <c r="AM371" s="431" t="str">
        <f>VLOOKUP($Q371,Resultados!$A$1:$C$49,3,FALSE)</f>
        <v>TRAMITE</v>
      </c>
    </row>
    <row r="372" spans="1:39" customFormat="1" ht="25.5">
      <c r="A372" s="364">
        <v>204</v>
      </c>
      <c r="B372" s="69">
        <v>45239</v>
      </c>
      <c r="C372" s="332" t="s">
        <v>716</v>
      </c>
      <c r="D372" s="70" t="s">
        <v>718</v>
      </c>
      <c r="E372" s="92" t="s">
        <v>717</v>
      </c>
      <c r="F372" s="68">
        <v>4</v>
      </c>
      <c r="G372" s="68" t="s">
        <v>325</v>
      </c>
      <c r="H372" s="69"/>
      <c r="I372" s="69"/>
      <c r="J372" s="69"/>
      <c r="K372" s="68" t="s">
        <v>1480</v>
      </c>
      <c r="L372" s="70" t="s">
        <v>2170</v>
      </c>
      <c r="M372" s="70" t="s">
        <v>223</v>
      </c>
      <c r="N372" s="101" t="s">
        <v>719</v>
      </c>
      <c r="O372" s="24" t="str">
        <f>IF(Q372=" _","NO","SI")</f>
        <v>NO</v>
      </c>
      <c r="P372" s="24" t="str">
        <f ca="1">IF(color_Celda(E372)=12106214,"ROSA",IF(color_Celda(E372)=65535,"AMARILLO",IF(color_Celda(E372)=5296274,"VERDE",IF(color_Celda(E372)=16777215,"BLANCO","NO SE"))))</f>
        <v>AMARILLO</v>
      </c>
      <c r="Q372" s="70" t="s">
        <v>108</v>
      </c>
      <c r="R372" s="267" t="str">
        <f>VLOOKUP($Q372,Resultados!$A$1:$B$49,2,FALSE)</f>
        <v xml:space="preserve"> _</v>
      </c>
      <c r="S372" s="70"/>
      <c r="T372" s="73"/>
      <c r="U372" s="73"/>
      <c r="V372" s="68"/>
      <c r="W372" s="68"/>
      <c r="X372" s="68"/>
      <c r="Y372" s="64"/>
      <c r="Z372" s="68"/>
      <c r="AA372" s="68"/>
      <c r="AB372" s="68"/>
      <c r="AC372" s="68"/>
      <c r="AD372" s="68"/>
      <c r="AE372" s="142"/>
      <c r="AF372" s="145">
        <v>7</v>
      </c>
      <c r="AG372" s="146"/>
      <c r="AH372" s="146">
        <v>0</v>
      </c>
      <c r="AI372" s="146"/>
      <c r="AJ372" s="126" t="s">
        <v>988</v>
      </c>
      <c r="AK372" s="134"/>
      <c r="AL372" s="151" t="s">
        <v>1627</v>
      </c>
      <c r="AM372" s="431" t="str">
        <f>VLOOKUP($Q372,Resultados!$A$1:$C$49,3,FALSE)</f>
        <v>TRAMITE</v>
      </c>
    </row>
    <row r="373" spans="1:39" customFormat="1" ht="63.75">
      <c r="A373" s="364">
        <v>206</v>
      </c>
      <c r="B373" s="72">
        <v>45240</v>
      </c>
      <c r="C373" s="332" t="s">
        <v>725</v>
      </c>
      <c r="D373" s="70" t="s">
        <v>726</v>
      </c>
      <c r="E373" s="92" t="s">
        <v>727</v>
      </c>
      <c r="F373" s="68">
        <v>6</v>
      </c>
      <c r="G373" s="68" t="s">
        <v>326</v>
      </c>
      <c r="H373" s="69"/>
      <c r="I373" s="69"/>
      <c r="J373" s="69"/>
      <c r="K373" s="68" t="s">
        <v>1480</v>
      </c>
      <c r="L373" s="70" t="s">
        <v>74</v>
      </c>
      <c r="M373" s="70" t="s">
        <v>47</v>
      </c>
      <c r="N373" s="70" t="s">
        <v>728</v>
      </c>
      <c r="O373" s="137" t="str">
        <f>IF(Q373=" _","NO","SI")</f>
        <v>NO</v>
      </c>
      <c r="P373" s="24" t="str">
        <f ca="1">IF(color_Celda(E373)=12106214,"ROSA",IF(color_Celda(E373)=65535,"AMARILLO",IF(color_Celda(E373)=5296274,"VERDE",IF(color_Celda(E373)=16777215,"BLANCO","NO SE"))))</f>
        <v>AMARILLO</v>
      </c>
      <c r="Q373" s="70" t="s">
        <v>108</v>
      </c>
      <c r="R373" s="267" t="str">
        <f>VLOOKUP($Q373,Resultados!$A$1:$B$49,2,FALSE)</f>
        <v xml:space="preserve"> _</v>
      </c>
      <c r="S373" s="70"/>
      <c r="T373" s="73"/>
      <c r="U373" s="73"/>
      <c r="V373" s="68"/>
      <c r="W373" s="68"/>
      <c r="X373" s="68"/>
      <c r="Y373" s="199"/>
      <c r="Z373" s="68"/>
      <c r="AA373" s="68"/>
      <c r="AB373" s="68"/>
      <c r="AC373" s="68"/>
      <c r="AD373" s="68"/>
      <c r="AE373" s="142"/>
      <c r="AF373" s="145">
        <v>7</v>
      </c>
      <c r="AG373" s="146"/>
      <c r="AH373" s="146">
        <v>0</v>
      </c>
      <c r="AI373" s="146"/>
      <c r="AJ373" s="126" t="s">
        <v>988</v>
      </c>
      <c r="AK373" s="134"/>
      <c r="AL373" s="151" t="s">
        <v>1627</v>
      </c>
      <c r="AM373" s="431" t="str">
        <f>VLOOKUP($Q373,Resultados!$A$1:$C$49,3,FALSE)</f>
        <v>TRAMITE</v>
      </c>
    </row>
    <row r="374" spans="1:39" customFormat="1" ht="63.75">
      <c r="A374" s="364">
        <v>208</v>
      </c>
      <c r="B374" s="69">
        <v>45240</v>
      </c>
      <c r="C374" s="332" t="s">
        <v>731</v>
      </c>
      <c r="D374" s="70" t="s">
        <v>732</v>
      </c>
      <c r="E374" s="92" t="s">
        <v>733</v>
      </c>
      <c r="F374" s="68">
        <v>6</v>
      </c>
      <c r="G374" s="68" t="s">
        <v>326</v>
      </c>
      <c r="H374" s="69"/>
      <c r="I374" s="69"/>
      <c r="J374" s="69"/>
      <c r="K374" s="68" t="s">
        <v>1480</v>
      </c>
      <c r="L374" s="70" t="s">
        <v>252</v>
      </c>
      <c r="M374" s="70" t="s">
        <v>734</v>
      </c>
      <c r="N374" s="68"/>
      <c r="O374" s="137" t="str">
        <f>IF(Q374=" _","NO","SI")</f>
        <v>NO</v>
      </c>
      <c r="P374" s="24" t="str">
        <f ca="1">IF(color_Celda(E374)=12106214,"ROSA",IF(color_Celda(E374)=65535,"AMARILLO",IF(color_Celda(E374)=5296274,"VERDE",IF(color_Celda(E374)=16777215,"BLANCO","NO SE"))))</f>
        <v>AMARILLO</v>
      </c>
      <c r="Q374" s="70" t="s">
        <v>108</v>
      </c>
      <c r="R374" s="267" t="str">
        <f>VLOOKUP($Q374,Resultados!$A$1:$B$49,2,FALSE)</f>
        <v xml:space="preserve"> _</v>
      </c>
      <c r="S374" s="70"/>
      <c r="T374" s="73"/>
      <c r="U374" s="73"/>
      <c r="V374" s="68"/>
      <c r="W374" s="68"/>
      <c r="X374" s="68"/>
      <c r="Y374" s="199"/>
      <c r="Z374" s="68"/>
      <c r="AA374" s="68"/>
      <c r="AB374" s="68"/>
      <c r="AC374" s="68"/>
      <c r="AD374" s="68"/>
      <c r="AE374" s="142"/>
      <c r="AF374" s="145">
        <v>7</v>
      </c>
      <c r="AG374" s="146"/>
      <c r="AH374" s="146">
        <v>0</v>
      </c>
      <c r="AI374" s="146"/>
      <c r="AJ374" s="126" t="s">
        <v>988</v>
      </c>
      <c r="AK374" s="134"/>
      <c r="AL374" s="151" t="s">
        <v>1627</v>
      </c>
      <c r="AM374" s="431" t="str">
        <f>VLOOKUP($Q374,Resultados!$A$1:$C$49,3,FALSE)</f>
        <v>TRAMITE</v>
      </c>
    </row>
    <row r="375" spans="1:39" customFormat="1" ht="38.25">
      <c r="A375" s="364">
        <v>210</v>
      </c>
      <c r="B375" s="69">
        <v>45240</v>
      </c>
      <c r="C375" s="332" t="s">
        <v>739</v>
      </c>
      <c r="D375" s="70" t="s">
        <v>740</v>
      </c>
      <c r="E375" s="92" t="s">
        <v>741</v>
      </c>
      <c r="F375" s="68">
        <v>2</v>
      </c>
      <c r="G375" s="68" t="s">
        <v>325</v>
      </c>
      <c r="H375" s="69"/>
      <c r="I375" s="69"/>
      <c r="J375" s="69"/>
      <c r="K375" s="68" t="s">
        <v>1480</v>
      </c>
      <c r="L375" s="70" t="s">
        <v>72</v>
      </c>
      <c r="M375" s="70" t="s">
        <v>59</v>
      </c>
      <c r="N375" s="68" t="s">
        <v>3228</v>
      </c>
      <c r="O375" s="24" t="str">
        <f>IF(Q375=" _","NO","SI")</f>
        <v>NO</v>
      </c>
      <c r="P375" s="24" t="str">
        <f ca="1">IF(color_Celda(E375)=12106214,"ROSA",IF(color_Celda(E375)=65535,"AMARILLO",IF(color_Celda(E375)=5296274,"VERDE",IF(color_Celda(E375)=16777215,"BLANCO","NO SE"))))</f>
        <v>AMARILLO</v>
      </c>
      <c r="Q375" s="70" t="s">
        <v>108</v>
      </c>
      <c r="R375" s="267" t="str">
        <f>VLOOKUP($Q375,Resultados!$A$1:$B$49,2,FALSE)</f>
        <v xml:space="preserve"> _</v>
      </c>
      <c r="S375" s="70"/>
      <c r="T375" s="73"/>
      <c r="U375" s="73"/>
      <c r="V375" s="68"/>
      <c r="W375" s="68"/>
      <c r="X375" s="68"/>
      <c r="Y375" s="64"/>
      <c r="Z375" s="68"/>
      <c r="AA375" s="68"/>
      <c r="AB375" s="68"/>
      <c r="AC375" s="68"/>
      <c r="AD375" s="68"/>
      <c r="AE375" s="142"/>
      <c r="AF375" s="145">
        <v>7</v>
      </c>
      <c r="AG375" s="146"/>
      <c r="AH375" s="146">
        <v>0</v>
      </c>
      <c r="AI375" s="146"/>
      <c r="AJ375" s="126" t="s">
        <v>988</v>
      </c>
      <c r="AK375" s="134"/>
      <c r="AL375" s="151" t="s">
        <v>1627</v>
      </c>
      <c r="AM375" s="431" t="str">
        <f>VLOOKUP($Q375,Resultados!$A$1:$C$49,3,FALSE)</f>
        <v>TRAMITE</v>
      </c>
    </row>
    <row r="376" spans="1:39" customFormat="1" ht="63.75">
      <c r="A376" s="364">
        <v>211</v>
      </c>
      <c r="B376" s="72">
        <v>45240</v>
      </c>
      <c r="C376" s="332" t="s">
        <v>759</v>
      </c>
      <c r="D376" s="70" t="s">
        <v>760</v>
      </c>
      <c r="E376" s="92" t="s">
        <v>761</v>
      </c>
      <c r="F376" s="68">
        <v>2</v>
      </c>
      <c r="G376" s="68" t="s">
        <v>325</v>
      </c>
      <c r="H376" s="69"/>
      <c r="I376" s="69"/>
      <c r="J376" s="69"/>
      <c r="K376" s="68" t="s">
        <v>1480</v>
      </c>
      <c r="L376" s="70" t="s">
        <v>74</v>
      </c>
      <c r="M376" s="70" t="s">
        <v>762</v>
      </c>
      <c r="N376" s="68" t="s">
        <v>2271</v>
      </c>
      <c r="O376" s="24" t="str">
        <f>IF(Q376=" _","NO","SI")</f>
        <v>NO</v>
      </c>
      <c r="P376" s="24" t="str">
        <f ca="1">IF(color_Celda(E376)=12106214,"ROSA",IF(color_Celda(E376)=65535,"AMARILLO",IF(color_Celda(E376)=5296274,"VERDE",IF(color_Celda(E376)=16777215,"BLANCO","NO SE"))))</f>
        <v>AMARILLO</v>
      </c>
      <c r="Q376" s="70" t="s">
        <v>108</v>
      </c>
      <c r="R376" s="267" t="str">
        <f>VLOOKUP($Q376,Resultados!$A$1:$B$49,2,FALSE)</f>
        <v xml:space="preserve"> _</v>
      </c>
      <c r="S376" s="70"/>
      <c r="T376" s="73"/>
      <c r="U376" s="73"/>
      <c r="V376" s="68"/>
      <c r="W376" s="68"/>
      <c r="X376" s="68"/>
      <c r="Y376" s="64"/>
      <c r="Z376" s="68"/>
      <c r="AA376" s="68"/>
      <c r="AB376" s="68"/>
      <c r="AC376" s="68"/>
      <c r="AD376" s="68"/>
      <c r="AE376" s="142"/>
      <c r="AF376" s="145">
        <v>7</v>
      </c>
      <c r="AG376" s="146"/>
      <c r="AH376" s="146">
        <v>0</v>
      </c>
      <c r="AI376" s="146"/>
      <c r="AJ376" s="126" t="s">
        <v>988</v>
      </c>
      <c r="AK376" s="134"/>
      <c r="AL376" s="151" t="s">
        <v>1627</v>
      </c>
      <c r="AM376" s="431" t="str">
        <f>VLOOKUP($Q376,Resultados!$A$1:$C$49,3,FALSE)</f>
        <v>TRAMITE</v>
      </c>
    </row>
    <row r="377" spans="1:39" customFormat="1" ht="38.25">
      <c r="A377" s="364">
        <v>212</v>
      </c>
      <c r="B377" s="69">
        <v>45240</v>
      </c>
      <c r="C377" s="332" t="s">
        <v>781</v>
      </c>
      <c r="D377" s="70" t="s">
        <v>782</v>
      </c>
      <c r="E377" s="92" t="s">
        <v>783</v>
      </c>
      <c r="F377" s="68">
        <v>7</v>
      </c>
      <c r="G377" s="68" t="s">
        <v>10</v>
      </c>
      <c r="H377" s="69"/>
      <c r="I377" s="69"/>
      <c r="J377" s="69"/>
      <c r="K377" s="68" t="s">
        <v>1480</v>
      </c>
      <c r="L377" s="70" t="s">
        <v>250</v>
      </c>
      <c r="M377" s="70"/>
      <c r="N377" s="68" t="s">
        <v>2577</v>
      </c>
      <c r="O377" s="137" t="str">
        <f>IF(Q377=" _","NO","SI")</f>
        <v>NO</v>
      </c>
      <c r="P377" s="24" t="str">
        <f ca="1">IF(color_Celda(E377)=12106214,"ROSA",IF(color_Celda(E377)=65535,"AMARILLO",IF(color_Celda(E377)=5296274,"VERDE",IF(color_Celda(E377)=16777215,"BLANCO","NO SE"))))</f>
        <v>AMARILLO</v>
      </c>
      <c r="Q377" s="70" t="s">
        <v>108</v>
      </c>
      <c r="R377" s="267" t="str">
        <f>VLOOKUP($Q377,Resultados!$A$1:$B$49,2,FALSE)</f>
        <v xml:space="preserve"> _</v>
      </c>
      <c r="S377" s="70"/>
      <c r="T377" s="73"/>
      <c r="U377" s="73"/>
      <c r="V377" s="68"/>
      <c r="W377" s="68"/>
      <c r="X377" s="68"/>
      <c r="Y377" s="199"/>
      <c r="Z377" s="68"/>
      <c r="AA377" s="68"/>
      <c r="AB377" s="68"/>
      <c r="AC377" s="68"/>
      <c r="AD377" s="68"/>
      <c r="AE377" s="142"/>
      <c r="AF377" s="145">
        <v>7</v>
      </c>
      <c r="AG377" s="146"/>
      <c r="AH377" s="146">
        <v>0</v>
      </c>
      <c r="AI377" s="146"/>
      <c r="AJ377" s="126" t="s">
        <v>988</v>
      </c>
      <c r="AK377" s="134"/>
      <c r="AL377" s="151" t="s">
        <v>1627</v>
      </c>
      <c r="AM377" s="431" t="str">
        <f>VLOOKUP($Q377,Resultados!$A$1:$C$49,3,FALSE)</f>
        <v>TRAMITE</v>
      </c>
    </row>
    <row r="378" spans="1:39" customFormat="1" ht="38.25">
      <c r="A378" s="364">
        <v>213</v>
      </c>
      <c r="B378" s="69">
        <v>45240</v>
      </c>
      <c r="C378" s="332" t="s">
        <v>784</v>
      </c>
      <c r="D378" s="70" t="s">
        <v>785</v>
      </c>
      <c r="E378" s="92" t="s">
        <v>786</v>
      </c>
      <c r="F378" s="68">
        <v>7</v>
      </c>
      <c r="G378" s="68" t="s">
        <v>10</v>
      </c>
      <c r="H378" s="69"/>
      <c r="I378" s="69"/>
      <c r="J378" s="69"/>
      <c r="K378" s="68" t="s">
        <v>1480</v>
      </c>
      <c r="L378" s="70" t="s">
        <v>250</v>
      </c>
      <c r="M378" s="70"/>
      <c r="N378" s="68" t="s">
        <v>2656</v>
      </c>
      <c r="O378" s="137" t="str">
        <f>IF(Q378=" _","NO","SI")</f>
        <v>NO</v>
      </c>
      <c r="P378" s="24" t="str">
        <f ca="1">IF(color_Celda(E378)=12106214,"ROSA",IF(color_Celda(E378)=65535,"AMARILLO",IF(color_Celda(E378)=5296274,"VERDE",IF(color_Celda(E378)=16777215,"BLANCO","NO SE"))))</f>
        <v>AMARILLO</v>
      </c>
      <c r="Q378" s="70" t="s">
        <v>108</v>
      </c>
      <c r="R378" s="267" t="str">
        <f>VLOOKUP($Q378,Resultados!$A$1:$B$49,2,FALSE)</f>
        <v xml:space="preserve"> _</v>
      </c>
      <c r="S378" s="70"/>
      <c r="T378" s="73"/>
      <c r="U378" s="73"/>
      <c r="V378" s="68"/>
      <c r="W378" s="68"/>
      <c r="X378" s="68"/>
      <c r="Y378" s="199"/>
      <c r="Z378" s="68"/>
      <c r="AA378" s="68"/>
      <c r="AB378" s="68"/>
      <c r="AC378" s="68"/>
      <c r="AD378" s="68"/>
      <c r="AE378" s="142"/>
      <c r="AF378" s="145">
        <v>7</v>
      </c>
      <c r="AG378" s="146"/>
      <c r="AH378" s="146">
        <v>0</v>
      </c>
      <c r="AI378" s="146"/>
      <c r="AJ378" s="126" t="s">
        <v>988</v>
      </c>
      <c r="AK378" s="134"/>
      <c r="AL378" s="151" t="s">
        <v>1627</v>
      </c>
      <c r="AM378" s="431" t="str">
        <f>VLOOKUP($Q378,Resultados!$A$1:$C$49,3,FALSE)</f>
        <v>TRAMITE</v>
      </c>
    </row>
    <row r="379" spans="1:39" customFormat="1" ht="76.5">
      <c r="A379" s="364">
        <v>214</v>
      </c>
      <c r="B379" s="72">
        <v>45240</v>
      </c>
      <c r="C379" s="332" t="s">
        <v>787</v>
      </c>
      <c r="D379" s="70" t="s">
        <v>788</v>
      </c>
      <c r="E379" s="92" t="s">
        <v>789</v>
      </c>
      <c r="F379" s="68">
        <v>7</v>
      </c>
      <c r="G379" s="68" t="s">
        <v>10</v>
      </c>
      <c r="H379" s="69"/>
      <c r="I379" s="69"/>
      <c r="J379" s="69"/>
      <c r="K379" s="68" t="s">
        <v>1480</v>
      </c>
      <c r="L379" s="70" t="s">
        <v>87</v>
      </c>
      <c r="M379" s="70"/>
      <c r="N379" s="68" t="s">
        <v>2773</v>
      </c>
      <c r="O379" s="137" t="str">
        <f>IF(Q379=" _","NO","SI")</f>
        <v>NO</v>
      </c>
      <c r="P379" s="24" t="str">
        <f ca="1">IF(color_Celda(E379)=12106214,"ROSA",IF(color_Celda(E379)=65535,"AMARILLO",IF(color_Celda(E379)=5296274,"VERDE",IF(color_Celda(E379)=16777215,"BLANCO","NO SE"))))</f>
        <v>AMARILLO</v>
      </c>
      <c r="Q379" s="70" t="s">
        <v>108</v>
      </c>
      <c r="R379" s="267" t="str">
        <f>VLOOKUP($Q379,Resultados!$A$1:$B$49,2,FALSE)</f>
        <v xml:space="preserve"> _</v>
      </c>
      <c r="S379" s="70"/>
      <c r="T379" s="73"/>
      <c r="U379" s="73"/>
      <c r="V379" s="68"/>
      <c r="W379" s="68"/>
      <c r="X379" s="68"/>
      <c r="Y379" s="199"/>
      <c r="Z379" s="68"/>
      <c r="AA379" s="68"/>
      <c r="AB379" s="68"/>
      <c r="AC379" s="68"/>
      <c r="AD379" s="68"/>
      <c r="AE379" s="142"/>
      <c r="AF379" s="145">
        <v>7</v>
      </c>
      <c r="AG379" s="146"/>
      <c r="AH379" s="146">
        <v>0</v>
      </c>
      <c r="AI379" s="146"/>
      <c r="AJ379" s="126" t="s">
        <v>988</v>
      </c>
      <c r="AK379" s="134"/>
      <c r="AL379" s="151" t="s">
        <v>1627</v>
      </c>
      <c r="AM379" s="431" t="str">
        <f>VLOOKUP($Q379,Resultados!$A$1:$C$49,3,FALSE)</f>
        <v>TRAMITE</v>
      </c>
    </row>
    <row r="380" spans="1:39" customFormat="1" ht="38.25">
      <c r="A380" s="364">
        <v>222</v>
      </c>
      <c r="B380" s="69">
        <v>45243</v>
      </c>
      <c r="C380" s="332" t="s">
        <v>15</v>
      </c>
      <c r="D380" s="70" t="s">
        <v>763</v>
      </c>
      <c r="E380" s="92" t="s">
        <v>764</v>
      </c>
      <c r="F380" s="68">
        <v>3</v>
      </c>
      <c r="G380" s="68" t="s">
        <v>1750</v>
      </c>
      <c r="H380" s="69"/>
      <c r="I380" s="69"/>
      <c r="J380" s="69"/>
      <c r="K380" s="68" t="s">
        <v>1480</v>
      </c>
      <c r="L380" s="70" t="s">
        <v>2170</v>
      </c>
      <c r="M380" s="70"/>
      <c r="N380" s="68" t="s">
        <v>1342</v>
      </c>
      <c r="O380" s="137" t="str">
        <f>IF(Q380=" _","NO","SI")</f>
        <v>NO</v>
      </c>
      <c r="P380" s="24" t="str">
        <f ca="1">IF(color_Celda(E380)=12106214,"ROSA",IF(color_Celda(E380)=65535,"AMARILLO",IF(color_Celda(E380)=5296274,"VERDE",IF(color_Celda(E380)=16777215,"BLANCO","NO SE"))))</f>
        <v>AMARILLO</v>
      </c>
      <c r="Q380" s="70" t="s">
        <v>108</v>
      </c>
      <c r="R380" s="267" t="str">
        <f>VLOOKUP($Q380,Resultados!$A$1:$B$49,2,FALSE)</f>
        <v xml:space="preserve"> _</v>
      </c>
      <c r="S380" s="70"/>
      <c r="T380" s="73"/>
      <c r="U380" s="73"/>
      <c r="V380" s="68"/>
      <c r="W380" s="68"/>
      <c r="X380" s="68"/>
      <c r="Y380" s="199"/>
      <c r="Z380" s="68"/>
      <c r="AA380" s="68"/>
      <c r="AB380" s="68"/>
      <c r="AC380" s="68"/>
      <c r="AD380" s="68"/>
      <c r="AE380" s="142"/>
      <c r="AF380" s="145">
        <v>7</v>
      </c>
      <c r="AG380" s="146"/>
      <c r="AH380" s="146">
        <v>0</v>
      </c>
      <c r="AI380" s="146"/>
      <c r="AJ380" s="126" t="s">
        <v>988</v>
      </c>
      <c r="AK380" s="134"/>
      <c r="AL380" s="151" t="s">
        <v>1627</v>
      </c>
      <c r="AM380" s="431" t="str">
        <f>VLOOKUP($Q380,Resultados!$A$1:$C$49,3,FALSE)</f>
        <v>TRAMITE</v>
      </c>
    </row>
    <row r="381" spans="1:39" customFormat="1" ht="38.25">
      <c r="A381" s="364">
        <v>223</v>
      </c>
      <c r="B381" s="69">
        <v>45243</v>
      </c>
      <c r="C381" s="332" t="s">
        <v>765</v>
      </c>
      <c r="D381" s="70" t="s">
        <v>766</v>
      </c>
      <c r="E381" s="92" t="s">
        <v>767</v>
      </c>
      <c r="F381" s="68">
        <v>3</v>
      </c>
      <c r="G381" s="68" t="s">
        <v>1750</v>
      </c>
      <c r="H381" s="69"/>
      <c r="I381" s="69"/>
      <c r="J381" s="69"/>
      <c r="K381" s="68" t="s">
        <v>1480</v>
      </c>
      <c r="L381" s="70" t="s">
        <v>82</v>
      </c>
      <c r="M381" s="70" t="s">
        <v>176</v>
      </c>
      <c r="N381" s="68" t="s">
        <v>2315</v>
      </c>
      <c r="O381" s="137" t="str">
        <f>IF(Q381=" _","NO","SI")</f>
        <v>NO</v>
      </c>
      <c r="P381" s="24" t="str">
        <f ca="1">IF(color_Celda(E381)=12106214,"ROSA",IF(color_Celda(E381)=65535,"AMARILLO",IF(color_Celda(E381)=5296274,"VERDE",IF(color_Celda(E381)=16777215,"BLANCO","NO SE"))))</f>
        <v>AMARILLO</v>
      </c>
      <c r="Q381" s="70" t="s">
        <v>108</v>
      </c>
      <c r="R381" s="267" t="str">
        <f>VLOOKUP($Q381,Resultados!$A$1:$B$49,2,FALSE)</f>
        <v xml:space="preserve"> _</v>
      </c>
      <c r="S381" s="70"/>
      <c r="T381" s="73"/>
      <c r="U381" s="73"/>
      <c r="V381" s="68"/>
      <c r="W381" s="68"/>
      <c r="X381" s="68"/>
      <c r="Y381" s="199"/>
      <c r="Z381" s="68"/>
      <c r="AA381" s="68"/>
      <c r="AB381" s="68"/>
      <c r="AC381" s="68"/>
      <c r="AD381" s="68"/>
      <c r="AE381" s="142"/>
      <c r="AF381" s="145">
        <v>7</v>
      </c>
      <c r="AG381" s="146"/>
      <c r="AH381" s="146">
        <v>0</v>
      </c>
      <c r="AI381" s="146"/>
      <c r="AJ381" s="126" t="s">
        <v>988</v>
      </c>
      <c r="AK381" s="134"/>
      <c r="AL381" s="151" t="s">
        <v>1627</v>
      </c>
      <c r="AM381" s="431" t="str">
        <f>VLOOKUP($Q381,Resultados!$A$1:$C$49,3,FALSE)</f>
        <v>TRAMITE</v>
      </c>
    </row>
    <row r="382" spans="1:39" customFormat="1" ht="51">
      <c r="A382" s="364">
        <v>224</v>
      </c>
      <c r="B382" s="69">
        <v>45243</v>
      </c>
      <c r="C382" s="332" t="s">
        <v>768</v>
      </c>
      <c r="D382" s="70" t="s">
        <v>769</v>
      </c>
      <c r="E382" s="92" t="s">
        <v>770</v>
      </c>
      <c r="F382" s="68">
        <v>3</v>
      </c>
      <c r="G382" s="68" t="s">
        <v>1750</v>
      </c>
      <c r="H382" s="69"/>
      <c r="I382" s="69"/>
      <c r="J382" s="69"/>
      <c r="K382" s="68" t="s">
        <v>1480</v>
      </c>
      <c r="L382" s="70" t="s">
        <v>78</v>
      </c>
      <c r="M382" s="70" t="s">
        <v>501</v>
      </c>
      <c r="N382" s="68" t="s">
        <v>1633</v>
      </c>
      <c r="O382" s="24" t="str">
        <f>IF(Q382=" _","NO","SI")</f>
        <v>NO</v>
      </c>
      <c r="P382" s="24" t="str">
        <f ca="1">IF(color_Celda(E382)=12106214,"ROSA",IF(color_Celda(E382)=65535,"AMARILLO",IF(color_Celda(E382)=5296274,"VERDE",IF(color_Celda(E382)=16777215,"BLANCO","NO SE"))))</f>
        <v>AMARILLO</v>
      </c>
      <c r="Q382" s="70" t="s">
        <v>108</v>
      </c>
      <c r="R382" s="267" t="str">
        <f>VLOOKUP($Q382,Resultados!$A$1:$B$49,2,FALSE)</f>
        <v xml:space="preserve"> _</v>
      </c>
      <c r="S382" s="70"/>
      <c r="T382" s="73"/>
      <c r="U382" s="73"/>
      <c r="V382" s="68"/>
      <c r="W382" s="68"/>
      <c r="X382" s="68"/>
      <c r="Y382" s="64"/>
      <c r="Z382" s="68"/>
      <c r="AA382" s="68"/>
      <c r="AB382" s="68"/>
      <c r="AC382" s="68"/>
      <c r="AD382" s="68"/>
      <c r="AE382" s="142"/>
      <c r="AF382" s="145">
        <v>7</v>
      </c>
      <c r="AG382" s="146"/>
      <c r="AH382" s="146">
        <v>0</v>
      </c>
      <c r="AI382" s="146"/>
      <c r="AJ382" s="126" t="s">
        <v>988</v>
      </c>
      <c r="AK382" s="134"/>
      <c r="AL382" s="151" t="s">
        <v>1627</v>
      </c>
      <c r="AM382" s="431" t="str">
        <f>VLOOKUP($Q382,Resultados!$A$1:$C$49,3,FALSE)</f>
        <v>TRAMITE</v>
      </c>
    </row>
    <row r="383" spans="1:39" customFormat="1" ht="51">
      <c r="A383" s="364">
        <v>225</v>
      </c>
      <c r="B383" s="69">
        <v>45243</v>
      </c>
      <c r="C383" s="332" t="s">
        <v>771</v>
      </c>
      <c r="D383" s="70" t="s">
        <v>772</v>
      </c>
      <c r="E383" s="92" t="s">
        <v>773</v>
      </c>
      <c r="F383" s="68">
        <v>3</v>
      </c>
      <c r="G383" s="68" t="s">
        <v>1750</v>
      </c>
      <c r="H383" s="69"/>
      <c r="I383" s="69"/>
      <c r="J383" s="69"/>
      <c r="K383" s="68" t="s">
        <v>1480</v>
      </c>
      <c r="L383" s="70" t="s">
        <v>79</v>
      </c>
      <c r="M383" s="70" t="s">
        <v>519</v>
      </c>
      <c r="N383" s="68" t="s">
        <v>1695</v>
      </c>
      <c r="O383" s="24" t="str">
        <f>IF(Q383=" _","NO","SI")</f>
        <v>NO</v>
      </c>
      <c r="P383" s="24" t="str">
        <f ca="1">IF(color_Celda(E383)=12106214,"ROSA",IF(color_Celda(E383)=65535,"AMARILLO",IF(color_Celda(E383)=5296274,"VERDE",IF(color_Celda(E383)=16777215,"BLANCO","NO SE"))))</f>
        <v>AMARILLO</v>
      </c>
      <c r="Q383" s="70" t="s">
        <v>108</v>
      </c>
      <c r="R383" s="267" t="str">
        <f>VLOOKUP($Q383,Resultados!$A$1:$B$49,2,FALSE)</f>
        <v xml:space="preserve"> _</v>
      </c>
      <c r="S383" s="70"/>
      <c r="T383" s="73"/>
      <c r="U383" s="73"/>
      <c r="V383" s="68"/>
      <c r="W383" s="68"/>
      <c r="X383" s="68"/>
      <c r="Y383" s="64"/>
      <c r="Z383" s="68"/>
      <c r="AA383" s="68"/>
      <c r="AB383" s="68"/>
      <c r="AC383" s="68"/>
      <c r="AD383" s="68"/>
      <c r="AE383" s="142"/>
      <c r="AF383" s="145">
        <v>7</v>
      </c>
      <c r="AG383" s="146"/>
      <c r="AH383" s="146">
        <v>0</v>
      </c>
      <c r="AI383" s="146"/>
      <c r="AJ383" s="126" t="s">
        <v>988</v>
      </c>
      <c r="AK383" s="134"/>
      <c r="AL383" s="151" t="s">
        <v>1627</v>
      </c>
      <c r="AM383" s="431" t="str">
        <f>VLOOKUP($Q383,Resultados!$A$1:$C$49,3,FALSE)</f>
        <v>TRAMITE</v>
      </c>
    </row>
    <row r="384" spans="1:39" customFormat="1" ht="38.25">
      <c r="A384" s="364">
        <v>226</v>
      </c>
      <c r="B384" s="69">
        <v>45243</v>
      </c>
      <c r="C384" s="329">
        <v>0.41597222222222219</v>
      </c>
      <c r="D384" s="70" t="s">
        <v>774</v>
      </c>
      <c r="E384" s="92" t="s">
        <v>775</v>
      </c>
      <c r="F384" s="68">
        <v>3</v>
      </c>
      <c r="G384" s="68" t="s">
        <v>5</v>
      </c>
      <c r="H384" s="69"/>
      <c r="I384" s="69"/>
      <c r="J384" s="69"/>
      <c r="K384" s="68" t="s">
        <v>1480</v>
      </c>
      <c r="L384" s="70" t="s">
        <v>74</v>
      </c>
      <c r="M384" s="70" t="s">
        <v>47</v>
      </c>
      <c r="N384" s="68" t="s">
        <v>1499</v>
      </c>
      <c r="O384" s="24" t="str">
        <f>IF(Q384=" _","NO","SI")</f>
        <v>NO</v>
      </c>
      <c r="P384" s="24" t="str">
        <f ca="1">IF(color_Celda(E384)=12106214,"ROSA",IF(color_Celda(E384)=65535,"AMARILLO",IF(color_Celda(E384)=5296274,"VERDE",IF(color_Celda(E384)=16777215,"BLANCO","NO SE"))))</f>
        <v>AMARILLO</v>
      </c>
      <c r="Q384" s="70" t="s">
        <v>108</v>
      </c>
      <c r="R384" s="267" t="str">
        <f>VLOOKUP($Q384,Resultados!$A$1:$B$49,2,FALSE)</f>
        <v xml:space="preserve"> _</v>
      </c>
      <c r="S384" s="70"/>
      <c r="T384" s="73"/>
      <c r="U384" s="73"/>
      <c r="V384" s="68"/>
      <c r="W384" s="68"/>
      <c r="X384" s="68"/>
      <c r="Y384" s="64"/>
      <c r="Z384" s="68"/>
      <c r="AA384" s="68"/>
      <c r="AB384" s="68"/>
      <c r="AC384" s="68"/>
      <c r="AD384" s="68"/>
      <c r="AE384" s="142"/>
      <c r="AF384" s="145">
        <v>7</v>
      </c>
      <c r="AG384" s="146"/>
      <c r="AH384" s="146">
        <v>0</v>
      </c>
      <c r="AI384" s="146"/>
      <c r="AJ384" s="126" t="s">
        <v>988</v>
      </c>
      <c r="AK384" s="134"/>
      <c r="AL384" s="129" t="s">
        <v>1627</v>
      </c>
      <c r="AM384" s="431" t="str">
        <f>VLOOKUP($Q384,Resultados!$A$1:$C$49,3,FALSE)</f>
        <v>TRAMITE</v>
      </c>
    </row>
    <row r="385" spans="1:39" customFormat="1" ht="38.25">
      <c r="A385" s="364">
        <v>227</v>
      </c>
      <c r="B385" s="69">
        <v>45243</v>
      </c>
      <c r="C385" s="332" t="s">
        <v>776</v>
      </c>
      <c r="D385" s="70" t="s">
        <v>777</v>
      </c>
      <c r="E385" s="92" t="s">
        <v>778</v>
      </c>
      <c r="F385" s="68">
        <v>3</v>
      </c>
      <c r="G385" s="68" t="s">
        <v>1750</v>
      </c>
      <c r="H385" s="69"/>
      <c r="I385" s="69"/>
      <c r="J385" s="69"/>
      <c r="K385" s="68" t="s">
        <v>1480</v>
      </c>
      <c r="L385" s="70" t="s">
        <v>74</v>
      </c>
      <c r="M385" s="70" t="s">
        <v>44</v>
      </c>
      <c r="N385" s="68" t="s">
        <v>1631</v>
      </c>
      <c r="O385" s="24" t="str">
        <f>IF(Q385=" _","NO","SI")</f>
        <v>NO</v>
      </c>
      <c r="P385" s="24" t="str">
        <f ca="1">IF(color_Celda(E385)=12106214,"ROSA",IF(color_Celda(E385)=65535,"AMARILLO",IF(color_Celda(E385)=5296274,"VERDE",IF(color_Celda(E385)=16777215,"BLANCO","NO SE"))))</f>
        <v>AMARILLO</v>
      </c>
      <c r="Q385" s="70" t="s">
        <v>108</v>
      </c>
      <c r="R385" s="267" t="str">
        <f>VLOOKUP($Q385,Resultados!$A$1:$B$49,2,FALSE)</f>
        <v xml:space="preserve"> _</v>
      </c>
      <c r="S385" s="70"/>
      <c r="T385" s="73"/>
      <c r="U385" s="73"/>
      <c r="V385" s="68"/>
      <c r="W385" s="68"/>
      <c r="X385" s="68"/>
      <c r="Y385" s="64"/>
      <c r="Z385" s="68"/>
      <c r="AA385" s="68"/>
      <c r="AB385" s="68"/>
      <c r="AC385" s="68"/>
      <c r="AD385" s="68"/>
      <c r="AE385" s="142"/>
      <c r="AF385" s="145">
        <v>7</v>
      </c>
      <c r="AG385" s="146"/>
      <c r="AH385" s="146">
        <v>0</v>
      </c>
      <c r="AI385" s="146"/>
      <c r="AJ385" s="126" t="s">
        <v>988</v>
      </c>
      <c r="AK385" s="134"/>
      <c r="AL385" s="151" t="s">
        <v>1627</v>
      </c>
      <c r="AM385" s="431" t="str">
        <f>VLOOKUP($Q385,Resultados!$A$1:$C$49,3,FALSE)</f>
        <v>TRAMITE</v>
      </c>
    </row>
    <row r="386" spans="1:39" customFormat="1" ht="63.75">
      <c r="A386" s="364">
        <v>228</v>
      </c>
      <c r="B386" s="69">
        <v>45243</v>
      </c>
      <c r="C386" s="329">
        <v>0.43194444444444446</v>
      </c>
      <c r="D386" s="70" t="s">
        <v>779</v>
      </c>
      <c r="E386" s="92" t="s">
        <v>780</v>
      </c>
      <c r="F386" s="68">
        <v>3</v>
      </c>
      <c r="G386" s="68" t="s">
        <v>1750</v>
      </c>
      <c r="H386" s="69"/>
      <c r="I386" s="69"/>
      <c r="J386" s="69"/>
      <c r="K386" s="68" t="s">
        <v>1480</v>
      </c>
      <c r="L386" s="70" t="s">
        <v>77</v>
      </c>
      <c r="M386" s="70" t="s">
        <v>90</v>
      </c>
      <c r="N386" s="68"/>
      <c r="O386" s="24" t="str">
        <f>IF(Q386=" _","NO","SI")</f>
        <v>NO</v>
      </c>
      <c r="P386" s="24" t="str">
        <f ca="1">IF(color_Celda(E386)=12106214,"ROSA",IF(color_Celda(E386)=65535,"AMARILLO",IF(color_Celda(E386)=5296274,"VERDE",IF(color_Celda(E386)=16777215,"BLANCO","NO SE"))))</f>
        <v>AMARILLO</v>
      </c>
      <c r="Q386" s="70" t="s">
        <v>108</v>
      </c>
      <c r="R386" s="267" t="str">
        <f>VLOOKUP($Q386,Resultados!$A$1:$B$49,2,FALSE)</f>
        <v xml:space="preserve"> _</v>
      </c>
      <c r="S386" s="70"/>
      <c r="T386" s="73"/>
      <c r="U386" s="73"/>
      <c r="V386" s="68"/>
      <c r="W386" s="68"/>
      <c r="X386" s="68"/>
      <c r="Y386" s="64"/>
      <c r="Z386" s="68"/>
      <c r="AA386" s="68"/>
      <c r="AB386" s="68"/>
      <c r="AC386" s="68"/>
      <c r="AD386" s="68"/>
      <c r="AE386" s="142"/>
      <c r="AF386" s="145">
        <v>7</v>
      </c>
      <c r="AG386" s="146"/>
      <c r="AH386" s="146">
        <v>0</v>
      </c>
      <c r="AI386" s="146"/>
      <c r="AJ386" s="126" t="s">
        <v>988</v>
      </c>
      <c r="AK386" s="134"/>
      <c r="AL386" s="129" t="s">
        <v>1627</v>
      </c>
      <c r="AM386" s="431" t="str">
        <f>VLOOKUP($Q386,Resultados!$A$1:$C$49,3,FALSE)</f>
        <v>TRAMITE</v>
      </c>
    </row>
    <row r="387" spans="1:39" customFormat="1" ht="38.25">
      <c r="A387" s="364">
        <v>229</v>
      </c>
      <c r="B387" s="69">
        <v>45243</v>
      </c>
      <c r="C387" s="332" t="s">
        <v>790</v>
      </c>
      <c r="D387" s="70" t="s">
        <v>791</v>
      </c>
      <c r="E387" s="92" t="s">
        <v>792</v>
      </c>
      <c r="F387" s="68">
        <v>3</v>
      </c>
      <c r="G387" s="68" t="s">
        <v>1750</v>
      </c>
      <c r="H387" s="69"/>
      <c r="I387" s="69"/>
      <c r="J387" s="69"/>
      <c r="K387" s="68" t="s">
        <v>1480</v>
      </c>
      <c r="L387" s="70" t="s">
        <v>25</v>
      </c>
      <c r="M387" s="70" t="s">
        <v>46</v>
      </c>
      <c r="N387" s="68" t="s">
        <v>3234</v>
      </c>
      <c r="O387" s="24" t="str">
        <f>IF(Q387=" _","NO","SI")</f>
        <v>NO</v>
      </c>
      <c r="P387" s="24" t="str">
        <f ca="1">IF(color_Celda(E387)=12106214,"ROSA",IF(color_Celda(E387)=65535,"AMARILLO",IF(color_Celda(E387)=5296274,"VERDE",IF(color_Celda(E387)=16777215,"BLANCO","NO SE"))))</f>
        <v>AMARILLO</v>
      </c>
      <c r="Q387" s="70" t="s">
        <v>108</v>
      </c>
      <c r="R387" s="267" t="str">
        <f>VLOOKUP($Q387,Resultados!$A$1:$B$49,2,FALSE)</f>
        <v xml:space="preserve"> _</v>
      </c>
      <c r="S387" s="70"/>
      <c r="T387" s="73"/>
      <c r="U387" s="73"/>
      <c r="V387" s="68"/>
      <c r="W387" s="68"/>
      <c r="X387" s="68"/>
      <c r="Y387" s="64"/>
      <c r="Z387" s="68"/>
      <c r="AA387" s="68"/>
      <c r="AB387" s="68"/>
      <c r="AC387" s="68"/>
      <c r="AD387" s="68"/>
      <c r="AE387" s="142"/>
      <c r="AF387" s="145">
        <v>7</v>
      </c>
      <c r="AG387" s="146"/>
      <c r="AH387" s="146">
        <v>0</v>
      </c>
      <c r="AI387" s="146"/>
      <c r="AJ387" s="126" t="s">
        <v>988</v>
      </c>
      <c r="AK387" s="134"/>
      <c r="AL387" s="151" t="s">
        <v>1627</v>
      </c>
      <c r="AM387" s="431" t="str">
        <f>VLOOKUP($Q387,Resultados!$A$1:$C$49,3,FALSE)</f>
        <v>TRAMITE</v>
      </c>
    </row>
    <row r="388" spans="1:39" customFormat="1" ht="76.5">
      <c r="A388" s="364">
        <v>231</v>
      </c>
      <c r="B388" s="72">
        <v>45243</v>
      </c>
      <c r="C388" s="329">
        <v>0.51111111111111118</v>
      </c>
      <c r="D388" s="70" t="s">
        <v>796</v>
      </c>
      <c r="E388" s="92" t="s">
        <v>797</v>
      </c>
      <c r="F388" s="68">
        <v>3</v>
      </c>
      <c r="G388" s="68" t="s">
        <v>1750</v>
      </c>
      <c r="H388" s="69"/>
      <c r="I388" s="69"/>
      <c r="J388" s="69"/>
      <c r="K388" s="68" t="s">
        <v>1480</v>
      </c>
      <c r="L388" s="70" t="s">
        <v>250</v>
      </c>
      <c r="M388" s="70" t="s">
        <v>47</v>
      </c>
      <c r="N388" s="68" t="s">
        <v>1499</v>
      </c>
      <c r="O388" s="24" t="str">
        <f>IF(Q388=" _","NO","SI")</f>
        <v>NO</v>
      </c>
      <c r="P388" s="24" t="str">
        <f ca="1">IF(color_Celda(E388)=12106214,"ROSA",IF(color_Celda(E388)=65535,"AMARILLO",IF(color_Celda(E388)=5296274,"VERDE",IF(color_Celda(E388)=16777215,"BLANCO","NO SE"))))</f>
        <v>AMARILLO</v>
      </c>
      <c r="Q388" s="70" t="s">
        <v>108</v>
      </c>
      <c r="R388" s="267" t="str">
        <f>VLOOKUP($Q388,Resultados!$A$1:$B$49,2,FALSE)</f>
        <v xml:space="preserve"> _</v>
      </c>
      <c r="S388" s="70"/>
      <c r="T388" s="73"/>
      <c r="U388" s="73"/>
      <c r="V388" s="68"/>
      <c r="W388" s="68"/>
      <c r="X388" s="68"/>
      <c r="Y388" s="64"/>
      <c r="Z388" s="68"/>
      <c r="AA388" s="68"/>
      <c r="AB388" s="68"/>
      <c r="AC388" s="68"/>
      <c r="AD388" s="68"/>
      <c r="AE388" s="142"/>
      <c r="AF388" s="145">
        <v>7</v>
      </c>
      <c r="AG388" s="146"/>
      <c r="AH388" s="146">
        <v>0</v>
      </c>
      <c r="AI388" s="146"/>
      <c r="AJ388" s="126" t="s">
        <v>988</v>
      </c>
      <c r="AK388" s="132"/>
      <c r="AL388" s="129" t="s">
        <v>1627</v>
      </c>
      <c r="AM388" s="431" t="str">
        <f>VLOOKUP($Q388,Resultados!$A$1:$C$49,3,FALSE)</f>
        <v>TRAMITE</v>
      </c>
    </row>
    <row r="389" spans="1:39" customFormat="1" ht="38.25">
      <c r="A389" s="364">
        <v>232</v>
      </c>
      <c r="B389" s="69">
        <v>45243</v>
      </c>
      <c r="C389" s="332" t="s">
        <v>798</v>
      </c>
      <c r="D389" s="70" t="s">
        <v>799</v>
      </c>
      <c r="E389" s="92" t="s">
        <v>800</v>
      </c>
      <c r="F389" s="68">
        <v>3</v>
      </c>
      <c r="G389" s="68" t="s">
        <v>1750</v>
      </c>
      <c r="H389" s="69"/>
      <c r="I389" s="69"/>
      <c r="J389" s="69"/>
      <c r="K389" s="68" t="s">
        <v>1480</v>
      </c>
      <c r="L389" s="70" t="s">
        <v>84</v>
      </c>
      <c r="M389" s="70" t="s">
        <v>131</v>
      </c>
      <c r="N389" s="68" t="s">
        <v>1499</v>
      </c>
      <c r="O389" s="24" t="str">
        <f>IF(Q389=" _","NO","SI")</f>
        <v>NO</v>
      </c>
      <c r="P389" s="24" t="str">
        <f ca="1">IF(color_Celda(E389)=12106214,"ROSA",IF(color_Celda(E389)=65535,"AMARILLO",IF(color_Celda(E389)=5296274,"VERDE",IF(color_Celda(E389)=16777215,"BLANCO","NO SE"))))</f>
        <v>AMARILLO</v>
      </c>
      <c r="Q389" s="70" t="s">
        <v>108</v>
      </c>
      <c r="R389" s="267" t="str">
        <f>VLOOKUP($Q389,Resultados!$A$1:$B$49,2,FALSE)</f>
        <v xml:space="preserve"> _</v>
      </c>
      <c r="S389" s="70"/>
      <c r="T389" s="73"/>
      <c r="U389" s="73"/>
      <c r="V389" s="68"/>
      <c r="W389" s="68"/>
      <c r="X389" s="68"/>
      <c r="Y389" s="64"/>
      <c r="Z389" s="68"/>
      <c r="AA389" s="68"/>
      <c r="AB389" s="68"/>
      <c r="AC389" s="68"/>
      <c r="AD389" s="68"/>
      <c r="AE389" s="142"/>
      <c r="AF389" s="145">
        <v>7</v>
      </c>
      <c r="AG389" s="146"/>
      <c r="AH389" s="146">
        <v>0</v>
      </c>
      <c r="AI389" s="146"/>
      <c r="AJ389" s="126" t="s">
        <v>988</v>
      </c>
      <c r="AK389" s="134"/>
      <c r="AL389" s="129" t="s">
        <v>1627</v>
      </c>
      <c r="AM389" s="431" t="str">
        <f>VLOOKUP($Q389,Resultados!$A$1:$C$49,3,FALSE)</f>
        <v>TRAMITE</v>
      </c>
    </row>
    <row r="390" spans="1:39" customFormat="1" ht="51">
      <c r="A390" s="364">
        <v>233</v>
      </c>
      <c r="B390" s="69">
        <v>45243</v>
      </c>
      <c r="C390" s="332" t="s">
        <v>461</v>
      </c>
      <c r="D390" s="70" t="s">
        <v>801</v>
      </c>
      <c r="E390" s="92" t="s">
        <v>802</v>
      </c>
      <c r="F390" s="68">
        <v>7</v>
      </c>
      <c r="G390" s="68" t="s">
        <v>10</v>
      </c>
      <c r="H390" s="69"/>
      <c r="I390" s="69"/>
      <c r="J390" s="69"/>
      <c r="K390" s="68" t="s">
        <v>1480</v>
      </c>
      <c r="L390" s="70" t="s">
        <v>79</v>
      </c>
      <c r="M390" s="70"/>
      <c r="N390" s="68" t="s">
        <v>2577</v>
      </c>
      <c r="O390" s="137" t="str">
        <f>IF(Q390=" _","NO","SI")</f>
        <v>NO</v>
      </c>
      <c r="P390" s="24" t="str">
        <f ca="1">IF(color_Celda(E390)=12106214,"ROSA",IF(color_Celda(E390)=65535,"AMARILLO",IF(color_Celda(E390)=5296274,"VERDE",IF(color_Celda(E390)=16777215,"BLANCO","NO SE"))))</f>
        <v>AMARILLO</v>
      </c>
      <c r="Q390" s="70" t="s">
        <v>108</v>
      </c>
      <c r="R390" s="267" t="str">
        <f>VLOOKUP($Q390,Resultados!$A$1:$B$49,2,FALSE)</f>
        <v xml:space="preserve"> _</v>
      </c>
      <c r="S390" s="70"/>
      <c r="T390" s="73"/>
      <c r="U390" s="73"/>
      <c r="V390" s="68"/>
      <c r="W390" s="68"/>
      <c r="X390" s="68"/>
      <c r="Y390" s="199"/>
      <c r="Z390" s="68"/>
      <c r="AA390" s="68"/>
      <c r="AB390" s="68"/>
      <c r="AC390" s="68"/>
      <c r="AD390" s="68"/>
      <c r="AE390" s="142"/>
      <c r="AF390" s="145">
        <v>7</v>
      </c>
      <c r="AG390" s="146"/>
      <c r="AH390" s="146">
        <v>0</v>
      </c>
      <c r="AI390" s="146"/>
      <c r="AJ390" s="126" t="s">
        <v>988</v>
      </c>
      <c r="AK390" s="134"/>
      <c r="AL390" s="151" t="s">
        <v>1627</v>
      </c>
      <c r="AM390" s="431" t="str">
        <f>VLOOKUP($Q390,Resultados!$A$1:$C$49,3,FALSE)</f>
        <v>TRAMITE</v>
      </c>
    </row>
    <row r="391" spans="1:39" customFormat="1" ht="76.5">
      <c r="A391" s="364">
        <v>237</v>
      </c>
      <c r="B391" s="38">
        <v>45243</v>
      </c>
      <c r="C391" s="331">
        <v>0.50416666666666665</v>
      </c>
      <c r="D391" s="32" t="s">
        <v>1690</v>
      </c>
      <c r="E391" s="40" t="s">
        <v>1691</v>
      </c>
      <c r="F391" s="39">
        <v>3</v>
      </c>
      <c r="G391" s="39" t="s">
        <v>1370</v>
      </c>
      <c r="H391" s="38"/>
      <c r="I391" s="38"/>
      <c r="J391" s="38"/>
      <c r="K391" s="39" t="str">
        <f>IFERROR(VLOOKUP(J391,Jueces!$A$1:$B$11,2,FALSE),"")</f>
        <v/>
      </c>
      <c r="L391" s="32" t="s">
        <v>74</v>
      </c>
      <c r="M391" s="32" t="s">
        <v>170</v>
      </c>
      <c r="N391" s="32" t="s">
        <v>1692</v>
      </c>
      <c r="O391" s="24" t="str">
        <f>IF(Q391=" _","NO","SI")</f>
        <v>NO</v>
      </c>
      <c r="P391" s="24" t="str">
        <f ca="1">IF(color_Celda(E391)=12106214,"ROSA",IF(color_Celda(E391)=65535,"AMARILLO",IF(color_Celda(E391)=5296274,"VERDE",IF(color_Celda(E391)=16777215,"BLANCO","NO SE"))))</f>
        <v>AMARILLO</v>
      </c>
      <c r="Q391" s="32" t="s">
        <v>108</v>
      </c>
      <c r="R391" s="267" t="str">
        <f>VLOOKUP($Q391,Resultados!$A$1:$B$49,2,FALSE)</f>
        <v xml:space="preserve"> _</v>
      </c>
      <c r="S391" s="32"/>
      <c r="T391" s="37"/>
      <c r="U391" s="37"/>
      <c r="V391" s="39"/>
      <c r="W391" s="39"/>
      <c r="X391" s="39"/>
      <c r="Y391" s="64"/>
      <c r="Z391" s="39"/>
      <c r="AA391" s="39"/>
      <c r="AB391" s="39"/>
      <c r="AC391" s="39"/>
      <c r="AD391" s="39"/>
      <c r="AE391" s="144"/>
      <c r="AF391" s="150"/>
      <c r="AG391" s="150"/>
      <c r="AH391" s="150"/>
      <c r="AI391" s="150"/>
      <c r="AJ391" s="128" t="s">
        <v>988</v>
      </c>
      <c r="AK391" s="136"/>
      <c r="AL391" s="151" t="s">
        <v>1627</v>
      </c>
      <c r="AM391" s="431" t="str">
        <f>VLOOKUP($Q391,Resultados!$A$1:$C$49,3,FALSE)</f>
        <v>TRAMITE</v>
      </c>
    </row>
    <row r="392" spans="1:39" customFormat="1" ht="63.75">
      <c r="A392" s="364">
        <v>238</v>
      </c>
      <c r="B392" s="38">
        <v>45243</v>
      </c>
      <c r="C392" s="331">
        <v>0.4201388888888889</v>
      </c>
      <c r="D392" s="32" t="s">
        <v>1693</v>
      </c>
      <c r="E392" s="40" t="s">
        <v>1694</v>
      </c>
      <c r="F392" s="39">
        <v>3</v>
      </c>
      <c r="G392" s="68" t="s">
        <v>1750</v>
      </c>
      <c r="H392" s="38"/>
      <c r="I392" s="38"/>
      <c r="J392" s="38"/>
      <c r="K392" s="39" t="str">
        <f>IFERROR(VLOOKUP(J392,Jueces!$A$1:$B$11,2,FALSE),"")</f>
        <v/>
      </c>
      <c r="L392" s="32" t="s">
        <v>42</v>
      </c>
      <c r="M392" s="32" t="s">
        <v>1156</v>
      </c>
      <c r="N392" s="32" t="s">
        <v>3233</v>
      </c>
      <c r="O392" s="24" t="str">
        <f>IF(Q392=" _","NO","SI")</f>
        <v>NO</v>
      </c>
      <c r="P392" s="24" t="str">
        <f ca="1">IF(color_Celda(E392)=12106214,"ROSA",IF(color_Celda(E392)=65535,"AMARILLO",IF(color_Celda(E392)=5296274,"VERDE",IF(color_Celda(E392)=16777215,"BLANCO","NO SE"))))</f>
        <v>AMARILLO</v>
      </c>
      <c r="Q392" s="32" t="s">
        <v>108</v>
      </c>
      <c r="R392" s="267" t="str">
        <f>VLOOKUP($Q392,Resultados!$A$1:$B$49,2,FALSE)</f>
        <v xml:space="preserve"> _</v>
      </c>
      <c r="S392" s="32"/>
      <c r="T392" s="37"/>
      <c r="U392" s="37"/>
      <c r="V392" s="39"/>
      <c r="W392" s="39"/>
      <c r="X392" s="39"/>
      <c r="Y392" s="64"/>
      <c r="Z392" s="39"/>
      <c r="AA392" s="39"/>
      <c r="AB392" s="39"/>
      <c r="AC392" s="39"/>
      <c r="AD392" s="39"/>
      <c r="AE392" s="144"/>
      <c r="AF392" s="150"/>
      <c r="AG392" s="150"/>
      <c r="AH392" s="150"/>
      <c r="AI392" s="150"/>
      <c r="AJ392" s="128" t="s">
        <v>988</v>
      </c>
      <c r="AK392" s="136"/>
      <c r="AL392" s="151" t="s">
        <v>1627</v>
      </c>
      <c r="AM392" s="431" t="str">
        <f>VLOOKUP($Q392,Resultados!$A$1:$C$49,3,FALSE)</f>
        <v>TRAMITE</v>
      </c>
    </row>
    <row r="393" spans="1:39" customFormat="1" ht="63.75">
      <c r="A393" s="364">
        <v>240</v>
      </c>
      <c r="B393" s="38">
        <v>45243</v>
      </c>
      <c r="C393" s="337" t="s">
        <v>14</v>
      </c>
      <c r="D393" s="32" t="s">
        <v>2255</v>
      </c>
      <c r="E393" s="40" t="s">
        <v>2256</v>
      </c>
      <c r="F393" s="39">
        <v>6</v>
      </c>
      <c r="G393" s="32" t="s">
        <v>326</v>
      </c>
      <c r="H393" s="38"/>
      <c r="I393" s="38"/>
      <c r="J393" s="38"/>
      <c r="K393" s="39" t="str">
        <f>IFERROR(VLOOKUP(J393,Jueces!$A$1:$B$11,2,FALSE),"")</f>
        <v/>
      </c>
      <c r="L393" s="32" t="s">
        <v>72</v>
      </c>
      <c r="M393" s="32" t="s">
        <v>67</v>
      </c>
      <c r="N393" s="32" t="s">
        <v>1342</v>
      </c>
      <c r="O393" s="24" t="str">
        <f>IF(Q393=" _","NO","SI")</f>
        <v>NO</v>
      </c>
      <c r="P393" s="24" t="str">
        <f ca="1">IF(color_Celda(E393)=12106214,"ROSA",IF(color_Celda(E393)=65535,"AMARILLO",IF(color_Celda(E393)=5296274,"VERDE",IF(color_Celda(E393)=16777215,"BLANCO","NO SE"))))</f>
        <v>AMARILLO</v>
      </c>
      <c r="Q393" s="32" t="s">
        <v>108</v>
      </c>
      <c r="R393" s="267" t="str">
        <f>VLOOKUP($Q393,Resultados!$A$1:$B$49,2,FALSE)</f>
        <v xml:space="preserve"> _</v>
      </c>
      <c r="S393" s="32"/>
      <c r="T393" s="37"/>
      <c r="U393" s="37"/>
      <c r="V393" s="39"/>
      <c r="W393" s="39"/>
      <c r="X393" s="39"/>
      <c r="Y393" s="64"/>
      <c r="Z393" s="39"/>
      <c r="AA393" s="39"/>
      <c r="AB393" s="39"/>
      <c r="AC393" s="39"/>
      <c r="AD393" s="39"/>
      <c r="AE393" s="144"/>
      <c r="AF393" s="150"/>
      <c r="AG393" s="150"/>
      <c r="AH393" s="150"/>
      <c r="AI393" s="150"/>
      <c r="AJ393" s="128" t="s">
        <v>988</v>
      </c>
      <c r="AK393" s="136"/>
      <c r="AL393" s="151" t="s">
        <v>1627</v>
      </c>
      <c r="AM393" s="431" t="str">
        <f>VLOOKUP($Q393,Resultados!$A$1:$C$49,3,FALSE)</f>
        <v>TRAMITE</v>
      </c>
    </row>
    <row r="394" spans="1:39" customFormat="1" ht="51">
      <c r="A394" s="364">
        <v>241</v>
      </c>
      <c r="B394" s="38">
        <v>45243</v>
      </c>
      <c r="C394" s="331">
        <v>0.41666666666666669</v>
      </c>
      <c r="D394" s="32" t="s">
        <v>2260</v>
      </c>
      <c r="E394" s="40" t="s">
        <v>2261</v>
      </c>
      <c r="F394" s="39">
        <v>6</v>
      </c>
      <c r="G394" s="32" t="s">
        <v>326</v>
      </c>
      <c r="H394" s="38"/>
      <c r="I394" s="38"/>
      <c r="J394" s="38"/>
      <c r="K394" s="39" t="str">
        <f>IFERROR(VLOOKUP(J394,Jueces!$A$1:$B$11,2,FALSE),"")</f>
        <v/>
      </c>
      <c r="L394" s="32" t="s">
        <v>73</v>
      </c>
      <c r="M394" s="32" t="s">
        <v>2262</v>
      </c>
      <c r="N394" s="32" t="s">
        <v>1342</v>
      </c>
      <c r="O394" s="24" t="str">
        <f>IF(Q394=" _","NO","SI")</f>
        <v>NO</v>
      </c>
      <c r="P394" s="24" t="str">
        <f ca="1">IF(color_Celda(E394)=12106214,"ROSA",IF(color_Celda(E394)=65535,"AMARILLO",IF(color_Celda(E394)=5296274,"VERDE",IF(color_Celda(E394)=16777215,"BLANCO","NO SE"))))</f>
        <v>AMARILLO</v>
      </c>
      <c r="Q394" s="32" t="s">
        <v>108</v>
      </c>
      <c r="R394" s="267" t="str">
        <f>VLOOKUP($Q394,Resultados!$A$1:$B$49,2,FALSE)</f>
        <v xml:space="preserve"> _</v>
      </c>
      <c r="S394" s="32"/>
      <c r="T394" s="37"/>
      <c r="U394" s="37"/>
      <c r="V394" s="39"/>
      <c r="W394" s="39"/>
      <c r="X394" s="39"/>
      <c r="Y394" s="64"/>
      <c r="Z394" s="39"/>
      <c r="AA394" s="39"/>
      <c r="AB394" s="39"/>
      <c r="AC394" s="39"/>
      <c r="AD394" s="39"/>
      <c r="AE394" s="144"/>
      <c r="AF394" s="150"/>
      <c r="AG394" s="150"/>
      <c r="AH394" s="150"/>
      <c r="AI394" s="150"/>
      <c r="AJ394" s="128" t="s">
        <v>988</v>
      </c>
      <c r="AK394" s="136"/>
      <c r="AL394" s="151" t="s">
        <v>1627</v>
      </c>
      <c r="AM394" s="431" t="str">
        <f>VLOOKUP($Q394,Resultados!$A$1:$C$49,3,FALSE)</f>
        <v>TRAMITE</v>
      </c>
    </row>
    <row r="395" spans="1:39" customFormat="1" ht="127.5">
      <c r="A395" s="364">
        <v>242</v>
      </c>
      <c r="B395" s="38">
        <v>45243</v>
      </c>
      <c r="C395" s="331">
        <v>0.41666666666666669</v>
      </c>
      <c r="D395" s="32" t="s">
        <v>2264</v>
      </c>
      <c r="E395" s="40" t="s">
        <v>2266</v>
      </c>
      <c r="F395" s="39">
        <v>6</v>
      </c>
      <c r="G395" s="32" t="s">
        <v>326</v>
      </c>
      <c r="H395" s="38"/>
      <c r="I395" s="38"/>
      <c r="J395" s="38"/>
      <c r="K395" s="39" t="str">
        <f>IFERROR(VLOOKUP(J395,Jueces!$A$1:$B$11,2,FALSE),"")</f>
        <v/>
      </c>
      <c r="L395" s="32" t="s">
        <v>2267</v>
      </c>
      <c r="M395" s="32" t="s">
        <v>734</v>
      </c>
      <c r="N395" s="32" t="s">
        <v>1342</v>
      </c>
      <c r="O395" s="24" t="str">
        <f>IF(Q395=" _","NO","SI")</f>
        <v>NO</v>
      </c>
      <c r="P395" s="24" t="str">
        <f ca="1">IF(color_Celda(E395)=12106214,"ROSA",IF(color_Celda(E395)=65535,"AMARILLO",IF(color_Celda(E395)=5296274,"VERDE",IF(color_Celda(E395)=16777215,"BLANCO","NO SE"))))</f>
        <v>AMARILLO</v>
      </c>
      <c r="Q395" s="32" t="s">
        <v>108</v>
      </c>
      <c r="R395" s="267" t="str">
        <f>VLOOKUP($Q395,Resultados!$A$1:$B$49,2,FALSE)</f>
        <v xml:space="preserve"> _</v>
      </c>
      <c r="S395" s="32"/>
      <c r="T395" s="37"/>
      <c r="U395" s="37"/>
      <c r="V395" s="39"/>
      <c r="W395" s="39"/>
      <c r="X395" s="39"/>
      <c r="Y395" s="64"/>
      <c r="Z395" s="39"/>
      <c r="AA395" s="39"/>
      <c r="AB395" s="39"/>
      <c r="AC395" s="39"/>
      <c r="AD395" s="39"/>
      <c r="AE395" s="144"/>
      <c r="AF395" s="150"/>
      <c r="AG395" s="150"/>
      <c r="AH395" s="150"/>
      <c r="AI395" s="150"/>
      <c r="AJ395" s="128" t="s">
        <v>988</v>
      </c>
      <c r="AK395" s="136"/>
      <c r="AL395" s="151" t="s">
        <v>1627</v>
      </c>
      <c r="AM395" s="431" t="str">
        <f>VLOOKUP($Q395,Resultados!$A$1:$C$49,3,FALSE)</f>
        <v>TRAMITE</v>
      </c>
    </row>
    <row r="396" spans="1:39" customFormat="1" ht="51">
      <c r="A396" s="364">
        <v>243</v>
      </c>
      <c r="B396" s="38">
        <v>45243</v>
      </c>
      <c r="C396" s="331">
        <v>0.41666666666666669</v>
      </c>
      <c r="D396" s="32" t="s">
        <v>2272</v>
      </c>
      <c r="E396" s="40" t="s">
        <v>2273</v>
      </c>
      <c r="F396" s="39">
        <v>6</v>
      </c>
      <c r="G396" s="32" t="s">
        <v>326</v>
      </c>
      <c r="H396" s="38"/>
      <c r="I396" s="38"/>
      <c r="J396" s="38"/>
      <c r="K396" s="39" t="str">
        <f>IFERROR(VLOOKUP(J396,Jueces!$A$1:$B$11,2,FALSE),"")</f>
        <v/>
      </c>
      <c r="L396" s="32" t="s">
        <v>72</v>
      </c>
      <c r="M396" s="32" t="s">
        <v>2274</v>
      </c>
      <c r="N396" s="32" t="s">
        <v>1342</v>
      </c>
      <c r="O396" s="24" t="str">
        <f>IF(Q396=" _","NO","SI")</f>
        <v>NO</v>
      </c>
      <c r="P396" s="24" t="str">
        <f ca="1">IF(color_Celda(E396)=12106214,"ROSA",IF(color_Celda(E396)=65535,"AMARILLO",IF(color_Celda(E396)=5296274,"VERDE",IF(color_Celda(E396)=16777215,"BLANCO","NO SE"))))</f>
        <v>AMARILLO</v>
      </c>
      <c r="Q396" s="32" t="s">
        <v>108</v>
      </c>
      <c r="R396" s="267" t="str">
        <f>VLOOKUP($Q396,Resultados!$A$1:$B$49,2,FALSE)</f>
        <v xml:space="preserve"> _</v>
      </c>
      <c r="S396" s="32"/>
      <c r="T396" s="37"/>
      <c r="U396" s="37"/>
      <c r="V396" s="39"/>
      <c r="W396" s="39"/>
      <c r="X396" s="39"/>
      <c r="Y396" s="64"/>
      <c r="Z396" s="39"/>
      <c r="AA396" s="39"/>
      <c r="AB396" s="39"/>
      <c r="AC396" s="39"/>
      <c r="AD396" s="39"/>
      <c r="AE396" s="144"/>
      <c r="AF396" s="150"/>
      <c r="AG396" s="150"/>
      <c r="AH396" s="150"/>
      <c r="AI396" s="150"/>
      <c r="AJ396" s="128" t="s">
        <v>988</v>
      </c>
      <c r="AK396" s="136"/>
      <c r="AL396" s="151" t="s">
        <v>1627</v>
      </c>
      <c r="AM396" s="431" t="str">
        <f>VLOOKUP($Q396,Resultados!$A$1:$C$49,3,FALSE)</f>
        <v>TRAMITE</v>
      </c>
    </row>
    <row r="397" spans="1:39" customFormat="1" ht="25.5">
      <c r="A397" s="364">
        <v>244</v>
      </c>
      <c r="B397" s="38">
        <v>45243</v>
      </c>
      <c r="C397" s="331">
        <v>0.41666666666666669</v>
      </c>
      <c r="D397" s="32" t="s">
        <v>2275</v>
      </c>
      <c r="E397" s="40" t="s">
        <v>2276</v>
      </c>
      <c r="F397" s="39">
        <v>6</v>
      </c>
      <c r="G397" s="32" t="s">
        <v>326</v>
      </c>
      <c r="H397" s="38"/>
      <c r="I397" s="38"/>
      <c r="J397" s="38"/>
      <c r="K397" s="39" t="str">
        <f>IFERROR(VLOOKUP(J397,Jueces!$A$1:$B$11,2,FALSE),"")</f>
        <v/>
      </c>
      <c r="L397" s="32" t="s">
        <v>2277</v>
      </c>
      <c r="M397" s="32" t="s">
        <v>2278</v>
      </c>
      <c r="N397" s="32" t="s">
        <v>1342</v>
      </c>
      <c r="O397" s="24" t="str">
        <f>IF(Q397=" _","NO","SI")</f>
        <v>NO</v>
      </c>
      <c r="P397" s="24" t="str">
        <f ca="1">IF(color_Celda(E397)=12106214,"ROSA",IF(color_Celda(E397)=65535,"AMARILLO",IF(color_Celda(E397)=5296274,"VERDE",IF(color_Celda(E397)=16777215,"BLANCO","NO SE"))))</f>
        <v>AMARILLO</v>
      </c>
      <c r="Q397" s="32" t="s">
        <v>108</v>
      </c>
      <c r="R397" s="267" t="str">
        <f>VLOOKUP($Q397,Resultados!$A$1:$B$49,2,FALSE)</f>
        <v xml:space="preserve"> _</v>
      </c>
      <c r="S397" s="32"/>
      <c r="T397" s="37"/>
      <c r="U397" s="37"/>
      <c r="V397" s="39"/>
      <c r="W397" s="39"/>
      <c r="X397" s="39"/>
      <c r="Y397" s="64"/>
      <c r="Z397" s="39"/>
      <c r="AA397" s="39"/>
      <c r="AB397" s="39"/>
      <c r="AC397" s="39"/>
      <c r="AD397" s="39"/>
      <c r="AE397" s="144"/>
      <c r="AF397" s="150"/>
      <c r="AG397" s="150"/>
      <c r="AH397" s="150"/>
      <c r="AI397" s="150"/>
      <c r="AJ397" s="128" t="s">
        <v>988</v>
      </c>
      <c r="AK397" s="136"/>
      <c r="AL397" s="151" t="s">
        <v>1627</v>
      </c>
      <c r="AM397" s="431" t="str">
        <f>VLOOKUP($Q397,Resultados!$A$1:$C$49,3,FALSE)</f>
        <v>TRAMITE</v>
      </c>
    </row>
    <row r="398" spans="1:39" customFormat="1" ht="38.25">
      <c r="A398" s="364">
        <v>245</v>
      </c>
      <c r="B398" s="38">
        <v>45243</v>
      </c>
      <c r="C398" s="337" t="s">
        <v>803</v>
      </c>
      <c r="D398" s="32" t="s">
        <v>2285</v>
      </c>
      <c r="E398" s="40" t="s">
        <v>2286</v>
      </c>
      <c r="F398" s="39">
        <v>7</v>
      </c>
      <c r="G398" s="39" t="s">
        <v>10</v>
      </c>
      <c r="H398" s="38"/>
      <c r="I398" s="38"/>
      <c r="J398" s="38"/>
      <c r="K398" s="39" t="str">
        <f>IFERROR(VLOOKUP(J398,Jueces!$A$1:$B$11,2,FALSE),"")</f>
        <v/>
      </c>
      <c r="L398" s="32" t="s">
        <v>42</v>
      </c>
      <c r="M398" s="32" t="s">
        <v>2287</v>
      </c>
      <c r="N398" s="32" t="s">
        <v>2288</v>
      </c>
      <c r="O398" s="24" t="str">
        <f>IF(Q398=" _","NO","SI")</f>
        <v>NO</v>
      </c>
      <c r="P398" s="24" t="str">
        <f ca="1">IF(color_Celda(E398)=12106214,"ROSA",IF(color_Celda(E398)=65535,"AMARILLO",IF(color_Celda(E398)=5296274,"VERDE",IF(color_Celda(E398)=16777215,"BLANCO","NO SE"))))</f>
        <v>AMARILLO</v>
      </c>
      <c r="Q398" s="32" t="s">
        <v>108</v>
      </c>
      <c r="R398" s="267" t="str">
        <f>VLOOKUP($Q398,Resultados!$A$1:$B$49,2,FALSE)</f>
        <v xml:space="preserve"> _</v>
      </c>
      <c r="S398" s="32"/>
      <c r="T398" s="37"/>
      <c r="U398" s="37"/>
      <c r="V398" s="39"/>
      <c r="W398" s="39"/>
      <c r="X398" s="39"/>
      <c r="Y398" s="64"/>
      <c r="Z398" s="39"/>
      <c r="AA398" s="39"/>
      <c r="AB398" s="39"/>
      <c r="AC398" s="39"/>
      <c r="AD398" s="39"/>
      <c r="AE398" s="144"/>
      <c r="AF398" s="150"/>
      <c r="AG398" s="150"/>
      <c r="AH398" s="150"/>
      <c r="AI398" s="150"/>
      <c r="AJ398" s="128" t="s">
        <v>988</v>
      </c>
      <c r="AK398" s="136"/>
      <c r="AL398" s="151" t="s">
        <v>1627</v>
      </c>
      <c r="AM398" s="431" t="str">
        <f>VLOOKUP($Q398,Resultados!$A$1:$C$49,3,FALSE)</f>
        <v>TRAMITE</v>
      </c>
    </row>
    <row r="399" spans="1:39" customFormat="1" ht="51">
      <c r="A399" s="364">
        <v>246</v>
      </c>
      <c r="B399" s="69">
        <v>45244</v>
      </c>
      <c r="C399" s="332" t="s">
        <v>1301</v>
      </c>
      <c r="D399" s="70" t="s">
        <v>1302</v>
      </c>
      <c r="E399" s="92" t="s">
        <v>1303</v>
      </c>
      <c r="F399" s="68">
        <v>3</v>
      </c>
      <c r="G399" s="68" t="s">
        <v>1750</v>
      </c>
      <c r="H399" s="69"/>
      <c r="I399" s="69"/>
      <c r="J399" s="69"/>
      <c r="K399" s="68" t="s">
        <v>1480</v>
      </c>
      <c r="L399" s="70" t="s">
        <v>80</v>
      </c>
      <c r="M399" s="70" t="s">
        <v>47</v>
      </c>
      <c r="N399" s="68" t="s">
        <v>2214</v>
      </c>
      <c r="O399" s="24" t="str">
        <f>IF(Q399=" _","NO","SI")</f>
        <v>NO</v>
      </c>
      <c r="P399" s="24" t="str">
        <f ca="1">IF(color_Celda(E399)=12106214,"ROSA",IF(color_Celda(E399)=65535,"AMARILLO",IF(color_Celda(E399)=5296274,"VERDE",IF(color_Celda(E399)=16777215,"BLANCO","NO SE"))))</f>
        <v>AMARILLO</v>
      </c>
      <c r="Q399" s="70" t="s">
        <v>108</v>
      </c>
      <c r="R399" s="267" t="str">
        <f>VLOOKUP($Q399,Resultados!$A$1:$B$49,2,FALSE)</f>
        <v xml:space="preserve"> _</v>
      </c>
      <c r="S399" s="70"/>
      <c r="T399" s="73"/>
      <c r="U399" s="73"/>
      <c r="V399" s="68"/>
      <c r="W399" s="68"/>
      <c r="X399" s="68"/>
      <c r="Y399" s="64"/>
      <c r="Z399" s="68"/>
      <c r="AA399" s="68"/>
      <c r="AB399" s="68"/>
      <c r="AC399" s="68"/>
      <c r="AD399" s="68"/>
      <c r="AE399" s="142"/>
      <c r="AF399" s="146">
        <v>7</v>
      </c>
      <c r="AG399" s="146"/>
      <c r="AH399" s="146">
        <v>0</v>
      </c>
      <c r="AI399" s="146"/>
      <c r="AJ399" s="126" t="s">
        <v>988</v>
      </c>
      <c r="AK399" s="132"/>
      <c r="AL399" s="129" t="s">
        <v>1627</v>
      </c>
      <c r="AM399" s="431" t="str">
        <f>VLOOKUP($Q399,Resultados!$A$1:$C$49,3,FALSE)</f>
        <v>TRAMITE</v>
      </c>
    </row>
    <row r="400" spans="1:39" customFormat="1" ht="25.5">
      <c r="A400" s="364">
        <v>247</v>
      </c>
      <c r="B400" s="38">
        <v>45244</v>
      </c>
      <c r="C400" s="337" t="s">
        <v>1010</v>
      </c>
      <c r="D400" s="32" t="s">
        <v>1511</v>
      </c>
      <c r="E400" s="40" t="s">
        <v>1512</v>
      </c>
      <c r="F400" s="39">
        <v>3</v>
      </c>
      <c r="G400" s="68" t="s">
        <v>1750</v>
      </c>
      <c r="H400" s="38"/>
      <c r="I400" s="38"/>
      <c r="J400" s="38"/>
      <c r="K400" s="39" t="str">
        <f>IFERROR(VLOOKUP(J400,Jueces!$A$1:$B$11,2,FALSE),"")</f>
        <v/>
      </c>
      <c r="L400" s="32" t="s">
        <v>2172</v>
      </c>
      <c r="M400" s="32" t="s">
        <v>46</v>
      </c>
      <c r="N400" s="39"/>
      <c r="O400" s="24" t="str">
        <f>IF(Q400=" _","NO","SI")</f>
        <v>NO</v>
      </c>
      <c r="P400" s="24" t="str">
        <f ca="1">IF(color_Celda(E400)=12106214,"ROSA",IF(color_Celda(E400)=65535,"AMARILLO",IF(color_Celda(E400)=5296274,"VERDE",IF(color_Celda(E400)=16777215,"BLANCO","NO SE"))))</f>
        <v>AMARILLO</v>
      </c>
      <c r="Q400" s="32" t="s">
        <v>108</v>
      </c>
      <c r="R400" s="267" t="str">
        <f>VLOOKUP($Q400,Resultados!$A$1:$B$49,2,FALSE)</f>
        <v xml:space="preserve"> _</v>
      </c>
      <c r="S400" s="32"/>
      <c r="T400" s="37"/>
      <c r="U400" s="37"/>
      <c r="V400" s="39"/>
      <c r="W400" s="39"/>
      <c r="X400" s="39"/>
      <c r="Y400" s="64"/>
      <c r="Z400" s="39"/>
      <c r="AA400" s="39"/>
      <c r="AB400" s="39"/>
      <c r="AC400" s="39"/>
      <c r="AD400" s="39"/>
      <c r="AE400" s="144"/>
      <c r="AF400" s="150"/>
      <c r="AG400" s="150"/>
      <c r="AH400" s="150"/>
      <c r="AI400" s="150"/>
      <c r="AJ400" s="128" t="s">
        <v>988</v>
      </c>
      <c r="AK400" s="136"/>
      <c r="AL400" s="129" t="s">
        <v>1627</v>
      </c>
      <c r="AM400" s="431" t="str">
        <f>VLOOKUP($Q400,Resultados!$A$1:$C$49,3,FALSE)</f>
        <v>TRAMITE</v>
      </c>
    </row>
    <row r="401" spans="1:39" customFormat="1" ht="38.25">
      <c r="A401" s="364">
        <v>248</v>
      </c>
      <c r="B401" s="38">
        <v>45244</v>
      </c>
      <c r="C401" s="337" t="s">
        <v>1301</v>
      </c>
      <c r="D401" s="32" t="s">
        <v>1513</v>
      </c>
      <c r="E401" s="40" t="s">
        <v>1514</v>
      </c>
      <c r="F401" s="39">
        <v>3</v>
      </c>
      <c r="G401" s="68" t="s">
        <v>1750</v>
      </c>
      <c r="H401" s="38"/>
      <c r="I401" s="38"/>
      <c r="J401" s="38"/>
      <c r="K401" s="39" t="str">
        <f>IFERROR(VLOOKUP(J401,Jueces!$A$1:$B$11,2,FALSE),"")</f>
        <v/>
      </c>
      <c r="L401" s="32" t="s">
        <v>83</v>
      </c>
      <c r="M401" s="32"/>
      <c r="N401" s="39"/>
      <c r="O401" s="24" t="str">
        <f>IF(Q401=" _","NO","SI")</f>
        <v>NO</v>
      </c>
      <c r="P401" s="24" t="str">
        <f ca="1">IF(color_Celda(E401)=12106214,"ROSA",IF(color_Celda(E401)=65535,"AMARILLO",IF(color_Celda(E401)=5296274,"VERDE",IF(color_Celda(E401)=16777215,"BLANCO","NO SE"))))</f>
        <v>AMARILLO</v>
      </c>
      <c r="Q401" s="32" t="s">
        <v>108</v>
      </c>
      <c r="R401" s="267" t="str">
        <f>VLOOKUP($Q401,Resultados!$A$1:$B$49,2,FALSE)</f>
        <v xml:space="preserve"> _</v>
      </c>
      <c r="S401" s="32"/>
      <c r="T401" s="37"/>
      <c r="U401" s="37"/>
      <c r="V401" s="39"/>
      <c r="W401" s="39"/>
      <c r="X401" s="39"/>
      <c r="Y401" s="64"/>
      <c r="Z401" s="39"/>
      <c r="AA401" s="39"/>
      <c r="AB401" s="39"/>
      <c r="AC401" s="39"/>
      <c r="AD401" s="39"/>
      <c r="AE401" s="144"/>
      <c r="AF401" s="150"/>
      <c r="AG401" s="150"/>
      <c r="AH401" s="150"/>
      <c r="AI401" s="150"/>
      <c r="AJ401" s="128" t="s">
        <v>988</v>
      </c>
      <c r="AK401" s="136"/>
      <c r="AL401" s="129" t="s">
        <v>1627</v>
      </c>
      <c r="AM401" s="431" t="str">
        <f>VLOOKUP($Q401,Resultados!$A$1:$C$49,3,FALSE)</f>
        <v>TRAMITE</v>
      </c>
    </row>
    <row r="402" spans="1:39" customFormat="1" ht="38.25">
      <c r="A402" s="364">
        <v>249</v>
      </c>
      <c r="B402" s="38">
        <v>45244</v>
      </c>
      <c r="C402" s="337" t="s">
        <v>1652</v>
      </c>
      <c r="D402" s="32" t="s">
        <v>2246</v>
      </c>
      <c r="E402" s="40" t="s">
        <v>2247</v>
      </c>
      <c r="F402" s="39">
        <v>6</v>
      </c>
      <c r="G402" s="32" t="s">
        <v>326</v>
      </c>
      <c r="H402" s="38"/>
      <c r="I402" s="38"/>
      <c r="J402" s="38"/>
      <c r="K402" s="39" t="str">
        <f>IFERROR(VLOOKUP(J402,Jueces!$A$1:$B$11,2,FALSE),"")</f>
        <v/>
      </c>
      <c r="L402" s="32" t="s">
        <v>74</v>
      </c>
      <c r="M402" s="32" t="s">
        <v>45</v>
      </c>
      <c r="N402" s="32" t="s">
        <v>1342</v>
      </c>
      <c r="O402" s="24" t="str">
        <f>IF(Q402=" _","NO","SI")</f>
        <v>NO</v>
      </c>
      <c r="P402" s="24" t="str">
        <f ca="1">IF(color_Celda(E402)=12106214,"ROSA",IF(color_Celda(E402)=65535,"AMARILLO",IF(color_Celda(E402)=5296274,"VERDE",IF(color_Celda(E402)=16777215,"BLANCO","NO SE"))))</f>
        <v>AMARILLO</v>
      </c>
      <c r="Q402" s="32" t="s">
        <v>108</v>
      </c>
      <c r="R402" s="267" t="str">
        <f>VLOOKUP($Q402,Resultados!$A$1:$B$49,2,FALSE)</f>
        <v xml:space="preserve"> _</v>
      </c>
      <c r="S402" s="32"/>
      <c r="T402" s="37"/>
      <c r="U402" s="37"/>
      <c r="V402" s="39"/>
      <c r="W402" s="39"/>
      <c r="X402" s="39"/>
      <c r="Y402" s="64"/>
      <c r="Z402" s="39"/>
      <c r="AA402" s="39"/>
      <c r="AB402" s="39"/>
      <c r="AC402" s="39"/>
      <c r="AD402" s="39"/>
      <c r="AE402" s="144"/>
      <c r="AF402" s="150"/>
      <c r="AG402" s="150"/>
      <c r="AH402" s="150"/>
      <c r="AI402" s="150"/>
      <c r="AJ402" s="128" t="s">
        <v>988</v>
      </c>
      <c r="AK402" s="136"/>
      <c r="AL402" s="151" t="s">
        <v>1627</v>
      </c>
      <c r="AM402" s="431" t="str">
        <f>VLOOKUP($Q402,Resultados!$A$1:$C$49,3,FALSE)</f>
        <v>TRAMITE</v>
      </c>
    </row>
    <row r="403" spans="1:39" customFormat="1" ht="140.25">
      <c r="A403" s="364">
        <v>250</v>
      </c>
      <c r="B403" s="69">
        <v>45245</v>
      </c>
      <c r="C403" s="329">
        <v>0.33333333333333331</v>
      </c>
      <c r="D403" s="70" t="s">
        <v>812</v>
      </c>
      <c r="E403" s="92" t="s">
        <v>813</v>
      </c>
      <c r="F403" s="68">
        <v>3</v>
      </c>
      <c r="G403" s="68" t="s">
        <v>1750</v>
      </c>
      <c r="H403" s="69"/>
      <c r="I403" s="69"/>
      <c r="J403" s="69"/>
      <c r="K403" s="68" t="s">
        <v>1480</v>
      </c>
      <c r="L403" s="70" t="s">
        <v>2172</v>
      </c>
      <c r="M403" s="70" t="s">
        <v>43</v>
      </c>
      <c r="N403" s="70" t="s">
        <v>1486</v>
      </c>
      <c r="O403" s="137" t="str">
        <f>IF(Q403=" _","NO","SI")</f>
        <v>NO</v>
      </c>
      <c r="P403" s="24" t="str">
        <f ca="1">IF(color_Celda(E403)=12106214,"ROSA",IF(color_Celda(E403)=65535,"AMARILLO",IF(color_Celda(E403)=5296274,"VERDE",IF(color_Celda(E403)=16777215,"BLANCO","NO SE"))))</f>
        <v>AMARILLO</v>
      </c>
      <c r="Q403" s="70" t="s">
        <v>108</v>
      </c>
      <c r="R403" s="267" t="str">
        <f>VLOOKUP($Q403,Resultados!$A$1:$B$49,2,FALSE)</f>
        <v xml:space="preserve"> _</v>
      </c>
      <c r="S403" s="70"/>
      <c r="T403" s="73"/>
      <c r="U403" s="73"/>
      <c r="V403" s="68"/>
      <c r="W403" s="68"/>
      <c r="X403" s="68"/>
      <c r="Y403" s="199"/>
      <c r="Z403" s="68"/>
      <c r="AA403" s="68"/>
      <c r="AB403" s="68"/>
      <c r="AC403" s="68"/>
      <c r="AD403" s="68"/>
      <c r="AE403" s="142"/>
      <c r="AF403" s="145">
        <v>7</v>
      </c>
      <c r="AG403" s="146"/>
      <c r="AH403" s="146">
        <v>0</v>
      </c>
      <c r="AI403" s="146"/>
      <c r="AJ403" s="126" t="s">
        <v>988</v>
      </c>
      <c r="AK403" s="134"/>
      <c r="AL403" s="151" t="s">
        <v>1627</v>
      </c>
      <c r="AM403" s="431" t="str">
        <f>VLOOKUP($Q403,Resultados!$A$1:$C$49,3,FALSE)</f>
        <v>TRAMITE</v>
      </c>
    </row>
    <row r="404" spans="1:39" customFormat="1" ht="51">
      <c r="A404" s="364">
        <v>251</v>
      </c>
      <c r="B404" s="69">
        <v>45245</v>
      </c>
      <c r="C404" s="329">
        <v>0.33333333333333331</v>
      </c>
      <c r="D404" s="70" t="s">
        <v>814</v>
      </c>
      <c r="E404" s="92" t="s">
        <v>815</v>
      </c>
      <c r="F404" s="68">
        <v>2</v>
      </c>
      <c r="G404" s="68" t="s">
        <v>325</v>
      </c>
      <c r="H404" s="69"/>
      <c r="I404" s="69"/>
      <c r="J404" s="69"/>
      <c r="K404" s="68" t="s">
        <v>1480</v>
      </c>
      <c r="L404" s="70" t="s">
        <v>83</v>
      </c>
      <c r="M404" s="70" t="s">
        <v>1355</v>
      </c>
      <c r="N404" s="68" t="s">
        <v>1342</v>
      </c>
      <c r="O404" s="24" t="str">
        <f>IF(Q404=" _","NO","SI")</f>
        <v>NO</v>
      </c>
      <c r="P404" s="24" t="str">
        <f ca="1">IF(color_Celda(E404)=12106214,"ROSA",IF(color_Celda(E404)=65535,"AMARILLO",IF(color_Celda(E404)=5296274,"VERDE",IF(color_Celda(E404)=16777215,"BLANCO","NO SE"))))</f>
        <v>AMARILLO</v>
      </c>
      <c r="Q404" s="70" t="s">
        <v>108</v>
      </c>
      <c r="R404" s="267" t="str">
        <f>VLOOKUP($Q404,Resultados!$A$1:$B$49,2,FALSE)</f>
        <v xml:space="preserve"> _</v>
      </c>
      <c r="S404" s="70"/>
      <c r="T404" s="73"/>
      <c r="U404" s="73"/>
      <c r="V404" s="68"/>
      <c r="W404" s="68"/>
      <c r="X404" s="68"/>
      <c r="Y404" s="64"/>
      <c r="Z404" s="68"/>
      <c r="AA404" s="68"/>
      <c r="AB404" s="68"/>
      <c r="AC404" s="68"/>
      <c r="AD404" s="68"/>
      <c r="AE404" s="142"/>
      <c r="AF404" s="145">
        <v>7</v>
      </c>
      <c r="AG404" s="146"/>
      <c r="AH404" s="146">
        <v>0</v>
      </c>
      <c r="AI404" s="146"/>
      <c r="AJ404" s="126" t="s">
        <v>988</v>
      </c>
      <c r="AK404" s="134"/>
      <c r="AL404" s="151" t="s">
        <v>1627</v>
      </c>
      <c r="AM404" s="431" t="str">
        <f>VLOOKUP($Q404,Resultados!$A$1:$C$49,3,FALSE)</f>
        <v>TRAMITE</v>
      </c>
    </row>
    <row r="405" spans="1:39" customFormat="1" ht="76.5">
      <c r="A405" s="364">
        <v>252</v>
      </c>
      <c r="B405" s="69">
        <v>45245</v>
      </c>
      <c r="C405" s="329">
        <v>0.33333333333333331</v>
      </c>
      <c r="D405" s="70" t="s">
        <v>816</v>
      </c>
      <c r="E405" s="92" t="s">
        <v>817</v>
      </c>
      <c r="F405" s="68">
        <v>6</v>
      </c>
      <c r="G405" s="68" t="s">
        <v>326</v>
      </c>
      <c r="H405" s="69"/>
      <c r="I405" s="69"/>
      <c r="J405" s="69"/>
      <c r="K405" s="68" t="s">
        <v>1480</v>
      </c>
      <c r="L405" s="70" t="s">
        <v>77</v>
      </c>
      <c r="M405" s="70"/>
      <c r="N405" s="68" t="s">
        <v>1342</v>
      </c>
      <c r="O405" s="24" t="str">
        <f>IF(Q405=" _","NO","SI")</f>
        <v>NO</v>
      </c>
      <c r="P405" s="24" t="str">
        <f ca="1">IF(color_Celda(E405)=12106214,"ROSA",IF(color_Celda(E405)=65535,"AMARILLO",IF(color_Celda(E405)=5296274,"VERDE",IF(color_Celda(E405)=16777215,"BLANCO","NO SE"))))</f>
        <v>AMARILLO</v>
      </c>
      <c r="Q405" s="70" t="s">
        <v>108</v>
      </c>
      <c r="R405" s="267" t="str">
        <f>VLOOKUP($Q405,Resultados!$A$1:$B$49,2,FALSE)</f>
        <v xml:space="preserve"> _</v>
      </c>
      <c r="S405" s="70"/>
      <c r="T405" s="99"/>
      <c r="U405" s="99"/>
      <c r="V405" s="107"/>
      <c r="W405" s="68"/>
      <c r="X405" s="68"/>
      <c r="Y405" s="64"/>
      <c r="Z405" s="68"/>
      <c r="AA405" s="68"/>
      <c r="AB405" s="68"/>
      <c r="AC405" s="107"/>
      <c r="AD405" s="107"/>
      <c r="AE405" s="143"/>
      <c r="AF405" s="145">
        <v>7</v>
      </c>
      <c r="AG405" s="118"/>
      <c r="AH405" s="118">
        <v>0</v>
      </c>
      <c r="AI405" s="118"/>
      <c r="AJ405" s="126" t="s">
        <v>988</v>
      </c>
      <c r="AK405" s="134"/>
      <c r="AL405" s="151" t="s">
        <v>1627</v>
      </c>
      <c r="AM405" s="431" t="str">
        <f>VLOOKUP($Q405,Resultados!$A$1:$C$49,3,FALSE)</f>
        <v>TRAMITE</v>
      </c>
    </row>
    <row r="406" spans="1:39" customFormat="1" ht="51">
      <c r="A406" s="364">
        <v>253</v>
      </c>
      <c r="B406" s="69">
        <v>45245</v>
      </c>
      <c r="C406" s="329">
        <v>0.33333333333333331</v>
      </c>
      <c r="D406" s="70" t="s">
        <v>818</v>
      </c>
      <c r="E406" s="92" t="s">
        <v>819</v>
      </c>
      <c r="F406" s="68">
        <v>3</v>
      </c>
      <c r="G406" s="68" t="s">
        <v>1750</v>
      </c>
      <c r="H406" s="69"/>
      <c r="I406" s="69"/>
      <c r="J406" s="69"/>
      <c r="K406" s="68" t="s">
        <v>1480</v>
      </c>
      <c r="L406" s="70" t="s">
        <v>250</v>
      </c>
      <c r="M406" s="70" t="s">
        <v>47</v>
      </c>
      <c r="N406" s="111" t="s">
        <v>3235</v>
      </c>
      <c r="O406" s="24" t="str">
        <f>IF(Q406=" _","NO","SI")</f>
        <v>NO</v>
      </c>
      <c r="P406" s="24" t="str">
        <f ca="1">IF(color_Celda(E406)=12106214,"ROSA",IF(color_Celda(E406)=65535,"AMARILLO",IF(color_Celda(E406)=5296274,"VERDE",IF(color_Celda(E406)=16777215,"BLANCO","NO SE"))))</f>
        <v>AMARILLO</v>
      </c>
      <c r="Q406" s="70" t="s">
        <v>108</v>
      </c>
      <c r="R406" s="267" t="str">
        <f>VLOOKUP($Q406,Resultados!$A$1:$B$49,2,FALSE)</f>
        <v xml:space="preserve"> _</v>
      </c>
      <c r="S406" s="70"/>
      <c r="T406" s="73"/>
      <c r="U406" s="73"/>
      <c r="V406" s="68"/>
      <c r="W406" s="68"/>
      <c r="X406" s="68"/>
      <c r="Y406" s="64"/>
      <c r="Z406" s="68"/>
      <c r="AA406" s="68"/>
      <c r="AB406" s="68"/>
      <c r="AC406" s="68"/>
      <c r="AD406" s="68"/>
      <c r="AE406" s="142"/>
      <c r="AF406" s="145">
        <v>7</v>
      </c>
      <c r="AG406" s="146"/>
      <c r="AH406" s="146">
        <v>0</v>
      </c>
      <c r="AI406" s="146"/>
      <c r="AJ406" s="126" t="s">
        <v>988</v>
      </c>
      <c r="AK406" s="132"/>
      <c r="AL406" s="151" t="s">
        <v>1627</v>
      </c>
      <c r="AM406" s="431" t="str">
        <f>VLOOKUP($Q406,Resultados!$A$1:$C$49,3,FALSE)</f>
        <v>TRAMITE</v>
      </c>
    </row>
    <row r="407" spans="1:39" customFormat="1" ht="51">
      <c r="A407" s="364">
        <v>254</v>
      </c>
      <c r="B407" s="69">
        <v>45245</v>
      </c>
      <c r="C407" s="329">
        <v>0.33333333333333331</v>
      </c>
      <c r="D407" s="70" t="s">
        <v>820</v>
      </c>
      <c r="E407" s="92" t="s">
        <v>821</v>
      </c>
      <c r="F407" s="68">
        <v>6</v>
      </c>
      <c r="G407" s="68" t="s">
        <v>326</v>
      </c>
      <c r="H407" s="69"/>
      <c r="I407" s="69"/>
      <c r="J407" s="69"/>
      <c r="K407" s="68" t="s">
        <v>1480</v>
      </c>
      <c r="L407" s="70" t="s">
        <v>2170</v>
      </c>
      <c r="M407" s="70" t="s">
        <v>270</v>
      </c>
      <c r="N407" s="68" t="s">
        <v>1342</v>
      </c>
      <c r="O407" s="24" t="str">
        <f>IF(Q407=" _","NO","SI")</f>
        <v>NO</v>
      </c>
      <c r="P407" s="24" t="str">
        <f ca="1">IF(color_Celda(E407)=12106214,"ROSA",IF(color_Celda(E407)=65535,"AMARILLO",IF(color_Celda(E407)=5296274,"VERDE",IF(color_Celda(E407)=16777215,"BLANCO","NO SE"))))</f>
        <v>AMARILLO</v>
      </c>
      <c r="Q407" s="70" t="s">
        <v>108</v>
      </c>
      <c r="R407" s="267" t="str">
        <f>VLOOKUP($Q407,Resultados!$A$1:$B$49,2,FALSE)</f>
        <v xml:space="preserve"> _</v>
      </c>
      <c r="S407" s="70"/>
      <c r="T407" s="73"/>
      <c r="U407" s="73"/>
      <c r="V407" s="68"/>
      <c r="W407" s="68"/>
      <c r="X407" s="68"/>
      <c r="Y407" s="64"/>
      <c r="Z407" s="68"/>
      <c r="AA407" s="68"/>
      <c r="AB407" s="68"/>
      <c r="AC407" s="68"/>
      <c r="AD407" s="68"/>
      <c r="AE407" s="142"/>
      <c r="AF407" s="145">
        <v>7</v>
      </c>
      <c r="AG407" s="146"/>
      <c r="AH407" s="146">
        <v>0</v>
      </c>
      <c r="AI407" s="146"/>
      <c r="AJ407" s="126" t="s">
        <v>988</v>
      </c>
      <c r="AK407" s="134"/>
      <c r="AL407" s="151" t="s">
        <v>1627</v>
      </c>
      <c r="AM407" s="431" t="str">
        <f>VLOOKUP($Q407,Resultados!$A$1:$C$49,3,FALSE)</f>
        <v>TRAMITE</v>
      </c>
    </row>
    <row r="408" spans="1:39" customFormat="1" ht="76.5">
      <c r="A408" s="364">
        <v>255</v>
      </c>
      <c r="B408" s="69">
        <v>45245</v>
      </c>
      <c r="C408" s="329">
        <v>0.33333333333333331</v>
      </c>
      <c r="D408" s="70" t="s">
        <v>822</v>
      </c>
      <c r="E408" s="92" t="s">
        <v>823</v>
      </c>
      <c r="F408" s="68">
        <v>6</v>
      </c>
      <c r="G408" s="68" t="s">
        <v>326</v>
      </c>
      <c r="H408" s="69"/>
      <c r="I408" s="69"/>
      <c r="J408" s="69"/>
      <c r="K408" s="68" t="s">
        <v>1480</v>
      </c>
      <c r="L408" s="70" t="s">
        <v>254</v>
      </c>
      <c r="M408" s="70" t="s">
        <v>90</v>
      </c>
      <c r="N408" s="68"/>
      <c r="O408" s="24" t="str">
        <f>IF(Q408=" _","NO","SI")</f>
        <v>NO</v>
      </c>
      <c r="P408" s="24" t="str">
        <f ca="1">IF(color_Celda(E408)=12106214,"ROSA",IF(color_Celda(E408)=65535,"AMARILLO",IF(color_Celda(E408)=5296274,"VERDE",IF(color_Celda(E408)=16777215,"BLANCO","NO SE"))))</f>
        <v>AMARILLO</v>
      </c>
      <c r="Q408" s="70" t="s">
        <v>108</v>
      </c>
      <c r="R408" s="267" t="str">
        <f>VLOOKUP($Q408,Resultados!$A$1:$B$49,2,FALSE)</f>
        <v xml:space="preserve"> _</v>
      </c>
      <c r="S408" s="70"/>
      <c r="T408" s="73"/>
      <c r="U408" s="73"/>
      <c r="V408" s="68"/>
      <c r="W408" s="68"/>
      <c r="X408" s="68"/>
      <c r="Y408" s="64"/>
      <c r="Z408" s="68"/>
      <c r="AA408" s="68"/>
      <c r="AB408" s="68"/>
      <c r="AC408" s="68"/>
      <c r="AD408" s="68"/>
      <c r="AE408" s="142"/>
      <c r="AF408" s="145">
        <v>7</v>
      </c>
      <c r="AG408" s="146"/>
      <c r="AH408" s="146">
        <v>0</v>
      </c>
      <c r="AI408" s="146"/>
      <c r="AJ408" s="126" t="s">
        <v>988</v>
      </c>
      <c r="AK408" s="134"/>
      <c r="AL408" s="151" t="s">
        <v>1627</v>
      </c>
      <c r="AM408" s="431" t="str">
        <f>VLOOKUP($Q408,Resultados!$A$1:$C$49,3,FALSE)</f>
        <v>TRAMITE</v>
      </c>
    </row>
    <row r="409" spans="1:39" customFormat="1" ht="38.25">
      <c r="A409" s="364">
        <v>256</v>
      </c>
      <c r="B409" s="69">
        <v>45245</v>
      </c>
      <c r="C409" s="329">
        <v>0.33333333333333331</v>
      </c>
      <c r="D409" s="70" t="s">
        <v>824</v>
      </c>
      <c r="E409" s="92" t="s">
        <v>825</v>
      </c>
      <c r="F409" s="68">
        <v>6</v>
      </c>
      <c r="G409" s="68" t="s">
        <v>326</v>
      </c>
      <c r="H409" s="69"/>
      <c r="I409" s="69"/>
      <c r="J409" s="69"/>
      <c r="K409" s="68" t="s">
        <v>1480</v>
      </c>
      <c r="L409" s="70" t="s">
        <v>87</v>
      </c>
      <c r="M409" s="70"/>
      <c r="N409" s="68" t="s">
        <v>2254</v>
      </c>
      <c r="O409" s="24" t="str">
        <f>IF(Q409=" _","NO","SI")</f>
        <v>NO</v>
      </c>
      <c r="P409" s="24" t="str">
        <f ca="1">IF(color_Celda(E409)=12106214,"ROSA",IF(color_Celda(E409)=65535,"AMARILLO",IF(color_Celda(E409)=5296274,"VERDE",IF(color_Celda(E409)=16777215,"BLANCO","NO SE"))))</f>
        <v>AMARILLO</v>
      </c>
      <c r="Q409" s="70" t="s">
        <v>108</v>
      </c>
      <c r="R409" s="267" t="str">
        <f>VLOOKUP($Q409,Resultados!$A$1:$B$49,2,FALSE)</f>
        <v xml:space="preserve"> _</v>
      </c>
      <c r="S409" s="70"/>
      <c r="T409" s="99"/>
      <c r="U409" s="99"/>
      <c r="V409" s="107"/>
      <c r="W409" s="68"/>
      <c r="X409" s="68"/>
      <c r="Y409" s="64"/>
      <c r="Z409" s="68"/>
      <c r="AA409" s="68"/>
      <c r="AB409" s="68"/>
      <c r="AC409" s="107"/>
      <c r="AD409" s="107"/>
      <c r="AE409" s="143"/>
      <c r="AF409" s="145">
        <v>7</v>
      </c>
      <c r="AG409" s="118"/>
      <c r="AH409" s="118">
        <v>0</v>
      </c>
      <c r="AI409" s="118"/>
      <c r="AJ409" s="126" t="s">
        <v>988</v>
      </c>
      <c r="AK409" s="134"/>
      <c r="AL409" s="151" t="s">
        <v>1627</v>
      </c>
      <c r="AM409" s="431" t="str">
        <f>VLOOKUP($Q409,Resultados!$A$1:$C$49,3,FALSE)</f>
        <v>TRAMITE</v>
      </c>
    </row>
    <row r="410" spans="1:39" customFormat="1" ht="38.25">
      <c r="A410" s="364">
        <v>257</v>
      </c>
      <c r="B410" s="69">
        <v>45245</v>
      </c>
      <c r="C410" s="329">
        <v>0.33333333333333331</v>
      </c>
      <c r="D410" s="70" t="s">
        <v>290</v>
      </c>
      <c r="E410" s="92" t="s">
        <v>826</v>
      </c>
      <c r="F410" s="68">
        <v>7</v>
      </c>
      <c r="G410" s="68" t="s">
        <v>10</v>
      </c>
      <c r="H410" s="69"/>
      <c r="I410" s="69"/>
      <c r="J410" s="69"/>
      <c r="K410" s="68" t="s">
        <v>1480</v>
      </c>
      <c r="L410" s="70" t="s">
        <v>86</v>
      </c>
      <c r="M410" s="70"/>
      <c r="N410" s="68" t="s">
        <v>2577</v>
      </c>
      <c r="O410" s="137" t="str">
        <f>IF(Q410=" _","NO","SI")</f>
        <v>NO</v>
      </c>
      <c r="P410" s="24" t="str">
        <f ca="1">IF(color_Celda(E410)=12106214,"ROSA",IF(color_Celda(E410)=65535,"AMARILLO",IF(color_Celda(E410)=5296274,"VERDE",IF(color_Celda(E410)=16777215,"BLANCO","NO SE"))))</f>
        <v>AMARILLO</v>
      </c>
      <c r="Q410" s="70" t="s">
        <v>108</v>
      </c>
      <c r="R410" s="267" t="str">
        <f>VLOOKUP($Q410,Resultados!$A$1:$B$49,2,FALSE)</f>
        <v xml:space="preserve"> _</v>
      </c>
      <c r="S410" s="70"/>
      <c r="T410" s="73"/>
      <c r="U410" s="73"/>
      <c r="V410" s="68"/>
      <c r="W410" s="68"/>
      <c r="X410" s="68"/>
      <c r="Y410" s="199"/>
      <c r="Z410" s="68"/>
      <c r="AA410" s="68"/>
      <c r="AB410" s="68"/>
      <c r="AC410" s="68"/>
      <c r="AD410" s="68"/>
      <c r="AE410" s="142"/>
      <c r="AF410" s="145">
        <v>7</v>
      </c>
      <c r="AG410" s="146"/>
      <c r="AH410" s="146">
        <v>0</v>
      </c>
      <c r="AI410" s="146"/>
      <c r="AJ410" s="126" t="s">
        <v>988</v>
      </c>
      <c r="AK410" s="134"/>
      <c r="AL410" s="151" t="s">
        <v>1627</v>
      </c>
      <c r="AM410" s="431" t="str">
        <f>VLOOKUP($Q410,Resultados!$A$1:$C$49,3,FALSE)</f>
        <v>TRAMITE</v>
      </c>
    </row>
    <row r="411" spans="1:39" customFormat="1" ht="89.25">
      <c r="A411" s="364">
        <v>259</v>
      </c>
      <c r="B411" s="69">
        <v>45245</v>
      </c>
      <c r="C411" s="329">
        <v>0.33333333333333331</v>
      </c>
      <c r="D411" s="70" t="s">
        <v>829</v>
      </c>
      <c r="E411" s="92" t="s">
        <v>830</v>
      </c>
      <c r="F411" s="68">
        <v>3</v>
      </c>
      <c r="G411" s="68" t="s">
        <v>1750</v>
      </c>
      <c r="H411" s="69"/>
      <c r="I411" s="69"/>
      <c r="J411" s="69"/>
      <c r="K411" s="68" t="s">
        <v>1480</v>
      </c>
      <c r="L411" s="70" t="s">
        <v>79</v>
      </c>
      <c r="M411" s="70" t="s">
        <v>1156</v>
      </c>
      <c r="N411" s="111" t="s">
        <v>2284</v>
      </c>
      <c r="O411" s="24" t="str">
        <f>IF(Q411=" _","NO","SI")</f>
        <v>NO</v>
      </c>
      <c r="P411" s="24" t="str">
        <f ca="1">IF(color_Celda(E411)=12106214,"ROSA",IF(color_Celda(E411)=65535,"AMARILLO",IF(color_Celda(E411)=5296274,"VERDE",IF(color_Celda(E411)=16777215,"BLANCO","NO SE"))))</f>
        <v>AMARILLO</v>
      </c>
      <c r="Q411" s="70" t="s">
        <v>108</v>
      </c>
      <c r="R411" s="267" t="str">
        <f>VLOOKUP($Q411,Resultados!$A$1:$B$49,2,FALSE)</f>
        <v xml:space="preserve"> _</v>
      </c>
      <c r="S411" s="70"/>
      <c r="T411" s="73"/>
      <c r="U411" s="73"/>
      <c r="V411" s="68"/>
      <c r="W411" s="68"/>
      <c r="X411" s="68"/>
      <c r="Y411" s="64"/>
      <c r="Z411" s="68"/>
      <c r="AA411" s="68"/>
      <c r="AB411" s="68"/>
      <c r="AC411" s="68"/>
      <c r="AD411" s="68"/>
      <c r="AE411" s="142"/>
      <c r="AF411" s="145">
        <v>7</v>
      </c>
      <c r="AG411" s="146"/>
      <c r="AH411" s="146">
        <v>0</v>
      </c>
      <c r="AI411" s="146"/>
      <c r="AJ411" s="126" t="s">
        <v>988</v>
      </c>
      <c r="AK411" s="132"/>
      <c r="AL411" s="129" t="s">
        <v>1627</v>
      </c>
      <c r="AM411" s="431" t="str">
        <f>VLOOKUP($Q411,Resultados!$A$1:$C$49,3,FALSE)</f>
        <v>TRAMITE</v>
      </c>
    </row>
    <row r="412" spans="1:39" customFormat="1" ht="76.5">
      <c r="A412" s="364">
        <v>260</v>
      </c>
      <c r="B412" s="69">
        <v>45245</v>
      </c>
      <c r="C412" s="329">
        <v>0.33333333333333331</v>
      </c>
      <c r="D412" s="70" t="s">
        <v>831</v>
      </c>
      <c r="E412" s="92" t="s">
        <v>832</v>
      </c>
      <c r="F412" s="68">
        <v>3</v>
      </c>
      <c r="G412" s="68" t="s">
        <v>5</v>
      </c>
      <c r="H412" s="69"/>
      <c r="I412" s="69"/>
      <c r="J412" s="69"/>
      <c r="K412" s="68" t="s">
        <v>1480</v>
      </c>
      <c r="L412" s="70" t="s">
        <v>252</v>
      </c>
      <c r="M412" s="70"/>
      <c r="N412" s="68" t="s">
        <v>3235</v>
      </c>
      <c r="O412" s="24" t="str">
        <f>IF(Q412=" _","NO","SI")</f>
        <v>NO</v>
      </c>
      <c r="P412" s="24" t="str">
        <f ca="1">IF(color_Celda(E412)=12106214,"ROSA",IF(color_Celda(E412)=65535,"AMARILLO",IF(color_Celda(E412)=5296274,"VERDE",IF(color_Celda(E412)=16777215,"BLANCO","NO SE"))))</f>
        <v>AMARILLO</v>
      </c>
      <c r="Q412" s="70" t="s">
        <v>108</v>
      </c>
      <c r="R412" s="267" t="str">
        <f>VLOOKUP($Q412,Resultados!$A$1:$B$49,2,FALSE)</f>
        <v xml:space="preserve"> _</v>
      </c>
      <c r="S412" s="70"/>
      <c r="T412" s="73"/>
      <c r="U412" s="73"/>
      <c r="V412" s="68"/>
      <c r="W412" s="68"/>
      <c r="X412" s="68"/>
      <c r="Y412" s="64"/>
      <c r="Z412" s="68"/>
      <c r="AA412" s="68"/>
      <c r="AB412" s="68"/>
      <c r="AC412" s="68"/>
      <c r="AD412" s="68"/>
      <c r="AE412" s="142"/>
      <c r="AF412" s="145">
        <v>7</v>
      </c>
      <c r="AG412" s="146"/>
      <c r="AH412" s="146">
        <v>0</v>
      </c>
      <c r="AI412" s="146"/>
      <c r="AJ412" s="126" t="s">
        <v>988</v>
      </c>
      <c r="AK412" s="134"/>
      <c r="AL412" s="129" t="s">
        <v>1627</v>
      </c>
      <c r="AM412" s="431" t="str">
        <f>VLOOKUP($Q412,Resultados!$A$1:$C$49,3,FALSE)</f>
        <v>TRAMITE</v>
      </c>
    </row>
    <row r="413" spans="1:39" customFormat="1" ht="102">
      <c r="A413" s="364">
        <v>261</v>
      </c>
      <c r="B413" s="69">
        <v>45245</v>
      </c>
      <c r="C413" s="329">
        <v>0.33333333333333331</v>
      </c>
      <c r="D413" s="68" t="s">
        <v>833</v>
      </c>
      <c r="E413" s="106" t="s">
        <v>834</v>
      </c>
      <c r="F413" s="68">
        <v>3</v>
      </c>
      <c r="G413" s="68" t="s">
        <v>1750</v>
      </c>
      <c r="H413" s="69"/>
      <c r="I413" s="69"/>
      <c r="J413" s="69"/>
      <c r="K413" s="68" t="s">
        <v>1480</v>
      </c>
      <c r="L413" s="70" t="s">
        <v>79</v>
      </c>
      <c r="M413" s="70" t="s">
        <v>284</v>
      </c>
      <c r="N413" s="68" t="s">
        <v>1342</v>
      </c>
      <c r="O413" s="24" t="str">
        <f>IF(Q413=" _","NO","SI")</f>
        <v>NO</v>
      </c>
      <c r="P413" s="24" t="str">
        <f ca="1">IF(color_Celda(E413)=12106214,"ROSA",IF(color_Celda(E413)=65535,"AMARILLO",IF(color_Celda(E413)=5296274,"VERDE",IF(color_Celda(E413)=16777215,"BLANCO","NO SE"))))</f>
        <v>AMARILLO</v>
      </c>
      <c r="Q413" s="70" t="s">
        <v>108</v>
      </c>
      <c r="R413" s="267" t="str">
        <f>VLOOKUP($Q413,Resultados!$A$1:$B$49,2,FALSE)</f>
        <v xml:space="preserve"> _</v>
      </c>
      <c r="S413" s="70"/>
      <c r="T413" s="73"/>
      <c r="U413" s="73"/>
      <c r="V413" s="68"/>
      <c r="W413" s="68"/>
      <c r="X413" s="68"/>
      <c r="Y413" s="64"/>
      <c r="Z413" s="68"/>
      <c r="AA413" s="68"/>
      <c r="AB413" s="68"/>
      <c r="AC413" s="68"/>
      <c r="AD413" s="68"/>
      <c r="AE413" s="142"/>
      <c r="AF413" s="145">
        <v>7</v>
      </c>
      <c r="AG413" s="146"/>
      <c r="AH413" s="146">
        <v>0</v>
      </c>
      <c r="AI413" s="146"/>
      <c r="AJ413" s="126" t="s">
        <v>988</v>
      </c>
      <c r="AK413" s="134"/>
      <c r="AL413" s="129" t="s">
        <v>1627</v>
      </c>
      <c r="AM413" s="431" t="str">
        <f>VLOOKUP($Q413,Resultados!$A$1:$C$49,3,FALSE)</f>
        <v>TRAMITE</v>
      </c>
    </row>
    <row r="414" spans="1:39" customFormat="1" ht="76.5">
      <c r="A414" s="364">
        <v>262</v>
      </c>
      <c r="B414" s="69">
        <v>45245</v>
      </c>
      <c r="C414" s="329">
        <v>0.33333333333333331</v>
      </c>
      <c r="D414" s="68" t="s">
        <v>835</v>
      </c>
      <c r="E414" s="106" t="s">
        <v>836</v>
      </c>
      <c r="F414" s="68">
        <v>3</v>
      </c>
      <c r="G414" s="68" t="s">
        <v>1750</v>
      </c>
      <c r="H414" s="69"/>
      <c r="I414" s="69"/>
      <c r="J414" s="69"/>
      <c r="K414" s="68" t="s">
        <v>1480</v>
      </c>
      <c r="L414" s="70" t="s">
        <v>250</v>
      </c>
      <c r="M414" s="70" t="s">
        <v>1156</v>
      </c>
      <c r="N414" s="112" t="s">
        <v>1342</v>
      </c>
      <c r="O414" s="24" t="str">
        <f>IF(Q414=" _","NO","SI")</f>
        <v>NO</v>
      </c>
      <c r="P414" s="24" t="str">
        <f ca="1">IF(color_Celda(E414)=12106214,"ROSA",IF(color_Celda(E414)=65535,"AMARILLO",IF(color_Celda(E414)=5296274,"VERDE",IF(color_Celda(E414)=16777215,"BLANCO","NO SE"))))</f>
        <v>AMARILLO</v>
      </c>
      <c r="Q414" s="70" t="s">
        <v>108</v>
      </c>
      <c r="R414" s="267" t="str">
        <f>VLOOKUP($Q414,Resultados!$A$1:$B$49,2,FALSE)</f>
        <v xml:space="preserve"> _</v>
      </c>
      <c r="S414" s="70"/>
      <c r="T414" s="73"/>
      <c r="U414" s="73"/>
      <c r="V414" s="68"/>
      <c r="W414" s="68"/>
      <c r="X414" s="68"/>
      <c r="Y414" s="64"/>
      <c r="Z414" s="68"/>
      <c r="AA414" s="68"/>
      <c r="AB414" s="68"/>
      <c r="AC414" s="68"/>
      <c r="AD414" s="68"/>
      <c r="AE414" s="142"/>
      <c r="AF414" s="145">
        <v>7</v>
      </c>
      <c r="AG414" s="146"/>
      <c r="AH414" s="146">
        <v>0</v>
      </c>
      <c r="AI414" s="146"/>
      <c r="AJ414" s="126" t="s">
        <v>988</v>
      </c>
      <c r="AK414" s="132"/>
      <c r="AL414" s="129" t="s">
        <v>1627</v>
      </c>
      <c r="AM414" s="431" t="str">
        <f>VLOOKUP($Q414,Resultados!$A$1:$C$49,3,FALSE)</f>
        <v>TRAMITE</v>
      </c>
    </row>
    <row r="415" spans="1:39" customFormat="1" ht="76.5">
      <c r="A415" s="364">
        <v>263</v>
      </c>
      <c r="B415" s="69">
        <v>45245</v>
      </c>
      <c r="C415" s="329">
        <v>0.33333333333333331</v>
      </c>
      <c r="D415" s="68" t="s">
        <v>837</v>
      </c>
      <c r="E415" s="106" t="s">
        <v>838</v>
      </c>
      <c r="F415" s="68">
        <v>3</v>
      </c>
      <c r="G415" s="68" t="s">
        <v>5</v>
      </c>
      <c r="H415" s="69"/>
      <c r="I415" s="69"/>
      <c r="J415" s="69"/>
      <c r="K415" s="68" t="s">
        <v>1480</v>
      </c>
      <c r="L415" s="70" t="s">
        <v>78</v>
      </c>
      <c r="M415" s="70"/>
      <c r="N415" s="68"/>
      <c r="O415" s="24" t="str">
        <f>IF(Q415=" _","NO","SI")</f>
        <v>NO</v>
      </c>
      <c r="P415" s="24" t="str">
        <f ca="1">IF(color_Celda(E415)=12106214,"ROSA",IF(color_Celda(E415)=65535,"AMARILLO",IF(color_Celda(E415)=5296274,"VERDE",IF(color_Celda(E415)=16777215,"BLANCO","NO SE"))))</f>
        <v>AMARILLO</v>
      </c>
      <c r="Q415" s="70" t="s">
        <v>108</v>
      </c>
      <c r="R415" s="267" t="str">
        <f>VLOOKUP($Q415,Resultados!$A$1:$B$49,2,FALSE)</f>
        <v xml:space="preserve"> _</v>
      </c>
      <c r="S415" s="70"/>
      <c r="T415" s="73"/>
      <c r="U415" s="73"/>
      <c r="V415" s="68"/>
      <c r="W415" s="68"/>
      <c r="X415" s="68"/>
      <c r="Y415" s="64"/>
      <c r="Z415" s="68"/>
      <c r="AA415" s="68"/>
      <c r="AB415" s="68"/>
      <c r="AC415" s="68"/>
      <c r="AD415" s="68"/>
      <c r="AE415" s="142"/>
      <c r="AF415" s="145">
        <v>7</v>
      </c>
      <c r="AG415" s="146"/>
      <c r="AH415" s="146">
        <v>0</v>
      </c>
      <c r="AI415" s="146"/>
      <c r="AJ415" s="126" t="s">
        <v>988</v>
      </c>
      <c r="AK415" s="134"/>
      <c r="AL415" s="129" t="s">
        <v>1627</v>
      </c>
      <c r="AM415" s="431" t="str">
        <f>VLOOKUP($Q415,Resultados!$A$1:$C$49,3,FALSE)</f>
        <v>TRAMITE</v>
      </c>
    </row>
    <row r="416" spans="1:39" customFormat="1" ht="51">
      <c r="A416" s="364">
        <v>264</v>
      </c>
      <c r="B416" s="69">
        <v>45245</v>
      </c>
      <c r="C416" s="329">
        <v>0.33333333333333331</v>
      </c>
      <c r="D416" s="68" t="s">
        <v>839</v>
      </c>
      <c r="E416" s="106" t="s">
        <v>840</v>
      </c>
      <c r="F416" s="68">
        <v>3</v>
      </c>
      <c r="G416" s="68" t="s">
        <v>1750</v>
      </c>
      <c r="H416" s="69"/>
      <c r="I416" s="69"/>
      <c r="J416" s="69"/>
      <c r="K416" s="68" t="s">
        <v>1480</v>
      </c>
      <c r="L416" s="70" t="s">
        <v>79</v>
      </c>
      <c r="M416" s="70" t="s">
        <v>974</v>
      </c>
      <c r="N416" s="70" t="s">
        <v>1487</v>
      </c>
      <c r="O416" s="137" t="str">
        <f>IF(Q416=" _","NO","SI")</f>
        <v>NO</v>
      </c>
      <c r="P416" s="24" t="str">
        <f ca="1">IF(color_Celda(E416)=12106214,"ROSA",IF(color_Celda(E416)=65535,"AMARILLO",IF(color_Celda(E416)=5296274,"VERDE",IF(color_Celda(E416)=16777215,"BLANCO","NO SE"))))</f>
        <v>AMARILLO</v>
      </c>
      <c r="Q416" s="70" t="s">
        <v>108</v>
      </c>
      <c r="R416" s="267" t="str">
        <f>VLOOKUP($Q416,Resultados!$A$1:$B$49,2,FALSE)</f>
        <v xml:space="preserve"> _</v>
      </c>
      <c r="S416" s="70"/>
      <c r="T416" s="73"/>
      <c r="U416" s="73"/>
      <c r="V416" s="68"/>
      <c r="W416" s="68"/>
      <c r="X416" s="68"/>
      <c r="Y416" s="199"/>
      <c r="Z416" s="68"/>
      <c r="AA416" s="68"/>
      <c r="AB416" s="68"/>
      <c r="AC416" s="68"/>
      <c r="AD416" s="68"/>
      <c r="AE416" s="142"/>
      <c r="AF416" s="145">
        <v>7</v>
      </c>
      <c r="AG416" s="146"/>
      <c r="AH416" s="146">
        <v>0</v>
      </c>
      <c r="AI416" s="146"/>
      <c r="AJ416" s="126" t="s">
        <v>988</v>
      </c>
      <c r="AK416" s="134"/>
      <c r="AL416" s="151" t="s">
        <v>1627</v>
      </c>
      <c r="AM416" s="431" t="str">
        <f>VLOOKUP($Q416,Resultados!$A$1:$C$49,3,FALSE)</f>
        <v>TRAMITE</v>
      </c>
    </row>
    <row r="417" spans="1:39" customFormat="1" ht="114.75">
      <c r="A417" s="364">
        <v>265</v>
      </c>
      <c r="B417" s="69">
        <v>45245</v>
      </c>
      <c r="C417" s="329">
        <v>0.33333333333333331</v>
      </c>
      <c r="D417" s="68" t="s">
        <v>841</v>
      </c>
      <c r="E417" s="106" t="s">
        <v>842</v>
      </c>
      <c r="F417" s="68">
        <v>3</v>
      </c>
      <c r="G417" s="68" t="s">
        <v>1750</v>
      </c>
      <c r="H417" s="69"/>
      <c r="I417" s="69"/>
      <c r="J417" s="69"/>
      <c r="K417" s="68" t="s">
        <v>1480</v>
      </c>
      <c r="L417" s="70" t="s">
        <v>75</v>
      </c>
      <c r="M417" s="70"/>
      <c r="N417" s="70" t="s">
        <v>2283</v>
      </c>
      <c r="O417" s="24" t="str">
        <f>IF(Q417=" _","NO","SI")</f>
        <v>NO</v>
      </c>
      <c r="P417" s="24" t="str">
        <f ca="1">IF(color_Celda(E417)=12106214,"ROSA",IF(color_Celda(E417)=65535,"AMARILLO",IF(color_Celda(E417)=5296274,"VERDE",IF(color_Celda(E417)=16777215,"BLANCO","NO SE"))))</f>
        <v>AMARILLO</v>
      </c>
      <c r="Q417" s="70" t="s">
        <v>108</v>
      </c>
      <c r="R417" s="267" t="str">
        <f>VLOOKUP($Q417,Resultados!$A$1:$B$49,2,FALSE)</f>
        <v xml:space="preserve"> _</v>
      </c>
      <c r="S417" s="70"/>
      <c r="T417" s="73"/>
      <c r="U417" s="73"/>
      <c r="V417" s="68"/>
      <c r="W417" s="68"/>
      <c r="X417" s="68"/>
      <c r="Y417" s="64"/>
      <c r="Z417" s="68"/>
      <c r="AA417" s="68"/>
      <c r="AB417" s="68"/>
      <c r="AC417" s="68"/>
      <c r="AD417" s="68"/>
      <c r="AE417" s="142"/>
      <c r="AF417" s="145">
        <v>7</v>
      </c>
      <c r="AG417" s="146"/>
      <c r="AH417" s="146">
        <v>0</v>
      </c>
      <c r="AI417" s="146"/>
      <c r="AJ417" s="126" t="s">
        <v>988</v>
      </c>
      <c r="AK417" s="134"/>
      <c r="AL417" s="151" t="s">
        <v>1627</v>
      </c>
      <c r="AM417" s="431" t="str">
        <f>VLOOKUP($Q417,Resultados!$A$1:$C$49,3,FALSE)</f>
        <v>TRAMITE</v>
      </c>
    </row>
    <row r="418" spans="1:39" customFormat="1" ht="38.25">
      <c r="A418" s="364">
        <v>266</v>
      </c>
      <c r="B418" s="69">
        <v>45245</v>
      </c>
      <c r="C418" s="329">
        <v>0.33333333333333331</v>
      </c>
      <c r="D418" s="68" t="s">
        <v>843</v>
      </c>
      <c r="E418" s="106" t="s">
        <v>844</v>
      </c>
      <c r="F418" s="68">
        <v>3</v>
      </c>
      <c r="G418" s="68" t="s">
        <v>1750</v>
      </c>
      <c r="H418" s="69"/>
      <c r="I418" s="69"/>
      <c r="J418" s="69"/>
      <c r="K418" s="68" t="s">
        <v>1480</v>
      </c>
      <c r="L418" s="70" t="s">
        <v>82</v>
      </c>
      <c r="M418" s="70" t="s">
        <v>46</v>
      </c>
      <c r="N418" s="68" t="s">
        <v>1342</v>
      </c>
      <c r="O418" s="137" t="str">
        <f>IF(Q418=" _","NO","SI")</f>
        <v>NO</v>
      </c>
      <c r="P418" s="24" t="str">
        <f ca="1">IF(color_Celda(E418)=12106214,"ROSA",IF(color_Celda(E418)=65535,"AMARILLO",IF(color_Celda(E418)=5296274,"VERDE",IF(color_Celda(E418)=16777215,"BLANCO","NO SE"))))</f>
        <v>AMARILLO</v>
      </c>
      <c r="Q418" s="70" t="s">
        <v>108</v>
      </c>
      <c r="R418" s="267" t="str">
        <f>VLOOKUP($Q418,Resultados!$A$1:$B$49,2,FALSE)</f>
        <v xml:space="preserve"> _</v>
      </c>
      <c r="S418" s="70"/>
      <c r="T418" s="73"/>
      <c r="U418" s="73"/>
      <c r="V418" s="68"/>
      <c r="W418" s="68"/>
      <c r="X418" s="68"/>
      <c r="Y418" s="199"/>
      <c r="Z418" s="68"/>
      <c r="AA418" s="68"/>
      <c r="AB418" s="68"/>
      <c r="AC418" s="68"/>
      <c r="AD418" s="68"/>
      <c r="AE418" s="142"/>
      <c r="AF418" s="145">
        <v>7</v>
      </c>
      <c r="AG418" s="146"/>
      <c r="AH418" s="146">
        <v>0</v>
      </c>
      <c r="AI418" s="146"/>
      <c r="AJ418" s="126" t="s">
        <v>988</v>
      </c>
      <c r="AK418" s="134"/>
      <c r="AL418" s="151" t="s">
        <v>1627</v>
      </c>
      <c r="AM418" s="431" t="str">
        <f>VLOOKUP($Q418,Resultados!$A$1:$C$49,3,FALSE)</f>
        <v>TRAMITE</v>
      </c>
    </row>
    <row r="419" spans="1:39" customFormat="1" ht="38.25">
      <c r="A419" s="364">
        <v>268</v>
      </c>
      <c r="B419" s="69">
        <v>45245</v>
      </c>
      <c r="C419" s="329">
        <v>0.33333333333333331</v>
      </c>
      <c r="D419" s="68" t="s">
        <v>847</v>
      </c>
      <c r="E419" s="106" t="s">
        <v>848</v>
      </c>
      <c r="F419" s="68">
        <v>4</v>
      </c>
      <c r="G419" s="68" t="s">
        <v>325</v>
      </c>
      <c r="H419" s="69"/>
      <c r="I419" s="69"/>
      <c r="J419" s="69"/>
      <c r="K419" s="68" t="s">
        <v>1480</v>
      </c>
      <c r="L419" s="70" t="s">
        <v>74</v>
      </c>
      <c r="M419" s="70" t="s">
        <v>172</v>
      </c>
      <c r="N419" s="70" t="s">
        <v>2271</v>
      </c>
      <c r="O419" s="137" t="str">
        <f>IF(Q419=" _","NO","SI")</f>
        <v>NO</v>
      </c>
      <c r="P419" s="24" t="str">
        <f ca="1">IF(color_Celda(E419)=12106214,"ROSA",IF(color_Celda(E419)=65535,"AMARILLO",IF(color_Celda(E419)=5296274,"VERDE",IF(color_Celda(E419)=16777215,"BLANCO","NO SE"))))</f>
        <v>AMARILLO</v>
      </c>
      <c r="Q419" s="70" t="s">
        <v>108</v>
      </c>
      <c r="R419" s="267" t="str">
        <f>VLOOKUP($Q419,Resultados!$A$1:$B$49,2,FALSE)</f>
        <v xml:space="preserve"> _</v>
      </c>
      <c r="S419" s="70"/>
      <c r="T419" s="73"/>
      <c r="U419" s="73"/>
      <c r="V419" s="68"/>
      <c r="W419" s="68"/>
      <c r="X419" s="68"/>
      <c r="Y419" s="199"/>
      <c r="Z419" s="68"/>
      <c r="AA419" s="68"/>
      <c r="AB419" s="68"/>
      <c r="AC419" s="68"/>
      <c r="AD419" s="68"/>
      <c r="AE419" s="142"/>
      <c r="AF419" s="145">
        <v>7</v>
      </c>
      <c r="AG419" s="146"/>
      <c r="AH419" s="146">
        <v>0</v>
      </c>
      <c r="AI419" s="146"/>
      <c r="AJ419" s="126" t="s">
        <v>988</v>
      </c>
      <c r="AK419" s="134"/>
      <c r="AL419" s="151" t="s">
        <v>1627</v>
      </c>
      <c r="AM419" s="431" t="str">
        <f>VLOOKUP($Q419,Resultados!$A$1:$C$49,3,FALSE)</f>
        <v>TRAMITE</v>
      </c>
    </row>
    <row r="420" spans="1:39" customFormat="1" ht="51">
      <c r="A420" s="364">
        <v>270</v>
      </c>
      <c r="B420" s="69">
        <v>45245</v>
      </c>
      <c r="C420" s="332" t="s">
        <v>857</v>
      </c>
      <c r="D420" s="70" t="s">
        <v>858</v>
      </c>
      <c r="E420" s="92" t="s">
        <v>859</v>
      </c>
      <c r="F420" s="68">
        <v>6</v>
      </c>
      <c r="G420" s="68" t="s">
        <v>326</v>
      </c>
      <c r="H420" s="69"/>
      <c r="I420" s="69"/>
      <c r="J420" s="69"/>
      <c r="K420" s="68" t="s">
        <v>1480</v>
      </c>
      <c r="L420" s="70" t="s">
        <v>2172</v>
      </c>
      <c r="M420" s="70" t="s">
        <v>61</v>
      </c>
      <c r="N420" s="68" t="s">
        <v>1858</v>
      </c>
      <c r="O420" s="24" t="str">
        <f>IF(Q420=" _","NO","SI")</f>
        <v>NO</v>
      </c>
      <c r="P420" s="24" t="str">
        <f ca="1">IF(color_Celda(E420)=12106214,"ROSA",IF(color_Celda(E420)=65535,"AMARILLO",IF(color_Celda(E420)=5296274,"VERDE",IF(color_Celda(E420)=16777215,"BLANCO","NO SE"))))</f>
        <v>AMARILLO</v>
      </c>
      <c r="Q420" s="70" t="s">
        <v>108</v>
      </c>
      <c r="R420" s="267" t="str">
        <f>VLOOKUP($Q420,Resultados!$A$1:$B$49,2,FALSE)</f>
        <v xml:space="preserve"> _</v>
      </c>
      <c r="S420" s="70"/>
      <c r="T420" s="73"/>
      <c r="U420" s="73"/>
      <c r="V420" s="68"/>
      <c r="W420" s="68"/>
      <c r="X420" s="68"/>
      <c r="Y420" s="64"/>
      <c r="Z420" s="68"/>
      <c r="AA420" s="68"/>
      <c r="AB420" s="68"/>
      <c r="AC420" s="68"/>
      <c r="AD420" s="68"/>
      <c r="AE420" s="142"/>
      <c r="AF420" s="145">
        <v>7</v>
      </c>
      <c r="AG420" s="146"/>
      <c r="AH420" s="146">
        <v>0</v>
      </c>
      <c r="AI420" s="146"/>
      <c r="AJ420" s="126" t="s">
        <v>988</v>
      </c>
      <c r="AK420" s="134"/>
      <c r="AL420" s="151" t="s">
        <v>1627</v>
      </c>
      <c r="AM420" s="431" t="str">
        <f>VLOOKUP($Q420,Resultados!$A$1:$C$49,3,FALSE)</f>
        <v>TRAMITE</v>
      </c>
    </row>
    <row r="421" spans="1:39" customFormat="1" ht="25.5">
      <c r="A421" s="364">
        <v>272</v>
      </c>
      <c r="B421" s="69">
        <v>45245</v>
      </c>
      <c r="C421" s="329">
        <v>0.4368055555555555</v>
      </c>
      <c r="D421" s="70" t="s">
        <v>862</v>
      </c>
      <c r="E421" s="92" t="s">
        <v>863</v>
      </c>
      <c r="F421" s="68">
        <v>3</v>
      </c>
      <c r="G421" s="68" t="s">
        <v>1750</v>
      </c>
      <c r="H421" s="69"/>
      <c r="I421" s="69"/>
      <c r="J421" s="69"/>
      <c r="K421" s="68" t="s">
        <v>1480</v>
      </c>
      <c r="L421" s="70" t="s">
        <v>25</v>
      </c>
      <c r="M421" s="70" t="s">
        <v>1589</v>
      </c>
      <c r="N421" s="68" t="s">
        <v>1590</v>
      </c>
      <c r="O421" s="24" t="str">
        <f>IF(Q421=" _","NO","SI")</f>
        <v>NO</v>
      </c>
      <c r="P421" s="24" t="str">
        <f ca="1">IF(color_Celda(E421)=12106214,"ROSA",IF(color_Celda(E421)=65535,"AMARILLO",IF(color_Celda(E421)=5296274,"VERDE",IF(color_Celda(E421)=16777215,"BLANCO","NO SE"))))</f>
        <v>AMARILLO</v>
      </c>
      <c r="Q421" s="70" t="s">
        <v>108</v>
      </c>
      <c r="R421" s="267" t="str">
        <f>VLOOKUP($Q421,Resultados!$A$1:$B$49,2,FALSE)</f>
        <v xml:space="preserve"> _</v>
      </c>
      <c r="S421" s="70"/>
      <c r="T421" s="73"/>
      <c r="U421" s="73"/>
      <c r="V421" s="68"/>
      <c r="W421" s="68"/>
      <c r="X421" s="68"/>
      <c r="Y421" s="64"/>
      <c r="Z421" s="68"/>
      <c r="AA421" s="68"/>
      <c r="AB421" s="68"/>
      <c r="AC421" s="68"/>
      <c r="AD421" s="68"/>
      <c r="AE421" s="142"/>
      <c r="AF421" s="145">
        <v>7</v>
      </c>
      <c r="AG421" s="146"/>
      <c r="AH421" s="146">
        <v>0</v>
      </c>
      <c r="AI421" s="146"/>
      <c r="AJ421" s="126" t="s">
        <v>988</v>
      </c>
      <c r="AK421" s="134"/>
      <c r="AL421" s="129" t="s">
        <v>1627</v>
      </c>
      <c r="AM421" s="431" t="str">
        <f>VLOOKUP($Q421,Resultados!$A$1:$C$49,3,FALSE)</f>
        <v>TRAMITE</v>
      </c>
    </row>
    <row r="422" spans="1:39" customFormat="1" ht="51">
      <c r="A422" s="364">
        <v>273</v>
      </c>
      <c r="B422" s="72">
        <v>45245</v>
      </c>
      <c r="C422" s="332" t="s">
        <v>34</v>
      </c>
      <c r="D422" s="70" t="s">
        <v>864</v>
      </c>
      <c r="E422" s="92" t="s">
        <v>865</v>
      </c>
      <c r="F422" s="68">
        <v>3</v>
      </c>
      <c r="G422" s="68" t="s">
        <v>5</v>
      </c>
      <c r="H422" s="69"/>
      <c r="I422" s="69"/>
      <c r="J422" s="69"/>
      <c r="K422" s="68" t="s">
        <v>1480</v>
      </c>
      <c r="L422" s="70" t="s">
        <v>127</v>
      </c>
      <c r="M422" s="70" t="s">
        <v>62</v>
      </c>
      <c r="N422" s="68" t="s">
        <v>2282</v>
      </c>
      <c r="O422" s="24" t="str">
        <f>IF(Q422=" _","NO","SI")</f>
        <v>NO</v>
      </c>
      <c r="P422" s="24" t="str">
        <f ca="1">IF(color_Celda(E422)=12106214,"ROSA",IF(color_Celda(E422)=65535,"AMARILLO",IF(color_Celda(E422)=5296274,"VERDE",IF(color_Celda(E422)=16777215,"BLANCO","NO SE"))))</f>
        <v>AMARILLO</v>
      </c>
      <c r="Q422" s="70" t="s">
        <v>108</v>
      </c>
      <c r="R422" s="267" t="str">
        <f>VLOOKUP($Q422,Resultados!$A$1:$B$49,2,FALSE)</f>
        <v xml:space="preserve"> _</v>
      </c>
      <c r="S422" s="70"/>
      <c r="T422" s="73"/>
      <c r="U422" s="73"/>
      <c r="V422" s="68"/>
      <c r="W422" s="68"/>
      <c r="X422" s="68"/>
      <c r="Y422" s="64"/>
      <c r="Z422" s="68"/>
      <c r="AA422" s="68"/>
      <c r="AB422" s="68"/>
      <c r="AC422" s="68"/>
      <c r="AD422" s="68"/>
      <c r="AE422" s="142"/>
      <c r="AF422" s="145">
        <v>7</v>
      </c>
      <c r="AG422" s="146"/>
      <c r="AH422" s="146">
        <v>0</v>
      </c>
      <c r="AI422" s="146"/>
      <c r="AJ422" s="126" t="s">
        <v>988</v>
      </c>
      <c r="AK422" s="134"/>
      <c r="AL422" s="151" t="s">
        <v>1627</v>
      </c>
      <c r="AM422" s="431" t="str">
        <f>VLOOKUP($Q422,Resultados!$A$1:$C$49,3,FALSE)</f>
        <v>TRAMITE</v>
      </c>
    </row>
    <row r="423" spans="1:39" customFormat="1" ht="38.25">
      <c r="A423" s="364">
        <v>274</v>
      </c>
      <c r="B423" s="69">
        <v>45245</v>
      </c>
      <c r="C423" s="332" t="s">
        <v>867</v>
      </c>
      <c r="D423" s="70" t="s">
        <v>868</v>
      </c>
      <c r="E423" s="92" t="s">
        <v>869</v>
      </c>
      <c r="F423" s="68">
        <v>2</v>
      </c>
      <c r="G423" s="68" t="s">
        <v>325</v>
      </c>
      <c r="H423" s="69"/>
      <c r="I423" s="69"/>
      <c r="J423" s="69"/>
      <c r="K423" s="68" t="s">
        <v>1480</v>
      </c>
      <c r="L423" s="70" t="s">
        <v>250</v>
      </c>
      <c r="M423" s="70" t="s">
        <v>2380</v>
      </c>
      <c r="N423" s="68" t="s">
        <v>1342</v>
      </c>
      <c r="O423" s="24" t="str">
        <f>IF(Q423=" _","NO","SI")</f>
        <v>NO</v>
      </c>
      <c r="P423" s="24" t="str">
        <f ca="1">IF(color_Celda(E423)=12106214,"ROSA",IF(color_Celda(E423)=65535,"AMARILLO",IF(color_Celda(E423)=5296274,"VERDE",IF(color_Celda(E423)=16777215,"BLANCO","NO SE"))))</f>
        <v>AMARILLO</v>
      </c>
      <c r="Q423" s="70" t="s">
        <v>108</v>
      </c>
      <c r="R423" s="267" t="str">
        <f>VLOOKUP($Q423,Resultados!$A$1:$B$49,2,FALSE)</f>
        <v xml:space="preserve"> _</v>
      </c>
      <c r="S423" s="70"/>
      <c r="T423" s="73"/>
      <c r="U423" s="73"/>
      <c r="V423" s="68"/>
      <c r="W423" s="68"/>
      <c r="X423" s="68"/>
      <c r="Y423" s="64"/>
      <c r="Z423" s="68"/>
      <c r="AA423" s="68"/>
      <c r="AB423" s="68"/>
      <c r="AC423" s="68"/>
      <c r="AD423" s="68"/>
      <c r="AE423" s="142"/>
      <c r="AF423" s="145">
        <v>7</v>
      </c>
      <c r="AG423" s="146"/>
      <c r="AH423" s="146">
        <v>0</v>
      </c>
      <c r="AI423" s="146"/>
      <c r="AJ423" s="126" t="s">
        <v>988</v>
      </c>
      <c r="AK423" s="134"/>
      <c r="AL423" s="151" t="s">
        <v>1627</v>
      </c>
      <c r="AM423" s="431" t="str">
        <f>VLOOKUP($Q423,Resultados!$A$1:$C$49,3,FALSE)</f>
        <v>TRAMITE</v>
      </c>
    </row>
    <row r="424" spans="1:39" customFormat="1" ht="38.25">
      <c r="A424" s="372">
        <v>275</v>
      </c>
      <c r="B424" s="85">
        <v>45245</v>
      </c>
      <c r="C424" s="326">
        <v>0.5</v>
      </c>
      <c r="D424" s="79" t="s">
        <v>870</v>
      </c>
      <c r="E424" s="88" t="s">
        <v>871</v>
      </c>
      <c r="F424" s="74">
        <v>6</v>
      </c>
      <c r="G424" s="74" t="s">
        <v>326</v>
      </c>
      <c r="H424" s="85"/>
      <c r="I424" s="85"/>
      <c r="J424" s="85"/>
      <c r="K424" s="74" t="s">
        <v>1480</v>
      </c>
      <c r="L424" s="79" t="s">
        <v>36</v>
      </c>
      <c r="M424" s="79"/>
      <c r="N424" s="74" t="s">
        <v>2622</v>
      </c>
      <c r="O424" s="24" t="str">
        <f>IF(Q424=" _","NO","SI")</f>
        <v>SI</v>
      </c>
      <c r="P424" s="24" t="str">
        <f ca="1">IF(color_Celda(E424)=12106214,"ROSA",IF(color_Celda(E424)=65535,"AMARILLO",IF(color_Celda(E424)=5296274,"VERDE",IF(color_Celda(E424)=16777215,"BLANCO","NO SE"))))</f>
        <v>ROSA</v>
      </c>
      <c r="Q424" s="79" t="s">
        <v>2437</v>
      </c>
      <c r="R424" s="4" t="str">
        <f>VLOOKUP($Q424,Resultados!$A$1:$B$49,2,FALSE)</f>
        <v>DEVUELTA AL JUZGADO DE ORIGEN</v>
      </c>
      <c r="S424" s="79"/>
      <c r="T424" s="86"/>
      <c r="U424" s="86"/>
      <c r="V424" s="74"/>
      <c r="W424" s="74"/>
      <c r="X424" s="74"/>
      <c r="Y424" s="64"/>
      <c r="Z424" s="74"/>
      <c r="AA424" s="74"/>
      <c r="AB424" s="74"/>
      <c r="AC424" s="74"/>
      <c r="AD424" s="74"/>
      <c r="AE424" s="140"/>
      <c r="AF424" s="81">
        <v>7</v>
      </c>
      <c r="AG424" s="76"/>
      <c r="AH424" s="76">
        <v>0</v>
      </c>
      <c r="AI424" s="76"/>
      <c r="AJ424" s="125" t="s">
        <v>988</v>
      </c>
      <c r="AK424" s="138"/>
      <c r="AL424" s="139" t="s">
        <v>1628</v>
      </c>
      <c r="AM424" s="431" t="str">
        <f>VLOOKUP($Q424,Resultados!$A$1:$C$49,3,FALSE)</f>
        <v>DEVUELTA</v>
      </c>
    </row>
    <row r="425" spans="1:39" customFormat="1" ht="38.25">
      <c r="A425" s="373">
        <v>276</v>
      </c>
      <c r="B425" s="100">
        <v>45245</v>
      </c>
      <c r="C425" s="336" t="s">
        <v>880</v>
      </c>
      <c r="D425" s="107"/>
      <c r="E425" s="98" t="s">
        <v>881</v>
      </c>
      <c r="F425" s="96">
        <v>4</v>
      </c>
      <c r="G425" s="107"/>
      <c r="H425" s="100"/>
      <c r="I425" s="100"/>
      <c r="J425" s="100"/>
      <c r="K425" s="107" t="s">
        <v>1480</v>
      </c>
      <c r="L425" s="96" t="s">
        <v>2170</v>
      </c>
      <c r="M425" s="96"/>
      <c r="N425" s="107"/>
      <c r="O425" s="24" t="str">
        <f>IF(Q425=" _","NO","SI")</f>
        <v>SI</v>
      </c>
      <c r="P425" s="24" t="str">
        <f ca="1">IF(color_Celda(E425)=12106214,"ROSA",IF(color_Celda(E425)=65535,"AMARILLO",IF(color_Celda(E425)=5296274,"VERDE",IF(color_Celda(E425)=16777215,"BLANCO","NO SE"))))</f>
        <v>VERDE</v>
      </c>
      <c r="Q425" s="96" t="s">
        <v>3313</v>
      </c>
      <c r="R425" s="176" t="str">
        <f>VLOOKUP($Q425,Resultados!$A$1:$B$49,2,FALSE)</f>
        <v>VERDE</v>
      </c>
      <c r="S425" s="96"/>
      <c r="T425" s="99"/>
      <c r="U425" s="99"/>
      <c r="V425" s="107"/>
      <c r="W425" s="107"/>
      <c r="X425" s="107"/>
      <c r="Y425" s="64"/>
      <c r="Z425" s="107"/>
      <c r="AA425" s="107"/>
      <c r="AB425" s="107"/>
      <c r="AC425" s="107"/>
      <c r="AD425" s="107"/>
      <c r="AE425" s="143"/>
      <c r="AF425" s="145">
        <v>7</v>
      </c>
      <c r="AG425" s="118"/>
      <c r="AH425" s="118">
        <v>0</v>
      </c>
      <c r="AI425" s="118"/>
      <c r="AJ425" s="361" t="s">
        <v>988</v>
      </c>
      <c r="AK425" s="131"/>
      <c r="AL425" s="129" t="s">
        <v>1627</v>
      </c>
      <c r="AM425" s="431" t="str">
        <f>VLOOKUP($Q425,Resultados!$A$1:$C$49,3,FALSE)</f>
        <v>NO LLEGO</v>
      </c>
    </row>
    <row r="426" spans="1:39" customFormat="1" ht="63.75">
      <c r="A426" s="364">
        <v>277</v>
      </c>
      <c r="B426" s="69">
        <v>45245</v>
      </c>
      <c r="C426" s="332" t="s">
        <v>887</v>
      </c>
      <c r="D426" s="70" t="s">
        <v>888</v>
      </c>
      <c r="E426" s="92" t="s">
        <v>889</v>
      </c>
      <c r="F426" s="68">
        <v>3</v>
      </c>
      <c r="G426" s="68" t="s">
        <v>5</v>
      </c>
      <c r="H426" s="69"/>
      <c r="I426" s="69"/>
      <c r="J426" s="69"/>
      <c r="K426" s="68" t="s">
        <v>1480</v>
      </c>
      <c r="L426" s="70" t="s">
        <v>72</v>
      </c>
      <c r="M426" s="240" t="s">
        <v>46</v>
      </c>
      <c r="N426" s="68" t="s">
        <v>1506</v>
      </c>
      <c r="O426" s="24" t="str">
        <f>IF(Q426=" _","NO","SI")</f>
        <v>NO</v>
      </c>
      <c r="P426" s="24" t="str">
        <f ca="1">IF(color_Celda(E426)=12106214,"ROSA",IF(color_Celda(E426)=65535,"AMARILLO",IF(color_Celda(E426)=5296274,"VERDE",IF(color_Celda(E426)=16777215,"BLANCO","NO SE"))))</f>
        <v>AMARILLO</v>
      </c>
      <c r="Q426" s="70" t="s">
        <v>108</v>
      </c>
      <c r="R426" s="170" t="str">
        <f>VLOOKUP($Q426,Resultados!$A$1:$B$49,2,FALSE)</f>
        <v xml:space="preserve"> _</v>
      </c>
      <c r="S426" s="70"/>
      <c r="T426" s="73"/>
      <c r="U426" s="73"/>
      <c r="V426" s="68"/>
      <c r="W426" s="68"/>
      <c r="X426" s="68"/>
      <c r="Y426" s="64"/>
      <c r="Z426" s="68"/>
      <c r="AA426" s="68"/>
      <c r="AB426" s="68"/>
      <c r="AC426" s="68"/>
      <c r="AD426" s="68"/>
      <c r="AE426" s="142"/>
      <c r="AF426" s="145">
        <v>7</v>
      </c>
      <c r="AG426" s="146"/>
      <c r="AH426" s="146">
        <v>0</v>
      </c>
      <c r="AI426" s="146"/>
      <c r="AJ426" s="126" t="s">
        <v>988</v>
      </c>
      <c r="AK426" s="134"/>
      <c r="AL426" s="151" t="s">
        <v>1627</v>
      </c>
      <c r="AM426" s="431" t="str">
        <f>VLOOKUP($Q426,Resultados!$A$1:$C$49,3,FALSE)</f>
        <v>TRAMITE</v>
      </c>
    </row>
    <row r="427" spans="1:39" customFormat="1" ht="38.25">
      <c r="A427" s="364">
        <v>280</v>
      </c>
      <c r="B427" s="35">
        <v>45245</v>
      </c>
      <c r="C427" s="337" t="s">
        <v>15</v>
      </c>
      <c r="D427" s="32" t="s">
        <v>1509</v>
      </c>
      <c r="E427" s="40" t="s">
        <v>1510</v>
      </c>
      <c r="F427" s="39">
        <v>3</v>
      </c>
      <c r="G427" s="68" t="s">
        <v>1750</v>
      </c>
      <c r="H427" s="38"/>
      <c r="I427" s="38"/>
      <c r="J427" s="38"/>
      <c r="K427" s="39" t="str">
        <f>IFERROR(VLOOKUP(J427,Jueces!$A$1:$B$11,2,FALSE),"")</f>
        <v/>
      </c>
      <c r="L427" s="32" t="s">
        <v>83</v>
      </c>
      <c r="M427" s="32" t="s">
        <v>234</v>
      </c>
      <c r="N427" s="39"/>
      <c r="O427" s="24" t="str">
        <f>IF(Q427=" _","NO","SI")</f>
        <v>NO</v>
      </c>
      <c r="P427" s="24" t="str">
        <f ca="1">IF(color_Celda(E427)=12106214,"ROSA",IF(color_Celda(E427)=65535,"AMARILLO",IF(color_Celda(E427)=5296274,"VERDE",IF(color_Celda(E427)=16777215,"BLANCO","NO SE"))))</f>
        <v>AMARILLO</v>
      </c>
      <c r="Q427" s="32" t="s">
        <v>108</v>
      </c>
      <c r="R427" s="170" t="str">
        <f>VLOOKUP($Q427,Resultados!$A$1:$B$49,2,FALSE)</f>
        <v xml:space="preserve"> _</v>
      </c>
      <c r="S427" s="32"/>
      <c r="T427" s="37"/>
      <c r="U427" s="37"/>
      <c r="V427" s="39"/>
      <c r="W427" s="39"/>
      <c r="X427" s="39"/>
      <c r="Y427" s="64"/>
      <c r="Z427" s="39"/>
      <c r="AA427" s="39"/>
      <c r="AB427" s="39"/>
      <c r="AC427" s="39"/>
      <c r="AD427" s="39"/>
      <c r="AE427" s="144"/>
      <c r="AF427" s="150"/>
      <c r="AG427" s="150"/>
      <c r="AH427" s="150"/>
      <c r="AI427" s="150"/>
      <c r="AJ427" s="128" t="s">
        <v>988</v>
      </c>
      <c r="AK427" s="136"/>
      <c r="AL427" s="129" t="s">
        <v>1627</v>
      </c>
      <c r="AM427" s="431" t="str">
        <f>VLOOKUP($Q427,Resultados!$A$1:$C$49,3,FALSE)</f>
        <v>TRAMITE</v>
      </c>
    </row>
    <row r="428" spans="1:39" customFormat="1" ht="51">
      <c r="A428" s="364">
        <v>281</v>
      </c>
      <c r="B428" s="38">
        <v>45245</v>
      </c>
      <c r="C428" s="331">
        <v>0.52083333333333337</v>
      </c>
      <c r="D428" s="32" t="s">
        <v>1583</v>
      </c>
      <c r="E428" s="40" t="s">
        <v>1584</v>
      </c>
      <c r="F428" s="39">
        <v>3</v>
      </c>
      <c r="G428" s="68" t="s">
        <v>1750</v>
      </c>
      <c r="H428" s="38"/>
      <c r="I428" s="38"/>
      <c r="J428" s="38"/>
      <c r="K428" s="39" t="str">
        <f>IFERROR(VLOOKUP(J428,Jueces!$A$1:$B$11,2,FALSE),"")</f>
        <v/>
      </c>
      <c r="L428" s="32" t="s">
        <v>73</v>
      </c>
      <c r="M428" s="32" t="s">
        <v>1156</v>
      </c>
      <c r="N428" s="32" t="s">
        <v>1588</v>
      </c>
      <c r="O428" s="24" t="str">
        <f>IF(Q428=" _","NO","SI")</f>
        <v>NO</v>
      </c>
      <c r="P428" s="24" t="str">
        <f ca="1">IF(color_Celda(E428)=12106214,"ROSA",IF(color_Celda(E428)=65535,"AMARILLO",IF(color_Celda(E428)=5296274,"VERDE",IF(color_Celda(E428)=16777215,"BLANCO","NO SE"))))</f>
        <v>AMARILLO</v>
      </c>
      <c r="Q428" s="32" t="s">
        <v>108</v>
      </c>
      <c r="R428" s="170" t="str">
        <f>VLOOKUP($Q428,Resultados!$A$1:$B$49,2,FALSE)</f>
        <v xml:space="preserve"> _</v>
      </c>
      <c r="S428" s="32"/>
      <c r="T428" s="37"/>
      <c r="U428" s="37"/>
      <c r="V428" s="39"/>
      <c r="W428" s="39"/>
      <c r="X428" s="39"/>
      <c r="Y428" s="64"/>
      <c r="Z428" s="39"/>
      <c r="AA428" s="39"/>
      <c r="AB428" s="39"/>
      <c r="AC428" s="39"/>
      <c r="AD428" s="39"/>
      <c r="AE428" s="144"/>
      <c r="AF428" s="150"/>
      <c r="AG428" s="150"/>
      <c r="AH428" s="150"/>
      <c r="AI428" s="150"/>
      <c r="AJ428" s="128" t="s">
        <v>988</v>
      </c>
      <c r="AK428" s="136"/>
      <c r="AL428" s="129" t="s">
        <v>1627</v>
      </c>
      <c r="AM428" s="431" t="str">
        <f>VLOOKUP($Q428,Resultados!$A$1:$C$49,3,FALSE)</f>
        <v>TRAMITE</v>
      </c>
    </row>
    <row r="429" spans="1:39" customFormat="1" ht="89.25">
      <c r="A429" s="364">
        <v>282</v>
      </c>
      <c r="B429" s="38">
        <v>45245</v>
      </c>
      <c r="C429" s="331">
        <v>0.39027777777777778</v>
      </c>
      <c r="D429" s="32" t="s">
        <v>1585</v>
      </c>
      <c r="E429" s="40" t="s">
        <v>1586</v>
      </c>
      <c r="F429" s="39">
        <v>3</v>
      </c>
      <c r="G429" s="68" t="s">
        <v>1750</v>
      </c>
      <c r="H429" s="38"/>
      <c r="I429" s="38"/>
      <c r="J429" s="38"/>
      <c r="K429" s="39" t="str">
        <f>IFERROR(VLOOKUP(J429,Jueces!$A$1:$B$11,2,FALSE),"")</f>
        <v/>
      </c>
      <c r="L429" s="32" t="s">
        <v>77</v>
      </c>
      <c r="M429" s="32"/>
      <c r="N429" s="32" t="s">
        <v>1587</v>
      </c>
      <c r="O429" s="24" t="str">
        <f>IF(Q429=" _","NO","SI")</f>
        <v>NO</v>
      </c>
      <c r="P429" s="24" t="str">
        <f ca="1">IF(color_Celda(E429)=12106214,"ROSA",IF(color_Celda(E429)=65535,"AMARILLO",IF(color_Celda(E429)=5296274,"VERDE",IF(color_Celda(E429)=16777215,"BLANCO","NO SE"))))</f>
        <v>AMARILLO</v>
      </c>
      <c r="Q429" s="32" t="s">
        <v>108</v>
      </c>
      <c r="R429" s="170" t="str">
        <f>VLOOKUP($Q429,Resultados!$A$1:$B$49,2,FALSE)</f>
        <v xml:space="preserve"> _</v>
      </c>
      <c r="S429" s="32"/>
      <c r="T429" s="37"/>
      <c r="U429" s="37"/>
      <c r="V429" s="39"/>
      <c r="W429" s="39"/>
      <c r="X429" s="39"/>
      <c r="Y429" s="64"/>
      <c r="Z429" s="39"/>
      <c r="AA429" s="39"/>
      <c r="AB429" s="39"/>
      <c r="AC429" s="39"/>
      <c r="AD429" s="39"/>
      <c r="AE429" s="144"/>
      <c r="AF429" s="150"/>
      <c r="AG429" s="150"/>
      <c r="AH429" s="150"/>
      <c r="AI429" s="150"/>
      <c r="AJ429" s="128" t="s">
        <v>988</v>
      </c>
      <c r="AK429" s="136"/>
      <c r="AL429" s="129" t="s">
        <v>1627</v>
      </c>
      <c r="AM429" s="431" t="str">
        <f>VLOOKUP($Q429,Resultados!$A$1:$C$49,3,FALSE)</f>
        <v>TRAMITE</v>
      </c>
    </row>
    <row r="430" spans="1:39" customFormat="1" ht="51">
      <c r="A430" s="364">
        <v>283</v>
      </c>
      <c r="B430" s="35">
        <v>45245</v>
      </c>
      <c r="C430" s="331">
        <v>0.5</v>
      </c>
      <c r="D430" s="32" t="s">
        <v>1639</v>
      </c>
      <c r="E430" s="40" t="s">
        <v>1640</v>
      </c>
      <c r="F430" s="39">
        <v>3</v>
      </c>
      <c r="G430" s="39" t="s">
        <v>1370</v>
      </c>
      <c r="H430" s="38"/>
      <c r="I430" s="38"/>
      <c r="J430" s="38"/>
      <c r="K430" s="39" t="str">
        <f>IFERROR(VLOOKUP(J430,Jueces!$A$1:$B$11,2,FALSE),"")</f>
        <v/>
      </c>
      <c r="L430" s="32" t="s">
        <v>2167</v>
      </c>
      <c r="M430" s="32" t="s">
        <v>1156</v>
      </c>
      <c r="N430" s="32" t="s">
        <v>1631</v>
      </c>
      <c r="O430" s="24" t="str">
        <f>IF(Q430=" _","NO","SI")</f>
        <v>NO</v>
      </c>
      <c r="P430" s="24" t="str">
        <f ca="1">IF(color_Celda(E430)=12106214,"ROSA",IF(color_Celda(E430)=65535,"AMARILLO",IF(color_Celda(E430)=5296274,"VERDE",IF(color_Celda(E430)=16777215,"BLANCO","NO SE"))))</f>
        <v>AMARILLO</v>
      </c>
      <c r="Q430" s="32" t="s">
        <v>108</v>
      </c>
      <c r="R430" s="170" t="str">
        <f>VLOOKUP($Q430,Resultados!$A$1:$B$49,2,FALSE)</f>
        <v xml:space="preserve"> _</v>
      </c>
      <c r="S430" s="32"/>
      <c r="T430" s="37"/>
      <c r="U430" s="37"/>
      <c r="V430" s="39"/>
      <c r="W430" s="39"/>
      <c r="X430" s="39"/>
      <c r="Y430" s="64"/>
      <c r="Z430" s="39"/>
      <c r="AA430" s="39"/>
      <c r="AB430" s="39"/>
      <c r="AC430" s="39"/>
      <c r="AD430" s="39"/>
      <c r="AE430" s="144"/>
      <c r="AF430" s="150"/>
      <c r="AG430" s="150"/>
      <c r="AH430" s="150"/>
      <c r="AI430" s="150"/>
      <c r="AJ430" s="128" t="s">
        <v>988</v>
      </c>
      <c r="AK430" s="136"/>
      <c r="AL430" s="151" t="s">
        <v>1627</v>
      </c>
      <c r="AM430" s="431" t="str">
        <f>VLOOKUP($Q430,Resultados!$A$1:$C$49,3,FALSE)</f>
        <v>TRAMITE</v>
      </c>
    </row>
    <row r="431" spans="1:39" customFormat="1" ht="63.75">
      <c r="A431" s="364">
        <v>285</v>
      </c>
      <c r="B431" s="38">
        <v>45245</v>
      </c>
      <c r="C431" s="337" t="s">
        <v>1475</v>
      </c>
      <c r="D431" s="32" t="s">
        <v>2300</v>
      </c>
      <c r="E431" s="40" t="s">
        <v>2301</v>
      </c>
      <c r="F431" s="39">
        <v>4</v>
      </c>
      <c r="G431" s="32" t="s">
        <v>325</v>
      </c>
      <c r="H431" s="38"/>
      <c r="I431" s="38"/>
      <c r="J431" s="38"/>
      <c r="K431" s="39" t="str">
        <f>IFERROR(VLOOKUP(J431,Jueces!$A$1:$B$11,2,FALSE),"")</f>
        <v/>
      </c>
      <c r="L431" s="32" t="s">
        <v>77</v>
      </c>
      <c r="M431" s="32" t="s">
        <v>260</v>
      </c>
      <c r="N431" s="32" t="s">
        <v>1342</v>
      </c>
      <c r="O431" s="24" t="str">
        <f>IF(Q431=" _","NO","SI")</f>
        <v>NO</v>
      </c>
      <c r="P431" s="24" t="str">
        <f ca="1">IF(color_Celda(E431)=12106214,"ROSA",IF(color_Celda(E431)=65535,"AMARILLO",IF(color_Celda(E431)=5296274,"VERDE",IF(color_Celda(E431)=16777215,"BLANCO","NO SE"))))</f>
        <v>AMARILLO</v>
      </c>
      <c r="Q431" s="32" t="s">
        <v>108</v>
      </c>
      <c r="R431" s="170" t="str">
        <f>VLOOKUP($Q431,Resultados!$A$1:$B$49,2,FALSE)</f>
        <v xml:space="preserve"> _</v>
      </c>
      <c r="S431" s="32"/>
      <c r="T431" s="37"/>
      <c r="U431" s="37"/>
      <c r="V431" s="39"/>
      <c r="W431" s="39"/>
      <c r="X431" s="39"/>
      <c r="Y431" s="64"/>
      <c r="Z431" s="39"/>
      <c r="AA431" s="39"/>
      <c r="AB431" s="39"/>
      <c r="AC431" s="39"/>
      <c r="AD431" s="39"/>
      <c r="AE431" s="144"/>
      <c r="AF431" s="150"/>
      <c r="AG431" s="150"/>
      <c r="AH431" s="150"/>
      <c r="AI431" s="150"/>
      <c r="AJ431" s="128" t="s">
        <v>988</v>
      </c>
      <c r="AK431" s="136"/>
      <c r="AL431" s="151" t="s">
        <v>1627</v>
      </c>
      <c r="AM431" s="431" t="str">
        <f>VLOOKUP($Q431,Resultados!$A$1:$C$49,3,FALSE)</f>
        <v>TRAMITE</v>
      </c>
    </row>
    <row r="432" spans="1:39" customFormat="1" ht="89.25">
      <c r="A432" s="364">
        <v>287</v>
      </c>
      <c r="B432" s="69">
        <v>45246</v>
      </c>
      <c r="C432" s="332" t="s">
        <v>12</v>
      </c>
      <c r="D432" s="70" t="s">
        <v>872</v>
      </c>
      <c r="E432" s="92" t="s">
        <v>873</v>
      </c>
      <c r="F432" s="68">
        <v>3</v>
      </c>
      <c r="G432" s="68" t="s">
        <v>5</v>
      </c>
      <c r="H432" s="69"/>
      <c r="I432" s="69"/>
      <c r="J432" s="69"/>
      <c r="K432" s="68" t="s">
        <v>1480</v>
      </c>
      <c r="L432" s="70" t="s">
        <v>79</v>
      </c>
      <c r="M432" s="70"/>
      <c r="N432" s="111" t="s">
        <v>2284</v>
      </c>
      <c r="O432" s="24" t="str">
        <f>IF(Q432=" _","NO","SI")</f>
        <v>NO</v>
      </c>
      <c r="P432" s="24" t="str">
        <f ca="1">IF(color_Celda(E432)=12106214,"ROSA",IF(color_Celda(E432)=65535,"AMARILLO",IF(color_Celda(E432)=5296274,"VERDE",IF(color_Celda(E432)=16777215,"BLANCO","NO SE"))))</f>
        <v>AMARILLO</v>
      </c>
      <c r="Q432" s="70" t="s">
        <v>108</v>
      </c>
      <c r="R432" s="170" t="str">
        <f>VLOOKUP($Q432,Resultados!$A$1:$B$49,2,FALSE)</f>
        <v xml:space="preserve"> _</v>
      </c>
      <c r="S432" s="70"/>
      <c r="T432" s="73"/>
      <c r="U432" s="73"/>
      <c r="V432" s="68"/>
      <c r="W432" s="68"/>
      <c r="X432" s="68"/>
      <c r="Y432" s="64"/>
      <c r="Z432" s="68"/>
      <c r="AA432" s="68"/>
      <c r="AB432" s="68"/>
      <c r="AC432" s="68"/>
      <c r="AD432" s="68"/>
      <c r="AE432" s="142"/>
      <c r="AF432" s="145">
        <v>7</v>
      </c>
      <c r="AG432" s="146"/>
      <c r="AH432" s="146">
        <v>0</v>
      </c>
      <c r="AI432" s="146"/>
      <c r="AJ432" s="126" t="s">
        <v>988</v>
      </c>
      <c r="AK432" s="132"/>
      <c r="AL432" s="129" t="s">
        <v>1627</v>
      </c>
      <c r="AM432" s="431" t="str">
        <f>VLOOKUP($Q432,Resultados!$A$1:$C$49,3,FALSE)</f>
        <v>TRAMITE</v>
      </c>
    </row>
    <row r="433" spans="1:39" customFormat="1" ht="38.25">
      <c r="A433" s="364">
        <v>288</v>
      </c>
      <c r="B433" s="72">
        <v>45246</v>
      </c>
      <c r="C433" s="332" t="s">
        <v>12</v>
      </c>
      <c r="D433" s="70" t="s">
        <v>874</v>
      </c>
      <c r="E433" s="92" t="s">
        <v>875</v>
      </c>
      <c r="F433" s="68">
        <v>3</v>
      </c>
      <c r="G433" s="68"/>
      <c r="H433" s="69"/>
      <c r="I433" s="69"/>
      <c r="J433" s="69"/>
      <c r="K433" s="68" t="s">
        <v>1480</v>
      </c>
      <c r="L433" s="70" t="s">
        <v>2170</v>
      </c>
      <c r="M433" s="70" t="s">
        <v>1355</v>
      </c>
      <c r="N433" s="68"/>
      <c r="O433" s="24" t="str">
        <f>IF(Q433=" _","NO","SI")</f>
        <v>NO</v>
      </c>
      <c r="P433" s="24" t="str">
        <f ca="1">IF(color_Celda(E433)=12106214,"ROSA",IF(color_Celda(E433)=65535,"AMARILLO",IF(color_Celda(E433)=5296274,"VERDE",IF(color_Celda(E433)=16777215,"BLANCO","NO SE"))))</f>
        <v>AMARILLO</v>
      </c>
      <c r="Q433" s="70" t="s">
        <v>108</v>
      </c>
      <c r="R433" s="170" t="str">
        <f>VLOOKUP($Q433,Resultados!$A$1:$B$49,2,FALSE)</f>
        <v xml:space="preserve"> _</v>
      </c>
      <c r="S433" s="70"/>
      <c r="T433" s="73"/>
      <c r="U433" s="73"/>
      <c r="V433" s="68"/>
      <c r="W433" s="68"/>
      <c r="X433" s="68"/>
      <c r="Y433" s="64"/>
      <c r="Z433" s="68"/>
      <c r="AA433" s="68"/>
      <c r="AB433" s="68"/>
      <c r="AC433" s="68"/>
      <c r="AD433" s="68"/>
      <c r="AE433" s="142"/>
      <c r="AF433" s="145">
        <v>7</v>
      </c>
      <c r="AG433" s="146"/>
      <c r="AH433" s="146">
        <v>0</v>
      </c>
      <c r="AI433" s="146"/>
      <c r="AJ433" s="361" t="s">
        <v>988</v>
      </c>
      <c r="AK433" s="131"/>
      <c r="AL433" s="129" t="s">
        <v>1627</v>
      </c>
      <c r="AM433" s="431" t="str">
        <f>VLOOKUP($Q433,Resultados!$A$1:$C$49,3,FALSE)</f>
        <v>TRAMITE</v>
      </c>
    </row>
    <row r="434" spans="1:39" customFormat="1" ht="63.75">
      <c r="A434" s="364">
        <v>289</v>
      </c>
      <c r="B434" s="69">
        <v>45246</v>
      </c>
      <c r="C434" s="332" t="s">
        <v>12</v>
      </c>
      <c r="D434" s="70" t="s">
        <v>876</v>
      </c>
      <c r="E434" s="92" t="s">
        <v>877</v>
      </c>
      <c r="F434" s="68">
        <v>6</v>
      </c>
      <c r="G434" s="68" t="s">
        <v>326</v>
      </c>
      <c r="H434" s="69"/>
      <c r="I434" s="69"/>
      <c r="J434" s="69"/>
      <c r="K434" s="68" t="s">
        <v>1480</v>
      </c>
      <c r="L434" s="70" t="s">
        <v>25</v>
      </c>
      <c r="M434" s="111" t="s">
        <v>968</v>
      </c>
      <c r="N434" s="68" t="s">
        <v>1342</v>
      </c>
      <c r="O434" s="24" t="str">
        <f>IF(Q434=" _","NO","SI")</f>
        <v>NO</v>
      </c>
      <c r="P434" s="24" t="str">
        <f ca="1">IF(color_Celda(E434)=12106214,"ROSA",IF(color_Celda(E434)=65535,"AMARILLO",IF(color_Celda(E434)=5296274,"VERDE",IF(color_Celda(E434)=16777215,"BLANCO","NO SE"))))</f>
        <v>AMARILLO</v>
      </c>
      <c r="Q434" s="70" t="s">
        <v>108</v>
      </c>
      <c r="R434" s="170" t="str">
        <f>VLOOKUP($Q434,Resultados!$A$1:$B$49,2,FALSE)</f>
        <v xml:space="preserve"> _</v>
      </c>
      <c r="S434" s="70"/>
      <c r="T434" s="73"/>
      <c r="U434" s="73"/>
      <c r="V434" s="68"/>
      <c r="W434" s="68"/>
      <c r="X434" s="68"/>
      <c r="Y434" s="64"/>
      <c r="Z434" s="68"/>
      <c r="AA434" s="68"/>
      <c r="AB434" s="68"/>
      <c r="AC434" s="68"/>
      <c r="AD434" s="68"/>
      <c r="AE434" s="142"/>
      <c r="AF434" s="145">
        <v>7</v>
      </c>
      <c r="AG434" s="146"/>
      <c r="AH434" s="146">
        <v>0</v>
      </c>
      <c r="AI434" s="146"/>
      <c r="AJ434" s="126" t="s">
        <v>988</v>
      </c>
      <c r="AK434" s="134"/>
      <c r="AL434" s="151" t="s">
        <v>1627</v>
      </c>
      <c r="AM434" s="431" t="str">
        <f>VLOOKUP($Q434,Resultados!$A$1:$C$49,3,FALSE)</f>
        <v>TRAMITE</v>
      </c>
    </row>
    <row r="435" spans="1:39" customFormat="1" ht="63.75">
      <c r="A435" s="364">
        <v>290</v>
      </c>
      <c r="B435" s="69">
        <v>45246</v>
      </c>
      <c r="C435" s="332" t="s">
        <v>12</v>
      </c>
      <c r="D435" s="70" t="s">
        <v>878</v>
      </c>
      <c r="E435" s="92" t="s">
        <v>879</v>
      </c>
      <c r="F435" s="70">
        <v>6</v>
      </c>
      <c r="G435" s="68" t="s">
        <v>326</v>
      </c>
      <c r="H435" s="69"/>
      <c r="I435" s="69"/>
      <c r="J435" s="69"/>
      <c r="K435" s="68" t="s">
        <v>1480</v>
      </c>
      <c r="L435" s="70" t="s">
        <v>72</v>
      </c>
      <c r="M435" s="70" t="s">
        <v>1355</v>
      </c>
      <c r="N435" s="68" t="s">
        <v>1342</v>
      </c>
      <c r="O435" s="24" t="str">
        <f>IF(Q435=" _","NO","SI")</f>
        <v>NO</v>
      </c>
      <c r="P435" s="24" t="str">
        <f ca="1">IF(color_Celda(E435)=12106214,"ROSA",IF(color_Celda(E435)=65535,"AMARILLO",IF(color_Celda(E435)=5296274,"VERDE",IF(color_Celda(E435)=16777215,"BLANCO","NO SE"))))</f>
        <v>AMARILLO</v>
      </c>
      <c r="Q435" s="70" t="s">
        <v>108</v>
      </c>
      <c r="R435" s="170" t="str">
        <f>VLOOKUP($Q435,Resultados!$A$1:$B$49,2,FALSE)</f>
        <v xml:space="preserve"> _</v>
      </c>
      <c r="S435" s="70"/>
      <c r="T435" s="73"/>
      <c r="U435" s="73"/>
      <c r="V435" s="68"/>
      <c r="W435" s="68"/>
      <c r="X435" s="68"/>
      <c r="Y435" s="64"/>
      <c r="Z435" s="68"/>
      <c r="AA435" s="68"/>
      <c r="AB435" s="68"/>
      <c r="AC435" s="68"/>
      <c r="AD435" s="68"/>
      <c r="AE435" s="142"/>
      <c r="AF435" s="145">
        <v>7</v>
      </c>
      <c r="AG435" s="146"/>
      <c r="AH435" s="146">
        <v>0</v>
      </c>
      <c r="AI435" s="146"/>
      <c r="AJ435" s="126" t="s">
        <v>988</v>
      </c>
      <c r="AK435" s="134"/>
      <c r="AL435" s="151" t="s">
        <v>1627</v>
      </c>
      <c r="AM435" s="431" t="str">
        <f>VLOOKUP($Q435,Resultados!$A$1:$C$49,3,FALSE)</f>
        <v>TRAMITE</v>
      </c>
    </row>
    <row r="436" spans="1:39" customFormat="1" ht="38.25">
      <c r="A436" s="364">
        <v>291</v>
      </c>
      <c r="B436" s="69">
        <v>45246</v>
      </c>
      <c r="C436" s="332" t="s">
        <v>12</v>
      </c>
      <c r="D436" s="70" t="s">
        <v>882</v>
      </c>
      <c r="E436" s="92" t="s">
        <v>883</v>
      </c>
      <c r="F436" s="68">
        <v>6</v>
      </c>
      <c r="G436" s="68" t="s">
        <v>326</v>
      </c>
      <c r="H436" s="69"/>
      <c r="I436" s="69"/>
      <c r="J436" s="69"/>
      <c r="K436" s="68" t="s">
        <v>1480</v>
      </c>
      <c r="L436" s="70" t="s">
        <v>2170</v>
      </c>
      <c r="M436" s="70"/>
      <c r="N436" s="68" t="s">
        <v>2620</v>
      </c>
      <c r="O436" s="137" t="str">
        <f>IF(Q436=" _","NO","SI")</f>
        <v>NO</v>
      </c>
      <c r="P436" s="24" t="str">
        <f ca="1">IF(color_Celda(E436)=12106214,"ROSA",IF(color_Celda(E436)=65535,"AMARILLO",IF(color_Celda(E436)=5296274,"VERDE",IF(color_Celda(E436)=16777215,"BLANCO","NO SE"))))</f>
        <v>AMARILLO</v>
      </c>
      <c r="Q436" s="70" t="s">
        <v>108</v>
      </c>
      <c r="R436" s="170" t="str">
        <f>VLOOKUP($Q436,Resultados!$A$1:$B$49,2,FALSE)</f>
        <v xml:space="preserve"> _</v>
      </c>
      <c r="S436" s="70"/>
      <c r="T436" s="73"/>
      <c r="U436" s="73"/>
      <c r="V436" s="68"/>
      <c r="W436" s="68"/>
      <c r="X436" s="68"/>
      <c r="Y436" s="199"/>
      <c r="Z436" s="68"/>
      <c r="AA436" s="68"/>
      <c r="AB436" s="68"/>
      <c r="AC436" s="68"/>
      <c r="AD436" s="68"/>
      <c r="AE436" s="142"/>
      <c r="AF436" s="145">
        <v>7</v>
      </c>
      <c r="AG436" s="146"/>
      <c r="AH436" s="146">
        <v>0</v>
      </c>
      <c r="AI436" s="146"/>
      <c r="AJ436" s="126" t="s">
        <v>988</v>
      </c>
      <c r="AK436" s="134"/>
      <c r="AL436" s="151" t="s">
        <v>1627</v>
      </c>
      <c r="AM436" s="431" t="str">
        <f>VLOOKUP($Q436,Resultados!$A$1:$C$49,3,FALSE)</f>
        <v>TRAMITE</v>
      </c>
    </row>
    <row r="437" spans="1:39" customFormat="1" ht="127.5">
      <c r="A437" s="364">
        <v>295</v>
      </c>
      <c r="B437" s="69">
        <v>45246</v>
      </c>
      <c r="C437" s="332" t="s">
        <v>894</v>
      </c>
      <c r="D437" s="70" t="s">
        <v>895</v>
      </c>
      <c r="E437" s="92" t="s">
        <v>896</v>
      </c>
      <c r="F437" s="68">
        <v>6</v>
      </c>
      <c r="G437" s="68" t="s">
        <v>326</v>
      </c>
      <c r="H437" s="69"/>
      <c r="I437" s="69"/>
      <c r="J437" s="69"/>
      <c r="K437" s="68" t="s">
        <v>1480</v>
      </c>
      <c r="L437" s="70" t="s">
        <v>74</v>
      </c>
      <c r="M437" s="70"/>
      <c r="N437" s="68" t="s">
        <v>2254</v>
      </c>
      <c r="O437" s="24" t="str">
        <f>IF(Q437=" _","NO","SI")</f>
        <v>NO</v>
      </c>
      <c r="P437" s="24" t="str">
        <f ca="1">IF(color_Celda(E437)=12106214,"ROSA",IF(color_Celda(E437)=65535,"AMARILLO",IF(color_Celda(E437)=5296274,"VERDE",IF(color_Celda(E437)=16777215,"BLANCO","NO SE"))))</f>
        <v>AMARILLO</v>
      </c>
      <c r="Q437" s="70" t="s">
        <v>108</v>
      </c>
      <c r="R437" s="170" t="str">
        <f>VLOOKUP($Q437,Resultados!$A$1:$B$49,2,FALSE)</f>
        <v xml:space="preserve"> _</v>
      </c>
      <c r="S437" s="70"/>
      <c r="T437" s="99"/>
      <c r="U437" s="99"/>
      <c r="V437" s="107"/>
      <c r="W437" s="68"/>
      <c r="X437" s="68"/>
      <c r="Y437" s="64"/>
      <c r="Z437" s="68"/>
      <c r="AA437" s="68"/>
      <c r="AB437" s="68"/>
      <c r="AC437" s="107"/>
      <c r="AD437" s="107"/>
      <c r="AE437" s="143"/>
      <c r="AF437" s="145">
        <v>7</v>
      </c>
      <c r="AG437" s="118"/>
      <c r="AH437" s="118">
        <v>0</v>
      </c>
      <c r="AI437" s="118"/>
      <c r="AJ437" s="126" t="s">
        <v>988</v>
      </c>
      <c r="AK437" s="134"/>
      <c r="AL437" s="151" t="s">
        <v>1627</v>
      </c>
      <c r="AM437" s="431" t="str">
        <f>VLOOKUP($Q437,Resultados!$A$1:$C$49,3,FALSE)</f>
        <v>TRAMITE</v>
      </c>
    </row>
    <row r="438" spans="1:39" customFormat="1" ht="38.25">
      <c r="A438" s="364">
        <v>296</v>
      </c>
      <c r="B438" s="38">
        <v>45246</v>
      </c>
      <c r="C438" s="331">
        <v>0.39583333333333331</v>
      </c>
      <c r="D438" s="32" t="s">
        <v>1504</v>
      </c>
      <c r="E438" s="40" t="s">
        <v>1505</v>
      </c>
      <c r="F438" s="39">
        <v>3</v>
      </c>
      <c r="G438" s="68" t="s">
        <v>1750</v>
      </c>
      <c r="H438" s="38"/>
      <c r="I438" s="38"/>
      <c r="J438" s="38"/>
      <c r="K438" s="39" t="str">
        <f>IFERROR(VLOOKUP(J438,Jueces!$A$1:$B$11,2,FALSE),"")</f>
        <v/>
      </c>
      <c r="L438" s="32" t="s">
        <v>72</v>
      </c>
      <c r="M438" s="32" t="s">
        <v>226</v>
      </c>
      <c r="N438" s="32" t="s">
        <v>1342</v>
      </c>
      <c r="O438" s="24" t="str">
        <f>IF(Q438=" _","NO","SI")</f>
        <v>NO</v>
      </c>
      <c r="P438" s="24" t="str">
        <f ca="1">IF(color_Celda(E438)=12106214,"ROSA",IF(color_Celda(E438)=65535,"AMARILLO",IF(color_Celda(E438)=5296274,"VERDE",IF(color_Celda(E438)=16777215,"BLANCO","NO SE"))))</f>
        <v>AMARILLO</v>
      </c>
      <c r="Q438" s="32" t="s">
        <v>108</v>
      </c>
      <c r="R438" s="170" t="str">
        <f>VLOOKUP($Q438,Resultados!$A$1:$B$49,2,FALSE)</f>
        <v xml:space="preserve"> _</v>
      </c>
      <c r="S438" s="32"/>
      <c r="T438" s="37"/>
      <c r="U438" s="37"/>
      <c r="V438" s="39"/>
      <c r="W438" s="39"/>
      <c r="X438" s="39"/>
      <c r="Y438" s="64"/>
      <c r="Z438" s="39"/>
      <c r="AA438" s="39"/>
      <c r="AB438" s="39"/>
      <c r="AC438" s="39"/>
      <c r="AD438" s="39"/>
      <c r="AE438" s="144"/>
      <c r="AF438" s="150"/>
      <c r="AG438" s="150"/>
      <c r="AH438" s="150"/>
      <c r="AI438" s="150"/>
      <c r="AJ438" s="128" t="s">
        <v>988</v>
      </c>
      <c r="AK438" s="136"/>
      <c r="AL438" s="129" t="s">
        <v>1627</v>
      </c>
      <c r="AM438" s="431" t="str">
        <f>VLOOKUP($Q438,Resultados!$A$1:$C$49,3,FALSE)</f>
        <v>TRAMITE</v>
      </c>
    </row>
    <row r="439" spans="1:39" customFormat="1" ht="38.25">
      <c r="A439" s="364">
        <v>297</v>
      </c>
      <c r="B439" s="38">
        <v>45246</v>
      </c>
      <c r="C439" s="331">
        <v>0.33333333333333331</v>
      </c>
      <c r="D439" s="32" t="s">
        <v>1597</v>
      </c>
      <c r="E439" s="40" t="s">
        <v>1598</v>
      </c>
      <c r="F439" s="39">
        <v>3</v>
      </c>
      <c r="G439" s="68" t="s">
        <v>1750</v>
      </c>
      <c r="H439" s="38"/>
      <c r="I439" s="38"/>
      <c r="J439" s="38"/>
      <c r="K439" s="39" t="str">
        <f>IFERROR(VLOOKUP(J439,Jueces!$A$1:$B$11,2,FALSE),"")</f>
        <v/>
      </c>
      <c r="L439" s="32" t="s">
        <v>2170</v>
      </c>
      <c r="M439" s="32" t="s">
        <v>223</v>
      </c>
      <c r="N439" s="32" t="s">
        <v>1599</v>
      </c>
      <c r="O439" s="24" t="str">
        <f>IF(Q439=" _","NO","SI")</f>
        <v>NO</v>
      </c>
      <c r="P439" s="24" t="str">
        <f ca="1">IF(color_Celda(E439)=12106214,"ROSA",IF(color_Celda(E439)=65535,"AMARILLO",IF(color_Celda(E439)=5296274,"VERDE",IF(color_Celda(E439)=16777215,"BLANCO","NO SE"))))</f>
        <v>AMARILLO</v>
      </c>
      <c r="Q439" s="32" t="s">
        <v>108</v>
      </c>
      <c r="R439" s="170" t="str">
        <f>VLOOKUP($Q439,Resultados!$A$1:$B$49,2,FALSE)</f>
        <v xml:space="preserve"> _</v>
      </c>
      <c r="S439" s="32"/>
      <c r="T439" s="37"/>
      <c r="U439" s="37"/>
      <c r="V439" s="39"/>
      <c r="W439" s="39"/>
      <c r="X439" s="39"/>
      <c r="Y439" s="64"/>
      <c r="Z439" s="39"/>
      <c r="AA439" s="39"/>
      <c r="AB439" s="39"/>
      <c r="AC439" s="39"/>
      <c r="AD439" s="39"/>
      <c r="AE439" s="144"/>
      <c r="AF439" s="150"/>
      <c r="AG439" s="150"/>
      <c r="AH439" s="150"/>
      <c r="AI439" s="150"/>
      <c r="AJ439" s="128" t="s">
        <v>988</v>
      </c>
      <c r="AK439" s="136"/>
      <c r="AL439" s="129" t="s">
        <v>1627</v>
      </c>
      <c r="AM439" s="431" t="str">
        <f>VLOOKUP($Q439,Resultados!$A$1:$C$49,3,FALSE)</f>
        <v>TRAMITE</v>
      </c>
    </row>
    <row r="440" spans="1:39" customFormat="1" ht="25.5">
      <c r="A440" s="364">
        <v>299</v>
      </c>
      <c r="B440" s="69">
        <v>45251</v>
      </c>
      <c r="C440" s="332" t="s">
        <v>12</v>
      </c>
      <c r="D440" s="70" t="s">
        <v>897</v>
      </c>
      <c r="E440" s="92" t="s">
        <v>1204</v>
      </c>
      <c r="F440" s="68">
        <v>6</v>
      </c>
      <c r="G440" s="68" t="s">
        <v>326</v>
      </c>
      <c r="H440" s="69"/>
      <c r="I440" s="69"/>
      <c r="J440" s="69"/>
      <c r="K440" s="68" t="s">
        <v>1480</v>
      </c>
      <c r="L440" s="70" t="s">
        <v>82</v>
      </c>
      <c r="M440" s="70"/>
      <c r="N440" s="68" t="s">
        <v>2620</v>
      </c>
      <c r="O440" s="137" t="str">
        <f>IF(Q440=" _","NO","SI")</f>
        <v>NO</v>
      </c>
      <c r="P440" s="24" t="str">
        <f ca="1">IF(color_Celda(E440)=12106214,"ROSA",IF(color_Celda(E440)=65535,"AMARILLO",IF(color_Celda(E440)=5296274,"VERDE",IF(color_Celda(E440)=16777215,"BLANCO","NO SE"))))</f>
        <v>AMARILLO</v>
      </c>
      <c r="Q440" s="70" t="s">
        <v>108</v>
      </c>
      <c r="R440" s="170" t="str">
        <f>VLOOKUP($Q440,Resultados!$A$1:$B$49,2,FALSE)</f>
        <v xml:space="preserve"> _</v>
      </c>
      <c r="S440" s="70"/>
      <c r="T440" s="73"/>
      <c r="U440" s="73"/>
      <c r="V440" s="68"/>
      <c r="W440" s="68"/>
      <c r="X440" s="68"/>
      <c r="Y440" s="199"/>
      <c r="Z440" s="68"/>
      <c r="AA440" s="68"/>
      <c r="AB440" s="68"/>
      <c r="AC440" s="68"/>
      <c r="AD440" s="68"/>
      <c r="AE440" s="142"/>
      <c r="AF440" s="145">
        <v>7</v>
      </c>
      <c r="AG440" s="146"/>
      <c r="AH440" s="146">
        <v>0</v>
      </c>
      <c r="AI440" s="146"/>
      <c r="AJ440" s="126" t="s">
        <v>988</v>
      </c>
      <c r="AK440" s="134"/>
      <c r="AL440" s="151" t="s">
        <v>1627</v>
      </c>
      <c r="AM440" s="431" t="str">
        <f>VLOOKUP($Q440,Resultados!$A$1:$C$49,3,FALSE)</f>
        <v>TRAMITE</v>
      </c>
    </row>
    <row r="441" spans="1:39" customFormat="1" ht="38.25">
      <c r="A441" s="364">
        <v>300</v>
      </c>
      <c r="B441" s="69">
        <v>45251</v>
      </c>
      <c r="C441" s="332" t="s">
        <v>12</v>
      </c>
      <c r="D441" s="70" t="s">
        <v>901</v>
      </c>
      <c r="E441" s="92" t="s">
        <v>898</v>
      </c>
      <c r="F441" s="68">
        <v>2</v>
      </c>
      <c r="G441" s="68" t="s">
        <v>325</v>
      </c>
      <c r="H441" s="69"/>
      <c r="I441" s="69"/>
      <c r="J441" s="69"/>
      <c r="K441" s="68" t="s">
        <v>1480</v>
      </c>
      <c r="L441" s="70" t="s">
        <v>74</v>
      </c>
      <c r="M441" s="70"/>
      <c r="N441" s="68" t="s">
        <v>1342</v>
      </c>
      <c r="O441" s="137" t="str">
        <f>IF(Q441=" _","NO","SI")</f>
        <v>NO</v>
      </c>
      <c r="P441" s="24" t="str">
        <f ca="1">IF(color_Celda(E441)=12106214,"ROSA",IF(color_Celda(E441)=65535,"AMARILLO",IF(color_Celda(E441)=5296274,"VERDE",IF(color_Celda(E441)=16777215,"BLANCO","NO SE"))))</f>
        <v>AMARILLO</v>
      </c>
      <c r="Q441" s="70" t="s">
        <v>108</v>
      </c>
      <c r="R441" s="170" t="str">
        <f>VLOOKUP($Q441,Resultados!$A$1:$B$49,2,FALSE)</f>
        <v xml:space="preserve"> _</v>
      </c>
      <c r="S441" s="70"/>
      <c r="T441" s="73"/>
      <c r="U441" s="73"/>
      <c r="V441" s="68"/>
      <c r="W441" s="68"/>
      <c r="X441" s="68"/>
      <c r="Y441" s="199"/>
      <c r="Z441" s="68"/>
      <c r="AA441" s="68"/>
      <c r="AB441" s="68"/>
      <c r="AC441" s="68"/>
      <c r="AD441" s="68"/>
      <c r="AE441" s="142"/>
      <c r="AF441" s="145">
        <v>7</v>
      </c>
      <c r="AG441" s="146"/>
      <c r="AH441" s="146">
        <v>0</v>
      </c>
      <c r="AI441" s="146"/>
      <c r="AJ441" s="126" t="s">
        <v>988</v>
      </c>
      <c r="AK441" s="134"/>
      <c r="AL441" s="151" t="s">
        <v>1627</v>
      </c>
      <c r="AM441" s="431" t="str">
        <f>VLOOKUP($Q441,Resultados!$A$1:$C$49,3,FALSE)</f>
        <v>TRAMITE</v>
      </c>
    </row>
    <row r="442" spans="1:39" customFormat="1" ht="38.25">
      <c r="A442" s="364">
        <v>301</v>
      </c>
      <c r="B442" s="69">
        <v>45251</v>
      </c>
      <c r="C442" s="332" t="s">
        <v>899</v>
      </c>
      <c r="D442" s="70" t="s">
        <v>902</v>
      </c>
      <c r="E442" s="92" t="s">
        <v>900</v>
      </c>
      <c r="F442" s="68">
        <v>3</v>
      </c>
      <c r="G442" s="68" t="s">
        <v>1750</v>
      </c>
      <c r="H442" s="69"/>
      <c r="I442" s="69"/>
      <c r="J442" s="69"/>
      <c r="K442" s="68" t="s">
        <v>1480</v>
      </c>
      <c r="L442" s="70" t="s">
        <v>79</v>
      </c>
      <c r="M442" s="240" t="s">
        <v>45</v>
      </c>
      <c r="N442" s="68" t="s">
        <v>1342</v>
      </c>
      <c r="O442" s="24" t="str">
        <f>IF(Q442=" _","NO","SI")</f>
        <v>NO</v>
      </c>
      <c r="P442" s="24" t="str">
        <f ca="1">IF(color_Celda(E442)=12106214,"ROSA",IF(color_Celda(E442)=65535,"AMARILLO",IF(color_Celda(E442)=5296274,"VERDE",IF(color_Celda(E442)=16777215,"BLANCO","NO SE"))))</f>
        <v>AMARILLO</v>
      </c>
      <c r="Q442" s="70" t="s">
        <v>108</v>
      </c>
      <c r="R442" s="170" t="str">
        <f>VLOOKUP($Q442,Resultados!$A$1:$B$49,2,FALSE)</f>
        <v xml:space="preserve"> _</v>
      </c>
      <c r="S442" s="70"/>
      <c r="T442" s="73"/>
      <c r="U442" s="73"/>
      <c r="V442" s="68"/>
      <c r="W442" s="68"/>
      <c r="X442" s="68"/>
      <c r="Y442" s="64"/>
      <c r="Z442" s="68"/>
      <c r="AA442" s="68"/>
      <c r="AB442" s="68"/>
      <c r="AC442" s="68"/>
      <c r="AD442" s="68"/>
      <c r="AE442" s="142"/>
      <c r="AF442" s="145">
        <v>7</v>
      </c>
      <c r="AG442" s="146"/>
      <c r="AH442" s="146">
        <v>0</v>
      </c>
      <c r="AI442" s="146"/>
      <c r="AJ442" s="126" t="s">
        <v>988</v>
      </c>
      <c r="AK442" s="132"/>
      <c r="AL442" s="151" t="s">
        <v>1627</v>
      </c>
      <c r="AM442" s="431" t="str">
        <f>VLOOKUP($Q442,Resultados!$A$1:$C$49,3,FALSE)</f>
        <v>TRAMITE</v>
      </c>
    </row>
    <row r="443" spans="1:39" customFormat="1" ht="89.25">
      <c r="A443" s="364">
        <v>303</v>
      </c>
      <c r="B443" s="69">
        <v>45251</v>
      </c>
      <c r="C443" s="332" t="s">
        <v>905</v>
      </c>
      <c r="D443" s="70" t="s">
        <v>906</v>
      </c>
      <c r="E443" s="92" t="s">
        <v>907</v>
      </c>
      <c r="F443" s="68">
        <v>7</v>
      </c>
      <c r="G443" s="68" t="s">
        <v>10</v>
      </c>
      <c r="H443" s="69"/>
      <c r="I443" s="69"/>
      <c r="J443" s="69"/>
      <c r="K443" s="68" t="s">
        <v>1480</v>
      </c>
      <c r="L443" s="70" t="s">
        <v>75</v>
      </c>
      <c r="M443" s="395"/>
      <c r="N443" s="68" t="s">
        <v>2577</v>
      </c>
      <c r="O443" s="137" t="str">
        <f>IF(Q443=" _","NO","SI")</f>
        <v>NO</v>
      </c>
      <c r="P443" s="24" t="str">
        <f ca="1">IF(color_Celda(E443)=12106214,"ROSA",IF(color_Celda(E443)=65535,"AMARILLO",IF(color_Celda(E443)=5296274,"VERDE",IF(color_Celda(E443)=16777215,"BLANCO","NO SE"))))</f>
        <v>AMARILLO</v>
      </c>
      <c r="Q443" s="70" t="s">
        <v>108</v>
      </c>
      <c r="R443" s="170" t="str">
        <f>VLOOKUP($Q443,Resultados!$A$1:$B$49,2,FALSE)</f>
        <v xml:space="preserve"> _</v>
      </c>
      <c r="S443" s="70"/>
      <c r="T443" s="73"/>
      <c r="U443" s="73"/>
      <c r="V443" s="68"/>
      <c r="W443" s="68"/>
      <c r="X443" s="68"/>
      <c r="Y443" s="199"/>
      <c r="Z443" s="68"/>
      <c r="AA443" s="68"/>
      <c r="AB443" s="68"/>
      <c r="AC443" s="68"/>
      <c r="AD443" s="68"/>
      <c r="AE443" s="142"/>
      <c r="AF443" s="145">
        <v>7</v>
      </c>
      <c r="AG443" s="146"/>
      <c r="AH443" s="146">
        <v>0</v>
      </c>
      <c r="AI443" s="146"/>
      <c r="AJ443" s="126" t="s">
        <v>988</v>
      </c>
      <c r="AK443" s="134"/>
      <c r="AL443" s="151" t="s">
        <v>1627</v>
      </c>
      <c r="AM443" s="431" t="str">
        <f>VLOOKUP($Q443,Resultados!$A$1:$C$49,3,FALSE)</f>
        <v>TRAMITE</v>
      </c>
    </row>
    <row r="444" spans="1:39" customFormat="1" ht="25.5">
      <c r="A444" s="364">
        <v>305</v>
      </c>
      <c r="B444" s="38">
        <v>45251</v>
      </c>
      <c r="C444" s="337" t="s">
        <v>2225</v>
      </c>
      <c r="D444" s="32" t="s">
        <v>2226</v>
      </c>
      <c r="E444" s="40" t="s">
        <v>2227</v>
      </c>
      <c r="F444" s="39">
        <v>6</v>
      </c>
      <c r="G444" s="32" t="s">
        <v>326</v>
      </c>
      <c r="H444" s="38"/>
      <c r="I444" s="38"/>
      <c r="J444" s="38"/>
      <c r="K444" s="39" t="str">
        <f>IFERROR(VLOOKUP(J444,Jueces!$A$1:$B$11,2,FALSE),"")</f>
        <v/>
      </c>
      <c r="L444" s="32" t="s">
        <v>82</v>
      </c>
      <c r="M444" s="32" t="s">
        <v>260</v>
      </c>
      <c r="N444" s="32" t="s">
        <v>1342</v>
      </c>
      <c r="O444" s="24" t="str">
        <f>IF(Q444=" _","NO","SI")</f>
        <v>NO</v>
      </c>
      <c r="P444" s="24" t="str">
        <f ca="1">IF(color_Celda(E444)=12106214,"ROSA",IF(color_Celda(E444)=65535,"AMARILLO",IF(color_Celda(E444)=5296274,"VERDE",IF(color_Celda(E444)=16777215,"BLANCO","NO SE"))))</f>
        <v>AMARILLO</v>
      </c>
      <c r="Q444" s="32" t="s">
        <v>108</v>
      </c>
      <c r="R444" s="170" t="str">
        <f>VLOOKUP($Q444,Resultados!$A$1:$B$49,2,FALSE)</f>
        <v xml:space="preserve"> _</v>
      </c>
      <c r="S444" s="32"/>
      <c r="T444" s="37"/>
      <c r="U444" s="37"/>
      <c r="V444" s="39"/>
      <c r="W444" s="39"/>
      <c r="X444" s="39"/>
      <c r="Y444" s="64"/>
      <c r="Z444" s="39"/>
      <c r="AA444" s="39"/>
      <c r="AB444" s="39"/>
      <c r="AC444" s="39"/>
      <c r="AD444" s="39"/>
      <c r="AE444" s="144"/>
      <c r="AF444" s="150"/>
      <c r="AG444" s="150"/>
      <c r="AH444" s="150"/>
      <c r="AI444" s="150"/>
      <c r="AJ444" s="128" t="s">
        <v>988</v>
      </c>
      <c r="AK444" s="136"/>
      <c r="AL444" s="151" t="s">
        <v>1627</v>
      </c>
      <c r="AM444" s="431" t="str">
        <f>VLOOKUP($Q444,Resultados!$A$1:$C$49,3,FALSE)</f>
        <v>TRAMITE</v>
      </c>
    </row>
    <row r="445" spans="1:39" customFormat="1" ht="51">
      <c r="A445" s="364">
        <v>306</v>
      </c>
      <c r="B445" s="38">
        <v>45251</v>
      </c>
      <c r="C445" s="337" t="s">
        <v>1475</v>
      </c>
      <c r="D445" s="32" t="s">
        <v>2311</v>
      </c>
      <c r="E445" s="40" t="s">
        <v>2312</v>
      </c>
      <c r="F445" s="39">
        <v>7</v>
      </c>
      <c r="G445" s="39" t="s">
        <v>10</v>
      </c>
      <c r="H445" s="38"/>
      <c r="I445" s="38"/>
      <c r="J445" s="38"/>
      <c r="K445" s="39" t="str">
        <f>IFERROR(VLOOKUP(J445,Jueces!$A$1:$B$11,2,FALSE),"")</f>
        <v/>
      </c>
      <c r="L445" s="32" t="s">
        <v>74</v>
      </c>
      <c r="M445" s="32" t="s">
        <v>724</v>
      </c>
      <c r="N445" s="32" t="s">
        <v>2313</v>
      </c>
      <c r="O445" s="24" t="str">
        <f>IF(Q445=" _","NO","SI")</f>
        <v>NO</v>
      </c>
      <c r="P445" s="24" t="str">
        <f ca="1">IF(color_Celda(E445)=12106214,"ROSA",IF(color_Celda(E445)=65535,"AMARILLO",IF(color_Celda(E445)=5296274,"VERDE",IF(color_Celda(E445)=16777215,"BLANCO","NO SE"))))</f>
        <v>AMARILLO</v>
      </c>
      <c r="Q445" s="32" t="s">
        <v>108</v>
      </c>
      <c r="R445" s="170" t="str">
        <f>VLOOKUP($Q445,Resultados!$A$1:$B$49,2,FALSE)</f>
        <v xml:space="preserve"> _</v>
      </c>
      <c r="S445" s="32"/>
      <c r="T445" s="37"/>
      <c r="U445" s="37"/>
      <c r="V445" s="39"/>
      <c r="W445" s="39"/>
      <c r="X445" s="39"/>
      <c r="Y445" s="64"/>
      <c r="Z445" s="39"/>
      <c r="AA445" s="39"/>
      <c r="AB445" s="39"/>
      <c r="AC445" s="39"/>
      <c r="AD445" s="39"/>
      <c r="AE445" s="144"/>
      <c r="AF445" s="150"/>
      <c r="AG445" s="150"/>
      <c r="AH445" s="150"/>
      <c r="AI445" s="150"/>
      <c r="AJ445" s="128" t="s">
        <v>988</v>
      </c>
      <c r="AK445" s="136"/>
      <c r="AL445" s="151" t="s">
        <v>1627</v>
      </c>
      <c r="AM445" s="431" t="str">
        <f>VLOOKUP($Q445,Resultados!$A$1:$C$49,3,FALSE)</f>
        <v>TRAMITE</v>
      </c>
    </row>
    <row r="446" spans="1:39" customFormat="1" ht="51">
      <c r="A446" s="364">
        <v>307</v>
      </c>
      <c r="B446" s="69">
        <v>45252</v>
      </c>
      <c r="C446" s="332" t="s">
        <v>913</v>
      </c>
      <c r="D446" s="70" t="s">
        <v>914</v>
      </c>
      <c r="E446" s="92" t="s">
        <v>915</v>
      </c>
      <c r="F446" s="68">
        <v>7</v>
      </c>
      <c r="G446" s="68" t="s">
        <v>10</v>
      </c>
      <c r="H446" s="69"/>
      <c r="I446" s="69"/>
      <c r="J446" s="69"/>
      <c r="K446" s="68" t="s">
        <v>1480</v>
      </c>
      <c r="L446" s="70" t="s">
        <v>83</v>
      </c>
      <c r="M446" s="70"/>
      <c r="N446" s="68" t="s">
        <v>1342</v>
      </c>
      <c r="O446" s="137" t="str">
        <f>IF(Q446=" _","NO","SI")</f>
        <v>NO</v>
      </c>
      <c r="P446" s="24" t="str">
        <f ca="1">IF(color_Celda(E446)=12106214,"ROSA",IF(color_Celda(E446)=65535,"AMARILLO",IF(color_Celda(E446)=5296274,"VERDE",IF(color_Celda(E446)=16777215,"BLANCO","NO SE"))))</f>
        <v>AMARILLO</v>
      </c>
      <c r="Q446" s="70" t="s">
        <v>108</v>
      </c>
      <c r="R446" s="170" t="str">
        <f>VLOOKUP($Q446,Resultados!$A$1:$B$49,2,FALSE)</f>
        <v xml:space="preserve"> _</v>
      </c>
      <c r="S446" s="70"/>
      <c r="T446" s="73"/>
      <c r="U446" s="73"/>
      <c r="V446" s="68"/>
      <c r="W446" s="68"/>
      <c r="X446" s="68"/>
      <c r="Y446" s="199"/>
      <c r="Z446" s="68"/>
      <c r="AA446" s="68"/>
      <c r="AB446" s="68"/>
      <c r="AC446" s="68"/>
      <c r="AD446" s="68"/>
      <c r="AE446" s="142"/>
      <c r="AF446" s="145">
        <v>7</v>
      </c>
      <c r="AG446" s="146"/>
      <c r="AH446" s="146">
        <v>0</v>
      </c>
      <c r="AI446" s="146"/>
      <c r="AJ446" s="126" t="s">
        <v>988</v>
      </c>
      <c r="AK446" s="134"/>
      <c r="AL446" s="151" t="s">
        <v>1627</v>
      </c>
      <c r="AM446" s="431" t="str">
        <f>VLOOKUP($Q446,Resultados!$A$1:$C$49,3,FALSE)</f>
        <v>TRAMITE</v>
      </c>
    </row>
    <row r="447" spans="1:39" customFormat="1" ht="51">
      <c r="A447" s="374">
        <v>308</v>
      </c>
      <c r="B447" s="264">
        <v>45252</v>
      </c>
      <c r="C447" s="333" t="s">
        <v>111</v>
      </c>
      <c r="D447" s="265" t="s">
        <v>916</v>
      </c>
      <c r="E447" s="92" t="s">
        <v>917</v>
      </c>
      <c r="F447" s="263">
        <v>4</v>
      </c>
      <c r="G447" s="263" t="s">
        <v>325</v>
      </c>
      <c r="H447" s="264"/>
      <c r="I447" s="264"/>
      <c r="J447" s="264"/>
      <c r="K447" s="263" t="s">
        <v>1480</v>
      </c>
      <c r="L447" s="265" t="s">
        <v>2170</v>
      </c>
      <c r="M447" s="265"/>
      <c r="N447" s="263" t="s">
        <v>2641</v>
      </c>
      <c r="O447" s="266" t="str">
        <f>IF(Q447=" _","NO","SI")</f>
        <v>SI</v>
      </c>
      <c r="P447" s="24" t="str">
        <f ca="1">IF(color_Celda(E447)=12106214,"ROSA",IF(color_Celda(E447)=65535,"AMARILLO",IF(color_Celda(E447)=5296274,"VERDE",IF(color_Celda(E447)=16777215,"BLANCO","NO SE"))))</f>
        <v>AMARILLO</v>
      </c>
      <c r="Q447" s="265" t="s">
        <v>3112</v>
      </c>
      <c r="R447" s="267" t="str">
        <f>VLOOKUP($Q447,Resultados!$A$1:$B$49,2,FALSE)</f>
        <v>CON PROYECTO DE ELEVACION AL JUZGADO DE ORIGEN</v>
      </c>
      <c r="S447" s="265"/>
      <c r="T447" s="268"/>
      <c r="U447" s="268"/>
      <c r="V447" s="263"/>
      <c r="W447" s="263"/>
      <c r="X447" s="263"/>
      <c r="Y447" s="269"/>
      <c r="Z447" s="263"/>
      <c r="AA447" s="263"/>
      <c r="AB447" s="263"/>
      <c r="AC447" s="263"/>
      <c r="AD447" s="263"/>
      <c r="AE447" s="270"/>
      <c r="AF447" s="271">
        <v>7</v>
      </c>
      <c r="AG447" s="272"/>
      <c r="AH447" s="272">
        <v>0</v>
      </c>
      <c r="AI447" s="272"/>
      <c r="AJ447" s="285" t="s">
        <v>988</v>
      </c>
      <c r="AK447" s="274"/>
      <c r="AL447" s="273" t="s">
        <v>1627</v>
      </c>
      <c r="AM447" s="431" t="str">
        <f>VLOOKUP($Q447,Resultados!$A$1:$C$49,3,FALSE)</f>
        <v>PROYECTO</v>
      </c>
    </row>
    <row r="448" spans="1:39" customFormat="1" ht="51">
      <c r="A448" s="364">
        <v>310</v>
      </c>
      <c r="B448" s="69">
        <v>45252</v>
      </c>
      <c r="C448" s="332" t="s">
        <v>810</v>
      </c>
      <c r="D448" s="70" t="s">
        <v>921</v>
      </c>
      <c r="E448" s="92" t="s">
        <v>922</v>
      </c>
      <c r="F448" s="68">
        <v>7</v>
      </c>
      <c r="G448" s="68" t="s">
        <v>10</v>
      </c>
      <c r="H448" s="69"/>
      <c r="I448" s="69"/>
      <c r="J448" s="69"/>
      <c r="K448" s="68" t="s">
        <v>1480</v>
      </c>
      <c r="L448" s="70" t="s">
        <v>81</v>
      </c>
      <c r="M448" s="70" t="s">
        <v>1663</v>
      </c>
      <c r="N448" s="68" t="s">
        <v>1342</v>
      </c>
      <c r="O448" s="137" t="str">
        <f>IF(Q448=" _","NO","SI")</f>
        <v>NO</v>
      </c>
      <c r="P448" s="24" t="str">
        <f ca="1">IF(color_Celda(E448)=12106214,"ROSA",IF(color_Celda(E448)=65535,"AMARILLO",IF(color_Celda(E448)=5296274,"VERDE",IF(color_Celda(E448)=16777215,"BLANCO","NO SE"))))</f>
        <v>AMARILLO</v>
      </c>
      <c r="Q448" s="70" t="s">
        <v>108</v>
      </c>
      <c r="R448" s="170" t="str">
        <f>VLOOKUP($Q448,Resultados!$A$1:$B$49,2,FALSE)</f>
        <v xml:space="preserve"> _</v>
      </c>
      <c r="S448" s="70"/>
      <c r="T448" s="73"/>
      <c r="U448" s="73"/>
      <c r="V448" s="68"/>
      <c r="W448" s="68"/>
      <c r="X448" s="68"/>
      <c r="Y448" s="64"/>
      <c r="Z448" s="68"/>
      <c r="AA448" s="68"/>
      <c r="AB448" s="68"/>
      <c r="AC448" s="68"/>
      <c r="AD448" s="68"/>
      <c r="AE448" s="142"/>
      <c r="AF448" s="145">
        <v>7</v>
      </c>
      <c r="AG448" s="146"/>
      <c r="AH448" s="146">
        <v>0</v>
      </c>
      <c r="AI448" s="146"/>
      <c r="AJ448" s="126" t="s">
        <v>988</v>
      </c>
      <c r="AK448" s="134"/>
      <c r="AL448" s="151" t="s">
        <v>1627</v>
      </c>
      <c r="AM448" s="431" t="str">
        <f>VLOOKUP($Q448,Resultados!$A$1:$C$49,3,FALSE)</f>
        <v>TRAMITE</v>
      </c>
    </row>
    <row r="449" spans="1:39" customFormat="1" ht="204">
      <c r="A449" s="364">
        <v>312</v>
      </c>
      <c r="B449" s="69">
        <v>45252</v>
      </c>
      <c r="C449" s="332" t="s">
        <v>13</v>
      </c>
      <c r="D449" s="70" t="s">
        <v>926</v>
      </c>
      <c r="E449" s="92" t="s">
        <v>927</v>
      </c>
      <c r="F449" s="70">
        <v>7</v>
      </c>
      <c r="G449" s="68" t="s">
        <v>10</v>
      </c>
      <c r="H449" s="69"/>
      <c r="I449" s="69"/>
      <c r="J449" s="69"/>
      <c r="K449" s="68" t="s">
        <v>1480</v>
      </c>
      <c r="L449" s="70" t="s">
        <v>75</v>
      </c>
      <c r="M449" s="70" t="s">
        <v>2008</v>
      </c>
      <c r="N449" s="68" t="s">
        <v>1342</v>
      </c>
      <c r="O449" s="24" t="str">
        <f>IF(Q449=" _","NO","SI")</f>
        <v>NO</v>
      </c>
      <c r="P449" s="24" t="str">
        <f ca="1">IF(color_Celda(E449)=12106214,"ROSA",IF(color_Celda(E449)=65535,"AMARILLO",IF(color_Celda(E449)=5296274,"VERDE",IF(color_Celda(E449)=16777215,"BLANCO","NO SE"))))</f>
        <v>AMARILLO</v>
      </c>
      <c r="Q449" s="70" t="s">
        <v>108</v>
      </c>
      <c r="R449" s="170" t="str">
        <f>VLOOKUP($Q449,Resultados!$A$1:$B$49,2,FALSE)</f>
        <v xml:space="preserve"> _</v>
      </c>
      <c r="S449" s="70"/>
      <c r="T449" s="73"/>
      <c r="U449" s="73"/>
      <c r="V449" s="68"/>
      <c r="W449" s="68"/>
      <c r="X449" s="68"/>
      <c r="Y449" s="64"/>
      <c r="Z449" s="68"/>
      <c r="AA449" s="68"/>
      <c r="AB449" s="68"/>
      <c r="AC449" s="68"/>
      <c r="AD449" s="68"/>
      <c r="AE449" s="142"/>
      <c r="AF449" s="145">
        <v>7</v>
      </c>
      <c r="AG449" s="146"/>
      <c r="AH449" s="146">
        <v>0</v>
      </c>
      <c r="AI449" s="146"/>
      <c r="AJ449" s="126" t="s">
        <v>988</v>
      </c>
      <c r="AK449" s="134"/>
      <c r="AL449" s="151" t="s">
        <v>1627</v>
      </c>
      <c r="AM449" s="431" t="str">
        <f>VLOOKUP($Q449,Resultados!$A$1:$C$49,3,FALSE)</f>
        <v>TRAMITE</v>
      </c>
    </row>
    <row r="450" spans="1:39" customFormat="1" ht="165.75">
      <c r="A450" s="364">
        <v>313</v>
      </c>
      <c r="B450" s="69">
        <v>45252</v>
      </c>
      <c r="C450" s="332" t="s">
        <v>15</v>
      </c>
      <c r="D450" s="70" t="s">
        <v>928</v>
      </c>
      <c r="E450" s="92" t="s">
        <v>929</v>
      </c>
      <c r="F450" s="68">
        <v>7</v>
      </c>
      <c r="G450" s="68" t="s">
        <v>10</v>
      </c>
      <c r="H450" s="69"/>
      <c r="I450" s="69"/>
      <c r="J450" s="69"/>
      <c r="K450" s="68" t="s">
        <v>1480</v>
      </c>
      <c r="L450" s="70" t="s">
        <v>42</v>
      </c>
      <c r="M450" s="70" t="s">
        <v>1156</v>
      </c>
      <c r="N450" s="68" t="s">
        <v>2396</v>
      </c>
      <c r="O450" s="137" t="str">
        <f>IF(Q450=" _","NO","SI")</f>
        <v>NO</v>
      </c>
      <c r="P450" s="24" t="str">
        <f ca="1">IF(color_Celda(E450)=12106214,"ROSA",IF(color_Celda(E450)=65535,"AMARILLO",IF(color_Celda(E450)=5296274,"VERDE",IF(color_Celda(E450)=16777215,"BLANCO","NO SE"))))</f>
        <v>AMARILLO</v>
      </c>
      <c r="Q450" s="70" t="s">
        <v>108</v>
      </c>
      <c r="R450" s="170" t="str">
        <f>VLOOKUP($Q450,Resultados!$A$1:$B$49,2,FALSE)</f>
        <v xml:space="preserve"> _</v>
      </c>
      <c r="S450" s="70"/>
      <c r="T450" s="73"/>
      <c r="U450" s="73"/>
      <c r="V450" s="68"/>
      <c r="W450" s="68"/>
      <c r="X450" s="68"/>
      <c r="Y450" s="64"/>
      <c r="Z450" s="68"/>
      <c r="AA450" s="68"/>
      <c r="AB450" s="68"/>
      <c r="AC450" s="68"/>
      <c r="AD450" s="68"/>
      <c r="AE450" s="142"/>
      <c r="AF450" s="145">
        <v>7</v>
      </c>
      <c r="AG450" s="146"/>
      <c r="AH450" s="146">
        <v>0</v>
      </c>
      <c r="AI450" s="146"/>
      <c r="AJ450" s="126" t="s">
        <v>988</v>
      </c>
      <c r="AK450" s="134"/>
      <c r="AL450" s="151" t="s">
        <v>1627</v>
      </c>
      <c r="AM450" s="431" t="str">
        <f>VLOOKUP($Q450,Resultados!$A$1:$C$49,3,FALSE)</f>
        <v>TRAMITE</v>
      </c>
    </row>
    <row r="451" spans="1:39" customFormat="1" ht="38.25">
      <c r="A451" s="364">
        <v>314</v>
      </c>
      <c r="B451" s="69">
        <v>45252</v>
      </c>
      <c r="C451" s="332" t="s">
        <v>12</v>
      </c>
      <c r="D451" s="70" t="s">
        <v>930</v>
      </c>
      <c r="E451" s="92" t="s">
        <v>931</v>
      </c>
      <c r="F451" s="70">
        <v>6</v>
      </c>
      <c r="G451" s="68" t="s">
        <v>326</v>
      </c>
      <c r="H451" s="69"/>
      <c r="I451" s="69"/>
      <c r="J451" s="69"/>
      <c r="K451" s="68" t="s">
        <v>1480</v>
      </c>
      <c r="L451" s="70" t="s">
        <v>75</v>
      </c>
      <c r="M451" s="70" t="s">
        <v>1156</v>
      </c>
      <c r="N451" s="68" t="s">
        <v>1342</v>
      </c>
      <c r="O451" s="24" t="str">
        <f>IF(Q451=" _","NO","SI")</f>
        <v>NO</v>
      </c>
      <c r="P451" s="24" t="str">
        <f ca="1">IF(color_Celda(E451)=12106214,"ROSA",IF(color_Celda(E451)=65535,"AMARILLO",IF(color_Celda(E451)=5296274,"VERDE",IF(color_Celda(E451)=16777215,"BLANCO","NO SE"))))</f>
        <v>AMARILLO</v>
      </c>
      <c r="Q451" s="70" t="s">
        <v>108</v>
      </c>
      <c r="R451" s="170" t="str">
        <f>VLOOKUP($Q451,Resultados!$A$1:$B$49,2,FALSE)</f>
        <v xml:space="preserve"> _</v>
      </c>
      <c r="S451" s="70"/>
      <c r="T451" s="73"/>
      <c r="U451" s="73"/>
      <c r="V451" s="68"/>
      <c r="W451" s="68"/>
      <c r="X451" s="68"/>
      <c r="Y451" s="64"/>
      <c r="Z451" s="68"/>
      <c r="AA451" s="68"/>
      <c r="AB451" s="68"/>
      <c r="AC451" s="68"/>
      <c r="AD451" s="68"/>
      <c r="AE451" s="142"/>
      <c r="AF451" s="145">
        <v>7</v>
      </c>
      <c r="AG451" s="146"/>
      <c r="AH451" s="146">
        <v>0</v>
      </c>
      <c r="AI451" s="146"/>
      <c r="AJ451" s="126" t="s">
        <v>988</v>
      </c>
      <c r="AK451" s="134"/>
      <c r="AL451" s="151" t="s">
        <v>1627</v>
      </c>
      <c r="AM451" s="431" t="str">
        <f>VLOOKUP($Q451,Resultados!$A$1:$C$49,3,FALSE)</f>
        <v>TRAMITE</v>
      </c>
    </row>
    <row r="452" spans="1:39" customFormat="1" ht="63.75">
      <c r="A452" s="372">
        <v>315</v>
      </c>
      <c r="B452" s="85">
        <v>45252</v>
      </c>
      <c r="C452" s="325" t="s">
        <v>1166</v>
      </c>
      <c r="D452" s="79" t="s">
        <v>1167</v>
      </c>
      <c r="E452" s="88" t="s">
        <v>3252</v>
      </c>
      <c r="F452" s="74">
        <v>3</v>
      </c>
      <c r="G452" s="74" t="s">
        <v>1750</v>
      </c>
      <c r="H452" s="85"/>
      <c r="I452" s="85"/>
      <c r="J452" s="85"/>
      <c r="K452" s="74" t="s">
        <v>1480</v>
      </c>
      <c r="L452" s="79" t="s">
        <v>72</v>
      </c>
      <c r="M452" s="79" t="s">
        <v>47</v>
      </c>
      <c r="N452" s="74" t="s">
        <v>3298</v>
      </c>
      <c r="O452" s="24" t="str">
        <f>IF(Q452=" _","NO","SI")</f>
        <v>SI</v>
      </c>
      <c r="P452" s="24" t="str">
        <f ca="1">IF(color_Celda(E452)=12106214,"ROSA",IF(color_Celda(E452)=65535,"AMARILLO",IF(color_Celda(E452)=5296274,"VERDE",IF(color_Celda(E452)=16777215,"BLANCO","NO SE"))))</f>
        <v>ROSA</v>
      </c>
      <c r="Q452" s="79" t="s">
        <v>3306</v>
      </c>
      <c r="R452" s="4" t="str">
        <f>VLOOKUP($Q452,Resultados!$A$1:$B$49,2,FALSE)</f>
        <v>DEVUELTA CON REBELDIA</v>
      </c>
      <c r="S452" s="79"/>
      <c r="T452" s="86"/>
      <c r="U452" s="86"/>
      <c r="V452" s="74"/>
      <c r="W452" s="74"/>
      <c r="X452" s="74"/>
      <c r="Y452" s="64"/>
      <c r="Z452" s="74"/>
      <c r="AA452" s="74"/>
      <c r="AB452" s="74"/>
      <c r="AC452" s="74"/>
      <c r="AD452" s="74"/>
      <c r="AE452" s="140"/>
      <c r="AF452" s="76">
        <v>7</v>
      </c>
      <c r="AG452" s="76"/>
      <c r="AH452" s="76">
        <v>0</v>
      </c>
      <c r="AI452" s="76"/>
      <c r="AJ452" s="125" t="s">
        <v>988</v>
      </c>
      <c r="AK452" s="138"/>
      <c r="AL452" s="139" t="s">
        <v>1628</v>
      </c>
      <c r="AM452" s="431" t="str">
        <f>VLOOKUP($Q452,Resultados!$A$1:$C$49,3,FALSE)</f>
        <v>DEVUELTA</v>
      </c>
    </row>
    <row r="453" spans="1:39" customFormat="1" ht="51">
      <c r="A453" s="364">
        <v>316</v>
      </c>
      <c r="B453" s="38">
        <v>45252</v>
      </c>
      <c r="C453" s="337" t="s">
        <v>742</v>
      </c>
      <c r="D453" s="32" t="s">
        <v>2392</v>
      </c>
      <c r="E453" s="40" t="s">
        <v>2393</v>
      </c>
      <c r="F453" s="39">
        <v>7</v>
      </c>
      <c r="G453" s="32" t="s">
        <v>10</v>
      </c>
      <c r="H453" s="38"/>
      <c r="I453" s="38"/>
      <c r="J453" s="38"/>
      <c r="K453" s="39" t="str">
        <f>IFERROR(VLOOKUP(J453,Jueces!$A$1:$B$11,2,FALSE),"")</f>
        <v/>
      </c>
      <c r="L453" s="32" t="s">
        <v>2171</v>
      </c>
      <c r="M453" s="32" t="s">
        <v>261</v>
      </c>
      <c r="N453" s="32" t="s">
        <v>2394</v>
      </c>
      <c r="O453" s="24" t="str">
        <f>IF(Q453=" _","NO","SI")</f>
        <v>NO</v>
      </c>
      <c r="P453" s="24" t="str">
        <f ca="1">IF(color_Celda(E453)=12106214,"ROSA",IF(color_Celda(E453)=65535,"AMARILLO",IF(color_Celda(E453)=5296274,"VERDE",IF(color_Celda(E453)=16777215,"BLANCO","NO SE"))))</f>
        <v>AMARILLO</v>
      </c>
      <c r="Q453" s="32" t="s">
        <v>108</v>
      </c>
      <c r="R453" s="170" t="str">
        <f>VLOOKUP($Q453,Resultados!$A$1:$B$49,2,FALSE)</f>
        <v xml:space="preserve"> _</v>
      </c>
      <c r="S453" s="32"/>
      <c r="T453" s="37"/>
      <c r="U453" s="37"/>
      <c r="V453" s="39"/>
      <c r="W453" s="39"/>
      <c r="X453" s="39"/>
      <c r="Y453" s="64"/>
      <c r="Z453" s="39"/>
      <c r="AA453" s="39"/>
      <c r="AB453" s="39"/>
      <c r="AC453" s="39"/>
      <c r="AD453" s="39"/>
      <c r="AE453" s="144"/>
      <c r="AF453" s="150"/>
      <c r="AG453" s="150"/>
      <c r="AH453" s="150"/>
      <c r="AI453" s="150"/>
      <c r="AJ453" s="128" t="s">
        <v>988</v>
      </c>
      <c r="AK453" s="136"/>
      <c r="AL453" s="151" t="s">
        <v>1627</v>
      </c>
      <c r="AM453" s="431" t="str">
        <f>VLOOKUP($Q453,Resultados!$A$1:$C$49,3,FALSE)</f>
        <v>TRAMITE</v>
      </c>
    </row>
    <row r="454" spans="1:39" customFormat="1" ht="51">
      <c r="A454" s="364">
        <v>317</v>
      </c>
      <c r="B454" s="69">
        <v>45253</v>
      </c>
      <c r="C454" s="332" t="s">
        <v>932</v>
      </c>
      <c r="D454" s="70" t="s">
        <v>933</v>
      </c>
      <c r="E454" s="92" t="s">
        <v>934</v>
      </c>
      <c r="F454" s="68">
        <v>2</v>
      </c>
      <c r="G454" s="68" t="s">
        <v>325</v>
      </c>
      <c r="H454" s="69"/>
      <c r="I454" s="69"/>
      <c r="J454" s="69"/>
      <c r="K454" s="68" t="s">
        <v>1480</v>
      </c>
      <c r="L454" s="70" t="s">
        <v>83</v>
      </c>
      <c r="M454" s="70" t="s">
        <v>1289</v>
      </c>
      <c r="N454" s="68" t="s">
        <v>1342</v>
      </c>
      <c r="O454" s="24" t="str">
        <f>IF(Q454=" _","NO","SI")</f>
        <v>NO</v>
      </c>
      <c r="P454" s="24" t="str">
        <f ca="1">IF(color_Celda(E454)=12106214,"ROSA",IF(color_Celda(E454)=65535,"AMARILLO",IF(color_Celda(E454)=5296274,"VERDE",IF(color_Celda(E454)=16777215,"BLANCO","NO SE"))))</f>
        <v>AMARILLO</v>
      </c>
      <c r="Q454" s="70" t="s">
        <v>108</v>
      </c>
      <c r="R454" s="170" t="str">
        <f>VLOOKUP($Q454,Resultados!$A$1:$B$49,2,FALSE)</f>
        <v xml:space="preserve"> _</v>
      </c>
      <c r="S454" s="70"/>
      <c r="T454" s="73"/>
      <c r="U454" s="73"/>
      <c r="V454" s="68"/>
      <c r="W454" s="68"/>
      <c r="X454" s="68"/>
      <c r="Y454" s="64"/>
      <c r="Z454" s="68"/>
      <c r="AA454" s="68"/>
      <c r="AB454" s="68"/>
      <c r="AC454" s="68"/>
      <c r="AD454" s="68"/>
      <c r="AE454" s="142"/>
      <c r="AF454" s="145">
        <v>7</v>
      </c>
      <c r="AG454" s="146"/>
      <c r="AH454" s="146">
        <v>0</v>
      </c>
      <c r="AI454" s="146"/>
      <c r="AJ454" s="126" t="s">
        <v>988</v>
      </c>
      <c r="AK454" s="134"/>
      <c r="AL454" s="151" t="s">
        <v>1627</v>
      </c>
      <c r="AM454" s="431" t="str">
        <f>VLOOKUP($Q454,Resultados!$A$1:$C$49,3,FALSE)</f>
        <v>TRAMITE</v>
      </c>
    </row>
    <row r="455" spans="1:39" customFormat="1" ht="38.25">
      <c r="A455" s="364">
        <v>318</v>
      </c>
      <c r="B455" s="69">
        <v>45253</v>
      </c>
      <c r="C455" s="332" t="s">
        <v>935</v>
      </c>
      <c r="D455" s="70" t="s">
        <v>936</v>
      </c>
      <c r="E455" s="92" t="s">
        <v>937</v>
      </c>
      <c r="F455" s="68">
        <v>2</v>
      </c>
      <c r="G455" s="68" t="s">
        <v>325</v>
      </c>
      <c r="H455" s="69"/>
      <c r="I455" s="69"/>
      <c r="J455" s="69"/>
      <c r="K455" s="68" t="s">
        <v>1480</v>
      </c>
      <c r="L455" s="70" t="s">
        <v>80</v>
      </c>
      <c r="M455" s="70" t="s">
        <v>122</v>
      </c>
      <c r="N455" s="68" t="s">
        <v>2271</v>
      </c>
      <c r="O455" s="24" t="str">
        <f>IF(Q455=" _","NO","SI")</f>
        <v>NO</v>
      </c>
      <c r="P455" s="24" t="str">
        <f ca="1">IF(color_Celda(E455)=12106214,"ROSA",IF(color_Celda(E455)=65535,"AMARILLO",IF(color_Celda(E455)=5296274,"VERDE",IF(color_Celda(E455)=16777215,"BLANCO","NO SE"))))</f>
        <v>AMARILLO</v>
      </c>
      <c r="Q455" s="70" t="s">
        <v>108</v>
      </c>
      <c r="R455" s="170" t="str">
        <f>VLOOKUP($Q455,Resultados!$A$1:$B$49,2,FALSE)</f>
        <v xml:space="preserve"> _</v>
      </c>
      <c r="S455" s="70"/>
      <c r="T455" s="73"/>
      <c r="U455" s="73"/>
      <c r="V455" s="68"/>
      <c r="W455" s="68"/>
      <c r="X455" s="68"/>
      <c r="Y455" s="64"/>
      <c r="Z455" s="68"/>
      <c r="AA455" s="68"/>
      <c r="AB455" s="68"/>
      <c r="AC455" s="68"/>
      <c r="AD455" s="68"/>
      <c r="AE455" s="142"/>
      <c r="AF455" s="145">
        <v>7</v>
      </c>
      <c r="AG455" s="146"/>
      <c r="AH455" s="146">
        <v>0</v>
      </c>
      <c r="AI455" s="146"/>
      <c r="AJ455" s="126" t="s">
        <v>988</v>
      </c>
      <c r="AK455" s="134"/>
      <c r="AL455" s="151" t="s">
        <v>1627</v>
      </c>
      <c r="AM455" s="431" t="str">
        <f>VLOOKUP($Q455,Resultados!$A$1:$C$49,3,FALSE)</f>
        <v>TRAMITE</v>
      </c>
    </row>
    <row r="456" spans="1:39" customFormat="1" ht="76.5">
      <c r="A456" s="364">
        <v>319</v>
      </c>
      <c r="B456" s="69">
        <v>45253</v>
      </c>
      <c r="C456" s="332" t="s">
        <v>12</v>
      </c>
      <c r="D456" s="70" t="s">
        <v>938</v>
      </c>
      <c r="E456" s="92" t="s">
        <v>939</v>
      </c>
      <c r="F456" s="68">
        <v>7</v>
      </c>
      <c r="G456" s="68" t="s">
        <v>10</v>
      </c>
      <c r="H456" s="69"/>
      <c r="I456" s="69"/>
      <c r="J456" s="69"/>
      <c r="K456" s="68" t="s">
        <v>1480</v>
      </c>
      <c r="L456" s="70" t="s">
        <v>79</v>
      </c>
      <c r="M456" s="70" t="s">
        <v>47</v>
      </c>
      <c r="N456" s="68" t="s">
        <v>1342</v>
      </c>
      <c r="O456" s="137" t="str">
        <f>IF(Q456=" _","NO","SI")</f>
        <v>NO</v>
      </c>
      <c r="P456" s="24" t="str">
        <f ca="1">IF(color_Celda(E456)=12106214,"ROSA",IF(color_Celda(E456)=65535,"AMARILLO",IF(color_Celda(E456)=5296274,"VERDE",IF(color_Celda(E456)=16777215,"BLANCO","NO SE"))))</f>
        <v>AMARILLO</v>
      </c>
      <c r="Q456" s="70" t="s">
        <v>108</v>
      </c>
      <c r="R456" s="170" t="str">
        <f>VLOOKUP($Q456,Resultados!$A$1:$B$49,2,FALSE)</f>
        <v xml:space="preserve"> _</v>
      </c>
      <c r="S456" s="70"/>
      <c r="T456" s="73"/>
      <c r="U456" s="73"/>
      <c r="V456" s="68"/>
      <c r="W456" s="68"/>
      <c r="X456" s="68"/>
      <c r="Y456" s="64"/>
      <c r="Z456" s="68"/>
      <c r="AA456" s="68"/>
      <c r="AB456" s="68"/>
      <c r="AC456" s="68"/>
      <c r="AD456" s="68"/>
      <c r="AE456" s="142"/>
      <c r="AF456" s="145">
        <v>7</v>
      </c>
      <c r="AG456" s="146"/>
      <c r="AH456" s="146">
        <v>0</v>
      </c>
      <c r="AI456" s="146"/>
      <c r="AJ456" s="126" t="s">
        <v>988</v>
      </c>
      <c r="AK456" s="134"/>
      <c r="AL456" s="151" t="s">
        <v>1627</v>
      </c>
      <c r="AM456" s="431" t="str">
        <f>VLOOKUP($Q456,Resultados!$A$1:$C$49,3,FALSE)</f>
        <v>TRAMITE</v>
      </c>
    </row>
    <row r="457" spans="1:39" customFormat="1" ht="63.75">
      <c r="A457" s="364">
        <v>320</v>
      </c>
      <c r="B457" s="69">
        <v>45253</v>
      </c>
      <c r="C457" s="332" t="s">
        <v>12</v>
      </c>
      <c r="D457" s="70" t="s">
        <v>940</v>
      </c>
      <c r="E457" s="92" t="s">
        <v>941</v>
      </c>
      <c r="F457" s="68">
        <v>7</v>
      </c>
      <c r="G457" s="68" t="s">
        <v>10</v>
      </c>
      <c r="H457" s="69"/>
      <c r="I457" s="69"/>
      <c r="J457" s="69"/>
      <c r="K457" s="68" t="s">
        <v>1480</v>
      </c>
      <c r="L457" s="70" t="s">
        <v>84</v>
      </c>
      <c r="M457" s="70" t="s">
        <v>67</v>
      </c>
      <c r="N457" s="68" t="s">
        <v>1342</v>
      </c>
      <c r="O457" s="137" t="str">
        <f>IF(Q457=" _","NO","SI")</f>
        <v>NO</v>
      </c>
      <c r="P457" s="24" t="str">
        <f ca="1">IF(color_Celda(E457)=12106214,"ROSA",IF(color_Celda(E457)=65535,"AMARILLO",IF(color_Celda(E457)=5296274,"VERDE",IF(color_Celda(E457)=16777215,"BLANCO","NO SE"))))</f>
        <v>AMARILLO</v>
      </c>
      <c r="Q457" s="70" t="s">
        <v>108</v>
      </c>
      <c r="R457" s="170" t="str">
        <f>VLOOKUP($Q457,Resultados!$A$1:$B$49,2,FALSE)</f>
        <v xml:space="preserve"> _</v>
      </c>
      <c r="S457" s="70"/>
      <c r="T457" s="73"/>
      <c r="U457" s="73"/>
      <c r="V457" s="68"/>
      <c r="W457" s="68"/>
      <c r="X457" s="68"/>
      <c r="Y457" s="64"/>
      <c r="Z457" s="68"/>
      <c r="AA457" s="68"/>
      <c r="AB457" s="68"/>
      <c r="AC457" s="68"/>
      <c r="AD457" s="68"/>
      <c r="AE457" s="142"/>
      <c r="AF457" s="145">
        <v>7</v>
      </c>
      <c r="AG457" s="146"/>
      <c r="AH457" s="146">
        <v>0</v>
      </c>
      <c r="AI457" s="146"/>
      <c r="AJ457" s="126" t="s">
        <v>988</v>
      </c>
      <c r="AK457" s="134"/>
      <c r="AL457" s="151" t="s">
        <v>1627</v>
      </c>
      <c r="AM457" s="431" t="str">
        <f>VLOOKUP($Q457,Resultados!$A$1:$C$49,3,FALSE)</f>
        <v>TRAMITE</v>
      </c>
    </row>
    <row r="458" spans="1:39" customFormat="1" ht="102">
      <c r="A458" s="364">
        <v>321</v>
      </c>
      <c r="B458" s="69">
        <v>45253</v>
      </c>
      <c r="C458" s="332" t="s">
        <v>12</v>
      </c>
      <c r="D458" s="70" t="s">
        <v>942</v>
      </c>
      <c r="E458" s="92" t="s">
        <v>943</v>
      </c>
      <c r="F458" s="68">
        <v>7</v>
      </c>
      <c r="G458" s="68" t="s">
        <v>10</v>
      </c>
      <c r="H458" s="69"/>
      <c r="I458" s="69"/>
      <c r="J458" s="69"/>
      <c r="K458" s="68" t="s">
        <v>1480</v>
      </c>
      <c r="L458" s="70" t="s">
        <v>74</v>
      </c>
      <c r="M458" s="70" t="s">
        <v>1156</v>
      </c>
      <c r="N458" s="68" t="s">
        <v>2485</v>
      </c>
      <c r="O458" s="137" t="str">
        <f>IF(Q458=" _","NO","SI")</f>
        <v>NO</v>
      </c>
      <c r="P458" s="24" t="str">
        <f ca="1">IF(color_Celda(E458)=12106214,"ROSA",IF(color_Celda(E458)=65535,"AMARILLO",IF(color_Celda(E458)=5296274,"VERDE",IF(color_Celda(E458)=16777215,"BLANCO","NO SE"))))</f>
        <v>AMARILLO</v>
      </c>
      <c r="Q458" s="70" t="s">
        <v>108</v>
      </c>
      <c r="R458" s="170" t="str">
        <f>VLOOKUP($Q458,Resultados!$A$1:$B$49,2,FALSE)</f>
        <v xml:space="preserve"> _</v>
      </c>
      <c r="S458" s="70"/>
      <c r="T458" s="73"/>
      <c r="U458" s="73"/>
      <c r="V458" s="68"/>
      <c r="W458" s="68"/>
      <c r="X458" s="68"/>
      <c r="Y458" s="199"/>
      <c r="Z458" s="68"/>
      <c r="AA458" s="68"/>
      <c r="AB458" s="68"/>
      <c r="AC458" s="68"/>
      <c r="AD458" s="68"/>
      <c r="AE458" s="142"/>
      <c r="AF458" s="145">
        <v>7</v>
      </c>
      <c r="AG458" s="146"/>
      <c r="AH458" s="146">
        <v>0</v>
      </c>
      <c r="AI458" s="146"/>
      <c r="AJ458" s="126" t="s">
        <v>988</v>
      </c>
      <c r="AK458" s="134"/>
      <c r="AL458" s="151" t="s">
        <v>1627</v>
      </c>
      <c r="AM458" s="431" t="str">
        <f>VLOOKUP($Q458,Resultados!$A$1:$C$49,3,FALSE)</f>
        <v>TRAMITE</v>
      </c>
    </row>
    <row r="459" spans="1:39" customFormat="1" ht="38.25">
      <c r="A459" s="364">
        <v>322</v>
      </c>
      <c r="B459" s="69">
        <v>45253</v>
      </c>
      <c r="C459" s="332" t="s">
        <v>944</v>
      </c>
      <c r="D459" s="70" t="s">
        <v>945</v>
      </c>
      <c r="E459" s="92" t="s">
        <v>946</v>
      </c>
      <c r="F459" s="68">
        <v>2</v>
      </c>
      <c r="G459" s="68" t="s">
        <v>325</v>
      </c>
      <c r="H459" s="69"/>
      <c r="I459" s="69"/>
      <c r="J459" s="69"/>
      <c r="K459" s="68" t="s">
        <v>1480</v>
      </c>
      <c r="L459" s="70" t="s">
        <v>86</v>
      </c>
      <c r="M459" s="70" t="s">
        <v>2336</v>
      </c>
      <c r="N459" s="68" t="s">
        <v>2271</v>
      </c>
      <c r="O459" s="24" t="str">
        <f>IF(Q459=" _","NO","SI")</f>
        <v>NO</v>
      </c>
      <c r="P459" s="24" t="str">
        <f ca="1">IF(color_Celda(E459)=12106214,"ROSA",IF(color_Celda(E459)=65535,"AMARILLO",IF(color_Celda(E459)=5296274,"VERDE",IF(color_Celda(E459)=16777215,"BLANCO","NO SE"))))</f>
        <v>AMARILLO</v>
      </c>
      <c r="Q459" s="70" t="s">
        <v>108</v>
      </c>
      <c r="R459" s="170" t="str">
        <f>VLOOKUP($Q459,Resultados!$A$1:$B$49,2,FALSE)</f>
        <v xml:space="preserve"> _</v>
      </c>
      <c r="S459" s="70"/>
      <c r="T459" s="73"/>
      <c r="U459" s="73"/>
      <c r="V459" s="68"/>
      <c r="W459" s="68"/>
      <c r="X459" s="68"/>
      <c r="Y459" s="64"/>
      <c r="Z459" s="68"/>
      <c r="AA459" s="68"/>
      <c r="AB459" s="68"/>
      <c r="AC459" s="68"/>
      <c r="AD459" s="68"/>
      <c r="AE459" s="142"/>
      <c r="AF459" s="145">
        <v>7</v>
      </c>
      <c r="AG459" s="146"/>
      <c r="AH459" s="146">
        <v>0</v>
      </c>
      <c r="AI459" s="146"/>
      <c r="AJ459" s="126" t="s">
        <v>988</v>
      </c>
      <c r="AK459" s="134"/>
      <c r="AL459" s="151" t="s">
        <v>1627</v>
      </c>
      <c r="AM459" s="431" t="str">
        <f>VLOOKUP($Q459,Resultados!$A$1:$C$49,3,FALSE)</f>
        <v>TRAMITE</v>
      </c>
    </row>
    <row r="460" spans="1:39" customFormat="1" ht="51">
      <c r="A460" s="364">
        <v>323</v>
      </c>
      <c r="B460" s="69">
        <v>45253</v>
      </c>
      <c r="C460" s="332" t="s">
        <v>923</v>
      </c>
      <c r="D460" s="70" t="s">
        <v>953</v>
      </c>
      <c r="E460" s="92" t="s">
        <v>954</v>
      </c>
      <c r="F460" s="68">
        <v>2</v>
      </c>
      <c r="G460" s="68" t="s">
        <v>325</v>
      </c>
      <c r="H460" s="69"/>
      <c r="I460" s="69"/>
      <c r="J460" s="69"/>
      <c r="K460" s="68" t="s">
        <v>1480</v>
      </c>
      <c r="L460" s="70" t="s">
        <v>86</v>
      </c>
      <c r="M460" s="70" t="s">
        <v>59</v>
      </c>
      <c r="N460" s="68" t="s">
        <v>2315</v>
      </c>
      <c r="O460" s="24" t="str">
        <f>IF(Q460=" _","NO","SI")</f>
        <v>NO</v>
      </c>
      <c r="P460" s="24" t="str">
        <f ca="1">IF(color_Celda(E460)=12106214,"ROSA",IF(color_Celda(E460)=65535,"AMARILLO",IF(color_Celda(E460)=5296274,"VERDE",IF(color_Celda(E460)=16777215,"BLANCO","NO SE"))))</f>
        <v>AMARILLO</v>
      </c>
      <c r="Q460" s="70" t="s">
        <v>108</v>
      </c>
      <c r="R460" s="170" t="str">
        <f>VLOOKUP($Q460,Resultados!$A$1:$B$49,2,FALSE)</f>
        <v xml:space="preserve"> _</v>
      </c>
      <c r="S460" s="70"/>
      <c r="T460" s="73"/>
      <c r="U460" s="73"/>
      <c r="V460" s="68"/>
      <c r="W460" s="68"/>
      <c r="X460" s="68"/>
      <c r="Y460" s="64"/>
      <c r="Z460" s="68"/>
      <c r="AA460" s="68"/>
      <c r="AB460" s="68"/>
      <c r="AC460" s="68"/>
      <c r="AD460" s="68"/>
      <c r="AE460" s="142"/>
      <c r="AF460" s="145">
        <v>7</v>
      </c>
      <c r="AG460" s="146"/>
      <c r="AH460" s="146">
        <v>0</v>
      </c>
      <c r="AI460" s="146"/>
      <c r="AJ460" s="126" t="s">
        <v>988</v>
      </c>
      <c r="AK460" s="134"/>
      <c r="AL460" s="151" t="s">
        <v>1627</v>
      </c>
      <c r="AM460" s="431" t="str">
        <f>VLOOKUP($Q460,Resultados!$A$1:$C$49,3,FALSE)</f>
        <v>TRAMITE</v>
      </c>
    </row>
    <row r="461" spans="1:39" customFormat="1" ht="25.5">
      <c r="A461" s="364">
        <v>325</v>
      </c>
      <c r="B461" s="72">
        <v>45253</v>
      </c>
      <c r="C461" s="332" t="s">
        <v>958</v>
      </c>
      <c r="D461" s="70" t="s">
        <v>959</v>
      </c>
      <c r="E461" s="92" t="s">
        <v>960</v>
      </c>
      <c r="F461" s="68">
        <v>2</v>
      </c>
      <c r="G461" s="68" t="s">
        <v>325</v>
      </c>
      <c r="H461" s="69"/>
      <c r="I461" s="69"/>
      <c r="J461" s="69"/>
      <c r="K461" s="68" t="s">
        <v>1480</v>
      </c>
      <c r="L461" s="70" t="s">
        <v>74</v>
      </c>
      <c r="M461" s="70" t="s">
        <v>961</v>
      </c>
      <c r="N461" s="68" t="s">
        <v>2271</v>
      </c>
      <c r="O461" s="24" t="str">
        <f>IF(Q461=" _","NO","SI")</f>
        <v>NO</v>
      </c>
      <c r="P461" s="24" t="str">
        <f ca="1">IF(color_Celda(E461)=12106214,"ROSA",IF(color_Celda(E461)=65535,"AMARILLO",IF(color_Celda(E461)=5296274,"VERDE",IF(color_Celda(E461)=16777215,"BLANCO","NO SE"))))</f>
        <v>AMARILLO</v>
      </c>
      <c r="Q461" s="70" t="s">
        <v>108</v>
      </c>
      <c r="R461" s="170" t="str">
        <f>VLOOKUP($Q461,Resultados!$A$1:$B$49,2,FALSE)</f>
        <v xml:space="preserve"> _</v>
      </c>
      <c r="S461" s="70"/>
      <c r="T461" s="73"/>
      <c r="U461" s="73"/>
      <c r="V461" s="68"/>
      <c r="W461" s="68"/>
      <c r="X461" s="68"/>
      <c r="Y461" s="64"/>
      <c r="Z461" s="68"/>
      <c r="AA461" s="68"/>
      <c r="AB461" s="68"/>
      <c r="AC461" s="68"/>
      <c r="AD461" s="68"/>
      <c r="AE461" s="142"/>
      <c r="AF461" s="145">
        <v>7</v>
      </c>
      <c r="AG461" s="146"/>
      <c r="AH461" s="146">
        <v>0</v>
      </c>
      <c r="AI461" s="146"/>
      <c r="AJ461" s="126" t="s">
        <v>988</v>
      </c>
      <c r="AK461" s="134"/>
      <c r="AL461" s="151" t="s">
        <v>1627</v>
      </c>
      <c r="AM461" s="431" t="str">
        <f>VLOOKUP($Q461,Resultados!$A$1:$C$49,3,FALSE)</f>
        <v>TRAMITE</v>
      </c>
    </row>
    <row r="462" spans="1:39" customFormat="1" ht="63.75">
      <c r="A462" s="364">
        <v>328</v>
      </c>
      <c r="B462" s="38">
        <v>45253</v>
      </c>
      <c r="C462" s="331">
        <v>0.34722222222222227</v>
      </c>
      <c r="D462" s="32" t="s">
        <v>1636</v>
      </c>
      <c r="E462" s="40" t="s">
        <v>1637</v>
      </c>
      <c r="F462" s="39">
        <v>3</v>
      </c>
      <c r="G462" s="39" t="s">
        <v>1370</v>
      </c>
      <c r="H462" s="38"/>
      <c r="I462" s="38"/>
      <c r="J462" s="38"/>
      <c r="K462" s="39" t="str">
        <f>IFERROR(VLOOKUP(J462,Jueces!$A$1:$B$11,2,FALSE),"")</f>
        <v/>
      </c>
      <c r="L462" s="32" t="s">
        <v>75</v>
      </c>
      <c r="M462" s="32" t="s">
        <v>90</v>
      </c>
      <c r="N462" s="32" t="s">
        <v>1638</v>
      </c>
      <c r="O462" s="24" t="str">
        <f>IF(Q462=" _","NO","SI")</f>
        <v>NO</v>
      </c>
      <c r="P462" s="24" t="str">
        <f ca="1">IF(color_Celda(E462)=12106214,"ROSA",IF(color_Celda(E462)=65535,"AMARILLO",IF(color_Celda(E462)=5296274,"VERDE",IF(color_Celda(E462)=16777215,"BLANCO","NO SE"))))</f>
        <v>AMARILLO</v>
      </c>
      <c r="Q462" s="32" t="s">
        <v>108</v>
      </c>
      <c r="R462" s="170" t="str">
        <f>VLOOKUP($Q462,Resultados!$A$1:$B$49,2,FALSE)</f>
        <v xml:space="preserve"> _</v>
      </c>
      <c r="S462" s="32"/>
      <c r="T462" s="37"/>
      <c r="U462" s="37"/>
      <c r="V462" s="39"/>
      <c r="W462" s="39"/>
      <c r="X462" s="39"/>
      <c r="Y462" s="64"/>
      <c r="Z462" s="39"/>
      <c r="AA462" s="39"/>
      <c r="AB462" s="39"/>
      <c r="AC462" s="39"/>
      <c r="AD462" s="39"/>
      <c r="AE462" s="144"/>
      <c r="AF462" s="150"/>
      <c r="AG462" s="150"/>
      <c r="AH462" s="150"/>
      <c r="AI462" s="150"/>
      <c r="AJ462" s="128" t="s">
        <v>988</v>
      </c>
      <c r="AK462" s="136"/>
      <c r="AL462" s="151" t="s">
        <v>1627</v>
      </c>
      <c r="AM462" s="431" t="str">
        <f>VLOOKUP($Q462,Resultados!$A$1:$C$49,3,FALSE)</f>
        <v>TRAMITE</v>
      </c>
    </row>
    <row r="463" spans="1:39" customFormat="1" ht="102">
      <c r="A463" s="364">
        <v>329</v>
      </c>
      <c r="B463" s="38">
        <v>45253</v>
      </c>
      <c r="C463" s="331">
        <v>0.4375</v>
      </c>
      <c r="D463" s="32" t="s">
        <v>1685</v>
      </c>
      <c r="E463" s="40" t="s">
        <v>1686</v>
      </c>
      <c r="F463" s="39">
        <v>3</v>
      </c>
      <c r="G463" s="39" t="s">
        <v>1370</v>
      </c>
      <c r="H463" s="38"/>
      <c r="I463" s="38"/>
      <c r="J463" s="38"/>
      <c r="K463" s="39" t="str">
        <f>IFERROR(VLOOKUP(J463,Jueces!$A$1:$B$11,2,FALSE),"")</f>
        <v/>
      </c>
      <c r="L463" s="32" t="s">
        <v>25</v>
      </c>
      <c r="M463" s="32" t="s">
        <v>1156</v>
      </c>
      <c r="N463" s="32" t="s">
        <v>1687</v>
      </c>
      <c r="O463" s="24" t="str">
        <f>IF(Q463=" _","NO","SI")</f>
        <v>NO</v>
      </c>
      <c r="P463" s="24" t="str">
        <f ca="1">IF(color_Celda(E463)=12106214,"ROSA",IF(color_Celda(E463)=65535,"AMARILLO",IF(color_Celda(E463)=5296274,"VERDE",IF(color_Celda(E463)=16777215,"BLANCO","NO SE"))))</f>
        <v>AMARILLO</v>
      </c>
      <c r="Q463" s="32" t="s">
        <v>108</v>
      </c>
      <c r="R463" s="170" t="str">
        <f>VLOOKUP($Q463,Resultados!$A$1:$B$49,2,FALSE)</f>
        <v xml:space="preserve"> _</v>
      </c>
      <c r="S463" s="32"/>
      <c r="T463" s="37"/>
      <c r="U463" s="37"/>
      <c r="V463" s="39"/>
      <c r="W463" s="39"/>
      <c r="X463" s="39"/>
      <c r="Y463" s="64"/>
      <c r="Z463" s="39"/>
      <c r="AA463" s="39"/>
      <c r="AB463" s="39"/>
      <c r="AC463" s="39"/>
      <c r="AD463" s="39"/>
      <c r="AE463" s="144"/>
      <c r="AF463" s="150"/>
      <c r="AG463" s="150"/>
      <c r="AH463" s="150"/>
      <c r="AI463" s="150"/>
      <c r="AJ463" s="128" t="s">
        <v>988</v>
      </c>
      <c r="AK463" s="136"/>
      <c r="AL463" s="151" t="s">
        <v>1627</v>
      </c>
      <c r="AM463" s="431" t="str">
        <f>VLOOKUP($Q463,Resultados!$A$1:$C$49,3,FALSE)</f>
        <v>TRAMITE</v>
      </c>
    </row>
    <row r="464" spans="1:39" customFormat="1" ht="76.5">
      <c r="A464" s="364">
        <v>330</v>
      </c>
      <c r="B464" s="69">
        <v>45254</v>
      </c>
      <c r="C464" s="332" t="s">
        <v>12</v>
      </c>
      <c r="D464" s="70" t="s">
        <v>947</v>
      </c>
      <c r="E464" s="92" t="s">
        <v>948</v>
      </c>
      <c r="F464" s="68">
        <v>2</v>
      </c>
      <c r="G464" s="68" t="s">
        <v>325</v>
      </c>
      <c r="H464" s="69"/>
      <c r="I464" s="69"/>
      <c r="J464" s="69"/>
      <c r="K464" s="68" t="s">
        <v>1480</v>
      </c>
      <c r="L464" s="70" t="s">
        <v>82</v>
      </c>
      <c r="M464" s="70" t="s">
        <v>261</v>
      </c>
      <c r="N464" s="101" t="s">
        <v>1358</v>
      </c>
      <c r="O464" s="24" t="str">
        <f>IF(Q464=" _","NO","SI")</f>
        <v>NO</v>
      </c>
      <c r="P464" s="24" t="str">
        <f ca="1">IF(color_Celda(E464)=12106214,"ROSA",IF(color_Celda(E464)=65535,"AMARILLO",IF(color_Celda(E464)=5296274,"VERDE",IF(color_Celda(E464)=16777215,"BLANCO","NO SE"))))</f>
        <v>AMARILLO</v>
      </c>
      <c r="Q464" s="70" t="s">
        <v>108</v>
      </c>
      <c r="R464" s="170" t="str">
        <f>VLOOKUP($Q464,Resultados!$A$1:$B$49,2,FALSE)</f>
        <v xml:space="preserve"> _</v>
      </c>
      <c r="S464" s="70"/>
      <c r="T464" s="73"/>
      <c r="U464" s="73"/>
      <c r="V464" s="68"/>
      <c r="W464" s="68"/>
      <c r="X464" s="68"/>
      <c r="Y464" s="64"/>
      <c r="Z464" s="68"/>
      <c r="AA464" s="68"/>
      <c r="AB464" s="68"/>
      <c r="AC464" s="68"/>
      <c r="AD464" s="68"/>
      <c r="AE464" s="142"/>
      <c r="AF464" s="145">
        <v>7</v>
      </c>
      <c r="AG464" s="146"/>
      <c r="AH464" s="146">
        <v>0</v>
      </c>
      <c r="AI464" s="146"/>
      <c r="AJ464" s="126" t="s">
        <v>988</v>
      </c>
      <c r="AK464" s="132"/>
      <c r="AL464" s="151" t="s">
        <v>1627</v>
      </c>
      <c r="AM464" s="431" t="str">
        <f>VLOOKUP($Q464,Resultados!$A$1:$C$49,3,FALSE)</f>
        <v>TRAMITE</v>
      </c>
    </row>
    <row r="465" spans="1:39" customFormat="1" ht="191.25">
      <c r="A465" s="373">
        <v>331</v>
      </c>
      <c r="B465" s="100">
        <v>45254</v>
      </c>
      <c r="C465" s="336" t="s">
        <v>12</v>
      </c>
      <c r="D465" s="96" t="s">
        <v>949</v>
      </c>
      <c r="E465" s="98" t="s">
        <v>950</v>
      </c>
      <c r="F465" s="107">
        <v>1</v>
      </c>
      <c r="G465" s="107" t="s">
        <v>326</v>
      </c>
      <c r="H465" s="100"/>
      <c r="I465" s="100"/>
      <c r="J465" s="100"/>
      <c r="K465" s="107" t="s">
        <v>1480</v>
      </c>
      <c r="L465" s="96" t="s">
        <v>82</v>
      </c>
      <c r="M465" s="96"/>
      <c r="N465" s="107"/>
      <c r="O465" s="24" t="str">
        <f>IF(Q465=" _","NO","SI")</f>
        <v>SI</v>
      </c>
      <c r="P465" s="24" t="str">
        <f ca="1">IF(color_Celda(E465)=12106214,"ROSA",IF(color_Celda(E465)=65535,"AMARILLO",IF(color_Celda(E465)=5296274,"VERDE",IF(color_Celda(E465)=16777215,"BLANCO","NO SE"))))</f>
        <v>VERDE</v>
      </c>
      <c r="Q465" s="96" t="s">
        <v>3313</v>
      </c>
      <c r="R465" s="176" t="str">
        <f>VLOOKUP($Q465,Resultados!$A$1:$B$49,2,FALSE)</f>
        <v>VERDE</v>
      </c>
      <c r="S465" s="96"/>
      <c r="T465" s="99"/>
      <c r="U465" s="99"/>
      <c r="V465" s="107"/>
      <c r="W465" s="107"/>
      <c r="X465" s="107"/>
      <c r="Y465" s="64"/>
      <c r="Z465" s="107"/>
      <c r="AA465" s="107"/>
      <c r="AB465" s="107"/>
      <c r="AC465" s="107"/>
      <c r="AD465" s="107"/>
      <c r="AE465" s="143"/>
      <c r="AF465" s="145">
        <v>7</v>
      </c>
      <c r="AG465" s="118"/>
      <c r="AH465" s="118">
        <v>0</v>
      </c>
      <c r="AI465" s="118"/>
      <c r="AJ465" s="361" t="s">
        <v>988</v>
      </c>
      <c r="AK465" s="131"/>
      <c r="AL465" s="129" t="s">
        <v>1627</v>
      </c>
      <c r="AM465" s="431" t="str">
        <f>VLOOKUP($Q465,Resultados!$A$1:$C$49,3,FALSE)</f>
        <v>NO LLEGO</v>
      </c>
    </row>
    <row r="466" spans="1:39" customFormat="1" ht="38.25">
      <c r="A466" s="364">
        <v>332</v>
      </c>
      <c r="B466" s="69">
        <v>45254</v>
      </c>
      <c r="C466" s="332" t="s">
        <v>12</v>
      </c>
      <c r="D466" s="70" t="s">
        <v>951</v>
      </c>
      <c r="E466" s="92" t="s">
        <v>952</v>
      </c>
      <c r="F466" s="68">
        <v>2</v>
      </c>
      <c r="G466" s="68" t="s">
        <v>325</v>
      </c>
      <c r="H466" s="69"/>
      <c r="I466" s="69"/>
      <c r="J466" s="69"/>
      <c r="K466" s="68" t="s">
        <v>1480</v>
      </c>
      <c r="L466" s="70" t="s">
        <v>83</v>
      </c>
      <c r="M466" s="70" t="s">
        <v>1067</v>
      </c>
      <c r="N466" s="68"/>
      <c r="O466" s="24" t="str">
        <f>IF(Q466=" _","NO","SI")</f>
        <v>NO</v>
      </c>
      <c r="P466" s="24" t="str">
        <f ca="1">IF(color_Celda(E466)=12106214,"ROSA",IF(color_Celda(E466)=65535,"AMARILLO",IF(color_Celda(E466)=5296274,"VERDE",IF(color_Celda(E466)=16777215,"BLANCO","NO SE"))))</f>
        <v>AMARILLO</v>
      </c>
      <c r="Q466" s="70" t="s">
        <v>108</v>
      </c>
      <c r="R466" s="170" t="str">
        <f>VLOOKUP($Q466,Resultados!$A$1:$B$49,2,FALSE)</f>
        <v xml:space="preserve"> _</v>
      </c>
      <c r="S466" s="70"/>
      <c r="T466" s="73"/>
      <c r="U466" s="73"/>
      <c r="V466" s="68"/>
      <c r="W466" s="68"/>
      <c r="X466" s="68"/>
      <c r="Y466" s="64"/>
      <c r="Z466" s="68"/>
      <c r="AA466" s="68"/>
      <c r="AB466" s="68"/>
      <c r="AC466" s="68"/>
      <c r="AD466" s="68"/>
      <c r="AE466" s="142"/>
      <c r="AF466" s="145">
        <v>7</v>
      </c>
      <c r="AG466" s="146"/>
      <c r="AH466" s="146">
        <v>0</v>
      </c>
      <c r="AI466" s="146"/>
      <c r="AJ466" s="126" t="s">
        <v>988</v>
      </c>
      <c r="AK466" s="134"/>
      <c r="AL466" s="151" t="s">
        <v>1627</v>
      </c>
      <c r="AM466" s="431" t="str">
        <f>VLOOKUP($Q466,Resultados!$A$1:$C$49,3,FALSE)</f>
        <v>TRAMITE</v>
      </c>
    </row>
    <row r="467" spans="1:39" customFormat="1" ht="165.75">
      <c r="A467" s="364">
        <v>334</v>
      </c>
      <c r="B467" s="69">
        <v>45254</v>
      </c>
      <c r="C467" s="332" t="s">
        <v>964</v>
      </c>
      <c r="D467" s="70" t="s">
        <v>965</v>
      </c>
      <c r="E467" s="92" t="s">
        <v>966</v>
      </c>
      <c r="F467" s="68">
        <v>6</v>
      </c>
      <c r="G467" s="68" t="s">
        <v>326</v>
      </c>
      <c r="H467" s="69"/>
      <c r="I467" s="69"/>
      <c r="J467" s="69"/>
      <c r="K467" s="68" t="s">
        <v>1480</v>
      </c>
      <c r="L467" s="70" t="s">
        <v>42</v>
      </c>
      <c r="M467" s="70" t="s">
        <v>967</v>
      </c>
      <c r="N467" s="70" t="s">
        <v>2791</v>
      </c>
      <c r="O467" s="24" t="str">
        <f>IF(Q467=" _","NO","SI")</f>
        <v>NO</v>
      </c>
      <c r="P467" s="24" t="str">
        <f ca="1">IF(color_Celda(E467)=12106214,"ROSA",IF(color_Celda(E467)=65535,"AMARILLO",IF(color_Celda(E467)=5296274,"VERDE",IF(color_Celda(E467)=16777215,"BLANCO","NO SE"))))</f>
        <v>AMARILLO</v>
      </c>
      <c r="Q467" s="70" t="s">
        <v>108</v>
      </c>
      <c r="R467" s="170" t="str">
        <f>VLOOKUP($Q467,Resultados!$A$1:$B$49,2,FALSE)</f>
        <v xml:space="preserve"> _</v>
      </c>
      <c r="S467" s="70"/>
      <c r="T467" s="73"/>
      <c r="U467" s="73"/>
      <c r="V467" s="68"/>
      <c r="W467" s="68"/>
      <c r="X467" s="68"/>
      <c r="Y467" s="64"/>
      <c r="Z467" s="68"/>
      <c r="AA467" s="68"/>
      <c r="AB467" s="68"/>
      <c r="AC467" s="68"/>
      <c r="AD467" s="68"/>
      <c r="AE467" s="142"/>
      <c r="AF467" s="145">
        <v>7</v>
      </c>
      <c r="AG467" s="146"/>
      <c r="AH467" s="146">
        <v>0</v>
      </c>
      <c r="AI467" s="146"/>
      <c r="AJ467" s="361" t="s">
        <v>988</v>
      </c>
      <c r="AK467" s="131"/>
      <c r="AL467" s="129" t="s">
        <v>1627</v>
      </c>
      <c r="AM467" s="431" t="str">
        <f>VLOOKUP($Q467,Resultados!$A$1:$C$49,3,FALSE)</f>
        <v>TRAMITE</v>
      </c>
    </row>
    <row r="468" spans="1:39" customFormat="1" ht="38.25">
      <c r="A468" s="364">
        <v>335</v>
      </c>
      <c r="B468" s="69">
        <v>45254</v>
      </c>
      <c r="C468" s="329">
        <v>0.47222222222222227</v>
      </c>
      <c r="D468" s="70" t="s">
        <v>969</v>
      </c>
      <c r="E468" s="92" t="s">
        <v>970</v>
      </c>
      <c r="F468" s="68">
        <v>3</v>
      </c>
      <c r="G468" s="68" t="s">
        <v>1750</v>
      </c>
      <c r="H468" s="69"/>
      <c r="I468" s="69"/>
      <c r="J468" s="69"/>
      <c r="K468" s="68" t="s">
        <v>1480</v>
      </c>
      <c r="L468" s="70" t="s">
        <v>73</v>
      </c>
      <c r="M468" s="70"/>
      <c r="N468" s="68"/>
      <c r="O468" s="24" t="str">
        <f>IF(Q468=" _","NO","SI")</f>
        <v>NO</v>
      </c>
      <c r="P468" s="24" t="str">
        <f ca="1">IF(color_Celda(E468)=12106214,"ROSA",IF(color_Celda(E468)=65535,"AMARILLO",IF(color_Celda(E468)=5296274,"VERDE",IF(color_Celda(E468)=16777215,"BLANCO","NO SE"))))</f>
        <v>AMARILLO</v>
      </c>
      <c r="Q468" s="70" t="s">
        <v>108</v>
      </c>
      <c r="R468" s="170" t="str">
        <f>VLOOKUP($Q468,Resultados!$A$1:$B$49,2,FALSE)</f>
        <v xml:space="preserve"> _</v>
      </c>
      <c r="S468" s="70"/>
      <c r="T468" s="73"/>
      <c r="U468" s="73"/>
      <c r="V468" s="68"/>
      <c r="W468" s="68"/>
      <c r="X468" s="68"/>
      <c r="Y468" s="64"/>
      <c r="Z468" s="68"/>
      <c r="AA468" s="68"/>
      <c r="AB468" s="68"/>
      <c r="AC468" s="68"/>
      <c r="AD468" s="68"/>
      <c r="AE468" s="142"/>
      <c r="AF468" s="145">
        <v>7</v>
      </c>
      <c r="AG468" s="146"/>
      <c r="AH468" s="146">
        <v>0</v>
      </c>
      <c r="AI468" s="146"/>
      <c r="AJ468" s="126" t="s">
        <v>988</v>
      </c>
      <c r="AK468" s="134"/>
      <c r="AL468" s="129" t="s">
        <v>1627</v>
      </c>
      <c r="AM468" s="431" t="str">
        <f>VLOOKUP($Q468,Resultados!$A$1:$C$49,3,FALSE)</f>
        <v>TRAMITE</v>
      </c>
    </row>
    <row r="469" spans="1:39" customFormat="1" ht="76.5">
      <c r="A469" s="373">
        <v>337</v>
      </c>
      <c r="B469" s="100">
        <v>45254</v>
      </c>
      <c r="C469" s="334">
        <v>0.4777777777777778</v>
      </c>
      <c r="D469" s="96" t="s">
        <v>971</v>
      </c>
      <c r="E469" s="98" t="s">
        <v>972</v>
      </c>
      <c r="F469" s="107">
        <v>1</v>
      </c>
      <c r="G469" s="107" t="s">
        <v>326</v>
      </c>
      <c r="H469" s="100"/>
      <c r="I469" s="100"/>
      <c r="J469" s="100"/>
      <c r="K469" s="107" t="s">
        <v>1480</v>
      </c>
      <c r="L469" s="96" t="s">
        <v>74</v>
      </c>
      <c r="M469" s="96"/>
      <c r="N469" s="107"/>
      <c r="O469" s="24" t="str">
        <f>IF(Q469=" _","NO","SI")</f>
        <v>SI</v>
      </c>
      <c r="P469" s="24" t="str">
        <f ca="1">IF(color_Celda(E469)=12106214,"ROSA",IF(color_Celda(E469)=65535,"AMARILLO",IF(color_Celda(E469)=5296274,"VERDE",IF(color_Celda(E469)=16777215,"BLANCO","NO SE"))))</f>
        <v>VERDE</v>
      </c>
      <c r="Q469" s="96" t="s">
        <v>3313</v>
      </c>
      <c r="R469" s="176" t="str">
        <f>VLOOKUP($Q469,Resultados!$A$1:$B$49,2,FALSE)</f>
        <v>VERDE</v>
      </c>
      <c r="S469" s="96"/>
      <c r="T469" s="99"/>
      <c r="U469" s="99"/>
      <c r="V469" s="107"/>
      <c r="W469" s="107"/>
      <c r="X469" s="107"/>
      <c r="Y469" s="64"/>
      <c r="Z469" s="107"/>
      <c r="AA469" s="107"/>
      <c r="AB469" s="107"/>
      <c r="AC469" s="107"/>
      <c r="AD469" s="107"/>
      <c r="AE469" s="143"/>
      <c r="AF469" s="145">
        <v>7</v>
      </c>
      <c r="AG469" s="118"/>
      <c r="AH469" s="118">
        <v>0</v>
      </c>
      <c r="AI469" s="118"/>
      <c r="AJ469" s="361" t="s">
        <v>988</v>
      </c>
      <c r="AK469" s="131"/>
      <c r="AL469" s="129" t="s">
        <v>1627</v>
      </c>
      <c r="AM469" s="431" t="str">
        <f>VLOOKUP($Q469,Resultados!$A$1:$C$49,3,FALSE)</f>
        <v>NO LLEGO</v>
      </c>
    </row>
    <row r="470" spans="1:39" customFormat="1" ht="51">
      <c r="A470" s="364">
        <v>342</v>
      </c>
      <c r="B470" s="38">
        <v>45254</v>
      </c>
      <c r="C470" s="331">
        <v>0.52430555555555558</v>
      </c>
      <c r="D470" s="32" t="s">
        <v>2383</v>
      </c>
      <c r="E470" s="40" t="s">
        <v>2384</v>
      </c>
      <c r="F470" s="39">
        <v>2</v>
      </c>
      <c r="G470" s="39" t="s">
        <v>325</v>
      </c>
      <c r="H470" s="38"/>
      <c r="I470" s="38"/>
      <c r="J470" s="38"/>
      <c r="K470" s="39" t="str">
        <f>IFERROR(VLOOKUP(J470,Jueces!$A$1:$B$11,2,FALSE),"")</f>
        <v/>
      </c>
      <c r="L470" s="32" t="s">
        <v>73</v>
      </c>
      <c r="M470" s="32" t="s">
        <v>62</v>
      </c>
      <c r="N470" s="32" t="s">
        <v>2271</v>
      </c>
      <c r="O470" s="24" t="str">
        <f>IF(Q470=" _","NO","SI")</f>
        <v>NO</v>
      </c>
      <c r="P470" s="24" t="str">
        <f ca="1">IF(color_Celda(E470)=12106214,"ROSA",IF(color_Celda(E470)=65535,"AMARILLO",IF(color_Celda(E470)=5296274,"VERDE",IF(color_Celda(E470)=16777215,"BLANCO","NO SE"))))</f>
        <v>AMARILLO</v>
      </c>
      <c r="Q470" s="32" t="s">
        <v>108</v>
      </c>
      <c r="R470" s="170" t="str">
        <f>VLOOKUP($Q470,Resultados!$A$1:$B$49,2,FALSE)</f>
        <v xml:space="preserve"> _</v>
      </c>
      <c r="S470" s="32"/>
      <c r="T470" s="37"/>
      <c r="U470" s="37"/>
      <c r="V470" s="39"/>
      <c r="W470" s="39"/>
      <c r="X470" s="39"/>
      <c r="Y470" s="64"/>
      <c r="Z470" s="39"/>
      <c r="AA470" s="39"/>
      <c r="AB470" s="39"/>
      <c r="AC470" s="39"/>
      <c r="AD470" s="39"/>
      <c r="AE470" s="144"/>
      <c r="AF470" s="150"/>
      <c r="AG470" s="150"/>
      <c r="AH470" s="150"/>
      <c r="AI470" s="150"/>
      <c r="AJ470" s="128" t="s">
        <v>988</v>
      </c>
      <c r="AK470" s="136"/>
      <c r="AL470" s="151" t="s">
        <v>1627</v>
      </c>
      <c r="AM470" s="431" t="str">
        <f>VLOOKUP($Q470,Resultados!$A$1:$C$49,3,FALSE)</f>
        <v>TRAMITE</v>
      </c>
    </row>
    <row r="471" spans="1:39" ht="39.950000000000003" customHeight="1">
      <c r="A471" s="364">
        <v>344</v>
      </c>
      <c r="B471" s="69">
        <v>45258</v>
      </c>
      <c r="C471" s="332" t="s">
        <v>993</v>
      </c>
      <c r="D471" s="70" t="s">
        <v>991</v>
      </c>
      <c r="E471" s="92" t="s">
        <v>992</v>
      </c>
      <c r="F471" s="68">
        <v>2</v>
      </c>
      <c r="G471" s="68" t="s">
        <v>325</v>
      </c>
      <c r="H471" s="69"/>
      <c r="I471" s="69"/>
      <c r="J471" s="69"/>
      <c r="K471" s="68" t="s">
        <v>1480</v>
      </c>
      <c r="L471" s="70" t="s">
        <v>77</v>
      </c>
      <c r="M471" s="70" t="s">
        <v>61</v>
      </c>
      <c r="N471" s="68" t="s">
        <v>2271</v>
      </c>
      <c r="O471" s="24" t="str">
        <f>IF(Q471=" _","NO","SI")</f>
        <v>NO</v>
      </c>
      <c r="P471" s="24" t="str">
        <f ca="1">IF(color_Celda(E471)=12106214,"ROSA",IF(color_Celda(E471)=65535,"AMARILLO",IF(color_Celda(E471)=5296274,"VERDE",IF(color_Celda(E471)=16777215,"BLANCO","NO SE"))))</f>
        <v>AMARILLO</v>
      </c>
      <c r="Q471" s="70" t="s">
        <v>108</v>
      </c>
      <c r="R471" s="170" t="str">
        <f>VLOOKUP($Q471,Resultados!$A$1:$B$49,2,FALSE)</f>
        <v xml:space="preserve"> _</v>
      </c>
      <c r="S471" s="70"/>
      <c r="T471" s="73"/>
      <c r="U471" s="73"/>
      <c r="V471" s="68"/>
      <c r="W471" s="68"/>
      <c r="X471" s="68"/>
      <c r="Y471" s="64"/>
      <c r="Z471" s="68"/>
      <c r="AA471" s="68"/>
      <c r="AB471" s="68"/>
      <c r="AC471" s="68"/>
      <c r="AD471" s="68"/>
      <c r="AE471" s="142"/>
      <c r="AF471" s="146">
        <v>7</v>
      </c>
      <c r="AG471" s="146"/>
      <c r="AH471" s="146">
        <v>0</v>
      </c>
      <c r="AI471" s="146"/>
      <c r="AJ471" s="126" t="s">
        <v>988</v>
      </c>
      <c r="AK471" s="134"/>
      <c r="AL471" s="151" t="s">
        <v>1627</v>
      </c>
      <c r="AM471" s="431" t="str">
        <f>VLOOKUP($Q471,Resultados!$A$1:$C$49,3,FALSE)</f>
        <v>TRAMITE</v>
      </c>
    </row>
    <row r="472" spans="1:39" ht="51">
      <c r="A472" s="364">
        <v>345</v>
      </c>
      <c r="B472" s="69">
        <v>45258</v>
      </c>
      <c r="C472" s="332" t="s">
        <v>994</v>
      </c>
      <c r="D472" s="70" t="s">
        <v>995</v>
      </c>
      <c r="E472" s="92" t="s">
        <v>996</v>
      </c>
      <c r="F472" s="68">
        <v>3</v>
      </c>
      <c r="G472" s="68" t="s">
        <v>1750</v>
      </c>
      <c r="H472" s="69"/>
      <c r="I472" s="69"/>
      <c r="J472" s="69"/>
      <c r="K472" s="68" t="s">
        <v>1480</v>
      </c>
      <c r="L472" s="70" t="s">
        <v>73</v>
      </c>
      <c r="M472" s="288"/>
      <c r="N472" s="68" t="s">
        <v>2295</v>
      </c>
      <c r="O472" s="137" t="str">
        <f>IF(Q472=" _","NO","SI")</f>
        <v>NO</v>
      </c>
      <c r="P472" s="24" t="str">
        <f ca="1">IF(color_Celda(E472)=12106214,"ROSA",IF(color_Celda(E472)=65535,"AMARILLO",IF(color_Celda(E472)=5296274,"VERDE",IF(color_Celda(E472)=16777215,"BLANCO","NO SE"))))</f>
        <v>AMARILLO</v>
      </c>
      <c r="Q472" s="70" t="s">
        <v>108</v>
      </c>
      <c r="R472" s="170" t="str">
        <f>VLOOKUP($Q472,Resultados!$A$1:$B$49,2,FALSE)</f>
        <v xml:space="preserve"> _</v>
      </c>
      <c r="S472" s="70"/>
      <c r="T472" s="73"/>
      <c r="U472" s="73"/>
      <c r="V472" s="68"/>
      <c r="W472" s="68"/>
      <c r="X472" s="68"/>
      <c r="Y472" s="199"/>
      <c r="Z472" s="68"/>
      <c r="AA472" s="68"/>
      <c r="AB472" s="68"/>
      <c r="AC472" s="68"/>
      <c r="AD472" s="68"/>
      <c r="AE472" s="142"/>
      <c r="AF472" s="146">
        <v>7</v>
      </c>
      <c r="AG472" s="146"/>
      <c r="AH472" s="146">
        <v>0</v>
      </c>
      <c r="AI472" s="146"/>
      <c r="AJ472" s="126" t="s">
        <v>988</v>
      </c>
      <c r="AK472" s="134"/>
      <c r="AL472" s="151" t="s">
        <v>1627</v>
      </c>
      <c r="AM472" s="431" t="str">
        <f>VLOOKUP($Q472,Resultados!$A$1:$C$49,3,FALSE)</f>
        <v>TRAMITE</v>
      </c>
    </row>
    <row r="473" spans="1:39" ht="40.15" customHeight="1">
      <c r="A473" s="364">
        <v>348</v>
      </c>
      <c r="B473" s="69">
        <v>45258</v>
      </c>
      <c r="C473" s="329">
        <v>0.37291666666666662</v>
      </c>
      <c r="D473" s="70" t="s">
        <v>1000</v>
      </c>
      <c r="E473" s="92" t="s">
        <v>1001</v>
      </c>
      <c r="F473" s="68">
        <v>7</v>
      </c>
      <c r="G473" s="68" t="s">
        <v>10</v>
      </c>
      <c r="H473" s="69"/>
      <c r="I473" s="69"/>
      <c r="J473" s="69"/>
      <c r="K473" s="68" t="s">
        <v>1480</v>
      </c>
      <c r="L473" s="70" t="s">
        <v>87</v>
      </c>
      <c r="M473" s="70" t="s">
        <v>749</v>
      </c>
      <c r="N473" s="68" t="s">
        <v>1342</v>
      </c>
      <c r="O473" s="24" t="str">
        <f>IF(Q473=" _","NO","SI")</f>
        <v>NO</v>
      </c>
      <c r="P473" s="24" t="str">
        <f ca="1">IF(color_Celda(E473)=12106214,"ROSA",IF(color_Celda(E473)=65535,"AMARILLO",IF(color_Celda(E473)=5296274,"VERDE",IF(color_Celda(E473)=16777215,"BLANCO","NO SE"))))</f>
        <v>AMARILLO</v>
      </c>
      <c r="Q473" s="70" t="s">
        <v>108</v>
      </c>
      <c r="R473" s="170" t="str">
        <f>VLOOKUP($Q473,Resultados!$A$1:$B$49,2,FALSE)</f>
        <v xml:space="preserve"> _</v>
      </c>
      <c r="S473" s="70"/>
      <c r="T473" s="73"/>
      <c r="U473" s="73"/>
      <c r="V473" s="68"/>
      <c r="W473" s="68"/>
      <c r="X473" s="68"/>
      <c r="Y473" s="64"/>
      <c r="Z473" s="68"/>
      <c r="AA473" s="68"/>
      <c r="AB473" s="68"/>
      <c r="AC473" s="68"/>
      <c r="AD473" s="68"/>
      <c r="AE473" s="142"/>
      <c r="AF473" s="146">
        <v>7</v>
      </c>
      <c r="AG473" s="146"/>
      <c r="AH473" s="146">
        <v>0</v>
      </c>
      <c r="AI473" s="146"/>
      <c r="AJ473" s="126" t="s">
        <v>988</v>
      </c>
      <c r="AK473" s="134"/>
      <c r="AL473" s="151" t="s">
        <v>1627</v>
      </c>
      <c r="AM473" s="431" t="str">
        <f>VLOOKUP($Q473,Resultados!$A$1:$C$49,3,FALSE)</f>
        <v>TRAMITE</v>
      </c>
    </row>
    <row r="474" spans="1:39" ht="40.15" customHeight="1">
      <c r="A474" s="364">
        <v>349</v>
      </c>
      <c r="B474" s="72">
        <v>45258</v>
      </c>
      <c r="C474" s="332" t="s">
        <v>1003</v>
      </c>
      <c r="D474" s="70" t="s">
        <v>1002</v>
      </c>
      <c r="E474" s="92" t="s">
        <v>1004</v>
      </c>
      <c r="F474" s="68">
        <v>3</v>
      </c>
      <c r="G474" s="68" t="s">
        <v>1750</v>
      </c>
      <c r="H474" s="69"/>
      <c r="I474" s="69"/>
      <c r="J474" s="69"/>
      <c r="K474" s="68" t="s">
        <v>1480</v>
      </c>
      <c r="L474" s="70" t="s">
        <v>211</v>
      </c>
      <c r="M474" s="70"/>
      <c r="N474" s="68" t="s">
        <v>3236</v>
      </c>
      <c r="O474" s="24" t="str">
        <f>IF(Q474=" _","NO","SI")</f>
        <v>NO</v>
      </c>
      <c r="P474" s="24" t="str">
        <f ca="1">IF(color_Celda(E474)=12106214,"ROSA",IF(color_Celda(E474)=65535,"AMARILLO",IF(color_Celda(E474)=5296274,"VERDE",IF(color_Celda(E474)=16777215,"BLANCO","NO SE"))))</f>
        <v>AMARILLO</v>
      </c>
      <c r="Q474" s="70" t="s">
        <v>108</v>
      </c>
      <c r="R474" s="170" t="str">
        <f>VLOOKUP($Q474,Resultados!$A$1:$B$49,2,FALSE)</f>
        <v xml:space="preserve"> _</v>
      </c>
      <c r="S474" s="70"/>
      <c r="T474" s="73"/>
      <c r="U474" s="73"/>
      <c r="V474" s="68"/>
      <c r="W474" s="68"/>
      <c r="X474" s="68"/>
      <c r="Y474" s="64"/>
      <c r="Z474" s="68"/>
      <c r="AA474" s="68"/>
      <c r="AB474" s="68"/>
      <c r="AC474" s="68"/>
      <c r="AD474" s="68"/>
      <c r="AE474" s="142"/>
      <c r="AF474" s="146">
        <v>7</v>
      </c>
      <c r="AG474" s="146"/>
      <c r="AH474" s="146">
        <v>0</v>
      </c>
      <c r="AI474" s="146"/>
      <c r="AJ474" s="126" t="s">
        <v>988</v>
      </c>
      <c r="AK474" s="134"/>
      <c r="AL474" s="129" t="s">
        <v>1627</v>
      </c>
      <c r="AM474" s="431" t="str">
        <f>VLOOKUP($Q474,Resultados!$A$1:$C$49,3,FALSE)</f>
        <v>TRAMITE</v>
      </c>
    </row>
    <row r="475" spans="1:39" ht="40.15" customHeight="1">
      <c r="A475" s="364">
        <v>351</v>
      </c>
      <c r="B475" s="72">
        <v>45258</v>
      </c>
      <c r="C475" s="329">
        <v>0.53333333333333333</v>
      </c>
      <c r="D475" s="70" t="s">
        <v>1027</v>
      </c>
      <c r="E475" s="92" t="s">
        <v>1028</v>
      </c>
      <c r="F475" s="68">
        <v>3</v>
      </c>
      <c r="G475" s="68" t="s">
        <v>5</v>
      </c>
      <c r="H475" s="69"/>
      <c r="I475" s="69"/>
      <c r="J475" s="69"/>
      <c r="K475" s="68" t="s">
        <v>1480</v>
      </c>
      <c r="L475" s="70" t="s">
        <v>83</v>
      </c>
      <c r="M475" s="70" t="s">
        <v>44</v>
      </c>
      <c r="N475" s="68"/>
      <c r="O475" s="24" t="str">
        <f>IF(Q475=" _","NO","SI")</f>
        <v>NO</v>
      </c>
      <c r="P475" s="24" t="str">
        <f ca="1">IF(color_Celda(E475)=12106214,"ROSA",IF(color_Celda(E475)=65535,"AMARILLO",IF(color_Celda(E475)=5296274,"VERDE",IF(color_Celda(E475)=16777215,"BLANCO","NO SE"))))</f>
        <v>AMARILLO</v>
      </c>
      <c r="Q475" s="70" t="s">
        <v>108</v>
      </c>
      <c r="R475" s="170" t="str">
        <f>VLOOKUP($Q475,Resultados!$A$1:$B$49,2,FALSE)</f>
        <v xml:space="preserve"> _</v>
      </c>
      <c r="S475" s="70"/>
      <c r="T475" s="73"/>
      <c r="U475" s="73"/>
      <c r="V475" s="68"/>
      <c r="W475" s="68"/>
      <c r="X475" s="68"/>
      <c r="Y475" s="64"/>
      <c r="Z475" s="68"/>
      <c r="AA475" s="68"/>
      <c r="AB475" s="68"/>
      <c r="AC475" s="68"/>
      <c r="AD475" s="68"/>
      <c r="AE475" s="142"/>
      <c r="AF475" s="146">
        <v>7</v>
      </c>
      <c r="AG475" s="146"/>
      <c r="AH475" s="146">
        <v>0</v>
      </c>
      <c r="AI475" s="146"/>
      <c r="AJ475" s="126" t="s">
        <v>988</v>
      </c>
      <c r="AK475" s="134"/>
      <c r="AL475" s="129" t="s">
        <v>1627</v>
      </c>
      <c r="AM475" s="431" t="str">
        <f>VLOOKUP($Q475,Resultados!$A$1:$C$49,3,FALSE)</f>
        <v>TRAMITE</v>
      </c>
    </row>
    <row r="476" spans="1:39" ht="40.15" customHeight="1">
      <c r="A476" s="364">
        <v>352</v>
      </c>
      <c r="B476" s="69">
        <v>45258</v>
      </c>
      <c r="C476" s="332" t="s">
        <v>918</v>
      </c>
      <c r="D476" s="70" t="s">
        <v>1031</v>
      </c>
      <c r="E476" s="92" t="s">
        <v>1032</v>
      </c>
      <c r="F476" s="68">
        <v>3</v>
      </c>
      <c r="G476" s="68" t="s">
        <v>1750</v>
      </c>
      <c r="H476" s="69"/>
      <c r="I476" s="69"/>
      <c r="J476" s="69"/>
      <c r="K476" s="68" t="s">
        <v>1480</v>
      </c>
      <c r="L476" s="70" t="s">
        <v>250</v>
      </c>
      <c r="M476" s="70" t="s">
        <v>61</v>
      </c>
      <c r="N476" s="68" t="s">
        <v>1641</v>
      </c>
      <c r="O476" s="24" t="str">
        <f>IF(Q476=" _","NO","SI")</f>
        <v>NO</v>
      </c>
      <c r="P476" s="24" t="str">
        <f ca="1">IF(color_Celda(E476)=12106214,"ROSA",IF(color_Celda(E476)=65535,"AMARILLO",IF(color_Celda(E476)=5296274,"VERDE",IF(color_Celda(E476)=16777215,"BLANCO","NO SE"))))</f>
        <v>AMARILLO</v>
      </c>
      <c r="Q476" s="70" t="s">
        <v>108</v>
      </c>
      <c r="R476" s="170" t="str">
        <f>VLOOKUP($Q476,Resultados!$A$1:$B$49,2,FALSE)</f>
        <v xml:space="preserve"> _</v>
      </c>
      <c r="S476" s="70"/>
      <c r="T476" s="73"/>
      <c r="U476" s="73"/>
      <c r="V476" s="68"/>
      <c r="W476" s="68"/>
      <c r="X476" s="68"/>
      <c r="Y476" s="64"/>
      <c r="Z476" s="68"/>
      <c r="AA476" s="68"/>
      <c r="AB476" s="68"/>
      <c r="AC476" s="68"/>
      <c r="AD476" s="68"/>
      <c r="AE476" s="142"/>
      <c r="AF476" s="146">
        <v>7</v>
      </c>
      <c r="AG476" s="146"/>
      <c r="AH476" s="146">
        <v>0</v>
      </c>
      <c r="AI476" s="146"/>
      <c r="AJ476" s="126" t="s">
        <v>988</v>
      </c>
      <c r="AK476" s="134"/>
      <c r="AL476" s="151" t="s">
        <v>1627</v>
      </c>
      <c r="AM476" s="431" t="str">
        <f>VLOOKUP($Q476,Resultados!$A$1:$C$49,3,FALSE)</f>
        <v>TRAMITE</v>
      </c>
    </row>
    <row r="477" spans="1:39" ht="40.15" customHeight="1">
      <c r="A477" s="364">
        <v>353</v>
      </c>
      <c r="B477" s="69">
        <v>45258</v>
      </c>
      <c r="C477" s="332" t="s">
        <v>1010</v>
      </c>
      <c r="D477" s="70" t="s">
        <v>1033</v>
      </c>
      <c r="E477" s="92" t="s">
        <v>1034</v>
      </c>
      <c r="F477" s="68">
        <v>6</v>
      </c>
      <c r="G477" s="68" t="s">
        <v>326</v>
      </c>
      <c r="H477" s="69"/>
      <c r="I477" s="69"/>
      <c r="J477" s="69"/>
      <c r="K477" s="68" t="s">
        <v>1480</v>
      </c>
      <c r="L477" s="70" t="s">
        <v>74</v>
      </c>
      <c r="M477" s="70"/>
      <c r="N477" s="68" t="s">
        <v>2620</v>
      </c>
      <c r="O477" s="137" t="str">
        <f>IF(Q477=" _","NO","SI")</f>
        <v>NO</v>
      </c>
      <c r="P477" s="24" t="str">
        <f ca="1">IF(color_Celda(E477)=12106214,"ROSA",IF(color_Celda(E477)=65535,"AMARILLO",IF(color_Celda(E477)=5296274,"VERDE",IF(color_Celda(E477)=16777215,"BLANCO","NO SE"))))</f>
        <v>AMARILLO</v>
      </c>
      <c r="Q477" s="70" t="s">
        <v>108</v>
      </c>
      <c r="R477" s="170" t="str">
        <f>VLOOKUP($Q477,Resultados!$A$1:$B$49,2,FALSE)</f>
        <v xml:space="preserve"> _</v>
      </c>
      <c r="S477" s="70"/>
      <c r="T477" s="73"/>
      <c r="U477" s="73"/>
      <c r="V477" s="68"/>
      <c r="W477" s="68"/>
      <c r="X477" s="68"/>
      <c r="Y477" s="199"/>
      <c r="Z477" s="68"/>
      <c r="AA477" s="68"/>
      <c r="AB477" s="68"/>
      <c r="AC477" s="68"/>
      <c r="AD477" s="68"/>
      <c r="AE477" s="142"/>
      <c r="AF477" s="146">
        <v>7</v>
      </c>
      <c r="AG477" s="146"/>
      <c r="AH477" s="146">
        <v>0</v>
      </c>
      <c r="AI477" s="146"/>
      <c r="AJ477" s="126" t="s">
        <v>988</v>
      </c>
      <c r="AK477" s="134"/>
      <c r="AL477" s="151" t="s">
        <v>1627</v>
      </c>
      <c r="AM477" s="431" t="str">
        <f>VLOOKUP($Q477,Resultados!$A$1:$C$49,3,FALSE)</f>
        <v>TRAMITE</v>
      </c>
    </row>
    <row r="478" spans="1:39" ht="40.15" customHeight="1">
      <c r="A478" s="364">
        <v>354</v>
      </c>
      <c r="B478" s="69">
        <v>45258</v>
      </c>
      <c r="C478" s="332" t="s">
        <v>1008</v>
      </c>
      <c r="D478" s="70" t="s">
        <v>1035</v>
      </c>
      <c r="E478" s="92" t="s">
        <v>1036</v>
      </c>
      <c r="F478" s="68">
        <v>6</v>
      </c>
      <c r="G478" s="68" t="s">
        <v>326</v>
      </c>
      <c r="H478" s="69"/>
      <c r="I478" s="69"/>
      <c r="J478" s="69"/>
      <c r="K478" s="68" t="s">
        <v>1480</v>
      </c>
      <c r="L478" s="70" t="s">
        <v>87</v>
      </c>
      <c r="M478" s="70"/>
      <c r="N478" s="68" t="s">
        <v>2620</v>
      </c>
      <c r="O478" s="137" t="str">
        <f>IF(Q478=" _","NO","SI")</f>
        <v>NO</v>
      </c>
      <c r="P478" s="24" t="str">
        <f ca="1">IF(color_Celda(E478)=12106214,"ROSA",IF(color_Celda(E478)=65535,"AMARILLO",IF(color_Celda(E478)=5296274,"VERDE",IF(color_Celda(E478)=16777215,"BLANCO","NO SE"))))</f>
        <v>AMARILLO</v>
      </c>
      <c r="Q478" s="70" t="s">
        <v>108</v>
      </c>
      <c r="R478" s="170" t="str">
        <f>VLOOKUP($Q478,Resultados!$A$1:$B$49,2,FALSE)</f>
        <v xml:space="preserve"> _</v>
      </c>
      <c r="S478" s="70"/>
      <c r="T478" s="73"/>
      <c r="U478" s="73"/>
      <c r="V478" s="68"/>
      <c r="W478" s="68"/>
      <c r="X478" s="68"/>
      <c r="Y478" s="199"/>
      <c r="Z478" s="68"/>
      <c r="AA478" s="68"/>
      <c r="AB478" s="68"/>
      <c r="AC478" s="68"/>
      <c r="AD478" s="68"/>
      <c r="AE478" s="142"/>
      <c r="AF478" s="146">
        <v>7</v>
      </c>
      <c r="AG478" s="146"/>
      <c r="AH478" s="146">
        <v>0</v>
      </c>
      <c r="AI478" s="146"/>
      <c r="AJ478" s="126" t="s">
        <v>988</v>
      </c>
      <c r="AK478" s="134"/>
      <c r="AL478" s="151" t="s">
        <v>1627</v>
      </c>
      <c r="AM478" s="431" t="str">
        <f>VLOOKUP($Q478,Resultados!$A$1:$C$49,3,FALSE)</f>
        <v>TRAMITE</v>
      </c>
    </row>
    <row r="479" spans="1:39" ht="40.15" customHeight="1">
      <c r="A479" s="364">
        <v>355</v>
      </c>
      <c r="B479" s="69">
        <v>45258</v>
      </c>
      <c r="C479" s="332" t="s">
        <v>1037</v>
      </c>
      <c r="D479" s="70" t="s">
        <v>1038</v>
      </c>
      <c r="E479" s="92" t="s">
        <v>1039</v>
      </c>
      <c r="F479" s="68">
        <v>6</v>
      </c>
      <c r="G479" s="68" t="s">
        <v>326</v>
      </c>
      <c r="H479" s="69"/>
      <c r="I479" s="69"/>
      <c r="J479" s="69"/>
      <c r="K479" s="68" t="s">
        <v>1480</v>
      </c>
      <c r="L479" s="70" t="s">
        <v>250</v>
      </c>
      <c r="M479" s="70"/>
      <c r="N479" s="68" t="s">
        <v>2254</v>
      </c>
      <c r="O479" s="24" t="str">
        <f>IF(Q479=" _","NO","SI")</f>
        <v>NO</v>
      </c>
      <c r="P479" s="24" t="str">
        <f ca="1">IF(color_Celda(E479)=12106214,"ROSA",IF(color_Celda(E479)=65535,"AMARILLO",IF(color_Celda(E479)=5296274,"VERDE",IF(color_Celda(E479)=16777215,"BLANCO","NO SE"))))</f>
        <v>AMARILLO</v>
      </c>
      <c r="Q479" s="70" t="s">
        <v>108</v>
      </c>
      <c r="R479" s="170" t="str">
        <f>VLOOKUP($Q479,Resultados!$A$1:$B$49,2,FALSE)</f>
        <v xml:space="preserve"> _</v>
      </c>
      <c r="S479" s="70"/>
      <c r="T479" s="99"/>
      <c r="U479" s="99"/>
      <c r="V479" s="107"/>
      <c r="W479" s="68"/>
      <c r="X479" s="68"/>
      <c r="Y479" s="64"/>
      <c r="Z479" s="68"/>
      <c r="AA479" s="68"/>
      <c r="AB479" s="68"/>
      <c r="AC479" s="107"/>
      <c r="AD479" s="107"/>
      <c r="AE479" s="143"/>
      <c r="AF479" s="118">
        <v>7</v>
      </c>
      <c r="AG479" s="118"/>
      <c r="AH479" s="118">
        <v>0</v>
      </c>
      <c r="AI479" s="118"/>
      <c r="AJ479" s="126" t="s">
        <v>988</v>
      </c>
      <c r="AK479" s="134"/>
      <c r="AL479" s="151" t="s">
        <v>1627</v>
      </c>
      <c r="AM479" s="431" t="str">
        <f>VLOOKUP($Q479,Resultados!$A$1:$C$49,3,FALSE)</f>
        <v>TRAMITE</v>
      </c>
    </row>
    <row r="480" spans="1:39" ht="40.15" customHeight="1">
      <c r="A480" s="364">
        <v>356</v>
      </c>
      <c r="B480" s="69">
        <v>45258</v>
      </c>
      <c r="C480" s="332" t="s">
        <v>1040</v>
      </c>
      <c r="D480" s="70" t="s">
        <v>1041</v>
      </c>
      <c r="E480" s="92" t="s">
        <v>1042</v>
      </c>
      <c r="F480" s="68">
        <v>6</v>
      </c>
      <c r="G480" s="68" t="s">
        <v>326</v>
      </c>
      <c r="H480" s="69"/>
      <c r="I480" s="69"/>
      <c r="J480" s="69"/>
      <c r="K480" s="68" t="s">
        <v>1480</v>
      </c>
      <c r="L480" s="70" t="s">
        <v>78</v>
      </c>
      <c r="M480" s="70" t="s">
        <v>59</v>
      </c>
      <c r="N480" s="68" t="s">
        <v>1342</v>
      </c>
      <c r="O480" s="24" t="str">
        <f>IF(Q480=" _","NO","SI")</f>
        <v>NO</v>
      </c>
      <c r="P480" s="24" t="str">
        <f ca="1">IF(color_Celda(E480)=12106214,"ROSA",IF(color_Celda(E480)=65535,"AMARILLO",IF(color_Celda(E480)=5296274,"VERDE",IF(color_Celda(E480)=16777215,"BLANCO","NO SE"))))</f>
        <v>AMARILLO</v>
      </c>
      <c r="Q480" s="70" t="s">
        <v>108</v>
      </c>
      <c r="R480" s="170" t="str">
        <f>VLOOKUP($Q480,Resultados!$A$1:$B$49,2,FALSE)</f>
        <v xml:space="preserve"> _</v>
      </c>
      <c r="S480" s="70"/>
      <c r="T480" s="73"/>
      <c r="U480" s="73"/>
      <c r="V480" s="68"/>
      <c r="W480" s="68"/>
      <c r="X480" s="68"/>
      <c r="Y480" s="64"/>
      <c r="Z480" s="68"/>
      <c r="AA480" s="68"/>
      <c r="AB480" s="68"/>
      <c r="AC480" s="68"/>
      <c r="AD480" s="68"/>
      <c r="AE480" s="142"/>
      <c r="AF480" s="146">
        <v>7</v>
      </c>
      <c r="AG480" s="146"/>
      <c r="AH480" s="146">
        <v>0</v>
      </c>
      <c r="AI480" s="146"/>
      <c r="AJ480" s="126" t="s">
        <v>988</v>
      </c>
      <c r="AK480" s="134"/>
      <c r="AL480" s="151" t="s">
        <v>1627</v>
      </c>
      <c r="AM480" s="431" t="str">
        <f>VLOOKUP($Q480,Resultados!$A$1:$C$49,3,FALSE)</f>
        <v>TRAMITE</v>
      </c>
    </row>
    <row r="481" spans="1:39" ht="39.950000000000003" customHeight="1">
      <c r="A481" s="364">
        <v>357</v>
      </c>
      <c r="B481" s="69">
        <v>45258</v>
      </c>
      <c r="C481" s="332" t="s">
        <v>958</v>
      </c>
      <c r="D481" s="70" t="s">
        <v>1043</v>
      </c>
      <c r="E481" s="92" t="s">
        <v>2257</v>
      </c>
      <c r="F481" s="68">
        <v>6</v>
      </c>
      <c r="G481" s="68" t="s">
        <v>326</v>
      </c>
      <c r="H481" s="69"/>
      <c r="I481" s="69"/>
      <c r="J481" s="69"/>
      <c r="K481" s="68" t="s">
        <v>1480</v>
      </c>
      <c r="L481" s="70"/>
      <c r="M481" s="70" t="s">
        <v>1044</v>
      </c>
      <c r="N481" s="68" t="s">
        <v>1342</v>
      </c>
      <c r="O481" s="24" t="str">
        <f>IF(Q481=" _","NO","SI")</f>
        <v>NO</v>
      </c>
      <c r="P481" s="24" t="str">
        <f ca="1">IF(color_Celda(E481)=12106214,"ROSA",IF(color_Celda(E481)=65535,"AMARILLO",IF(color_Celda(E481)=5296274,"VERDE",IF(color_Celda(E481)=16777215,"BLANCO","NO SE"))))</f>
        <v>AMARILLO</v>
      </c>
      <c r="Q481" s="70" t="s">
        <v>108</v>
      </c>
      <c r="R481" s="170" t="str">
        <f>VLOOKUP($Q481,Resultados!$A$1:$B$49,2,FALSE)</f>
        <v xml:space="preserve"> _</v>
      </c>
      <c r="S481" s="70"/>
      <c r="T481" s="99"/>
      <c r="U481" s="99"/>
      <c r="V481" s="107"/>
      <c r="W481" s="68"/>
      <c r="X481" s="68"/>
      <c r="Y481" s="64"/>
      <c r="Z481" s="68"/>
      <c r="AA481" s="68"/>
      <c r="AB481" s="68"/>
      <c r="AC481" s="107"/>
      <c r="AD481" s="107"/>
      <c r="AE481" s="143"/>
      <c r="AF481" s="118">
        <v>7</v>
      </c>
      <c r="AG481" s="118"/>
      <c r="AH481" s="118">
        <v>0</v>
      </c>
      <c r="AI481" s="118"/>
      <c r="AJ481" s="126" t="s">
        <v>988</v>
      </c>
      <c r="AK481" s="134"/>
      <c r="AL481" s="151" t="s">
        <v>1627</v>
      </c>
      <c r="AM481" s="431" t="str">
        <f>VLOOKUP($Q481,Resultados!$A$1:$C$49,3,FALSE)</f>
        <v>TRAMITE</v>
      </c>
    </row>
    <row r="482" spans="1:39" ht="39.950000000000003" customHeight="1">
      <c r="A482" s="364">
        <v>358</v>
      </c>
      <c r="B482" s="69">
        <v>45258</v>
      </c>
      <c r="C482" s="332" t="s">
        <v>958</v>
      </c>
      <c r="D482" s="70" t="s">
        <v>1045</v>
      </c>
      <c r="E482" s="92" t="s">
        <v>2379</v>
      </c>
      <c r="F482" s="68">
        <v>2</v>
      </c>
      <c r="G482" s="68" t="s">
        <v>325</v>
      </c>
      <c r="H482" s="69"/>
      <c r="I482" s="69"/>
      <c r="J482" s="69"/>
      <c r="K482" s="68" t="s">
        <v>1480</v>
      </c>
      <c r="L482" s="70" t="s">
        <v>71</v>
      </c>
      <c r="M482" s="70" t="s">
        <v>59</v>
      </c>
      <c r="N482" s="68" t="s">
        <v>3228</v>
      </c>
      <c r="O482" s="24" t="str">
        <f>IF(Q482=" _","NO","SI")</f>
        <v>NO</v>
      </c>
      <c r="P482" s="24" t="str">
        <f ca="1">IF(color_Celda(E482)=12106214,"ROSA",IF(color_Celda(E482)=65535,"AMARILLO",IF(color_Celda(E482)=5296274,"VERDE",IF(color_Celda(E482)=16777215,"BLANCO","NO SE"))))</f>
        <v>AMARILLO</v>
      </c>
      <c r="Q482" s="70" t="s">
        <v>108</v>
      </c>
      <c r="R482" s="170" t="str">
        <f>VLOOKUP($Q482,Resultados!$A$1:$B$49,2,FALSE)</f>
        <v xml:space="preserve"> _</v>
      </c>
      <c r="S482" s="70"/>
      <c r="T482" s="73"/>
      <c r="U482" s="73"/>
      <c r="V482" s="68"/>
      <c r="W482" s="68"/>
      <c r="X482" s="68"/>
      <c r="Y482" s="64"/>
      <c r="Z482" s="68"/>
      <c r="AA482" s="68"/>
      <c r="AB482" s="68"/>
      <c r="AC482" s="68"/>
      <c r="AD482" s="68"/>
      <c r="AE482" s="142"/>
      <c r="AF482" s="146">
        <v>7</v>
      </c>
      <c r="AG482" s="146"/>
      <c r="AH482" s="146">
        <v>0</v>
      </c>
      <c r="AI482" s="146"/>
      <c r="AJ482" s="126" t="s">
        <v>988</v>
      </c>
      <c r="AK482" s="134"/>
      <c r="AL482" s="151" t="s">
        <v>1627</v>
      </c>
      <c r="AM482" s="431" t="str">
        <f>VLOOKUP($Q482,Resultados!$A$1:$C$49,3,FALSE)</f>
        <v>TRAMITE</v>
      </c>
    </row>
    <row r="483" spans="1:39" ht="39.950000000000003" customHeight="1">
      <c r="A483" s="364">
        <v>359</v>
      </c>
      <c r="B483" s="38">
        <v>45258</v>
      </c>
      <c r="C483" s="331">
        <v>0.52569444444444446</v>
      </c>
      <c r="D483" s="32" t="s">
        <v>1594</v>
      </c>
      <c r="E483" s="40" t="s">
        <v>1595</v>
      </c>
      <c r="F483" s="39">
        <v>3</v>
      </c>
      <c r="G483" s="68" t="s">
        <v>1750</v>
      </c>
      <c r="H483" s="38"/>
      <c r="I483" s="38"/>
      <c r="J483" s="38"/>
      <c r="K483" s="39" t="str">
        <f>IFERROR(VLOOKUP(J483,Jueces!$A$1:$B$11,2,FALSE),"")</f>
        <v/>
      </c>
      <c r="L483" s="32" t="s">
        <v>73</v>
      </c>
      <c r="M483" s="32"/>
      <c r="N483" s="32" t="s">
        <v>1596</v>
      </c>
      <c r="O483" s="24" t="str">
        <f>IF(Q483=" _","NO","SI")</f>
        <v>NO</v>
      </c>
      <c r="P483" s="24" t="str">
        <f ca="1">IF(color_Celda(E483)=12106214,"ROSA",IF(color_Celda(E483)=65535,"AMARILLO",IF(color_Celda(E483)=5296274,"VERDE",IF(color_Celda(E483)=16777215,"BLANCO","NO SE"))))</f>
        <v>AMARILLO</v>
      </c>
      <c r="Q483" s="32" t="s">
        <v>108</v>
      </c>
      <c r="R483" s="170" t="str">
        <f>VLOOKUP($Q483,Resultados!$A$1:$B$49,2,FALSE)</f>
        <v xml:space="preserve"> _</v>
      </c>
      <c r="S483" s="32"/>
      <c r="T483" s="37"/>
      <c r="U483" s="37"/>
      <c r="V483" s="39"/>
      <c r="W483" s="39"/>
      <c r="X483" s="39"/>
      <c r="Y483" s="64"/>
      <c r="Z483" s="39"/>
      <c r="AA483" s="39"/>
      <c r="AB483" s="39"/>
      <c r="AC483" s="39"/>
      <c r="AD483" s="39"/>
      <c r="AE483" s="144"/>
      <c r="AF483" s="150"/>
      <c r="AG483" s="150"/>
      <c r="AH483" s="150"/>
      <c r="AI483" s="150"/>
      <c r="AJ483" s="128" t="s">
        <v>988</v>
      </c>
      <c r="AK483" s="136"/>
      <c r="AL483" s="129" t="s">
        <v>1627</v>
      </c>
      <c r="AM483" s="431" t="str">
        <f>VLOOKUP($Q483,Resultados!$A$1:$C$49,3,FALSE)</f>
        <v>TRAMITE</v>
      </c>
    </row>
    <row r="484" spans="1:39" ht="39.950000000000003" customHeight="1">
      <c r="A484" s="364">
        <v>360</v>
      </c>
      <c r="B484" s="69">
        <v>45259</v>
      </c>
      <c r="C484" s="332" t="s">
        <v>1010</v>
      </c>
      <c r="D484" s="70" t="s">
        <v>1009</v>
      </c>
      <c r="E484" s="92" t="s">
        <v>1011</v>
      </c>
      <c r="F484" s="68">
        <v>6</v>
      </c>
      <c r="G484" s="68" t="s">
        <v>326</v>
      </c>
      <c r="H484" s="69"/>
      <c r="I484" s="69"/>
      <c r="J484" s="69"/>
      <c r="K484" s="68" t="s">
        <v>1480</v>
      </c>
      <c r="L484" s="70" t="s">
        <v>77</v>
      </c>
      <c r="M484" s="70"/>
      <c r="N484" s="68" t="s">
        <v>2254</v>
      </c>
      <c r="O484" s="24" t="str">
        <f>IF(Q484=" _","NO","SI")</f>
        <v>NO</v>
      </c>
      <c r="P484" s="24" t="str">
        <f ca="1">IF(color_Celda(E484)=12106214,"ROSA",IF(color_Celda(E484)=65535,"AMARILLO",IF(color_Celda(E484)=5296274,"VERDE",IF(color_Celda(E484)=16777215,"BLANCO","NO SE"))))</f>
        <v>AMARILLO</v>
      </c>
      <c r="Q484" s="70" t="s">
        <v>108</v>
      </c>
      <c r="R484" s="170" t="str">
        <f>VLOOKUP($Q484,Resultados!$A$1:$B$49,2,FALSE)</f>
        <v xml:space="preserve"> _</v>
      </c>
      <c r="S484" s="70"/>
      <c r="T484" s="99"/>
      <c r="U484" s="99"/>
      <c r="V484" s="107"/>
      <c r="W484" s="68"/>
      <c r="X484" s="68"/>
      <c r="Y484" s="64"/>
      <c r="Z484" s="68"/>
      <c r="AA484" s="68"/>
      <c r="AB484" s="68"/>
      <c r="AC484" s="107"/>
      <c r="AD484" s="107"/>
      <c r="AE484" s="143"/>
      <c r="AF484" s="118">
        <v>7</v>
      </c>
      <c r="AG484" s="118"/>
      <c r="AH484" s="118">
        <v>0</v>
      </c>
      <c r="AI484" s="118"/>
      <c r="AJ484" s="126" t="s">
        <v>988</v>
      </c>
      <c r="AK484" s="134"/>
      <c r="AL484" s="151" t="s">
        <v>1627</v>
      </c>
      <c r="AM484" s="431" t="str">
        <f>VLOOKUP($Q484,Resultados!$A$1:$C$49,3,FALSE)</f>
        <v>TRAMITE</v>
      </c>
    </row>
    <row r="485" spans="1:39" ht="39.950000000000003" customHeight="1">
      <c r="A485" s="364">
        <v>361</v>
      </c>
      <c r="B485" s="69">
        <v>45259</v>
      </c>
      <c r="C485" s="329">
        <v>0.52708333333333335</v>
      </c>
      <c r="D485" s="70" t="s">
        <v>1012</v>
      </c>
      <c r="E485" s="92" t="s">
        <v>1013</v>
      </c>
      <c r="F485" s="68">
        <v>6</v>
      </c>
      <c r="G485" s="68" t="s">
        <v>326</v>
      </c>
      <c r="H485" s="69"/>
      <c r="I485" s="69"/>
      <c r="J485" s="69"/>
      <c r="K485" s="68" t="s">
        <v>1480</v>
      </c>
      <c r="L485" s="70" t="s">
        <v>74</v>
      </c>
      <c r="M485" s="70" t="s">
        <v>260</v>
      </c>
      <c r="N485" s="68" t="s">
        <v>1342</v>
      </c>
      <c r="O485" s="24" t="str">
        <f>IF(Q485=" _","NO","SI")</f>
        <v>NO</v>
      </c>
      <c r="P485" s="24" t="str">
        <f ca="1">IF(color_Celda(E485)=12106214,"ROSA",IF(color_Celda(E485)=65535,"AMARILLO",IF(color_Celda(E485)=5296274,"VERDE",IF(color_Celda(E485)=16777215,"BLANCO","NO SE"))))</f>
        <v>AMARILLO</v>
      </c>
      <c r="Q485" s="70" t="s">
        <v>108</v>
      </c>
      <c r="R485" s="170" t="str">
        <f>VLOOKUP($Q485,Resultados!$A$1:$B$49,2,FALSE)</f>
        <v xml:space="preserve"> _</v>
      </c>
      <c r="S485" s="70"/>
      <c r="T485" s="73"/>
      <c r="U485" s="73"/>
      <c r="V485" s="68"/>
      <c r="W485" s="68"/>
      <c r="X485" s="68"/>
      <c r="Y485" s="64"/>
      <c r="Z485" s="68"/>
      <c r="AA485" s="68"/>
      <c r="AB485" s="68"/>
      <c r="AC485" s="68"/>
      <c r="AD485" s="68"/>
      <c r="AE485" s="142"/>
      <c r="AF485" s="146">
        <v>7</v>
      </c>
      <c r="AG485" s="146"/>
      <c r="AH485" s="146">
        <v>0</v>
      </c>
      <c r="AI485" s="146"/>
      <c r="AJ485" s="126" t="s">
        <v>988</v>
      </c>
      <c r="AK485" s="134"/>
      <c r="AL485" s="151" t="s">
        <v>1627</v>
      </c>
      <c r="AM485" s="431" t="str">
        <f>VLOOKUP($Q485,Resultados!$A$1:$C$49,3,FALSE)</f>
        <v>TRAMITE</v>
      </c>
    </row>
    <row r="486" spans="1:39" ht="39.950000000000003" customHeight="1">
      <c r="A486" s="364">
        <v>362</v>
      </c>
      <c r="B486" s="69">
        <v>45259</v>
      </c>
      <c r="C486" s="332" t="s">
        <v>1014</v>
      </c>
      <c r="D486" s="70" t="s">
        <v>1015</v>
      </c>
      <c r="E486" s="92" t="s">
        <v>1016</v>
      </c>
      <c r="F486" s="68">
        <v>6</v>
      </c>
      <c r="G486" s="68" t="s">
        <v>326</v>
      </c>
      <c r="H486" s="69"/>
      <c r="I486" s="69"/>
      <c r="J486" s="69"/>
      <c r="K486" s="68" t="s">
        <v>1480</v>
      </c>
      <c r="L486" s="70" t="s">
        <v>252</v>
      </c>
      <c r="M486" s="70"/>
      <c r="N486" s="68" t="s">
        <v>2254</v>
      </c>
      <c r="O486" s="24" t="str">
        <f>IF(Q486=" _","NO","SI")</f>
        <v>NO</v>
      </c>
      <c r="P486" s="24" t="str">
        <f ca="1">IF(color_Celda(E486)=12106214,"ROSA",IF(color_Celda(E486)=65535,"AMARILLO",IF(color_Celda(E486)=5296274,"VERDE",IF(color_Celda(E486)=16777215,"BLANCO","NO SE"))))</f>
        <v>AMARILLO</v>
      </c>
      <c r="Q486" s="70" t="s">
        <v>108</v>
      </c>
      <c r="R486" s="170" t="str">
        <f>VLOOKUP($Q486,Resultados!$A$1:$B$49,2,FALSE)</f>
        <v xml:space="preserve"> _</v>
      </c>
      <c r="S486" s="70"/>
      <c r="T486" s="99"/>
      <c r="U486" s="99"/>
      <c r="V486" s="107"/>
      <c r="W486" s="68"/>
      <c r="X486" s="68"/>
      <c r="Y486" s="64"/>
      <c r="Z486" s="68"/>
      <c r="AA486" s="68"/>
      <c r="AB486" s="68"/>
      <c r="AC486" s="107"/>
      <c r="AD486" s="107"/>
      <c r="AE486" s="143"/>
      <c r="AF486" s="118">
        <v>7</v>
      </c>
      <c r="AG486" s="118"/>
      <c r="AH486" s="118">
        <v>0</v>
      </c>
      <c r="AI486" s="118"/>
      <c r="AJ486" s="126" t="s">
        <v>988</v>
      </c>
      <c r="AK486" s="134"/>
      <c r="AL486" s="151" t="s">
        <v>1627</v>
      </c>
      <c r="AM486" s="431" t="str">
        <f>VLOOKUP($Q486,Resultados!$A$1:$C$49,3,FALSE)</f>
        <v>TRAMITE</v>
      </c>
    </row>
    <row r="487" spans="1:39" ht="39.950000000000003" customHeight="1">
      <c r="A487" s="372">
        <v>363</v>
      </c>
      <c r="B487" s="85">
        <v>45259</v>
      </c>
      <c r="C487" s="325" t="s">
        <v>798</v>
      </c>
      <c r="D487" s="79" t="s">
        <v>1017</v>
      </c>
      <c r="E487" s="88" t="s">
        <v>1018</v>
      </c>
      <c r="F487" s="74">
        <v>6</v>
      </c>
      <c r="G487" s="74" t="s">
        <v>326</v>
      </c>
      <c r="H487" s="85"/>
      <c r="I487" s="85"/>
      <c r="J487" s="85"/>
      <c r="K487" s="74" t="s">
        <v>1480</v>
      </c>
      <c r="L487" s="79" t="s">
        <v>82</v>
      </c>
      <c r="M487" s="79"/>
      <c r="N487" s="74" t="s">
        <v>2621</v>
      </c>
      <c r="O487" s="266" t="str">
        <f>IF(Q487=" _","NO","SI")</f>
        <v>SI</v>
      </c>
      <c r="P487" s="24" t="str">
        <f ca="1">IF(color_Celda(E487)=12106214,"ROSA",IF(color_Celda(E487)=65535,"AMARILLO",IF(color_Celda(E487)=5296274,"VERDE",IF(color_Celda(E487)=16777215,"BLANCO","NO SE"))))</f>
        <v>ROSA</v>
      </c>
      <c r="Q487" s="79" t="s">
        <v>2437</v>
      </c>
      <c r="R487" s="4" t="str">
        <f>VLOOKUP($Q487,Resultados!$A$1:$B$49,2,FALSE)</f>
        <v>DEVUELTA AL JUZGADO DE ORIGEN</v>
      </c>
      <c r="S487" s="79"/>
      <c r="T487" s="86"/>
      <c r="U487" s="86"/>
      <c r="V487" s="263"/>
      <c r="W487" s="263"/>
      <c r="X487" s="74"/>
      <c r="Y487" s="64"/>
      <c r="Z487" s="74"/>
      <c r="AA487" s="74"/>
      <c r="AB487" s="74"/>
      <c r="AC487" s="263"/>
      <c r="AD487" s="263"/>
      <c r="AE487" s="270"/>
      <c r="AF487" s="272">
        <v>7</v>
      </c>
      <c r="AG487" s="272"/>
      <c r="AH487" s="272">
        <v>0</v>
      </c>
      <c r="AI487" s="272"/>
      <c r="AJ487" s="125" t="s">
        <v>988</v>
      </c>
      <c r="AK487" s="138"/>
      <c r="AL487" s="139" t="s">
        <v>1628</v>
      </c>
      <c r="AM487" s="431" t="str">
        <f>VLOOKUP($Q487,Resultados!$A$1:$C$49,3,FALSE)</f>
        <v>DEVUELTA</v>
      </c>
    </row>
    <row r="488" spans="1:39" ht="39.950000000000003" customHeight="1">
      <c r="A488" s="364">
        <v>364</v>
      </c>
      <c r="B488" s="69">
        <v>45259</v>
      </c>
      <c r="C488" s="332" t="s">
        <v>1019</v>
      </c>
      <c r="D488" s="70" t="s">
        <v>1020</v>
      </c>
      <c r="E488" s="92" t="s">
        <v>1021</v>
      </c>
      <c r="F488" s="68">
        <v>7</v>
      </c>
      <c r="G488" s="68" t="s">
        <v>10</v>
      </c>
      <c r="H488" s="69"/>
      <c r="I488" s="69"/>
      <c r="J488" s="69"/>
      <c r="K488" s="68" t="s">
        <v>1480</v>
      </c>
      <c r="L488" s="70" t="s">
        <v>25</v>
      </c>
      <c r="M488" s="70" t="s">
        <v>2395</v>
      </c>
      <c r="N488" s="68"/>
      <c r="O488" s="24" t="str">
        <f>IF(Q488=" _","NO","SI")</f>
        <v>NO</v>
      </c>
      <c r="P488" s="24" t="str">
        <f ca="1">IF(color_Celda(E488)=12106214,"ROSA",IF(color_Celda(E488)=65535,"AMARILLO",IF(color_Celda(E488)=5296274,"VERDE",IF(color_Celda(E488)=16777215,"BLANCO","NO SE"))))</f>
        <v>AMARILLO</v>
      </c>
      <c r="Q488" s="70" t="s">
        <v>108</v>
      </c>
      <c r="R488" s="170" t="str">
        <f>VLOOKUP($Q488,Resultados!$A$1:$B$49,2,FALSE)</f>
        <v xml:space="preserve"> _</v>
      </c>
      <c r="S488" s="70"/>
      <c r="T488" s="73"/>
      <c r="U488" s="73"/>
      <c r="V488" s="68"/>
      <c r="W488" s="68"/>
      <c r="X488" s="68"/>
      <c r="Y488" s="64"/>
      <c r="Z488" s="68"/>
      <c r="AA488" s="68"/>
      <c r="AB488" s="68"/>
      <c r="AC488" s="68"/>
      <c r="AD488" s="68"/>
      <c r="AE488" s="142"/>
      <c r="AF488" s="146">
        <v>7</v>
      </c>
      <c r="AG488" s="146"/>
      <c r="AH488" s="146">
        <v>0</v>
      </c>
      <c r="AI488" s="146"/>
      <c r="AJ488" s="126" t="s">
        <v>988</v>
      </c>
      <c r="AK488" s="134"/>
      <c r="AL488" s="151" t="s">
        <v>1627</v>
      </c>
      <c r="AM488" s="431" t="str">
        <f>VLOOKUP($Q488,Resultados!$A$1:$C$49,3,FALSE)</f>
        <v>TRAMITE</v>
      </c>
    </row>
    <row r="489" spans="1:39" ht="39.950000000000003" customHeight="1">
      <c r="A489" s="372">
        <v>365</v>
      </c>
      <c r="B489" s="85">
        <v>45259</v>
      </c>
      <c r="C489" s="325" t="s">
        <v>12</v>
      </c>
      <c r="D489" s="79" t="s">
        <v>1022</v>
      </c>
      <c r="E489" s="84" t="s">
        <v>1064</v>
      </c>
      <c r="F489" s="74">
        <v>6</v>
      </c>
      <c r="G489" s="74" t="s">
        <v>325</v>
      </c>
      <c r="H489" s="85"/>
      <c r="I489" s="85"/>
      <c r="J489" s="85"/>
      <c r="K489" s="74" t="s">
        <v>1480</v>
      </c>
      <c r="L489" s="79" t="s">
        <v>254</v>
      </c>
      <c r="M489" s="79" t="s">
        <v>1065</v>
      </c>
      <c r="N489" s="79" t="s">
        <v>2421</v>
      </c>
      <c r="O489" s="266" t="str">
        <f>IF(Q489=" _","NO","SI")</f>
        <v>SI</v>
      </c>
      <c r="P489" s="24" t="str">
        <f ca="1">IF(color_Celda(E489)=12106214,"ROSA",IF(color_Celda(E489)=65535,"AMARILLO",IF(color_Celda(E489)=5296274,"VERDE",IF(color_Celda(E489)=16777215,"BLANCO","NO SE"))))</f>
        <v>ROSA</v>
      </c>
      <c r="Q489" s="79" t="s">
        <v>2437</v>
      </c>
      <c r="R489" s="4" t="str">
        <f>VLOOKUP($Q489,Resultados!$A$1:$B$49,2,FALSE)</f>
        <v>DEVUELTA AL JUZGADO DE ORIGEN</v>
      </c>
      <c r="S489" s="79"/>
      <c r="T489" s="86"/>
      <c r="U489" s="86"/>
      <c r="V489" s="263"/>
      <c r="W489" s="263"/>
      <c r="X489" s="74"/>
      <c r="Y489" s="64"/>
      <c r="Z489" s="74"/>
      <c r="AA489" s="74"/>
      <c r="AB489" s="74"/>
      <c r="AC489" s="263"/>
      <c r="AD489" s="263"/>
      <c r="AE489" s="270"/>
      <c r="AF489" s="272">
        <v>7</v>
      </c>
      <c r="AG489" s="272"/>
      <c r="AH489" s="272">
        <v>0</v>
      </c>
      <c r="AI489" s="272"/>
      <c r="AJ489" s="125" t="s">
        <v>408</v>
      </c>
      <c r="AK489" s="130"/>
      <c r="AL489" s="139" t="s">
        <v>1628</v>
      </c>
      <c r="AM489" s="431" t="str">
        <f>VLOOKUP($Q489,Resultados!$A$1:$C$49,3,FALSE)</f>
        <v>DEVUELTA</v>
      </c>
    </row>
    <row r="490" spans="1:39" ht="39.950000000000003" customHeight="1">
      <c r="A490" s="373">
        <v>366</v>
      </c>
      <c r="B490" s="100">
        <v>45259</v>
      </c>
      <c r="C490" s="336" t="s">
        <v>12</v>
      </c>
      <c r="D490" s="96" t="s">
        <v>1023</v>
      </c>
      <c r="E490" s="98" t="s">
        <v>1024</v>
      </c>
      <c r="F490" s="107">
        <v>5</v>
      </c>
      <c r="G490" s="107" t="s">
        <v>10</v>
      </c>
      <c r="H490" s="100"/>
      <c r="I490" s="100"/>
      <c r="J490" s="100"/>
      <c r="K490" s="107" t="s">
        <v>1480</v>
      </c>
      <c r="L490" s="96" t="s">
        <v>74</v>
      </c>
      <c r="M490" s="96"/>
      <c r="N490" s="107"/>
      <c r="O490" s="24" t="str">
        <f>IF(Q490=" _","NO","SI")</f>
        <v>SI</v>
      </c>
      <c r="P490" s="24" t="str">
        <f ca="1">IF(color_Celda(E490)=12106214,"ROSA",IF(color_Celda(E490)=65535,"AMARILLO",IF(color_Celda(E490)=5296274,"VERDE",IF(color_Celda(E490)=16777215,"BLANCO","NO SE"))))</f>
        <v>VERDE</v>
      </c>
      <c r="Q490" s="96" t="s">
        <v>3313</v>
      </c>
      <c r="R490" s="176" t="str">
        <f>VLOOKUP($Q490,Resultados!$A$1:$B$49,2,FALSE)</f>
        <v>VERDE</v>
      </c>
      <c r="S490" s="96"/>
      <c r="T490" s="99"/>
      <c r="U490" s="99"/>
      <c r="V490" s="107"/>
      <c r="W490" s="107"/>
      <c r="X490" s="107"/>
      <c r="Y490" s="64"/>
      <c r="Z490" s="107"/>
      <c r="AA490" s="107"/>
      <c r="AB490" s="107"/>
      <c r="AC490" s="107"/>
      <c r="AD490" s="107"/>
      <c r="AE490" s="143"/>
      <c r="AF490" s="118">
        <v>7</v>
      </c>
      <c r="AG490" s="118"/>
      <c r="AH490" s="118">
        <v>0</v>
      </c>
      <c r="AI490" s="118"/>
      <c r="AJ490" s="127" t="s">
        <v>988</v>
      </c>
      <c r="AK490" s="159"/>
      <c r="AL490" s="158" t="s">
        <v>1627</v>
      </c>
      <c r="AM490" s="431" t="str">
        <f>VLOOKUP($Q490,Resultados!$A$1:$C$49,3,FALSE)</f>
        <v>NO LLEGO</v>
      </c>
    </row>
    <row r="491" spans="1:39" ht="39.950000000000003" customHeight="1">
      <c r="A491" s="364">
        <v>367</v>
      </c>
      <c r="B491" s="69">
        <v>45259</v>
      </c>
      <c r="C491" s="332" t="s">
        <v>12</v>
      </c>
      <c r="D491" s="70" t="s">
        <v>1025</v>
      </c>
      <c r="E491" s="92" t="s">
        <v>1026</v>
      </c>
      <c r="F491" s="68">
        <v>3</v>
      </c>
      <c r="G491" s="68" t="s">
        <v>1750</v>
      </c>
      <c r="H491" s="69"/>
      <c r="I491" s="69"/>
      <c r="J491" s="69"/>
      <c r="K491" s="68" t="s">
        <v>1480</v>
      </c>
      <c r="L491" s="70" t="s">
        <v>75</v>
      </c>
      <c r="M491" s="70" t="s">
        <v>1500</v>
      </c>
      <c r="N491" s="111" t="s">
        <v>1499</v>
      </c>
      <c r="O491" s="24" t="str">
        <f>IF(Q491=" _","NO","SI")</f>
        <v>NO</v>
      </c>
      <c r="P491" s="24" t="str">
        <f ca="1">IF(color_Celda(E491)=12106214,"ROSA",IF(color_Celda(E491)=65535,"AMARILLO",IF(color_Celda(E491)=5296274,"VERDE",IF(color_Celda(E491)=16777215,"BLANCO","NO SE"))))</f>
        <v>AMARILLO</v>
      </c>
      <c r="Q491" s="70" t="s">
        <v>108</v>
      </c>
      <c r="R491" s="170" t="str">
        <f>VLOOKUP($Q491,Resultados!$A$1:$B$49,2,FALSE)</f>
        <v xml:space="preserve"> _</v>
      </c>
      <c r="S491" s="70"/>
      <c r="T491" s="73"/>
      <c r="U491" s="73"/>
      <c r="V491" s="68"/>
      <c r="W491" s="68"/>
      <c r="X491" s="68"/>
      <c r="Y491" s="64"/>
      <c r="Z491" s="68"/>
      <c r="AA491" s="68"/>
      <c r="AB491" s="68"/>
      <c r="AC491" s="68"/>
      <c r="AD491" s="68"/>
      <c r="AE491" s="142"/>
      <c r="AF491" s="146">
        <v>7</v>
      </c>
      <c r="AG491" s="146"/>
      <c r="AH491" s="146">
        <v>0</v>
      </c>
      <c r="AI491" s="146"/>
      <c r="AJ491" s="126" t="s">
        <v>988</v>
      </c>
      <c r="AK491" s="134"/>
      <c r="AL491" s="129" t="s">
        <v>1627</v>
      </c>
      <c r="AM491" s="431" t="str">
        <f>VLOOKUP($Q491,Resultados!$A$1:$C$49,3,FALSE)</f>
        <v>TRAMITE</v>
      </c>
    </row>
    <row r="492" spans="1:39" ht="39.950000000000003" customHeight="1">
      <c r="A492" s="373">
        <v>368</v>
      </c>
      <c r="B492" s="100">
        <v>45259</v>
      </c>
      <c r="C492" s="336" t="s">
        <v>12</v>
      </c>
      <c r="D492" s="96" t="s">
        <v>1029</v>
      </c>
      <c r="E492" s="98" t="s">
        <v>1030</v>
      </c>
      <c r="F492" s="107">
        <v>1</v>
      </c>
      <c r="G492" s="107" t="s">
        <v>326</v>
      </c>
      <c r="H492" s="100"/>
      <c r="I492" s="100"/>
      <c r="J492" s="100"/>
      <c r="K492" s="107" t="s">
        <v>1480</v>
      </c>
      <c r="L492" s="96" t="s">
        <v>2172</v>
      </c>
      <c r="M492" s="96"/>
      <c r="N492" s="107"/>
      <c r="O492" s="24" t="str">
        <f>IF(Q492=" _","NO","SI")</f>
        <v>SI</v>
      </c>
      <c r="P492" s="24" t="str">
        <f ca="1">IF(color_Celda(E492)=12106214,"ROSA",IF(color_Celda(E492)=65535,"AMARILLO",IF(color_Celda(E492)=5296274,"VERDE",IF(color_Celda(E492)=16777215,"BLANCO","NO SE"))))</f>
        <v>VERDE</v>
      </c>
      <c r="Q492" s="96" t="s">
        <v>3313</v>
      </c>
      <c r="R492" s="176" t="str">
        <f>VLOOKUP($Q492,Resultados!$A$1:$B$49,2,FALSE)</f>
        <v>VERDE</v>
      </c>
      <c r="S492" s="96"/>
      <c r="T492" s="99"/>
      <c r="U492" s="99"/>
      <c r="V492" s="107"/>
      <c r="W492" s="107"/>
      <c r="X492" s="107"/>
      <c r="Y492" s="64"/>
      <c r="Z492" s="107"/>
      <c r="AA492" s="107"/>
      <c r="AB492" s="107"/>
      <c r="AC492" s="107"/>
      <c r="AD492" s="107"/>
      <c r="AE492" s="143"/>
      <c r="AF492" s="118">
        <v>7</v>
      </c>
      <c r="AG492" s="118"/>
      <c r="AH492" s="118">
        <v>0</v>
      </c>
      <c r="AI492" s="118"/>
      <c r="AJ492" s="127" t="s">
        <v>988</v>
      </c>
      <c r="AK492" s="159"/>
      <c r="AL492" s="158" t="s">
        <v>1627</v>
      </c>
      <c r="AM492" s="431" t="str">
        <f>VLOOKUP($Q492,Resultados!$A$1:$C$49,3,FALSE)</f>
        <v>NO LLEGO</v>
      </c>
    </row>
    <row r="493" spans="1:39" ht="39.950000000000003" customHeight="1">
      <c r="A493" s="364">
        <v>369</v>
      </c>
      <c r="B493" s="69">
        <v>45259</v>
      </c>
      <c r="C493" s="329">
        <v>0.53680555555555554</v>
      </c>
      <c r="D493" s="70" t="s">
        <v>301</v>
      </c>
      <c r="E493" s="92" t="s">
        <v>1046</v>
      </c>
      <c r="F493" s="68">
        <v>6</v>
      </c>
      <c r="G493" s="68" t="s">
        <v>326</v>
      </c>
      <c r="H493" s="69"/>
      <c r="I493" s="69"/>
      <c r="J493" s="69"/>
      <c r="K493" s="68" t="s">
        <v>1480</v>
      </c>
      <c r="L493" s="70" t="s">
        <v>78</v>
      </c>
      <c r="M493" s="70"/>
      <c r="N493" s="68" t="s">
        <v>2254</v>
      </c>
      <c r="O493" s="24" t="str">
        <f>IF(Q493=" _","NO","SI")</f>
        <v>NO</v>
      </c>
      <c r="P493" s="24" t="str">
        <f ca="1">IF(color_Celda(E493)=12106214,"ROSA",IF(color_Celda(E493)=65535,"AMARILLO",IF(color_Celda(E493)=5296274,"VERDE",IF(color_Celda(E493)=16777215,"BLANCO","NO SE"))))</f>
        <v>AMARILLO</v>
      </c>
      <c r="Q493" s="70" t="s">
        <v>108</v>
      </c>
      <c r="R493" s="170" t="str">
        <f>VLOOKUP($Q493,Resultados!$A$1:$B$49,2,FALSE)</f>
        <v xml:space="preserve"> _</v>
      </c>
      <c r="S493" s="70"/>
      <c r="T493" s="99"/>
      <c r="U493" s="99"/>
      <c r="V493" s="107"/>
      <c r="W493" s="68"/>
      <c r="X493" s="68"/>
      <c r="Y493" s="64"/>
      <c r="Z493" s="68"/>
      <c r="AA493" s="68"/>
      <c r="AB493" s="68"/>
      <c r="AC493" s="107"/>
      <c r="AD493" s="107"/>
      <c r="AE493" s="143"/>
      <c r="AF493" s="118">
        <v>7</v>
      </c>
      <c r="AG493" s="118"/>
      <c r="AH493" s="118">
        <v>0</v>
      </c>
      <c r="AI493" s="118"/>
      <c r="AJ493" s="126" t="s">
        <v>988</v>
      </c>
      <c r="AK493" s="134"/>
      <c r="AL493" s="151" t="s">
        <v>1627</v>
      </c>
      <c r="AM493" s="431" t="str">
        <f>VLOOKUP($Q493,Resultados!$A$1:$C$49,3,FALSE)</f>
        <v>TRAMITE</v>
      </c>
    </row>
    <row r="494" spans="1:39" ht="39.950000000000003" customHeight="1">
      <c r="A494" s="364">
        <v>370</v>
      </c>
      <c r="B494" s="69">
        <v>45259</v>
      </c>
      <c r="C494" s="332" t="s">
        <v>1047</v>
      </c>
      <c r="D494" s="70" t="s">
        <v>1048</v>
      </c>
      <c r="E494" s="92" t="s">
        <v>1049</v>
      </c>
      <c r="F494" s="68">
        <v>3</v>
      </c>
      <c r="G494" s="68" t="s">
        <v>1750</v>
      </c>
      <c r="H494" s="69"/>
      <c r="I494" s="69"/>
      <c r="J494" s="69"/>
      <c r="K494" s="68" t="s">
        <v>1480</v>
      </c>
      <c r="L494" s="70" t="s">
        <v>74</v>
      </c>
      <c r="M494" s="70" t="s">
        <v>45</v>
      </c>
      <c r="N494" s="68"/>
      <c r="O494" s="24" t="str">
        <f>IF(Q494=" _","NO","SI")</f>
        <v>NO</v>
      </c>
      <c r="P494" s="24" t="str">
        <f ca="1">IF(color_Celda(E494)=12106214,"ROSA",IF(color_Celda(E494)=65535,"AMARILLO",IF(color_Celda(E494)=5296274,"VERDE",IF(color_Celda(E494)=16777215,"BLANCO","NO SE"))))</f>
        <v>AMARILLO</v>
      </c>
      <c r="Q494" s="70" t="s">
        <v>108</v>
      </c>
      <c r="R494" s="170" t="str">
        <f>VLOOKUP($Q494,Resultados!$A$1:$B$49,2,FALSE)</f>
        <v xml:space="preserve"> _</v>
      </c>
      <c r="S494" s="70"/>
      <c r="T494" s="73"/>
      <c r="U494" s="73"/>
      <c r="V494" s="68"/>
      <c r="W494" s="68"/>
      <c r="X494" s="68"/>
      <c r="Y494" s="64"/>
      <c r="Z494" s="68"/>
      <c r="AA494" s="68"/>
      <c r="AB494" s="68"/>
      <c r="AC494" s="68"/>
      <c r="AD494" s="68"/>
      <c r="AE494" s="142"/>
      <c r="AF494" s="146">
        <v>7</v>
      </c>
      <c r="AG494" s="146"/>
      <c r="AH494" s="146">
        <v>0</v>
      </c>
      <c r="AI494" s="146"/>
      <c r="AJ494" s="126" t="s">
        <v>988</v>
      </c>
      <c r="AK494" s="134"/>
      <c r="AL494" s="151" t="s">
        <v>1627</v>
      </c>
      <c r="AM494" s="431" t="str">
        <f>VLOOKUP($Q494,Resultados!$A$1:$C$49,3,FALSE)</f>
        <v>TRAMITE</v>
      </c>
    </row>
    <row r="495" spans="1:39" ht="39.950000000000003" customHeight="1">
      <c r="A495" s="364">
        <v>371</v>
      </c>
      <c r="B495" s="69">
        <v>45259</v>
      </c>
      <c r="C495" s="329">
        <v>0.38194444444444442</v>
      </c>
      <c r="D495" s="70" t="s">
        <v>1478</v>
      </c>
      <c r="E495" s="92" t="s">
        <v>1479</v>
      </c>
      <c r="F495" s="68">
        <v>3</v>
      </c>
      <c r="G495" s="68" t="s">
        <v>1750</v>
      </c>
      <c r="H495" s="69"/>
      <c r="I495" s="69"/>
      <c r="J495" s="69"/>
      <c r="K495" s="68" t="s">
        <v>1480</v>
      </c>
      <c r="L495" s="70" t="s">
        <v>2167</v>
      </c>
      <c r="M495" s="70" t="s">
        <v>284</v>
      </c>
      <c r="N495" s="70" t="s">
        <v>1481</v>
      </c>
      <c r="O495" s="24" t="str">
        <f>IF(Q495=" _","NO","SI")</f>
        <v>NO</v>
      </c>
      <c r="P495" s="24" t="str">
        <f ca="1">IF(color_Celda(E495)=12106214,"ROSA",IF(color_Celda(E495)=65535,"AMARILLO",IF(color_Celda(E495)=5296274,"VERDE",IF(color_Celda(E495)=16777215,"BLANCO","NO SE"))))</f>
        <v>AMARILLO</v>
      </c>
      <c r="Q495" s="70" t="s">
        <v>108</v>
      </c>
      <c r="R495" s="170" t="str">
        <f>VLOOKUP($Q495,Resultados!$A$1:$B$49,2,FALSE)</f>
        <v xml:space="preserve"> _</v>
      </c>
      <c r="S495" s="70"/>
      <c r="T495" s="73"/>
      <c r="U495" s="73"/>
      <c r="V495" s="68"/>
      <c r="W495" s="68"/>
      <c r="X495" s="68"/>
      <c r="Y495" s="64"/>
      <c r="Z495" s="68"/>
      <c r="AA495" s="68"/>
      <c r="AB495" s="68"/>
      <c r="AC495" s="68"/>
      <c r="AD495" s="68"/>
      <c r="AE495" s="142"/>
      <c r="AF495" s="146"/>
      <c r="AG495" s="146"/>
      <c r="AH495" s="146"/>
      <c r="AI495" s="146"/>
      <c r="AJ495" s="126" t="s">
        <v>988</v>
      </c>
      <c r="AK495" s="132"/>
      <c r="AL495" s="129" t="s">
        <v>1627</v>
      </c>
      <c r="AM495" s="431" t="str">
        <f>VLOOKUP($Q495,Resultados!$A$1:$C$49,3,FALSE)</f>
        <v>TRAMITE</v>
      </c>
    </row>
    <row r="496" spans="1:39" ht="39.950000000000003" customHeight="1">
      <c r="A496" s="364">
        <v>372</v>
      </c>
      <c r="B496" s="38">
        <v>45259</v>
      </c>
      <c r="C496" s="331">
        <v>0.38194444444444442</v>
      </c>
      <c r="D496" s="32" t="s">
        <v>1591</v>
      </c>
      <c r="E496" s="40" t="s">
        <v>1592</v>
      </c>
      <c r="F496" s="39">
        <v>3</v>
      </c>
      <c r="G496" s="68" t="s">
        <v>1750</v>
      </c>
      <c r="H496" s="38"/>
      <c r="I496" s="38"/>
      <c r="J496" s="38"/>
      <c r="K496" s="39" t="str">
        <f>IFERROR(VLOOKUP(J496,Jueces!$A$1:$B$11,2,FALSE),"")</f>
        <v/>
      </c>
      <c r="L496" s="32" t="s">
        <v>31</v>
      </c>
      <c r="M496" s="32" t="s">
        <v>45</v>
      </c>
      <c r="N496" s="32" t="s">
        <v>1593</v>
      </c>
      <c r="O496" s="24" t="str">
        <f>IF(Q496=" _","NO","SI")</f>
        <v>NO</v>
      </c>
      <c r="P496" s="24" t="str">
        <f ca="1">IF(color_Celda(E496)=12106214,"ROSA",IF(color_Celda(E496)=65535,"AMARILLO",IF(color_Celda(E496)=5296274,"VERDE",IF(color_Celda(E496)=16777215,"BLANCO","NO SE"))))</f>
        <v>AMARILLO</v>
      </c>
      <c r="Q496" s="32" t="s">
        <v>108</v>
      </c>
      <c r="R496" s="170" t="str">
        <f>VLOOKUP($Q496,Resultados!$A$1:$B$49,2,FALSE)</f>
        <v xml:space="preserve"> _</v>
      </c>
      <c r="S496" s="32"/>
      <c r="T496" s="37"/>
      <c r="U496" s="37"/>
      <c r="V496" s="39"/>
      <c r="W496" s="39"/>
      <c r="X496" s="39"/>
      <c r="Y496" s="64"/>
      <c r="Z496" s="39"/>
      <c r="AA496" s="39"/>
      <c r="AB496" s="39"/>
      <c r="AC496" s="39"/>
      <c r="AD496" s="39"/>
      <c r="AE496" s="144"/>
      <c r="AF496" s="150"/>
      <c r="AG496" s="150"/>
      <c r="AH496" s="150"/>
      <c r="AI496" s="150"/>
      <c r="AJ496" s="128" t="s">
        <v>988</v>
      </c>
      <c r="AK496" s="136"/>
      <c r="AL496" s="129" t="s">
        <v>1627</v>
      </c>
      <c r="AM496" s="431" t="str">
        <f>VLOOKUP($Q496,Resultados!$A$1:$C$49,3,FALSE)</f>
        <v>TRAMITE</v>
      </c>
    </row>
    <row r="497" spans="1:39" ht="39.950000000000003" customHeight="1">
      <c r="A497" s="364">
        <v>375</v>
      </c>
      <c r="B497" s="69">
        <v>45260</v>
      </c>
      <c r="C497" s="332" t="s">
        <v>1055</v>
      </c>
      <c r="D497" s="70" t="s">
        <v>1056</v>
      </c>
      <c r="E497" s="92" t="s">
        <v>1057</v>
      </c>
      <c r="F497" s="68">
        <v>3</v>
      </c>
      <c r="G497" s="68" t="s">
        <v>5</v>
      </c>
      <c r="H497" s="69"/>
      <c r="I497" s="69"/>
      <c r="J497" s="69"/>
      <c r="K497" s="68" t="s">
        <v>1480</v>
      </c>
      <c r="L497" s="70" t="s">
        <v>88</v>
      </c>
      <c r="M497" s="70"/>
      <c r="N497" s="70" t="s">
        <v>1300</v>
      </c>
      <c r="O497" s="24" t="str">
        <f>IF(Q497=" _","NO","SI")</f>
        <v>NO</v>
      </c>
      <c r="P497" s="24" t="str">
        <f ca="1">IF(color_Celda(E497)=12106214,"ROSA",IF(color_Celda(E497)=65535,"AMARILLO",IF(color_Celda(E497)=5296274,"VERDE",IF(color_Celda(E497)=16777215,"BLANCO","NO SE"))))</f>
        <v>AMARILLO</v>
      </c>
      <c r="Q497" s="70" t="s">
        <v>108</v>
      </c>
      <c r="R497" s="170" t="str">
        <f>VLOOKUP($Q497,Resultados!$A$1:$B$49,2,FALSE)</f>
        <v xml:space="preserve"> _</v>
      </c>
      <c r="S497" s="70"/>
      <c r="T497" s="73"/>
      <c r="U497" s="73"/>
      <c r="V497" s="68"/>
      <c r="W497" s="68"/>
      <c r="X497" s="68"/>
      <c r="Y497" s="64"/>
      <c r="Z497" s="68"/>
      <c r="AA497" s="68"/>
      <c r="AB497" s="68"/>
      <c r="AC497" s="68"/>
      <c r="AD497" s="68"/>
      <c r="AE497" s="142"/>
      <c r="AF497" s="146">
        <v>7</v>
      </c>
      <c r="AG497" s="146"/>
      <c r="AH497" s="146">
        <v>0</v>
      </c>
      <c r="AI497" s="146"/>
      <c r="AJ497" s="126" t="s">
        <v>988</v>
      </c>
      <c r="AK497" s="132"/>
      <c r="AL497" s="151" t="s">
        <v>1627</v>
      </c>
      <c r="AM497" s="431" t="str">
        <f>VLOOKUP($Q497,Resultados!$A$1:$C$49,3,FALSE)</f>
        <v>TRAMITE</v>
      </c>
    </row>
    <row r="498" spans="1:39" ht="39.950000000000003" customHeight="1">
      <c r="A498" s="373">
        <v>376</v>
      </c>
      <c r="B498" s="100">
        <v>45260</v>
      </c>
      <c r="C498" s="336" t="s">
        <v>1058</v>
      </c>
      <c r="D498" s="96" t="s">
        <v>1059</v>
      </c>
      <c r="E498" s="98" t="s">
        <v>1060</v>
      </c>
      <c r="F498" s="107">
        <v>7</v>
      </c>
      <c r="G498" s="107" t="s">
        <v>10</v>
      </c>
      <c r="H498" s="100"/>
      <c r="I498" s="100"/>
      <c r="J498" s="100"/>
      <c r="K498" s="107" t="s">
        <v>1480</v>
      </c>
      <c r="L498" s="96" t="s">
        <v>72</v>
      </c>
      <c r="M498" s="96"/>
      <c r="N498" s="96" t="s">
        <v>1061</v>
      </c>
      <c r="O498" s="24" t="str">
        <f>IF(Q498=" _","NO","SI")</f>
        <v>SI</v>
      </c>
      <c r="P498" s="24" t="str">
        <f ca="1">IF(color_Celda(E498)=12106214,"ROSA",IF(color_Celda(E498)=65535,"AMARILLO",IF(color_Celda(E498)=5296274,"VERDE",IF(color_Celda(E498)=16777215,"BLANCO","NO SE"))))</f>
        <v>VERDE</v>
      </c>
      <c r="Q498" s="96" t="s">
        <v>3313</v>
      </c>
      <c r="R498" s="176" t="str">
        <f>VLOOKUP($Q498,Resultados!$A$1:$B$49,2,FALSE)</f>
        <v>VERDE</v>
      </c>
      <c r="S498" s="96"/>
      <c r="T498" s="99"/>
      <c r="U498" s="99"/>
      <c r="V498" s="107"/>
      <c r="W498" s="107"/>
      <c r="X498" s="107"/>
      <c r="Y498" s="64"/>
      <c r="Z498" s="107"/>
      <c r="AA498" s="107"/>
      <c r="AB498" s="107"/>
      <c r="AC498" s="107"/>
      <c r="AD498" s="107"/>
      <c r="AE498" s="143"/>
      <c r="AF498" s="118">
        <v>7</v>
      </c>
      <c r="AG498" s="118"/>
      <c r="AH498" s="118">
        <v>0</v>
      </c>
      <c r="AI498" s="118"/>
      <c r="AJ498" s="127" t="s">
        <v>988</v>
      </c>
      <c r="AK498" s="131"/>
      <c r="AL498" s="129" t="s">
        <v>1627</v>
      </c>
      <c r="AM498" s="431" t="str">
        <f>VLOOKUP($Q498,Resultados!$A$1:$C$49,3,FALSE)</f>
        <v>NO LLEGO</v>
      </c>
    </row>
    <row r="499" spans="1:39" ht="39.950000000000003" customHeight="1">
      <c r="A499" s="364">
        <v>378</v>
      </c>
      <c r="B499" s="38">
        <v>45260</v>
      </c>
      <c r="C499" s="331">
        <v>0.4236111111111111</v>
      </c>
      <c r="D499" s="32" t="s">
        <v>2474</v>
      </c>
      <c r="E499" s="40" t="s">
        <v>2501</v>
      </c>
      <c r="F499" s="39">
        <v>4</v>
      </c>
      <c r="G499" s="39" t="s">
        <v>325</v>
      </c>
      <c r="H499" s="38"/>
      <c r="I499" s="38"/>
      <c r="J499" s="38"/>
      <c r="K499" s="39" t="s">
        <v>1480</v>
      </c>
      <c r="L499" s="70" t="s">
        <v>87</v>
      </c>
      <c r="M499" s="70" t="s">
        <v>2475</v>
      </c>
      <c r="N499" s="32" t="s">
        <v>3225</v>
      </c>
      <c r="O499" s="137" t="str">
        <f>IF(Q499=" _","NO","SI")</f>
        <v>NO</v>
      </c>
      <c r="P499" s="24" t="str">
        <f ca="1">IF(color_Celda(E499)=12106214,"ROSA",IF(color_Celda(E499)=65535,"AMARILLO",IF(color_Celda(E499)=5296274,"VERDE",IF(color_Celda(E499)=16777215,"BLANCO","NO SE"))))</f>
        <v>AMARILLO</v>
      </c>
      <c r="Q499" s="32" t="s">
        <v>108</v>
      </c>
      <c r="R499" s="170" t="str">
        <f>VLOOKUP($Q499,Resultados!$A$1:$B$49,2,FALSE)</f>
        <v xml:space="preserve"> _</v>
      </c>
      <c r="S499" s="32"/>
      <c r="T499" s="73"/>
      <c r="U499" s="37"/>
      <c r="V499" s="39"/>
      <c r="W499" s="39"/>
      <c r="X499" s="39"/>
      <c r="Y499" s="199"/>
      <c r="Z499" s="39"/>
      <c r="AA499" s="39"/>
      <c r="AB499" s="39"/>
      <c r="AC499" s="39"/>
      <c r="AD499" s="39"/>
      <c r="AE499" s="144"/>
      <c r="AF499" s="150"/>
      <c r="AG499" s="150"/>
      <c r="AH499" s="150"/>
      <c r="AI499" s="150"/>
      <c r="AJ499" s="126" t="s">
        <v>988</v>
      </c>
      <c r="AK499" s="136"/>
      <c r="AL499" s="151" t="s">
        <v>1627</v>
      </c>
      <c r="AM499" s="431" t="str">
        <f>VLOOKUP($Q499,Resultados!$A$1:$C$49,3,FALSE)</f>
        <v>TRAMITE</v>
      </c>
    </row>
    <row r="500" spans="1:39" ht="39.950000000000003" customHeight="1">
      <c r="A500" s="364">
        <v>379</v>
      </c>
      <c r="B500" s="38">
        <v>45260</v>
      </c>
      <c r="C500" s="337" t="s">
        <v>981</v>
      </c>
      <c r="D500" s="32" t="s">
        <v>2510</v>
      </c>
      <c r="E500" s="40" t="s">
        <v>2511</v>
      </c>
      <c r="F500" s="39">
        <v>4</v>
      </c>
      <c r="G500" s="39" t="s">
        <v>325</v>
      </c>
      <c r="H500" s="38"/>
      <c r="I500" s="38"/>
      <c r="J500" s="38"/>
      <c r="K500" s="39" t="s">
        <v>1480</v>
      </c>
      <c r="L500" s="70" t="s">
        <v>25</v>
      </c>
      <c r="M500" s="70" t="s">
        <v>2512</v>
      </c>
      <c r="N500" s="32" t="s">
        <v>2271</v>
      </c>
      <c r="O500" s="137" t="str">
        <f>IF(Q500=" _","NO","SI")</f>
        <v>NO</v>
      </c>
      <c r="P500" s="24" t="str">
        <f ca="1">IF(color_Celda(E500)=12106214,"ROSA",IF(color_Celda(E500)=65535,"AMARILLO",IF(color_Celda(E500)=5296274,"VERDE",IF(color_Celda(E500)=16777215,"BLANCO","NO SE"))))</f>
        <v>AMARILLO</v>
      </c>
      <c r="Q500" s="32" t="s">
        <v>108</v>
      </c>
      <c r="R500" s="170" t="str">
        <f>VLOOKUP($Q500,Resultados!$A$1:$B$49,2,FALSE)</f>
        <v xml:space="preserve"> _</v>
      </c>
      <c r="S500" s="32"/>
      <c r="T500" s="73"/>
      <c r="U500" s="37"/>
      <c r="V500" s="39"/>
      <c r="W500" s="39"/>
      <c r="X500" s="39"/>
      <c r="Y500" s="199"/>
      <c r="Z500" s="39"/>
      <c r="AA500" s="39"/>
      <c r="AB500" s="39"/>
      <c r="AC500" s="39"/>
      <c r="AD500" s="39"/>
      <c r="AE500" s="144"/>
      <c r="AF500" s="150"/>
      <c r="AG500" s="150"/>
      <c r="AH500" s="150"/>
      <c r="AI500" s="150"/>
      <c r="AJ500" s="126" t="s">
        <v>988</v>
      </c>
      <c r="AK500" s="136"/>
      <c r="AL500" s="151" t="s">
        <v>1627</v>
      </c>
      <c r="AM500" s="431" t="str">
        <f>VLOOKUP($Q500,Resultados!$A$1:$C$49,3,FALSE)</f>
        <v>TRAMITE</v>
      </c>
    </row>
    <row r="501" spans="1:39" ht="39.950000000000003" customHeight="1">
      <c r="A501" s="364">
        <v>380</v>
      </c>
      <c r="B501" s="72">
        <v>45261</v>
      </c>
      <c r="C501" s="332" t="s">
        <v>368</v>
      </c>
      <c r="D501" s="70" t="s">
        <v>1076</v>
      </c>
      <c r="E501" s="92" t="s">
        <v>2270</v>
      </c>
      <c r="F501" s="68">
        <v>6</v>
      </c>
      <c r="G501" s="68" t="s">
        <v>326</v>
      </c>
      <c r="H501" s="69"/>
      <c r="I501" s="69"/>
      <c r="J501" s="69"/>
      <c r="K501" s="68" t="s">
        <v>1480</v>
      </c>
      <c r="L501" s="70" t="s">
        <v>83</v>
      </c>
      <c r="M501" s="70" t="s">
        <v>131</v>
      </c>
      <c r="N501" s="68" t="s">
        <v>1342</v>
      </c>
      <c r="O501" s="24" t="str">
        <f>IF(Q501=" _","NO","SI")</f>
        <v>NO</v>
      </c>
      <c r="P501" s="24" t="str">
        <f ca="1">IF(color_Celda(E501)=12106214,"ROSA",IF(color_Celda(E501)=65535,"AMARILLO",IF(color_Celda(E501)=5296274,"VERDE",IF(color_Celda(E501)=16777215,"BLANCO","NO SE"))))</f>
        <v>AMARILLO</v>
      </c>
      <c r="Q501" s="70" t="s">
        <v>108</v>
      </c>
      <c r="R501" s="170" t="str">
        <f>VLOOKUP($Q501,Resultados!$A$1:$B$49,2,FALSE)</f>
        <v xml:space="preserve"> _</v>
      </c>
      <c r="S501" s="70"/>
      <c r="T501" s="73"/>
      <c r="U501" s="73"/>
      <c r="V501" s="68"/>
      <c r="W501" s="68"/>
      <c r="X501" s="68"/>
      <c r="Y501" s="64"/>
      <c r="Z501" s="68"/>
      <c r="AA501" s="68"/>
      <c r="AB501" s="68"/>
      <c r="AC501" s="68"/>
      <c r="AD501" s="68"/>
      <c r="AE501" s="142"/>
      <c r="AF501" s="146">
        <v>7</v>
      </c>
      <c r="AG501" s="146"/>
      <c r="AH501" s="146">
        <v>0</v>
      </c>
      <c r="AI501" s="146"/>
      <c r="AJ501" s="126" t="s">
        <v>988</v>
      </c>
      <c r="AK501" s="134"/>
      <c r="AL501" s="151" t="s">
        <v>1627</v>
      </c>
      <c r="AM501" s="431" t="str">
        <f>VLOOKUP($Q501,Resultados!$A$1:$C$49,3,FALSE)</f>
        <v>TRAMITE</v>
      </c>
    </row>
    <row r="502" spans="1:39" ht="39.950000000000003" customHeight="1">
      <c r="A502" s="364">
        <v>383</v>
      </c>
      <c r="B502" s="72">
        <v>45261</v>
      </c>
      <c r="C502" s="332" t="s">
        <v>803</v>
      </c>
      <c r="D502" s="70" t="s">
        <v>1151</v>
      </c>
      <c r="E502" s="92" t="s">
        <v>1152</v>
      </c>
      <c r="F502" s="68">
        <v>4</v>
      </c>
      <c r="G502" s="68" t="s">
        <v>325</v>
      </c>
      <c r="H502" s="69"/>
      <c r="I502" s="69"/>
      <c r="J502" s="69"/>
      <c r="K502" s="68" t="s">
        <v>1480</v>
      </c>
      <c r="L502" s="70" t="s">
        <v>74</v>
      </c>
      <c r="M502" s="70" t="s">
        <v>226</v>
      </c>
      <c r="N502" s="70" t="s">
        <v>1153</v>
      </c>
      <c r="O502" s="24" t="str">
        <f>IF(Q502=" _","NO","SI")</f>
        <v>NO</v>
      </c>
      <c r="P502" s="24" t="str">
        <f ca="1">IF(color_Celda(E502)=12106214,"ROSA",IF(color_Celda(E502)=65535,"AMARILLO",IF(color_Celda(E502)=5296274,"VERDE",IF(color_Celda(E502)=16777215,"BLANCO","NO SE"))))</f>
        <v>AMARILLO</v>
      </c>
      <c r="Q502" s="70" t="s">
        <v>108</v>
      </c>
      <c r="R502" s="170" t="str">
        <f>VLOOKUP($Q502,Resultados!$A$1:$B$49,2,FALSE)</f>
        <v xml:space="preserve"> _</v>
      </c>
      <c r="S502" s="70"/>
      <c r="T502" s="73"/>
      <c r="U502" s="73"/>
      <c r="V502" s="68"/>
      <c r="W502" s="68"/>
      <c r="X502" s="68"/>
      <c r="Y502" s="64"/>
      <c r="Z502" s="68"/>
      <c r="AA502" s="68"/>
      <c r="AB502" s="68"/>
      <c r="AC502" s="68"/>
      <c r="AD502" s="68"/>
      <c r="AE502" s="142"/>
      <c r="AF502" s="146">
        <v>7</v>
      </c>
      <c r="AG502" s="146"/>
      <c r="AH502" s="146">
        <v>0</v>
      </c>
      <c r="AI502" s="146"/>
      <c r="AJ502" s="126" t="s">
        <v>988</v>
      </c>
      <c r="AK502" s="131"/>
      <c r="AL502" s="129" t="s">
        <v>1627</v>
      </c>
      <c r="AM502" s="431" t="str">
        <f>VLOOKUP($Q502,Resultados!$A$1:$C$49,3,FALSE)</f>
        <v>TRAMITE</v>
      </c>
    </row>
    <row r="503" spans="1:39" ht="39.950000000000003" customHeight="1">
      <c r="A503" s="364">
        <v>385</v>
      </c>
      <c r="B503" s="38">
        <v>45261</v>
      </c>
      <c r="C503" s="337" t="s">
        <v>12</v>
      </c>
      <c r="D503" s="32" t="s">
        <v>2302</v>
      </c>
      <c r="E503" s="40" t="s">
        <v>2303</v>
      </c>
      <c r="F503" s="39">
        <v>4</v>
      </c>
      <c r="G503" s="39" t="s">
        <v>325</v>
      </c>
      <c r="H503" s="38"/>
      <c r="I503" s="38"/>
      <c r="J503" s="38"/>
      <c r="K503" s="39" t="str">
        <f>IFERROR(VLOOKUP(J503,Jueces!$A$1:$B$11,2,FALSE),"")</f>
        <v/>
      </c>
      <c r="L503" s="32" t="s">
        <v>250</v>
      </c>
      <c r="M503" s="32" t="s">
        <v>2304</v>
      </c>
      <c r="N503" s="32" t="s">
        <v>2271</v>
      </c>
      <c r="O503" s="24" t="str">
        <f>IF(Q503=" _","NO","SI")</f>
        <v>NO</v>
      </c>
      <c r="P503" s="24" t="str">
        <f ca="1">IF(color_Celda(E503)=12106214,"ROSA",IF(color_Celda(E503)=65535,"AMARILLO",IF(color_Celda(E503)=5296274,"VERDE",IF(color_Celda(E503)=16777215,"BLANCO","NO SE"))))</f>
        <v>AMARILLO</v>
      </c>
      <c r="Q503" s="32" t="s">
        <v>108</v>
      </c>
      <c r="R503" s="170" t="str">
        <f>VLOOKUP($Q503,Resultados!$A$1:$B$49,2,FALSE)</f>
        <v xml:space="preserve"> _</v>
      </c>
      <c r="S503" s="32"/>
      <c r="T503" s="37"/>
      <c r="U503" s="37"/>
      <c r="V503" s="39"/>
      <c r="W503" s="39"/>
      <c r="X503" s="39"/>
      <c r="Y503" s="64"/>
      <c r="Z503" s="39"/>
      <c r="AA503" s="39"/>
      <c r="AB503" s="39"/>
      <c r="AC503" s="39"/>
      <c r="AD503" s="39"/>
      <c r="AE503" s="144"/>
      <c r="AF503" s="150"/>
      <c r="AG503" s="150"/>
      <c r="AH503" s="150"/>
      <c r="AI503" s="150"/>
      <c r="AJ503" s="128" t="s">
        <v>988</v>
      </c>
      <c r="AK503" s="136"/>
      <c r="AL503" s="151" t="s">
        <v>1627</v>
      </c>
      <c r="AM503" s="431" t="str">
        <f>VLOOKUP($Q503,Resultados!$A$1:$C$49,3,FALSE)</f>
        <v>TRAMITE</v>
      </c>
    </row>
    <row r="504" spans="1:39" ht="39.950000000000003" customHeight="1">
      <c r="A504" s="364">
        <v>386</v>
      </c>
      <c r="B504" s="38">
        <v>45262</v>
      </c>
      <c r="C504" s="337" t="s">
        <v>2416</v>
      </c>
      <c r="D504" s="32" t="s">
        <v>2305</v>
      </c>
      <c r="E504" s="40" t="s">
        <v>2306</v>
      </c>
      <c r="F504" s="39">
        <v>4</v>
      </c>
      <c r="G504" s="39" t="s">
        <v>325</v>
      </c>
      <c r="H504" s="38"/>
      <c r="I504" s="38"/>
      <c r="J504" s="38"/>
      <c r="K504" s="39" t="str">
        <f>IFERROR(VLOOKUP(J504,Jueces!$A$1:$B$11,2,FALSE),"")</f>
        <v/>
      </c>
      <c r="L504" s="32" t="s">
        <v>72</v>
      </c>
      <c r="M504" s="32" t="s">
        <v>1355</v>
      </c>
      <c r="N504" s="32" t="s">
        <v>2271</v>
      </c>
      <c r="O504" s="24" t="str">
        <f>IF(Q504=" _","NO","SI")</f>
        <v>NO</v>
      </c>
      <c r="P504" s="24" t="str">
        <f ca="1">IF(color_Celda(E504)=12106214,"ROSA",IF(color_Celda(E504)=65535,"AMARILLO",IF(color_Celda(E504)=5296274,"VERDE",IF(color_Celda(E504)=16777215,"BLANCO","NO SE"))))</f>
        <v>AMARILLO</v>
      </c>
      <c r="Q504" s="32" t="s">
        <v>108</v>
      </c>
      <c r="R504" s="170" t="str">
        <f>VLOOKUP($Q504,Resultados!$A$1:$B$49,2,FALSE)</f>
        <v xml:space="preserve"> _</v>
      </c>
      <c r="S504" s="32"/>
      <c r="T504" s="37"/>
      <c r="U504" s="37"/>
      <c r="V504" s="39"/>
      <c r="W504" s="39"/>
      <c r="X504" s="39"/>
      <c r="Y504" s="64"/>
      <c r="Z504" s="39"/>
      <c r="AA504" s="39"/>
      <c r="AB504" s="39"/>
      <c r="AC504" s="39"/>
      <c r="AD504" s="39"/>
      <c r="AE504" s="144"/>
      <c r="AF504" s="150"/>
      <c r="AG504" s="150"/>
      <c r="AH504" s="150"/>
      <c r="AI504" s="150"/>
      <c r="AJ504" s="128" t="s">
        <v>988</v>
      </c>
      <c r="AK504" s="136"/>
      <c r="AL504" s="151" t="s">
        <v>1627</v>
      </c>
      <c r="AM504" s="431" t="str">
        <f>VLOOKUP($Q504,Resultados!$A$1:$C$49,3,FALSE)</f>
        <v>TRAMITE</v>
      </c>
    </row>
    <row r="505" spans="1:39" ht="39.950000000000003" customHeight="1">
      <c r="A505" s="364">
        <v>387</v>
      </c>
      <c r="B505" s="38">
        <v>45263</v>
      </c>
      <c r="C505" s="337" t="s">
        <v>2417</v>
      </c>
      <c r="D505" s="32" t="s">
        <v>2307</v>
      </c>
      <c r="E505" s="40" t="s">
        <v>2308</v>
      </c>
      <c r="F505" s="39">
        <v>4</v>
      </c>
      <c r="G505" s="32" t="s">
        <v>325</v>
      </c>
      <c r="H505" s="38"/>
      <c r="I505" s="38"/>
      <c r="J505" s="38"/>
      <c r="K505" s="39" t="str">
        <f>IFERROR(VLOOKUP(J505,Jueces!$A$1:$B$11,2,FALSE),"")</f>
        <v/>
      </c>
      <c r="L505" s="32" t="s">
        <v>250</v>
      </c>
      <c r="M505" s="32" t="s">
        <v>1289</v>
      </c>
      <c r="N505" s="32" t="s">
        <v>2271</v>
      </c>
      <c r="O505" s="24" t="str">
        <f>IF(Q505=" _","NO","SI")</f>
        <v>NO</v>
      </c>
      <c r="P505" s="24" t="str">
        <f ca="1">IF(color_Celda(E505)=12106214,"ROSA",IF(color_Celda(E505)=65535,"AMARILLO",IF(color_Celda(E505)=5296274,"VERDE",IF(color_Celda(E505)=16777215,"BLANCO","NO SE"))))</f>
        <v>AMARILLO</v>
      </c>
      <c r="Q505" s="32" t="s">
        <v>108</v>
      </c>
      <c r="R505" s="170" t="str">
        <f>VLOOKUP($Q505,Resultados!$A$1:$B$49,2,FALSE)</f>
        <v xml:space="preserve"> _</v>
      </c>
      <c r="S505" s="32"/>
      <c r="T505" s="37"/>
      <c r="U505" s="37"/>
      <c r="V505" s="39"/>
      <c r="W505" s="39"/>
      <c r="X505" s="39"/>
      <c r="Y505" s="64"/>
      <c r="Z505" s="39"/>
      <c r="AA505" s="39"/>
      <c r="AB505" s="39"/>
      <c r="AC505" s="39"/>
      <c r="AD505" s="39"/>
      <c r="AE505" s="144"/>
      <c r="AF505" s="150"/>
      <c r="AG505" s="150"/>
      <c r="AH505" s="150"/>
      <c r="AI505" s="150"/>
      <c r="AJ505" s="128" t="s">
        <v>988</v>
      </c>
      <c r="AK505" s="136"/>
      <c r="AL505" s="151" t="s">
        <v>1627</v>
      </c>
      <c r="AM505" s="431" t="str">
        <f>VLOOKUP($Q505,Resultados!$A$1:$C$49,3,FALSE)</f>
        <v>TRAMITE</v>
      </c>
    </row>
    <row r="506" spans="1:39" ht="39.950000000000003" customHeight="1">
      <c r="A506" s="373">
        <v>388</v>
      </c>
      <c r="B506" s="97">
        <v>45264</v>
      </c>
      <c r="C506" s="336" t="s">
        <v>1069</v>
      </c>
      <c r="D506" s="96" t="s">
        <v>1068</v>
      </c>
      <c r="E506" s="98" t="s">
        <v>1070</v>
      </c>
      <c r="F506" s="107">
        <v>5</v>
      </c>
      <c r="G506" s="107" t="s">
        <v>10</v>
      </c>
      <c r="H506" s="100"/>
      <c r="I506" s="100"/>
      <c r="J506" s="100"/>
      <c r="K506" s="107" t="s">
        <v>1480</v>
      </c>
      <c r="L506" s="96" t="s">
        <v>83</v>
      </c>
      <c r="M506" s="96"/>
      <c r="N506" s="107"/>
      <c r="O506" s="24" t="str">
        <f>IF(Q506=" _","NO","SI")</f>
        <v>SI</v>
      </c>
      <c r="P506" s="24" t="str">
        <f ca="1">IF(color_Celda(E506)=12106214,"ROSA",IF(color_Celda(E506)=65535,"AMARILLO",IF(color_Celda(E506)=5296274,"VERDE",IF(color_Celda(E506)=16777215,"BLANCO","NO SE"))))</f>
        <v>VERDE</v>
      </c>
      <c r="Q506" s="96" t="s">
        <v>3313</v>
      </c>
      <c r="R506" s="176" t="str">
        <f>VLOOKUP($Q506,Resultados!$A$1:$B$49,2,FALSE)</f>
        <v>VERDE</v>
      </c>
      <c r="S506" s="96"/>
      <c r="T506" s="99"/>
      <c r="U506" s="99"/>
      <c r="V506" s="107"/>
      <c r="W506" s="107"/>
      <c r="X506" s="107"/>
      <c r="Y506" s="64"/>
      <c r="Z506" s="107"/>
      <c r="AA506" s="107"/>
      <c r="AB506" s="107"/>
      <c r="AC506" s="107"/>
      <c r="AD506" s="107"/>
      <c r="AE506" s="143"/>
      <c r="AF506" s="118">
        <v>7</v>
      </c>
      <c r="AG506" s="118"/>
      <c r="AH506" s="118">
        <v>0</v>
      </c>
      <c r="AI506" s="118"/>
      <c r="AJ506" s="127" t="s">
        <v>988</v>
      </c>
      <c r="AK506" s="131"/>
      <c r="AL506" s="129" t="s">
        <v>1627</v>
      </c>
      <c r="AM506" s="431" t="str">
        <f>VLOOKUP($Q506,Resultados!$A$1:$C$49,3,FALSE)</f>
        <v>NO LLEGO</v>
      </c>
    </row>
    <row r="507" spans="1:39" ht="39.950000000000003" customHeight="1">
      <c r="A507" s="364">
        <v>389</v>
      </c>
      <c r="B507" s="69">
        <v>45264</v>
      </c>
      <c r="C507" s="332" t="s">
        <v>1071</v>
      </c>
      <c r="D507" s="70" t="s">
        <v>1072</v>
      </c>
      <c r="E507" s="92" t="s">
        <v>1073</v>
      </c>
      <c r="F507" s="68">
        <v>2</v>
      </c>
      <c r="G507" s="68" t="s">
        <v>325</v>
      </c>
      <c r="H507" s="69"/>
      <c r="I507" s="69"/>
      <c r="J507" s="69"/>
      <c r="K507" s="68" t="s">
        <v>1480</v>
      </c>
      <c r="L507" s="70" t="s">
        <v>2172</v>
      </c>
      <c r="M507" s="70" t="s">
        <v>448</v>
      </c>
      <c r="N507" s="68" t="s">
        <v>2315</v>
      </c>
      <c r="O507" s="24" t="str">
        <f>IF(Q507=" _","NO","SI")</f>
        <v>NO</v>
      </c>
      <c r="P507" s="24" t="str">
        <f ca="1">IF(color_Celda(E507)=12106214,"ROSA",IF(color_Celda(E507)=65535,"AMARILLO",IF(color_Celda(E507)=5296274,"VERDE",IF(color_Celda(E507)=16777215,"BLANCO","NO SE"))))</f>
        <v>AMARILLO</v>
      </c>
      <c r="Q507" s="70" t="s">
        <v>108</v>
      </c>
      <c r="R507" s="170" t="str">
        <f>VLOOKUP($Q507,Resultados!$A$1:$B$49,2,FALSE)</f>
        <v xml:space="preserve"> _</v>
      </c>
      <c r="S507" s="70"/>
      <c r="T507" s="73"/>
      <c r="U507" s="73"/>
      <c r="V507" s="68"/>
      <c r="W507" s="68"/>
      <c r="X507" s="68"/>
      <c r="Y507" s="64"/>
      <c r="Z507" s="68"/>
      <c r="AA507" s="68"/>
      <c r="AB507" s="68"/>
      <c r="AC507" s="68"/>
      <c r="AD507" s="68"/>
      <c r="AE507" s="142"/>
      <c r="AF507" s="146">
        <v>7</v>
      </c>
      <c r="AG507" s="146"/>
      <c r="AH507" s="146">
        <v>0</v>
      </c>
      <c r="AI507" s="146"/>
      <c r="AJ507" s="126" t="s">
        <v>988</v>
      </c>
      <c r="AK507" s="134"/>
      <c r="AL507" s="151" t="s">
        <v>1627</v>
      </c>
      <c r="AM507" s="431" t="str">
        <f>VLOOKUP($Q507,Resultados!$A$1:$C$49,3,FALSE)</f>
        <v>TRAMITE</v>
      </c>
    </row>
    <row r="508" spans="1:39" ht="39.950000000000003" customHeight="1">
      <c r="A508" s="373">
        <v>392</v>
      </c>
      <c r="B508" s="100">
        <v>45264</v>
      </c>
      <c r="C508" s="334">
        <v>0.45277777777777778</v>
      </c>
      <c r="D508" s="96" t="s">
        <v>1185</v>
      </c>
      <c r="E508" s="98" t="s">
        <v>1186</v>
      </c>
      <c r="F508" s="107">
        <v>4</v>
      </c>
      <c r="G508" s="107" t="s">
        <v>325</v>
      </c>
      <c r="H508" s="100"/>
      <c r="I508" s="100"/>
      <c r="J508" s="100"/>
      <c r="K508" s="107" t="s">
        <v>1480</v>
      </c>
      <c r="L508" s="96" t="s">
        <v>83</v>
      </c>
      <c r="M508" s="96"/>
      <c r="N508" s="96" t="s">
        <v>1203</v>
      </c>
      <c r="O508" s="24" t="str">
        <f>IF(Q508=" _","NO","SI")</f>
        <v>NO</v>
      </c>
      <c r="P508" s="24" t="str">
        <f ca="1">IF(color_Celda(E508)=12106214,"ROSA",IF(color_Celda(E508)=65535,"AMARILLO",IF(color_Celda(E508)=5296274,"VERDE",IF(color_Celda(E508)=16777215,"BLANCO","NO SE"))))</f>
        <v>VERDE</v>
      </c>
      <c r="Q508" s="96" t="s">
        <v>108</v>
      </c>
      <c r="R508" s="176" t="str">
        <f>VLOOKUP($Q508,Resultados!$A$1:$B$49,2,FALSE)</f>
        <v xml:space="preserve"> _</v>
      </c>
      <c r="S508" s="96"/>
      <c r="T508" s="99"/>
      <c r="U508" s="99"/>
      <c r="V508" s="107"/>
      <c r="W508" s="107"/>
      <c r="X508" s="107"/>
      <c r="Y508" s="64"/>
      <c r="Z508" s="107"/>
      <c r="AA508" s="107"/>
      <c r="AB508" s="107"/>
      <c r="AC508" s="107"/>
      <c r="AD508" s="107"/>
      <c r="AE508" s="143"/>
      <c r="AF508" s="118">
        <v>7</v>
      </c>
      <c r="AG508" s="118"/>
      <c r="AH508" s="118">
        <v>0</v>
      </c>
      <c r="AI508" s="118"/>
      <c r="AJ508" s="127" t="s">
        <v>988</v>
      </c>
      <c r="AK508" s="131"/>
      <c r="AL508" s="129" t="s">
        <v>1627</v>
      </c>
      <c r="AM508" s="431" t="str">
        <f>VLOOKUP($Q508,Resultados!$A$1:$C$49,3,FALSE)</f>
        <v>TRAMITE</v>
      </c>
    </row>
    <row r="509" spans="1:39" ht="39.950000000000003" customHeight="1">
      <c r="A509" s="364">
        <v>393</v>
      </c>
      <c r="B509" s="38">
        <v>45264</v>
      </c>
      <c r="C509" s="337" t="s">
        <v>2060</v>
      </c>
      <c r="D509" s="32" t="s">
        <v>2309</v>
      </c>
      <c r="E509" s="40" t="s">
        <v>2310</v>
      </c>
      <c r="F509" s="39">
        <v>4</v>
      </c>
      <c r="G509" s="39" t="s">
        <v>325</v>
      </c>
      <c r="H509" s="38"/>
      <c r="I509" s="38"/>
      <c r="J509" s="38"/>
      <c r="K509" s="39" t="str">
        <f>IFERROR(VLOOKUP(J509,Jueces!$A$1:$B$11,2,FALSE),"")</f>
        <v/>
      </c>
      <c r="L509" s="32" t="s">
        <v>250</v>
      </c>
      <c r="M509" s="32" t="s">
        <v>45</v>
      </c>
      <c r="N509" s="32" t="s">
        <v>2271</v>
      </c>
      <c r="O509" s="24" t="str">
        <f>IF(Q509=" _","NO","SI")</f>
        <v>NO</v>
      </c>
      <c r="P509" s="24" t="str">
        <f ca="1">IF(color_Celda(E509)=12106214,"ROSA",IF(color_Celda(E509)=65535,"AMARILLO",IF(color_Celda(E509)=5296274,"VERDE",IF(color_Celda(E509)=16777215,"BLANCO","NO SE"))))</f>
        <v>AMARILLO</v>
      </c>
      <c r="Q509" s="32" t="s">
        <v>108</v>
      </c>
      <c r="R509" s="170" t="str">
        <f>VLOOKUP($Q509,Resultados!$A$1:$B$49,2,FALSE)</f>
        <v xml:space="preserve"> _</v>
      </c>
      <c r="S509" s="32"/>
      <c r="T509" s="37"/>
      <c r="U509" s="37"/>
      <c r="V509" s="39"/>
      <c r="W509" s="39"/>
      <c r="X509" s="39"/>
      <c r="Y509" s="64"/>
      <c r="Z509" s="39"/>
      <c r="AA509" s="39"/>
      <c r="AB509" s="39"/>
      <c r="AC509" s="39"/>
      <c r="AD509" s="39"/>
      <c r="AE509" s="144"/>
      <c r="AF509" s="150"/>
      <c r="AG509" s="150"/>
      <c r="AH509" s="150"/>
      <c r="AI509" s="150"/>
      <c r="AJ509" s="128" t="s">
        <v>988</v>
      </c>
      <c r="AK509" s="136"/>
      <c r="AL509" s="151" t="s">
        <v>1627</v>
      </c>
      <c r="AM509" s="431" t="str">
        <f>VLOOKUP($Q509,Resultados!$A$1:$C$49,3,FALSE)</f>
        <v>TRAMITE</v>
      </c>
    </row>
    <row r="510" spans="1:39" ht="39.950000000000003" customHeight="1">
      <c r="A510" s="364">
        <v>394</v>
      </c>
      <c r="B510" s="38">
        <v>45264</v>
      </c>
      <c r="C510" s="331">
        <v>0.51736111111111105</v>
      </c>
      <c r="D510" s="32" t="s">
        <v>2367</v>
      </c>
      <c r="E510" s="40" t="s">
        <v>2368</v>
      </c>
      <c r="F510" s="39">
        <v>4</v>
      </c>
      <c r="G510" s="32" t="s">
        <v>325</v>
      </c>
      <c r="H510" s="38"/>
      <c r="I510" s="38"/>
      <c r="J510" s="38"/>
      <c r="K510" s="39" t="str">
        <f>IFERROR(VLOOKUP(J510,Jueces!$A$1:$B$11,2,FALSE),"")</f>
        <v/>
      </c>
      <c r="L510" s="32" t="s">
        <v>2369</v>
      </c>
      <c r="M510" s="32" t="s">
        <v>1156</v>
      </c>
      <c r="N510" s="32" t="s">
        <v>2370</v>
      </c>
      <c r="O510" s="24" t="str">
        <f>IF(Q510=" _","NO","SI")</f>
        <v>NO</v>
      </c>
      <c r="P510" s="24" t="str">
        <f ca="1">IF(color_Celda(E510)=12106214,"ROSA",IF(color_Celda(E510)=65535,"AMARILLO",IF(color_Celda(E510)=5296274,"VERDE",IF(color_Celda(E510)=16777215,"BLANCO","NO SE"))))</f>
        <v>AMARILLO</v>
      </c>
      <c r="Q510" s="32" t="s">
        <v>108</v>
      </c>
      <c r="R510" s="170" t="str">
        <f>VLOOKUP($Q510,Resultados!$A$1:$B$49,2,FALSE)</f>
        <v xml:space="preserve"> _</v>
      </c>
      <c r="S510" s="32"/>
      <c r="T510" s="37"/>
      <c r="U510" s="37"/>
      <c r="V510" s="39"/>
      <c r="W510" s="39"/>
      <c r="X510" s="39"/>
      <c r="Y510" s="64"/>
      <c r="Z510" s="39"/>
      <c r="AA510" s="39"/>
      <c r="AB510" s="39"/>
      <c r="AC510" s="39"/>
      <c r="AD510" s="39"/>
      <c r="AE510" s="144"/>
      <c r="AF510" s="150"/>
      <c r="AG510" s="150"/>
      <c r="AH510" s="150"/>
      <c r="AI510" s="150"/>
      <c r="AJ510" s="128" t="s">
        <v>988</v>
      </c>
      <c r="AK510" s="136"/>
      <c r="AL510" s="151" t="s">
        <v>1627</v>
      </c>
      <c r="AM510" s="431" t="str">
        <f>VLOOKUP($Q510,Resultados!$A$1:$C$49,3,FALSE)</f>
        <v>TRAMITE</v>
      </c>
    </row>
    <row r="511" spans="1:39" ht="39.950000000000003" customHeight="1">
      <c r="A511" s="364">
        <v>395</v>
      </c>
      <c r="B511" s="69">
        <v>45265</v>
      </c>
      <c r="C511" s="329">
        <v>0.33333333333333331</v>
      </c>
      <c r="D511" s="70" t="s">
        <v>1078</v>
      </c>
      <c r="E511" s="92" t="s">
        <v>1079</v>
      </c>
      <c r="F511" s="68">
        <v>2</v>
      </c>
      <c r="G511" s="68" t="s">
        <v>325</v>
      </c>
      <c r="H511" s="69"/>
      <c r="I511" s="69"/>
      <c r="J511" s="69"/>
      <c r="K511" s="68" t="s">
        <v>1480</v>
      </c>
      <c r="L511" s="70" t="s">
        <v>72</v>
      </c>
      <c r="M511" s="70" t="s">
        <v>90</v>
      </c>
      <c r="N511" s="68" t="s">
        <v>2271</v>
      </c>
      <c r="O511" s="24" t="str">
        <f>IF(Q511=" _","NO","SI")</f>
        <v>NO</v>
      </c>
      <c r="P511" s="24" t="str">
        <f ca="1">IF(color_Celda(E511)=12106214,"ROSA",IF(color_Celda(E511)=65535,"AMARILLO",IF(color_Celda(E511)=5296274,"VERDE",IF(color_Celda(E511)=16777215,"BLANCO","NO SE"))))</f>
        <v>AMARILLO</v>
      </c>
      <c r="Q511" s="70" t="s">
        <v>108</v>
      </c>
      <c r="R511" s="170" t="str">
        <f>VLOOKUP($Q511,Resultados!$A$1:$B$49,2,FALSE)</f>
        <v xml:space="preserve"> _</v>
      </c>
      <c r="S511" s="70"/>
      <c r="T511" s="73"/>
      <c r="U511" s="73"/>
      <c r="V511" s="68"/>
      <c r="W511" s="68"/>
      <c r="X511" s="68"/>
      <c r="Y511" s="64"/>
      <c r="Z511" s="68"/>
      <c r="AA511" s="68"/>
      <c r="AB511" s="68"/>
      <c r="AC511" s="68"/>
      <c r="AD511" s="68"/>
      <c r="AE511" s="142"/>
      <c r="AF511" s="146">
        <v>7</v>
      </c>
      <c r="AG511" s="146"/>
      <c r="AH511" s="146">
        <v>0</v>
      </c>
      <c r="AI511" s="146"/>
      <c r="AJ511" s="126" t="s">
        <v>988</v>
      </c>
      <c r="AK511" s="134"/>
      <c r="AL511" s="151" t="s">
        <v>1627</v>
      </c>
      <c r="AM511" s="431" t="str">
        <f>VLOOKUP($Q511,Resultados!$A$1:$C$49,3,FALSE)</f>
        <v>TRAMITE</v>
      </c>
    </row>
    <row r="512" spans="1:39" ht="39.950000000000003" customHeight="1">
      <c r="A512" s="364">
        <v>396</v>
      </c>
      <c r="B512" s="69">
        <v>45265</v>
      </c>
      <c r="C512" s="332" t="s">
        <v>1080</v>
      </c>
      <c r="D512" s="70" t="s">
        <v>1081</v>
      </c>
      <c r="E512" s="92" t="s">
        <v>1082</v>
      </c>
      <c r="F512" s="70">
        <v>2</v>
      </c>
      <c r="G512" s="68" t="s">
        <v>325</v>
      </c>
      <c r="H512" s="69"/>
      <c r="I512" s="69"/>
      <c r="J512" s="69"/>
      <c r="K512" s="68" t="s">
        <v>1480</v>
      </c>
      <c r="L512" s="70" t="s">
        <v>77</v>
      </c>
      <c r="M512" s="70" t="s">
        <v>62</v>
      </c>
      <c r="N512" s="68" t="s">
        <v>2271</v>
      </c>
      <c r="O512" s="24" t="str">
        <f>IF(Q512=" _","NO","SI")</f>
        <v>NO</v>
      </c>
      <c r="P512" s="24" t="str">
        <f ca="1">IF(color_Celda(E512)=12106214,"ROSA",IF(color_Celda(E512)=65535,"AMARILLO",IF(color_Celda(E512)=5296274,"VERDE",IF(color_Celda(E512)=16777215,"BLANCO","NO SE"))))</f>
        <v>AMARILLO</v>
      </c>
      <c r="Q512" s="70" t="s">
        <v>108</v>
      </c>
      <c r="R512" s="170" t="str">
        <f>VLOOKUP($Q512,Resultados!$A$1:$B$49,2,FALSE)</f>
        <v xml:space="preserve"> _</v>
      </c>
      <c r="S512" s="70"/>
      <c r="T512" s="73"/>
      <c r="U512" s="73"/>
      <c r="V512" s="68"/>
      <c r="W512" s="68"/>
      <c r="X512" s="68"/>
      <c r="Y512" s="64"/>
      <c r="Z512" s="68"/>
      <c r="AA512" s="68"/>
      <c r="AB512" s="68"/>
      <c r="AC512" s="68"/>
      <c r="AD512" s="68"/>
      <c r="AE512" s="142"/>
      <c r="AF512" s="146">
        <v>7</v>
      </c>
      <c r="AG512" s="146"/>
      <c r="AH512" s="146">
        <v>0</v>
      </c>
      <c r="AI512" s="146"/>
      <c r="AJ512" s="126" t="s">
        <v>988</v>
      </c>
      <c r="AK512" s="134"/>
      <c r="AL512" s="151" t="s">
        <v>1627</v>
      </c>
      <c r="AM512" s="431" t="str">
        <f>VLOOKUP($Q512,Resultados!$A$1:$C$49,3,FALSE)</f>
        <v>TRAMITE</v>
      </c>
    </row>
    <row r="513" spans="1:39" ht="39.950000000000003" customHeight="1">
      <c r="A513" s="364">
        <v>397</v>
      </c>
      <c r="B513" s="69">
        <v>45265</v>
      </c>
      <c r="C513" s="332" t="s">
        <v>1083</v>
      </c>
      <c r="D513" s="70" t="s">
        <v>1084</v>
      </c>
      <c r="E513" s="92" t="s">
        <v>1085</v>
      </c>
      <c r="F513" s="68">
        <v>4</v>
      </c>
      <c r="G513" s="68" t="s">
        <v>325</v>
      </c>
      <c r="H513" s="69"/>
      <c r="I513" s="69"/>
      <c r="J513" s="69"/>
      <c r="K513" s="68" t="s">
        <v>1480</v>
      </c>
      <c r="L513" s="70" t="s">
        <v>77</v>
      </c>
      <c r="M513" s="70"/>
      <c r="N513" s="101" t="s">
        <v>1858</v>
      </c>
      <c r="O513" s="137" t="str">
        <f>IF(Q513=" _","NO","SI")</f>
        <v>NO</v>
      </c>
      <c r="P513" s="24" t="str">
        <f ca="1">IF(color_Celda(E513)=12106214,"ROSA",IF(color_Celda(E513)=65535,"AMARILLO",IF(color_Celda(E513)=5296274,"VERDE",IF(color_Celda(E513)=16777215,"BLANCO","NO SE"))))</f>
        <v>AMARILLO</v>
      </c>
      <c r="Q513" s="70" t="s">
        <v>108</v>
      </c>
      <c r="R513" s="170" t="str">
        <f>VLOOKUP($Q513,Resultados!$A$1:$B$49,2,FALSE)</f>
        <v xml:space="preserve"> _</v>
      </c>
      <c r="S513" s="70"/>
      <c r="T513" s="73"/>
      <c r="U513" s="73"/>
      <c r="V513" s="68"/>
      <c r="W513" s="68"/>
      <c r="X513" s="68"/>
      <c r="Y513" s="199"/>
      <c r="Z513" s="68"/>
      <c r="AA513" s="68"/>
      <c r="AB513" s="68"/>
      <c r="AC513" s="68"/>
      <c r="AD513" s="68"/>
      <c r="AE513" s="142"/>
      <c r="AF513" s="146">
        <v>7</v>
      </c>
      <c r="AG513" s="146"/>
      <c r="AH513" s="146">
        <v>0</v>
      </c>
      <c r="AI513" s="146"/>
      <c r="AJ513" s="126" t="s">
        <v>988</v>
      </c>
      <c r="AK513" s="134"/>
      <c r="AL513" s="151" t="s">
        <v>1627</v>
      </c>
      <c r="AM513" s="431" t="str">
        <f>VLOOKUP($Q513,Resultados!$A$1:$C$49,3,FALSE)</f>
        <v>TRAMITE</v>
      </c>
    </row>
    <row r="514" spans="1:39" ht="39.950000000000003" customHeight="1">
      <c r="A514" s="364">
        <v>398</v>
      </c>
      <c r="B514" s="69">
        <v>45265</v>
      </c>
      <c r="C514" s="332" t="s">
        <v>1071</v>
      </c>
      <c r="D514" s="70" t="s">
        <v>1086</v>
      </c>
      <c r="E514" s="92" t="s">
        <v>1087</v>
      </c>
      <c r="F514" s="68">
        <v>2</v>
      </c>
      <c r="G514" s="68" t="s">
        <v>325</v>
      </c>
      <c r="H514" s="69"/>
      <c r="I514" s="69"/>
      <c r="J514" s="69"/>
      <c r="K514" s="68" t="s">
        <v>1480</v>
      </c>
      <c r="L514" s="70" t="s">
        <v>86</v>
      </c>
      <c r="M514" s="70" t="s">
        <v>2390</v>
      </c>
      <c r="N514" s="68" t="s">
        <v>2391</v>
      </c>
      <c r="O514" s="24" t="str">
        <f>IF(Q514=" _","NO","SI")</f>
        <v>NO</v>
      </c>
      <c r="P514" s="24" t="str">
        <f ca="1">IF(color_Celda(E514)=12106214,"ROSA",IF(color_Celda(E514)=65535,"AMARILLO",IF(color_Celda(E514)=5296274,"VERDE",IF(color_Celda(E514)=16777215,"BLANCO","NO SE"))))</f>
        <v>AMARILLO</v>
      </c>
      <c r="Q514" s="70" t="s">
        <v>108</v>
      </c>
      <c r="R514" s="170" t="str">
        <f>VLOOKUP($Q514,Resultados!$A$1:$B$49,2,FALSE)</f>
        <v xml:space="preserve"> _</v>
      </c>
      <c r="S514" s="70"/>
      <c r="T514" s="73"/>
      <c r="U514" s="73"/>
      <c r="V514" s="68"/>
      <c r="W514" s="68"/>
      <c r="X514" s="68"/>
      <c r="Y514" s="64"/>
      <c r="Z514" s="68"/>
      <c r="AA514" s="68"/>
      <c r="AB514" s="68"/>
      <c r="AC514" s="68"/>
      <c r="AD514" s="68"/>
      <c r="AE514" s="142"/>
      <c r="AF514" s="146">
        <v>7</v>
      </c>
      <c r="AG514" s="146"/>
      <c r="AH514" s="146">
        <v>0</v>
      </c>
      <c r="AI514" s="146"/>
      <c r="AJ514" s="126" t="s">
        <v>988</v>
      </c>
      <c r="AK514" s="134"/>
      <c r="AL514" s="151" t="s">
        <v>1627</v>
      </c>
      <c r="AM514" s="431" t="str">
        <f>VLOOKUP($Q514,Resultados!$A$1:$C$49,3,FALSE)</f>
        <v>TRAMITE</v>
      </c>
    </row>
    <row r="515" spans="1:39" ht="39.950000000000003" customHeight="1">
      <c r="A515" s="364">
        <v>401</v>
      </c>
      <c r="B515" s="72">
        <v>45265</v>
      </c>
      <c r="C515" s="332" t="s">
        <v>1091</v>
      </c>
      <c r="D515" s="70" t="s">
        <v>1092</v>
      </c>
      <c r="E515" s="92" t="s">
        <v>1093</v>
      </c>
      <c r="F515" s="68">
        <v>4</v>
      </c>
      <c r="G515" s="68" t="s">
        <v>325</v>
      </c>
      <c r="H515" s="69"/>
      <c r="I515" s="69"/>
      <c r="J515" s="69"/>
      <c r="K515" s="68" t="s">
        <v>1480</v>
      </c>
      <c r="L515" s="70" t="s">
        <v>25</v>
      </c>
      <c r="M515" s="70"/>
      <c r="N515" s="68" t="s">
        <v>2620</v>
      </c>
      <c r="O515" s="137" t="str">
        <f>IF(Q515=" _","NO","SI")</f>
        <v>NO</v>
      </c>
      <c r="P515" s="24" t="str">
        <f ca="1">IF(color_Celda(E515)=12106214,"ROSA",IF(color_Celda(E515)=65535,"AMARILLO",IF(color_Celda(E515)=5296274,"VERDE",IF(color_Celda(E515)=16777215,"BLANCO","NO SE"))))</f>
        <v>AMARILLO</v>
      </c>
      <c r="Q515" s="70" t="s">
        <v>108</v>
      </c>
      <c r="R515" s="170" t="str">
        <f>VLOOKUP($Q515,Resultados!$A$1:$B$49,2,FALSE)</f>
        <v xml:space="preserve"> _</v>
      </c>
      <c r="S515" s="70"/>
      <c r="T515" s="73"/>
      <c r="U515" s="73"/>
      <c r="V515" s="68"/>
      <c r="W515" s="68"/>
      <c r="X515" s="68"/>
      <c r="Y515" s="199"/>
      <c r="Z515" s="68"/>
      <c r="AA515" s="68"/>
      <c r="AB515" s="68"/>
      <c r="AC515" s="68"/>
      <c r="AD515" s="68"/>
      <c r="AE515" s="142"/>
      <c r="AF515" s="146">
        <v>7</v>
      </c>
      <c r="AG515" s="146"/>
      <c r="AH515" s="146">
        <v>0</v>
      </c>
      <c r="AI515" s="146"/>
      <c r="AJ515" s="126" t="s">
        <v>988</v>
      </c>
      <c r="AK515" s="134"/>
      <c r="AL515" s="151" t="s">
        <v>1627</v>
      </c>
      <c r="AM515" s="431" t="str">
        <f>VLOOKUP($Q515,Resultados!$A$1:$C$49,3,FALSE)</f>
        <v>TRAMITE</v>
      </c>
    </row>
    <row r="516" spans="1:39" ht="39.950000000000003" customHeight="1">
      <c r="A516" s="364">
        <v>403</v>
      </c>
      <c r="B516" s="69">
        <v>45265</v>
      </c>
      <c r="C516" s="332" t="s">
        <v>1096</v>
      </c>
      <c r="D516" s="70" t="s">
        <v>1097</v>
      </c>
      <c r="E516" s="92" t="s">
        <v>1098</v>
      </c>
      <c r="F516" s="68">
        <v>4</v>
      </c>
      <c r="G516" s="68" t="s">
        <v>325</v>
      </c>
      <c r="H516" s="69"/>
      <c r="I516" s="69"/>
      <c r="J516" s="69"/>
      <c r="K516" s="68" t="s">
        <v>1480</v>
      </c>
      <c r="L516" s="70" t="s">
        <v>72</v>
      </c>
      <c r="M516" s="70" t="s">
        <v>47</v>
      </c>
      <c r="N516" s="68" t="s">
        <v>2520</v>
      </c>
      <c r="O516" s="137" t="str">
        <f>IF(Q516=" _","NO","SI")</f>
        <v>NO</v>
      </c>
      <c r="P516" s="24" t="str">
        <f ca="1">IF(color_Celda(E516)=12106214,"ROSA",IF(color_Celda(E516)=65535,"AMARILLO",IF(color_Celda(E516)=5296274,"VERDE",IF(color_Celda(E516)=16777215,"BLANCO","NO SE"))))</f>
        <v>AMARILLO</v>
      </c>
      <c r="Q516" s="70" t="s">
        <v>108</v>
      </c>
      <c r="R516" s="170" t="str">
        <f>VLOOKUP($Q516,Resultados!$A$1:$B$49,2,FALSE)</f>
        <v xml:space="preserve"> _</v>
      </c>
      <c r="S516" s="70"/>
      <c r="T516" s="73"/>
      <c r="U516" s="73"/>
      <c r="V516" s="68"/>
      <c r="W516" s="68"/>
      <c r="X516" s="68"/>
      <c r="Y516" s="199"/>
      <c r="Z516" s="68"/>
      <c r="AA516" s="68"/>
      <c r="AB516" s="68"/>
      <c r="AC516" s="68"/>
      <c r="AD516" s="68"/>
      <c r="AE516" s="142"/>
      <c r="AF516" s="146">
        <v>7</v>
      </c>
      <c r="AG516" s="146"/>
      <c r="AH516" s="146">
        <v>0</v>
      </c>
      <c r="AI516" s="146"/>
      <c r="AJ516" s="126" t="s">
        <v>988</v>
      </c>
      <c r="AK516" s="134"/>
      <c r="AL516" s="151" t="s">
        <v>1627</v>
      </c>
      <c r="AM516" s="431" t="str">
        <f>VLOOKUP($Q516,Resultados!$A$1:$C$49,3,FALSE)</f>
        <v>TRAMITE</v>
      </c>
    </row>
    <row r="517" spans="1:39" ht="39.950000000000003" customHeight="1">
      <c r="A517" s="364">
        <v>404</v>
      </c>
      <c r="B517" s="69">
        <v>45265</v>
      </c>
      <c r="C517" s="332" t="s">
        <v>1099</v>
      </c>
      <c r="D517" s="70" t="s">
        <v>214</v>
      </c>
      <c r="E517" s="92" t="s">
        <v>1100</v>
      </c>
      <c r="F517" s="68">
        <v>4</v>
      </c>
      <c r="G517" s="68" t="s">
        <v>325</v>
      </c>
      <c r="H517" s="69"/>
      <c r="I517" s="69"/>
      <c r="J517" s="69"/>
      <c r="K517" s="68" t="s">
        <v>1480</v>
      </c>
      <c r="L517" s="70" t="s">
        <v>35</v>
      </c>
      <c r="M517" s="70"/>
      <c r="N517" s="68" t="s">
        <v>2620</v>
      </c>
      <c r="O517" s="137" t="str">
        <f>IF(Q517=" _","NO","SI")</f>
        <v>NO</v>
      </c>
      <c r="P517" s="24" t="str">
        <f ca="1">IF(color_Celda(E517)=12106214,"ROSA",IF(color_Celda(E517)=65535,"AMARILLO",IF(color_Celda(E517)=5296274,"VERDE",IF(color_Celda(E517)=16777215,"BLANCO","NO SE"))))</f>
        <v>AMARILLO</v>
      </c>
      <c r="Q517" s="70" t="s">
        <v>108</v>
      </c>
      <c r="R517" s="170" t="str">
        <f>VLOOKUP($Q517,Resultados!$A$1:$B$49,2,FALSE)</f>
        <v xml:space="preserve"> _</v>
      </c>
      <c r="S517" s="70"/>
      <c r="T517" s="73"/>
      <c r="U517" s="73"/>
      <c r="V517" s="68"/>
      <c r="W517" s="68"/>
      <c r="X517" s="68"/>
      <c r="Y517" s="199"/>
      <c r="Z517" s="68"/>
      <c r="AA517" s="68"/>
      <c r="AB517" s="68"/>
      <c r="AC517" s="68"/>
      <c r="AD517" s="68"/>
      <c r="AE517" s="142"/>
      <c r="AF517" s="146">
        <v>7</v>
      </c>
      <c r="AG517" s="146"/>
      <c r="AH517" s="146">
        <v>0</v>
      </c>
      <c r="AI517" s="146"/>
      <c r="AJ517" s="126" t="s">
        <v>988</v>
      </c>
      <c r="AK517" s="134"/>
      <c r="AL517" s="151" t="s">
        <v>1627</v>
      </c>
      <c r="AM517" s="431" t="str">
        <f>VLOOKUP($Q517,Resultados!$A$1:$C$49,3,FALSE)</f>
        <v>TRAMITE</v>
      </c>
    </row>
    <row r="518" spans="1:39" ht="39.950000000000003" customHeight="1">
      <c r="A518" s="364">
        <v>405</v>
      </c>
      <c r="B518" s="69">
        <v>45265</v>
      </c>
      <c r="C518" s="329">
        <v>0.3743055555555555</v>
      </c>
      <c r="D518" s="70" t="s">
        <v>1101</v>
      </c>
      <c r="E518" s="92" t="s">
        <v>1102</v>
      </c>
      <c r="F518" s="68">
        <v>2</v>
      </c>
      <c r="G518" s="68" t="s">
        <v>325</v>
      </c>
      <c r="H518" s="69"/>
      <c r="I518" s="69"/>
      <c r="J518" s="69"/>
      <c r="K518" s="68" t="s">
        <v>1480</v>
      </c>
      <c r="L518" s="70" t="s">
        <v>74</v>
      </c>
      <c r="M518" s="70" t="s">
        <v>2389</v>
      </c>
      <c r="N518" s="68" t="s">
        <v>1342</v>
      </c>
      <c r="O518" s="24" t="str">
        <f>IF(Q518=" _","NO","SI")</f>
        <v>NO</v>
      </c>
      <c r="P518" s="24" t="str">
        <f ca="1">IF(color_Celda(E518)=12106214,"ROSA",IF(color_Celda(E518)=65535,"AMARILLO",IF(color_Celda(E518)=5296274,"VERDE",IF(color_Celda(E518)=16777215,"BLANCO","NO SE"))))</f>
        <v>AMARILLO</v>
      </c>
      <c r="Q518" s="70" t="s">
        <v>108</v>
      </c>
      <c r="R518" s="170" t="str">
        <f>VLOOKUP($Q518,Resultados!$A$1:$B$49,2,FALSE)</f>
        <v xml:space="preserve"> _</v>
      </c>
      <c r="S518" s="70"/>
      <c r="T518" s="73"/>
      <c r="U518" s="73"/>
      <c r="V518" s="68"/>
      <c r="W518" s="68"/>
      <c r="X518" s="68"/>
      <c r="Y518" s="64"/>
      <c r="Z518" s="68"/>
      <c r="AA518" s="68"/>
      <c r="AB518" s="68"/>
      <c r="AC518" s="68"/>
      <c r="AD518" s="68"/>
      <c r="AE518" s="142"/>
      <c r="AF518" s="146">
        <v>7</v>
      </c>
      <c r="AG518" s="146"/>
      <c r="AH518" s="146">
        <v>0</v>
      </c>
      <c r="AI518" s="146"/>
      <c r="AJ518" s="126" t="s">
        <v>988</v>
      </c>
      <c r="AK518" s="134"/>
      <c r="AL518" s="151" t="s">
        <v>1627</v>
      </c>
      <c r="AM518" s="431" t="str">
        <f>VLOOKUP($Q518,Resultados!$A$1:$C$49,3,FALSE)</f>
        <v>TRAMITE</v>
      </c>
    </row>
    <row r="519" spans="1:39" ht="39.950000000000003" customHeight="1">
      <c r="A519" s="364">
        <v>406</v>
      </c>
      <c r="B519" s="69">
        <v>45265</v>
      </c>
      <c r="C519" s="332" t="s">
        <v>378</v>
      </c>
      <c r="D519" s="70" t="s">
        <v>1103</v>
      </c>
      <c r="E519" s="92" t="s">
        <v>1104</v>
      </c>
      <c r="F519" s="68">
        <v>4</v>
      </c>
      <c r="G519" s="68" t="s">
        <v>325</v>
      </c>
      <c r="H519" s="69"/>
      <c r="I519" s="69"/>
      <c r="J519" s="69"/>
      <c r="K519" s="68" t="s">
        <v>1480</v>
      </c>
      <c r="L519" s="70" t="s">
        <v>82</v>
      </c>
      <c r="M519" s="70" t="s">
        <v>361</v>
      </c>
      <c r="N519" s="68" t="s">
        <v>1342</v>
      </c>
      <c r="O519" s="137" t="str">
        <f>IF(Q519=" _","NO","SI")</f>
        <v>NO</v>
      </c>
      <c r="P519" s="24" t="str">
        <f ca="1">IF(color_Celda(E519)=12106214,"ROSA",IF(color_Celda(E519)=65535,"AMARILLO",IF(color_Celda(E519)=5296274,"VERDE",IF(color_Celda(E519)=16777215,"BLANCO","NO SE"))))</f>
        <v>AMARILLO</v>
      </c>
      <c r="Q519" s="70" t="s">
        <v>108</v>
      </c>
      <c r="R519" s="170" t="str">
        <f>VLOOKUP($Q519,Resultados!$A$1:$B$49,2,FALSE)</f>
        <v xml:space="preserve"> _</v>
      </c>
      <c r="S519" s="70"/>
      <c r="T519" s="73"/>
      <c r="U519" s="73"/>
      <c r="V519" s="68"/>
      <c r="W519" s="68"/>
      <c r="X519" s="68"/>
      <c r="Y519" s="199"/>
      <c r="Z519" s="68"/>
      <c r="AA519" s="68"/>
      <c r="AB519" s="68"/>
      <c r="AC519" s="68"/>
      <c r="AD519" s="68"/>
      <c r="AE519" s="142"/>
      <c r="AF519" s="146">
        <v>7</v>
      </c>
      <c r="AG519" s="146"/>
      <c r="AH519" s="146">
        <v>0</v>
      </c>
      <c r="AI519" s="146"/>
      <c r="AJ519" s="126" t="s">
        <v>988</v>
      </c>
      <c r="AK519" s="134"/>
      <c r="AL519" s="151" t="s">
        <v>1627</v>
      </c>
      <c r="AM519" s="431" t="str">
        <f>VLOOKUP($Q519,Resultados!$A$1:$C$49,3,FALSE)</f>
        <v>TRAMITE</v>
      </c>
    </row>
    <row r="520" spans="1:39" ht="39.950000000000003" customHeight="1">
      <c r="A520" s="364">
        <v>407</v>
      </c>
      <c r="B520" s="69">
        <v>45265</v>
      </c>
      <c r="C520" s="332" t="s">
        <v>1105</v>
      </c>
      <c r="D520" s="70" t="s">
        <v>1106</v>
      </c>
      <c r="E520" s="92" t="s">
        <v>1107</v>
      </c>
      <c r="F520" s="68">
        <v>4</v>
      </c>
      <c r="G520" s="68" t="s">
        <v>325</v>
      </c>
      <c r="H520" s="69"/>
      <c r="I520" s="69"/>
      <c r="J520" s="69"/>
      <c r="K520" s="68" t="s">
        <v>1480</v>
      </c>
      <c r="L520" s="70" t="s">
        <v>82</v>
      </c>
      <c r="M520" s="70" t="s">
        <v>226</v>
      </c>
      <c r="N520" s="68" t="s">
        <v>2271</v>
      </c>
      <c r="O520" s="137" t="str">
        <f>IF(Q520=" _","NO","SI")</f>
        <v>NO</v>
      </c>
      <c r="P520" s="24" t="str">
        <f ca="1">IF(color_Celda(E520)=12106214,"ROSA",IF(color_Celda(E520)=65535,"AMARILLO",IF(color_Celda(E520)=5296274,"VERDE",IF(color_Celda(E520)=16777215,"BLANCO","NO SE"))))</f>
        <v>AMARILLO</v>
      </c>
      <c r="Q520" s="70" t="s">
        <v>108</v>
      </c>
      <c r="R520" s="170" t="str">
        <f>VLOOKUP($Q520,Resultados!$A$1:$B$49,2,FALSE)</f>
        <v xml:space="preserve"> _</v>
      </c>
      <c r="S520" s="70"/>
      <c r="T520" s="73"/>
      <c r="U520" s="73"/>
      <c r="V520" s="68"/>
      <c r="W520" s="68"/>
      <c r="X520" s="68"/>
      <c r="Y520" s="199"/>
      <c r="Z520" s="68"/>
      <c r="AA520" s="68"/>
      <c r="AB520" s="68"/>
      <c r="AC520" s="68"/>
      <c r="AD520" s="68"/>
      <c r="AE520" s="142"/>
      <c r="AF520" s="146">
        <v>7</v>
      </c>
      <c r="AG520" s="146"/>
      <c r="AH520" s="146">
        <v>0</v>
      </c>
      <c r="AI520" s="146"/>
      <c r="AJ520" s="126" t="s">
        <v>988</v>
      </c>
      <c r="AK520" s="135"/>
      <c r="AL520" s="151" t="s">
        <v>1627</v>
      </c>
      <c r="AM520" s="431" t="str">
        <f>VLOOKUP($Q520,Resultados!$A$1:$C$49,3,FALSE)</f>
        <v>TRAMITE</v>
      </c>
    </row>
    <row r="521" spans="1:39" ht="39.950000000000003" customHeight="1">
      <c r="A521" s="364">
        <v>408</v>
      </c>
      <c r="B521" s="69">
        <v>45265</v>
      </c>
      <c r="C521" s="329">
        <v>0.42222222222222222</v>
      </c>
      <c r="D521" s="70" t="s">
        <v>1109</v>
      </c>
      <c r="E521" s="92" t="s">
        <v>1110</v>
      </c>
      <c r="F521" s="68">
        <v>4</v>
      </c>
      <c r="G521" s="68" t="s">
        <v>325</v>
      </c>
      <c r="H521" s="69"/>
      <c r="I521" s="69"/>
      <c r="J521" s="69"/>
      <c r="K521" s="68" t="s">
        <v>1480</v>
      </c>
      <c r="L521" s="70" t="s">
        <v>77</v>
      </c>
      <c r="M521" s="70"/>
      <c r="N521" s="68" t="s">
        <v>2620</v>
      </c>
      <c r="O521" s="137" t="str">
        <f>IF(Q521=" _","NO","SI")</f>
        <v>NO</v>
      </c>
      <c r="P521" s="24" t="str">
        <f ca="1">IF(color_Celda(E521)=12106214,"ROSA",IF(color_Celda(E521)=65535,"AMARILLO",IF(color_Celda(E521)=5296274,"VERDE",IF(color_Celda(E521)=16777215,"BLANCO","NO SE"))))</f>
        <v>AMARILLO</v>
      </c>
      <c r="Q521" s="70" t="s">
        <v>108</v>
      </c>
      <c r="R521" s="170" t="str">
        <f>VLOOKUP($Q521,Resultados!$A$1:$B$49,2,FALSE)</f>
        <v xml:space="preserve"> _</v>
      </c>
      <c r="S521" s="70"/>
      <c r="T521" s="73"/>
      <c r="U521" s="73"/>
      <c r="V521" s="68"/>
      <c r="W521" s="68"/>
      <c r="X521" s="68"/>
      <c r="Y521" s="199"/>
      <c r="Z521" s="68"/>
      <c r="AA521" s="68"/>
      <c r="AB521" s="68"/>
      <c r="AC521" s="68"/>
      <c r="AD521" s="68"/>
      <c r="AE521" s="142"/>
      <c r="AF521" s="146">
        <v>7</v>
      </c>
      <c r="AG521" s="146"/>
      <c r="AH521" s="146">
        <v>0</v>
      </c>
      <c r="AI521" s="146"/>
      <c r="AJ521" s="126" t="s">
        <v>988</v>
      </c>
      <c r="AK521" s="135"/>
      <c r="AL521" s="151" t="s">
        <v>1627</v>
      </c>
      <c r="AM521" s="431" t="str">
        <f>VLOOKUP($Q521,Resultados!$A$1:$C$49,3,FALSE)</f>
        <v>TRAMITE</v>
      </c>
    </row>
    <row r="522" spans="1:39" ht="39.950000000000003" customHeight="1">
      <c r="A522" s="364">
        <v>409</v>
      </c>
      <c r="B522" s="69">
        <v>45265</v>
      </c>
      <c r="C522" s="329">
        <v>0.4236111111111111</v>
      </c>
      <c r="D522" s="70" t="s">
        <v>1111</v>
      </c>
      <c r="E522" s="92" t="s">
        <v>1112</v>
      </c>
      <c r="F522" s="68">
        <v>4</v>
      </c>
      <c r="G522" s="68" t="s">
        <v>325</v>
      </c>
      <c r="H522" s="69"/>
      <c r="I522" s="69"/>
      <c r="J522" s="69"/>
      <c r="K522" s="68" t="s">
        <v>1480</v>
      </c>
      <c r="L522" s="70" t="s">
        <v>250</v>
      </c>
      <c r="M522" s="70"/>
      <c r="N522" s="101" t="s">
        <v>2620</v>
      </c>
      <c r="O522" s="137" t="str">
        <f>IF(Q522=" _","NO","SI")</f>
        <v>NO</v>
      </c>
      <c r="P522" s="24" t="str">
        <f ca="1">IF(color_Celda(E522)=12106214,"ROSA",IF(color_Celda(E522)=65535,"AMARILLO",IF(color_Celda(E522)=5296274,"VERDE",IF(color_Celda(E522)=16777215,"BLANCO","NO SE"))))</f>
        <v>AMARILLO</v>
      </c>
      <c r="Q522" s="70" t="s">
        <v>108</v>
      </c>
      <c r="R522" s="170" t="str">
        <f>VLOOKUP($Q522,Resultados!$A$1:$B$49,2,FALSE)</f>
        <v xml:space="preserve"> _</v>
      </c>
      <c r="S522" s="70"/>
      <c r="T522" s="73"/>
      <c r="U522" s="73"/>
      <c r="V522" s="68"/>
      <c r="W522" s="68"/>
      <c r="X522" s="68"/>
      <c r="Y522" s="199"/>
      <c r="Z522" s="68"/>
      <c r="AA522" s="68"/>
      <c r="AB522" s="68"/>
      <c r="AC522" s="68"/>
      <c r="AD522" s="68"/>
      <c r="AE522" s="142"/>
      <c r="AF522" s="146">
        <v>7</v>
      </c>
      <c r="AG522" s="146"/>
      <c r="AH522" s="146">
        <v>0</v>
      </c>
      <c r="AI522" s="146"/>
      <c r="AJ522" s="126" t="s">
        <v>988</v>
      </c>
      <c r="AK522" s="135"/>
      <c r="AL522" s="151" t="s">
        <v>1627</v>
      </c>
      <c r="AM522" s="431" t="str">
        <f>VLOOKUP($Q522,Resultados!$A$1:$C$49,3,FALSE)</f>
        <v>TRAMITE</v>
      </c>
    </row>
    <row r="523" spans="1:39" ht="39.950000000000003" customHeight="1">
      <c r="A523" s="364">
        <v>410</v>
      </c>
      <c r="B523" s="69">
        <v>45265</v>
      </c>
      <c r="C523" s="329">
        <v>0.42638888888888887</v>
      </c>
      <c r="D523" s="70" t="s">
        <v>1113</v>
      </c>
      <c r="E523" s="92" t="s">
        <v>1114</v>
      </c>
      <c r="F523" s="68">
        <v>4</v>
      </c>
      <c r="G523" s="68" t="s">
        <v>325</v>
      </c>
      <c r="H523" s="69"/>
      <c r="I523" s="69"/>
      <c r="J523" s="69"/>
      <c r="K523" s="68" t="s">
        <v>1480</v>
      </c>
      <c r="L523" s="70" t="s">
        <v>83</v>
      </c>
      <c r="M523" s="70" t="s">
        <v>1355</v>
      </c>
      <c r="N523" s="68" t="s">
        <v>2271</v>
      </c>
      <c r="O523" s="137" t="str">
        <f>IF(Q523=" _","NO","SI")</f>
        <v>NO</v>
      </c>
      <c r="P523" s="24" t="str">
        <f ca="1">IF(color_Celda(E523)=12106214,"ROSA",IF(color_Celda(E523)=65535,"AMARILLO",IF(color_Celda(E523)=5296274,"VERDE",IF(color_Celda(E523)=16777215,"BLANCO","NO SE"))))</f>
        <v>AMARILLO</v>
      </c>
      <c r="Q523" s="70" t="s">
        <v>108</v>
      </c>
      <c r="R523" s="170" t="str">
        <f>VLOOKUP($Q523,Resultados!$A$1:$B$49,2,FALSE)</f>
        <v xml:space="preserve"> _</v>
      </c>
      <c r="S523" s="70"/>
      <c r="T523" s="73"/>
      <c r="U523" s="73"/>
      <c r="V523" s="68"/>
      <c r="W523" s="68"/>
      <c r="X523" s="68"/>
      <c r="Y523" s="199"/>
      <c r="Z523" s="68"/>
      <c r="AA523" s="68"/>
      <c r="AB523" s="68"/>
      <c r="AC523" s="68"/>
      <c r="AD523" s="68"/>
      <c r="AE523" s="142"/>
      <c r="AF523" s="146">
        <v>7</v>
      </c>
      <c r="AG523" s="146"/>
      <c r="AH523" s="146">
        <v>0</v>
      </c>
      <c r="AI523" s="146"/>
      <c r="AJ523" s="126" t="s">
        <v>988</v>
      </c>
      <c r="AK523" s="135"/>
      <c r="AL523" s="151" t="s">
        <v>1627</v>
      </c>
      <c r="AM523" s="431" t="str">
        <f>VLOOKUP($Q523,Resultados!$A$1:$C$49,3,FALSE)</f>
        <v>TRAMITE</v>
      </c>
    </row>
    <row r="524" spans="1:39" ht="39.950000000000003" customHeight="1">
      <c r="A524" s="364">
        <v>411</v>
      </c>
      <c r="B524" s="72">
        <v>45265</v>
      </c>
      <c r="C524" s="329">
        <v>0.4284722222222222</v>
      </c>
      <c r="D524" s="70" t="s">
        <v>1115</v>
      </c>
      <c r="E524" s="92" t="s">
        <v>1116</v>
      </c>
      <c r="F524" s="68">
        <v>4</v>
      </c>
      <c r="G524" s="68" t="s">
        <v>325</v>
      </c>
      <c r="H524" s="69"/>
      <c r="I524" s="69"/>
      <c r="J524" s="69"/>
      <c r="K524" s="68" t="s">
        <v>1480</v>
      </c>
      <c r="L524" s="70"/>
      <c r="M524" s="70" t="s">
        <v>61</v>
      </c>
      <c r="N524" s="68" t="s">
        <v>1342</v>
      </c>
      <c r="O524" s="137" t="str">
        <f>IF(Q524=" _","NO","SI")</f>
        <v>NO</v>
      </c>
      <c r="P524" s="24" t="str">
        <f ca="1">IF(color_Celda(E524)=12106214,"ROSA",IF(color_Celda(E524)=65535,"AMARILLO",IF(color_Celda(E524)=5296274,"VERDE",IF(color_Celda(E524)=16777215,"BLANCO","NO SE"))))</f>
        <v>AMARILLO</v>
      </c>
      <c r="Q524" s="70" t="s">
        <v>108</v>
      </c>
      <c r="R524" s="170" t="str">
        <f>VLOOKUP($Q524,Resultados!$A$1:$B$49,2,FALSE)</f>
        <v xml:space="preserve"> _</v>
      </c>
      <c r="S524" s="70"/>
      <c r="T524" s="73"/>
      <c r="U524" s="73"/>
      <c r="V524" s="68"/>
      <c r="W524" s="68"/>
      <c r="X524" s="68"/>
      <c r="Y524" s="199"/>
      <c r="Z524" s="68"/>
      <c r="AA524" s="68"/>
      <c r="AB524" s="68"/>
      <c r="AC524" s="68"/>
      <c r="AD524" s="68"/>
      <c r="AE524" s="142"/>
      <c r="AF524" s="146">
        <v>7</v>
      </c>
      <c r="AG524" s="146"/>
      <c r="AH524" s="146">
        <v>0</v>
      </c>
      <c r="AI524" s="146"/>
      <c r="AJ524" s="126" t="s">
        <v>988</v>
      </c>
      <c r="AK524" s="135"/>
      <c r="AL524" s="151" t="s">
        <v>1627</v>
      </c>
      <c r="AM524" s="431" t="str">
        <f>VLOOKUP($Q524,Resultados!$A$1:$C$49,3,FALSE)</f>
        <v>TRAMITE</v>
      </c>
    </row>
    <row r="525" spans="1:39" ht="39.950000000000003" customHeight="1">
      <c r="A525" s="364">
        <v>413</v>
      </c>
      <c r="B525" s="69">
        <v>45265</v>
      </c>
      <c r="C525" s="332" t="s">
        <v>993</v>
      </c>
      <c r="D525" s="70" t="s">
        <v>192</v>
      </c>
      <c r="E525" s="92" t="s">
        <v>1119</v>
      </c>
      <c r="F525" s="68">
        <v>4</v>
      </c>
      <c r="G525" s="68" t="s">
        <v>325</v>
      </c>
      <c r="H525" s="69"/>
      <c r="I525" s="69"/>
      <c r="J525" s="69"/>
      <c r="K525" s="68" t="s">
        <v>1480</v>
      </c>
      <c r="L525" s="70" t="s">
        <v>83</v>
      </c>
      <c r="M525" s="70" t="s">
        <v>47</v>
      </c>
      <c r="N525" s="68" t="s">
        <v>1342</v>
      </c>
      <c r="O525" s="137" t="str">
        <f>IF(Q525=" _","NO","SI")</f>
        <v>NO</v>
      </c>
      <c r="P525" s="24" t="str">
        <f ca="1">IF(color_Celda(E525)=12106214,"ROSA",IF(color_Celda(E525)=65535,"AMARILLO",IF(color_Celda(E525)=5296274,"VERDE",IF(color_Celda(E525)=16777215,"BLANCO","NO SE"))))</f>
        <v>AMARILLO</v>
      </c>
      <c r="Q525" s="70" t="s">
        <v>108</v>
      </c>
      <c r="R525" s="170" t="str">
        <f>VLOOKUP($Q525,Resultados!$A$1:$B$49,2,FALSE)</f>
        <v xml:space="preserve"> _</v>
      </c>
      <c r="S525" s="70"/>
      <c r="T525" s="73"/>
      <c r="U525" s="73"/>
      <c r="V525" s="68"/>
      <c r="W525" s="68"/>
      <c r="X525" s="68"/>
      <c r="Y525" s="199"/>
      <c r="Z525" s="68"/>
      <c r="AA525" s="68"/>
      <c r="AB525" s="68"/>
      <c r="AC525" s="68"/>
      <c r="AD525" s="68"/>
      <c r="AE525" s="142"/>
      <c r="AF525" s="146">
        <v>7</v>
      </c>
      <c r="AG525" s="146"/>
      <c r="AH525" s="146">
        <v>0</v>
      </c>
      <c r="AI525" s="146"/>
      <c r="AJ525" s="126" t="s">
        <v>988</v>
      </c>
      <c r="AK525" s="135"/>
      <c r="AL525" s="151" t="s">
        <v>1627</v>
      </c>
      <c r="AM525" s="431" t="str">
        <f>VLOOKUP($Q525,Resultados!$A$1:$C$49,3,FALSE)</f>
        <v>TRAMITE</v>
      </c>
    </row>
    <row r="526" spans="1:39" ht="39.950000000000003" customHeight="1">
      <c r="A526" s="364">
        <v>414</v>
      </c>
      <c r="B526" s="69">
        <v>45265</v>
      </c>
      <c r="C526" s="332" t="s">
        <v>1120</v>
      </c>
      <c r="D526" s="70" t="s">
        <v>1121</v>
      </c>
      <c r="E526" s="92" t="s">
        <v>1122</v>
      </c>
      <c r="F526" s="68">
        <v>4</v>
      </c>
      <c r="G526" s="68" t="s">
        <v>325</v>
      </c>
      <c r="H526" s="69"/>
      <c r="I526" s="69"/>
      <c r="J526" s="69"/>
      <c r="K526" s="68" t="s">
        <v>1480</v>
      </c>
      <c r="L526" s="70" t="s">
        <v>87</v>
      </c>
      <c r="M526" s="70" t="s">
        <v>1156</v>
      </c>
      <c r="N526" s="68" t="s">
        <v>2480</v>
      </c>
      <c r="O526" s="24" t="str">
        <f>IF(Q526=" _","NO","SI")</f>
        <v>NO</v>
      </c>
      <c r="P526" s="24" t="str">
        <f ca="1">IF(color_Celda(E526)=12106214,"ROSA",IF(color_Celda(E526)=65535,"AMARILLO",IF(color_Celda(E526)=5296274,"VERDE",IF(color_Celda(E526)=16777215,"BLANCO","NO SE"))))</f>
        <v>AMARILLO</v>
      </c>
      <c r="Q526" s="70" t="s">
        <v>108</v>
      </c>
      <c r="R526" s="170" t="s">
        <v>2942</v>
      </c>
      <c r="S526" s="70"/>
      <c r="T526" s="99"/>
      <c r="U526" s="99"/>
      <c r="V526" s="107"/>
      <c r="W526" s="68"/>
      <c r="X526" s="68"/>
      <c r="Y526" s="199"/>
      <c r="Z526" s="68"/>
      <c r="AA526" s="68"/>
      <c r="AB526" s="68"/>
      <c r="AC526" s="107"/>
      <c r="AD526" s="107"/>
      <c r="AE526" s="143"/>
      <c r="AF526" s="118">
        <v>7</v>
      </c>
      <c r="AG526" s="118"/>
      <c r="AH526" s="118">
        <v>0</v>
      </c>
      <c r="AI526" s="118"/>
      <c r="AJ526" s="126" t="s">
        <v>988</v>
      </c>
      <c r="AK526" s="135"/>
      <c r="AL526" s="151" t="s">
        <v>1627</v>
      </c>
      <c r="AM526" s="431" t="str">
        <f>VLOOKUP($Q526,Resultados!$A$1:$C$49,3,FALSE)</f>
        <v>TRAMITE</v>
      </c>
    </row>
    <row r="527" spans="1:39" ht="39.950000000000003" customHeight="1">
      <c r="A527" s="364">
        <v>416</v>
      </c>
      <c r="B527" s="69">
        <v>45265</v>
      </c>
      <c r="C527" s="332" t="s">
        <v>1126</v>
      </c>
      <c r="D527" s="70" t="s">
        <v>33</v>
      </c>
      <c r="E527" s="92" t="s">
        <v>1127</v>
      </c>
      <c r="F527" s="68">
        <v>4</v>
      </c>
      <c r="G527" s="68" t="s">
        <v>325</v>
      </c>
      <c r="H527" s="69"/>
      <c r="I527" s="69"/>
      <c r="J527" s="69"/>
      <c r="K527" s="68" t="s">
        <v>1480</v>
      </c>
      <c r="L527" s="70" t="s">
        <v>36</v>
      </c>
      <c r="M527" s="70" t="s">
        <v>322</v>
      </c>
      <c r="N527" s="68" t="s">
        <v>2271</v>
      </c>
      <c r="O527" s="137" t="str">
        <f>IF(Q527=" _","NO","SI")</f>
        <v>NO</v>
      </c>
      <c r="P527" s="24" t="str">
        <f ca="1">IF(color_Celda(E527)=12106214,"ROSA",IF(color_Celda(E527)=65535,"AMARILLO",IF(color_Celda(E527)=5296274,"VERDE",IF(color_Celda(E527)=16777215,"BLANCO","NO SE"))))</f>
        <v>AMARILLO</v>
      </c>
      <c r="Q527" s="70" t="s">
        <v>108</v>
      </c>
      <c r="R527" s="170" t="str">
        <f>VLOOKUP($Q527,Resultados!$A$1:$B$49,2,FALSE)</f>
        <v xml:space="preserve"> _</v>
      </c>
      <c r="S527" s="70"/>
      <c r="T527" s="73"/>
      <c r="U527" s="73"/>
      <c r="V527" s="68"/>
      <c r="W527" s="68"/>
      <c r="X527" s="68"/>
      <c r="Y527" s="199"/>
      <c r="Z527" s="68"/>
      <c r="AA527" s="68"/>
      <c r="AB527" s="68"/>
      <c r="AC527" s="68"/>
      <c r="AD527" s="68"/>
      <c r="AE527" s="142"/>
      <c r="AF527" s="146">
        <v>7</v>
      </c>
      <c r="AG527" s="146"/>
      <c r="AH527" s="146">
        <v>0</v>
      </c>
      <c r="AI527" s="146"/>
      <c r="AJ527" s="126" t="s">
        <v>988</v>
      </c>
      <c r="AK527" s="135"/>
      <c r="AL527" s="151" t="s">
        <v>1627</v>
      </c>
      <c r="AM527" s="431" t="str">
        <f>VLOOKUP($Q527,Resultados!$A$1:$C$49,3,FALSE)</f>
        <v>TRAMITE</v>
      </c>
    </row>
    <row r="528" spans="1:39" ht="39.950000000000003" customHeight="1">
      <c r="A528" s="364">
        <v>417</v>
      </c>
      <c r="B528" s="69">
        <v>45265</v>
      </c>
      <c r="C528" s="332" t="s">
        <v>1128</v>
      </c>
      <c r="D528" s="70" t="s">
        <v>1129</v>
      </c>
      <c r="E528" s="92" t="s">
        <v>1130</v>
      </c>
      <c r="F528" s="68">
        <v>4</v>
      </c>
      <c r="G528" s="68" t="s">
        <v>325</v>
      </c>
      <c r="H528" s="69"/>
      <c r="I528" s="69"/>
      <c r="J528" s="69"/>
      <c r="K528" s="68" t="s">
        <v>1480</v>
      </c>
      <c r="L528" s="70" t="s">
        <v>79</v>
      </c>
      <c r="M528" s="70"/>
      <c r="N528" s="101" t="s">
        <v>1858</v>
      </c>
      <c r="O528" s="137" t="str">
        <f>IF(Q528=" _","NO","SI")</f>
        <v>NO</v>
      </c>
      <c r="P528" s="24" t="str">
        <f ca="1">IF(color_Celda(E528)=12106214,"ROSA",IF(color_Celda(E528)=65535,"AMARILLO",IF(color_Celda(E528)=5296274,"VERDE",IF(color_Celda(E528)=16777215,"BLANCO","NO SE"))))</f>
        <v>AMARILLO</v>
      </c>
      <c r="Q528" s="70" t="s">
        <v>108</v>
      </c>
      <c r="R528" s="170" t="str">
        <f>VLOOKUP($Q528,Resultados!$A$1:$B$49,2,FALSE)</f>
        <v xml:space="preserve"> _</v>
      </c>
      <c r="S528" s="70"/>
      <c r="T528" s="73"/>
      <c r="U528" s="73"/>
      <c r="V528" s="68"/>
      <c r="W528" s="68"/>
      <c r="X528" s="68"/>
      <c r="Y528" s="199"/>
      <c r="Z528" s="68"/>
      <c r="AA528" s="68"/>
      <c r="AB528" s="68"/>
      <c r="AC528" s="68"/>
      <c r="AD528" s="68"/>
      <c r="AE528" s="142"/>
      <c r="AF528" s="146">
        <v>7</v>
      </c>
      <c r="AG528" s="146"/>
      <c r="AH528" s="146">
        <v>0</v>
      </c>
      <c r="AI528" s="146"/>
      <c r="AJ528" s="126" t="s">
        <v>988</v>
      </c>
      <c r="AK528" s="135"/>
      <c r="AL528" s="151" t="s">
        <v>1627</v>
      </c>
      <c r="AM528" s="431" t="str">
        <f>VLOOKUP($Q528,Resultados!$A$1:$C$49,3,FALSE)</f>
        <v>TRAMITE</v>
      </c>
    </row>
    <row r="529" spans="1:39" ht="39.950000000000003" customHeight="1">
      <c r="A529" s="364">
        <v>418</v>
      </c>
      <c r="B529" s="72">
        <v>45265</v>
      </c>
      <c r="C529" s="329">
        <v>0.43541666666666662</v>
      </c>
      <c r="D529" s="70" t="s">
        <v>1131</v>
      </c>
      <c r="E529" s="92" t="s">
        <v>1132</v>
      </c>
      <c r="F529" s="68">
        <v>3</v>
      </c>
      <c r="G529" s="68" t="s">
        <v>1750</v>
      </c>
      <c r="H529" s="69"/>
      <c r="I529" s="69"/>
      <c r="J529" s="69"/>
      <c r="K529" s="68" t="s">
        <v>1480</v>
      </c>
      <c r="L529" s="70" t="s">
        <v>74</v>
      </c>
      <c r="M529" s="70" t="s">
        <v>70</v>
      </c>
      <c r="N529" s="68"/>
      <c r="O529" s="24" t="str">
        <f>IF(Q529=" _","NO","SI")</f>
        <v>NO</v>
      </c>
      <c r="P529" s="24" t="str">
        <f ca="1">IF(color_Celda(E529)=12106214,"ROSA",IF(color_Celda(E529)=65535,"AMARILLO",IF(color_Celda(E529)=5296274,"VERDE",IF(color_Celda(E529)=16777215,"BLANCO","NO SE"))))</f>
        <v>AMARILLO</v>
      </c>
      <c r="Q529" s="70" t="s">
        <v>108</v>
      </c>
      <c r="R529" s="170" t="str">
        <f>VLOOKUP($Q529,Resultados!$A$1:$B$49,2,FALSE)</f>
        <v xml:space="preserve"> _</v>
      </c>
      <c r="S529" s="70"/>
      <c r="T529" s="73"/>
      <c r="U529" s="73"/>
      <c r="V529" s="68"/>
      <c r="W529" s="68"/>
      <c r="X529" s="68"/>
      <c r="Y529" s="64"/>
      <c r="Z529" s="68"/>
      <c r="AA529" s="68"/>
      <c r="AB529" s="68"/>
      <c r="AC529" s="68"/>
      <c r="AD529" s="68"/>
      <c r="AE529" s="142"/>
      <c r="AF529" s="146">
        <v>7</v>
      </c>
      <c r="AG529" s="146"/>
      <c r="AH529" s="146">
        <v>0</v>
      </c>
      <c r="AI529" s="146"/>
      <c r="AJ529" s="126" t="s">
        <v>988</v>
      </c>
      <c r="AK529" s="135"/>
      <c r="AL529" s="151" t="s">
        <v>1627</v>
      </c>
      <c r="AM529" s="431" t="str">
        <f>VLOOKUP($Q529,Resultados!$A$1:$C$49,3,FALSE)</f>
        <v>TRAMITE</v>
      </c>
    </row>
    <row r="530" spans="1:39" ht="39.950000000000003" customHeight="1">
      <c r="A530" s="364">
        <v>419</v>
      </c>
      <c r="B530" s="69">
        <v>45265</v>
      </c>
      <c r="C530" s="332" t="s">
        <v>781</v>
      </c>
      <c r="D530" s="70" t="s">
        <v>1133</v>
      </c>
      <c r="E530" s="92" t="s">
        <v>1134</v>
      </c>
      <c r="F530" s="68">
        <v>4</v>
      </c>
      <c r="G530" s="68" t="s">
        <v>325</v>
      </c>
      <c r="H530" s="69"/>
      <c r="I530" s="69"/>
      <c r="J530" s="69"/>
      <c r="K530" s="68" t="s">
        <v>1480</v>
      </c>
      <c r="L530" s="70" t="s">
        <v>2170</v>
      </c>
      <c r="M530" s="70" t="s">
        <v>172</v>
      </c>
      <c r="N530" s="68" t="s">
        <v>2271</v>
      </c>
      <c r="O530" s="137" t="str">
        <f>IF(Q530=" _","NO","SI")</f>
        <v>NO</v>
      </c>
      <c r="P530" s="24" t="str">
        <f ca="1">IF(color_Celda(E530)=12106214,"ROSA",IF(color_Celda(E530)=65535,"AMARILLO",IF(color_Celda(E530)=5296274,"VERDE",IF(color_Celda(E530)=16777215,"BLANCO","NO SE"))))</f>
        <v>AMARILLO</v>
      </c>
      <c r="Q530" s="70" t="s">
        <v>108</v>
      </c>
      <c r="R530" s="170" t="str">
        <f>VLOOKUP($Q530,Resultados!$A$1:$B$49,2,FALSE)</f>
        <v xml:space="preserve"> _</v>
      </c>
      <c r="S530" s="70"/>
      <c r="T530" s="73"/>
      <c r="U530" s="73"/>
      <c r="V530" s="68"/>
      <c r="W530" s="68"/>
      <c r="X530" s="68"/>
      <c r="Y530" s="199"/>
      <c r="Z530" s="68"/>
      <c r="AA530" s="68"/>
      <c r="AB530" s="68"/>
      <c r="AC530" s="68"/>
      <c r="AD530" s="68"/>
      <c r="AE530" s="142"/>
      <c r="AF530" s="146">
        <v>7</v>
      </c>
      <c r="AG530" s="146"/>
      <c r="AH530" s="146">
        <v>0</v>
      </c>
      <c r="AI530" s="146"/>
      <c r="AJ530" s="126" t="s">
        <v>988</v>
      </c>
      <c r="AK530" s="135"/>
      <c r="AL530" s="151" t="s">
        <v>1627</v>
      </c>
      <c r="AM530" s="431" t="str">
        <f>VLOOKUP($Q530,Resultados!$A$1:$C$49,3,FALSE)</f>
        <v>TRAMITE</v>
      </c>
    </row>
    <row r="531" spans="1:39" ht="39.950000000000003" customHeight="1">
      <c r="A531" s="373">
        <v>420</v>
      </c>
      <c r="B531" s="100">
        <v>45265</v>
      </c>
      <c r="C531" s="336" t="s">
        <v>1135</v>
      </c>
      <c r="D531" s="96" t="s">
        <v>1136</v>
      </c>
      <c r="E531" s="98" t="s">
        <v>1137</v>
      </c>
      <c r="F531" s="107">
        <v>4</v>
      </c>
      <c r="G531" s="107" t="s">
        <v>325</v>
      </c>
      <c r="H531" s="100"/>
      <c r="I531" s="100"/>
      <c r="J531" s="100"/>
      <c r="K531" s="107" t="s">
        <v>1480</v>
      </c>
      <c r="L531" s="96" t="s">
        <v>252</v>
      </c>
      <c r="M531" s="96"/>
      <c r="N531" s="107"/>
      <c r="O531" s="24" t="str">
        <f>IF(Q531=" _","NO","SI")</f>
        <v>SI</v>
      </c>
      <c r="P531" s="24" t="str">
        <f ca="1">IF(color_Celda(E531)=12106214,"ROSA",IF(color_Celda(E531)=65535,"AMARILLO",IF(color_Celda(E531)=5296274,"VERDE",IF(color_Celda(E531)=16777215,"BLANCO","NO SE"))))</f>
        <v>VERDE</v>
      </c>
      <c r="Q531" s="96" t="s">
        <v>3313</v>
      </c>
      <c r="R531" s="176" t="str">
        <f>VLOOKUP($Q531,Resultados!$A$1:$B$49,2,FALSE)</f>
        <v>VERDE</v>
      </c>
      <c r="S531" s="96"/>
      <c r="T531" s="99"/>
      <c r="U531" s="99"/>
      <c r="V531" s="107"/>
      <c r="W531" s="107"/>
      <c r="X531" s="107"/>
      <c r="Y531" s="64"/>
      <c r="Z531" s="107"/>
      <c r="AA531" s="107"/>
      <c r="AB531" s="107"/>
      <c r="AC531" s="107"/>
      <c r="AD531" s="107"/>
      <c r="AE531" s="143"/>
      <c r="AF531" s="118">
        <v>7</v>
      </c>
      <c r="AG531" s="118"/>
      <c r="AH531" s="118">
        <v>0</v>
      </c>
      <c r="AI531" s="118"/>
      <c r="AJ531" s="127" t="s">
        <v>988</v>
      </c>
      <c r="AK531" s="133"/>
      <c r="AL531" s="129" t="s">
        <v>1627</v>
      </c>
      <c r="AM531" s="431" t="str">
        <f>VLOOKUP($Q531,Resultados!$A$1:$C$49,3,FALSE)</f>
        <v>NO LLEGO</v>
      </c>
    </row>
    <row r="532" spans="1:39" ht="39.950000000000003" customHeight="1">
      <c r="A532" s="372">
        <v>421</v>
      </c>
      <c r="B532" s="85">
        <v>45265</v>
      </c>
      <c r="C532" s="325" t="s">
        <v>857</v>
      </c>
      <c r="D532" s="79" t="s">
        <v>1138</v>
      </c>
      <c r="E532" s="88" t="s">
        <v>1139</v>
      </c>
      <c r="F532" s="74">
        <v>4</v>
      </c>
      <c r="G532" s="74" t="s">
        <v>325</v>
      </c>
      <c r="H532" s="305">
        <v>45408</v>
      </c>
      <c r="I532" s="85"/>
      <c r="J532" s="85"/>
      <c r="K532" s="74" t="s">
        <v>1480</v>
      </c>
      <c r="L532" s="79" t="s">
        <v>25</v>
      </c>
      <c r="M532" s="79"/>
      <c r="N532" s="105" t="s">
        <v>3376</v>
      </c>
      <c r="O532" s="24" t="str">
        <f>IF(Q532=" _","NO","SI")</f>
        <v>SI</v>
      </c>
      <c r="P532" s="24" t="str">
        <f ca="1">IF(color_Celda(E532)=12106214,"ROSA",IF(color_Celda(E532)=65535,"AMARILLO",IF(color_Celda(E532)=5296274,"VERDE",IF(color_Celda(E532)=16777215,"BLANCO","NO SE"))))</f>
        <v>ROSA</v>
      </c>
      <c r="Q532" s="79" t="s">
        <v>3377</v>
      </c>
      <c r="R532" s="4" t="str">
        <f>VLOOKUP($Q532,Resultados!$A$1:$B$49,2,FALSE)</f>
        <v>SOBRESEIMIENTO EN ACUSACION</v>
      </c>
      <c r="S532" s="79"/>
      <c r="T532" s="86"/>
      <c r="U532" s="86"/>
      <c r="V532" s="74"/>
      <c r="W532" s="74"/>
      <c r="X532" s="74"/>
      <c r="Y532" s="64"/>
      <c r="Z532" s="74"/>
      <c r="AA532" s="74"/>
      <c r="AB532" s="74"/>
      <c r="AC532" s="74"/>
      <c r="AD532" s="74"/>
      <c r="AE532" s="140"/>
      <c r="AF532" s="74">
        <v>7</v>
      </c>
      <c r="AG532" s="74"/>
      <c r="AH532" s="74">
        <v>0</v>
      </c>
      <c r="AI532" s="74"/>
      <c r="AJ532" s="125" t="s">
        <v>988</v>
      </c>
      <c r="AK532" s="541"/>
      <c r="AL532" s="542" t="s">
        <v>1628</v>
      </c>
      <c r="AM532" s="431" t="str">
        <f>VLOOKUP($Q532,Resultados!$A$1:$C$49,3,FALSE)</f>
        <v>RESUELTA</v>
      </c>
    </row>
    <row r="533" spans="1:39" ht="39.950000000000003" customHeight="1">
      <c r="A533" s="364">
        <v>423</v>
      </c>
      <c r="B533" s="72">
        <v>45265</v>
      </c>
      <c r="C533" s="329">
        <v>0.4993055555555555</v>
      </c>
      <c r="D533" s="70" t="s">
        <v>1141</v>
      </c>
      <c r="E533" s="92" t="s">
        <v>1142</v>
      </c>
      <c r="F533" s="68">
        <v>6</v>
      </c>
      <c r="G533" s="68" t="s">
        <v>326</v>
      </c>
      <c r="H533" s="69"/>
      <c r="I533" s="69"/>
      <c r="J533" s="69"/>
      <c r="K533" s="68" t="s">
        <v>1480</v>
      </c>
      <c r="L533" s="70" t="s">
        <v>87</v>
      </c>
      <c r="M533" s="111" t="s">
        <v>157</v>
      </c>
      <c r="N533" s="68" t="s">
        <v>2252</v>
      </c>
      <c r="O533" s="24" t="str">
        <f>IF(Q533=" _","NO","SI")</f>
        <v>NO</v>
      </c>
      <c r="P533" s="24" t="str">
        <f ca="1">IF(color_Celda(E533)=12106214,"ROSA",IF(color_Celda(E533)=65535,"AMARILLO",IF(color_Celda(E533)=5296274,"VERDE",IF(color_Celda(E533)=16777215,"BLANCO","NO SE"))))</f>
        <v>AMARILLO</v>
      </c>
      <c r="Q533" s="70" t="s">
        <v>108</v>
      </c>
      <c r="R533" s="170" t="str">
        <f>VLOOKUP($Q533,Resultados!$A$1:$B$49,2,FALSE)</f>
        <v xml:space="preserve"> _</v>
      </c>
      <c r="S533" s="70"/>
      <c r="T533" s="73"/>
      <c r="U533" s="73"/>
      <c r="V533" s="68"/>
      <c r="W533" s="68"/>
      <c r="X533" s="68"/>
      <c r="Y533" s="64"/>
      <c r="Z533" s="68"/>
      <c r="AA533" s="68"/>
      <c r="AB533" s="68"/>
      <c r="AC533" s="68"/>
      <c r="AD533" s="68"/>
      <c r="AE533" s="358"/>
      <c r="AF533" s="68">
        <v>7</v>
      </c>
      <c r="AG533" s="68"/>
      <c r="AH533" s="68">
        <v>0</v>
      </c>
      <c r="AI533" s="68"/>
      <c r="AJ533" s="101" t="s">
        <v>988</v>
      </c>
      <c r="AK533" s="362"/>
      <c r="AL533" s="155" t="s">
        <v>1627</v>
      </c>
      <c r="AM533" s="431" t="str">
        <f>VLOOKUP($Q533,Resultados!$A$1:$C$49,3,FALSE)</f>
        <v>TRAMITE</v>
      </c>
    </row>
    <row r="534" spans="1:39" ht="39.950000000000003" customHeight="1">
      <c r="A534" s="364">
        <v>424</v>
      </c>
      <c r="B534" s="69">
        <v>45265</v>
      </c>
      <c r="C534" s="332" t="s">
        <v>1143</v>
      </c>
      <c r="D534" s="70" t="s">
        <v>1144</v>
      </c>
      <c r="E534" s="92" t="s">
        <v>1145</v>
      </c>
      <c r="F534" s="68">
        <v>6</v>
      </c>
      <c r="G534" s="68" t="s">
        <v>326</v>
      </c>
      <c r="H534" s="69"/>
      <c r="I534" s="69"/>
      <c r="J534" s="69"/>
      <c r="K534" s="68" t="s">
        <v>1480</v>
      </c>
      <c r="L534" s="70" t="s">
        <v>84</v>
      </c>
      <c r="M534" s="70" t="s">
        <v>2250</v>
      </c>
      <c r="N534" s="68" t="s">
        <v>2251</v>
      </c>
      <c r="O534" s="24" t="str">
        <f>IF(Q534=" _","NO","SI")</f>
        <v>NO</v>
      </c>
      <c r="P534" s="24" t="str">
        <f ca="1">IF(color_Celda(E534)=12106214,"ROSA",IF(color_Celda(E534)=65535,"AMARILLO",IF(color_Celda(E534)=5296274,"VERDE",IF(color_Celda(E534)=16777215,"BLANCO","NO SE"))))</f>
        <v>AMARILLO</v>
      </c>
      <c r="Q534" s="70" t="s">
        <v>108</v>
      </c>
      <c r="R534" s="170" t="str">
        <f>VLOOKUP($Q534,Resultados!$A$1:$B$49,2,FALSE)</f>
        <v xml:space="preserve"> _</v>
      </c>
      <c r="S534" s="70"/>
      <c r="T534" s="73"/>
      <c r="U534" s="73"/>
      <c r="V534" s="68"/>
      <c r="W534" s="68"/>
      <c r="X534" s="68"/>
      <c r="Y534" s="64"/>
      <c r="Z534" s="68"/>
      <c r="AA534" s="68"/>
      <c r="AB534" s="68"/>
      <c r="AC534" s="68"/>
      <c r="AD534" s="68"/>
      <c r="AE534" s="358"/>
      <c r="AF534" s="68">
        <v>7</v>
      </c>
      <c r="AG534" s="68"/>
      <c r="AH534" s="68">
        <v>0</v>
      </c>
      <c r="AI534" s="68"/>
      <c r="AJ534" s="101" t="s">
        <v>988</v>
      </c>
      <c r="AK534" s="362"/>
      <c r="AL534" s="155" t="s">
        <v>1627</v>
      </c>
      <c r="AM534" s="431" t="str">
        <f>VLOOKUP($Q534,Resultados!$A$1:$C$49,3,FALSE)</f>
        <v>TRAMITE</v>
      </c>
    </row>
    <row r="535" spans="1:39" ht="39.950000000000003" customHeight="1">
      <c r="A535" s="364">
        <v>425</v>
      </c>
      <c r="B535" s="69">
        <v>45265</v>
      </c>
      <c r="C535" s="332" t="s">
        <v>793</v>
      </c>
      <c r="D535" s="70" t="s">
        <v>1149</v>
      </c>
      <c r="E535" s="92" t="s">
        <v>1150</v>
      </c>
      <c r="F535" s="68">
        <v>6</v>
      </c>
      <c r="G535" s="68" t="s">
        <v>326</v>
      </c>
      <c r="H535" s="69"/>
      <c r="I535" s="69"/>
      <c r="J535" s="69"/>
      <c r="K535" s="68" t="s">
        <v>1480</v>
      </c>
      <c r="L535" s="70" t="s">
        <v>2172</v>
      </c>
      <c r="M535" s="70" t="s">
        <v>260</v>
      </c>
      <c r="N535" s="68" t="s">
        <v>1342</v>
      </c>
      <c r="O535" s="24" t="str">
        <f>IF(Q535=" _","NO","SI")</f>
        <v>NO</v>
      </c>
      <c r="P535" s="24" t="str">
        <f ca="1">IF(color_Celda(E535)=12106214,"ROSA",IF(color_Celda(E535)=65535,"AMARILLO",IF(color_Celda(E535)=5296274,"VERDE",IF(color_Celda(E535)=16777215,"BLANCO","NO SE"))))</f>
        <v>AMARILLO</v>
      </c>
      <c r="Q535" s="70" t="s">
        <v>108</v>
      </c>
      <c r="R535" s="170" t="str">
        <f>VLOOKUP($Q535,Resultados!$A$1:$B$49,2,FALSE)</f>
        <v xml:space="preserve"> _</v>
      </c>
      <c r="S535" s="70"/>
      <c r="T535" s="73"/>
      <c r="U535" s="73"/>
      <c r="V535" s="68"/>
      <c r="W535" s="68"/>
      <c r="X535" s="68"/>
      <c r="Y535" s="64"/>
      <c r="Z535" s="68"/>
      <c r="AA535" s="68"/>
      <c r="AB535" s="68"/>
      <c r="AC535" s="68"/>
      <c r="AD535" s="68"/>
      <c r="AE535" s="358"/>
      <c r="AF535" s="68">
        <v>7</v>
      </c>
      <c r="AG535" s="68"/>
      <c r="AH535" s="68">
        <v>0</v>
      </c>
      <c r="AI535" s="68"/>
      <c r="AJ535" s="101" t="s">
        <v>988</v>
      </c>
      <c r="AK535" s="362"/>
      <c r="AL535" s="155" t="s">
        <v>1627</v>
      </c>
      <c r="AM535" s="431" t="str">
        <f>VLOOKUP($Q535,Resultados!$A$1:$C$49,3,FALSE)</f>
        <v>TRAMITE</v>
      </c>
    </row>
    <row r="536" spans="1:39" ht="39.950000000000003" customHeight="1">
      <c r="A536" s="364">
        <v>426</v>
      </c>
      <c r="B536" s="38">
        <v>45265</v>
      </c>
      <c r="C536" s="331">
        <v>0.51388888888888895</v>
      </c>
      <c r="D536" s="32" t="s">
        <v>2352</v>
      </c>
      <c r="E536" s="40" t="s">
        <v>2353</v>
      </c>
      <c r="F536" s="39">
        <v>4</v>
      </c>
      <c r="G536" s="39" t="s">
        <v>325</v>
      </c>
      <c r="H536" s="38"/>
      <c r="I536" s="38"/>
      <c r="J536" s="38"/>
      <c r="K536" s="39" t="str">
        <f>IFERROR(VLOOKUP(J536,Jueces!$A$1:$B$11,2,FALSE),"")</f>
        <v/>
      </c>
      <c r="L536" s="32" t="s">
        <v>250</v>
      </c>
      <c r="M536" s="32"/>
      <c r="N536" s="32" t="s">
        <v>2354</v>
      </c>
      <c r="O536" s="24" t="str">
        <f>IF(Q536=" _","NO","SI")</f>
        <v>NO</v>
      </c>
      <c r="P536" s="24" t="str">
        <f ca="1">IF(color_Celda(E536)=12106214,"ROSA",IF(color_Celda(E536)=65535,"AMARILLO",IF(color_Celda(E536)=5296274,"VERDE",IF(color_Celda(E536)=16777215,"BLANCO","NO SE"))))</f>
        <v>AMARILLO</v>
      </c>
      <c r="Q536" s="32" t="s">
        <v>108</v>
      </c>
      <c r="R536" s="170" t="str">
        <f>VLOOKUP($Q536,Resultados!$A$1:$B$49,2,FALSE)</f>
        <v xml:space="preserve"> _</v>
      </c>
      <c r="S536" s="32"/>
      <c r="T536" s="37"/>
      <c r="U536" s="37"/>
      <c r="V536" s="39"/>
      <c r="W536" s="39"/>
      <c r="X536" s="39"/>
      <c r="Y536" s="64"/>
      <c r="Z536" s="39"/>
      <c r="AA536" s="39"/>
      <c r="AB536" s="39"/>
      <c r="AC536" s="39"/>
      <c r="AD536" s="39"/>
      <c r="AE536" s="110"/>
      <c r="AF536" s="39"/>
      <c r="AG536" s="39"/>
      <c r="AH536" s="39"/>
      <c r="AI536" s="39"/>
      <c r="AJ536" s="43" t="s">
        <v>988</v>
      </c>
      <c r="AK536" s="39"/>
      <c r="AL536" s="155" t="s">
        <v>1627</v>
      </c>
      <c r="AM536" s="431" t="str">
        <f>VLOOKUP($Q536,Resultados!$A$1:$C$49,3,FALSE)</f>
        <v>TRAMITE</v>
      </c>
    </row>
    <row r="537" spans="1:39" ht="39.950000000000003" customHeight="1">
      <c r="A537" s="364">
        <v>427</v>
      </c>
      <c r="B537" s="38">
        <v>45265</v>
      </c>
      <c r="C537" s="337" t="s">
        <v>1644</v>
      </c>
      <c r="D537" s="32" t="s">
        <v>2316</v>
      </c>
      <c r="E537" s="40" t="s">
        <v>2317</v>
      </c>
      <c r="F537" s="39">
        <v>4</v>
      </c>
      <c r="G537" s="39" t="s">
        <v>325</v>
      </c>
      <c r="H537" s="38"/>
      <c r="I537" s="38"/>
      <c r="J537" s="38"/>
      <c r="K537" s="39" t="str">
        <f>IFERROR(VLOOKUP(J537,Jueces!$A$1:$B$11,2,FALSE),"")</f>
        <v/>
      </c>
      <c r="L537" s="32" t="s">
        <v>250</v>
      </c>
      <c r="M537" s="32" t="s">
        <v>2318</v>
      </c>
      <c r="N537" s="32" t="s">
        <v>2271</v>
      </c>
      <c r="O537" s="24" t="str">
        <f>IF(Q537=" _","NO","SI")</f>
        <v>NO</v>
      </c>
      <c r="P537" s="24" t="str">
        <f ca="1">IF(color_Celda(E537)=12106214,"ROSA",IF(color_Celda(E537)=65535,"AMARILLO",IF(color_Celda(E537)=5296274,"VERDE",IF(color_Celda(E537)=16777215,"BLANCO","NO SE"))))</f>
        <v>AMARILLO</v>
      </c>
      <c r="Q537" s="32" t="s">
        <v>108</v>
      </c>
      <c r="R537" s="170" t="str">
        <f>VLOOKUP($Q537,Resultados!$A$1:$B$49,2,FALSE)</f>
        <v xml:space="preserve"> _</v>
      </c>
      <c r="S537" s="32"/>
      <c r="T537" s="37"/>
      <c r="U537" s="37"/>
      <c r="V537" s="39"/>
      <c r="W537" s="39"/>
      <c r="X537" s="39"/>
      <c r="Y537" s="64"/>
      <c r="Z537" s="39"/>
      <c r="AA537" s="39"/>
      <c r="AB537" s="39"/>
      <c r="AC537" s="39"/>
      <c r="AD537" s="39"/>
      <c r="AE537" s="110"/>
      <c r="AF537" s="39"/>
      <c r="AG537" s="39"/>
      <c r="AH537" s="39"/>
      <c r="AI537" s="39"/>
      <c r="AJ537" s="43" t="s">
        <v>988</v>
      </c>
      <c r="AK537" s="39"/>
      <c r="AL537" s="155" t="s">
        <v>1627</v>
      </c>
      <c r="AM537" s="431" t="str">
        <f>VLOOKUP($Q537,Resultados!$A$1:$C$49,3,FALSE)</f>
        <v>TRAMITE</v>
      </c>
    </row>
    <row r="538" spans="1:39" ht="39.950000000000003" customHeight="1">
      <c r="A538" s="364">
        <v>428</v>
      </c>
      <c r="B538" s="38">
        <v>45265</v>
      </c>
      <c r="C538" s="331">
        <v>0.51388888888888895</v>
      </c>
      <c r="D538" s="32" t="s">
        <v>2471</v>
      </c>
      <c r="E538" s="40" t="s">
        <v>2472</v>
      </c>
      <c r="F538" s="39">
        <v>4</v>
      </c>
      <c r="G538" s="39" t="s">
        <v>325</v>
      </c>
      <c r="H538" s="38"/>
      <c r="I538" s="38"/>
      <c r="J538" s="38"/>
      <c r="K538" s="39" t="s">
        <v>1480</v>
      </c>
      <c r="L538" s="70" t="s">
        <v>74</v>
      </c>
      <c r="M538" s="70" t="s">
        <v>226</v>
      </c>
      <c r="N538" s="32" t="s">
        <v>2473</v>
      </c>
      <c r="O538" s="137" t="str">
        <f>IF(Q538=" _","NO","SI")</f>
        <v>NO</v>
      </c>
      <c r="P538" s="24" t="str">
        <f ca="1">IF(color_Celda(E538)=12106214,"ROSA",IF(color_Celda(E538)=65535,"AMARILLO",IF(color_Celda(E538)=5296274,"VERDE",IF(color_Celda(E538)=16777215,"BLANCO","NO SE"))))</f>
        <v>AMARILLO</v>
      </c>
      <c r="Q538" s="32" t="s">
        <v>108</v>
      </c>
      <c r="R538" s="170" t="str">
        <f>VLOOKUP($Q538,Resultados!$A$1:$B$49,2,FALSE)</f>
        <v xml:space="preserve"> _</v>
      </c>
      <c r="S538" s="32"/>
      <c r="T538" s="73"/>
      <c r="U538" s="37"/>
      <c r="V538" s="39"/>
      <c r="W538" s="39"/>
      <c r="X538" s="39"/>
      <c r="Y538" s="199"/>
      <c r="Z538" s="39"/>
      <c r="AA538" s="39"/>
      <c r="AB538" s="39"/>
      <c r="AC538" s="39"/>
      <c r="AD538" s="39"/>
      <c r="AE538" s="110"/>
      <c r="AF538" s="39"/>
      <c r="AG538" s="39"/>
      <c r="AH538" s="39"/>
      <c r="AI538" s="39"/>
      <c r="AJ538" s="101" t="s">
        <v>988</v>
      </c>
      <c r="AK538" s="39"/>
      <c r="AL538" s="155" t="s">
        <v>1627</v>
      </c>
      <c r="AM538" s="431" t="str">
        <f>VLOOKUP($Q538,Resultados!$A$1:$C$49,3,FALSE)</f>
        <v>TRAMITE</v>
      </c>
    </row>
    <row r="539" spans="1:39" ht="39.950000000000003" customHeight="1">
      <c r="A539" s="364">
        <v>429</v>
      </c>
      <c r="B539" s="38">
        <v>45265</v>
      </c>
      <c r="C539" s="337" t="s">
        <v>239</v>
      </c>
      <c r="D539" s="32" t="s">
        <v>2543</v>
      </c>
      <c r="E539" s="40" t="s">
        <v>2544</v>
      </c>
      <c r="F539" s="39">
        <v>4</v>
      </c>
      <c r="G539" s="39" t="s">
        <v>325</v>
      </c>
      <c r="H539" s="38"/>
      <c r="I539" s="38"/>
      <c r="J539" s="38"/>
      <c r="K539" s="39" t="s">
        <v>1480</v>
      </c>
      <c r="L539" s="70" t="s">
        <v>72</v>
      </c>
      <c r="M539" s="70" t="s">
        <v>2233</v>
      </c>
      <c r="N539" s="32" t="s">
        <v>2545</v>
      </c>
      <c r="O539" s="137" t="str">
        <f>IF(Q539=" _","NO","SI")</f>
        <v>NO</v>
      </c>
      <c r="P539" s="24" t="str">
        <f ca="1">IF(color_Celda(E539)=12106214,"ROSA",IF(color_Celda(E539)=65535,"AMARILLO",IF(color_Celda(E539)=5296274,"VERDE",IF(color_Celda(E539)=16777215,"BLANCO","NO SE"))))</f>
        <v>AMARILLO</v>
      </c>
      <c r="Q539" s="32" t="s">
        <v>108</v>
      </c>
      <c r="R539" s="170" t="str">
        <f>VLOOKUP($Q539,Resultados!$A$1:$B$49,2,FALSE)</f>
        <v xml:space="preserve"> _</v>
      </c>
      <c r="S539" s="32"/>
      <c r="T539" s="73"/>
      <c r="U539" s="37"/>
      <c r="V539" s="39"/>
      <c r="W539" s="39"/>
      <c r="X539" s="39"/>
      <c r="Y539" s="199"/>
      <c r="Z539" s="39"/>
      <c r="AA539" s="39"/>
      <c r="AB539" s="39"/>
      <c r="AC539" s="39"/>
      <c r="AD539" s="39"/>
      <c r="AE539" s="110"/>
      <c r="AF539" s="39"/>
      <c r="AG539" s="39"/>
      <c r="AH539" s="39"/>
      <c r="AI539" s="39"/>
      <c r="AJ539" s="101" t="s">
        <v>988</v>
      </c>
      <c r="AK539" s="39"/>
      <c r="AL539" s="155" t="s">
        <v>1627</v>
      </c>
      <c r="AM539" s="431" t="str">
        <f>VLOOKUP($Q539,Resultados!$A$1:$C$49,3,FALSE)</f>
        <v>TRAMITE</v>
      </c>
    </row>
    <row r="540" spans="1:39" ht="39.950000000000003" customHeight="1">
      <c r="A540" s="364">
        <v>430</v>
      </c>
      <c r="B540" s="38">
        <v>45265</v>
      </c>
      <c r="C540" s="337" t="s">
        <v>2242</v>
      </c>
      <c r="D540" s="32" t="s">
        <v>2546</v>
      </c>
      <c r="E540" s="40" t="s">
        <v>2547</v>
      </c>
      <c r="F540" s="39">
        <v>4</v>
      </c>
      <c r="G540" s="39" t="s">
        <v>325</v>
      </c>
      <c r="H540" s="38"/>
      <c r="I540" s="38"/>
      <c r="J540" s="38"/>
      <c r="K540" s="39" t="s">
        <v>1480</v>
      </c>
      <c r="L540" s="70" t="s">
        <v>74</v>
      </c>
      <c r="M540" s="70" t="s">
        <v>46</v>
      </c>
      <c r="N540" s="32" t="s">
        <v>2548</v>
      </c>
      <c r="O540" s="137" t="str">
        <f>IF(Q540=" _","NO","SI")</f>
        <v>NO</v>
      </c>
      <c r="P540" s="24" t="str">
        <f ca="1">IF(color_Celda(E540)=12106214,"ROSA",IF(color_Celda(E540)=65535,"AMARILLO",IF(color_Celda(E540)=5296274,"VERDE",IF(color_Celda(E540)=16777215,"BLANCO","NO SE"))))</f>
        <v>AMARILLO</v>
      </c>
      <c r="Q540" s="32" t="s">
        <v>108</v>
      </c>
      <c r="R540" s="170" t="str">
        <f>VLOOKUP($Q540,Resultados!$A$1:$B$49,2,FALSE)</f>
        <v xml:space="preserve"> _</v>
      </c>
      <c r="S540" s="32"/>
      <c r="T540" s="73"/>
      <c r="U540" s="37"/>
      <c r="V540" s="39"/>
      <c r="W540" s="39"/>
      <c r="X540" s="39"/>
      <c r="Y540" s="199"/>
      <c r="Z540" s="39"/>
      <c r="AA540" s="39"/>
      <c r="AB540" s="39"/>
      <c r="AC540" s="39"/>
      <c r="AD540" s="39"/>
      <c r="AE540" s="110"/>
      <c r="AF540" s="39"/>
      <c r="AG540" s="39"/>
      <c r="AH540" s="39"/>
      <c r="AI540" s="39"/>
      <c r="AJ540" s="101" t="s">
        <v>988</v>
      </c>
      <c r="AK540" s="39"/>
      <c r="AL540" s="155" t="s">
        <v>1627</v>
      </c>
      <c r="AM540" s="431" t="str">
        <f>VLOOKUP($Q540,Resultados!$A$1:$C$49,3,FALSE)</f>
        <v>TRAMITE</v>
      </c>
    </row>
    <row r="541" spans="1:39" ht="39.950000000000003" customHeight="1">
      <c r="A541" s="364">
        <v>431</v>
      </c>
      <c r="B541" s="38">
        <v>45265</v>
      </c>
      <c r="C541" s="337" t="s">
        <v>2242</v>
      </c>
      <c r="D541" s="32" t="s">
        <v>2549</v>
      </c>
      <c r="E541" s="40" t="s">
        <v>2550</v>
      </c>
      <c r="F541" s="39">
        <v>4</v>
      </c>
      <c r="G541" s="39" t="s">
        <v>325</v>
      </c>
      <c r="H541" s="38"/>
      <c r="I541" s="38"/>
      <c r="J541" s="38"/>
      <c r="K541" s="39" t="s">
        <v>1480</v>
      </c>
      <c r="L541" s="70" t="s">
        <v>72</v>
      </c>
      <c r="M541" s="70" t="s">
        <v>1355</v>
      </c>
      <c r="N541" s="32" t="s">
        <v>2551</v>
      </c>
      <c r="O541" s="137" t="str">
        <f>IF(Q541=" _","NO","SI")</f>
        <v>NO</v>
      </c>
      <c r="P541" s="24" t="str">
        <f ca="1">IF(color_Celda(E541)=12106214,"ROSA",IF(color_Celda(E541)=65535,"AMARILLO",IF(color_Celda(E541)=5296274,"VERDE",IF(color_Celda(E541)=16777215,"BLANCO","NO SE"))))</f>
        <v>AMARILLO</v>
      </c>
      <c r="Q541" s="32" t="s">
        <v>108</v>
      </c>
      <c r="R541" s="170" t="str">
        <f>VLOOKUP($Q541,Resultados!$A$1:$B$49,2,FALSE)</f>
        <v xml:space="preserve"> _</v>
      </c>
      <c r="S541" s="32"/>
      <c r="T541" s="73"/>
      <c r="U541" s="37"/>
      <c r="V541" s="39"/>
      <c r="W541" s="39"/>
      <c r="X541" s="39"/>
      <c r="Y541" s="199"/>
      <c r="Z541" s="39"/>
      <c r="AA541" s="39"/>
      <c r="AB541" s="39"/>
      <c r="AC541" s="39"/>
      <c r="AD541" s="39"/>
      <c r="AE541" s="110"/>
      <c r="AF541" s="39"/>
      <c r="AG541" s="39"/>
      <c r="AH541" s="39"/>
      <c r="AI541" s="39"/>
      <c r="AJ541" s="101" t="s">
        <v>988</v>
      </c>
      <c r="AK541" s="39"/>
      <c r="AL541" s="155" t="s">
        <v>1627</v>
      </c>
      <c r="AM541" s="431" t="str">
        <f>VLOOKUP($Q541,Resultados!$A$1:$C$49,3,FALSE)</f>
        <v>TRAMITE</v>
      </c>
    </row>
    <row r="542" spans="1:39" ht="39.950000000000003" customHeight="1">
      <c r="A542" s="364">
        <v>432</v>
      </c>
      <c r="B542" s="38">
        <v>45265</v>
      </c>
      <c r="C542" s="337" t="s">
        <v>2242</v>
      </c>
      <c r="D542" s="32" t="s">
        <v>2968</v>
      </c>
      <c r="E542" s="40" t="s">
        <v>2969</v>
      </c>
      <c r="F542" s="39">
        <v>4</v>
      </c>
      <c r="G542" s="39"/>
      <c r="H542" s="38"/>
      <c r="I542" s="38"/>
      <c r="J542" s="38"/>
      <c r="K542" s="39" t="s">
        <v>1480</v>
      </c>
      <c r="L542" s="70" t="s">
        <v>72</v>
      </c>
      <c r="M542" s="70" t="s">
        <v>1156</v>
      </c>
      <c r="N542" s="32" t="s">
        <v>2970</v>
      </c>
      <c r="O542" s="137" t="str">
        <f>IF(Q542=" _","NO","SI")</f>
        <v>NO</v>
      </c>
      <c r="P542" s="24" t="str">
        <f ca="1">IF(color_Celda(E542)=12106214,"ROSA",IF(color_Celda(E542)=65535,"AMARILLO",IF(color_Celda(E542)=5296274,"VERDE",IF(color_Celda(E542)=16777215,"BLANCO","NO SE"))))</f>
        <v>AMARILLO</v>
      </c>
      <c r="Q542" s="32" t="s">
        <v>108</v>
      </c>
      <c r="R542" s="170" t="str">
        <f>VLOOKUP($Q542,Resultados!$A$1:$B$49,2,FALSE)</f>
        <v xml:space="preserve"> _</v>
      </c>
      <c r="S542" s="32"/>
      <c r="T542" s="73"/>
      <c r="U542" s="37"/>
      <c r="V542" s="39"/>
      <c r="W542" s="39"/>
      <c r="X542" s="39"/>
      <c r="Y542" s="199"/>
      <c r="Z542" s="39"/>
      <c r="AA542" s="39"/>
      <c r="AB542" s="39"/>
      <c r="AC542" s="39"/>
      <c r="AD542" s="39"/>
      <c r="AE542" s="110"/>
      <c r="AF542" s="39"/>
      <c r="AG542" s="39"/>
      <c r="AH542" s="39"/>
      <c r="AI542" s="39"/>
      <c r="AJ542" s="101" t="s">
        <v>988</v>
      </c>
      <c r="AK542" s="39"/>
      <c r="AL542" s="155" t="s">
        <v>1627</v>
      </c>
      <c r="AM542" s="431" t="str">
        <f>VLOOKUP($Q542,Resultados!$A$1:$C$49,3,FALSE)</f>
        <v>TRAMITE</v>
      </c>
    </row>
    <row r="543" spans="1:39" ht="39.950000000000003" customHeight="1">
      <c r="A543" s="364">
        <v>434</v>
      </c>
      <c r="B543" s="69">
        <v>45266</v>
      </c>
      <c r="C543" s="332" t="s">
        <v>12</v>
      </c>
      <c r="D543" s="70" t="s">
        <v>1147</v>
      </c>
      <c r="E543" s="92" t="s">
        <v>1148</v>
      </c>
      <c r="F543" s="68">
        <v>6</v>
      </c>
      <c r="G543" s="68" t="s">
        <v>326</v>
      </c>
      <c r="H543" s="69"/>
      <c r="I543" s="69"/>
      <c r="J543" s="69"/>
      <c r="K543" s="68" t="s">
        <v>1480</v>
      </c>
      <c r="L543" s="70" t="s">
        <v>83</v>
      </c>
      <c r="M543" s="70"/>
      <c r="N543" s="68" t="s">
        <v>2620</v>
      </c>
      <c r="O543" s="137" t="str">
        <f>IF(Q543=" _","NO","SI")</f>
        <v>NO</v>
      </c>
      <c r="P543" s="24" t="str">
        <f ca="1">IF(color_Celda(E543)=12106214,"ROSA",IF(color_Celda(E543)=65535,"AMARILLO",IF(color_Celda(E543)=5296274,"VERDE",IF(color_Celda(E543)=16777215,"BLANCO","NO SE"))))</f>
        <v>AMARILLO</v>
      </c>
      <c r="Q543" s="70" t="s">
        <v>108</v>
      </c>
      <c r="R543" s="170" t="str">
        <f>VLOOKUP($Q543,Resultados!$A$1:$B$49,2,FALSE)</f>
        <v xml:space="preserve"> _</v>
      </c>
      <c r="S543" s="70"/>
      <c r="T543" s="73"/>
      <c r="U543" s="73"/>
      <c r="V543" s="68"/>
      <c r="W543" s="68"/>
      <c r="X543" s="68"/>
      <c r="Y543" s="199"/>
      <c r="Z543" s="68"/>
      <c r="AA543" s="68"/>
      <c r="AB543" s="68"/>
      <c r="AC543" s="68"/>
      <c r="AD543" s="68"/>
      <c r="AE543" s="358"/>
      <c r="AF543" s="68">
        <v>7</v>
      </c>
      <c r="AG543" s="68"/>
      <c r="AH543" s="68">
        <v>0</v>
      </c>
      <c r="AI543" s="68"/>
      <c r="AJ543" s="101" t="s">
        <v>988</v>
      </c>
      <c r="AK543" s="362"/>
      <c r="AL543" s="155" t="s">
        <v>1627</v>
      </c>
      <c r="AM543" s="431" t="str">
        <f>VLOOKUP($Q543,Resultados!$A$1:$C$49,3,FALSE)</f>
        <v>TRAMITE</v>
      </c>
    </row>
    <row r="544" spans="1:39" ht="39.950000000000003" customHeight="1">
      <c r="A544" s="364">
        <v>436</v>
      </c>
      <c r="B544" s="72">
        <v>45266</v>
      </c>
      <c r="C544" s="332" t="s">
        <v>1170</v>
      </c>
      <c r="D544" s="70" t="s">
        <v>1169</v>
      </c>
      <c r="E544" s="92" t="s">
        <v>1171</v>
      </c>
      <c r="F544" s="68">
        <v>6</v>
      </c>
      <c r="G544" s="68" t="s">
        <v>326</v>
      </c>
      <c r="H544" s="69"/>
      <c r="I544" s="69"/>
      <c r="J544" s="69"/>
      <c r="K544" s="68" t="s">
        <v>1480</v>
      </c>
      <c r="L544" s="70" t="s">
        <v>87</v>
      </c>
      <c r="M544" s="70" t="s">
        <v>1156</v>
      </c>
      <c r="N544" s="68" t="s">
        <v>2268</v>
      </c>
      <c r="O544" s="24" t="str">
        <f>IF(Q544=" _","NO","SI")</f>
        <v>NO</v>
      </c>
      <c r="P544" s="24" t="str">
        <f ca="1">IF(color_Celda(E544)=12106214,"ROSA",IF(color_Celda(E544)=65535,"AMARILLO",IF(color_Celda(E544)=5296274,"VERDE",IF(color_Celda(E544)=16777215,"BLANCO","NO SE"))))</f>
        <v>AMARILLO</v>
      </c>
      <c r="Q544" s="70" t="s">
        <v>108</v>
      </c>
      <c r="R544" s="170" t="str">
        <f>VLOOKUP($Q544,Resultados!$A$1:$B$49,2,FALSE)</f>
        <v xml:space="preserve"> _</v>
      </c>
      <c r="S544" s="70"/>
      <c r="T544" s="73"/>
      <c r="U544" s="73"/>
      <c r="V544" s="68"/>
      <c r="W544" s="68"/>
      <c r="X544" s="68"/>
      <c r="Y544" s="64"/>
      <c r="Z544" s="68"/>
      <c r="AA544" s="68"/>
      <c r="AB544" s="68"/>
      <c r="AC544" s="68"/>
      <c r="AD544" s="68"/>
      <c r="AE544" s="358"/>
      <c r="AF544" s="68">
        <v>7</v>
      </c>
      <c r="AG544" s="68"/>
      <c r="AH544" s="68">
        <v>0</v>
      </c>
      <c r="AI544" s="68"/>
      <c r="AJ544" s="101" t="s">
        <v>988</v>
      </c>
      <c r="AK544" s="362"/>
      <c r="AL544" s="155" t="s">
        <v>1627</v>
      </c>
      <c r="AM544" s="431" t="str">
        <f>VLOOKUP($Q544,Resultados!$A$1:$C$49,3,FALSE)</f>
        <v>TRAMITE</v>
      </c>
    </row>
    <row r="545" spans="1:39" ht="39.950000000000003" customHeight="1">
      <c r="A545" s="364">
        <v>437</v>
      </c>
      <c r="B545" s="69">
        <v>45266</v>
      </c>
      <c r="C545" s="332" t="s">
        <v>1172</v>
      </c>
      <c r="D545" s="70" t="s">
        <v>1173</v>
      </c>
      <c r="E545" s="92" t="s">
        <v>1202</v>
      </c>
      <c r="F545" s="68">
        <v>6</v>
      </c>
      <c r="G545" s="68" t="s">
        <v>326</v>
      </c>
      <c r="H545" s="69"/>
      <c r="I545" s="69"/>
      <c r="J545" s="69"/>
      <c r="K545" s="68" t="s">
        <v>1480</v>
      </c>
      <c r="L545" s="70" t="s">
        <v>82</v>
      </c>
      <c r="M545" s="70" t="s">
        <v>234</v>
      </c>
      <c r="N545" s="68" t="s">
        <v>1342</v>
      </c>
      <c r="O545" s="24" t="str">
        <f>IF(Q545=" _","NO","SI")</f>
        <v>NO</v>
      </c>
      <c r="P545" s="24" t="str">
        <f ca="1">IF(color_Celda(E545)=12106214,"ROSA",IF(color_Celda(E545)=65535,"AMARILLO",IF(color_Celda(E545)=5296274,"VERDE",IF(color_Celda(E545)=16777215,"BLANCO","NO SE"))))</f>
        <v>AMARILLO</v>
      </c>
      <c r="Q545" s="70" t="s">
        <v>108</v>
      </c>
      <c r="R545" s="170" t="str">
        <f>VLOOKUP($Q545,Resultados!$A$1:$B$49,2,FALSE)</f>
        <v xml:space="preserve"> _</v>
      </c>
      <c r="S545" s="70"/>
      <c r="T545" s="73"/>
      <c r="U545" s="73"/>
      <c r="V545" s="68"/>
      <c r="W545" s="68"/>
      <c r="X545" s="68"/>
      <c r="Y545" s="64"/>
      <c r="Z545" s="68"/>
      <c r="AA545" s="68"/>
      <c r="AB545" s="68"/>
      <c r="AC545" s="68"/>
      <c r="AD545" s="68"/>
      <c r="AE545" s="358"/>
      <c r="AF545" s="68">
        <v>7</v>
      </c>
      <c r="AG545" s="68"/>
      <c r="AH545" s="68">
        <v>0</v>
      </c>
      <c r="AI545" s="68"/>
      <c r="AJ545" s="101" t="s">
        <v>988</v>
      </c>
      <c r="AK545" s="362"/>
      <c r="AL545" s="155" t="s">
        <v>1627</v>
      </c>
      <c r="AM545" s="431" t="str">
        <f>VLOOKUP($Q545,Resultados!$A$1:$C$49,3,FALSE)</f>
        <v>TRAMITE</v>
      </c>
    </row>
    <row r="546" spans="1:39" ht="39.950000000000003" customHeight="1">
      <c r="A546" s="373">
        <v>438</v>
      </c>
      <c r="B546" s="100">
        <v>45266</v>
      </c>
      <c r="C546" s="336" t="s">
        <v>981</v>
      </c>
      <c r="D546" s="96" t="s">
        <v>1174</v>
      </c>
      <c r="E546" s="98" t="s">
        <v>1201</v>
      </c>
      <c r="F546" s="96">
        <v>6</v>
      </c>
      <c r="G546" s="107" t="s">
        <v>326</v>
      </c>
      <c r="H546" s="100"/>
      <c r="I546" s="100"/>
      <c r="J546" s="100"/>
      <c r="K546" s="107" t="s">
        <v>1480</v>
      </c>
      <c r="L546" s="96" t="s">
        <v>73</v>
      </c>
      <c r="M546" s="96" t="s">
        <v>45</v>
      </c>
      <c r="N546" s="107"/>
      <c r="O546" s="24" t="str">
        <f>IF(Q546=" _","NO","SI")</f>
        <v>SI</v>
      </c>
      <c r="P546" s="24" t="str">
        <f ca="1">IF(color_Celda(E546)=12106214,"ROSA",IF(color_Celda(E546)=65535,"AMARILLO",IF(color_Celda(E546)=5296274,"VERDE",IF(color_Celda(E546)=16777215,"BLANCO","NO SE"))))</f>
        <v>VERDE</v>
      </c>
      <c r="Q546" s="96" t="s">
        <v>3313</v>
      </c>
      <c r="R546" s="176" t="str">
        <f>VLOOKUP($Q546,Resultados!$A$1:$B$49,2,FALSE)</f>
        <v>VERDE</v>
      </c>
      <c r="S546" s="96"/>
      <c r="T546" s="99"/>
      <c r="U546" s="99"/>
      <c r="V546" s="107"/>
      <c r="W546" s="107"/>
      <c r="X546" s="107"/>
      <c r="Y546" s="64"/>
      <c r="Z546" s="107"/>
      <c r="AA546" s="107"/>
      <c r="AB546" s="107"/>
      <c r="AC546" s="107"/>
      <c r="AD546" s="107"/>
      <c r="AE546" s="414"/>
      <c r="AF546" s="107">
        <v>7</v>
      </c>
      <c r="AG546" s="107"/>
      <c r="AH546" s="107">
        <v>0</v>
      </c>
      <c r="AI546" s="107"/>
      <c r="AJ546" s="245" t="s">
        <v>988</v>
      </c>
      <c r="AK546" s="422"/>
      <c r="AL546" s="363" t="s">
        <v>1627</v>
      </c>
      <c r="AM546" s="431" t="str">
        <f>VLOOKUP($Q546,Resultados!$A$1:$C$49,3,FALSE)</f>
        <v>NO LLEGO</v>
      </c>
    </row>
    <row r="547" spans="1:39" ht="39.950000000000003" customHeight="1">
      <c r="A547" s="364">
        <v>439</v>
      </c>
      <c r="B547" s="69">
        <v>45266</v>
      </c>
      <c r="C547" s="332" t="s">
        <v>1175</v>
      </c>
      <c r="D547" s="70" t="s">
        <v>1176</v>
      </c>
      <c r="E547" s="92" t="s">
        <v>1177</v>
      </c>
      <c r="F547" s="68">
        <v>6</v>
      </c>
      <c r="G547" s="68" t="s">
        <v>326</v>
      </c>
      <c r="H547" s="69"/>
      <c r="I547" s="69"/>
      <c r="J547" s="69"/>
      <c r="K547" s="68" t="s">
        <v>1480</v>
      </c>
      <c r="L547" s="70" t="s">
        <v>250</v>
      </c>
      <c r="M547" s="70" t="s">
        <v>260</v>
      </c>
      <c r="N547" s="68" t="s">
        <v>1342</v>
      </c>
      <c r="O547" s="24" t="str">
        <f>IF(Q547=" _","NO","SI")</f>
        <v>NO</v>
      </c>
      <c r="P547" s="24" t="str">
        <f ca="1">IF(color_Celda(E547)=12106214,"ROSA",IF(color_Celda(E547)=65535,"AMARILLO",IF(color_Celda(E547)=5296274,"VERDE",IF(color_Celda(E547)=16777215,"BLANCO","NO SE"))))</f>
        <v>AMARILLO</v>
      </c>
      <c r="Q547" s="70" t="s">
        <v>108</v>
      </c>
      <c r="R547" s="170" t="str">
        <f>VLOOKUP($Q547,Resultados!$A$1:$B$49,2,FALSE)</f>
        <v xml:space="preserve"> _</v>
      </c>
      <c r="S547" s="70"/>
      <c r="T547" s="73"/>
      <c r="U547" s="73"/>
      <c r="V547" s="68"/>
      <c r="W547" s="68"/>
      <c r="X547" s="68"/>
      <c r="Y547" s="64"/>
      <c r="Z547" s="68"/>
      <c r="AA547" s="68"/>
      <c r="AB547" s="68"/>
      <c r="AC547" s="68"/>
      <c r="AD547" s="68"/>
      <c r="AE547" s="358"/>
      <c r="AF547" s="68">
        <v>7</v>
      </c>
      <c r="AG547" s="68"/>
      <c r="AH547" s="68">
        <v>0</v>
      </c>
      <c r="AI547" s="68"/>
      <c r="AJ547" s="101" t="s">
        <v>988</v>
      </c>
      <c r="AK547" s="362"/>
      <c r="AL547" s="155" t="s">
        <v>1627</v>
      </c>
      <c r="AM547" s="431" t="str">
        <f>VLOOKUP($Q547,Resultados!$A$1:$C$49,3,FALSE)</f>
        <v>TRAMITE</v>
      </c>
    </row>
    <row r="548" spans="1:39" ht="39.950000000000003" customHeight="1">
      <c r="A548" s="364">
        <v>440</v>
      </c>
      <c r="B548" s="69">
        <v>45266</v>
      </c>
      <c r="C548" s="332" t="s">
        <v>784</v>
      </c>
      <c r="D548" s="70" t="s">
        <v>1178</v>
      </c>
      <c r="E548" s="92" t="s">
        <v>1179</v>
      </c>
      <c r="F548" s="68">
        <v>6</v>
      </c>
      <c r="G548" s="68" t="s">
        <v>326</v>
      </c>
      <c r="H548" s="69"/>
      <c r="I548" s="69"/>
      <c r="J548" s="69"/>
      <c r="K548" s="68" t="s">
        <v>1480</v>
      </c>
      <c r="L548" s="70" t="s">
        <v>2172</v>
      </c>
      <c r="M548" s="70" t="s">
        <v>234</v>
      </c>
      <c r="N548" s="68" t="s">
        <v>1342</v>
      </c>
      <c r="O548" s="24" t="str">
        <f>IF(Q548=" _","NO","SI")</f>
        <v>NO</v>
      </c>
      <c r="P548" s="24" t="str">
        <f ca="1">IF(color_Celda(E548)=12106214,"ROSA",IF(color_Celda(E548)=65535,"AMARILLO",IF(color_Celda(E548)=5296274,"VERDE",IF(color_Celda(E548)=16777215,"BLANCO","NO SE"))))</f>
        <v>AMARILLO</v>
      </c>
      <c r="Q548" s="70" t="s">
        <v>108</v>
      </c>
      <c r="R548" s="170" t="str">
        <f>VLOOKUP($Q548,Resultados!$A$1:$B$49,2,FALSE)</f>
        <v xml:space="preserve"> _</v>
      </c>
      <c r="S548" s="70"/>
      <c r="T548" s="73"/>
      <c r="U548" s="73"/>
      <c r="V548" s="68"/>
      <c r="W548" s="68"/>
      <c r="X548" s="68"/>
      <c r="Y548" s="64"/>
      <c r="Z548" s="68"/>
      <c r="AA548" s="68"/>
      <c r="AB548" s="68"/>
      <c r="AC548" s="68"/>
      <c r="AD548" s="68"/>
      <c r="AE548" s="358"/>
      <c r="AF548" s="68">
        <v>7</v>
      </c>
      <c r="AG548" s="68"/>
      <c r="AH548" s="68">
        <v>0</v>
      </c>
      <c r="AI548" s="68"/>
      <c r="AJ548" s="101" t="s">
        <v>988</v>
      </c>
      <c r="AK548" s="362"/>
      <c r="AL548" s="155" t="s">
        <v>1627</v>
      </c>
      <c r="AM548" s="431" t="str">
        <f>VLOOKUP($Q548,Resultados!$A$1:$C$49,3,FALSE)</f>
        <v>TRAMITE</v>
      </c>
    </row>
    <row r="549" spans="1:39" ht="39.950000000000003" customHeight="1">
      <c r="A549" s="364">
        <v>441</v>
      </c>
      <c r="B549" s="69">
        <v>45266</v>
      </c>
      <c r="C549" s="332" t="s">
        <v>698</v>
      </c>
      <c r="D549" s="70" t="s">
        <v>1180</v>
      </c>
      <c r="E549" s="92" t="s">
        <v>1181</v>
      </c>
      <c r="F549" s="68">
        <v>6</v>
      </c>
      <c r="G549" s="68" t="s">
        <v>326</v>
      </c>
      <c r="H549" s="69"/>
      <c r="I549" s="69"/>
      <c r="J549" s="69"/>
      <c r="K549" s="68" t="s">
        <v>1480</v>
      </c>
      <c r="L549" s="70" t="s">
        <v>75</v>
      </c>
      <c r="M549" s="70"/>
      <c r="N549" s="68" t="s">
        <v>1342</v>
      </c>
      <c r="O549" s="24" t="str">
        <f>IF(Q549=" _","NO","SI")</f>
        <v>NO</v>
      </c>
      <c r="P549" s="24" t="str">
        <f ca="1">IF(color_Celda(E549)=12106214,"ROSA",IF(color_Celda(E549)=65535,"AMARILLO",IF(color_Celda(E549)=5296274,"VERDE",IF(color_Celda(E549)=16777215,"BLANCO","NO SE"))))</f>
        <v>AMARILLO</v>
      </c>
      <c r="Q549" s="70" t="s">
        <v>108</v>
      </c>
      <c r="R549" s="170" t="str">
        <f>VLOOKUP($Q549,Resultados!$A$1:$B$49,2,FALSE)</f>
        <v xml:space="preserve"> _</v>
      </c>
      <c r="S549" s="70"/>
      <c r="T549" s="99"/>
      <c r="U549" s="99"/>
      <c r="V549" s="107"/>
      <c r="W549" s="68"/>
      <c r="X549" s="68"/>
      <c r="Y549" s="64"/>
      <c r="Z549" s="68"/>
      <c r="AA549" s="68"/>
      <c r="AB549" s="68"/>
      <c r="AC549" s="107"/>
      <c r="AD549" s="107"/>
      <c r="AE549" s="414"/>
      <c r="AF549" s="107">
        <v>7</v>
      </c>
      <c r="AG549" s="107"/>
      <c r="AH549" s="107">
        <v>0</v>
      </c>
      <c r="AI549" s="107"/>
      <c r="AJ549" s="101" t="s">
        <v>988</v>
      </c>
      <c r="AK549" s="362"/>
      <c r="AL549" s="155" t="s">
        <v>1627</v>
      </c>
      <c r="AM549" s="431" t="str">
        <f>VLOOKUP($Q549,Resultados!$A$1:$C$49,3,FALSE)</f>
        <v>TRAMITE</v>
      </c>
    </row>
    <row r="550" spans="1:39" ht="39.950000000000003" customHeight="1">
      <c r="A550" s="364">
        <v>442</v>
      </c>
      <c r="B550" s="69">
        <v>45266</v>
      </c>
      <c r="C550" s="332" t="s">
        <v>12</v>
      </c>
      <c r="D550" s="70" t="s">
        <v>1182</v>
      </c>
      <c r="E550" s="92" t="s">
        <v>1183</v>
      </c>
      <c r="F550" s="68">
        <v>6</v>
      </c>
      <c r="G550" s="68" t="s">
        <v>326</v>
      </c>
      <c r="H550" s="69"/>
      <c r="I550" s="69"/>
      <c r="J550" s="69"/>
      <c r="K550" s="68" t="s">
        <v>1480</v>
      </c>
      <c r="L550" s="70" t="s">
        <v>87</v>
      </c>
      <c r="M550" s="70" t="s">
        <v>275</v>
      </c>
      <c r="N550" s="68" t="s">
        <v>2291</v>
      </c>
      <c r="O550" s="24" t="str">
        <f>IF(Q550=" _","NO","SI")</f>
        <v>NO</v>
      </c>
      <c r="P550" s="24" t="str">
        <f ca="1">IF(color_Celda(E550)=12106214,"ROSA",IF(color_Celda(E550)=65535,"AMARILLO",IF(color_Celda(E550)=5296274,"VERDE",IF(color_Celda(E550)=16777215,"BLANCO","NO SE"))))</f>
        <v>AMARILLO</v>
      </c>
      <c r="Q550" s="70" t="s">
        <v>108</v>
      </c>
      <c r="R550" s="170" t="str">
        <f>VLOOKUP($Q550,Resultados!$A$1:$B$49,2,FALSE)</f>
        <v xml:space="preserve"> _</v>
      </c>
      <c r="S550" s="70"/>
      <c r="T550" s="73"/>
      <c r="U550" s="73"/>
      <c r="V550" s="68"/>
      <c r="W550" s="68"/>
      <c r="X550" s="68"/>
      <c r="Y550" s="64"/>
      <c r="Z550" s="68"/>
      <c r="AA550" s="68"/>
      <c r="AB550" s="68"/>
      <c r="AC550" s="68"/>
      <c r="AD550" s="68"/>
      <c r="AE550" s="358"/>
      <c r="AF550" s="68">
        <v>7</v>
      </c>
      <c r="AG550" s="68"/>
      <c r="AH550" s="68">
        <v>0</v>
      </c>
      <c r="AI550" s="68"/>
      <c r="AJ550" s="101" t="s">
        <v>988</v>
      </c>
      <c r="AK550" s="362"/>
      <c r="AL550" s="155" t="s">
        <v>1627</v>
      </c>
      <c r="AM550" s="431" t="str">
        <f>VLOOKUP($Q550,Resultados!$A$1:$C$49,3,FALSE)</f>
        <v>TRAMITE</v>
      </c>
    </row>
    <row r="551" spans="1:39" ht="39.950000000000003" customHeight="1">
      <c r="A551" s="364">
        <v>443</v>
      </c>
      <c r="B551" s="69">
        <v>45266</v>
      </c>
      <c r="C551" s="332" t="s">
        <v>1187</v>
      </c>
      <c r="D551" s="70" t="s">
        <v>1188</v>
      </c>
      <c r="E551" s="92" t="s">
        <v>1189</v>
      </c>
      <c r="F551" s="68">
        <v>6</v>
      </c>
      <c r="G551" s="68" t="s">
        <v>326</v>
      </c>
      <c r="H551" s="69"/>
      <c r="I551" s="69"/>
      <c r="J551" s="69"/>
      <c r="K551" s="68" t="s">
        <v>1480</v>
      </c>
      <c r="L551" s="70" t="s">
        <v>82</v>
      </c>
      <c r="M551" s="70" t="s">
        <v>270</v>
      </c>
      <c r="N551" s="68" t="s">
        <v>1948</v>
      </c>
      <c r="O551" s="24" t="str">
        <f>IF(Q551=" _","NO","SI")</f>
        <v>NO</v>
      </c>
      <c r="P551" s="24" t="str">
        <f ca="1">IF(color_Celda(E551)=12106214,"ROSA",IF(color_Celda(E551)=65535,"AMARILLO",IF(color_Celda(E551)=5296274,"VERDE",IF(color_Celda(E551)=16777215,"BLANCO","NO SE"))))</f>
        <v>AMARILLO</v>
      </c>
      <c r="Q551" s="70" t="s">
        <v>108</v>
      </c>
      <c r="R551" s="170" t="str">
        <f>VLOOKUP($Q551,Resultados!$A$1:$B$49,2,FALSE)</f>
        <v xml:space="preserve"> _</v>
      </c>
      <c r="S551" s="70"/>
      <c r="T551" s="73"/>
      <c r="U551" s="73"/>
      <c r="V551" s="68"/>
      <c r="W551" s="68"/>
      <c r="X551" s="68"/>
      <c r="Y551" s="64"/>
      <c r="Z551" s="68"/>
      <c r="AA551" s="68"/>
      <c r="AB551" s="68"/>
      <c r="AC551" s="68"/>
      <c r="AD551" s="68"/>
      <c r="AE551" s="358"/>
      <c r="AF551" s="68">
        <v>7</v>
      </c>
      <c r="AG551" s="68"/>
      <c r="AH551" s="68">
        <v>0</v>
      </c>
      <c r="AI551" s="68"/>
      <c r="AJ551" s="101" t="s">
        <v>988</v>
      </c>
      <c r="AK551" s="362"/>
      <c r="AL551" s="155" t="s">
        <v>1627</v>
      </c>
      <c r="AM551" s="431" t="str">
        <f>VLOOKUP($Q551,Resultados!$A$1:$C$49,3,FALSE)</f>
        <v>TRAMITE</v>
      </c>
    </row>
    <row r="552" spans="1:39" ht="39.950000000000003" customHeight="1">
      <c r="A552" s="364">
        <v>444</v>
      </c>
      <c r="B552" s="69">
        <v>45266</v>
      </c>
      <c r="C552" s="332" t="s">
        <v>1190</v>
      </c>
      <c r="D552" s="70" t="s">
        <v>1191</v>
      </c>
      <c r="E552" s="92" t="s">
        <v>1192</v>
      </c>
      <c r="F552" s="68">
        <v>6</v>
      </c>
      <c r="G552" s="68" t="s">
        <v>326</v>
      </c>
      <c r="H552" s="69"/>
      <c r="I552" s="69"/>
      <c r="J552" s="69"/>
      <c r="K552" s="68" t="s">
        <v>1480</v>
      </c>
      <c r="L552" s="70" t="s">
        <v>250</v>
      </c>
      <c r="M552" s="70" t="s">
        <v>62</v>
      </c>
      <c r="N552" s="101" t="s">
        <v>1342</v>
      </c>
      <c r="O552" s="24" t="str">
        <f>IF(Q552=" _","NO","SI")</f>
        <v>NO</v>
      </c>
      <c r="P552" s="24" t="str">
        <f ca="1">IF(color_Celda(E552)=12106214,"ROSA",IF(color_Celda(E552)=65535,"AMARILLO",IF(color_Celda(E552)=5296274,"VERDE",IF(color_Celda(E552)=16777215,"BLANCO","NO SE"))))</f>
        <v>AMARILLO</v>
      </c>
      <c r="Q552" s="70" t="s">
        <v>108</v>
      </c>
      <c r="R552" s="170" t="str">
        <f>VLOOKUP($Q552,Resultados!$A$1:$B$49,2,FALSE)</f>
        <v xml:space="preserve"> _</v>
      </c>
      <c r="S552" s="70"/>
      <c r="T552" s="73"/>
      <c r="U552" s="73"/>
      <c r="V552" s="68"/>
      <c r="W552" s="68"/>
      <c r="X552" s="68"/>
      <c r="Y552" s="64"/>
      <c r="Z552" s="68"/>
      <c r="AA552" s="68"/>
      <c r="AB552" s="68"/>
      <c r="AC552" s="68"/>
      <c r="AD552" s="68"/>
      <c r="AE552" s="358"/>
      <c r="AF552" s="68">
        <v>7</v>
      </c>
      <c r="AG552" s="68"/>
      <c r="AH552" s="68">
        <v>0</v>
      </c>
      <c r="AI552" s="68"/>
      <c r="AJ552" s="101" t="s">
        <v>988</v>
      </c>
      <c r="AK552" s="68"/>
      <c r="AL552" s="363" t="s">
        <v>1627</v>
      </c>
      <c r="AM552" s="431" t="str">
        <f>VLOOKUP($Q552,Resultados!$A$1:$C$49,3,FALSE)</f>
        <v>TRAMITE</v>
      </c>
    </row>
    <row r="553" spans="1:39" ht="39.950000000000003" customHeight="1">
      <c r="A553" s="364">
        <v>446</v>
      </c>
      <c r="B553" s="38">
        <v>45266</v>
      </c>
      <c r="C553" s="337" t="s">
        <v>1475</v>
      </c>
      <c r="D553" s="32" t="s">
        <v>2289</v>
      </c>
      <c r="E553" s="40" t="s">
        <v>2290</v>
      </c>
      <c r="F553" s="39">
        <v>6</v>
      </c>
      <c r="G553" s="39" t="s">
        <v>326</v>
      </c>
      <c r="H553" s="38"/>
      <c r="I553" s="38"/>
      <c r="J553" s="38"/>
      <c r="K553" s="39" t="str">
        <f>IFERROR(VLOOKUP(J553,Jueces!$A$1:$B$11,2,FALSE),"")</f>
        <v/>
      </c>
      <c r="L553" s="32" t="s">
        <v>77</v>
      </c>
      <c r="M553" s="32" t="s">
        <v>48</v>
      </c>
      <c r="N553" s="32" t="s">
        <v>2288</v>
      </c>
      <c r="O553" s="24" t="str">
        <f>IF(Q553=" _","NO","SI")</f>
        <v>NO</v>
      </c>
      <c r="P553" s="24" t="str">
        <f ca="1">IF(color_Celda(E553)=12106214,"ROSA",IF(color_Celda(E553)=65535,"AMARILLO",IF(color_Celda(E553)=5296274,"VERDE",IF(color_Celda(E553)=16777215,"BLANCO","NO SE"))))</f>
        <v>AMARILLO</v>
      </c>
      <c r="Q553" s="32" t="s">
        <v>108</v>
      </c>
      <c r="R553" s="170" t="str">
        <f>VLOOKUP($Q553,Resultados!$A$1:$B$49,2,FALSE)</f>
        <v xml:space="preserve"> _</v>
      </c>
      <c r="S553" s="32"/>
      <c r="T553" s="37"/>
      <c r="U553" s="37"/>
      <c r="V553" s="39"/>
      <c r="W553" s="39"/>
      <c r="X553" s="39"/>
      <c r="Y553" s="64"/>
      <c r="Z553" s="39"/>
      <c r="AA553" s="39"/>
      <c r="AB553" s="39"/>
      <c r="AC553" s="39"/>
      <c r="AD553" s="39"/>
      <c r="AE553" s="110"/>
      <c r="AF553" s="39"/>
      <c r="AG553" s="39"/>
      <c r="AH553" s="39"/>
      <c r="AI553" s="39"/>
      <c r="AJ553" s="43" t="s">
        <v>988</v>
      </c>
      <c r="AK553" s="39"/>
      <c r="AL553" s="155" t="s">
        <v>1627</v>
      </c>
      <c r="AM553" s="431" t="str">
        <f>VLOOKUP($Q553,Resultados!$A$1:$C$49,3,FALSE)</f>
        <v>TRAMITE</v>
      </c>
    </row>
    <row r="554" spans="1:39" ht="39.950000000000003" customHeight="1">
      <c r="A554" s="364">
        <v>447</v>
      </c>
      <c r="B554" s="38">
        <v>45266</v>
      </c>
      <c r="C554" s="331">
        <v>0.47916666666666669</v>
      </c>
      <c r="D554" s="32" t="s">
        <v>2502</v>
      </c>
      <c r="E554" s="40" t="s">
        <v>2503</v>
      </c>
      <c r="F554" s="39">
        <v>4</v>
      </c>
      <c r="G554" s="39" t="s">
        <v>325</v>
      </c>
      <c r="H554" s="38"/>
      <c r="I554" s="38"/>
      <c r="J554" s="38"/>
      <c r="K554" s="39" t="s">
        <v>1480</v>
      </c>
      <c r="L554" s="70" t="s">
        <v>25</v>
      </c>
      <c r="M554" s="70" t="s">
        <v>2504</v>
      </c>
      <c r="N554" s="32" t="s">
        <v>1342</v>
      </c>
      <c r="O554" s="137" t="str">
        <f>IF(Q554=" _","NO","SI")</f>
        <v>NO</v>
      </c>
      <c r="P554" s="24" t="str">
        <f ca="1">IF(color_Celda(E554)=12106214,"ROSA",IF(color_Celda(E554)=65535,"AMARILLO",IF(color_Celda(E554)=5296274,"VERDE",IF(color_Celda(E554)=16777215,"BLANCO","NO SE"))))</f>
        <v>AMARILLO</v>
      </c>
      <c r="Q554" s="32" t="s">
        <v>108</v>
      </c>
      <c r="R554" s="170" t="str">
        <f>VLOOKUP($Q554,Resultados!$A$1:$B$49,2,FALSE)</f>
        <v xml:space="preserve"> _</v>
      </c>
      <c r="S554" s="32"/>
      <c r="T554" s="73"/>
      <c r="U554" s="37"/>
      <c r="V554" s="39"/>
      <c r="W554" s="39"/>
      <c r="X554" s="39"/>
      <c r="Y554" s="199"/>
      <c r="Z554" s="39"/>
      <c r="AA554" s="39"/>
      <c r="AB554" s="39"/>
      <c r="AC554" s="39"/>
      <c r="AD554" s="39"/>
      <c r="AE554" s="110"/>
      <c r="AF554" s="39"/>
      <c r="AG554" s="39"/>
      <c r="AH554" s="39"/>
      <c r="AI554" s="39"/>
      <c r="AJ554" s="101" t="s">
        <v>988</v>
      </c>
      <c r="AK554" s="39"/>
      <c r="AL554" s="155" t="s">
        <v>1627</v>
      </c>
      <c r="AM554" s="431" t="str">
        <f>VLOOKUP($Q554,Resultados!$A$1:$C$49,3,FALSE)</f>
        <v>TRAMITE</v>
      </c>
    </row>
    <row r="555" spans="1:39" ht="39.950000000000003" customHeight="1">
      <c r="A555" s="364">
        <v>448</v>
      </c>
      <c r="B555" s="69">
        <v>45267</v>
      </c>
      <c r="C555" s="332" t="s">
        <v>1055</v>
      </c>
      <c r="D555" s="70" t="s">
        <v>1193</v>
      </c>
      <c r="E555" s="92" t="s">
        <v>1194</v>
      </c>
      <c r="F555" s="68">
        <v>1</v>
      </c>
      <c r="G555" s="68" t="s">
        <v>326</v>
      </c>
      <c r="H555" s="69"/>
      <c r="I555" s="69"/>
      <c r="J555" s="69"/>
      <c r="K555" s="68" t="s">
        <v>1480</v>
      </c>
      <c r="L555" s="70" t="s">
        <v>2170</v>
      </c>
      <c r="M555" s="70" t="s">
        <v>1206</v>
      </c>
      <c r="N555" s="70" t="s">
        <v>1207</v>
      </c>
      <c r="O555" s="24" t="str">
        <f>IF(Q555=" _","NO","SI")</f>
        <v>NO</v>
      </c>
      <c r="P555" s="24" t="str">
        <f ca="1">IF(color_Celda(E555)=12106214,"ROSA",IF(color_Celda(E555)=65535,"AMARILLO",IF(color_Celda(E555)=5296274,"VERDE",IF(color_Celda(E555)=16777215,"BLANCO","NO SE"))))</f>
        <v>AMARILLO</v>
      </c>
      <c r="Q555" s="70" t="s">
        <v>108</v>
      </c>
      <c r="R555" s="170" t="str">
        <f>VLOOKUP($Q555,Resultados!$A$1:$B$49,2,FALSE)</f>
        <v xml:space="preserve"> _</v>
      </c>
      <c r="S555" s="70"/>
      <c r="T555" s="73"/>
      <c r="U555" s="73"/>
      <c r="V555" s="68"/>
      <c r="W555" s="68"/>
      <c r="X555" s="68"/>
      <c r="Y555" s="64"/>
      <c r="Z555" s="68"/>
      <c r="AA555" s="68"/>
      <c r="AB555" s="68"/>
      <c r="AC555" s="68"/>
      <c r="AD555" s="68"/>
      <c r="AE555" s="358"/>
      <c r="AF555" s="68">
        <v>7</v>
      </c>
      <c r="AG555" s="68"/>
      <c r="AH555" s="68">
        <v>0</v>
      </c>
      <c r="AI555" s="68"/>
      <c r="AJ555" s="101" t="s">
        <v>988</v>
      </c>
      <c r="AK555" s="68"/>
      <c r="AL555" s="363" t="s">
        <v>1627</v>
      </c>
      <c r="AM555" s="431" t="str">
        <f>VLOOKUP($Q555,Resultados!$A$1:$C$49,3,FALSE)</f>
        <v>TRAMITE</v>
      </c>
    </row>
    <row r="556" spans="1:39" ht="39.950000000000003" customHeight="1">
      <c r="A556" s="364">
        <v>450</v>
      </c>
      <c r="B556" s="69">
        <v>45267</v>
      </c>
      <c r="C556" s="332" t="s">
        <v>753</v>
      </c>
      <c r="D556" s="70" t="s">
        <v>1198</v>
      </c>
      <c r="E556" s="92" t="s">
        <v>1199</v>
      </c>
      <c r="F556" s="68">
        <v>6</v>
      </c>
      <c r="G556" s="68" t="s">
        <v>326</v>
      </c>
      <c r="H556" s="69"/>
      <c r="I556" s="69"/>
      <c r="J556" s="69"/>
      <c r="K556" s="68" t="s">
        <v>1480</v>
      </c>
      <c r="L556" s="70" t="s">
        <v>78</v>
      </c>
      <c r="M556" s="70" t="s">
        <v>62</v>
      </c>
      <c r="N556" s="68" t="s">
        <v>2676</v>
      </c>
      <c r="O556" s="137" t="str">
        <f>IF(Q556=" _","NO","SI")</f>
        <v>NO</v>
      </c>
      <c r="P556" s="137" t="str">
        <f ca="1">IF(color_Celda(E556)=12106214,"ROSA",IF(color_Celda(E556)=65535,"AMARILLO",IF(color_Celda(E556)=5296274,"VERDE",IF(color_Celda(E556)=16777215,"BLANCO","NO SE"))))</f>
        <v>AMARILLO</v>
      </c>
      <c r="Q556" s="70" t="s">
        <v>108</v>
      </c>
      <c r="R556" s="170" t="str">
        <f>VLOOKUP($Q556,Resultados!$A$1:$B$49,2,FALSE)</f>
        <v xml:space="preserve"> _</v>
      </c>
      <c r="S556" s="70"/>
      <c r="T556" s="73"/>
      <c r="U556" s="73"/>
      <c r="V556" s="68"/>
      <c r="W556" s="68"/>
      <c r="X556" s="68"/>
      <c r="Y556" s="199"/>
      <c r="Z556" s="68"/>
      <c r="AA556" s="68"/>
      <c r="AB556" s="68"/>
      <c r="AC556" s="68"/>
      <c r="AD556" s="68"/>
      <c r="AE556" s="358"/>
      <c r="AF556" s="68">
        <v>7</v>
      </c>
      <c r="AG556" s="68"/>
      <c r="AH556" s="68">
        <v>0</v>
      </c>
      <c r="AI556" s="68"/>
      <c r="AJ556" s="101" t="s">
        <v>988</v>
      </c>
      <c r="AK556" s="362"/>
      <c r="AL556" s="155" t="s">
        <v>1627</v>
      </c>
      <c r="AM556" s="431" t="str">
        <f>VLOOKUP($Q556,Resultados!$A$1:$C$49,3,FALSE)</f>
        <v>TRAMITE</v>
      </c>
    </row>
    <row r="557" spans="1:39" ht="39.950000000000003" customHeight="1">
      <c r="A557" s="364">
        <v>451</v>
      </c>
      <c r="B557" s="38">
        <v>45267</v>
      </c>
      <c r="C557" s="337" t="s">
        <v>1069</v>
      </c>
      <c r="D557" s="32" t="s">
        <v>2258</v>
      </c>
      <c r="E557" s="40" t="s">
        <v>2259</v>
      </c>
      <c r="F557" s="39">
        <v>6</v>
      </c>
      <c r="G557" s="39" t="s">
        <v>326</v>
      </c>
      <c r="H557" s="38"/>
      <c r="I557" s="38"/>
      <c r="J557" s="38"/>
      <c r="K557" s="39" t="str">
        <f>IFERROR(VLOOKUP(J557,Jueces!$A$1:$B$11,2,FALSE),"")</f>
        <v/>
      </c>
      <c r="L557" s="32" t="s">
        <v>72</v>
      </c>
      <c r="M557" s="32" t="s">
        <v>1156</v>
      </c>
      <c r="N557" s="32" t="s">
        <v>1342</v>
      </c>
      <c r="O557" s="24" t="str">
        <f>IF(Q557=" _","NO","SI")</f>
        <v>NO</v>
      </c>
      <c r="P557" s="24" t="str">
        <f ca="1">IF(color_Celda(E557)=12106214,"ROSA",IF(color_Celda(E557)=65535,"AMARILLO",IF(color_Celda(E557)=5296274,"VERDE",IF(color_Celda(E557)=16777215,"BLANCO","NO SE"))))</f>
        <v>AMARILLO</v>
      </c>
      <c r="Q557" s="32" t="s">
        <v>108</v>
      </c>
      <c r="R557" s="170" t="str">
        <f>VLOOKUP($Q557,Resultados!$A$1:$B$49,2,FALSE)</f>
        <v xml:space="preserve"> _</v>
      </c>
      <c r="S557" s="32"/>
      <c r="T557" s="37"/>
      <c r="U557" s="37"/>
      <c r="V557" s="39"/>
      <c r="W557" s="39"/>
      <c r="X557" s="39"/>
      <c r="Y557" s="64"/>
      <c r="Z557" s="39"/>
      <c r="AA557" s="39"/>
      <c r="AB557" s="39"/>
      <c r="AC557" s="39"/>
      <c r="AD557" s="39"/>
      <c r="AE557" s="110"/>
      <c r="AF557" s="39"/>
      <c r="AG557" s="39"/>
      <c r="AH557" s="39"/>
      <c r="AI557" s="39"/>
      <c r="AJ557" s="43" t="s">
        <v>988</v>
      </c>
      <c r="AK557" s="39"/>
      <c r="AL557" s="155" t="s">
        <v>1627</v>
      </c>
      <c r="AM557" s="431" t="str">
        <f>VLOOKUP($Q557,Resultados!$A$1:$C$49,3,FALSE)</f>
        <v>TRAMITE</v>
      </c>
    </row>
    <row r="558" spans="1:39" ht="39.950000000000003" customHeight="1">
      <c r="A558" s="364">
        <v>452</v>
      </c>
      <c r="B558" s="35">
        <v>45267</v>
      </c>
      <c r="C558" s="331">
        <v>0.33333333333333331</v>
      </c>
      <c r="D558" s="32" t="s">
        <v>2523</v>
      </c>
      <c r="E558" s="40" t="s">
        <v>2524</v>
      </c>
      <c r="F558" s="39">
        <v>4</v>
      </c>
      <c r="G558" s="39" t="s">
        <v>325</v>
      </c>
      <c r="H558" s="38"/>
      <c r="I558" s="38"/>
      <c r="J558" s="38"/>
      <c r="K558" s="39" t="s">
        <v>1480</v>
      </c>
      <c r="L558" s="70" t="s">
        <v>2173</v>
      </c>
      <c r="M558" s="70" t="s">
        <v>45</v>
      </c>
      <c r="N558" s="32" t="s">
        <v>2271</v>
      </c>
      <c r="O558" s="137" t="str">
        <f>IF(Q558=" _","NO","SI")</f>
        <v>NO</v>
      </c>
      <c r="P558" s="24" t="str">
        <f ca="1">IF(color_Celda(E558)=12106214,"ROSA",IF(color_Celda(E558)=65535,"AMARILLO",IF(color_Celda(E558)=5296274,"VERDE",IF(color_Celda(E558)=16777215,"BLANCO","NO SE"))))</f>
        <v>AMARILLO</v>
      </c>
      <c r="Q558" s="32" t="s">
        <v>108</v>
      </c>
      <c r="R558" s="170" t="str">
        <f>VLOOKUP($Q558,Resultados!$A$1:$B$49,2,FALSE)</f>
        <v xml:space="preserve"> _</v>
      </c>
      <c r="S558" s="32"/>
      <c r="T558" s="73"/>
      <c r="U558" s="37"/>
      <c r="V558" s="39"/>
      <c r="W558" s="39"/>
      <c r="X558" s="39"/>
      <c r="Y558" s="199"/>
      <c r="Z558" s="39"/>
      <c r="AA558" s="39"/>
      <c r="AB558" s="39"/>
      <c r="AC558" s="39"/>
      <c r="AD558" s="39"/>
      <c r="AE558" s="110"/>
      <c r="AF558" s="39"/>
      <c r="AG558" s="39"/>
      <c r="AH558" s="39"/>
      <c r="AI558" s="39"/>
      <c r="AJ558" s="101" t="s">
        <v>988</v>
      </c>
      <c r="AK558" s="39"/>
      <c r="AL558" s="155" t="s">
        <v>1627</v>
      </c>
      <c r="AM558" s="431" t="str">
        <f>VLOOKUP($Q558,Resultados!$A$1:$C$49,3,FALSE)</f>
        <v>TRAMITE</v>
      </c>
    </row>
    <row r="559" spans="1:39" ht="39.950000000000003" customHeight="1">
      <c r="A559" s="364">
        <v>453</v>
      </c>
      <c r="B559" s="69">
        <v>45271</v>
      </c>
      <c r="C559" s="332" t="s">
        <v>12</v>
      </c>
      <c r="D559" s="70" t="s">
        <v>1196</v>
      </c>
      <c r="E559" s="92" t="s">
        <v>1197</v>
      </c>
      <c r="F559" s="68">
        <v>5</v>
      </c>
      <c r="G559" s="68" t="s">
        <v>10</v>
      </c>
      <c r="H559" s="69"/>
      <c r="I559" s="69"/>
      <c r="J559" s="69"/>
      <c r="K559" s="68" t="s">
        <v>1480</v>
      </c>
      <c r="L559" s="70" t="s">
        <v>72</v>
      </c>
      <c r="M559" s="70" t="s">
        <v>260</v>
      </c>
      <c r="N559" s="68"/>
      <c r="O559" s="24" t="str">
        <f>IF(Q559=" _","NO","SI")</f>
        <v>NO</v>
      </c>
      <c r="P559" s="24" t="str">
        <f ca="1">IF(color_Celda(E559)=12106214,"ROSA",IF(color_Celda(E559)=65535,"AMARILLO",IF(color_Celda(E559)=5296274,"VERDE",IF(color_Celda(E559)=16777215,"BLANCO","NO SE"))))</f>
        <v>AMARILLO</v>
      </c>
      <c r="Q559" s="70" t="s">
        <v>108</v>
      </c>
      <c r="R559" s="170" t="str">
        <f>VLOOKUP($Q559,Resultados!$A$1:$B$49,2,FALSE)</f>
        <v xml:space="preserve"> _</v>
      </c>
      <c r="S559" s="70"/>
      <c r="T559" s="73"/>
      <c r="U559" s="73"/>
      <c r="V559" s="68"/>
      <c r="W559" s="68"/>
      <c r="X559" s="68"/>
      <c r="Y559" s="64"/>
      <c r="Z559" s="68"/>
      <c r="AA559" s="68"/>
      <c r="AB559" s="68"/>
      <c r="AC559" s="68"/>
      <c r="AD559" s="68"/>
      <c r="AE559" s="358"/>
      <c r="AF559" s="68">
        <v>7</v>
      </c>
      <c r="AG559" s="68"/>
      <c r="AH559" s="68">
        <v>0</v>
      </c>
      <c r="AI559" s="68"/>
      <c r="AJ559" s="101" t="s">
        <v>988</v>
      </c>
      <c r="AK559" s="362"/>
      <c r="AL559" s="155" t="s">
        <v>1627</v>
      </c>
      <c r="AM559" s="431" t="str">
        <f>VLOOKUP($Q559,Resultados!$A$1:$C$49,3,FALSE)</f>
        <v>TRAMITE</v>
      </c>
    </row>
    <row r="560" spans="1:39" ht="39.950000000000003" customHeight="1">
      <c r="A560" s="364">
        <v>455</v>
      </c>
      <c r="B560" s="69">
        <v>45271</v>
      </c>
      <c r="C560" s="332" t="s">
        <v>1211</v>
      </c>
      <c r="D560" s="70" t="s">
        <v>1212</v>
      </c>
      <c r="E560" s="92" t="s">
        <v>1683</v>
      </c>
      <c r="F560" s="68">
        <v>3</v>
      </c>
      <c r="G560" s="68" t="s">
        <v>1750</v>
      </c>
      <c r="H560" s="69"/>
      <c r="I560" s="69"/>
      <c r="J560" s="69"/>
      <c r="K560" s="68" t="s">
        <v>1480</v>
      </c>
      <c r="L560" s="70" t="s">
        <v>25</v>
      </c>
      <c r="M560" s="70" t="s">
        <v>260</v>
      </c>
      <c r="N560" s="68" t="s">
        <v>1684</v>
      </c>
      <c r="O560" s="24" t="str">
        <f>IF(Q560=" _","NO","SI")</f>
        <v>NO</v>
      </c>
      <c r="P560" s="24" t="str">
        <f ca="1">IF(color_Celda(E560)=12106214,"ROSA",IF(color_Celda(E560)=65535,"AMARILLO",IF(color_Celda(E560)=5296274,"VERDE",IF(color_Celda(E560)=16777215,"BLANCO","NO SE"))))</f>
        <v>AMARILLO</v>
      </c>
      <c r="Q560" s="70" t="s">
        <v>108</v>
      </c>
      <c r="R560" s="170" t="str">
        <f>VLOOKUP($Q560,Resultados!$A$1:$B$49,2,FALSE)</f>
        <v xml:space="preserve"> _</v>
      </c>
      <c r="S560" s="70"/>
      <c r="T560" s="73"/>
      <c r="U560" s="73"/>
      <c r="V560" s="68"/>
      <c r="W560" s="68"/>
      <c r="X560" s="68"/>
      <c r="Y560" s="64"/>
      <c r="Z560" s="68"/>
      <c r="AA560" s="68"/>
      <c r="AB560" s="68"/>
      <c r="AC560" s="68"/>
      <c r="AD560" s="68"/>
      <c r="AE560" s="358"/>
      <c r="AF560" s="68">
        <v>7</v>
      </c>
      <c r="AG560" s="68"/>
      <c r="AH560" s="68">
        <v>0</v>
      </c>
      <c r="AI560" s="68"/>
      <c r="AJ560" s="101" t="s">
        <v>988</v>
      </c>
      <c r="AK560" s="362"/>
      <c r="AL560" s="155" t="s">
        <v>1627</v>
      </c>
      <c r="AM560" s="431" t="str">
        <f>VLOOKUP($Q560,Resultados!$A$1:$C$49,3,FALSE)</f>
        <v>TRAMITE</v>
      </c>
    </row>
    <row r="561" spans="1:39" ht="39.950000000000003" customHeight="1">
      <c r="A561" s="373">
        <v>457</v>
      </c>
      <c r="B561" s="100">
        <v>45272</v>
      </c>
      <c r="C561" s="336" t="s">
        <v>1231</v>
      </c>
      <c r="D561" s="96" t="s">
        <v>1232</v>
      </c>
      <c r="E561" s="98" t="s">
        <v>1233</v>
      </c>
      <c r="F561" s="107">
        <v>2</v>
      </c>
      <c r="G561" s="107" t="s">
        <v>325</v>
      </c>
      <c r="H561" s="100"/>
      <c r="I561" s="100"/>
      <c r="J561" s="100"/>
      <c r="K561" s="107" t="s">
        <v>1480</v>
      </c>
      <c r="L561" s="96" t="s">
        <v>82</v>
      </c>
      <c r="M561" s="96"/>
      <c r="N561" s="107"/>
      <c r="O561" s="24" t="str">
        <f>IF(Q561=" _","NO","SI")</f>
        <v>SI</v>
      </c>
      <c r="P561" s="24" t="str">
        <f ca="1">IF(color_Celda(E561)=12106214,"ROSA",IF(color_Celda(E561)=65535,"AMARILLO",IF(color_Celda(E561)=5296274,"VERDE",IF(color_Celda(E561)=16777215,"BLANCO","NO SE"))))</f>
        <v>VERDE</v>
      </c>
      <c r="Q561" s="96" t="s">
        <v>3313</v>
      </c>
      <c r="R561" s="176" t="str">
        <f>VLOOKUP($Q561,Resultados!$A$1:$B$49,2,FALSE)</f>
        <v>VERDE</v>
      </c>
      <c r="S561" s="96"/>
      <c r="T561" s="99"/>
      <c r="U561" s="99"/>
      <c r="V561" s="107"/>
      <c r="W561" s="107"/>
      <c r="X561" s="107"/>
      <c r="Y561" s="64"/>
      <c r="Z561" s="107"/>
      <c r="AA561" s="107"/>
      <c r="AB561" s="107"/>
      <c r="AC561" s="107"/>
      <c r="AD561" s="107"/>
      <c r="AE561" s="414"/>
      <c r="AF561" s="107">
        <v>7</v>
      </c>
      <c r="AG561" s="107"/>
      <c r="AH561" s="107">
        <v>0</v>
      </c>
      <c r="AI561" s="107"/>
      <c r="AJ561" s="245" t="s">
        <v>988</v>
      </c>
      <c r="AK561" s="422"/>
      <c r="AL561" s="363" t="s">
        <v>1627</v>
      </c>
      <c r="AM561" s="431" t="str">
        <f>VLOOKUP($Q561,Resultados!$A$1:$C$49,3,FALSE)</f>
        <v>NO LLEGO</v>
      </c>
    </row>
    <row r="562" spans="1:39" ht="39.950000000000003" customHeight="1">
      <c r="A562" s="364">
        <v>459</v>
      </c>
      <c r="B562" s="69">
        <v>45272</v>
      </c>
      <c r="C562" s="332" t="s">
        <v>1235</v>
      </c>
      <c r="D562" s="70" t="s">
        <v>1236</v>
      </c>
      <c r="E562" s="92" t="s">
        <v>1237</v>
      </c>
      <c r="F562" s="68">
        <v>2</v>
      </c>
      <c r="G562" s="68" t="s">
        <v>325</v>
      </c>
      <c r="H562" s="69"/>
      <c r="I562" s="69"/>
      <c r="J562" s="69"/>
      <c r="K562" s="68" t="s">
        <v>1480</v>
      </c>
      <c r="L562" s="70" t="s">
        <v>83</v>
      </c>
      <c r="M562" s="70" t="s">
        <v>1156</v>
      </c>
      <c r="N562" s="68" t="s">
        <v>1342</v>
      </c>
      <c r="O562" s="24" t="str">
        <f>IF(Q562=" _","NO","SI")</f>
        <v>NO</v>
      </c>
      <c r="P562" s="24" t="str">
        <f ca="1">IF(color_Celda(E562)=12106214,"ROSA",IF(color_Celda(E562)=65535,"AMARILLO",IF(color_Celda(E562)=5296274,"VERDE",IF(color_Celda(E562)=16777215,"BLANCO","NO SE"))))</f>
        <v>AMARILLO</v>
      </c>
      <c r="Q562" s="70" t="s">
        <v>108</v>
      </c>
      <c r="R562" s="170" t="str">
        <f>VLOOKUP($Q562,Resultados!$A$1:$B$49,2,FALSE)</f>
        <v xml:space="preserve"> _</v>
      </c>
      <c r="S562" s="70"/>
      <c r="T562" s="73"/>
      <c r="U562" s="73"/>
      <c r="V562" s="68"/>
      <c r="W562" s="68"/>
      <c r="X562" s="68"/>
      <c r="Y562" s="64"/>
      <c r="Z562" s="68"/>
      <c r="AA562" s="68"/>
      <c r="AB562" s="68"/>
      <c r="AC562" s="68"/>
      <c r="AD562" s="68"/>
      <c r="AE562" s="358"/>
      <c r="AF562" s="68">
        <v>7</v>
      </c>
      <c r="AG562" s="68"/>
      <c r="AH562" s="68">
        <v>0</v>
      </c>
      <c r="AI562" s="68"/>
      <c r="AJ562" s="101" t="s">
        <v>988</v>
      </c>
      <c r="AK562" s="68"/>
      <c r="AL562" s="155" t="s">
        <v>1627</v>
      </c>
      <c r="AM562" s="431" t="str">
        <f>VLOOKUP($Q562,Resultados!$A$1:$C$49,3,FALSE)</f>
        <v>TRAMITE</v>
      </c>
    </row>
    <row r="563" spans="1:39" ht="39.950000000000003" customHeight="1">
      <c r="A563" s="364">
        <v>462</v>
      </c>
      <c r="B563" s="69">
        <v>45273</v>
      </c>
      <c r="C563" s="329">
        <v>0.50486111111111109</v>
      </c>
      <c r="D563" s="70" t="s">
        <v>1224</v>
      </c>
      <c r="E563" s="92" t="s">
        <v>1225</v>
      </c>
      <c r="F563" s="70">
        <v>2</v>
      </c>
      <c r="G563" s="68" t="s">
        <v>325</v>
      </c>
      <c r="H563" s="69"/>
      <c r="I563" s="69"/>
      <c r="J563" s="69"/>
      <c r="K563" s="68" t="s">
        <v>1480</v>
      </c>
      <c r="L563" s="70" t="s">
        <v>250</v>
      </c>
      <c r="M563" s="70" t="s">
        <v>1289</v>
      </c>
      <c r="N563" s="68" t="s">
        <v>1342</v>
      </c>
      <c r="O563" s="24" t="str">
        <f>IF(Q563=" _","NO","SI")</f>
        <v>NO</v>
      </c>
      <c r="P563" s="24" t="str">
        <f ca="1">IF(color_Celda(E563)=12106214,"ROSA",IF(color_Celda(E563)=65535,"AMARILLO",IF(color_Celda(E563)=5296274,"VERDE",IF(color_Celda(E563)=16777215,"BLANCO","NO SE"))))</f>
        <v>AMARILLO</v>
      </c>
      <c r="Q563" s="70" t="s">
        <v>108</v>
      </c>
      <c r="R563" s="170" t="str">
        <f>VLOOKUP($Q563,Resultados!$A$1:$B$49,2,FALSE)</f>
        <v xml:space="preserve"> _</v>
      </c>
      <c r="S563" s="70"/>
      <c r="T563" s="73"/>
      <c r="U563" s="73"/>
      <c r="V563" s="68"/>
      <c r="W563" s="68"/>
      <c r="X563" s="68"/>
      <c r="Y563" s="64"/>
      <c r="Z563" s="68"/>
      <c r="AA563" s="68"/>
      <c r="AB563" s="68"/>
      <c r="AC563" s="68"/>
      <c r="AD563" s="68"/>
      <c r="AE563" s="358"/>
      <c r="AF563" s="68">
        <v>7</v>
      </c>
      <c r="AG563" s="68"/>
      <c r="AH563" s="68">
        <v>0</v>
      </c>
      <c r="AI563" s="68"/>
      <c r="AJ563" s="101" t="s">
        <v>988</v>
      </c>
      <c r="AK563" s="362"/>
      <c r="AL563" s="155" t="s">
        <v>1627</v>
      </c>
      <c r="AM563" s="431" t="str">
        <f>VLOOKUP($Q563,Resultados!$A$1:$C$49,3,FALSE)</f>
        <v>TRAMITE</v>
      </c>
    </row>
    <row r="564" spans="1:39" ht="39.950000000000003" customHeight="1">
      <c r="A564" s="373">
        <v>464</v>
      </c>
      <c r="B564" s="100">
        <v>45273</v>
      </c>
      <c r="C564" s="334">
        <v>0.45069444444444445</v>
      </c>
      <c r="D564" s="96" t="s">
        <v>1227</v>
      </c>
      <c r="E564" s="98" t="s">
        <v>1228</v>
      </c>
      <c r="F564" s="107">
        <v>1</v>
      </c>
      <c r="G564" s="107" t="s">
        <v>326</v>
      </c>
      <c r="H564" s="100"/>
      <c r="I564" s="100"/>
      <c r="J564" s="100"/>
      <c r="K564" s="107" t="s">
        <v>1480</v>
      </c>
      <c r="L564" s="96" t="s">
        <v>72</v>
      </c>
      <c r="M564" s="96"/>
      <c r="N564" s="107"/>
      <c r="O564" s="24" t="str">
        <f>IF(Q564=" _","NO","SI")</f>
        <v>SI</v>
      </c>
      <c r="P564" s="24" t="str">
        <f ca="1">IF(color_Celda(E564)=12106214,"ROSA",IF(color_Celda(E564)=65535,"AMARILLO",IF(color_Celda(E564)=5296274,"VERDE",IF(color_Celda(E564)=16777215,"BLANCO","NO SE"))))</f>
        <v>VERDE</v>
      </c>
      <c r="Q564" s="96" t="s">
        <v>3313</v>
      </c>
      <c r="R564" s="176" t="str">
        <f>VLOOKUP($Q564,Resultados!$A$1:$B$49,2,FALSE)</f>
        <v>VERDE</v>
      </c>
      <c r="S564" s="96"/>
      <c r="T564" s="99"/>
      <c r="U564" s="99"/>
      <c r="V564" s="107"/>
      <c r="W564" s="107"/>
      <c r="X564" s="107"/>
      <c r="Y564" s="64"/>
      <c r="Z564" s="107"/>
      <c r="AA564" s="107"/>
      <c r="AB564" s="107"/>
      <c r="AC564" s="107"/>
      <c r="AD564" s="107"/>
      <c r="AE564" s="414"/>
      <c r="AF564" s="107">
        <v>7</v>
      </c>
      <c r="AG564" s="107"/>
      <c r="AH564" s="107">
        <v>0</v>
      </c>
      <c r="AI564" s="107"/>
      <c r="AJ564" s="245" t="s">
        <v>988</v>
      </c>
      <c r="AK564" s="422"/>
      <c r="AL564" s="363" t="s">
        <v>1627</v>
      </c>
      <c r="AM564" s="431" t="str">
        <f>VLOOKUP($Q564,Resultados!$A$1:$C$49,3,FALSE)</f>
        <v>NO LLEGO</v>
      </c>
    </row>
    <row r="565" spans="1:39" ht="39.950000000000003" customHeight="1">
      <c r="A565" s="364">
        <v>465</v>
      </c>
      <c r="B565" s="69">
        <v>45273</v>
      </c>
      <c r="C565" s="332" t="s">
        <v>12</v>
      </c>
      <c r="D565" s="70" t="s">
        <v>1230</v>
      </c>
      <c r="E565" s="92" t="s">
        <v>1229</v>
      </c>
      <c r="F565" s="68">
        <v>3</v>
      </c>
      <c r="G565" s="68" t="s">
        <v>325</v>
      </c>
      <c r="H565" s="69"/>
      <c r="I565" s="69"/>
      <c r="J565" s="69"/>
      <c r="K565" s="68" t="s">
        <v>1480</v>
      </c>
      <c r="L565" s="70" t="s">
        <v>250</v>
      </c>
      <c r="M565" s="70"/>
      <c r="N565" s="68" t="s">
        <v>1858</v>
      </c>
      <c r="O565" s="137" t="str">
        <f>IF(Q565=" _","NO","SI")</f>
        <v>NO</v>
      </c>
      <c r="P565" s="24" t="str">
        <f ca="1">IF(color_Celda(E565)=12106214,"ROSA",IF(color_Celda(E565)=65535,"AMARILLO",IF(color_Celda(E565)=5296274,"VERDE",IF(color_Celda(E565)=16777215,"BLANCO","NO SE"))))</f>
        <v>AMARILLO</v>
      </c>
      <c r="Q565" s="70" t="s">
        <v>108</v>
      </c>
      <c r="R565" s="170" t="str">
        <f>VLOOKUP($Q565,Resultados!$A$1:$B$49,2,FALSE)</f>
        <v xml:space="preserve"> _</v>
      </c>
      <c r="S565" s="70"/>
      <c r="T565" s="73"/>
      <c r="U565" s="73"/>
      <c r="V565" s="68"/>
      <c r="W565" s="68"/>
      <c r="X565" s="68"/>
      <c r="Y565" s="199"/>
      <c r="Z565" s="68"/>
      <c r="AA565" s="68"/>
      <c r="AB565" s="68"/>
      <c r="AC565" s="68"/>
      <c r="AD565" s="68"/>
      <c r="AE565" s="358"/>
      <c r="AF565" s="68">
        <v>7</v>
      </c>
      <c r="AG565" s="68"/>
      <c r="AH565" s="68">
        <v>0</v>
      </c>
      <c r="AI565" s="68"/>
      <c r="AJ565" s="101" t="s">
        <v>988</v>
      </c>
      <c r="AK565" s="362"/>
      <c r="AL565" s="155" t="s">
        <v>1627</v>
      </c>
      <c r="AM565" s="431" t="str">
        <f>VLOOKUP($Q565,Resultados!$A$1:$C$49,3,FALSE)</f>
        <v>TRAMITE</v>
      </c>
    </row>
    <row r="566" spans="1:39" ht="39.950000000000003" customHeight="1">
      <c r="A566" s="364">
        <v>467</v>
      </c>
      <c r="B566" s="38">
        <v>45273</v>
      </c>
      <c r="C566" s="337" t="s">
        <v>2279</v>
      </c>
      <c r="D566" s="32" t="s">
        <v>2280</v>
      </c>
      <c r="E566" s="40" t="s">
        <v>2281</v>
      </c>
      <c r="F566" s="39">
        <v>5</v>
      </c>
      <c r="G566" s="32" t="s">
        <v>10</v>
      </c>
      <c r="H566" s="38"/>
      <c r="I566" s="38"/>
      <c r="J566" s="38"/>
      <c r="K566" s="39" t="str">
        <f>IFERROR(VLOOKUP(J566,Jueces!$A$1:$B$11,2,FALSE),"")</f>
        <v/>
      </c>
      <c r="L566" s="32" t="s">
        <v>2169</v>
      </c>
      <c r="M566" s="32" t="s">
        <v>67</v>
      </c>
      <c r="N566" s="32" t="s">
        <v>1342</v>
      </c>
      <c r="O566" s="24" t="str">
        <f>IF(Q566=" _","NO","SI")</f>
        <v>NO</v>
      </c>
      <c r="P566" s="24" t="str">
        <f ca="1">IF(color_Celda(E566)=12106214,"ROSA",IF(color_Celda(E566)=65535,"AMARILLO",IF(color_Celda(E566)=5296274,"VERDE",IF(color_Celda(E566)=16777215,"BLANCO","NO SE"))))</f>
        <v>AMARILLO</v>
      </c>
      <c r="Q566" s="32" t="s">
        <v>108</v>
      </c>
      <c r="R566" s="170" t="str">
        <f>VLOOKUP($Q566,Resultados!$A$1:$B$49,2,FALSE)</f>
        <v xml:space="preserve"> _</v>
      </c>
      <c r="S566" s="32"/>
      <c r="T566" s="37"/>
      <c r="U566" s="37"/>
      <c r="V566" s="39"/>
      <c r="W566" s="39"/>
      <c r="X566" s="39"/>
      <c r="Y566" s="64"/>
      <c r="Z566" s="39"/>
      <c r="AA566" s="39"/>
      <c r="AB566" s="39"/>
      <c r="AC566" s="39"/>
      <c r="AD566" s="39"/>
      <c r="AE566" s="110"/>
      <c r="AF566" s="39"/>
      <c r="AG566" s="39"/>
      <c r="AH566" s="39"/>
      <c r="AI566" s="39"/>
      <c r="AJ566" s="43" t="s">
        <v>988</v>
      </c>
      <c r="AK566" s="39"/>
      <c r="AL566" s="155" t="s">
        <v>1627</v>
      </c>
      <c r="AM566" s="431" t="str">
        <f>VLOOKUP($Q566,Resultados!$A$1:$C$49,3,FALSE)</f>
        <v>TRAMITE</v>
      </c>
    </row>
    <row r="567" spans="1:39" ht="39.950000000000003" customHeight="1">
      <c r="A567" s="364">
        <v>468</v>
      </c>
      <c r="B567" s="38">
        <v>45273</v>
      </c>
      <c r="C567" s="331">
        <v>0.43541666666666662</v>
      </c>
      <c r="D567" s="32" t="s">
        <v>2374</v>
      </c>
      <c r="E567" s="40" t="s">
        <v>2375</v>
      </c>
      <c r="F567" s="39">
        <v>4</v>
      </c>
      <c r="G567" s="32" t="s">
        <v>325</v>
      </c>
      <c r="H567" s="38"/>
      <c r="I567" s="38"/>
      <c r="J567" s="38"/>
      <c r="K567" s="39" t="str">
        <f>IFERROR(VLOOKUP(J567,Jueces!$A$1:$B$11,2,FALSE),"")</f>
        <v/>
      </c>
      <c r="L567" s="32" t="s">
        <v>2376</v>
      </c>
      <c r="M567" s="32" t="s">
        <v>2377</v>
      </c>
      <c r="N567" s="32" t="s">
        <v>2378</v>
      </c>
      <c r="O567" s="24" t="str">
        <f>IF(Q567=" _","NO","SI")</f>
        <v>NO</v>
      </c>
      <c r="P567" s="24" t="str">
        <f ca="1">IF(color_Celda(E567)=12106214,"ROSA",IF(color_Celda(E567)=65535,"AMARILLO",IF(color_Celda(E567)=5296274,"VERDE",IF(color_Celda(E567)=16777215,"BLANCO","NO SE"))))</f>
        <v>AMARILLO</v>
      </c>
      <c r="Q567" s="32" t="s">
        <v>108</v>
      </c>
      <c r="R567" s="170" t="str">
        <f>VLOOKUP($Q567,Resultados!$A$1:$B$49,2,FALSE)</f>
        <v xml:space="preserve"> _</v>
      </c>
      <c r="S567" s="32"/>
      <c r="T567" s="37"/>
      <c r="U567" s="37"/>
      <c r="V567" s="39"/>
      <c r="W567" s="39"/>
      <c r="X567" s="39"/>
      <c r="Y567" s="64"/>
      <c r="Z567" s="39"/>
      <c r="AA567" s="39"/>
      <c r="AB567" s="39"/>
      <c r="AC567" s="39"/>
      <c r="AD567" s="39"/>
      <c r="AE567" s="110"/>
      <c r="AF567" s="39"/>
      <c r="AG567" s="39"/>
      <c r="AH567" s="39"/>
      <c r="AI567" s="39"/>
      <c r="AJ567" s="43" t="s">
        <v>988</v>
      </c>
      <c r="AK567" s="39"/>
      <c r="AL567" s="155" t="s">
        <v>1627</v>
      </c>
      <c r="AM567" s="431" t="str">
        <f>VLOOKUP($Q567,Resultados!$A$1:$C$49,3,FALSE)</f>
        <v>TRAMITE</v>
      </c>
    </row>
    <row r="568" spans="1:39" ht="39.950000000000003" customHeight="1">
      <c r="A568" s="364">
        <v>469</v>
      </c>
      <c r="B568" s="38">
        <v>45273</v>
      </c>
      <c r="C568" s="337" t="s">
        <v>2507</v>
      </c>
      <c r="D568" s="32" t="s">
        <v>2508</v>
      </c>
      <c r="E568" s="40" t="s">
        <v>2509</v>
      </c>
      <c r="F568" s="39">
        <v>4</v>
      </c>
      <c r="G568" s="39" t="s">
        <v>325</v>
      </c>
      <c r="H568" s="38"/>
      <c r="I568" s="38"/>
      <c r="J568" s="38"/>
      <c r="K568" s="39" t="s">
        <v>1480</v>
      </c>
      <c r="L568" s="70" t="s">
        <v>74</v>
      </c>
      <c r="M568" s="70" t="s">
        <v>270</v>
      </c>
      <c r="N568" s="32" t="s">
        <v>2271</v>
      </c>
      <c r="O568" s="137" t="str">
        <f>IF(Q568=" _","NO","SI")</f>
        <v>NO</v>
      </c>
      <c r="P568" s="24" t="str">
        <f ca="1">IF(color_Celda(E568)=12106214,"ROSA",IF(color_Celda(E568)=65535,"AMARILLO",IF(color_Celda(E568)=5296274,"VERDE",IF(color_Celda(E568)=16777215,"BLANCO","NO SE"))))</f>
        <v>AMARILLO</v>
      </c>
      <c r="Q568" s="32" t="s">
        <v>108</v>
      </c>
      <c r="R568" s="170" t="str">
        <f>VLOOKUP($Q568,Resultados!$A$1:$B$49,2,FALSE)</f>
        <v xml:space="preserve"> _</v>
      </c>
      <c r="S568" s="32"/>
      <c r="T568" s="73"/>
      <c r="U568" s="37"/>
      <c r="V568" s="39"/>
      <c r="W568" s="39"/>
      <c r="X568" s="39"/>
      <c r="Y568" s="199"/>
      <c r="Z568" s="39"/>
      <c r="AA568" s="39"/>
      <c r="AB568" s="39"/>
      <c r="AC568" s="39"/>
      <c r="AD568" s="39"/>
      <c r="AE568" s="110"/>
      <c r="AF568" s="39"/>
      <c r="AG568" s="39"/>
      <c r="AH568" s="39"/>
      <c r="AI568" s="39"/>
      <c r="AJ568" s="101" t="s">
        <v>988</v>
      </c>
      <c r="AK568" s="39"/>
      <c r="AL568" s="155" t="s">
        <v>1627</v>
      </c>
      <c r="AM568" s="431" t="str">
        <f>VLOOKUP($Q568,Resultados!$A$1:$C$49,3,FALSE)</f>
        <v>TRAMITE</v>
      </c>
    </row>
    <row r="569" spans="1:39" ht="39.950000000000003" customHeight="1">
      <c r="A569" s="364">
        <v>470</v>
      </c>
      <c r="B569" s="38">
        <v>45273</v>
      </c>
      <c r="C569" s="337" t="s">
        <v>2507</v>
      </c>
      <c r="D569" s="32" t="s">
        <v>2518</v>
      </c>
      <c r="E569" s="40" t="s">
        <v>2519</v>
      </c>
      <c r="F569" s="39">
        <v>4</v>
      </c>
      <c r="G569" s="39" t="s">
        <v>325</v>
      </c>
      <c r="H569" s="38"/>
      <c r="I569" s="38"/>
      <c r="J569" s="38"/>
      <c r="K569" s="39" t="s">
        <v>1480</v>
      </c>
      <c r="L569" s="70" t="s">
        <v>83</v>
      </c>
      <c r="M569" s="70" t="s">
        <v>1156</v>
      </c>
      <c r="N569" s="39" t="s">
        <v>1342</v>
      </c>
      <c r="O569" s="137" t="str">
        <f>IF(Q569=" _","NO","SI")</f>
        <v>NO</v>
      </c>
      <c r="P569" s="24" t="str">
        <f ca="1">IF(color_Celda(E569)=12106214,"ROSA",IF(color_Celda(E569)=65535,"AMARILLO",IF(color_Celda(E569)=5296274,"VERDE",IF(color_Celda(E569)=16777215,"BLANCO","NO SE"))))</f>
        <v>AMARILLO</v>
      </c>
      <c r="Q569" s="32" t="s">
        <v>108</v>
      </c>
      <c r="R569" s="170" t="str">
        <f>VLOOKUP($Q569,Resultados!$A$1:$B$49,2,FALSE)</f>
        <v xml:space="preserve"> _</v>
      </c>
      <c r="S569" s="32"/>
      <c r="T569" s="73"/>
      <c r="U569" s="37"/>
      <c r="V569" s="39"/>
      <c r="W569" s="39"/>
      <c r="X569" s="39"/>
      <c r="Y569" s="199"/>
      <c r="Z569" s="39"/>
      <c r="AA569" s="39"/>
      <c r="AB569" s="39"/>
      <c r="AC569" s="39"/>
      <c r="AD569" s="39"/>
      <c r="AE569" s="110"/>
      <c r="AF569" s="39"/>
      <c r="AG569" s="39"/>
      <c r="AH569" s="39"/>
      <c r="AI569" s="39"/>
      <c r="AJ569" s="101" t="s">
        <v>988</v>
      </c>
      <c r="AK569" s="39"/>
      <c r="AL569" s="155" t="s">
        <v>1627</v>
      </c>
      <c r="AM569" s="431" t="str">
        <f>VLOOKUP($Q569,Resultados!$A$1:$C$49,3,FALSE)</f>
        <v>TRAMITE</v>
      </c>
    </row>
    <row r="570" spans="1:39" ht="39.950000000000003" customHeight="1">
      <c r="A570" s="364">
        <v>471</v>
      </c>
      <c r="B570" s="38">
        <v>45273</v>
      </c>
      <c r="C570" s="337" t="s">
        <v>2507</v>
      </c>
      <c r="D570" s="32" t="s">
        <v>2521</v>
      </c>
      <c r="E570" s="40" t="s">
        <v>2522</v>
      </c>
      <c r="F570" s="39">
        <v>4</v>
      </c>
      <c r="G570" s="39" t="s">
        <v>325</v>
      </c>
      <c r="H570" s="38"/>
      <c r="I570" s="38"/>
      <c r="J570" s="38"/>
      <c r="K570" s="39" t="s">
        <v>1480</v>
      </c>
      <c r="L570" s="70" t="s">
        <v>74</v>
      </c>
      <c r="M570" s="70" t="s">
        <v>1355</v>
      </c>
      <c r="N570" s="32" t="s">
        <v>2952</v>
      </c>
      <c r="O570" s="137" t="str">
        <f>IF(Q570=" _","NO","SI")</f>
        <v>NO</v>
      </c>
      <c r="P570" s="24" t="str">
        <f ca="1">IF(color_Celda(E570)=12106214,"ROSA",IF(color_Celda(E570)=65535,"AMARILLO",IF(color_Celda(E570)=5296274,"VERDE",IF(color_Celda(E570)=16777215,"BLANCO","NO SE"))))</f>
        <v>AMARILLO</v>
      </c>
      <c r="Q570" s="32" t="s">
        <v>108</v>
      </c>
      <c r="R570" s="170" t="str">
        <f>VLOOKUP($Q570,Resultados!$A$1:$B$49,2,FALSE)</f>
        <v xml:space="preserve"> _</v>
      </c>
      <c r="S570" s="32"/>
      <c r="T570" s="73"/>
      <c r="U570" s="37"/>
      <c r="V570" s="39"/>
      <c r="W570" s="39"/>
      <c r="X570" s="39"/>
      <c r="Y570" s="199"/>
      <c r="Z570" s="39"/>
      <c r="AA570" s="39"/>
      <c r="AB570" s="39"/>
      <c r="AC570" s="39"/>
      <c r="AD570" s="39"/>
      <c r="AE570" s="110"/>
      <c r="AF570" s="39"/>
      <c r="AG570" s="39"/>
      <c r="AH570" s="39"/>
      <c r="AI570" s="39"/>
      <c r="AJ570" s="101" t="s">
        <v>988</v>
      </c>
      <c r="AK570" s="39"/>
      <c r="AL570" s="155" t="s">
        <v>1627</v>
      </c>
      <c r="AM570" s="431" t="str">
        <f>VLOOKUP($Q570,Resultados!$A$1:$C$49,3,FALSE)</f>
        <v>TRAMITE</v>
      </c>
    </row>
    <row r="571" spans="1:39" ht="39.950000000000003" customHeight="1">
      <c r="A571" s="364">
        <v>472</v>
      </c>
      <c r="B571" s="38">
        <v>45273</v>
      </c>
      <c r="C571" s="337" t="s">
        <v>721</v>
      </c>
      <c r="D571" s="32" t="s">
        <v>2527</v>
      </c>
      <c r="E571" s="40" t="s">
        <v>2528</v>
      </c>
      <c r="F571" s="39">
        <v>4</v>
      </c>
      <c r="G571" s="39" t="s">
        <v>325</v>
      </c>
      <c r="H571" s="38"/>
      <c r="I571" s="38"/>
      <c r="J571" s="38"/>
      <c r="K571" s="39" t="s">
        <v>1480</v>
      </c>
      <c r="L571" s="70" t="s">
        <v>250</v>
      </c>
      <c r="M571" s="70" t="s">
        <v>226</v>
      </c>
      <c r="N571" s="32" t="s">
        <v>2271</v>
      </c>
      <c r="O571" s="137" t="str">
        <f>IF(Q571=" _","NO","SI")</f>
        <v>NO</v>
      </c>
      <c r="P571" s="24" t="str">
        <f ca="1">IF(color_Celda(E571)=12106214,"ROSA",IF(color_Celda(E571)=65535,"AMARILLO",IF(color_Celda(E571)=5296274,"VERDE",IF(color_Celda(E571)=16777215,"BLANCO","NO SE"))))</f>
        <v>AMARILLO</v>
      </c>
      <c r="Q571" s="32" t="s">
        <v>108</v>
      </c>
      <c r="R571" s="170" t="str">
        <f>VLOOKUP($Q571,Resultados!$A$1:$B$49,2,FALSE)</f>
        <v xml:space="preserve"> _</v>
      </c>
      <c r="S571" s="32"/>
      <c r="T571" s="73"/>
      <c r="U571" s="37"/>
      <c r="V571" s="39"/>
      <c r="W571" s="39"/>
      <c r="X571" s="39"/>
      <c r="Y571" s="199"/>
      <c r="Z571" s="39"/>
      <c r="AA571" s="39"/>
      <c r="AB571" s="39"/>
      <c r="AC571" s="39"/>
      <c r="AD571" s="39"/>
      <c r="AE571" s="110"/>
      <c r="AF571" s="39"/>
      <c r="AG571" s="39"/>
      <c r="AH571" s="39"/>
      <c r="AI571" s="39"/>
      <c r="AJ571" s="101" t="s">
        <v>988</v>
      </c>
      <c r="AK571" s="39"/>
      <c r="AL571" s="155" t="s">
        <v>1627</v>
      </c>
      <c r="AM571" s="431" t="str">
        <f>VLOOKUP($Q571,Resultados!$A$1:$C$49,3,FALSE)</f>
        <v>TRAMITE</v>
      </c>
    </row>
    <row r="572" spans="1:39" ht="39.950000000000003" customHeight="1">
      <c r="A572" s="364">
        <v>473</v>
      </c>
      <c r="B572" s="69">
        <v>45274</v>
      </c>
      <c r="C572" s="332" t="s">
        <v>1242</v>
      </c>
      <c r="D572" s="70" t="s">
        <v>1243</v>
      </c>
      <c r="E572" s="92" t="s">
        <v>1244</v>
      </c>
      <c r="F572" s="68">
        <v>3</v>
      </c>
      <c r="G572" s="68" t="s">
        <v>1750</v>
      </c>
      <c r="H572" s="69"/>
      <c r="I572" s="69"/>
      <c r="J572" s="69"/>
      <c r="K572" s="68" t="s">
        <v>1480</v>
      </c>
      <c r="L572" s="70" t="s">
        <v>250</v>
      </c>
      <c r="M572" s="70"/>
      <c r="N572" s="70" t="s">
        <v>1488</v>
      </c>
      <c r="O572" s="137" t="str">
        <f>IF(Q572=" _","NO","SI")</f>
        <v>NO</v>
      </c>
      <c r="P572" s="24" t="str">
        <f ca="1">IF(color_Celda(E572)=12106214,"ROSA",IF(color_Celda(E572)=65535,"AMARILLO",IF(color_Celda(E572)=5296274,"VERDE",IF(color_Celda(E572)=16777215,"BLANCO","NO SE"))))</f>
        <v>AMARILLO</v>
      </c>
      <c r="Q572" s="70" t="s">
        <v>108</v>
      </c>
      <c r="R572" s="170" t="str">
        <f>VLOOKUP($Q572,Resultados!$A$1:$B$49,2,FALSE)</f>
        <v xml:space="preserve"> _</v>
      </c>
      <c r="S572" s="70"/>
      <c r="T572" s="73"/>
      <c r="U572" s="73"/>
      <c r="V572" s="68"/>
      <c r="W572" s="68"/>
      <c r="X572" s="68"/>
      <c r="Y572" s="199"/>
      <c r="Z572" s="68"/>
      <c r="AA572" s="68"/>
      <c r="AB572" s="68"/>
      <c r="AC572" s="68"/>
      <c r="AD572" s="68"/>
      <c r="AE572" s="358"/>
      <c r="AF572" s="68">
        <v>7</v>
      </c>
      <c r="AG572" s="68"/>
      <c r="AH572" s="68">
        <v>0</v>
      </c>
      <c r="AI572" s="68"/>
      <c r="AJ572" s="101" t="s">
        <v>988</v>
      </c>
      <c r="AK572" s="68"/>
      <c r="AL572" s="155" t="s">
        <v>1627</v>
      </c>
      <c r="AM572" s="431" t="str">
        <f>VLOOKUP($Q572,Resultados!$A$1:$C$49,3,FALSE)</f>
        <v>TRAMITE</v>
      </c>
    </row>
    <row r="573" spans="1:39" ht="39.950000000000003" customHeight="1">
      <c r="A573" s="364">
        <v>476</v>
      </c>
      <c r="B573" s="69">
        <v>45274</v>
      </c>
      <c r="C573" s="332" t="s">
        <v>1256</v>
      </c>
      <c r="D573" s="70" t="s">
        <v>1257</v>
      </c>
      <c r="E573" s="92" t="s">
        <v>1258</v>
      </c>
      <c r="F573" s="68">
        <v>4</v>
      </c>
      <c r="G573" s="68" t="s">
        <v>325</v>
      </c>
      <c r="H573" s="69"/>
      <c r="I573" s="69"/>
      <c r="J573" s="69"/>
      <c r="K573" s="68" t="s">
        <v>1480</v>
      </c>
      <c r="L573" s="70" t="s">
        <v>2172</v>
      </c>
      <c r="M573" s="70" t="s">
        <v>226</v>
      </c>
      <c r="N573" s="68" t="s">
        <v>1342</v>
      </c>
      <c r="O573" s="137" t="str">
        <f>IF(Q573=" _","NO","SI")</f>
        <v>NO</v>
      </c>
      <c r="P573" s="24" t="str">
        <f ca="1">IF(color_Celda(E573)=12106214,"ROSA",IF(color_Celda(E573)=65535,"AMARILLO",IF(color_Celda(E573)=5296274,"VERDE",IF(color_Celda(E573)=16777215,"BLANCO","NO SE"))))</f>
        <v>AMARILLO</v>
      </c>
      <c r="Q573" s="70" t="s">
        <v>108</v>
      </c>
      <c r="R573" s="170" t="str">
        <f>VLOOKUP($Q573,Resultados!$A$1:$B$49,2,FALSE)</f>
        <v xml:space="preserve"> _</v>
      </c>
      <c r="S573" s="70"/>
      <c r="T573" s="73"/>
      <c r="U573" s="73"/>
      <c r="V573" s="68"/>
      <c r="W573" s="68"/>
      <c r="X573" s="68"/>
      <c r="Y573" s="199"/>
      <c r="Z573" s="68"/>
      <c r="AA573" s="68"/>
      <c r="AB573" s="68"/>
      <c r="AC573" s="68"/>
      <c r="AD573" s="68"/>
      <c r="AE573" s="358"/>
      <c r="AF573" s="68">
        <v>7</v>
      </c>
      <c r="AG573" s="68"/>
      <c r="AH573" s="68">
        <v>0</v>
      </c>
      <c r="AI573" s="68"/>
      <c r="AJ573" s="101" t="s">
        <v>988</v>
      </c>
      <c r="AK573" s="68"/>
      <c r="AL573" s="155" t="s">
        <v>1627</v>
      </c>
      <c r="AM573" s="431" t="str">
        <f>VLOOKUP($Q573,Resultados!$A$1:$C$49,3,FALSE)</f>
        <v>TRAMITE</v>
      </c>
    </row>
    <row r="574" spans="1:39" ht="39.950000000000003" customHeight="1">
      <c r="A574" s="364">
        <v>477</v>
      </c>
      <c r="B574" s="69">
        <v>45274</v>
      </c>
      <c r="C574" s="332" t="s">
        <v>143</v>
      </c>
      <c r="D574" s="70" t="s">
        <v>1262</v>
      </c>
      <c r="E574" s="92" t="s">
        <v>1263</v>
      </c>
      <c r="F574" s="68">
        <v>4</v>
      </c>
      <c r="G574" s="68" t="s">
        <v>325</v>
      </c>
      <c r="H574" s="69"/>
      <c r="I574" s="69"/>
      <c r="J574" s="69"/>
      <c r="K574" s="68" t="s">
        <v>1480</v>
      </c>
      <c r="L574" s="70" t="s">
        <v>72</v>
      </c>
      <c r="M574" s="70"/>
      <c r="N574" s="101" t="s">
        <v>1858</v>
      </c>
      <c r="O574" s="137" t="str">
        <f>IF(Q574=" _","NO","SI")</f>
        <v>NO</v>
      </c>
      <c r="P574" s="24" t="str">
        <f ca="1">IF(color_Celda(E574)=12106214,"ROSA",IF(color_Celda(E574)=65535,"AMARILLO",IF(color_Celda(E574)=5296274,"VERDE",IF(color_Celda(E574)=16777215,"BLANCO","NO SE"))))</f>
        <v>AMARILLO</v>
      </c>
      <c r="Q574" s="70" t="s">
        <v>108</v>
      </c>
      <c r="R574" s="170" t="str">
        <f>VLOOKUP($Q574,Resultados!$A$1:$B$49,2,FALSE)</f>
        <v xml:space="preserve"> _</v>
      </c>
      <c r="S574" s="70"/>
      <c r="T574" s="73"/>
      <c r="U574" s="73"/>
      <c r="V574" s="68"/>
      <c r="W574" s="68"/>
      <c r="X574" s="68"/>
      <c r="Y574" s="199"/>
      <c r="Z574" s="68"/>
      <c r="AA574" s="68"/>
      <c r="AB574" s="68"/>
      <c r="AC574" s="68"/>
      <c r="AD574" s="68"/>
      <c r="AE574" s="358"/>
      <c r="AF574" s="68">
        <v>7</v>
      </c>
      <c r="AG574" s="68"/>
      <c r="AH574" s="68">
        <v>0</v>
      </c>
      <c r="AI574" s="68"/>
      <c r="AJ574" s="101" t="s">
        <v>988</v>
      </c>
      <c r="AK574" s="68"/>
      <c r="AL574" s="155" t="s">
        <v>1627</v>
      </c>
      <c r="AM574" s="431" t="str">
        <f>VLOOKUP($Q574,Resultados!$A$1:$C$49,3,FALSE)</f>
        <v>TRAMITE</v>
      </c>
    </row>
    <row r="575" spans="1:39" ht="39.950000000000003" customHeight="1">
      <c r="A575" s="364">
        <v>478</v>
      </c>
      <c r="B575" s="69">
        <v>45274</v>
      </c>
      <c r="C575" s="332" t="s">
        <v>982</v>
      </c>
      <c r="D575" s="70" t="s">
        <v>1264</v>
      </c>
      <c r="E575" s="92" t="s">
        <v>1265</v>
      </c>
      <c r="F575" s="68">
        <v>4</v>
      </c>
      <c r="G575" s="68" t="s">
        <v>325</v>
      </c>
      <c r="H575" s="69"/>
      <c r="I575" s="69"/>
      <c r="J575" s="69"/>
      <c r="K575" s="68" t="s">
        <v>1480</v>
      </c>
      <c r="L575" s="70" t="s">
        <v>88</v>
      </c>
      <c r="M575" s="70" t="s">
        <v>234</v>
      </c>
      <c r="N575" s="68" t="s">
        <v>2271</v>
      </c>
      <c r="O575" s="137" t="str">
        <f>IF(Q575=" _","NO","SI")</f>
        <v>NO</v>
      </c>
      <c r="P575" s="24" t="str">
        <f ca="1">IF(color_Celda(E575)=12106214,"ROSA",IF(color_Celda(E575)=65535,"AMARILLO",IF(color_Celda(E575)=5296274,"VERDE",IF(color_Celda(E575)=16777215,"BLANCO","NO SE"))))</f>
        <v>AMARILLO</v>
      </c>
      <c r="Q575" s="70" t="s">
        <v>108</v>
      </c>
      <c r="R575" s="170" t="str">
        <f>VLOOKUP($Q575,Resultados!$A$1:$B$49,2,FALSE)</f>
        <v xml:space="preserve"> _</v>
      </c>
      <c r="S575" s="70"/>
      <c r="T575" s="73"/>
      <c r="U575" s="73"/>
      <c r="V575" s="68"/>
      <c r="W575" s="68"/>
      <c r="X575" s="68"/>
      <c r="Y575" s="199"/>
      <c r="Z575" s="68"/>
      <c r="AA575" s="68"/>
      <c r="AB575" s="68"/>
      <c r="AC575" s="68"/>
      <c r="AD575" s="68"/>
      <c r="AE575" s="358"/>
      <c r="AF575" s="68">
        <v>7</v>
      </c>
      <c r="AG575" s="68"/>
      <c r="AH575" s="68">
        <v>0</v>
      </c>
      <c r="AI575" s="68"/>
      <c r="AJ575" s="101" t="s">
        <v>988</v>
      </c>
      <c r="AK575" s="68"/>
      <c r="AL575" s="155" t="s">
        <v>1627</v>
      </c>
      <c r="AM575" s="431" t="str">
        <f>VLOOKUP($Q575,Resultados!$A$1:$C$49,3,FALSE)</f>
        <v>TRAMITE</v>
      </c>
    </row>
    <row r="576" spans="1:39" ht="39.950000000000003" customHeight="1">
      <c r="A576" s="364">
        <v>479</v>
      </c>
      <c r="B576" s="69">
        <v>45274</v>
      </c>
      <c r="C576" s="332" t="s">
        <v>12</v>
      </c>
      <c r="D576" s="70" t="s">
        <v>1266</v>
      </c>
      <c r="E576" s="92" t="s">
        <v>1267</v>
      </c>
      <c r="F576" s="68">
        <v>6</v>
      </c>
      <c r="G576" s="68" t="s">
        <v>326</v>
      </c>
      <c r="H576" s="69"/>
      <c r="I576" s="69"/>
      <c r="J576" s="69"/>
      <c r="K576" s="68" t="s">
        <v>1480</v>
      </c>
      <c r="L576" s="70" t="s">
        <v>72</v>
      </c>
      <c r="M576" s="70" t="s">
        <v>2263</v>
      </c>
      <c r="N576" s="68" t="s">
        <v>1858</v>
      </c>
      <c r="O576" s="24" t="str">
        <f>IF(Q576=" _","NO","SI")</f>
        <v>NO</v>
      </c>
      <c r="P576" s="24" t="str">
        <f ca="1">IF(color_Celda(E576)=12106214,"ROSA",IF(color_Celda(E576)=65535,"AMARILLO",IF(color_Celda(E576)=5296274,"VERDE",IF(color_Celda(E576)=16777215,"BLANCO","NO SE"))))</f>
        <v>AMARILLO</v>
      </c>
      <c r="Q576" s="70" t="s">
        <v>108</v>
      </c>
      <c r="R576" s="170" t="str">
        <f>VLOOKUP($Q576,Resultados!$A$1:$B$49,2,FALSE)</f>
        <v xml:space="preserve"> _</v>
      </c>
      <c r="S576" s="70"/>
      <c r="T576" s="73"/>
      <c r="U576" s="73"/>
      <c r="V576" s="68"/>
      <c r="W576" s="68"/>
      <c r="X576" s="68"/>
      <c r="Y576" s="64"/>
      <c r="Z576" s="68"/>
      <c r="AA576" s="68"/>
      <c r="AB576" s="68"/>
      <c r="AC576" s="68"/>
      <c r="AD576" s="68"/>
      <c r="AE576" s="358"/>
      <c r="AF576" s="68">
        <v>7</v>
      </c>
      <c r="AG576" s="68"/>
      <c r="AH576" s="68">
        <v>0</v>
      </c>
      <c r="AI576" s="68"/>
      <c r="AJ576" s="101" t="s">
        <v>988</v>
      </c>
      <c r="AK576" s="68"/>
      <c r="AL576" s="155" t="s">
        <v>1627</v>
      </c>
      <c r="AM576" s="431" t="str">
        <f>VLOOKUP($Q576,Resultados!$A$1:$C$49,3,FALSE)</f>
        <v>TRAMITE</v>
      </c>
    </row>
    <row r="577" spans="1:39" ht="39.950000000000003" customHeight="1">
      <c r="A577" s="364">
        <v>480</v>
      </c>
      <c r="B577" s="69">
        <v>45274</v>
      </c>
      <c r="C577" s="332" t="s">
        <v>217</v>
      </c>
      <c r="D577" s="70" t="s">
        <v>1268</v>
      </c>
      <c r="E577" s="92" t="s">
        <v>1269</v>
      </c>
      <c r="F577" s="68">
        <v>2</v>
      </c>
      <c r="G577" s="68" t="s">
        <v>325</v>
      </c>
      <c r="H577" s="69"/>
      <c r="I577" s="69"/>
      <c r="J577" s="69"/>
      <c r="K577" s="68" t="s">
        <v>1480</v>
      </c>
      <c r="L577" s="70" t="s">
        <v>127</v>
      </c>
      <c r="M577" s="70" t="s">
        <v>2386</v>
      </c>
      <c r="N577" s="68" t="s">
        <v>2271</v>
      </c>
      <c r="O577" s="24" t="str">
        <f>IF(Q577=" _","NO","SI")</f>
        <v>NO</v>
      </c>
      <c r="P577" s="24" t="str">
        <f ca="1">IF(color_Celda(E577)=12106214,"ROSA",IF(color_Celda(E577)=65535,"AMARILLO",IF(color_Celda(E577)=5296274,"VERDE",IF(color_Celda(E577)=16777215,"BLANCO","NO SE"))))</f>
        <v>AMARILLO</v>
      </c>
      <c r="Q577" s="70" t="s">
        <v>108</v>
      </c>
      <c r="R577" s="170" t="str">
        <f>VLOOKUP($Q577,Resultados!$A$1:$B$49,2,FALSE)</f>
        <v xml:space="preserve"> _</v>
      </c>
      <c r="S577" s="70"/>
      <c r="T577" s="73"/>
      <c r="U577" s="73"/>
      <c r="V577" s="68"/>
      <c r="W577" s="68"/>
      <c r="X577" s="68"/>
      <c r="Y577" s="64"/>
      <c r="Z577" s="68"/>
      <c r="AA577" s="68"/>
      <c r="AB577" s="68"/>
      <c r="AC577" s="68"/>
      <c r="AD577" s="68"/>
      <c r="AE577" s="358"/>
      <c r="AF577" s="68">
        <v>7</v>
      </c>
      <c r="AG577" s="68"/>
      <c r="AH577" s="68">
        <v>0</v>
      </c>
      <c r="AI577" s="68"/>
      <c r="AJ577" s="101" t="s">
        <v>988</v>
      </c>
      <c r="AK577" s="68"/>
      <c r="AL577" s="155" t="s">
        <v>1627</v>
      </c>
      <c r="AM577" s="431" t="str">
        <f>VLOOKUP($Q577,Resultados!$A$1:$C$49,3,FALSE)</f>
        <v>TRAMITE</v>
      </c>
    </row>
    <row r="578" spans="1:39" ht="39.950000000000003" customHeight="1">
      <c r="A578" s="364">
        <v>481</v>
      </c>
      <c r="B578" s="69">
        <v>45274</v>
      </c>
      <c r="C578" s="329">
        <v>0.40277777777777773</v>
      </c>
      <c r="D578" s="70" t="s">
        <v>1482</v>
      </c>
      <c r="E578" s="92" t="s">
        <v>1483</v>
      </c>
      <c r="F578" s="68">
        <v>3</v>
      </c>
      <c r="G578" s="68" t="s">
        <v>1750</v>
      </c>
      <c r="H578" s="69"/>
      <c r="I578" s="69"/>
      <c r="J578" s="69"/>
      <c r="K578" s="68" t="s">
        <v>1480</v>
      </c>
      <c r="L578" s="70" t="s">
        <v>82</v>
      </c>
      <c r="M578" s="70" t="s">
        <v>44</v>
      </c>
      <c r="N578" s="70" t="s">
        <v>1484</v>
      </c>
      <c r="O578" s="24" t="str">
        <f>IF(Q578=" _","NO","SI")</f>
        <v>NO</v>
      </c>
      <c r="P578" s="24" t="str">
        <f ca="1">IF(color_Celda(E578)=12106214,"ROSA",IF(color_Celda(E578)=65535,"AMARILLO",IF(color_Celda(E578)=5296274,"VERDE",IF(color_Celda(E578)=16777215,"BLANCO","NO SE"))))</f>
        <v>AMARILLO</v>
      </c>
      <c r="Q578" s="70" t="s">
        <v>108</v>
      </c>
      <c r="R578" s="170" t="str">
        <f>VLOOKUP($Q578,Resultados!$A$1:$B$49,2,FALSE)</f>
        <v xml:space="preserve"> _</v>
      </c>
      <c r="S578" s="70"/>
      <c r="T578" s="73"/>
      <c r="U578" s="73"/>
      <c r="V578" s="68"/>
      <c r="W578" s="68"/>
      <c r="X578" s="68"/>
      <c r="Y578" s="64"/>
      <c r="Z578" s="68"/>
      <c r="AA578" s="68"/>
      <c r="AB578" s="68"/>
      <c r="AC578" s="68"/>
      <c r="AD578" s="68"/>
      <c r="AE578" s="358"/>
      <c r="AF578" s="68"/>
      <c r="AG578" s="68"/>
      <c r="AH578" s="68"/>
      <c r="AI578" s="68"/>
      <c r="AJ578" s="101" t="s">
        <v>988</v>
      </c>
      <c r="AK578" s="68"/>
      <c r="AL578" s="363" t="s">
        <v>1627</v>
      </c>
      <c r="AM578" s="431" t="str">
        <f>VLOOKUP($Q578,Resultados!$A$1:$C$49,3,FALSE)</f>
        <v>TRAMITE</v>
      </c>
    </row>
    <row r="579" spans="1:39" ht="39.950000000000003" customHeight="1">
      <c r="A579" s="364">
        <v>483</v>
      </c>
      <c r="B579" s="69">
        <v>45275</v>
      </c>
      <c r="C579" s="332" t="s">
        <v>1276</v>
      </c>
      <c r="D579" s="70" t="s">
        <v>1277</v>
      </c>
      <c r="E579" s="92" t="s">
        <v>1278</v>
      </c>
      <c r="F579" s="68">
        <v>2</v>
      </c>
      <c r="G579" s="68" t="s">
        <v>325</v>
      </c>
      <c r="H579" s="69"/>
      <c r="I579" s="69"/>
      <c r="J579" s="69"/>
      <c r="K579" s="68" t="s">
        <v>1480</v>
      </c>
      <c r="L579" s="70" t="s">
        <v>86</v>
      </c>
      <c r="M579" s="70" t="s">
        <v>1289</v>
      </c>
      <c r="N579" s="68" t="s">
        <v>2271</v>
      </c>
      <c r="O579" s="24" t="str">
        <f>IF(Q579=" _","NO","SI")</f>
        <v>NO</v>
      </c>
      <c r="P579" s="24" t="str">
        <f ca="1">IF(color_Celda(E579)=12106214,"ROSA",IF(color_Celda(E579)=65535,"AMARILLO",IF(color_Celda(E579)=5296274,"VERDE",IF(color_Celda(E579)=16777215,"BLANCO","NO SE"))))</f>
        <v>AMARILLO</v>
      </c>
      <c r="Q579" s="70" t="s">
        <v>108</v>
      </c>
      <c r="R579" s="32" t="str">
        <f>VLOOKUP($Q579,Resultados!$A$1:$B$49,2,FALSE)</f>
        <v xml:space="preserve"> _</v>
      </c>
      <c r="S579" s="70"/>
      <c r="T579" s="73"/>
      <c r="U579" s="73"/>
      <c r="V579" s="68"/>
      <c r="W579" s="68"/>
      <c r="X579" s="68"/>
      <c r="Y579" s="64"/>
      <c r="Z579" s="68"/>
      <c r="AA579" s="68"/>
      <c r="AB579" s="68"/>
      <c r="AC579" s="68"/>
      <c r="AD579" s="68"/>
      <c r="AE579" s="358"/>
      <c r="AF579" s="68">
        <v>7</v>
      </c>
      <c r="AG579" s="68"/>
      <c r="AH579" s="68">
        <v>0</v>
      </c>
      <c r="AI579" s="68"/>
      <c r="AJ579" s="101" t="s">
        <v>988</v>
      </c>
      <c r="AK579" s="68"/>
      <c r="AL579" s="155" t="s">
        <v>1627</v>
      </c>
      <c r="AM579" s="431" t="str">
        <f>VLOOKUP($Q579,Resultados!$A$1:$C$49,3,FALSE)</f>
        <v>TRAMITE</v>
      </c>
    </row>
    <row r="580" spans="1:39" ht="39.950000000000003" customHeight="1">
      <c r="A580" s="364">
        <v>484</v>
      </c>
      <c r="B580" s="38">
        <v>45275</v>
      </c>
      <c r="C580" s="337" t="s">
        <v>2347</v>
      </c>
      <c r="D580" s="32" t="s">
        <v>2525</v>
      </c>
      <c r="E580" s="40" t="s">
        <v>2526</v>
      </c>
      <c r="F580" s="39">
        <v>4</v>
      </c>
      <c r="G580" s="39" t="s">
        <v>325</v>
      </c>
      <c r="H580" s="38"/>
      <c r="I580" s="38"/>
      <c r="J580" s="38"/>
      <c r="K580" s="39" t="s">
        <v>1480</v>
      </c>
      <c r="L580" s="70" t="s">
        <v>77</v>
      </c>
      <c r="M580" s="70" t="s">
        <v>1355</v>
      </c>
      <c r="N580" s="32" t="s">
        <v>2271</v>
      </c>
      <c r="O580" s="137" t="str">
        <f>IF(Q580=" _","NO","SI")</f>
        <v>NO</v>
      </c>
      <c r="P580" s="24" t="str">
        <f ca="1">IF(color_Celda(E580)=12106214,"ROSA",IF(color_Celda(E580)=65535,"AMARILLO",IF(color_Celda(E580)=5296274,"VERDE",IF(color_Celda(E580)=16777215,"BLANCO","NO SE"))))</f>
        <v>AMARILLO</v>
      </c>
      <c r="Q580" s="32" t="s">
        <v>108</v>
      </c>
      <c r="R580" s="32" t="str">
        <f>VLOOKUP($Q580,Resultados!$A$1:$B$49,2,FALSE)</f>
        <v xml:space="preserve"> _</v>
      </c>
      <c r="S580" s="32"/>
      <c r="T580" s="73"/>
      <c r="U580" s="37"/>
      <c r="V580" s="39"/>
      <c r="W580" s="39"/>
      <c r="X580" s="39"/>
      <c r="Y580" s="199"/>
      <c r="Z580" s="39"/>
      <c r="AA580" s="39"/>
      <c r="AB580" s="39"/>
      <c r="AC580" s="39"/>
      <c r="AD580" s="39"/>
      <c r="AE580" s="110"/>
      <c r="AF580" s="39"/>
      <c r="AG580" s="39"/>
      <c r="AH580" s="39"/>
      <c r="AI580" s="39"/>
      <c r="AJ580" s="101" t="s">
        <v>988</v>
      </c>
      <c r="AK580" s="39"/>
      <c r="AL580" s="155" t="s">
        <v>1627</v>
      </c>
      <c r="AM580" s="431" t="str">
        <f>VLOOKUP($Q580,Resultados!$A$1:$C$49,3,FALSE)</f>
        <v>TRAMITE</v>
      </c>
    </row>
    <row r="581" spans="1:39" ht="39.950000000000003" customHeight="1">
      <c r="A581" s="364">
        <v>485</v>
      </c>
      <c r="B581" s="69">
        <v>45278</v>
      </c>
      <c r="C581" s="332" t="s">
        <v>1256</v>
      </c>
      <c r="D581" s="70" t="s">
        <v>1270</v>
      </c>
      <c r="E581" s="92" t="s">
        <v>1271</v>
      </c>
      <c r="F581" s="68">
        <v>5</v>
      </c>
      <c r="G581" s="68" t="s">
        <v>10</v>
      </c>
      <c r="H581" s="69"/>
      <c r="I581" s="69"/>
      <c r="J581" s="69"/>
      <c r="K581" s="68" t="s">
        <v>1480</v>
      </c>
      <c r="L581" s="70" t="s">
        <v>2170</v>
      </c>
      <c r="M581" s="70" t="s">
        <v>45</v>
      </c>
      <c r="N581" s="68" t="s">
        <v>2271</v>
      </c>
      <c r="O581" s="24" t="str">
        <f>IF(Q581=" _","NO","SI")</f>
        <v>NO</v>
      </c>
      <c r="P581" s="24" t="str">
        <f ca="1">IF(color_Celda(E581)=12106214,"ROSA",IF(color_Celda(E581)=65535,"AMARILLO",IF(color_Celda(E581)=5296274,"VERDE",IF(color_Celda(E581)=16777215,"BLANCO","NO SE"))))</f>
        <v>AMARILLO</v>
      </c>
      <c r="Q581" s="70" t="s">
        <v>108</v>
      </c>
      <c r="R581" s="32" t="str">
        <f>VLOOKUP($Q581,Resultados!$A$1:$B$49,2,FALSE)</f>
        <v xml:space="preserve"> _</v>
      </c>
      <c r="S581" s="70"/>
      <c r="T581" s="73"/>
      <c r="U581" s="73"/>
      <c r="V581" s="68"/>
      <c r="W581" s="68"/>
      <c r="X581" s="68"/>
      <c r="Y581" s="64"/>
      <c r="Z581" s="68"/>
      <c r="AA581" s="68"/>
      <c r="AB581" s="68"/>
      <c r="AC581" s="68"/>
      <c r="AD581" s="68"/>
      <c r="AE581" s="358"/>
      <c r="AF581" s="68">
        <v>7</v>
      </c>
      <c r="AG581" s="68"/>
      <c r="AH581" s="68">
        <v>0</v>
      </c>
      <c r="AI581" s="68"/>
      <c r="AJ581" s="101" t="s">
        <v>988</v>
      </c>
      <c r="AK581" s="68"/>
      <c r="AL581" s="155" t="s">
        <v>1627</v>
      </c>
      <c r="AM581" s="431" t="str">
        <f>VLOOKUP($Q581,Resultados!$A$1:$C$49,3,FALSE)</f>
        <v>TRAMITE</v>
      </c>
    </row>
    <row r="582" spans="1:39" ht="39.950000000000003" customHeight="1">
      <c r="A582" s="364">
        <v>486</v>
      </c>
      <c r="B582" s="69">
        <v>45278</v>
      </c>
      <c r="C582" s="332" t="s">
        <v>1272</v>
      </c>
      <c r="D582" s="70" t="s">
        <v>1273</v>
      </c>
      <c r="E582" s="92" t="s">
        <v>1274</v>
      </c>
      <c r="F582" s="68">
        <v>3</v>
      </c>
      <c r="G582" s="68" t="s">
        <v>1750</v>
      </c>
      <c r="H582" s="69"/>
      <c r="I582" s="69"/>
      <c r="J582" s="69"/>
      <c r="K582" s="68" t="s">
        <v>1480</v>
      </c>
      <c r="L582" s="70" t="s">
        <v>2170</v>
      </c>
      <c r="M582" s="70" t="s">
        <v>1355</v>
      </c>
      <c r="N582" s="70" t="s">
        <v>1489</v>
      </c>
      <c r="O582" s="137" t="str">
        <f>IF(Q582=" _","NO","SI")</f>
        <v>NO</v>
      </c>
      <c r="P582" s="24" t="str">
        <f ca="1">IF(color_Celda(E582)=12106214,"ROSA",IF(color_Celda(E582)=65535,"AMARILLO",IF(color_Celda(E582)=5296274,"VERDE",IF(color_Celda(E582)=16777215,"BLANCO","NO SE"))))</f>
        <v>AMARILLO</v>
      </c>
      <c r="Q582" s="70" t="s">
        <v>108</v>
      </c>
      <c r="R582" s="32" t="str">
        <f>VLOOKUP($Q582,Resultados!$A$1:$B$49,2,FALSE)</f>
        <v xml:space="preserve"> _</v>
      </c>
      <c r="S582" s="70"/>
      <c r="T582" s="73"/>
      <c r="U582" s="73"/>
      <c r="V582" s="68"/>
      <c r="W582" s="68"/>
      <c r="X582" s="68"/>
      <c r="Y582" s="199"/>
      <c r="Z582" s="68"/>
      <c r="AA582" s="68"/>
      <c r="AB582" s="68"/>
      <c r="AC582" s="68"/>
      <c r="AD582" s="68"/>
      <c r="AE582" s="358"/>
      <c r="AF582" s="68">
        <v>7</v>
      </c>
      <c r="AG582" s="68"/>
      <c r="AH582" s="68">
        <v>0</v>
      </c>
      <c r="AI582" s="68"/>
      <c r="AJ582" s="101" t="s">
        <v>988</v>
      </c>
      <c r="AK582" s="68"/>
      <c r="AL582" s="155" t="s">
        <v>1627</v>
      </c>
      <c r="AM582" s="431" t="str">
        <f>VLOOKUP($Q582,Resultados!$A$1:$C$49,3,FALSE)</f>
        <v>TRAMITE</v>
      </c>
    </row>
    <row r="583" spans="1:39" ht="39.950000000000003" customHeight="1">
      <c r="A583" s="364">
        <v>488</v>
      </c>
      <c r="B583" s="69">
        <v>45278</v>
      </c>
      <c r="C583" s="332" t="s">
        <v>803</v>
      </c>
      <c r="D583" s="70" t="s">
        <v>233</v>
      </c>
      <c r="E583" s="92" t="s">
        <v>1282</v>
      </c>
      <c r="F583" s="68">
        <v>4</v>
      </c>
      <c r="G583" s="68" t="s">
        <v>325</v>
      </c>
      <c r="H583" s="69"/>
      <c r="I583" s="69"/>
      <c r="J583" s="69"/>
      <c r="K583" s="68" t="s">
        <v>1480</v>
      </c>
      <c r="L583" s="70" t="s">
        <v>75</v>
      </c>
      <c r="M583" s="70" t="s">
        <v>1453</v>
      </c>
      <c r="N583" s="68" t="s">
        <v>1342</v>
      </c>
      <c r="O583" s="137" t="str">
        <f>IF(Q583=" _","NO","SI")</f>
        <v>NO</v>
      </c>
      <c r="P583" s="24" t="str">
        <f ca="1">IF(color_Celda(E583)=12106214,"ROSA",IF(color_Celda(E583)=65535,"AMARILLO",IF(color_Celda(E583)=5296274,"VERDE",IF(color_Celda(E583)=16777215,"BLANCO","NO SE"))))</f>
        <v>AMARILLO</v>
      </c>
      <c r="Q583" s="70" t="s">
        <v>108</v>
      </c>
      <c r="R583" s="32" t="str">
        <f>VLOOKUP($Q583,Resultados!$A$1:$B$49,2,FALSE)</f>
        <v xml:space="preserve"> _</v>
      </c>
      <c r="S583" s="70"/>
      <c r="T583" s="73"/>
      <c r="U583" s="73"/>
      <c r="V583" s="68"/>
      <c r="W583" s="68"/>
      <c r="X583" s="68"/>
      <c r="Y583" s="199"/>
      <c r="Z583" s="68"/>
      <c r="AA583" s="68"/>
      <c r="AB583" s="68"/>
      <c r="AC583" s="68"/>
      <c r="AD583" s="68"/>
      <c r="AE583" s="358"/>
      <c r="AF583" s="68">
        <v>7</v>
      </c>
      <c r="AG583" s="68"/>
      <c r="AH583" s="68">
        <v>0</v>
      </c>
      <c r="AI583" s="68"/>
      <c r="AJ583" s="101" t="s">
        <v>988</v>
      </c>
      <c r="AK583" s="68"/>
      <c r="AL583" s="155" t="s">
        <v>1627</v>
      </c>
      <c r="AM583" s="431" t="str">
        <f>VLOOKUP($Q583,Resultados!$A$1:$C$49,3,FALSE)</f>
        <v>TRAMITE</v>
      </c>
    </row>
    <row r="584" spans="1:39" ht="39.950000000000003" customHeight="1">
      <c r="A584" s="364">
        <v>489</v>
      </c>
      <c r="B584" s="69">
        <v>45278</v>
      </c>
      <c r="C584" s="332" t="s">
        <v>1283</v>
      </c>
      <c r="D584" s="70" t="s">
        <v>1284</v>
      </c>
      <c r="E584" s="92" t="s">
        <v>1285</v>
      </c>
      <c r="F584" s="68">
        <v>4</v>
      </c>
      <c r="G584" s="68"/>
      <c r="H584" s="69"/>
      <c r="I584" s="69"/>
      <c r="J584" s="69"/>
      <c r="K584" s="68" t="s">
        <v>1480</v>
      </c>
      <c r="L584" s="70" t="s">
        <v>84</v>
      </c>
      <c r="M584" s="70"/>
      <c r="N584" s="101" t="s">
        <v>1858</v>
      </c>
      <c r="O584" s="137" t="str">
        <f>IF(Q584=" _","NO","SI")</f>
        <v>NO</v>
      </c>
      <c r="P584" s="24" t="str">
        <f ca="1">IF(color_Celda(E584)=12106214,"ROSA",IF(color_Celda(E584)=65535,"AMARILLO",IF(color_Celda(E584)=5296274,"VERDE",IF(color_Celda(E584)=16777215,"BLANCO","NO SE"))))</f>
        <v>AMARILLO</v>
      </c>
      <c r="Q584" s="70" t="s">
        <v>108</v>
      </c>
      <c r="R584" s="32" t="str">
        <f>VLOOKUP($Q584,Resultados!$A$1:$B$49,2,FALSE)</f>
        <v xml:space="preserve"> _</v>
      </c>
      <c r="S584" s="70"/>
      <c r="T584" s="73"/>
      <c r="U584" s="73"/>
      <c r="V584" s="68"/>
      <c r="W584" s="68"/>
      <c r="X584" s="68"/>
      <c r="Y584" s="199"/>
      <c r="Z584" s="68"/>
      <c r="AA584" s="68"/>
      <c r="AB584" s="68"/>
      <c r="AC584" s="68"/>
      <c r="AD584" s="68"/>
      <c r="AE584" s="358"/>
      <c r="AF584" s="68">
        <v>7</v>
      </c>
      <c r="AG584" s="68"/>
      <c r="AH584" s="68">
        <v>0</v>
      </c>
      <c r="AI584" s="68"/>
      <c r="AJ584" s="101" t="s">
        <v>988</v>
      </c>
      <c r="AK584" s="68"/>
      <c r="AL584" s="155" t="s">
        <v>1627</v>
      </c>
      <c r="AM584" s="431" t="str">
        <f>VLOOKUP($Q584,Resultados!$A$1:$C$49,3,FALSE)</f>
        <v>TRAMITE</v>
      </c>
    </row>
    <row r="585" spans="1:39" ht="39.950000000000003" customHeight="1">
      <c r="A585" s="373">
        <v>490</v>
      </c>
      <c r="B585" s="100">
        <v>45278</v>
      </c>
      <c r="C585" s="336" t="s">
        <v>923</v>
      </c>
      <c r="D585" s="96" t="s">
        <v>1286</v>
      </c>
      <c r="E585" s="98" t="s">
        <v>1287</v>
      </c>
      <c r="F585" s="107">
        <v>2</v>
      </c>
      <c r="G585" s="107"/>
      <c r="H585" s="100"/>
      <c r="I585" s="100"/>
      <c r="J585" s="100"/>
      <c r="K585" s="107" t="s">
        <v>1480</v>
      </c>
      <c r="L585" s="96" t="s">
        <v>2170</v>
      </c>
      <c r="M585" s="96"/>
      <c r="N585" s="107"/>
      <c r="O585" s="24" t="str">
        <f>IF(Q585=" _","NO","SI")</f>
        <v>SI</v>
      </c>
      <c r="P585" s="24" t="str">
        <f ca="1">IF(color_Celda(E585)=12106214,"ROSA",IF(color_Celda(E585)=65535,"AMARILLO",IF(color_Celda(E585)=5296274,"VERDE",IF(color_Celda(E585)=16777215,"BLANCO","NO SE"))))</f>
        <v>VERDE</v>
      </c>
      <c r="Q585" s="96" t="s">
        <v>3313</v>
      </c>
      <c r="R585" s="26" t="str">
        <f>VLOOKUP($Q585,Resultados!$A$1:$B$49,2,FALSE)</f>
        <v>VERDE</v>
      </c>
      <c r="S585" s="96"/>
      <c r="T585" s="99"/>
      <c r="U585" s="99"/>
      <c r="V585" s="107"/>
      <c r="W585" s="107"/>
      <c r="X585" s="107"/>
      <c r="Y585" s="64"/>
      <c r="Z585" s="107"/>
      <c r="AA585" s="107"/>
      <c r="AB585" s="107"/>
      <c r="AC585" s="107"/>
      <c r="AD585" s="107"/>
      <c r="AE585" s="414"/>
      <c r="AF585" s="107">
        <v>7</v>
      </c>
      <c r="AG585" s="107"/>
      <c r="AH585" s="107">
        <v>0</v>
      </c>
      <c r="AI585" s="107"/>
      <c r="AJ585" s="245" t="s">
        <v>988</v>
      </c>
      <c r="AK585" s="107"/>
      <c r="AL585" s="363" t="s">
        <v>1627</v>
      </c>
      <c r="AM585" s="431" t="str">
        <f>VLOOKUP($Q585,Resultados!$A$1:$C$49,3,FALSE)</f>
        <v>NO LLEGO</v>
      </c>
    </row>
    <row r="586" spans="1:39" ht="39.950000000000003" customHeight="1">
      <c r="A586" s="364">
        <v>491</v>
      </c>
      <c r="B586" s="38">
        <v>45278</v>
      </c>
      <c r="C586" s="337" t="s">
        <v>2321</v>
      </c>
      <c r="D586" s="32" t="s">
        <v>2319</v>
      </c>
      <c r="E586" s="40" t="s">
        <v>2320</v>
      </c>
      <c r="F586" s="39">
        <v>4</v>
      </c>
      <c r="G586" s="39" t="s">
        <v>325</v>
      </c>
      <c r="H586" s="38"/>
      <c r="I586" s="38"/>
      <c r="J586" s="38"/>
      <c r="K586" s="39" t="str">
        <f>IFERROR(VLOOKUP(J586,Jueces!$A$1:$B$11,2,FALSE),"")</f>
        <v/>
      </c>
      <c r="L586" s="32" t="s">
        <v>250</v>
      </c>
      <c r="M586" s="32" t="s">
        <v>45</v>
      </c>
      <c r="N586" s="32" t="s">
        <v>2271</v>
      </c>
      <c r="O586" s="24" t="str">
        <f>IF(Q586=" _","NO","SI")</f>
        <v>NO</v>
      </c>
      <c r="P586" s="24" t="str">
        <f ca="1">IF(color_Celda(E586)=12106214,"ROSA",IF(color_Celda(E586)=65535,"AMARILLO",IF(color_Celda(E586)=5296274,"VERDE",IF(color_Celda(E586)=16777215,"BLANCO","NO SE"))))</f>
        <v>AMARILLO</v>
      </c>
      <c r="Q586" s="32" t="s">
        <v>108</v>
      </c>
      <c r="R586" s="32" t="str">
        <f>VLOOKUP($Q586,Resultados!$A$1:$B$49,2,FALSE)</f>
        <v xml:space="preserve"> _</v>
      </c>
      <c r="S586" s="32"/>
      <c r="T586" s="37"/>
      <c r="U586" s="37"/>
      <c r="V586" s="39"/>
      <c r="W586" s="39"/>
      <c r="X586" s="39"/>
      <c r="Y586" s="64"/>
      <c r="Z586" s="39"/>
      <c r="AA586" s="39"/>
      <c r="AB586" s="39"/>
      <c r="AC586" s="39"/>
      <c r="AD586" s="39"/>
      <c r="AE586" s="110"/>
      <c r="AF586" s="39"/>
      <c r="AG586" s="39"/>
      <c r="AH586" s="39"/>
      <c r="AI586" s="39"/>
      <c r="AJ586" s="43" t="s">
        <v>988</v>
      </c>
      <c r="AK586" s="39"/>
      <c r="AL586" s="155" t="s">
        <v>1627</v>
      </c>
      <c r="AM586" s="431" t="str">
        <f>VLOOKUP($Q586,Resultados!$A$1:$C$49,3,FALSE)</f>
        <v>TRAMITE</v>
      </c>
    </row>
    <row r="587" spans="1:39" ht="39.950000000000003" customHeight="1">
      <c r="A587" s="364">
        <v>492</v>
      </c>
      <c r="B587" s="38">
        <v>45278</v>
      </c>
      <c r="C587" s="337" t="s">
        <v>2321</v>
      </c>
      <c r="D587" s="32" t="s">
        <v>2541</v>
      </c>
      <c r="E587" s="40" t="s">
        <v>2542</v>
      </c>
      <c r="F587" s="39">
        <v>4</v>
      </c>
      <c r="G587" s="39" t="s">
        <v>325</v>
      </c>
      <c r="H587" s="38"/>
      <c r="I587" s="38"/>
      <c r="J587" s="38"/>
      <c r="K587" s="39" t="s">
        <v>1480</v>
      </c>
      <c r="L587" s="70" t="s">
        <v>72</v>
      </c>
      <c r="M587" s="70" t="s">
        <v>226</v>
      </c>
      <c r="N587" s="32" t="s">
        <v>2271</v>
      </c>
      <c r="O587" s="137" t="str">
        <f>IF(Q587=" _","NO","SI")</f>
        <v>NO</v>
      </c>
      <c r="P587" s="24" t="str">
        <f ca="1">IF(color_Celda(E587)=12106214,"ROSA",IF(color_Celda(E587)=65535,"AMARILLO",IF(color_Celda(E587)=5296274,"VERDE",IF(color_Celda(E587)=16777215,"BLANCO","NO SE"))))</f>
        <v>AMARILLO</v>
      </c>
      <c r="Q587" s="32" t="s">
        <v>108</v>
      </c>
      <c r="R587" s="32" t="str">
        <f>VLOOKUP($Q587,Resultados!$A$1:$B$49,2,FALSE)</f>
        <v xml:space="preserve"> _</v>
      </c>
      <c r="S587" s="32"/>
      <c r="T587" s="73"/>
      <c r="U587" s="37"/>
      <c r="V587" s="39"/>
      <c r="W587" s="39"/>
      <c r="X587" s="39"/>
      <c r="Y587" s="199"/>
      <c r="Z587" s="39"/>
      <c r="AA587" s="39"/>
      <c r="AB587" s="39"/>
      <c r="AC587" s="39"/>
      <c r="AD587" s="39"/>
      <c r="AE587" s="110"/>
      <c r="AF587" s="39"/>
      <c r="AG587" s="39"/>
      <c r="AH587" s="39"/>
      <c r="AI587" s="39"/>
      <c r="AJ587" s="101" t="s">
        <v>988</v>
      </c>
      <c r="AK587" s="39"/>
      <c r="AL587" s="155" t="s">
        <v>1627</v>
      </c>
      <c r="AM587" s="431" t="str">
        <f>VLOOKUP($Q587,Resultados!$A$1:$C$49,3,FALSE)</f>
        <v>TRAMITE</v>
      </c>
    </row>
    <row r="588" spans="1:39" ht="39.950000000000003" customHeight="1">
      <c r="A588" s="364">
        <v>494</v>
      </c>
      <c r="B588" s="69">
        <v>45279</v>
      </c>
      <c r="C588" s="332" t="s">
        <v>12</v>
      </c>
      <c r="D588" s="70" t="s">
        <v>1292</v>
      </c>
      <c r="E588" s="92" t="s">
        <v>1293</v>
      </c>
      <c r="F588" s="68">
        <v>2</v>
      </c>
      <c r="G588" s="68" t="s">
        <v>325</v>
      </c>
      <c r="H588" s="69"/>
      <c r="I588" s="69"/>
      <c r="J588" s="69"/>
      <c r="K588" s="68" t="s">
        <v>1480</v>
      </c>
      <c r="L588" s="70" t="s">
        <v>72</v>
      </c>
      <c r="M588" s="70" t="s">
        <v>44</v>
      </c>
      <c r="N588" s="68" t="s">
        <v>1858</v>
      </c>
      <c r="O588" s="24" t="str">
        <f>IF(Q588=" _","NO","SI")</f>
        <v>NO</v>
      </c>
      <c r="P588" s="24" t="str">
        <f ca="1">IF(color_Celda(E588)=12106214,"ROSA",IF(color_Celda(E588)=65535,"AMARILLO",IF(color_Celda(E588)=5296274,"VERDE",IF(color_Celda(E588)=16777215,"BLANCO","NO SE"))))</f>
        <v>AMARILLO</v>
      </c>
      <c r="Q588" s="70" t="s">
        <v>108</v>
      </c>
      <c r="R588" s="32" t="str">
        <f>VLOOKUP($Q588,Resultados!$A$1:$B$49,2,FALSE)</f>
        <v xml:space="preserve"> _</v>
      </c>
      <c r="S588" s="70"/>
      <c r="T588" s="73"/>
      <c r="U588" s="73"/>
      <c r="V588" s="68"/>
      <c r="W588" s="68"/>
      <c r="X588" s="68"/>
      <c r="Y588" s="64"/>
      <c r="Z588" s="68"/>
      <c r="AA588" s="68"/>
      <c r="AB588" s="68"/>
      <c r="AC588" s="68"/>
      <c r="AD588" s="68"/>
      <c r="AE588" s="358"/>
      <c r="AF588" s="68">
        <v>7</v>
      </c>
      <c r="AG588" s="68"/>
      <c r="AH588" s="68">
        <v>0</v>
      </c>
      <c r="AI588" s="68"/>
      <c r="AJ588" s="101" t="s">
        <v>988</v>
      </c>
      <c r="AK588" s="68"/>
      <c r="AL588" s="155" t="s">
        <v>1627</v>
      </c>
      <c r="AM588" s="431" t="str">
        <f>VLOOKUP($Q588,Resultados!$A$1:$C$49,3,FALSE)</f>
        <v>TRAMITE</v>
      </c>
    </row>
    <row r="589" spans="1:39" ht="39.950000000000003" customHeight="1">
      <c r="A589" s="364">
        <v>496</v>
      </c>
      <c r="B589" s="35">
        <v>45279</v>
      </c>
      <c r="C589" s="331">
        <v>0.38541666666666669</v>
      </c>
      <c r="D589" s="32" t="s">
        <v>2343</v>
      </c>
      <c r="E589" s="40" t="s">
        <v>2344</v>
      </c>
      <c r="F589" s="39">
        <v>4</v>
      </c>
      <c r="G589" s="39" t="s">
        <v>325</v>
      </c>
      <c r="H589" s="38"/>
      <c r="I589" s="38"/>
      <c r="J589" s="38"/>
      <c r="K589" s="39" t="str">
        <f>IFERROR(VLOOKUP(J589,Jueces!$A$1:$B$11,2,FALSE),"")</f>
        <v/>
      </c>
      <c r="L589" s="32" t="s">
        <v>72</v>
      </c>
      <c r="M589" s="32" t="s">
        <v>1156</v>
      </c>
      <c r="N589" s="32" t="s">
        <v>1342</v>
      </c>
      <c r="O589" s="24" t="str">
        <f>IF(Q589=" _","NO","SI")</f>
        <v>NO</v>
      </c>
      <c r="P589" s="24" t="str">
        <f ca="1">IF(color_Celda(E589)=12106214,"ROSA",IF(color_Celda(E589)=65535,"AMARILLO",IF(color_Celda(E589)=5296274,"VERDE",IF(color_Celda(E589)=16777215,"BLANCO","NO SE"))))</f>
        <v>AMARILLO</v>
      </c>
      <c r="Q589" s="32" t="s">
        <v>108</v>
      </c>
      <c r="R589" s="32" t="str">
        <f>VLOOKUP($Q589,Resultados!$A$1:$B$49,2,FALSE)</f>
        <v xml:space="preserve"> _</v>
      </c>
      <c r="S589" s="32"/>
      <c r="T589" s="37"/>
      <c r="U589" s="37"/>
      <c r="V589" s="39"/>
      <c r="W589" s="39"/>
      <c r="X589" s="39"/>
      <c r="Y589" s="64"/>
      <c r="Z589" s="39"/>
      <c r="AA589" s="39"/>
      <c r="AB589" s="39"/>
      <c r="AC589" s="39"/>
      <c r="AD589" s="39"/>
      <c r="AE589" s="110"/>
      <c r="AF589" s="39"/>
      <c r="AG589" s="39"/>
      <c r="AH589" s="39"/>
      <c r="AI589" s="39"/>
      <c r="AJ589" s="43" t="s">
        <v>988</v>
      </c>
      <c r="AK589" s="39"/>
      <c r="AL589" s="155" t="s">
        <v>1627</v>
      </c>
      <c r="AM589" s="431" t="str">
        <f>VLOOKUP($Q589,Resultados!$A$1:$C$49,3,FALSE)</f>
        <v>TRAMITE</v>
      </c>
    </row>
    <row r="590" spans="1:39" ht="39.950000000000003" customHeight="1">
      <c r="A590" s="374">
        <v>500</v>
      </c>
      <c r="B590" s="264">
        <v>45280</v>
      </c>
      <c r="C590" s="335">
        <v>0.375</v>
      </c>
      <c r="D590" s="265" t="s">
        <v>1326</v>
      </c>
      <c r="E590" s="71" t="s">
        <v>1327</v>
      </c>
      <c r="F590" s="263">
        <v>4</v>
      </c>
      <c r="G590" s="263" t="s">
        <v>325</v>
      </c>
      <c r="H590" s="264"/>
      <c r="I590" s="264"/>
      <c r="J590" s="264"/>
      <c r="K590" s="263" t="s">
        <v>1480</v>
      </c>
      <c r="L590" s="265" t="s">
        <v>25</v>
      </c>
      <c r="M590" s="265" t="s">
        <v>242</v>
      </c>
      <c r="N590" s="265" t="s">
        <v>2422</v>
      </c>
      <c r="O590" s="266" t="str">
        <f>IF(Q590=" _","NO","SI")</f>
        <v>NO</v>
      </c>
      <c r="P590" s="24" t="str">
        <f ca="1">IF(color_Celda(E590)=12106214,"ROSA",IF(color_Celda(E590)=65535,"AMARILLO",IF(color_Celda(E590)=5296274,"VERDE",IF(color_Celda(E590)=16777215,"BLANCO","NO SE"))))</f>
        <v>AMARILLO</v>
      </c>
      <c r="Q590" s="265" t="s">
        <v>108</v>
      </c>
      <c r="R590" s="349" t="str">
        <f>VLOOKUP($Q590,Resultados!$A$1:$B$49,2,FALSE)</f>
        <v xml:space="preserve"> _</v>
      </c>
      <c r="S590" s="265"/>
      <c r="T590" s="346">
        <v>45351</v>
      </c>
      <c r="U590" s="268"/>
      <c r="V590" s="263"/>
      <c r="W590" s="263"/>
      <c r="X590" s="263"/>
      <c r="Y590" s="269"/>
      <c r="Z590" s="263"/>
      <c r="AA590" s="263"/>
      <c r="AB590" s="263"/>
      <c r="AC590" s="263"/>
      <c r="AD590" s="263"/>
      <c r="AE590" s="417"/>
      <c r="AF590" s="263">
        <v>7</v>
      </c>
      <c r="AG590" s="263"/>
      <c r="AH590" s="263">
        <v>0</v>
      </c>
      <c r="AI590" s="263"/>
      <c r="AJ590" s="420" t="s">
        <v>408</v>
      </c>
      <c r="AK590" s="263"/>
      <c r="AL590" s="345" t="s">
        <v>1627</v>
      </c>
      <c r="AM590" s="431" t="str">
        <f>VLOOKUP($Q590,Resultados!$A$1:$C$49,3,FALSE)</f>
        <v>TRAMITE</v>
      </c>
    </row>
    <row r="591" spans="1:39" ht="39.950000000000003" customHeight="1">
      <c r="A591" s="372">
        <v>502</v>
      </c>
      <c r="B591" s="85">
        <v>45281</v>
      </c>
      <c r="C591" s="325" t="s">
        <v>12</v>
      </c>
      <c r="D591" s="79" t="s">
        <v>1313</v>
      </c>
      <c r="E591" s="88" t="s">
        <v>1314</v>
      </c>
      <c r="F591" s="74">
        <v>7</v>
      </c>
      <c r="G591" s="74"/>
      <c r="H591" s="85"/>
      <c r="I591" s="85"/>
      <c r="J591" s="85"/>
      <c r="K591" s="74" t="s">
        <v>1480</v>
      </c>
      <c r="L591" s="79" t="s">
        <v>82</v>
      </c>
      <c r="M591" s="79"/>
      <c r="N591" s="74" t="s">
        <v>2657</v>
      </c>
      <c r="O591" s="24" t="str">
        <f>IF(Q591=" _","NO","SI")</f>
        <v>SI</v>
      </c>
      <c r="P591" s="24" t="str">
        <f ca="1">IF(color_Celda(E591)=12106214,"ROSA",IF(color_Celda(E591)=65535,"AMARILLO",IF(color_Celda(E591)=5296274,"VERDE",IF(color_Celda(E591)=16777215,"BLANCO","NO SE"))))</f>
        <v>ROSA</v>
      </c>
      <c r="Q591" s="79" t="s">
        <v>2437</v>
      </c>
      <c r="R591" s="16" t="str">
        <f>VLOOKUP($Q591,Resultados!$A$1:$B$49,2,FALSE)</f>
        <v>DEVUELTA AL JUZGADO DE ORIGEN</v>
      </c>
      <c r="S591" s="79"/>
      <c r="T591" s="86"/>
      <c r="U591" s="86"/>
      <c r="V591" s="74"/>
      <c r="W591" s="74"/>
      <c r="X591" s="74"/>
      <c r="Y591" s="64"/>
      <c r="Z591" s="74"/>
      <c r="AA591" s="74"/>
      <c r="AB591" s="74"/>
      <c r="AC591" s="74"/>
      <c r="AD591" s="74"/>
      <c r="AE591" s="87"/>
      <c r="AF591" s="74">
        <v>7</v>
      </c>
      <c r="AG591" s="74"/>
      <c r="AH591" s="74">
        <v>0</v>
      </c>
      <c r="AI591" s="74"/>
      <c r="AJ591" s="105" t="s">
        <v>988</v>
      </c>
      <c r="AK591" s="74"/>
      <c r="AL591" s="316" t="s">
        <v>1628</v>
      </c>
      <c r="AM591" s="431" t="str">
        <f>VLOOKUP($Q591,Resultados!$A$1:$C$49,3,FALSE)</f>
        <v>DEVUELTA</v>
      </c>
    </row>
    <row r="592" spans="1:39" ht="39.950000000000003" customHeight="1">
      <c r="A592" s="364">
        <v>504</v>
      </c>
      <c r="B592" s="69">
        <v>45281</v>
      </c>
      <c r="C592" s="332" t="s">
        <v>1211</v>
      </c>
      <c r="D592" s="70" t="s">
        <v>1317</v>
      </c>
      <c r="E592" s="92" t="s">
        <v>1318</v>
      </c>
      <c r="F592" s="68">
        <v>3</v>
      </c>
      <c r="G592" s="68" t="s">
        <v>1750</v>
      </c>
      <c r="H592" s="69"/>
      <c r="I592" s="69"/>
      <c r="J592" s="69"/>
      <c r="K592" s="68" t="s">
        <v>1480</v>
      </c>
      <c r="L592" s="70" t="s">
        <v>74</v>
      </c>
      <c r="M592" s="70"/>
      <c r="N592" s="70" t="s">
        <v>2558</v>
      </c>
      <c r="O592" s="137" t="str">
        <f>IF(Q592=" _","NO","SI")</f>
        <v>NO</v>
      </c>
      <c r="P592" s="24" t="str">
        <f ca="1">IF(color_Celda(E592)=12106214,"ROSA",IF(color_Celda(E592)=65535,"AMARILLO",IF(color_Celda(E592)=5296274,"VERDE",IF(color_Celda(E592)=16777215,"BLANCO","NO SE"))))</f>
        <v>AMARILLO</v>
      </c>
      <c r="Q592" s="70" t="s">
        <v>108</v>
      </c>
      <c r="R592" s="32" t="str">
        <f>VLOOKUP($Q592,Resultados!$A$1:$B$49,2,FALSE)</f>
        <v xml:space="preserve"> _</v>
      </c>
      <c r="S592" s="70"/>
      <c r="T592" s="73"/>
      <c r="U592" s="73"/>
      <c r="V592" s="68"/>
      <c r="W592" s="68"/>
      <c r="X592" s="68"/>
      <c r="Y592" s="199"/>
      <c r="Z592" s="68"/>
      <c r="AA592" s="68"/>
      <c r="AB592" s="68"/>
      <c r="AC592" s="68"/>
      <c r="AD592" s="68"/>
      <c r="AE592" s="358"/>
      <c r="AF592" s="68">
        <v>7</v>
      </c>
      <c r="AG592" s="68"/>
      <c r="AH592" s="68">
        <v>0</v>
      </c>
      <c r="AI592" s="68"/>
      <c r="AJ592" s="101" t="s">
        <v>988</v>
      </c>
      <c r="AK592" s="68"/>
      <c r="AL592" s="155" t="s">
        <v>1627</v>
      </c>
      <c r="AM592" s="431" t="str">
        <f>VLOOKUP($Q592,Resultados!$A$1:$C$49,3,FALSE)</f>
        <v>TRAMITE</v>
      </c>
    </row>
    <row r="593" spans="1:39" ht="39.950000000000003" customHeight="1">
      <c r="A593" s="364">
        <v>506</v>
      </c>
      <c r="B593" s="69">
        <v>45281</v>
      </c>
      <c r="C593" s="332" t="s">
        <v>891</v>
      </c>
      <c r="D593" s="70" t="s">
        <v>1319</v>
      </c>
      <c r="E593" s="92" t="s">
        <v>1320</v>
      </c>
      <c r="F593" s="68">
        <v>6</v>
      </c>
      <c r="G593" s="68"/>
      <c r="H593" s="69"/>
      <c r="I593" s="69"/>
      <c r="J593" s="69"/>
      <c r="K593" s="68" t="s">
        <v>1480</v>
      </c>
      <c r="L593" s="70" t="s">
        <v>82</v>
      </c>
      <c r="M593" s="70"/>
      <c r="N593" s="68" t="s">
        <v>2254</v>
      </c>
      <c r="O593" s="24" t="str">
        <f>IF(Q593=" _","NO","SI")</f>
        <v>NO</v>
      </c>
      <c r="P593" s="24" t="str">
        <f ca="1">IF(color_Celda(E593)=12106214,"ROSA",IF(color_Celda(E593)=65535,"AMARILLO",IF(color_Celda(E593)=5296274,"VERDE",IF(color_Celda(E593)=16777215,"BLANCO","NO SE"))))</f>
        <v>AMARILLO</v>
      </c>
      <c r="Q593" s="70" t="s">
        <v>108</v>
      </c>
      <c r="R593" s="32" t="str">
        <f>VLOOKUP($Q593,Resultados!$A$1:$B$49,2,FALSE)</f>
        <v xml:space="preserve"> _</v>
      </c>
      <c r="S593" s="70"/>
      <c r="T593" s="99"/>
      <c r="U593" s="99"/>
      <c r="V593" s="107"/>
      <c r="W593" s="68"/>
      <c r="X593" s="68"/>
      <c r="Y593" s="64"/>
      <c r="Z593" s="68"/>
      <c r="AA593" s="68"/>
      <c r="AB593" s="68"/>
      <c r="AC593" s="107"/>
      <c r="AD593" s="107"/>
      <c r="AE593" s="414"/>
      <c r="AF593" s="107">
        <v>7</v>
      </c>
      <c r="AG593" s="107"/>
      <c r="AH593" s="107">
        <v>0</v>
      </c>
      <c r="AI593" s="107"/>
      <c r="AJ593" s="101" t="s">
        <v>988</v>
      </c>
      <c r="AK593" s="68"/>
      <c r="AL593" s="155" t="s">
        <v>1627</v>
      </c>
      <c r="AM593" s="431" t="str">
        <f>VLOOKUP($Q593,Resultados!$A$1:$C$49,3,FALSE)</f>
        <v>TRAMITE</v>
      </c>
    </row>
    <row r="594" spans="1:39" ht="39.950000000000003" customHeight="1">
      <c r="A594" s="364">
        <v>507</v>
      </c>
      <c r="B594" s="38">
        <v>45281</v>
      </c>
      <c r="C594" s="337" t="s">
        <v>1010</v>
      </c>
      <c r="D594" s="32" t="s">
        <v>2552</v>
      </c>
      <c r="E594" s="40" t="s">
        <v>2553</v>
      </c>
      <c r="F594" s="39">
        <v>4</v>
      </c>
      <c r="G594" s="39" t="s">
        <v>325</v>
      </c>
      <c r="H594" s="38"/>
      <c r="I594" s="38"/>
      <c r="J594" s="38"/>
      <c r="K594" s="39" t="s">
        <v>1480</v>
      </c>
      <c r="L594" s="70" t="s">
        <v>74</v>
      </c>
      <c r="M594" s="70" t="s">
        <v>311</v>
      </c>
      <c r="N594" s="39" t="s">
        <v>1342</v>
      </c>
      <c r="O594" s="137" t="str">
        <f>IF(Q594=" _","NO","SI")</f>
        <v>NO</v>
      </c>
      <c r="P594" s="24" t="str">
        <f ca="1">IF(color_Celda(E594)=12106214,"ROSA",IF(color_Celda(E594)=65535,"AMARILLO",IF(color_Celda(E594)=5296274,"VERDE",IF(color_Celda(E594)=16777215,"BLANCO","NO SE"))))</f>
        <v>AMARILLO</v>
      </c>
      <c r="Q594" s="32" t="s">
        <v>108</v>
      </c>
      <c r="R594" s="32" t="str">
        <f>VLOOKUP($Q594,Resultados!$A$1:$B$49,2,FALSE)</f>
        <v xml:space="preserve"> _</v>
      </c>
      <c r="S594" s="32"/>
      <c r="T594" s="73"/>
      <c r="U594" s="37"/>
      <c r="V594" s="39"/>
      <c r="W594" s="39"/>
      <c r="X594" s="39"/>
      <c r="Y594" s="199"/>
      <c r="Z594" s="39"/>
      <c r="AA594" s="39"/>
      <c r="AB594" s="39"/>
      <c r="AC594" s="39"/>
      <c r="AD594" s="39"/>
      <c r="AE594" s="110"/>
      <c r="AF594" s="39"/>
      <c r="AG594" s="39"/>
      <c r="AH594" s="39"/>
      <c r="AI594" s="39"/>
      <c r="AJ594" s="101" t="s">
        <v>988</v>
      </c>
      <c r="AK594" s="39"/>
      <c r="AL594" s="155" t="s">
        <v>1627</v>
      </c>
      <c r="AM594" s="431" t="str">
        <f>VLOOKUP($Q594,Resultados!$A$1:$C$49,3,FALSE)</f>
        <v>TRAMITE</v>
      </c>
    </row>
    <row r="595" spans="1:39" ht="39.950000000000003" customHeight="1">
      <c r="A595" s="373">
        <v>510</v>
      </c>
      <c r="B595" s="97">
        <v>45282</v>
      </c>
      <c r="C595" s="336" t="s">
        <v>12</v>
      </c>
      <c r="D595" s="96" t="s">
        <v>1332</v>
      </c>
      <c r="E595" s="98" t="s">
        <v>1333</v>
      </c>
      <c r="F595" s="107">
        <v>6</v>
      </c>
      <c r="G595" s="107"/>
      <c r="H595" s="100"/>
      <c r="I595" s="100"/>
      <c r="J595" s="100"/>
      <c r="K595" s="107" t="s">
        <v>1480</v>
      </c>
      <c r="L595" s="96" t="s">
        <v>250</v>
      </c>
      <c r="M595" s="96"/>
      <c r="N595" s="107"/>
      <c r="O595" s="24" t="str">
        <f>IF(Q595=" _","NO","SI")</f>
        <v>SI</v>
      </c>
      <c r="P595" s="24" t="str">
        <f ca="1">IF(color_Celda(E595)=12106214,"ROSA",IF(color_Celda(E595)=65535,"AMARILLO",IF(color_Celda(E595)=5296274,"VERDE",IF(color_Celda(E595)=16777215,"BLANCO","NO SE"))))</f>
        <v>VERDE</v>
      </c>
      <c r="Q595" s="96" t="s">
        <v>3313</v>
      </c>
      <c r="R595" s="26" t="str">
        <f>VLOOKUP($Q595,Resultados!$A$1:$B$49,2,FALSE)</f>
        <v>VERDE</v>
      </c>
      <c r="S595" s="96"/>
      <c r="T595" s="99"/>
      <c r="U595" s="99"/>
      <c r="V595" s="107"/>
      <c r="W595" s="107"/>
      <c r="X595" s="107"/>
      <c r="Y595" s="64"/>
      <c r="Z595" s="107"/>
      <c r="AA595" s="107"/>
      <c r="AB595" s="107"/>
      <c r="AC595" s="107"/>
      <c r="AD595" s="107"/>
      <c r="AE595" s="414"/>
      <c r="AF595" s="107">
        <v>7</v>
      </c>
      <c r="AG595" s="107"/>
      <c r="AH595" s="107">
        <v>0</v>
      </c>
      <c r="AI595" s="107"/>
      <c r="AJ595" s="245" t="s">
        <v>988</v>
      </c>
      <c r="AK595" s="107"/>
      <c r="AL595" s="363" t="s">
        <v>1627</v>
      </c>
      <c r="AM595" s="431" t="str">
        <f>VLOOKUP($Q595,Resultados!$A$1:$C$49,3,FALSE)</f>
        <v>NO LLEGO</v>
      </c>
    </row>
    <row r="596" spans="1:39" ht="39.950000000000003" customHeight="1">
      <c r="A596" s="364">
        <v>511</v>
      </c>
      <c r="B596" s="69">
        <v>45282</v>
      </c>
      <c r="C596" s="332" t="s">
        <v>1334</v>
      </c>
      <c r="D596" s="70" t="s">
        <v>1335</v>
      </c>
      <c r="E596" s="92" t="s">
        <v>1336</v>
      </c>
      <c r="F596" s="68">
        <v>6</v>
      </c>
      <c r="G596" s="68" t="s">
        <v>326</v>
      </c>
      <c r="H596" s="69"/>
      <c r="I596" s="69"/>
      <c r="J596" s="69"/>
      <c r="K596" s="68" t="s">
        <v>1480</v>
      </c>
      <c r="L596" s="70" t="s">
        <v>250</v>
      </c>
      <c r="M596" s="70" t="s">
        <v>2587</v>
      </c>
      <c r="N596" s="68" t="s">
        <v>2588</v>
      </c>
      <c r="O596" s="137" t="str">
        <f>IF(Q596=" _","NO","SI")</f>
        <v>NO</v>
      </c>
      <c r="P596" s="24" t="str">
        <f ca="1">IF(color_Celda(E596)=12106214,"ROSA",IF(color_Celda(E596)=65535,"AMARILLO",IF(color_Celda(E596)=5296274,"VERDE",IF(color_Celda(E596)=16777215,"BLANCO","NO SE"))))</f>
        <v>AMARILLO</v>
      </c>
      <c r="Q596" s="70" t="s">
        <v>108</v>
      </c>
      <c r="R596" s="32" t="str">
        <f>VLOOKUP($Q596,Resultados!$A$1:$B$49,2,FALSE)</f>
        <v xml:space="preserve"> _</v>
      </c>
      <c r="S596" s="70"/>
      <c r="T596" s="73"/>
      <c r="U596" s="73"/>
      <c r="V596" s="68"/>
      <c r="W596" s="68"/>
      <c r="X596" s="68"/>
      <c r="Y596" s="199"/>
      <c r="Z596" s="68"/>
      <c r="AA596" s="68"/>
      <c r="AB596" s="68"/>
      <c r="AC596" s="68"/>
      <c r="AD596" s="68"/>
      <c r="AE596" s="358"/>
      <c r="AF596" s="68">
        <v>7</v>
      </c>
      <c r="AG596" s="68"/>
      <c r="AH596" s="68">
        <v>0</v>
      </c>
      <c r="AI596" s="68"/>
      <c r="AJ596" s="101" t="s">
        <v>988</v>
      </c>
      <c r="AK596" s="68"/>
      <c r="AL596" s="155" t="s">
        <v>1627</v>
      </c>
      <c r="AM596" s="431" t="str">
        <f>VLOOKUP($Q596,Resultados!$A$1:$C$49,3,FALSE)</f>
        <v>TRAMITE</v>
      </c>
    </row>
    <row r="597" spans="1:39" ht="39.950000000000003" customHeight="1">
      <c r="A597" s="364">
        <v>513</v>
      </c>
      <c r="B597" s="69">
        <v>45286</v>
      </c>
      <c r="C597" s="332" t="s">
        <v>981</v>
      </c>
      <c r="D597" s="70" t="s">
        <v>1346</v>
      </c>
      <c r="E597" s="92" t="s">
        <v>1855</v>
      </c>
      <c r="F597" s="68">
        <v>3</v>
      </c>
      <c r="G597" s="68" t="s">
        <v>325</v>
      </c>
      <c r="H597" s="69"/>
      <c r="I597" s="69"/>
      <c r="J597" s="69"/>
      <c r="K597" s="68" t="s">
        <v>1480</v>
      </c>
      <c r="L597" s="70" t="s">
        <v>79</v>
      </c>
      <c r="M597" s="70" t="s">
        <v>1394</v>
      </c>
      <c r="N597" s="70" t="s">
        <v>2055</v>
      </c>
      <c r="O597" s="24" t="str">
        <f>IF(Q597=" _","NO","SI")</f>
        <v>NO</v>
      </c>
      <c r="P597" s="24" t="str">
        <f ca="1">IF(color_Celda(E597)=12106214,"ROSA",IF(color_Celda(E597)=65535,"AMARILLO",IF(color_Celda(E597)=5296274,"VERDE",IF(color_Celda(E597)=16777215,"BLANCO","NO SE"))))</f>
        <v>AMARILLO</v>
      </c>
      <c r="Q597" s="70" t="s">
        <v>108</v>
      </c>
      <c r="R597" s="32" t="str">
        <f>VLOOKUP($Q597,Resultados!$A$1:$B$49,2,FALSE)</f>
        <v xml:space="preserve"> _</v>
      </c>
      <c r="S597" s="70"/>
      <c r="T597" s="73"/>
      <c r="U597" s="73"/>
      <c r="V597" s="68"/>
      <c r="W597" s="68"/>
      <c r="X597" s="68"/>
      <c r="Y597" s="64"/>
      <c r="Z597" s="68"/>
      <c r="AA597" s="68"/>
      <c r="AB597" s="68"/>
      <c r="AC597" s="68"/>
      <c r="AD597" s="68"/>
      <c r="AE597" s="358"/>
      <c r="AF597" s="68">
        <v>7</v>
      </c>
      <c r="AG597" s="68"/>
      <c r="AH597" s="68">
        <v>0</v>
      </c>
      <c r="AI597" s="68"/>
      <c r="AJ597" s="101" t="s">
        <v>988</v>
      </c>
      <c r="AK597" s="68"/>
      <c r="AL597" s="155" t="s">
        <v>1627</v>
      </c>
      <c r="AM597" s="431" t="str">
        <f>VLOOKUP($Q597,Resultados!$A$1:$C$49,3,FALSE)</f>
        <v>TRAMITE</v>
      </c>
    </row>
    <row r="598" spans="1:39" ht="39.950000000000003" customHeight="1">
      <c r="A598" s="364">
        <v>514</v>
      </c>
      <c r="B598" s="69">
        <v>45286</v>
      </c>
      <c r="C598" s="332" t="s">
        <v>12</v>
      </c>
      <c r="D598" s="70" t="s">
        <v>1347</v>
      </c>
      <c r="E598" s="92" t="s">
        <v>1348</v>
      </c>
      <c r="F598" s="68">
        <v>4</v>
      </c>
      <c r="G598" s="68" t="s">
        <v>325</v>
      </c>
      <c r="H598" s="69"/>
      <c r="I598" s="69"/>
      <c r="J598" s="69"/>
      <c r="K598" s="68" t="s">
        <v>1480</v>
      </c>
      <c r="L598" s="70" t="s">
        <v>72</v>
      </c>
      <c r="M598" s="70" t="s">
        <v>2513</v>
      </c>
      <c r="N598" s="68" t="s">
        <v>2271</v>
      </c>
      <c r="O598" s="137" t="str">
        <f>IF(Q598=" _","NO","SI")</f>
        <v>NO</v>
      </c>
      <c r="P598" s="24" t="str">
        <f ca="1">IF(color_Celda(E598)=12106214,"ROSA",IF(color_Celda(E598)=65535,"AMARILLO",IF(color_Celda(E598)=5296274,"VERDE",IF(color_Celda(E598)=16777215,"BLANCO","NO SE"))))</f>
        <v>AMARILLO</v>
      </c>
      <c r="Q598" s="70" t="s">
        <v>108</v>
      </c>
      <c r="R598" s="32" t="str">
        <f>VLOOKUP($Q598,Resultados!$A$1:$B$49,2,FALSE)</f>
        <v xml:space="preserve"> _</v>
      </c>
      <c r="S598" s="70"/>
      <c r="T598" s="73"/>
      <c r="U598" s="73"/>
      <c r="V598" s="68"/>
      <c r="W598" s="68"/>
      <c r="X598" s="68"/>
      <c r="Y598" s="199"/>
      <c r="Z598" s="68"/>
      <c r="AA598" s="68"/>
      <c r="AB598" s="68"/>
      <c r="AC598" s="68"/>
      <c r="AD598" s="68"/>
      <c r="AE598" s="358"/>
      <c r="AF598" s="68">
        <v>7</v>
      </c>
      <c r="AG598" s="68"/>
      <c r="AH598" s="68">
        <v>0</v>
      </c>
      <c r="AI598" s="68"/>
      <c r="AJ598" s="101" t="s">
        <v>988</v>
      </c>
      <c r="AK598" s="68"/>
      <c r="AL598" s="155" t="s">
        <v>1627</v>
      </c>
      <c r="AM598" s="431" t="str">
        <f>VLOOKUP($Q598,Resultados!$A$1:$C$49,3,FALSE)</f>
        <v>TRAMITE</v>
      </c>
    </row>
    <row r="599" spans="1:39" ht="39.950000000000003" customHeight="1">
      <c r="A599" s="364">
        <v>515</v>
      </c>
      <c r="B599" s="69">
        <v>45286</v>
      </c>
      <c r="C599" s="332" t="s">
        <v>12</v>
      </c>
      <c r="D599" s="70" t="s">
        <v>1360</v>
      </c>
      <c r="E599" s="92" t="s">
        <v>1349</v>
      </c>
      <c r="F599" s="68">
        <v>6</v>
      </c>
      <c r="G599" s="68" t="s">
        <v>326</v>
      </c>
      <c r="H599" s="69"/>
      <c r="I599" s="69"/>
      <c r="J599" s="69"/>
      <c r="K599" s="68" t="s">
        <v>1480</v>
      </c>
      <c r="L599" s="70" t="s">
        <v>127</v>
      </c>
      <c r="M599" s="70" t="s">
        <v>59</v>
      </c>
      <c r="N599" s="101" t="s">
        <v>1342</v>
      </c>
      <c r="O599" s="24" t="str">
        <f>IF(Q599=" _","NO","SI")</f>
        <v>NO</v>
      </c>
      <c r="P599" s="24" t="str">
        <f ca="1">IF(color_Celda(E599)=12106214,"ROSA",IF(color_Celda(E599)=65535,"AMARILLO",IF(color_Celda(E599)=5296274,"VERDE",IF(color_Celda(E599)=16777215,"BLANCO","NO SE"))))</f>
        <v>AMARILLO</v>
      </c>
      <c r="Q599" s="70" t="s">
        <v>108</v>
      </c>
      <c r="R599" s="32" t="str">
        <f>VLOOKUP($Q599,Resultados!$A$1:$B$49,2,FALSE)</f>
        <v xml:space="preserve"> _</v>
      </c>
      <c r="S599" s="70"/>
      <c r="T599" s="73"/>
      <c r="U599" s="73"/>
      <c r="V599" s="68"/>
      <c r="W599" s="68"/>
      <c r="X599" s="68"/>
      <c r="Y599" s="64"/>
      <c r="Z599" s="68"/>
      <c r="AA599" s="68"/>
      <c r="AB599" s="68"/>
      <c r="AC599" s="68"/>
      <c r="AD599" s="68"/>
      <c r="AE599" s="358"/>
      <c r="AF599" s="68">
        <v>7</v>
      </c>
      <c r="AG599" s="68"/>
      <c r="AH599" s="68">
        <v>0</v>
      </c>
      <c r="AI599" s="68"/>
      <c r="AJ599" s="101" t="s">
        <v>988</v>
      </c>
      <c r="AK599" s="68"/>
      <c r="AL599" s="363" t="s">
        <v>1627</v>
      </c>
      <c r="AM599" s="431" t="str">
        <f>VLOOKUP($Q599,Resultados!$A$1:$C$49,3,FALSE)</f>
        <v>TRAMITE</v>
      </c>
    </row>
    <row r="600" spans="1:39" ht="40.15" customHeight="1">
      <c r="A600" s="364">
        <v>517</v>
      </c>
      <c r="B600" s="69">
        <v>45286</v>
      </c>
      <c r="C600" s="332" t="s">
        <v>1352</v>
      </c>
      <c r="D600" s="70" t="s">
        <v>1353</v>
      </c>
      <c r="E600" s="92" t="s">
        <v>1354</v>
      </c>
      <c r="F600" s="68">
        <v>4</v>
      </c>
      <c r="G600" s="68" t="s">
        <v>325</v>
      </c>
      <c r="H600" s="69"/>
      <c r="I600" s="69"/>
      <c r="J600" s="69"/>
      <c r="K600" s="68" t="s">
        <v>1480</v>
      </c>
      <c r="L600" s="70" t="s">
        <v>83</v>
      </c>
      <c r="M600" s="103" t="s">
        <v>1355</v>
      </c>
      <c r="N600" s="101" t="s">
        <v>1342</v>
      </c>
      <c r="O600" s="24" t="str">
        <f>IF(Q600=" _","NO","SI")</f>
        <v>NO</v>
      </c>
      <c r="P600" s="24" t="str">
        <f ca="1">IF(color_Celda(E600)=12106214,"ROSA",IF(color_Celda(E600)=65535,"AMARILLO",IF(color_Celda(E600)=5296274,"VERDE",IF(color_Celda(E600)=16777215,"BLANCO","NO SE"))))</f>
        <v>AMARILLO</v>
      </c>
      <c r="Q600" s="70" t="s">
        <v>108</v>
      </c>
      <c r="R600" s="32" t="str">
        <f>VLOOKUP($Q600,Resultados!$A$1:$B$49,2,FALSE)</f>
        <v xml:space="preserve"> _</v>
      </c>
      <c r="S600" s="70"/>
      <c r="T600" s="73"/>
      <c r="U600" s="73"/>
      <c r="V600" s="68"/>
      <c r="W600" s="68"/>
      <c r="X600" s="68"/>
      <c r="Y600" s="64"/>
      <c r="Z600" s="68"/>
      <c r="AA600" s="68"/>
      <c r="AB600" s="68"/>
      <c r="AC600" s="68"/>
      <c r="AD600" s="68"/>
      <c r="AE600" s="358"/>
      <c r="AF600" s="68">
        <v>7</v>
      </c>
      <c r="AG600" s="68"/>
      <c r="AH600" s="68">
        <v>0</v>
      </c>
      <c r="AI600" s="68"/>
      <c r="AJ600" s="101" t="s">
        <v>988</v>
      </c>
      <c r="AK600" s="68">
        <v>1</v>
      </c>
      <c r="AL600" s="363" t="s">
        <v>1627</v>
      </c>
      <c r="AM600" s="431" t="str">
        <f>VLOOKUP($Q600,Resultados!$A$1:$C$49,3,FALSE)</f>
        <v>TRAMITE</v>
      </c>
    </row>
    <row r="601" spans="1:39" ht="40.15" customHeight="1">
      <c r="A601" s="364">
        <v>518</v>
      </c>
      <c r="B601" s="69">
        <v>45287</v>
      </c>
      <c r="C601" s="332" t="s">
        <v>1395</v>
      </c>
      <c r="D601" s="70" t="s">
        <v>1396</v>
      </c>
      <c r="E601" s="92" t="s">
        <v>1397</v>
      </c>
      <c r="F601" s="68">
        <v>6</v>
      </c>
      <c r="G601" s="68" t="s">
        <v>326</v>
      </c>
      <c r="H601" s="69"/>
      <c r="I601" s="69"/>
      <c r="J601" s="69"/>
      <c r="K601" s="68" t="s">
        <v>1480</v>
      </c>
      <c r="L601" s="70" t="s">
        <v>83</v>
      </c>
      <c r="M601" s="70" t="s">
        <v>61</v>
      </c>
      <c r="N601" s="101" t="s">
        <v>1342</v>
      </c>
      <c r="O601" s="24" t="str">
        <f>IF(Q601=" _","NO","SI")</f>
        <v>NO</v>
      </c>
      <c r="P601" s="24" t="str">
        <f ca="1">IF(color_Celda(E601)=12106214,"ROSA",IF(color_Celda(E601)=65535,"AMARILLO",IF(color_Celda(E601)=5296274,"VERDE",IF(color_Celda(E601)=16777215,"BLANCO","NO SE"))))</f>
        <v>AMARILLO</v>
      </c>
      <c r="Q601" s="70" t="s">
        <v>108</v>
      </c>
      <c r="R601" s="32" t="str">
        <f>VLOOKUP($Q601,Resultados!$A$1:$B$49,2,FALSE)</f>
        <v xml:space="preserve"> _</v>
      </c>
      <c r="S601" s="70"/>
      <c r="T601" s="73"/>
      <c r="U601" s="73"/>
      <c r="V601" s="68"/>
      <c r="W601" s="68"/>
      <c r="X601" s="68"/>
      <c r="Y601" s="64"/>
      <c r="Z601" s="68"/>
      <c r="AA601" s="68"/>
      <c r="AB601" s="68"/>
      <c r="AC601" s="68"/>
      <c r="AD601" s="68"/>
      <c r="AE601" s="358"/>
      <c r="AF601" s="68">
        <v>7</v>
      </c>
      <c r="AG601" s="68"/>
      <c r="AH601" s="68"/>
      <c r="AI601" s="68"/>
      <c r="AJ601" s="101" t="s">
        <v>988</v>
      </c>
      <c r="AK601" s="68"/>
      <c r="AL601" s="363" t="s">
        <v>1627</v>
      </c>
      <c r="AM601" s="431" t="str">
        <f>VLOOKUP($Q601,Resultados!$A$1:$C$49,3,FALSE)</f>
        <v>TRAMITE</v>
      </c>
    </row>
    <row r="602" spans="1:39" ht="40.15" customHeight="1">
      <c r="A602" s="364">
        <v>520</v>
      </c>
      <c r="B602" s="69">
        <v>45288</v>
      </c>
      <c r="C602" s="332" t="s">
        <v>12</v>
      </c>
      <c r="D602" s="70" t="s">
        <v>1383</v>
      </c>
      <c r="E602" s="92" t="s">
        <v>1384</v>
      </c>
      <c r="F602" s="68">
        <v>6</v>
      </c>
      <c r="G602" s="68" t="s">
        <v>326</v>
      </c>
      <c r="H602" s="69"/>
      <c r="I602" s="69"/>
      <c r="J602" s="69"/>
      <c r="K602" s="68"/>
      <c r="L602" s="70" t="s">
        <v>74</v>
      </c>
      <c r="M602" s="70"/>
      <c r="N602" s="101" t="s">
        <v>1439</v>
      </c>
      <c r="O602" s="24" t="str">
        <f>IF(Q602=" _","NO","SI")</f>
        <v>NO</v>
      </c>
      <c r="P602" s="24" t="str">
        <f ca="1">IF(color_Celda(E602)=12106214,"ROSA",IF(color_Celda(E602)=65535,"AMARILLO",IF(color_Celda(E602)=5296274,"VERDE",IF(color_Celda(E602)=16777215,"BLANCO","NO SE"))))</f>
        <v>AMARILLO</v>
      </c>
      <c r="Q602" s="70" t="s">
        <v>108</v>
      </c>
      <c r="R602" s="32" t="str">
        <f>VLOOKUP($Q602,Resultados!$A$1:$B$49,2,FALSE)</f>
        <v xml:space="preserve"> _</v>
      </c>
      <c r="S602" s="70"/>
      <c r="T602" s="73"/>
      <c r="U602" s="73"/>
      <c r="V602" s="68"/>
      <c r="W602" s="68"/>
      <c r="X602" s="68"/>
      <c r="Y602" s="64"/>
      <c r="Z602" s="68"/>
      <c r="AA602" s="68"/>
      <c r="AB602" s="68"/>
      <c r="AC602" s="68"/>
      <c r="AD602" s="68"/>
      <c r="AE602" s="358"/>
      <c r="AF602" s="68">
        <v>7</v>
      </c>
      <c r="AG602" s="68"/>
      <c r="AH602" s="68"/>
      <c r="AI602" s="68"/>
      <c r="AJ602" s="101" t="s">
        <v>988</v>
      </c>
      <c r="AK602" s="68">
        <v>0</v>
      </c>
      <c r="AL602" s="363" t="s">
        <v>1627</v>
      </c>
      <c r="AM602" s="431" t="str">
        <f>VLOOKUP($Q602,Resultados!$A$1:$C$49,3,FALSE)</f>
        <v>TRAMITE</v>
      </c>
    </row>
    <row r="603" spans="1:39" ht="40.15" customHeight="1">
      <c r="A603" s="364">
        <v>523</v>
      </c>
      <c r="B603" s="69">
        <v>45288</v>
      </c>
      <c r="C603" s="332" t="s">
        <v>1388</v>
      </c>
      <c r="D603" s="70" t="s">
        <v>1389</v>
      </c>
      <c r="E603" s="92" t="s">
        <v>1390</v>
      </c>
      <c r="F603" s="68">
        <v>4</v>
      </c>
      <c r="G603" s="68" t="s">
        <v>325</v>
      </c>
      <c r="H603" s="69"/>
      <c r="I603" s="69"/>
      <c r="J603" s="69"/>
      <c r="K603" s="68" t="s">
        <v>1480</v>
      </c>
      <c r="L603" s="70" t="s">
        <v>73</v>
      </c>
      <c r="M603" s="70" t="s">
        <v>47</v>
      </c>
      <c r="N603" s="101" t="s">
        <v>2271</v>
      </c>
      <c r="O603" s="24" t="str">
        <f>IF(Q603=" _","NO","SI")</f>
        <v>NO</v>
      </c>
      <c r="P603" s="24" t="str">
        <f ca="1">IF(color_Celda(E603)=12106214,"ROSA",IF(color_Celda(E603)=65535,"AMARILLO",IF(color_Celda(E603)=5296274,"VERDE",IF(color_Celda(E603)=16777215,"BLANCO","NO SE"))))</f>
        <v>AMARILLO</v>
      </c>
      <c r="Q603" s="70" t="s">
        <v>108</v>
      </c>
      <c r="R603" s="32" t="str">
        <f>VLOOKUP($Q603,Resultados!$A$1:$B$49,2,FALSE)</f>
        <v xml:space="preserve"> _</v>
      </c>
      <c r="S603" s="70"/>
      <c r="T603" s="73"/>
      <c r="U603" s="73"/>
      <c r="V603" s="68"/>
      <c r="W603" s="68"/>
      <c r="X603" s="68"/>
      <c r="Y603" s="64"/>
      <c r="Z603" s="68"/>
      <c r="AA603" s="68"/>
      <c r="AB603" s="68"/>
      <c r="AC603" s="68"/>
      <c r="AD603" s="68"/>
      <c r="AE603" s="358"/>
      <c r="AF603" s="68">
        <v>7</v>
      </c>
      <c r="AG603" s="68"/>
      <c r="AH603" s="68"/>
      <c r="AI603" s="68"/>
      <c r="AJ603" s="101" t="s">
        <v>988</v>
      </c>
      <c r="AK603" s="68"/>
      <c r="AL603" s="363" t="s">
        <v>1627</v>
      </c>
      <c r="AM603" s="431" t="str">
        <f>VLOOKUP($Q603,Resultados!$A$1:$C$49,3,FALSE)</f>
        <v>TRAMITE</v>
      </c>
    </row>
    <row r="604" spans="1:39" ht="40.15" customHeight="1">
      <c r="A604" s="364">
        <v>524</v>
      </c>
      <c r="B604" s="69">
        <v>45289</v>
      </c>
      <c r="C604" s="329"/>
      <c r="D604" s="70" t="s">
        <v>743</v>
      </c>
      <c r="E604" s="92" t="s">
        <v>1877</v>
      </c>
      <c r="F604" s="68">
        <v>3</v>
      </c>
      <c r="G604" s="68" t="s">
        <v>1750</v>
      </c>
      <c r="H604" s="69"/>
      <c r="I604" s="69"/>
      <c r="J604" s="69"/>
      <c r="K604" s="68" t="s">
        <v>1480</v>
      </c>
      <c r="L604" s="70" t="s">
        <v>83</v>
      </c>
      <c r="M604" s="70" t="s">
        <v>1355</v>
      </c>
      <c r="N604" s="70" t="s">
        <v>1418</v>
      </c>
      <c r="O604" s="24" t="str">
        <f>IF(Q604=" _","NO","SI")</f>
        <v>NO</v>
      </c>
      <c r="P604" s="24" t="str">
        <f ca="1">IF(color_Celda(E604)=12106214,"ROSA",IF(color_Celda(E604)=65535,"AMARILLO",IF(color_Celda(E604)=5296274,"VERDE",IF(color_Celda(E604)=16777215,"BLANCO","NO SE"))))</f>
        <v>AMARILLO</v>
      </c>
      <c r="Q604" s="70" t="s">
        <v>108</v>
      </c>
      <c r="R604" s="32" t="str">
        <f>VLOOKUP($Q604,Resultados!$A$1:$B$49,2,FALSE)</f>
        <v xml:space="preserve"> _</v>
      </c>
      <c r="S604" s="70"/>
      <c r="T604" s="73"/>
      <c r="U604" s="73"/>
      <c r="V604" s="68"/>
      <c r="W604" s="68"/>
      <c r="X604" s="68"/>
      <c r="Y604" s="64"/>
      <c r="Z604" s="68"/>
      <c r="AA604" s="68"/>
      <c r="AB604" s="68"/>
      <c r="AC604" s="68"/>
      <c r="AD604" s="68"/>
      <c r="AE604" s="358"/>
      <c r="AF604" s="68">
        <v>7</v>
      </c>
      <c r="AG604" s="68"/>
      <c r="AH604" s="68">
        <v>0</v>
      </c>
      <c r="AI604" s="68"/>
      <c r="AJ604" s="101" t="s">
        <v>988</v>
      </c>
      <c r="AK604" s="68"/>
      <c r="AL604" s="363" t="s">
        <v>1627</v>
      </c>
      <c r="AM604" s="431" t="str">
        <f>VLOOKUP($Q604,Resultados!$A$1:$C$49,3,FALSE)</f>
        <v>TRAMITE</v>
      </c>
    </row>
    <row r="605" spans="1:39" ht="40.15" customHeight="1">
      <c r="A605" s="364">
        <v>525</v>
      </c>
      <c r="B605" s="69">
        <v>45289</v>
      </c>
      <c r="C605" s="332" t="s">
        <v>1400</v>
      </c>
      <c r="D605" s="70" t="s">
        <v>258</v>
      </c>
      <c r="E605" s="109" t="s">
        <v>1432</v>
      </c>
      <c r="F605" s="70">
        <v>1</v>
      </c>
      <c r="G605" s="70" t="s">
        <v>326</v>
      </c>
      <c r="H605" s="72"/>
      <c r="I605" s="72"/>
      <c r="J605" s="72"/>
      <c r="K605" s="70"/>
      <c r="L605" s="70" t="s">
        <v>25</v>
      </c>
      <c r="M605" s="70" t="s">
        <v>157</v>
      </c>
      <c r="N605" s="70" t="s">
        <v>3124</v>
      </c>
      <c r="O605" s="24" t="str">
        <f>IF(Q605=" _","NO","SI")</f>
        <v>NO</v>
      </c>
      <c r="P605" s="24" t="str">
        <f ca="1">IF(color_Celda(E605)=12106214,"ROSA",IF(color_Celda(E605)=65535,"AMARILLO",IF(color_Celda(E605)=5296274,"VERDE",IF(color_Celda(E605)=16777215,"BLANCO","NO SE"))))</f>
        <v>AMARILLO</v>
      </c>
      <c r="Q605" s="70" t="s">
        <v>108</v>
      </c>
      <c r="R605" s="32" t="str">
        <f>VLOOKUP($Q605,Resultados!$A$1:$B$49,2,FALSE)</f>
        <v xml:space="preserve"> _</v>
      </c>
      <c r="S605" s="70"/>
      <c r="T605" s="73"/>
      <c r="U605" s="73"/>
      <c r="V605" s="68"/>
      <c r="W605" s="68"/>
      <c r="X605" s="68"/>
      <c r="Y605" s="64"/>
      <c r="Z605" s="68"/>
      <c r="AA605" s="68"/>
      <c r="AB605" s="68"/>
      <c r="AC605" s="68"/>
      <c r="AD605" s="68"/>
      <c r="AE605" s="358"/>
      <c r="AF605" s="68"/>
      <c r="AG605" s="68"/>
      <c r="AH605" s="68"/>
      <c r="AI605" s="68"/>
      <c r="AJ605" s="101" t="s">
        <v>408</v>
      </c>
      <c r="AK605" s="68"/>
      <c r="AL605" s="363" t="s">
        <v>1627</v>
      </c>
      <c r="AM605" s="431" t="str">
        <f>VLOOKUP($Q605,Resultados!$A$1:$C$49,3,FALSE)</f>
        <v>TRAMITE</v>
      </c>
    </row>
    <row r="606" spans="1:39" ht="40.15" customHeight="1">
      <c r="A606" s="364">
        <v>526</v>
      </c>
      <c r="B606" s="69">
        <v>45289</v>
      </c>
      <c r="C606" s="332" t="s">
        <v>12</v>
      </c>
      <c r="D606" s="70" t="s">
        <v>1401</v>
      </c>
      <c r="E606" s="92" t="s">
        <v>1402</v>
      </c>
      <c r="F606" s="68">
        <v>5</v>
      </c>
      <c r="G606" s="70" t="s">
        <v>10</v>
      </c>
      <c r="H606" s="69"/>
      <c r="I606" s="69"/>
      <c r="J606" s="69"/>
      <c r="K606" s="68" t="s">
        <v>1480</v>
      </c>
      <c r="L606" s="70" t="s">
        <v>72</v>
      </c>
      <c r="M606" s="70" t="s">
        <v>260</v>
      </c>
      <c r="N606" s="68"/>
      <c r="O606" s="24" t="str">
        <f>IF(Q606=" _","NO","SI")</f>
        <v>NO</v>
      </c>
      <c r="P606" s="24" t="str">
        <f ca="1">IF(color_Celda(E606)=12106214,"ROSA",IF(color_Celda(E606)=65535,"AMARILLO",IF(color_Celda(E606)=5296274,"VERDE",IF(color_Celda(E606)=16777215,"BLANCO","NO SE"))))</f>
        <v>AMARILLO</v>
      </c>
      <c r="Q606" s="70" t="s">
        <v>108</v>
      </c>
      <c r="R606" s="32" t="str">
        <f>VLOOKUP($Q606,Resultados!$A$1:$B$49,2,FALSE)</f>
        <v xml:space="preserve"> _</v>
      </c>
      <c r="S606" s="70"/>
      <c r="T606" s="73"/>
      <c r="U606" s="73"/>
      <c r="V606" s="68"/>
      <c r="W606" s="68"/>
      <c r="X606" s="68"/>
      <c r="Y606" s="64"/>
      <c r="Z606" s="68"/>
      <c r="AA606" s="68"/>
      <c r="AB606" s="68"/>
      <c r="AC606" s="68"/>
      <c r="AD606" s="68"/>
      <c r="AE606" s="358"/>
      <c r="AF606" s="68"/>
      <c r="AG606" s="68"/>
      <c r="AH606" s="68"/>
      <c r="AI606" s="68"/>
      <c r="AJ606" s="101" t="s">
        <v>988</v>
      </c>
      <c r="AK606" s="68"/>
      <c r="AL606" s="363" t="s">
        <v>1627</v>
      </c>
      <c r="AM606" s="431" t="str">
        <f>VLOOKUP($Q606,Resultados!$A$1:$C$49,3,FALSE)</f>
        <v>TRAMITE</v>
      </c>
    </row>
    <row r="607" spans="1:39" ht="40.15" customHeight="1">
      <c r="A607" s="364">
        <v>527</v>
      </c>
      <c r="B607" s="69">
        <v>45289</v>
      </c>
      <c r="C607" s="329">
        <v>0.33333333333333331</v>
      </c>
      <c r="D607" s="70" t="s">
        <v>1403</v>
      </c>
      <c r="E607" s="92" t="s">
        <v>1404</v>
      </c>
      <c r="F607" s="68">
        <v>5</v>
      </c>
      <c r="G607" s="68" t="s">
        <v>10</v>
      </c>
      <c r="H607" s="69"/>
      <c r="I607" s="69"/>
      <c r="J607" s="69"/>
      <c r="K607" s="68" t="s">
        <v>1480</v>
      </c>
      <c r="L607" s="70" t="s">
        <v>85</v>
      </c>
      <c r="M607" s="70" t="s">
        <v>47</v>
      </c>
      <c r="N607" s="68" t="s">
        <v>2817</v>
      </c>
      <c r="O607" s="137" t="str">
        <f>IF(Q607=" _","NO","SI")</f>
        <v>NO</v>
      </c>
      <c r="P607" s="24" t="str">
        <f ca="1">IF(color_Celda(E607)=12106214,"ROSA",IF(color_Celda(E607)=65535,"AMARILLO",IF(color_Celda(E607)=5296274,"VERDE",IF(color_Celda(E607)=16777215,"BLANCO","NO SE"))))</f>
        <v>AMARILLO</v>
      </c>
      <c r="Q607" s="70" t="s">
        <v>108</v>
      </c>
      <c r="R607" s="32" t="str">
        <f>VLOOKUP($Q607,Resultados!$A$1:$B$49,2,FALSE)</f>
        <v xml:space="preserve"> _</v>
      </c>
      <c r="S607" s="70"/>
      <c r="T607" s="73"/>
      <c r="U607" s="73"/>
      <c r="V607" s="68"/>
      <c r="W607" s="68"/>
      <c r="X607" s="68"/>
      <c r="Y607" s="199"/>
      <c r="Z607" s="68"/>
      <c r="AA607" s="68"/>
      <c r="AB607" s="68"/>
      <c r="AC607" s="68"/>
      <c r="AD607" s="68"/>
      <c r="AE607" s="358"/>
      <c r="AF607" s="68"/>
      <c r="AG607" s="68"/>
      <c r="AH607" s="68"/>
      <c r="AI607" s="68"/>
      <c r="AJ607" s="101" t="s">
        <v>988</v>
      </c>
      <c r="AK607" s="68"/>
      <c r="AL607" s="155" t="s">
        <v>1627</v>
      </c>
      <c r="AM607" s="431" t="str">
        <f>VLOOKUP($Q607,Resultados!$A$1:$C$49,3,FALSE)</f>
        <v>TRAMITE</v>
      </c>
    </row>
    <row r="608" spans="1:39" ht="40.15" customHeight="1">
      <c r="A608" s="364">
        <v>528</v>
      </c>
      <c r="B608" s="69">
        <v>45289</v>
      </c>
      <c r="C608" s="332" t="s">
        <v>12</v>
      </c>
      <c r="D608" s="70" t="s">
        <v>1405</v>
      </c>
      <c r="E608" s="92" t="s">
        <v>1406</v>
      </c>
      <c r="F608" s="68">
        <v>6</v>
      </c>
      <c r="G608" s="68" t="s">
        <v>326</v>
      </c>
      <c r="H608" s="69"/>
      <c r="I608" s="69"/>
      <c r="J608" s="69"/>
      <c r="K608" s="68" t="s">
        <v>1480</v>
      </c>
      <c r="L608" s="70" t="s">
        <v>79</v>
      </c>
      <c r="M608" s="70" t="s">
        <v>62</v>
      </c>
      <c r="N608" s="101" t="s">
        <v>1342</v>
      </c>
      <c r="O608" s="24" t="str">
        <f>IF(Q608=" _","NO","SI")</f>
        <v>NO</v>
      </c>
      <c r="P608" s="24" t="str">
        <f ca="1">IF(color_Celda(E608)=12106214,"ROSA",IF(color_Celda(E608)=65535,"AMARILLO",IF(color_Celda(E608)=5296274,"VERDE",IF(color_Celda(E608)=16777215,"BLANCO","NO SE"))))</f>
        <v>AMARILLO</v>
      </c>
      <c r="Q608" s="70" t="s">
        <v>108</v>
      </c>
      <c r="R608" s="32" t="str">
        <f>VLOOKUP($Q608,Resultados!$A$1:$B$49,2,FALSE)</f>
        <v xml:space="preserve"> _</v>
      </c>
      <c r="S608" s="70"/>
      <c r="T608" s="73"/>
      <c r="U608" s="73"/>
      <c r="V608" s="68"/>
      <c r="W608" s="68"/>
      <c r="X608" s="68"/>
      <c r="Y608" s="64"/>
      <c r="Z608" s="68"/>
      <c r="AA608" s="68"/>
      <c r="AB608" s="68"/>
      <c r="AC608" s="68"/>
      <c r="AD608" s="68"/>
      <c r="AE608" s="358"/>
      <c r="AF608" s="68"/>
      <c r="AG608" s="68"/>
      <c r="AH608" s="68"/>
      <c r="AI608" s="68"/>
      <c r="AJ608" s="101" t="s">
        <v>988</v>
      </c>
      <c r="AK608" s="68"/>
      <c r="AL608" s="363" t="s">
        <v>1627</v>
      </c>
      <c r="AM608" s="431" t="str">
        <f>VLOOKUP($Q608,Resultados!$A$1:$C$49,3,FALSE)</f>
        <v>TRAMITE</v>
      </c>
    </row>
    <row r="609" spans="1:39" ht="40.15" customHeight="1">
      <c r="A609" s="364">
        <v>529</v>
      </c>
      <c r="B609" s="69">
        <v>45289</v>
      </c>
      <c r="C609" s="332" t="s">
        <v>12</v>
      </c>
      <c r="D609" s="70" t="s">
        <v>1407</v>
      </c>
      <c r="E609" s="92" t="s">
        <v>1408</v>
      </c>
      <c r="F609" s="68">
        <v>5</v>
      </c>
      <c r="G609" s="68" t="s">
        <v>326</v>
      </c>
      <c r="H609" s="69"/>
      <c r="I609" s="69"/>
      <c r="J609" s="69"/>
      <c r="K609" s="68" t="s">
        <v>1480</v>
      </c>
      <c r="L609" s="70" t="s">
        <v>73</v>
      </c>
      <c r="M609" s="70" t="s">
        <v>226</v>
      </c>
      <c r="N609" s="68"/>
      <c r="O609" s="24" t="str">
        <f>IF(Q609=" _","NO","SI")</f>
        <v>NO</v>
      </c>
      <c r="P609" s="24" t="str">
        <f ca="1">IF(color_Celda(E609)=12106214,"ROSA",IF(color_Celda(E609)=65535,"AMARILLO",IF(color_Celda(E609)=5296274,"VERDE",IF(color_Celda(E609)=16777215,"BLANCO","NO SE"))))</f>
        <v>AMARILLO</v>
      </c>
      <c r="Q609" s="70" t="s">
        <v>108</v>
      </c>
      <c r="R609" s="32" t="str">
        <f>VLOOKUP($Q609,Resultados!$A$1:$B$49,2,FALSE)</f>
        <v xml:space="preserve"> _</v>
      </c>
      <c r="S609" s="70"/>
      <c r="T609" s="73"/>
      <c r="U609" s="73"/>
      <c r="V609" s="68"/>
      <c r="W609" s="68"/>
      <c r="X609" s="68"/>
      <c r="Y609" s="64"/>
      <c r="Z609" s="68"/>
      <c r="AA609" s="68"/>
      <c r="AB609" s="68"/>
      <c r="AC609" s="68"/>
      <c r="AD609" s="68"/>
      <c r="AE609" s="358"/>
      <c r="AF609" s="68"/>
      <c r="AG609" s="68"/>
      <c r="AH609" s="68"/>
      <c r="AI609" s="68"/>
      <c r="AJ609" s="101" t="s">
        <v>988</v>
      </c>
      <c r="AK609" s="68"/>
      <c r="AL609" s="155" t="s">
        <v>1627</v>
      </c>
      <c r="AM609" s="431" t="str">
        <f>VLOOKUP($Q609,Resultados!$A$1:$C$49,3,FALSE)</f>
        <v>TRAMITE</v>
      </c>
    </row>
    <row r="610" spans="1:39" ht="40.15" customHeight="1">
      <c r="A610" s="364">
        <v>530</v>
      </c>
      <c r="B610" s="69">
        <v>45289</v>
      </c>
      <c r="C610" s="332" t="s">
        <v>12</v>
      </c>
      <c r="D610" s="70" t="s">
        <v>1409</v>
      </c>
      <c r="E610" s="92" t="s">
        <v>1410</v>
      </c>
      <c r="F610" s="68">
        <v>6</v>
      </c>
      <c r="G610" s="68" t="s">
        <v>326</v>
      </c>
      <c r="H610" s="69"/>
      <c r="I610" s="69"/>
      <c r="J610" s="69"/>
      <c r="K610" s="68" t="s">
        <v>1480</v>
      </c>
      <c r="L610" s="70" t="s">
        <v>77</v>
      </c>
      <c r="M610" s="70" t="s">
        <v>270</v>
      </c>
      <c r="N610" s="101" t="s">
        <v>1342</v>
      </c>
      <c r="O610" s="24" t="str">
        <f>IF(Q610=" _","NO","SI")</f>
        <v>NO</v>
      </c>
      <c r="P610" s="24" t="str">
        <f ca="1">IF(color_Celda(E610)=12106214,"ROSA",IF(color_Celda(E610)=65535,"AMARILLO",IF(color_Celda(E610)=5296274,"VERDE",IF(color_Celda(E610)=16777215,"BLANCO","NO SE"))))</f>
        <v>AMARILLO</v>
      </c>
      <c r="Q610" s="70" t="s">
        <v>108</v>
      </c>
      <c r="R610" s="32" t="str">
        <f>VLOOKUP($Q610,Resultados!$A$1:$B$49,2,FALSE)</f>
        <v xml:space="preserve"> _</v>
      </c>
      <c r="S610" s="70"/>
      <c r="T610" s="73"/>
      <c r="U610" s="73"/>
      <c r="V610" s="68"/>
      <c r="W610" s="68"/>
      <c r="X610" s="68"/>
      <c r="Y610" s="64"/>
      <c r="Z610" s="68"/>
      <c r="AA610" s="68"/>
      <c r="AB610" s="68"/>
      <c r="AC610" s="68"/>
      <c r="AD610" s="68"/>
      <c r="AE610" s="358"/>
      <c r="AF610" s="68"/>
      <c r="AG610" s="68"/>
      <c r="AH610" s="68"/>
      <c r="AI610" s="68"/>
      <c r="AJ610" s="101" t="s">
        <v>988</v>
      </c>
      <c r="AK610" s="68"/>
      <c r="AL610" s="363" t="s">
        <v>1627</v>
      </c>
      <c r="AM610" s="431" t="str">
        <f>VLOOKUP($Q610,Resultados!$A$1:$C$49,3,FALSE)</f>
        <v>TRAMITE</v>
      </c>
    </row>
    <row r="611" spans="1:39" ht="39.950000000000003" customHeight="1">
      <c r="A611" s="364">
        <v>532</v>
      </c>
      <c r="B611" s="69">
        <v>45289</v>
      </c>
      <c r="C611" s="332" t="s">
        <v>1411</v>
      </c>
      <c r="D611" s="70" t="s">
        <v>1412</v>
      </c>
      <c r="E611" s="92" t="s">
        <v>1413</v>
      </c>
      <c r="F611" s="68">
        <v>3</v>
      </c>
      <c r="G611" s="68" t="s">
        <v>1750</v>
      </c>
      <c r="H611" s="69"/>
      <c r="I611" s="69"/>
      <c r="J611" s="69"/>
      <c r="K611" s="68" t="s">
        <v>1480</v>
      </c>
      <c r="L611" s="70" t="s">
        <v>74</v>
      </c>
      <c r="M611" s="70" t="s">
        <v>47</v>
      </c>
      <c r="N611" s="68"/>
      <c r="O611" s="137" t="str">
        <f>IF(Q611=" _","NO","SI")</f>
        <v>NO</v>
      </c>
      <c r="P611" s="24" t="str">
        <f ca="1">IF(color_Celda(E611)=12106214,"ROSA",IF(color_Celda(E611)=65535,"AMARILLO",IF(color_Celda(E611)=5296274,"VERDE",IF(color_Celda(E611)=16777215,"BLANCO","NO SE"))))</f>
        <v>AMARILLO</v>
      </c>
      <c r="Q611" s="70" t="s">
        <v>108</v>
      </c>
      <c r="R611" s="32" t="str">
        <f>VLOOKUP($Q611,Resultados!$A$1:$B$49,2,FALSE)</f>
        <v xml:space="preserve"> _</v>
      </c>
      <c r="S611" s="70"/>
      <c r="T611" s="73"/>
      <c r="U611" s="73"/>
      <c r="V611" s="68"/>
      <c r="W611" s="68"/>
      <c r="X611" s="68"/>
      <c r="Y611" s="199"/>
      <c r="Z611" s="68"/>
      <c r="AA611" s="68"/>
      <c r="AB611" s="68"/>
      <c r="AC611" s="68"/>
      <c r="AD611" s="68"/>
      <c r="AE611" s="358"/>
      <c r="AF611" s="68"/>
      <c r="AG611" s="68"/>
      <c r="AH611" s="68"/>
      <c r="AI611" s="68"/>
      <c r="AJ611" s="101" t="s">
        <v>988</v>
      </c>
      <c r="AK611" s="68"/>
      <c r="AL611" s="155" t="s">
        <v>1627</v>
      </c>
      <c r="AM611" s="431" t="str">
        <f>VLOOKUP($Q611,Resultados!$A$1:$C$49,3,FALSE)</f>
        <v>TRAMITE</v>
      </c>
    </row>
    <row r="612" spans="1:39" ht="39.950000000000003" customHeight="1">
      <c r="A612" s="364">
        <v>536</v>
      </c>
      <c r="B612" s="38">
        <v>45289</v>
      </c>
      <c r="C612" s="337" t="s">
        <v>2347</v>
      </c>
      <c r="D612" s="32" t="s">
        <v>2348</v>
      </c>
      <c r="E612" s="40" t="s">
        <v>2349</v>
      </c>
      <c r="F612" s="39">
        <v>2</v>
      </c>
      <c r="G612" s="32" t="s">
        <v>325</v>
      </c>
      <c r="H612" s="38"/>
      <c r="I612" s="38"/>
      <c r="J612" s="38"/>
      <c r="K612" s="39" t="str">
        <f>IFERROR(VLOOKUP(J612,Jueces!$A$1:$B$11,2,FALSE),"")</f>
        <v/>
      </c>
      <c r="L612" s="32" t="s">
        <v>248</v>
      </c>
      <c r="M612" s="32" t="s">
        <v>2304</v>
      </c>
      <c r="N612" s="32" t="s">
        <v>2357</v>
      </c>
      <c r="O612" s="24" t="str">
        <f>IF(Q612=" _","NO","SI")</f>
        <v>NO</v>
      </c>
      <c r="P612" s="24" t="str">
        <f ca="1">IF(color_Celda(E612)=12106214,"ROSA",IF(color_Celda(E612)=65535,"AMARILLO",IF(color_Celda(E612)=5296274,"VERDE",IF(color_Celda(E612)=16777215,"BLANCO","NO SE"))))</f>
        <v>AMARILLO</v>
      </c>
      <c r="Q612" s="32" t="s">
        <v>108</v>
      </c>
      <c r="R612" s="32" t="str">
        <f>VLOOKUP($Q612,Resultados!$A$1:$B$49,2,FALSE)</f>
        <v xml:space="preserve"> _</v>
      </c>
      <c r="S612" s="32"/>
      <c r="T612" s="37"/>
      <c r="U612" s="37"/>
      <c r="V612" s="39"/>
      <c r="W612" s="39"/>
      <c r="X612" s="39"/>
      <c r="Y612" s="64"/>
      <c r="Z612" s="39"/>
      <c r="AA612" s="39"/>
      <c r="AB612" s="39"/>
      <c r="AC612" s="39"/>
      <c r="AD612" s="39"/>
      <c r="AE612" s="110"/>
      <c r="AF612" s="39"/>
      <c r="AG612" s="39"/>
      <c r="AH612" s="39"/>
      <c r="AI612" s="39"/>
      <c r="AJ612" s="43" t="s">
        <v>988</v>
      </c>
      <c r="AK612" s="39"/>
      <c r="AL612" s="155" t="s">
        <v>1627</v>
      </c>
      <c r="AM612" s="431" t="str">
        <f>VLOOKUP($Q612,Resultados!$A$1:$C$49,3,FALSE)</f>
        <v>TRAMITE</v>
      </c>
    </row>
    <row r="613" spans="1:39" ht="39.950000000000003" customHeight="1">
      <c r="A613" s="364">
        <v>537</v>
      </c>
      <c r="B613" s="35">
        <v>45289</v>
      </c>
      <c r="C613" s="331">
        <v>0.33333333333333331</v>
      </c>
      <c r="D613" s="32" t="s">
        <v>2514</v>
      </c>
      <c r="E613" s="40" t="s">
        <v>2515</v>
      </c>
      <c r="F613" s="39">
        <v>4</v>
      </c>
      <c r="G613" s="39" t="s">
        <v>325</v>
      </c>
      <c r="H613" s="38"/>
      <c r="I613" s="38"/>
      <c r="J613" s="38"/>
      <c r="K613" s="39" t="s">
        <v>1480</v>
      </c>
      <c r="L613" s="70" t="s">
        <v>36</v>
      </c>
      <c r="M613" s="70" t="s">
        <v>47</v>
      </c>
      <c r="N613" s="39" t="s">
        <v>1342</v>
      </c>
      <c r="O613" s="137" t="str">
        <f>IF(Q613=" _","NO","SI")</f>
        <v>NO</v>
      </c>
      <c r="P613" s="24" t="str">
        <f ca="1">IF(color_Celda(E613)=12106214,"ROSA",IF(color_Celda(E613)=65535,"AMARILLO",IF(color_Celda(E613)=5296274,"VERDE",IF(color_Celda(E613)=16777215,"BLANCO","NO SE"))))</f>
        <v>AMARILLO</v>
      </c>
      <c r="Q613" s="32" t="s">
        <v>108</v>
      </c>
      <c r="R613" s="32" t="str">
        <f>VLOOKUP($Q613,Resultados!$A$1:$B$49,2,FALSE)</f>
        <v xml:space="preserve"> _</v>
      </c>
      <c r="S613" s="32"/>
      <c r="T613" s="73"/>
      <c r="U613" s="37"/>
      <c r="V613" s="39"/>
      <c r="W613" s="39"/>
      <c r="X613" s="39"/>
      <c r="Y613" s="199"/>
      <c r="Z613" s="39"/>
      <c r="AA613" s="39"/>
      <c r="AB613" s="39"/>
      <c r="AC613" s="39"/>
      <c r="AD613" s="39"/>
      <c r="AE613" s="110"/>
      <c r="AF613" s="39"/>
      <c r="AG613" s="39"/>
      <c r="AH613" s="39"/>
      <c r="AI613" s="39"/>
      <c r="AJ613" s="101" t="s">
        <v>988</v>
      </c>
      <c r="AK613" s="39"/>
      <c r="AL613" s="155" t="s">
        <v>1627</v>
      </c>
      <c r="AM613" s="431" t="str">
        <f>VLOOKUP($Q613,Resultados!$A$1:$C$49,3,FALSE)</f>
        <v>TRAMITE</v>
      </c>
    </row>
    <row r="614" spans="1:39" ht="39.950000000000003" customHeight="1">
      <c r="A614" s="364">
        <v>538</v>
      </c>
      <c r="B614" s="69">
        <v>45294</v>
      </c>
      <c r="C614" s="332" t="s">
        <v>15</v>
      </c>
      <c r="D614" s="70" t="s">
        <v>1430</v>
      </c>
      <c r="E614" s="92" t="s">
        <v>1431</v>
      </c>
      <c r="F614" s="68">
        <v>5</v>
      </c>
      <c r="G614" s="68" t="s">
        <v>10</v>
      </c>
      <c r="H614" s="69"/>
      <c r="I614" s="69"/>
      <c r="J614" s="69"/>
      <c r="K614" s="68" t="s">
        <v>1480</v>
      </c>
      <c r="L614" s="70" t="s">
        <v>74</v>
      </c>
      <c r="M614" s="70" t="s">
        <v>226</v>
      </c>
      <c r="N614" s="68"/>
      <c r="O614" s="24" t="str">
        <f>IF(Q614=" _","NO","SI")</f>
        <v>NO</v>
      </c>
      <c r="P614" s="24" t="str">
        <f ca="1">IF(color_Celda(E614)=12106214,"ROSA",IF(color_Celda(E614)=65535,"AMARILLO",IF(color_Celda(E614)=5296274,"VERDE",IF(color_Celda(E614)=16777215,"BLANCO","NO SE"))))</f>
        <v>AMARILLO</v>
      </c>
      <c r="Q614" s="70" t="s">
        <v>108</v>
      </c>
      <c r="R614" s="32" t="str">
        <f>VLOOKUP($Q614,Resultados!$A$1:$B$49,2,FALSE)</f>
        <v xml:space="preserve"> _</v>
      </c>
      <c r="S614" s="70"/>
      <c r="T614" s="73"/>
      <c r="U614" s="73"/>
      <c r="V614" s="68"/>
      <c r="W614" s="68"/>
      <c r="X614" s="68"/>
      <c r="Y614" s="64"/>
      <c r="Z614" s="68"/>
      <c r="AA614" s="68"/>
      <c r="AB614" s="68"/>
      <c r="AC614" s="68"/>
      <c r="AD614" s="68"/>
      <c r="AE614" s="358"/>
      <c r="AF614" s="68"/>
      <c r="AG614" s="68"/>
      <c r="AH614" s="68"/>
      <c r="AI614" s="68"/>
      <c r="AJ614" s="101" t="s">
        <v>988</v>
      </c>
      <c r="AK614" s="68"/>
      <c r="AL614" s="363" t="s">
        <v>1627</v>
      </c>
      <c r="AM614" s="431" t="str">
        <f>VLOOKUP($Q614,Resultados!$A$1:$C$49,3,FALSE)</f>
        <v>TRAMITE</v>
      </c>
    </row>
    <row r="615" spans="1:39" ht="40.15" customHeight="1">
      <c r="A615" s="364">
        <v>540</v>
      </c>
      <c r="B615" s="69">
        <v>45296</v>
      </c>
      <c r="C615" s="332" t="s">
        <v>15</v>
      </c>
      <c r="D615" s="70" t="s">
        <v>1429</v>
      </c>
      <c r="E615" s="71" t="s">
        <v>1805</v>
      </c>
      <c r="F615" s="68">
        <v>5</v>
      </c>
      <c r="G615" s="68" t="s">
        <v>326</v>
      </c>
      <c r="H615" s="69"/>
      <c r="I615" s="69"/>
      <c r="J615" s="69"/>
      <c r="K615" s="68" t="s">
        <v>1480</v>
      </c>
      <c r="L615" s="70" t="s">
        <v>83</v>
      </c>
      <c r="M615" s="32" t="s">
        <v>1804</v>
      </c>
      <c r="N615" s="68"/>
      <c r="O615" s="24" t="str">
        <f>IF(Q615=" _","NO","SI")</f>
        <v>NO</v>
      </c>
      <c r="P615" s="24" t="str">
        <f ca="1">IF(color_Celda(E615)=12106214,"ROSA",IF(color_Celda(E615)=65535,"AMARILLO",IF(color_Celda(E615)=5296274,"VERDE",IF(color_Celda(E615)=16777215,"BLANCO","NO SE"))))</f>
        <v>AMARILLO</v>
      </c>
      <c r="Q615" s="70" t="s">
        <v>108</v>
      </c>
      <c r="R615" s="32" t="str">
        <f>VLOOKUP($Q615,Resultados!$A$1:$B$49,2,FALSE)</f>
        <v xml:space="preserve"> _</v>
      </c>
      <c r="S615" s="70"/>
      <c r="T615" s="73"/>
      <c r="U615" s="73"/>
      <c r="V615" s="68"/>
      <c r="W615" s="68"/>
      <c r="X615" s="68"/>
      <c r="Y615" s="64"/>
      <c r="Z615" s="68"/>
      <c r="AA615" s="68"/>
      <c r="AB615" s="68"/>
      <c r="AC615" s="68"/>
      <c r="AD615" s="68"/>
      <c r="AE615" s="358"/>
      <c r="AF615" s="68"/>
      <c r="AG615" s="68"/>
      <c r="AH615" s="68"/>
      <c r="AI615" s="68"/>
      <c r="AJ615" s="101" t="s">
        <v>408</v>
      </c>
      <c r="AK615" s="68"/>
      <c r="AL615" s="155" t="s">
        <v>1627</v>
      </c>
      <c r="AM615" s="431" t="str">
        <f>VLOOKUP($Q615,Resultados!$A$1:$C$49,3,FALSE)</f>
        <v>TRAMITE</v>
      </c>
    </row>
    <row r="616" spans="1:39" ht="40.15" customHeight="1">
      <c r="A616" s="374">
        <v>545</v>
      </c>
      <c r="B616" s="264">
        <v>45302</v>
      </c>
      <c r="C616" s="333" t="s">
        <v>1143</v>
      </c>
      <c r="D616" s="265" t="s">
        <v>1433</v>
      </c>
      <c r="E616" s="509" t="s">
        <v>1434</v>
      </c>
      <c r="F616" s="263">
        <v>7</v>
      </c>
      <c r="G616" s="263"/>
      <c r="H616" s="264"/>
      <c r="I616" s="264"/>
      <c r="J616" s="264"/>
      <c r="K616" s="263" t="s">
        <v>1480</v>
      </c>
      <c r="L616" s="265" t="s">
        <v>72</v>
      </c>
      <c r="M616" s="265" t="s">
        <v>90</v>
      </c>
      <c r="N616" s="263" t="s">
        <v>3366</v>
      </c>
      <c r="O616" s="266" t="str">
        <f>IF(Q616=" _","NO","SI")</f>
        <v>NO</v>
      </c>
      <c r="P616" s="266" t="str">
        <f ca="1">IF(color_Celda(E616)=12106214,"ROSA",IF(color_Celda(E616)=65535,"AMARILLO",IF(color_Celda(E616)=5296274,"VERDE",IF(color_Celda(E616)=16777215,"BLANCO","NO SE"))))</f>
        <v>NO SE</v>
      </c>
      <c r="Q616" s="265" t="s">
        <v>108</v>
      </c>
      <c r="R616" s="349" t="str">
        <f>VLOOKUP($Q616,Resultados!$A$1:$B$49,2,FALSE)</f>
        <v xml:space="preserve"> _</v>
      </c>
      <c r="S616" s="265"/>
      <c r="T616" s="268"/>
      <c r="U616" s="268"/>
      <c r="V616" s="263"/>
      <c r="W616" s="263"/>
      <c r="X616" s="263"/>
      <c r="Y616" s="269"/>
      <c r="Z616" s="263"/>
      <c r="AA616" s="263"/>
      <c r="AB616" s="263"/>
      <c r="AC616" s="263"/>
      <c r="AD616" s="263"/>
      <c r="AE616" s="417"/>
      <c r="AF616" s="263"/>
      <c r="AG616" s="263"/>
      <c r="AH616" s="263"/>
      <c r="AI616" s="263"/>
      <c r="AJ616" s="420" t="s">
        <v>408</v>
      </c>
      <c r="AK616" s="263"/>
      <c r="AL616" s="345" t="s">
        <v>1627</v>
      </c>
      <c r="AM616" s="431" t="str">
        <f>VLOOKUP($Q616,Resultados!$A$1:$C$49,3,FALSE)</f>
        <v>TRAMITE</v>
      </c>
    </row>
    <row r="617" spans="1:39" ht="40.15" customHeight="1">
      <c r="A617" s="364">
        <v>555</v>
      </c>
      <c r="B617" s="69">
        <v>45323</v>
      </c>
      <c r="C617" s="332">
        <v>0.40902777777777777</v>
      </c>
      <c r="D617" s="70" t="s">
        <v>1452</v>
      </c>
      <c r="E617" s="92" t="s">
        <v>1461</v>
      </c>
      <c r="F617" s="68">
        <v>3</v>
      </c>
      <c r="G617" s="68" t="s">
        <v>325</v>
      </c>
      <c r="H617" s="69"/>
      <c r="I617" s="69"/>
      <c r="J617" s="69"/>
      <c r="K617" s="68" t="s">
        <v>1480</v>
      </c>
      <c r="L617" s="70" t="s">
        <v>83</v>
      </c>
      <c r="M617" s="70" t="s">
        <v>1453</v>
      </c>
      <c r="N617" s="68"/>
      <c r="O617" s="24" t="str">
        <f>IF(Q617=" _","NO","SI")</f>
        <v>NO</v>
      </c>
      <c r="P617" s="24" t="str">
        <f ca="1">IF(color_Celda(E617)=12106214,"ROSA",IF(color_Celda(E617)=65535,"AMARILLO",IF(color_Celda(E617)=5296274,"VERDE",IF(color_Celda(E617)=16777215,"BLANCO","NO SE"))))</f>
        <v>AMARILLO</v>
      </c>
      <c r="Q617" s="70" t="s">
        <v>108</v>
      </c>
      <c r="R617" s="32" t="str">
        <f>VLOOKUP($Q617,Resultados!$A$1:$B$49,2,FALSE)</f>
        <v xml:space="preserve"> _</v>
      </c>
      <c r="S617" s="70"/>
      <c r="T617" s="73"/>
      <c r="U617" s="73"/>
      <c r="V617" s="68"/>
      <c r="W617" s="68"/>
      <c r="X617" s="68"/>
      <c r="Y617" s="64"/>
      <c r="Z617" s="68"/>
      <c r="AA617" s="68"/>
      <c r="AB617" s="68"/>
      <c r="AC617" s="68"/>
      <c r="AD617" s="68"/>
      <c r="AE617" s="358"/>
      <c r="AF617" s="68"/>
      <c r="AG617" s="68"/>
      <c r="AH617" s="68"/>
      <c r="AI617" s="68"/>
      <c r="AJ617" s="101" t="s">
        <v>988</v>
      </c>
      <c r="AK617" s="68"/>
      <c r="AL617" s="363" t="s">
        <v>1627</v>
      </c>
      <c r="AM617" s="431" t="str">
        <f>VLOOKUP($Q617,Resultados!$A$1:$C$49,3,FALSE)</f>
        <v>TRAMITE</v>
      </c>
    </row>
    <row r="618" spans="1:39" ht="39.950000000000003" customHeight="1">
      <c r="A618" s="364">
        <v>559</v>
      </c>
      <c r="B618" s="38">
        <v>45324</v>
      </c>
      <c r="C618" s="337" t="s">
        <v>371</v>
      </c>
      <c r="D618" s="32" t="s">
        <v>1931</v>
      </c>
      <c r="E618" s="40" t="s">
        <v>1932</v>
      </c>
      <c r="F618" s="39">
        <v>4</v>
      </c>
      <c r="G618" s="39" t="s">
        <v>325</v>
      </c>
      <c r="H618" s="38"/>
      <c r="I618" s="38"/>
      <c r="J618" s="38"/>
      <c r="K618" s="39" t="str">
        <f>IFERROR(VLOOKUP(J618,Jueces!$A$1:$B$11,2,FALSE),"")</f>
        <v/>
      </c>
      <c r="L618" s="32" t="s">
        <v>75</v>
      </c>
      <c r="M618" s="32" t="s">
        <v>1156</v>
      </c>
      <c r="N618" s="32" t="s">
        <v>1913</v>
      </c>
      <c r="O618" s="24" t="str">
        <f>IF(Q618=" _","NO","SI")</f>
        <v>NO</v>
      </c>
      <c r="P618" s="24" t="str">
        <f ca="1">IF(color_Celda(E618)=12106214,"ROSA",IF(color_Celda(E618)=65535,"AMARILLO",IF(color_Celda(E618)=5296274,"VERDE",IF(color_Celda(E618)=16777215,"BLANCO","NO SE"))))</f>
        <v>AMARILLO</v>
      </c>
      <c r="Q618" s="32" t="s">
        <v>108</v>
      </c>
      <c r="R618" s="32" t="str">
        <f>VLOOKUP($Q618,Resultados!$A$1:$B$49,2,FALSE)</f>
        <v xml:space="preserve"> _</v>
      </c>
      <c r="S618" s="32"/>
      <c r="T618" s="37"/>
      <c r="U618" s="37"/>
      <c r="V618" s="39"/>
      <c r="W618" s="39"/>
      <c r="X618" s="39"/>
      <c r="Y618" s="64"/>
      <c r="Z618" s="39"/>
      <c r="AA618" s="39"/>
      <c r="AB618" s="39"/>
      <c r="AC618" s="39"/>
      <c r="AD618" s="39"/>
      <c r="AE618" s="110"/>
      <c r="AF618" s="39"/>
      <c r="AG618" s="39"/>
      <c r="AH618" s="39"/>
      <c r="AI618" s="39"/>
      <c r="AJ618" s="43" t="s">
        <v>988</v>
      </c>
      <c r="AK618" s="39"/>
      <c r="AL618" s="155" t="s">
        <v>1627</v>
      </c>
      <c r="AM618" s="431" t="str">
        <f>VLOOKUP($Q618,Resultados!$A$1:$C$49,3,FALSE)</f>
        <v>TRAMITE</v>
      </c>
    </row>
    <row r="619" spans="1:39" ht="39.950000000000003" customHeight="1">
      <c r="A619" s="364">
        <v>560</v>
      </c>
      <c r="B619" s="38">
        <v>45324</v>
      </c>
      <c r="C619" s="337" t="s">
        <v>371</v>
      </c>
      <c r="D619" s="32" t="s">
        <v>1936</v>
      </c>
      <c r="E619" s="40" t="s">
        <v>1937</v>
      </c>
      <c r="F619" s="39">
        <v>4</v>
      </c>
      <c r="G619" s="39" t="s">
        <v>325</v>
      </c>
      <c r="H619" s="38"/>
      <c r="I619" s="38"/>
      <c r="J619" s="38"/>
      <c r="K619" s="39" t="str">
        <f>IFERROR(VLOOKUP(J619,Jueces!$A$1:$B$11,2,FALSE),"")</f>
        <v/>
      </c>
      <c r="L619" s="32" t="s">
        <v>87</v>
      </c>
      <c r="M619" s="32" t="s">
        <v>1156</v>
      </c>
      <c r="N619" s="32" t="s">
        <v>1868</v>
      </c>
      <c r="O619" s="24" t="str">
        <f>IF(Q619=" _","NO","SI")</f>
        <v>NO</v>
      </c>
      <c r="P619" s="24" t="str">
        <f ca="1">IF(color_Celda(E619)=12106214,"ROSA",IF(color_Celda(E619)=65535,"AMARILLO",IF(color_Celda(E619)=5296274,"VERDE",IF(color_Celda(E619)=16777215,"BLANCO","NO SE"))))</f>
        <v>AMARILLO</v>
      </c>
      <c r="Q619" s="32" t="s">
        <v>108</v>
      </c>
      <c r="R619" s="32" t="str">
        <f>VLOOKUP($Q619,Resultados!$A$1:$B$49,2,FALSE)</f>
        <v xml:space="preserve"> _</v>
      </c>
      <c r="S619" s="32"/>
      <c r="T619" s="37"/>
      <c r="U619" s="37"/>
      <c r="V619" s="39"/>
      <c r="W619" s="39"/>
      <c r="X619" s="39"/>
      <c r="Y619" s="64"/>
      <c r="Z619" s="39"/>
      <c r="AA619" s="39"/>
      <c r="AB619" s="39"/>
      <c r="AC619" s="39"/>
      <c r="AD619" s="39"/>
      <c r="AE619" s="110"/>
      <c r="AF619" s="39"/>
      <c r="AG619" s="39"/>
      <c r="AH619" s="39"/>
      <c r="AI619" s="39"/>
      <c r="AJ619" s="43" t="s">
        <v>988</v>
      </c>
      <c r="AK619" s="39"/>
      <c r="AL619" s="155" t="s">
        <v>1627</v>
      </c>
      <c r="AM619" s="431" t="str">
        <f>VLOOKUP($Q619,Resultados!$A$1:$C$49,3,FALSE)</f>
        <v>TRAMITE</v>
      </c>
    </row>
    <row r="620" spans="1:39" ht="39.950000000000003" customHeight="1">
      <c r="A620" s="364">
        <v>566</v>
      </c>
      <c r="B620" s="38">
        <v>45327</v>
      </c>
      <c r="C620" s="337" t="s">
        <v>371</v>
      </c>
      <c r="D620" s="32" t="s">
        <v>305</v>
      </c>
      <c r="E620" s="40" t="s">
        <v>1918</v>
      </c>
      <c r="F620" s="39">
        <v>4</v>
      </c>
      <c r="G620" s="39" t="s">
        <v>325</v>
      </c>
      <c r="H620" s="38"/>
      <c r="I620" s="38"/>
      <c r="J620" s="38"/>
      <c r="K620" s="39" t="str">
        <f>IFERROR(VLOOKUP(J620,Jueces!$A$1:$B$11,2,FALSE),"")</f>
        <v/>
      </c>
      <c r="L620" s="32" t="s">
        <v>81</v>
      </c>
      <c r="M620" s="32" t="s">
        <v>307</v>
      </c>
      <c r="N620" s="32" t="s">
        <v>1913</v>
      </c>
      <c r="O620" s="24" t="str">
        <f>IF(Q620=" _","NO","SI")</f>
        <v>NO</v>
      </c>
      <c r="P620" s="24" t="str">
        <f ca="1">IF(color_Celda(E620)=12106214,"ROSA",IF(color_Celda(E620)=65535,"AMARILLO",IF(color_Celda(E620)=5296274,"VERDE",IF(color_Celda(E620)=16777215,"BLANCO","NO SE"))))</f>
        <v>AMARILLO</v>
      </c>
      <c r="Q620" s="32" t="s">
        <v>108</v>
      </c>
      <c r="R620" s="32" t="str">
        <f>VLOOKUP($Q620,Resultados!$A$1:$B$49,2,FALSE)</f>
        <v xml:space="preserve"> _</v>
      </c>
      <c r="S620" s="32"/>
      <c r="T620" s="37"/>
      <c r="U620" s="37"/>
      <c r="V620" s="39"/>
      <c r="W620" s="39"/>
      <c r="X620" s="39"/>
      <c r="Y620" s="64"/>
      <c r="Z620" s="39"/>
      <c r="AA620" s="39"/>
      <c r="AB620" s="39"/>
      <c r="AC620" s="39"/>
      <c r="AD620" s="39"/>
      <c r="AE620" s="110"/>
      <c r="AF620" s="39"/>
      <c r="AG620" s="39"/>
      <c r="AH620" s="39"/>
      <c r="AI620" s="39"/>
      <c r="AJ620" s="43" t="s">
        <v>988</v>
      </c>
      <c r="AK620" s="39"/>
      <c r="AL620" s="155" t="s">
        <v>1627</v>
      </c>
      <c r="AM620" s="431" t="str">
        <f>VLOOKUP($Q620,Resultados!$A$1:$C$49,3,FALSE)</f>
        <v>TRAMITE</v>
      </c>
    </row>
    <row r="621" spans="1:39" ht="39.950000000000003" customHeight="1">
      <c r="A621" s="364">
        <v>570</v>
      </c>
      <c r="B621" s="38">
        <v>45328</v>
      </c>
      <c r="C621" s="337" t="s">
        <v>34</v>
      </c>
      <c r="D621" s="32" t="s">
        <v>164</v>
      </c>
      <c r="E621" s="41" t="s">
        <v>1524</v>
      </c>
      <c r="F621" s="39">
        <v>2</v>
      </c>
      <c r="G621" s="32" t="s">
        <v>326</v>
      </c>
      <c r="H621" s="38"/>
      <c r="I621" s="38"/>
      <c r="J621" s="38"/>
      <c r="K621" s="39" t="str">
        <f>IFERROR(VLOOKUP(J621,Jueces!$A$1:$B$11,2,FALSE),"")</f>
        <v/>
      </c>
      <c r="L621" s="32" t="s">
        <v>36</v>
      </c>
      <c r="M621" s="32" t="s">
        <v>139</v>
      </c>
      <c r="N621" s="32" t="s">
        <v>2684</v>
      </c>
      <c r="O621" s="24" t="str">
        <f>IF(Q621=" _","NO","SI")</f>
        <v>NO</v>
      </c>
      <c r="P621" s="24" t="str">
        <f ca="1">IF(color_Celda(E621)=12106214,"ROSA",IF(color_Celda(E621)=65535,"AMARILLO",IF(color_Celda(E621)=5296274,"VERDE",IF(color_Celda(E621)=16777215,"BLANCO","NO SE"))))</f>
        <v>AMARILLO</v>
      </c>
      <c r="Q621" s="32" t="s">
        <v>108</v>
      </c>
      <c r="R621" s="32" t="str">
        <f>VLOOKUP($Q621,Resultados!$A$1:$B$49,2,FALSE)</f>
        <v xml:space="preserve"> _</v>
      </c>
      <c r="S621" s="32"/>
      <c r="T621" s="37"/>
      <c r="U621" s="37"/>
      <c r="V621" s="39"/>
      <c r="W621" s="39"/>
      <c r="X621" s="39"/>
      <c r="Y621" s="64"/>
      <c r="Z621" s="39"/>
      <c r="AA621" s="39"/>
      <c r="AB621" s="39"/>
      <c r="AC621" s="39"/>
      <c r="AD621" s="39"/>
      <c r="AE621" s="110"/>
      <c r="AF621" s="39"/>
      <c r="AG621" s="39"/>
      <c r="AH621" s="39"/>
      <c r="AI621" s="39"/>
      <c r="AJ621" s="43" t="s">
        <v>408</v>
      </c>
      <c r="AK621" s="39"/>
      <c r="AL621" s="363" t="s">
        <v>1627</v>
      </c>
      <c r="AM621" s="431" t="str">
        <f>VLOOKUP($Q621,Resultados!$A$1:$C$49,3,FALSE)</f>
        <v>TRAMITE</v>
      </c>
    </row>
    <row r="622" spans="1:39" ht="39.950000000000003" customHeight="1">
      <c r="A622" s="364">
        <v>571</v>
      </c>
      <c r="B622" s="38">
        <v>45328</v>
      </c>
      <c r="C622" s="337" t="s">
        <v>891</v>
      </c>
      <c r="D622" s="32" t="s">
        <v>1622</v>
      </c>
      <c r="E622" s="40" t="s">
        <v>1623</v>
      </c>
      <c r="F622" s="39">
        <v>2</v>
      </c>
      <c r="G622" s="39" t="s">
        <v>325</v>
      </c>
      <c r="H622" s="38"/>
      <c r="I622" s="38"/>
      <c r="J622" s="38"/>
      <c r="K622" s="39" t="str">
        <f>IFERROR(VLOOKUP(J622,Jueces!$A$1:$B$11,2,FALSE),"")</f>
        <v/>
      </c>
      <c r="L622" s="32" t="s">
        <v>87</v>
      </c>
      <c r="M622" s="32" t="s">
        <v>61</v>
      </c>
      <c r="N622" s="32" t="s">
        <v>1903</v>
      </c>
      <c r="O622" s="24" t="str">
        <f>IF(Q622=" _","NO","SI")</f>
        <v>NO</v>
      </c>
      <c r="P622" s="24" t="str">
        <f ca="1">IF(color_Celda(E622)=12106214,"ROSA",IF(color_Celda(E622)=65535,"AMARILLO",IF(color_Celda(E622)=5296274,"VERDE",IF(color_Celda(E622)=16777215,"BLANCO","NO SE"))))</f>
        <v>AMARILLO</v>
      </c>
      <c r="Q622" s="32" t="s">
        <v>108</v>
      </c>
      <c r="R622" s="32" t="str">
        <f>VLOOKUP($Q622,Resultados!$A$1:$B$49,2,FALSE)</f>
        <v xml:space="preserve"> _</v>
      </c>
      <c r="S622" s="32"/>
      <c r="T622" s="37"/>
      <c r="U622" s="37"/>
      <c r="V622" s="39"/>
      <c r="W622" s="39"/>
      <c r="X622" s="39"/>
      <c r="Y622" s="64"/>
      <c r="Z622" s="39"/>
      <c r="AA622" s="39"/>
      <c r="AB622" s="39"/>
      <c r="AC622" s="39"/>
      <c r="AD622" s="39"/>
      <c r="AE622" s="110"/>
      <c r="AF622" s="39"/>
      <c r="AG622" s="39"/>
      <c r="AH622" s="39"/>
      <c r="AI622" s="39"/>
      <c r="AJ622" s="43" t="s">
        <v>988</v>
      </c>
      <c r="AK622" s="39"/>
      <c r="AL622" s="155" t="s">
        <v>1627</v>
      </c>
      <c r="AM622" s="431" t="str">
        <f>VLOOKUP($Q622,Resultados!$A$1:$C$49,3,FALSE)</f>
        <v>TRAMITE</v>
      </c>
    </row>
    <row r="623" spans="1:39" ht="39.950000000000003" customHeight="1">
      <c r="A623" s="364">
        <v>572</v>
      </c>
      <c r="B623" s="38">
        <v>45328</v>
      </c>
      <c r="C623" s="337" t="s">
        <v>179</v>
      </c>
      <c r="D623" s="32" t="s">
        <v>1668</v>
      </c>
      <c r="E623" s="40" t="s">
        <v>1669</v>
      </c>
      <c r="F623" s="39">
        <v>6</v>
      </c>
      <c r="G623" s="39"/>
      <c r="H623" s="38"/>
      <c r="I623" s="38"/>
      <c r="J623" s="38"/>
      <c r="K623" s="39" t="str">
        <f>IFERROR(VLOOKUP(J623,Jueces!$A$1:$B$11,2,FALSE),"")</f>
        <v/>
      </c>
      <c r="L623" s="32" t="s">
        <v>75</v>
      </c>
      <c r="M623" s="32" t="s">
        <v>44</v>
      </c>
      <c r="N623" s="39"/>
      <c r="O623" s="24" t="str">
        <f>IF(Q623=" _","NO","SI")</f>
        <v>NO</v>
      </c>
      <c r="P623" s="24" t="str">
        <f ca="1">IF(color_Celda(E623)=12106214,"ROSA",IF(color_Celda(E623)=65535,"AMARILLO",IF(color_Celda(E623)=5296274,"VERDE",IF(color_Celda(E623)=16777215,"BLANCO","NO SE"))))</f>
        <v>AMARILLO</v>
      </c>
      <c r="Q623" s="32" t="s">
        <v>108</v>
      </c>
      <c r="R623" s="32" t="str">
        <f>VLOOKUP($Q623,Resultados!$A$1:$B$49,2,FALSE)</f>
        <v xml:space="preserve"> _</v>
      </c>
      <c r="S623" s="32"/>
      <c r="T623" s="37"/>
      <c r="U623" s="37"/>
      <c r="V623" s="39"/>
      <c r="W623" s="39"/>
      <c r="X623" s="39"/>
      <c r="Y623" s="64"/>
      <c r="Z623" s="39"/>
      <c r="AA623" s="39"/>
      <c r="AB623" s="39"/>
      <c r="AC623" s="39"/>
      <c r="AD623" s="39"/>
      <c r="AE623" s="110"/>
      <c r="AF623" s="39"/>
      <c r="AG623" s="39"/>
      <c r="AH623" s="39"/>
      <c r="AI623" s="39"/>
      <c r="AJ623" s="43" t="s">
        <v>988</v>
      </c>
      <c r="AK623" s="39"/>
      <c r="AL623" s="155" t="s">
        <v>1627</v>
      </c>
      <c r="AM623" s="431" t="str">
        <f>VLOOKUP($Q623,Resultados!$A$1:$C$49,3,FALSE)</f>
        <v>TRAMITE</v>
      </c>
    </row>
    <row r="624" spans="1:39" ht="39.950000000000003" customHeight="1">
      <c r="A624" s="364">
        <v>573</v>
      </c>
      <c r="B624" s="38">
        <v>45328</v>
      </c>
      <c r="C624" s="337" t="s">
        <v>994</v>
      </c>
      <c r="D624" s="32" t="s">
        <v>1670</v>
      </c>
      <c r="E624" s="40" t="s">
        <v>1671</v>
      </c>
      <c r="F624" s="39">
        <v>2</v>
      </c>
      <c r="G624" s="39" t="s">
        <v>325</v>
      </c>
      <c r="H624" s="38"/>
      <c r="I624" s="38"/>
      <c r="J624" s="38"/>
      <c r="K624" s="39" t="str">
        <f>IFERROR(VLOOKUP(J624,Jueces!$A$1:$B$11,2,FALSE),"")</f>
        <v/>
      </c>
      <c r="L624" s="32" t="s">
        <v>252</v>
      </c>
      <c r="M624" s="32" t="s">
        <v>60</v>
      </c>
      <c r="N624" s="32" t="s">
        <v>1904</v>
      </c>
      <c r="O624" s="24" t="str">
        <f>IF(Q624=" _","NO","SI")</f>
        <v>NO</v>
      </c>
      <c r="P624" s="24" t="str">
        <f ca="1">IF(color_Celda(E624)=12106214,"ROSA",IF(color_Celda(E624)=65535,"AMARILLO",IF(color_Celda(E624)=5296274,"VERDE",IF(color_Celda(E624)=16777215,"BLANCO","NO SE"))))</f>
        <v>AMARILLO</v>
      </c>
      <c r="Q624" s="32" t="s">
        <v>108</v>
      </c>
      <c r="R624" s="32" t="str">
        <f>VLOOKUP($Q624,Resultados!$A$1:$B$49,2,FALSE)</f>
        <v xml:space="preserve"> _</v>
      </c>
      <c r="S624" s="32"/>
      <c r="T624" s="37"/>
      <c r="U624" s="37"/>
      <c r="V624" s="39"/>
      <c r="W624" s="39"/>
      <c r="X624" s="39"/>
      <c r="Y624" s="64"/>
      <c r="Z624" s="39"/>
      <c r="AA624" s="39"/>
      <c r="AB624" s="39"/>
      <c r="AC624" s="39"/>
      <c r="AD624" s="39"/>
      <c r="AE624" s="110"/>
      <c r="AF624" s="39"/>
      <c r="AG624" s="39"/>
      <c r="AH624" s="39"/>
      <c r="AI624" s="39"/>
      <c r="AJ624" s="43" t="s">
        <v>988</v>
      </c>
      <c r="AK624" s="39"/>
      <c r="AL624" s="155" t="s">
        <v>1627</v>
      </c>
      <c r="AM624" s="431" t="str">
        <f>VLOOKUP($Q624,Resultados!$A$1:$C$49,3,FALSE)</f>
        <v>TRAMITE</v>
      </c>
    </row>
    <row r="625" spans="1:39" ht="39.950000000000003" customHeight="1">
      <c r="A625" s="364">
        <v>574</v>
      </c>
      <c r="B625" s="38">
        <v>45328</v>
      </c>
      <c r="C625" s="337" t="s">
        <v>1673</v>
      </c>
      <c r="D625" s="32" t="s">
        <v>1672</v>
      </c>
      <c r="E625" s="40" t="s">
        <v>1674</v>
      </c>
      <c r="F625" s="39">
        <v>2</v>
      </c>
      <c r="G625" s="32" t="s">
        <v>325</v>
      </c>
      <c r="H625" s="38"/>
      <c r="I625" s="38"/>
      <c r="J625" s="38"/>
      <c r="K625" s="39" t="str">
        <f>IFERROR(VLOOKUP(J625,Jueces!$A$1:$B$11,2,FALSE),"")</f>
        <v/>
      </c>
      <c r="L625" s="32" t="s">
        <v>72</v>
      </c>
      <c r="M625" s="32" t="s">
        <v>44</v>
      </c>
      <c r="N625" s="32" t="s">
        <v>1899</v>
      </c>
      <c r="O625" s="24" t="str">
        <f>IF(Q625=" _","NO","SI")</f>
        <v>NO</v>
      </c>
      <c r="P625" s="24" t="str">
        <f ca="1">IF(color_Celda(E625)=12106214,"ROSA",IF(color_Celda(E625)=65535,"AMARILLO",IF(color_Celda(E625)=5296274,"VERDE",IF(color_Celda(E625)=16777215,"BLANCO","NO SE"))))</f>
        <v>AMARILLO</v>
      </c>
      <c r="Q625" s="32" t="s">
        <v>108</v>
      </c>
      <c r="R625" s="32" t="str">
        <f>VLOOKUP($Q625,Resultados!$A$1:$B$49,2,FALSE)</f>
        <v xml:space="preserve"> _</v>
      </c>
      <c r="S625" s="32"/>
      <c r="T625" s="37"/>
      <c r="U625" s="37"/>
      <c r="V625" s="39"/>
      <c r="W625" s="39"/>
      <c r="X625" s="39"/>
      <c r="Y625" s="64"/>
      <c r="Z625" s="39"/>
      <c r="AA625" s="39"/>
      <c r="AB625" s="39"/>
      <c r="AC625" s="39"/>
      <c r="AD625" s="39"/>
      <c r="AE625" s="110"/>
      <c r="AF625" s="39"/>
      <c r="AG625" s="39"/>
      <c r="AH625" s="39"/>
      <c r="AI625" s="39"/>
      <c r="AJ625" s="43" t="s">
        <v>988</v>
      </c>
      <c r="AK625" s="39"/>
      <c r="AL625" s="155" t="s">
        <v>1627</v>
      </c>
      <c r="AM625" s="431" t="str">
        <f>VLOOKUP($Q625,Resultados!$A$1:$C$49,3,FALSE)</f>
        <v>TRAMITE</v>
      </c>
    </row>
    <row r="626" spans="1:39" ht="39.950000000000003" customHeight="1">
      <c r="A626" s="373">
        <v>575</v>
      </c>
      <c r="B626" s="36">
        <v>45328</v>
      </c>
      <c r="C626" s="338" t="s">
        <v>1003</v>
      </c>
      <c r="D626" s="26" t="s">
        <v>1675</v>
      </c>
      <c r="E626" s="114" t="s">
        <v>1676</v>
      </c>
      <c r="F626" s="115">
        <v>2</v>
      </c>
      <c r="G626" s="115"/>
      <c r="H626" s="113"/>
      <c r="I626" s="113"/>
      <c r="J626" s="113"/>
      <c r="K626" s="115" t="str">
        <f>IFERROR(VLOOKUP(J626,Jueces!$A$1:$B$11,2,FALSE),"")</f>
        <v/>
      </c>
      <c r="L626" s="26" t="s">
        <v>82</v>
      </c>
      <c r="M626" s="26"/>
      <c r="N626" s="115"/>
      <c r="O626" s="24" t="str">
        <f>IF(Q626=" _","NO","SI")</f>
        <v>SI</v>
      </c>
      <c r="P626" s="24" t="str">
        <f ca="1">IF(color_Celda(E626)=12106214,"ROSA",IF(color_Celda(E626)=65535,"AMARILLO",IF(color_Celda(E626)=5296274,"VERDE",IF(color_Celda(E626)=16777215,"BLANCO","NO SE"))))</f>
        <v>VERDE</v>
      </c>
      <c r="Q626" s="96" t="s">
        <v>3313</v>
      </c>
      <c r="R626" s="26" t="str">
        <f>VLOOKUP($Q626,Resultados!$A$1:$B$49,2,FALSE)</f>
        <v>VERDE</v>
      </c>
      <c r="S626" s="26"/>
      <c r="T626" s="116"/>
      <c r="U626" s="116"/>
      <c r="V626" s="115"/>
      <c r="W626" s="115"/>
      <c r="X626" s="115"/>
      <c r="Y626" s="64"/>
      <c r="Z626" s="115"/>
      <c r="AA626" s="115"/>
      <c r="AB626" s="115"/>
      <c r="AC626" s="115"/>
      <c r="AD626" s="115"/>
      <c r="AE626" s="117"/>
      <c r="AF626" s="115"/>
      <c r="AG626" s="115"/>
      <c r="AH626" s="115"/>
      <c r="AI626" s="115"/>
      <c r="AJ626" s="156" t="s">
        <v>988</v>
      </c>
      <c r="AK626" s="115"/>
      <c r="AL626" s="157" t="s">
        <v>1627</v>
      </c>
      <c r="AM626" s="431" t="str">
        <f>VLOOKUP($Q626,Resultados!$A$1:$C$49,3,FALSE)</f>
        <v>NO LLEGO</v>
      </c>
    </row>
    <row r="627" spans="1:39" ht="39.950000000000003" customHeight="1">
      <c r="A627" s="364">
        <v>576</v>
      </c>
      <c r="B627" s="38">
        <v>45328</v>
      </c>
      <c r="C627" s="337" t="s">
        <v>130</v>
      </c>
      <c r="D627" s="32" t="s">
        <v>1677</v>
      </c>
      <c r="E627" s="40" t="s">
        <v>1678</v>
      </c>
      <c r="F627" s="39">
        <v>2</v>
      </c>
      <c r="G627" s="39" t="s">
        <v>325</v>
      </c>
      <c r="H627" s="38"/>
      <c r="I627" s="38"/>
      <c r="J627" s="38"/>
      <c r="K627" s="39" t="str">
        <f>IFERROR(VLOOKUP(J627,Jueces!$A$1:$B$11,2,FALSE),"")</f>
        <v/>
      </c>
      <c r="L627" s="32" t="s">
        <v>250</v>
      </c>
      <c r="M627" s="32" t="s">
        <v>226</v>
      </c>
      <c r="N627" s="32" t="s">
        <v>1868</v>
      </c>
      <c r="O627" s="24" t="str">
        <f>IF(Q627=" _","NO","SI")</f>
        <v>NO</v>
      </c>
      <c r="P627" s="24" t="str">
        <f ca="1">IF(color_Celda(E627)=12106214,"ROSA",IF(color_Celda(E627)=65535,"AMARILLO",IF(color_Celda(E627)=5296274,"VERDE",IF(color_Celda(E627)=16777215,"BLANCO","NO SE"))))</f>
        <v>AMARILLO</v>
      </c>
      <c r="Q627" s="32" t="s">
        <v>108</v>
      </c>
      <c r="R627" s="32" t="str">
        <f>VLOOKUP($Q627,Resultados!$A$1:$B$49,2,FALSE)</f>
        <v xml:space="preserve"> _</v>
      </c>
      <c r="S627" s="32"/>
      <c r="T627" s="37"/>
      <c r="U627" s="37"/>
      <c r="V627" s="39"/>
      <c r="W627" s="39"/>
      <c r="X627" s="39"/>
      <c r="Y627" s="64"/>
      <c r="Z627" s="39"/>
      <c r="AA627" s="39"/>
      <c r="AB627" s="39"/>
      <c r="AC627" s="39"/>
      <c r="AD627" s="39"/>
      <c r="AE627" s="110"/>
      <c r="AF627" s="39"/>
      <c r="AG627" s="39"/>
      <c r="AH627" s="39"/>
      <c r="AI627" s="39"/>
      <c r="AJ627" s="43" t="s">
        <v>988</v>
      </c>
      <c r="AK627" s="39"/>
      <c r="AL627" s="155" t="s">
        <v>1627</v>
      </c>
      <c r="AM627" s="431" t="str">
        <f>VLOOKUP($Q627,Resultados!$A$1:$C$49,3,FALSE)</f>
        <v>TRAMITE</v>
      </c>
    </row>
    <row r="628" spans="1:39" ht="39.950000000000003" customHeight="1">
      <c r="A628" s="364">
        <v>577</v>
      </c>
      <c r="B628" s="38">
        <v>45328</v>
      </c>
      <c r="C628" s="337" t="s">
        <v>1680</v>
      </c>
      <c r="D628" s="32" t="s">
        <v>1679</v>
      </c>
      <c r="E628" s="40" t="s">
        <v>1681</v>
      </c>
      <c r="F628" s="39">
        <v>2</v>
      </c>
      <c r="G628" s="32" t="s">
        <v>325</v>
      </c>
      <c r="H628" s="38"/>
      <c r="I628" s="38"/>
      <c r="J628" s="38"/>
      <c r="K628" s="39" t="str">
        <f>IFERROR(VLOOKUP(J628,Jueces!$A$1:$B$11,2,FALSE),"")</f>
        <v/>
      </c>
      <c r="L628" s="32" t="s">
        <v>86</v>
      </c>
      <c r="M628" s="32" t="s">
        <v>1289</v>
      </c>
      <c r="N628" s="32" t="s">
        <v>1905</v>
      </c>
      <c r="O628" s="24" t="str">
        <f>IF(Q628=" _","NO","SI")</f>
        <v>NO</v>
      </c>
      <c r="P628" s="24" t="str">
        <f ca="1">IF(color_Celda(E628)=12106214,"ROSA",IF(color_Celda(E628)=65535,"AMARILLO",IF(color_Celda(E628)=5296274,"VERDE",IF(color_Celda(E628)=16777215,"BLANCO","NO SE"))))</f>
        <v>AMARILLO</v>
      </c>
      <c r="Q628" s="32" t="s">
        <v>108</v>
      </c>
      <c r="R628" s="32" t="str">
        <f>VLOOKUP($Q628,Resultados!$A$1:$B$49,2,FALSE)</f>
        <v xml:space="preserve"> _</v>
      </c>
      <c r="S628" s="32"/>
      <c r="T628" s="37"/>
      <c r="U628" s="37"/>
      <c r="V628" s="39"/>
      <c r="W628" s="39"/>
      <c r="X628" s="39"/>
      <c r="Y628" s="64"/>
      <c r="Z628" s="39"/>
      <c r="AA628" s="39"/>
      <c r="AB628" s="39"/>
      <c r="AC628" s="39"/>
      <c r="AD628" s="39"/>
      <c r="AE628" s="110"/>
      <c r="AF628" s="39"/>
      <c r="AG628" s="39"/>
      <c r="AH628" s="39"/>
      <c r="AI628" s="39"/>
      <c r="AJ628" s="43" t="s">
        <v>988</v>
      </c>
      <c r="AK628" s="39"/>
      <c r="AL628" s="155" t="s">
        <v>1627</v>
      </c>
      <c r="AM628" s="431" t="str">
        <f>VLOOKUP($Q628,Resultados!$A$1:$C$49,3,FALSE)</f>
        <v>TRAMITE</v>
      </c>
    </row>
    <row r="629" spans="1:39" ht="39.950000000000003" customHeight="1">
      <c r="A629" s="364">
        <v>578</v>
      </c>
      <c r="B629" s="35">
        <v>45328</v>
      </c>
      <c r="C629" s="337" t="s">
        <v>34</v>
      </c>
      <c r="D629" s="32" t="s">
        <v>1906</v>
      </c>
      <c r="E629" s="40" t="s">
        <v>1907</v>
      </c>
      <c r="F629" s="39">
        <v>2</v>
      </c>
      <c r="G629" s="32" t="s">
        <v>325</v>
      </c>
      <c r="H629" s="38"/>
      <c r="I629" s="38"/>
      <c r="J629" s="38"/>
      <c r="K629" s="39" t="str">
        <f>IFERROR(VLOOKUP(J629,Jueces!$A$1:$B$11,2,FALSE),"")</f>
        <v/>
      </c>
      <c r="L629" s="32" t="s">
        <v>73</v>
      </c>
      <c r="M629" s="32" t="s">
        <v>59</v>
      </c>
      <c r="N629" s="32" t="s">
        <v>1868</v>
      </c>
      <c r="O629" s="24" t="str">
        <f>IF(Q629=" _","NO","SI")</f>
        <v>NO</v>
      </c>
      <c r="P629" s="24" t="str">
        <f ca="1">IF(color_Celda(E629)=12106214,"ROSA",IF(color_Celda(E629)=65535,"AMARILLO",IF(color_Celda(E629)=5296274,"VERDE",IF(color_Celda(E629)=16777215,"BLANCO","NO SE"))))</f>
        <v>AMARILLO</v>
      </c>
      <c r="Q629" s="32" t="s">
        <v>108</v>
      </c>
      <c r="R629" s="32" t="str">
        <f>VLOOKUP($Q629,Resultados!$A$1:$B$49,2,FALSE)</f>
        <v xml:space="preserve"> _</v>
      </c>
      <c r="S629" s="32"/>
      <c r="T629" s="37"/>
      <c r="U629" s="37"/>
      <c r="V629" s="39"/>
      <c r="W629" s="39"/>
      <c r="X629" s="39"/>
      <c r="Y629" s="64"/>
      <c r="Z629" s="39"/>
      <c r="AA629" s="39"/>
      <c r="AB629" s="39"/>
      <c r="AC629" s="39"/>
      <c r="AD629" s="39"/>
      <c r="AE629" s="110"/>
      <c r="AF629" s="39"/>
      <c r="AG629" s="39"/>
      <c r="AH629" s="39"/>
      <c r="AI629" s="39"/>
      <c r="AJ629" s="43" t="s">
        <v>988</v>
      </c>
      <c r="AK629" s="39"/>
      <c r="AL629" s="155" t="s">
        <v>1627</v>
      </c>
      <c r="AM629" s="431" t="str">
        <f>VLOOKUP($Q629,Resultados!$A$1:$C$49,3,FALSE)</f>
        <v>TRAMITE</v>
      </c>
    </row>
    <row r="630" spans="1:39" ht="39.950000000000003" customHeight="1">
      <c r="A630" s="364">
        <v>579</v>
      </c>
      <c r="B630" s="38">
        <v>45328</v>
      </c>
      <c r="C630" s="337" t="s">
        <v>14</v>
      </c>
      <c r="D630" s="32" t="s">
        <v>1914</v>
      </c>
      <c r="E630" s="40" t="s">
        <v>1915</v>
      </c>
      <c r="F630" s="39">
        <v>4</v>
      </c>
      <c r="G630" s="39" t="s">
        <v>325</v>
      </c>
      <c r="H630" s="38"/>
      <c r="I630" s="38"/>
      <c r="J630" s="38"/>
      <c r="K630" s="39" t="str">
        <f>IFERROR(VLOOKUP(J630,Jueces!$A$1:$B$11,2,FALSE),"")</f>
        <v/>
      </c>
      <c r="L630" s="32" t="s">
        <v>87</v>
      </c>
      <c r="M630" s="32" t="s">
        <v>1156</v>
      </c>
      <c r="N630" s="32" t="s">
        <v>1913</v>
      </c>
      <c r="O630" s="24" t="str">
        <f>IF(Q630=" _","NO","SI")</f>
        <v>NO</v>
      </c>
      <c r="P630" s="24" t="str">
        <f ca="1">IF(color_Celda(E630)=12106214,"ROSA",IF(color_Celda(E630)=65535,"AMARILLO",IF(color_Celda(E630)=5296274,"VERDE",IF(color_Celda(E630)=16777215,"BLANCO","NO SE"))))</f>
        <v>AMARILLO</v>
      </c>
      <c r="Q630" s="32" t="s">
        <v>108</v>
      </c>
      <c r="R630" s="32" t="str">
        <f>VLOOKUP($Q630,Resultados!$A$1:$B$49,2,FALSE)</f>
        <v xml:space="preserve"> _</v>
      </c>
      <c r="S630" s="32"/>
      <c r="T630" s="37"/>
      <c r="U630" s="37"/>
      <c r="V630" s="39"/>
      <c r="W630" s="39"/>
      <c r="X630" s="39"/>
      <c r="Y630" s="64"/>
      <c r="Z630" s="39"/>
      <c r="AA630" s="39"/>
      <c r="AB630" s="39"/>
      <c r="AC630" s="39"/>
      <c r="AD630" s="39"/>
      <c r="AE630" s="110"/>
      <c r="AF630" s="39"/>
      <c r="AG630" s="39"/>
      <c r="AH630" s="39"/>
      <c r="AI630" s="39"/>
      <c r="AJ630" s="43" t="s">
        <v>988</v>
      </c>
      <c r="AK630" s="39"/>
      <c r="AL630" s="155" t="s">
        <v>1627</v>
      </c>
      <c r="AM630" s="431" t="str">
        <f>VLOOKUP($Q630,Resultados!$A$1:$C$49,3,FALSE)</f>
        <v>TRAMITE</v>
      </c>
    </row>
    <row r="631" spans="1:39" ht="39.950000000000003" customHeight="1">
      <c r="A631" s="364">
        <v>580</v>
      </c>
      <c r="B631" s="38">
        <v>45328</v>
      </c>
      <c r="C631" s="337" t="s">
        <v>14</v>
      </c>
      <c r="D631" s="32" t="s">
        <v>1916</v>
      </c>
      <c r="E631" s="40" t="s">
        <v>1917</v>
      </c>
      <c r="F631" s="39">
        <v>4</v>
      </c>
      <c r="G631" s="39" t="s">
        <v>325</v>
      </c>
      <c r="H631" s="38"/>
      <c r="I631" s="38"/>
      <c r="J631" s="38"/>
      <c r="K631" s="39" t="str">
        <f>IFERROR(VLOOKUP(J631,Jueces!$A$1:$B$11,2,FALSE),"")</f>
        <v/>
      </c>
      <c r="L631" s="32" t="s">
        <v>77</v>
      </c>
      <c r="M631" s="32" t="s">
        <v>67</v>
      </c>
      <c r="N631" s="32" t="s">
        <v>1938</v>
      </c>
      <c r="O631" s="24" t="str">
        <f>IF(Q631=" _","NO","SI")</f>
        <v>NO</v>
      </c>
      <c r="P631" s="24" t="str">
        <f ca="1">IF(color_Celda(E631)=12106214,"ROSA",IF(color_Celda(E631)=65535,"AMARILLO",IF(color_Celda(E631)=5296274,"VERDE",IF(color_Celda(E631)=16777215,"BLANCO","NO SE"))))</f>
        <v>AMARILLO</v>
      </c>
      <c r="Q631" s="32" t="s">
        <v>108</v>
      </c>
      <c r="R631" s="32" t="str">
        <f>VLOOKUP($Q631,Resultados!$A$1:$B$49,2,FALSE)</f>
        <v xml:space="preserve"> _</v>
      </c>
      <c r="S631" s="32"/>
      <c r="T631" s="37"/>
      <c r="U631" s="37"/>
      <c r="V631" s="39"/>
      <c r="W631" s="39"/>
      <c r="X631" s="39"/>
      <c r="Y631" s="64"/>
      <c r="Z631" s="39"/>
      <c r="AA631" s="39"/>
      <c r="AB631" s="39"/>
      <c r="AC631" s="39"/>
      <c r="AD631" s="39"/>
      <c r="AE631" s="110"/>
      <c r="AF631" s="39"/>
      <c r="AG631" s="39"/>
      <c r="AH631" s="39"/>
      <c r="AI631" s="39"/>
      <c r="AJ631" s="43" t="s">
        <v>988</v>
      </c>
      <c r="AK631" s="39"/>
      <c r="AL631" s="155" t="s">
        <v>1627</v>
      </c>
      <c r="AM631" s="431" t="str">
        <f>VLOOKUP($Q631,Resultados!$A$1:$C$49,3,FALSE)</f>
        <v>TRAMITE</v>
      </c>
    </row>
    <row r="632" spans="1:39" ht="39.950000000000003" customHeight="1">
      <c r="A632" s="364">
        <v>581</v>
      </c>
      <c r="B632" s="38">
        <v>45329</v>
      </c>
      <c r="C632" s="337" t="s">
        <v>1497</v>
      </c>
      <c r="D632" s="32" t="s">
        <v>1493</v>
      </c>
      <c r="E632" s="40" t="s">
        <v>1496</v>
      </c>
      <c r="F632" s="39">
        <v>6</v>
      </c>
      <c r="G632" s="39" t="s">
        <v>326</v>
      </c>
      <c r="H632" s="38"/>
      <c r="I632" s="38"/>
      <c r="J632" s="38"/>
      <c r="K632" s="39" t="str">
        <f>IFERROR(VLOOKUP(J632,Jueces!$A$1:$B$11,2,FALSE),"")</f>
        <v/>
      </c>
      <c r="L632" s="32" t="s">
        <v>75</v>
      </c>
      <c r="M632" s="32" t="s">
        <v>1494</v>
      </c>
      <c r="N632" s="32" t="s">
        <v>1495</v>
      </c>
      <c r="O632" s="24" t="str">
        <f>IF(Q632=" _","NO","SI")</f>
        <v>NO</v>
      </c>
      <c r="P632" s="24" t="str">
        <f ca="1">IF(color_Celda(E632)=12106214,"ROSA",IF(color_Celda(E632)=65535,"AMARILLO",IF(color_Celda(E632)=5296274,"VERDE",IF(color_Celda(E632)=16777215,"BLANCO","NO SE"))))</f>
        <v>AMARILLO</v>
      </c>
      <c r="Q632" s="32" t="s">
        <v>108</v>
      </c>
      <c r="R632" s="32" t="str">
        <f>VLOOKUP($Q632,Resultados!$A$1:$B$49,2,FALSE)</f>
        <v xml:space="preserve"> _</v>
      </c>
      <c r="S632" s="32"/>
      <c r="T632" s="37"/>
      <c r="U632" s="37"/>
      <c r="V632" s="39"/>
      <c r="W632" s="39"/>
      <c r="X632" s="39"/>
      <c r="Y632" s="64"/>
      <c r="Z632" s="39"/>
      <c r="AA632" s="39"/>
      <c r="AB632" s="39"/>
      <c r="AC632" s="39"/>
      <c r="AD632" s="39"/>
      <c r="AE632" s="110"/>
      <c r="AF632" s="39"/>
      <c r="AG632" s="39"/>
      <c r="AH632" s="39"/>
      <c r="AI632" s="39"/>
      <c r="AJ632" s="43" t="s">
        <v>988</v>
      </c>
      <c r="AK632" s="39"/>
      <c r="AL632" s="363" t="s">
        <v>1627</v>
      </c>
      <c r="AM632" s="431" t="str">
        <f>VLOOKUP($Q632,Resultados!$A$1:$C$49,3,FALSE)</f>
        <v>TRAMITE</v>
      </c>
    </row>
    <row r="633" spans="1:39" ht="39.950000000000003" customHeight="1">
      <c r="A633" s="364">
        <v>583</v>
      </c>
      <c r="B633" s="38">
        <v>45329</v>
      </c>
      <c r="C633" s="331">
        <v>0.33333333333333331</v>
      </c>
      <c r="D633" s="32" t="s">
        <v>1624</v>
      </c>
      <c r="E633" s="40" t="s">
        <v>1625</v>
      </c>
      <c r="F633" s="39">
        <v>6</v>
      </c>
      <c r="G633" s="32" t="s">
        <v>326</v>
      </c>
      <c r="H633" s="38"/>
      <c r="I633" s="38"/>
      <c r="J633" s="38"/>
      <c r="K633" s="39" t="str">
        <f>IFERROR(VLOOKUP(J633,Jueces!$A$1:$B$11,2,FALSE),"")</f>
        <v/>
      </c>
      <c r="L633" s="32" t="s">
        <v>84</v>
      </c>
      <c r="M633" s="32" t="s">
        <v>260</v>
      </c>
      <c r="N633" s="32" t="s">
        <v>1868</v>
      </c>
      <c r="O633" s="24" t="str">
        <f>IF(Q633=" _","NO","SI")</f>
        <v>NO</v>
      </c>
      <c r="P633" s="24" t="str">
        <f ca="1">IF(color_Celda(E633)=12106214,"ROSA",IF(color_Celda(E633)=65535,"AMARILLO",IF(color_Celda(E633)=5296274,"VERDE",IF(color_Celda(E633)=16777215,"BLANCO","NO SE"))))</f>
        <v>AMARILLO</v>
      </c>
      <c r="Q633" s="32" t="s">
        <v>108</v>
      </c>
      <c r="R633" s="32" t="str">
        <f>VLOOKUP($Q633,Resultados!$A$1:$B$49,2,FALSE)</f>
        <v xml:space="preserve"> _</v>
      </c>
      <c r="S633" s="32"/>
      <c r="T633" s="37"/>
      <c r="U633" s="37"/>
      <c r="V633" s="39"/>
      <c r="W633" s="39"/>
      <c r="X633" s="39"/>
      <c r="Y633" s="64"/>
      <c r="Z633" s="39"/>
      <c r="AA633" s="39"/>
      <c r="AB633" s="39"/>
      <c r="AC633" s="39"/>
      <c r="AD633" s="39"/>
      <c r="AE633" s="110"/>
      <c r="AF633" s="39"/>
      <c r="AG633" s="39"/>
      <c r="AH633" s="39"/>
      <c r="AI633" s="39"/>
      <c r="AJ633" s="43" t="s">
        <v>988</v>
      </c>
      <c r="AK633" s="39"/>
      <c r="AL633" s="155" t="s">
        <v>1627</v>
      </c>
      <c r="AM633" s="431" t="str">
        <f>VLOOKUP($Q633,Resultados!$A$1:$C$49,3,FALSE)</f>
        <v>TRAMITE</v>
      </c>
    </row>
    <row r="634" spans="1:39" ht="39.950000000000003" customHeight="1">
      <c r="A634" s="364">
        <v>584</v>
      </c>
      <c r="B634" s="38">
        <v>45329</v>
      </c>
      <c r="C634" s="337" t="s">
        <v>143</v>
      </c>
      <c r="D634" s="32" t="s">
        <v>1764</v>
      </c>
      <c r="E634" s="40" t="s">
        <v>1765</v>
      </c>
      <c r="F634" s="39">
        <v>3</v>
      </c>
      <c r="G634" s="39" t="s">
        <v>1750</v>
      </c>
      <c r="H634" s="38"/>
      <c r="I634" s="38"/>
      <c r="J634" s="38"/>
      <c r="K634" s="39" t="str">
        <f>IFERROR(VLOOKUP(J634,Jueces!$A$1:$B$11,2,FALSE),"")</f>
        <v/>
      </c>
      <c r="L634" s="32" t="s">
        <v>73</v>
      </c>
      <c r="M634" s="32" t="s">
        <v>1767</v>
      </c>
      <c r="N634" s="32" t="s">
        <v>1768</v>
      </c>
      <c r="O634" s="24" t="str">
        <f>IF(Q634=" _","NO","SI")</f>
        <v>NO</v>
      </c>
      <c r="P634" s="24" t="str">
        <f ca="1">IF(color_Celda(E634)=12106214,"ROSA",IF(color_Celda(E634)=65535,"AMARILLO",IF(color_Celda(E634)=5296274,"VERDE",IF(color_Celda(E634)=16777215,"BLANCO","NO SE"))))</f>
        <v>AMARILLO</v>
      </c>
      <c r="Q634" s="32" t="s">
        <v>108</v>
      </c>
      <c r="R634" s="32" t="str">
        <f>VLOOKUP($Q634,Resultados!$A$1:$B$49,2,FALSE)</f>
        <v xml:space="preserve"> _</v>
      </c>
      <c r="S634" s="32"/>
      <c r="T634" s="37"/>
      <c r="U634" s="37"/>
      <c r="V634" s="39"/>
      <c r="W634" s="39"/>
      <c r="X634" s="39"/>
      <c r="Y634" s="64"/>
      <c r="Z634" s="39"/>
      <c r="AA634" s="39"/>
      <c r="AB634" s="39"/>
      <c r="AC634" s="39"/>
      <c r="AD634" s="39"/>
      <c r="AE634" s="110"/>
      <c r="AF634" s="39"/>
      <c r="AG634" s="39"/>
      <c r="AH634" s="39"/>
      <c r="AI634" s="39"/>
      <c r="AJ634" s="43" t="s">
        <v>988</v>
      </c>
      <c r="AK634" s="39"/>
      <c r="AL634" s="155" t="s">
        <v>1627</v>
      </c>
      <c r="AM634" s="431" t="str">
        <f>VLOOKUP($Q634,Resultados!$A$1:$C$49,3,FALSE)</f>
        <v>TRAMITE</v>
      </c>
    </row>
    <row r="635" spans="1:39" ht="39.950000000000003" customHeight="1">
      <c r="A635" s="364">
        <v>585</v>
      </c>
      <c r="B635" s="38">
        <v>45329</v>
      </c>
      <c r="C635" s="337" t="s">
        <v>1561</v>
      </c>
      <c r="D635" s="32" t="s">
        <v>1919</v>
      </c>
      <c r="E635" s="40" t="s">
        <v>1920</v>
      </c>
      <c r="F635" s="39">
        <v>4</v>
      </c>
      <c r="G635" s="39" t="s">
        <v>325</v>
      </c>
      <c r="H635" s="38"/>
      <c r="I635" s="38"/>
      <c r="J635" s="38"/>
      <c r="K635" s="39" t="str">
        <f>IFERROR(VLOOKUP(J635,Jueces!$A$1:$B$11,2,FALSE),"")</f>
        <v/>
      </c>
      <c r="L635" s="32" t="s">
        <v>72</v>
      </c>
      <c r="M635" s="32" t="s">
        <v>1156</v>
      </c>
      <c r="N635" s="32" t="s">
        <v>1921</v>
      </c>
      <c r="O635" s="24" t="str">
        <f>IF(Q635=" _","NO","SI")</f>
        <v>NO</v>
      </c>
      <c r="P635" s="24" t="str">
        <f ca="1">IF(color_Celda(E635)=12106214,"ROSA",IF(color_Celda(E635)=65535,"AMARILLO",IF(color_Celda(E635)=5296274,"VERDE",IF(color_Celda(E635)=16777215,"BLANCO","NO SE"))))</f>
        <v>AMARILLO</v>
      </c>
      <c r="Q635" s="32" t="s">
        <v>108</v>
      </c>
      <c r="R635" s="32" t="str">
        <f>VLOOKUP($Q635,Resultados!$A$1:$B$49,2,FALSE)</f>
        <v xml:space="preserve"> _</v>
      </c>
      <c r="S635" s="32"/>
      <c r="T635" s="37"/>
      <c r="U635" s="37"/>
      <c r="V635" s="39"/>
      <c r="W635" s="39"/>
      <c r="X635" s="39"/>
      <c r="Y635" s="64"/>
      <c r="Z635" s="39"/>
      <c r="AA635" s="39"/>
      <c r="AB635" s="39"/>
      <c r="AC635" s="39"/>
      <c r="AD635" s="39"/>
      <c r="AE635" s="110"/>
      <c r="AF635" s="39"/>
      <c r="AG635" s="39"/>
      <c r="AH635" s="39"/>
      <c r="AI635" s="39"/>
      <c r="AJ635" s="43" t="s">
        <v>988</v>
      </c>
      <c r="AK635" s="39"/>
      <c r="AL635" s="155" t="s">
        <v>1627</v>
      </c>
      <c r="AM635" s="431" t="str">
        <f>VLOOKUP($Q635,Resultados!$A$1:$C$49,3,FALSE)</f>
        <v>TRAMITE</v>
      </c>
    </row>
    <row r="636" spans="1:39" ht="39.950000000000003" customHeight="1">
      <c r="A636" s="364">
        <v>586</v>
      </c>
      <c r="B636" s="38">
        <v>45329</v>
      </c>
      <c r="C636" s="337" t="s">
        <v>14</v>
      </c>
      <c r="D636" s="32" t="s">
        <v>194</v>
      </c>
      <c r="E636" s="40" t="s">
        <v>1934</v>
      </c>
      <c r="F636" s="39">
        <v>4</v>
      </c>
      <c r="G636" s="39" t="s">
        <v>325</v>
      </c>
      <c r="H636" s="38"/>
      <c r="I636" s="38"/>
      <c r="J636" s="38"/>
      <c r="K636" s="39" t="str">
        <f>IFERROR(VLOOKUP(J636,Jueces!$A$1:$B$11,2,FALSE),"")</f>
        <v/>
      </c>
      <c r="L636" s="32" t="s">
        <v>86</v>
      </c>
      <c r="M636" s="32" t="s">
        <v>47</v>
      </c>
      <c r="N636" s="32" t="s">
        <v>1935</v>
      </c>
      <c r="O636" s="24" t="str">
        <f>IF(Q636=" _","NO","SI")</f>
        <v>NO</v>
      </c>
      <c r="P636" s="24" t="str">
        <f ca="1">IF(color_Celda(E636)=12106214,"ROSA",IF(color_Celda(E636)=65535,"AMARILLO",IF(color_Celda(E636)=5296274,"VERDE",IF(color_Celda(E636)=16777215,"BLANCO","NO SE"))))</f>
        <v>AMARILLO</v>
      </c>
      <c r="Q636" s="32" t="s">
        <v>108</v>
      </c>
      <c r="R636" s="32" t="str">
        <f>VLOOKUP($Q636,Resultados!$A$1:$B$49,2,FALSE)</f>
        <v xml:space="preserve"> _</v>
      </c>
      <c r="S636" s="32"/>
      <c r="T636" s="37"/>
      <c r="U636" s="37"/>
      <c r="V636" s="39"/>
      <c r="W636" s="39"/>
      <c r="X636" s="39"/>
      <c r="Y636" s="64"/>
      <c r="Z636" s="39"/>
      <c r="AA636" s="39"/>
      <c r="AB636" s="39"/>
      <c r="AC636" s="39"/>
      <c r="AD636" s="39"/>
      <c r="AE636" s="110"/>
      <c r="AF636" s="39"/>
      <c r="AG636" s="39"/>
      <c r="AH636" s="39"/>
      <c r="AI636" s="39"/>
      <c r="AJ636" s="43" t="s">
        <v>988</v>
      </c>
      <c r="AK636" s="39"/>
      <c r="AL636" s="155" t="s">
        <v>1627</v>
      </c>
      <c r="AM636" s="431" t="str">
        <f>VLOOKUP($Q636,Resultados!$A$1:$C$49,3,FALSE)</f>
        <v>TRAMITE</v>
      </c>
    </row>
    <row r="637" spans="1:39" ht="39.950000000000003" customHeight="1">
      <c r="A637" s="364">
        <v>587</v>
      </c>
      <c r="B637" s="38">
        <v>45329</v>
      </c>
      <c r="C637" s="337" t="s">
        <v>14</v>
      </c>
      <c r="D637" s="32" t="s">
        <v>262</v>
      </c>
      <c r="E637" s="40" t="s">
        <v>1939</v>
      </c>
      <c r="F637" s="39">
        <v>4</v>
      </c>
      <c r="G637" s="39" t="s">
        <v>325</v>
      </c>
      <c r="H637" s="38"/>
      <c r="I637" s="38"/>
      <c r="J637" s="38"/>
      <c r="K637" s="39" t="str">
        <f>IFERROR(VLOOKUP(J637,Jueces!$A$1:$B$11,2,FALSE),"")</f>
        <v/>
      </c>
      <c r="L637" s="32" t="s">
        <v>72</v>
      </c>
      <c r="M637" s="32" t="s">
        <v>223</v>
      </c>
      <c r="N637" s="32" t="s">
        <v>1940</v>
      </c>
      <c r="O637" s="24" t="str">
        <f>IF(Q637=" _","NO","SI")</f>
        <v>NO</v>
      </c>
      <c r="P637" s="24" t="str">
        <f ca="1">IF(color_Celda(E637)=12106214,"ROSA",IF(color_Celda(E637)=65535,"AMARILLO",IF(color_Celda(E637)=5296274,"VERDE",IF(color_Celda(E637)=16777215,"BLANCO","NO SE"))))</f>
        <v>AMARILLO</v>
      </c>
      <c r="Q637" s="32" t="s">
        <v>108</v>
      </c>
      <c r="R637" s="32" t="str">
        <f>VLOOKUP($Q637,Resultados!$A$1:$B$49,2,FALSE)</f>
        <v xml:space="preserve"> _</v>
      </c>
      <c r="S637" s="32"/>
      <c r="T637" s="37"/>
      <c r="U637" s="37"/>
      <c r="V637" s="39"/>
      <c r="W637" s="39"/>
      <c r="X637" s="39"/>
      <c r="Y637" s="64"/>
      <c r="Z637" s="39"/>
      <c r="AA637" s="39"/>
      <c r="AB637" s="39"/>
      <c r="AC637" s="39"/>
      <c r="AD637" s="39"/>
      <c r="AE637" s="110"/>
      <c r="AF637" s="39"/>
      <c r="AG637" s="39"/>
      <c r="AH637" s="39"/>
      <c r="AI637" s="39"/>
      <c r="AJ637" s="43" t="s">
        <v>988</v>
      </c>
      <c r="AK637" s="39"/>
      <c r="AL637" s="155" t="s">
        <v>1627</v>
      </c>
      <c r="AM637" s="431" t="str">
        <f>VLOOKUP($Q637,Resultados!$A$1:$C$49,3,FALSE)</f>
        <v>TRAMITE</v>
      </c>
    </row>
    <row r="638" spans="1:39" ht="39.950000000000003" customHeight="1">
      <c r="A638" s="364">
        <v>588</v>
      </c>
      <c r="B638" s="38">
        <v>45329</v>
      </c>
      <c r="C638" s="337" t="s">
        <v>735</v>
      </c>
      <c r="D638" s="32" t="s">
        <v>1999</v>
      </c>
      <c r="E638" s="40" t="s">
        <v>2000</v>
      </c>
      <c r="F638" s="39">
        <v>6</v>
      </c>
      <c r="G638" s="32" t="s">
        <v>2876</v>
      </c>
      <c r="H638" s="38"/>
      <c r="I638" s="38"/>
      <c r="J638" s="38"/>
      <c r="K638" s="39" t="str">
        <f>IFERROR(VLOOKUP(J638,Jueces!$A$1:$B$11,2,FALSE),"")</f>
        <v/>
      </c>
      <c r="L638" s="32" t="s">
        <v>77</v>
      </c>
      <c r="M638" s="32" t="s">
        <v>2001</v>
      </c>
      <c r="N638" s="32" t="s">
        <v>1948</v>
      </c>
      <c r="O638" s="24" t="str">
        <f>IF(Q638=" _","NO","SI")</f>
        <v>NO</v>
      </c>
      <c r="P638" s="24" t="str">
        <f ca="1">IF(color_Celda(E638)=12106214,"ROSA",IF(color_Celda(E638)=65535,"AMARILLO",IF(color_Celda(E638)=5296274,"VERDE",IF(color_Celda(E638)=16777215,"BLANCO","NO SE"))))</f>
        <v>AMARILLO</v>
      </c>
      <c r="Q638" s="32" t="s">
        <v>108</v>
      </c>
      <c r="R638" s="32" t="str">
        <f>VLOOKUP($Q638,Resultados!$A$1:$B$49,2,FALSE)</f>
        <v xml:space="preserve"> _</v>
      </c>
      <c r="S638" s="32"/>
      <c r="T638" s="37"/>
      <c r="U638" s="37"/>
      <c r="V638" s="39"/>
      <c r="W638" s="39"/>
      <c r="X638" s="39"/>
      <c r="Y638" s="64"/>
      <c r="Z638" s="39"/>
      <c r="AA638" s="39"/>
      <c r="AB638" s="39"/>
      <c r="AC638" s="39"/>
      <c r="AD638" s="39"/>
      <c r="AE638" s="110"/>
      <c r="AF638" s="39"/>
      <c r="AG638" s="39"/>
      <c r="AH638" s="39"/>
      <c r="AI638" s="39"/>
      <c r="AJ638" s="43" t="s">
        <v>988</v>
      </c>
      <c r="AK638" s="39"/>
      <c r="AL638" s="155" t="s">
        <v>1627</v>
      </c>
      <c r="AM638" s="431" t="str">
        <f>VLOOKUP($Q638,Resultados!$A$1:$C$49,3,FALSE)</f>
        <v>TRAMITE</v>
      </c>
    </row>
    <row r="639" spans="1:39" ht="39.950000000000003" customHeight="1">
      <c r="A639" s="364">
        <v>589</v>
      </c>
      <c r="B639" s="38">
        <v>45329</v>
      </c>
      <c r="C639" s="337" t="s">
        <v>735</v>
      </c>
      <c r="D639" s="32" t="s">
        <v>2002</v>
      </c>
      <c r="E639" s="40" t="s">
        <v>2921</v>
      </c>
      <c r="F639" s="39">
        <v>6</v>
      </c>
      <c r="G639" s="32" t="s">
        <v>2876</v>
      </c>
      <c r="H639" s="38"/>
      <c r="I639" s="38"/>
      <c r="J639" s="38"/>
      <c r="K639" s="39" t="str">
        <f>IFERROR(VLOOKUP(J639,Jueces!$A$1:$B$11,2,FALSE),"")</f>
        <v/>
      </c>
      <c r="L639" s="32" t="s">
        <v>73</v>
      </c>
      <c r="M639" s="32" t="s">
        <v>67</v>
      </c>
      <c r="N639" s="32" t="s">
        <v>1948</v>
      </c>
      <c r="O639" s="24" t="str">
        <f>IF(Q639=" _","NO","SI")</f>
        <v>NO</v>
      </c>
      <c r="P639" s="24" t="str">
        <f ca="1">IF(color_Celda(E639)=12106214,"ROSA",IF(color_Celda(E639)=65535,"AMARILLO",IF(color_Celda(E639)=5296274,"VERDE",IF(color_Celda(E639)=16777215,"BLANCO","NO SE"))))</f>
        <v>AMARILLO</v>
      </c>
      <c r="Q639" s="32" t="s">
        <v>108</v>
      </c>
      <c r="R639" s="32" t="str">
        <f>VLOOKUP($Q639,Resultados!$A$1:$B$49,2,FALSE)</f>
        <v xml:space="preserve"> _</v>
      </c>
      <c r="S639" s="32"/>
      <c r="T639" s="37"/>
      <c r="U639" s="37"/>
      <c r="V639" s="39"/>
      <c r="W639" s="39"/>
      <c r="X639" s="39"/>
      <c r="Y639" s="64"/>
      <c r="Z639" s="39"/>
      <c r="AA639" s="39"/>
      <c r="AB639" s="39"/>
      <c r="AC639" s="39"/>
      <c r="AD639" s="39"/>
      <c r="AE639" s="110"/>
      <c r="AF639" s="39"/>
      <c r="AG639" s="39"/>
      <c r="AH639" s="39"/>
      <c r="AI639" s="39"/>
      <c r="AJ639" s="43" t="s">
        <v>988</v>
      </c>
      <c r="AK639" s="39"/>
      <c r="AL639" s="155" t="s">
        <v>1627</v>
      </c>
      <c r="AM639" s="431" t="str">
        <f>VLOOKUP($Q639,Resultados!$A$1:$C$49,3,FALSE)</f>
        <v>TRAMITE</v>
      </c>
    </row>
    <row r="640" spans="1:39" ht="39.950000000000003" customHeight="1">
      <c r="A640" s="364">
        <v>591</v>
      </c>
      <c r="B640" s="38">
        <v>45330</v>
      </c>
      <c r="C640" s="337" t="s">
        <v>12</v>
      </c>
      <c r="D640" s="32" t="s">
        <v>1530</v>
      </c>
      <c r="E640" s="40" t="s">
        <v>1531</v>
      </c>
      <c r="F640" s="32">
        <v>6</v>
      </c>
      <c r="G640" s="32" t="s">
        <v>326</v>
      </c>
      <c r="H640" s="38"/>
      <c r="I640" s="38"/>
      <c r="J640" s="38"/>
      <c r="K640" s="39" t="str">
        <f>IFERROR(VLOOKUP(J640,Jueces!$A$1:$B$11,2,FALSE),"")</f>
        <v/>
      </c>
      <c r="L640" s="32" t="s">
        <v>75</v>
      </c>
      <c r="M640" s="32" t="s">
        <v>1156</v>
      </c>
      <c r="N640" s="32" t="s">
        <v>1948</v>
      </c>
      <c r="O640" s="24" t="str">
        <f>IF(Q640=" _","NO","SI")</f>
        <v>NO</v>
      </c>
      <c r="P640" s="24" t="str">
        <f ca="1">IF(color_Celda(E640)=12106214,"ROSA",IF(color_Celda(E640)=65535,"AMARILLO",IF(color_Celda(E640)=5296274,"VERDE",IF(color_Celda(E640)=16777215,"BLANCO","NO SE"))))</f>
        <v>AMARILLO</v>
      </c>
      <c r="Q640" s="32" t="s">
        <v>108</v>
      </c>
      <c r="R640" s="32" t="str">
        <f>VLOOKUP($Q640,Resultados!$A$1:$B$49,2,FALSE)</f>
        <v xml:space="preserve"> _</v>
      </c>
      <c r="S640" s="32"/>
      <c r="T640" s="37"/>
      <c r="U640" s="37"/>
      <c r="V640" s="39"/>
      <c r="W640" s="39"/>
      <c r="X640" s="39"/>
      <c r="Y640" s="64"/>
      <c r="Z640" s="39"/>
      <c r="AA640" s="39"/>
      <c r="AB640" s="39"/>
      <c r="AC640" s="39"/>
      <c r="AD640" s="39"/>
      <c r="AE640" s="110"/>
      <c r="AF640" s="39"/>
      <c r="AG640" s="39"/>
      <c r="AH640" s="39"/>
      <c r="AI640" s="39"/>
      <c r="AJ640" s="43" t="s">
        <v>988</v>
      </c>
      <c r="AK640" s="39"/>
      <c r="AL640" s="155" t="s">
        <v>1627</v>
      </c>
      <c r="AM640" s="431" t="str">
        <f>VLOOKUP($Q640,Resultados!$A$1:$C$49,3,FALSE)</f>
        <v>TRAMITE</v>
      </c>
    </row>
    <row r="641" spans="1:39" ht="39.950000000000003" customHeight="1">
      <c r="A641" s="364">
        <v>592</v>
      </c>
      <c r="B641" s="38">
        <v>45330</v>
      </c>
      <c r="C641" s="337" t="s">
        <v>12</v>
      </c>
      <c r="D641" s="32" t="s">
        <v>1532</v>
      </c>
      <c r="E641" s="40" t="s">
        <v>1533</v>
      </c>
      <c r="F641" s="39">
        <v>6</v>
      </c>
      <c r="G641" s="32" t="s">
        <v>326</v>
      </c>
      <c r="H641" s="38"/>
      <c r="I641" s="38"/>
      <c r="J641" s="38"/>
      <c r="K641" s="39" t="str">
        <f>IFERROR(VLOOKUP(J641,Jueces!$A$1:$B$11,2,FALSE),"")</f>
        <v/>
      </c>
      <c r="L641" s="32" t="s">
        <v>87</v>
      </c>
      <c r="M641" s="39" t="s">
        <v>749</v>
      </c>
      <c r="N641" s="32" t="s">
        <v>1868</v>
      </c>
      <c r="O641" s="24" t="str">
        <f>IF(Q641=" _","NO","SI")</f>
        <v>NO</v>
      </c>
      <c r="P641" s="24" t="str">
        <f ca="1">IF(color_Celda(E641)=12106214,"ROSA",IF(color_Celda(E641)=65535,"AMARILLO",IF(color_Celda(E641)=5296274,"VERDE",IF(color_Celda(E641)=16777215,"BLANCO","NO SE"))))</f>
        <v>AMARILLO</v>
      </c>
      <c r="Q641" s="32" t="s">
        <v>108</v>
      </c>
      <c r="R641" s="32" t="str">
        <f>VLOOKUP($Q641,Resultados!$A$1:$B$49,2,FALSE)</f>
        <v xml:space="preserve"> _</v>
      </c>
      <c r="S641" s="32"/>
      <c r="T641" s="37"/>
      <c r="U641" s="37"/>
      <c r="V641" s="39"/>
      <c r="W641" s="39"/>
      <c r="X641" s="39"/>
      <c r="Y641" s="64"/>
      <c r="Z641" s="39"/>
      <c r="AA641" s="39"/>
      <c r="AB641" s="39"/>
      <c r="AC641" s="39"/>
      <c r="AD641" s="39"/>
      <c r="AE641" s="110"/>
      <c r="AF641" s="39"/>
      <c r="AG641" s="39"/>
      <c r="AH641" s="39"/>
      <c r="AI641" s="39"/>
      <c r="AJ641" s="43" t="s">
        <v>988</v>
      </c>
      <c r="AK641" s="39"/>
      <c r="AL641" s="155" t="s">
        <v>1627</v>
      </c>
      <c r="AM641" s="431" t="str">
        <f>VLOOKUP($Q641,Resultados!$A$1:$C$49,3,FALSE)</f>
        <v>TRAMITE</v>
      </c>
    </row>
    <row r="642" spans="1:39" ht="39.950000000000003" customHeight="1">
      <c r="A642" s="364">
        <v>593</v>
      </c>
      <c r="B642" s="38">
        <v>45330</v>
      </c>
      <c r="C642" s="337" t="s">
        <v>12</v>
      </c>
      <c r="D642" s="32" t="s">
        <v>1534</v>
      </c>
      <c r="E642" s="40" t="s">
        <v>1535</v>
      </c>
      <c r="F642" s="39">
        <v>6</v>
      </c>
      <c r="G642" s="32" t="s">
        <v>326</v>
      </c>
      <c r="H642" s="38"/>
      <c r="I642" s="38"/>
      <c r="J642" s="38"/>
      <c r="K642" s="39" t="str">
        <f>IFERROR(VLOOKUP(J642,Jueces!$A$1:$B$11,2,FALSE),"")</f>
        <v/>
      </c>
      <c r="L642" s="32" t="s">
        <v>250</v>
      </c>
      <c r="M642" s="32" t="s">
        <v>1993</v>
      </c>
      <c r="N642" s="32" t="s">
        <v>1994</v>
      </c>
      <c r="O642" s="24" t="str">
        <f>IF(Q642=" _","NO","SI")</f>
        <v>NO</v>
      </c>
      <c r="P642" s="24" t="str">
        <f ca="1">IF(color_Celda(E642)=12106214,"ROSA",IF(color_Celda(E642)=65535,"AMARILLO",IF(color_Celda(E642)=5296274,"VERDE",IF(color_Celda(E642)=16777215,"BLANCO","NO SE"))))</f>
        <v>AMARILLO</v>
      </c>
      <c r="Q642" s="32" t="s">
        <v>108</v>
      </c>
      <c r="R642" s="32" t="str">
        <f>VLOOKUP($Q642,Resultados!$A$1:$B$49,2,FALSE)</f>
        <v xml:space="preserve"> _</v>
      </c>
      <c r="S642" s="32"/>
      <c r="T642" s="37"/>
      <c r="U642" s="37"/>
      <c r="V642" s="39"/>
      <c r="W642" s="39"/>
      <c r="X642" s="39"/>
      <c r="Y642" s="64"/>
      <c r="Z642" s="39"/>
      <c r="AA642" s="39"/>
      <c r="AB642" s="39"/>
      <c r="AC642" s="39"/>
      <c r="AD642" s="39"/>
      <c r="AE642" s="110"/>
      <c r="AF642" s="39"/>
      <c r="AG642" s="39"/>
      <c r="AH642" s="39"/>
      <c r="AI642" s="39"/>
      <c r="AJ642" s="43" t="s">
        <v>988</v>
      </c>
      <c r="AK642" s="39"/>
      <c r="AL642" s="155" t="s">
        <v>1627</v>
      </c>
      <c r="AM642" s="431" t="str">
        <f>VLOOKUP($Q642,Resultados!$A$1:$C$49,3,FALSE)</f>
        <v>TRAMITE</v>
      </c>
    </row>
    <row r="643" spans="1:39" ht="39.950000000000003" customHeight="1">
      <c r="A643" s="364">
        <v>595</v>
      </c>
      <c r="B643" s="38">
        <v>45330</v>
      </c>
      <c r="C643" s="337" t="s">
        <v>14</v>
      </c>
      <c r="D643" s="32" t="s">
        <v>1537</v>
      </c>
      <c r="E643" s="40" t="s">
        <v>1538</v>
      </c>
      <c r="F643" s="39">
        <v>1</v>
      </c>
      <c r="G643" s="39" t="s">
        <v>10</v>
      </c>
      <c r="H643" s="38"/>
      <c r="I643" s="38"/>
      <c r="J643" s="38"/>
      <c r="K643" s="39" t="str">
        <f>IFERROR(VLOOKUP(J643,Jueces!$A$1:$B$11,2,FALSE),"")</f>
        <v/>
      </c>
      <c r="L643" s="32" t="s">
        <v>25</v>
      </c>
      <c r="M643" s="32"/>
      <c r="N643" s="32" t="s">
        <v>1539</v>
      </c>
      <c r="O643" s="24" t="str">
        <f>IF(Q643=" _","NO","SI")</f>
        <v>NO</v>
      </c>
      <c r="P643" s="24" t="str">
        <f ca="1">IF(color_Celda(E643)=12106214,"ROSA",IF(color_Celda(E643)=65535,"AMARILLO",IF(color_Celda(E643)=5296274,"VERDE",IF(color_Celda(E643)=16777215,"BLANCO","NO SE"))))</f>
        <v>AMARILLO</v>
      </c>
      <c r="Q643" s="32" t="s">
        <v>108</v>
      </c>
      <c r="R643" s="32" t="str">
        <f>VLOOKUP($Q643,Resultados!$A$1:$B$49,2,FALSE)</f>
        <v xml:space="preserve"> _</v>
      </c>
      <c r="S643" s="32"/>
      <c r="T643" s="37"/>
      <c r="U643" s="37"/>
      <c r="V643" s="39"/>
      <c r="W643" s="39"/>
      <c r="X643" s="39"/>
      <c r="Y643" s="64"/>
      <c r="Z643" s="39"/>
      <c r="AA643" s="39"/>
      <c r="AB643" s="39"/>
      <c r="AC643" s="39"/>
      <c r="AD643" s="39"/>
      <c r="AE643" s="110"/>
      <c r="AF643" s="39"/>
      <c r="AG643" s="39"/>
      <c r="AH643" s="39"/>
      <c r="AI643" s="39"/>
      <c r="AJ643" s="43" t="s">
        <v>988</v>
      </c>
      <c r="AK643" s="39"/>
      <c r="AL643" s="363" t="s">
        <v>1627</v>
      </c>
      <c r="AM643" s="431" t="str">
        <f>VLOOKUP($Q643,Resultados!$A$1:$C$49,3,FALSE)</f>
        <v>TRAMITE</v>
      </c>
    </row>
    <row r="644" spans="1:39" ht="39.950000000000003" customHeight="1">
      <c r="A644" s="364">
        <v>596</v>
      </c>
      <c r="B644" s="38">
        <v>45330</v>
      </c>
      <c r="C644" s="337" t="s">
        <v>716</v>
      </c>
      <c r="D644" s="32" t="s">
        <v>1557</v>
      </c>
      <c r="E644" s="40" t="s">
        <v>1558</v>
      </c>
      <c r="F644" s="39">
        <v>2</v>
      </c>
      <c r="G644" s="39" t="s">
        <v>325</v>
      </c>
      <c r="H644" s="38"/>
      <c r="I644" s="38"/>
      <c r="J644" s="38"/>
      <c r="K644" s="39" t="str">
        <f>IFERROR(VLOOKUP(J644,Jueces!$A$1:$B$11,2,FALSE),"")</f>
        <v/>
      </c>
      <c r="L644" s="32" t="s">
        <v>252</v>
      </c>
      <c r="M644" s="32" t="s">
        <v>1873</v>
      </c>
      <c r="N644" s="32" t="s">
        <v>1874</v>
      </c>
      <c r="O644" s="24" t="str">
        <f>IF(Q644=" _","NO","SI")</f>
        <v>NO</v>
      </c>
      <c r="P644" s="24" t="str">
        <f ca="1">IF(color_Celda(E644)=12106214,"ROSA",IF(color_Celda(E644)=65535,"AMARILLO",IF(color_Celda(E644)=5296274,"VERDE",IF(color_Celda(E644)=16777215,"BLANCO","NO SE"))))</f>
        <v>AMARILLO</v>
      </c>
      <c r="Q644" s="32" t="s">
        <v>108</v>
      </c>
      <c r="R644" s="32" t="str">
        <f>VLOOKUP($Q644,Resultados!$A$1:$B$49,2,FALSE)</f>
        <v xml:space="preserve"> _</v>
      </c>
      <c r="S644" s="32"/>
      <c r="T644" s="37"/>
      <c r="U644" s="37"/>
      <c r="V644" s="39"/>
      <c r="W644" s="39"/>
      <c r="X644" s="39"/>
      <c r="Y644" s="64"/>
      <c r="Z644" s="39"/>
      <c r="AA644" s="39"/>
      <c r="AB644" s="39"/>
      <c r="AC644" s="39"/>
      <c r="AD644" s="39"/>
      <c r="AE644" s="110"/>
      <c r="AF644" s="39"/>
      <c r="AG644" s="39"/>
      <c r="AH644" s="39"/>
      <c r="AI644" s="39"/>
      <c r="AJ644" s="43" t="s">
        <v>988</v>
      </c>
      <c r="AK644" s="39"/>
      <c r="AL644" s="155" t="s">
        <v>1627</v>
      </c>
      <c r="AM644" s="431" t="str">
        <f>VLOOKUP($Q644,Resultados!$A$1:$C$49,3,FALSE)</f>
        <v>TRAMITE</v>
      </c>
    </row>
    <row r="645" spans="1:39" ht="39.950000000000003" customHeight="1">
      <c r="A645" s="364">
        <v>597</v>
      </c>
      <c r="B645" s="35">
        <v>45330</v>
      </c>
      <c r="C645" s="337" t="s">
        <v>979</v>
      </c>
      <c r="D645" s="32" t="s">
        <v>1559</v>
      </c>
      <c r="E645" s="40" t="s">
        <v>1560</v>
      </c>
      <c r="F645" s="39">
        <v>2</v>
      </c>
      <c r="G645" s="39" t="s">
        <v>325</v>
      </c>
      <c r="H645" s="38"/>
      <c r="I645" s="38"/>
      <c r="J645" s="38"/>
      <c r="K645" s="39" t="str">
        <f>IFERROR(VLOOKUP(J645,Jueces!$A$1:$B$11,2,FALSE),"")</f>
        <v/>
      </c>
      <c r="L645" s="32" t="s">
        <v>72</v>
      </c>
      <c r="M645" s="32" t="s">
        <v>749</v>
      </c>
      <c r="N645" s="32" t="s">
        <v>1568</v>
      </c>
      <c r="O645" s="24" t="str">
        <f>IF(Q645=" _","NO","SI")</f>
        <v>NO</v>
      </c>
      <c r="P645" s="24" t="str">
        <f ca="1">IF(color_Celda(E645)=12106214,"ROSA",IF(color_Celda(E645)=65535,"AMARILLO",IF(color_Celda(E645)=5296274,"VERDE",IF(color_Celda(E645)=16777215,"BLANCO","NO SE"))))</f>
        <v>AMARILLO</v>
      </c>
      <c r="Q645" s="32" t="s">
        <v>108</v>
      </c>
      <c r="R645" s="32" t="str">
        <f>VLOOKUP($Q645,Resultados!$A$1:$B$49,2,FALSE)</f>
        <v xml:space="preserve"> _</v>
      </c>
      <c r="S645" s="32"/>
      <c r="T645" s="37"/>
      <c r="U645" s="37"/>
      <c r="V645" s="39"/>
      <c r="W645" s="39"/>
      <c r="X645" s="39"/>
      <c r="Y645" s="64"/>
      <c r="Z645" s="39"/>
      <c r="AA645" s="39"/>
      <c r="AB645" s="39"/>
      <c r="AC645" s="39"/>
      <c r="AD645" s="39"/>
      <c r="AE645" s="110"/>
      <c r="AF645" s="39"/>
      <c r="AG645" s="39"/>
      <c r="AH645" s="39"/>
      <c r="AI645" s="39"/>
      <c r="AJ645" s="43" t="s">
        <v>988</v>
      </c>
      <c r="AK645" s="39"/>
      <c r="AL645" s="155" t="s">
        <v>1627</v>
      </c>
      <c r="AM645" s="431" t="str">
        <f>VLOOKUP($Q645,Resultados!$A$1:$C$49,3,FALSE)</f>
        <v>TRAMITE</v>
      </c>
    </row>
    <row r="646" spans="1:39" ht="39.950000000000003" customHeight="1">
      <c r="A646" s="364">
        <v>598</v>
      </c>
      <c r="B646" s="38">
        <v>45330</v>
      </c>
      <c r="C646" s="337" t="s">
        <v>1561</v>
      </c>
      <c r="D646" s="32" t="s">
        <v>1562</v>
      </c>
      <c r="E646" s="40" t="s">
        <v>1563</v>
      </c>
      <c r="F646" s="39">
        <v>6</v>
      </c>
      <c r="G646" s="32" t="s">
        <v>326</v>
      </c>
      <c r="H646" s="38"/>
      <c r="I646" s="38"/>
      <c r="J646" s="38"/>
      <c r="K646" s="39" t="str">
        <f>IFERROR(VLOOKUP(J646,Jueces!$A$1:$B$11,2,FALSE),"")</f>
        <v/>
      </c>
      <c r="L646" s="32" t="s">
        <v>73</v>
      </c>
      <c r="M646" s="32" t="s">
        <v>1156</v>
      </c>
      <c r="N646" s="32" t="s">
        <v>1868</v>
      </c>
      <c r="O646" s="24" t="str">
        <f>IF(Q646=" _","NO","SI")</f>
        <v>NO</v>
      </c>
      <c r="P646" s="24" t="str">
        <f ca="1">IF(color_Celda(E646)=12106214,"ROSA",IF(color_Celda(E646)=65535,"AMARILLO",IF(color_Celda(E646)=5296274,"VERDE",IF(color_Celda(E646)=16777215,"BLANCO","NO SE"))))</f>
        <v>AMARILLO</v>
      </c>
      <c r="Q646" s="32" t="s">
        <v>108</v>
      </c>
      <c r="R646" s="32" t="str">
        <f>VLOOKUP($Q646,Resultados!$A$1:$B$49,2,FALSE)</f>
        <v xml:space="preserve"> _</v>
      </c>
      <c r="S646" s="32"/>
      <c r="T646" s="37"/>
      <c r="U646" s="37"/>
      <c r="V646" s="39"/>
      <c r="W646" s="39"/>
      <c r="X646" s="39"/>
      <c r="Y646" s="64"/>
      <c r="Z646" s="39"/>
      <c r="AA646" s="39"/>
      <c r="AB646" s="39"/>
      <c r="AC646" s="39"/>
      <c r="AD646" s="39"/>
      <c r="AE646" s="110"/>
      <c r="AF646" s="39"/>
      <c r="AG646" s="39"/>
      <c r="AH646" s="39"/>
      <c r="AI646" s="39"/>
      <c r="AJ646" s="43" t="s">
        <v>988</v>
      </c>
      <c r="AK646" s="39"/>
      <c r="AL646" s="155" t="s">
        <v>1627</v>
      </c>
      <c r="AM646" s="431" t="str">
        <f>VLOOKUP($Q646,Resultados!$A$1:$C$49,3,FALSE)</f>
        <v>TRAMITE</v>
      </c>
    </row>
    <row r="647" spans="1:39" ht="39.950000000000003" customHeight="1">
      <c r="A647" s="364">
        <v>599</v>
      </c>
      <c r="B647" s="38">
        <v>45330</v>
      </c>
      <c r="C647" s="337" t="s">
        <v>1050</v>
      </c>
      <c r="D647" s="32" t="s">
        <v>11</v>
      </c>
      <c r="E647" s="40" t="s">
        <v>1564</v>
      </c>
      <c r="F647" s="39">
        <v>3</v>
      </c>
      <c r="G647" s="39" t="s">
        <v>1750</v>
      </c>
      <c r="H647" s="38"/>
      <c r="I647" s="38"/>
      <c r="J647" s="38"/>
      <c r="K647" s="39" t="str">
        <f>IFERROR(VLOOKUP(J647,Jueces!$A$1:$B$11,2,FALSE),"")</f>
        <v/>
      </c>
      <c r="L647" s="32" t="s">
        <v>250</v>
      </c>
      <c r="M647" s="32" t="s">
        <v>27</v>
      </c>
      <c r="N647" s="32" t="s">
        <v>1752</v>
      </c>
      <c r="O647" s="24" t="str">
        <f>IF(Q647=" _","NO","SI")</f>
        <v>NO</v>
      </c>
      <c r="P647" s="24" t="str">
        <f ca="1">IF(color_Celda(E647)=12106214,"ROSA",IF(color_Celda(E647)=65535,"AMARILLO",IF(color_Celda(E647)=5296274,"VERDE",IF(color_Celda(E647)=16777215,"BLANCO","NO SE"))))</f>
        <v>AMARILLO</v>
      </c>
      <c r="Q647" s="32" t="s">
        <v>108</v>
      </c>
      <c r="R647" s="32" t="str">
        <f>VLOOKUP($Q647,Resultados!$A$1:$B$49,2,FALSE)</f>
        <v xml:space="preserve"> _</v>
      </c>
      <c r="S647" s="32"/>
      <c r="T647" s="37"/>
      <c r="U647" s="37"/>
      <c r="V647" s="39"/>
      <c r="W647" s="39"/>
      <c r="X647" s="39"/>
      <c r="Y647" s="64"/>
      <c r="Z647" s="39"/>
      <c r="AA647" s="39"/>
      <c r="AB647" s="39"/>
      <c r="AC647" s="39"/>
      <c r="AD647" s="39"/>
      <c r="AE647" s="110"/>
      <c r="AF647" s="39"/>
      <c r="AG647" s="39"/>
      <c r="AH647" s="39"/>
      <c r="AI647" s="39"/>
      <c r="AJ647" s="43" t="s">
        <v>988</v>
      </c>
      <c r="AK647" s="39"/>
      <c r="AL647" s="155" t="s">
        <v>1627</v>
      </c>
      <c r="AM647" s="431" t="str">
        <f>VLOOKUP($Q647,Resultados!$A$1:$C$49,3,FALSE)</f>
        <v>TRAMITE</v>
      </c>
    </row>
    <row r="648" spans="1:39" ht="39.950000000000003" customHeight="1">
      <c r="A648" s="364">
        <v>601</v>
      </c>
      <c r="B648" s="38">
        <v>45330</v>
      </c>
      <c r="C648" s="337" t="s">
        <v>1306</v>
      </c>
      <c r="D648" s="32" t="s">
        <v>1567</v>
      </c>
      <c r="E648" s="40" t="s">
        <v>1574</v>
      </c>
      <c r="F648" s="39">
        <v>6</v>
      </c>
      <c r="G648" s="32" t="s">
        <v>326</v>
      </c>
      <c r="H648" s="38"/>
      <c r="I648" s="38"/>
      <c r="J648" s="38"/>
      <c r="K648" s="39" t="str">
        <f>IFERROR(VLOOKUP(J648,Jueces!$A$1:$B$11,2,FALSE),"")</f>
        <v/>
      </c>
      <c r="L648" s="32" t="s">
        <v>252</v>
      </c>
      <c r="M648" s="32" t="s">
        <v>1945</v>
      </c>
      <c r="N648" s="32" t="s">
        <v>1868</v>
      </c>
      <c r="O648" s="24" t="str">
        <f>IF(Q648=" _","NO","SI")</f>
        <v>NO</v>
      </c>
      <c r="P648" s="24" t="str">
        <f ca="1">IF(color_Celda(E648)=12106214,"ROSA",IF(color_Celda(E648)=65535,"AMARILLO",IF(color_Celda(E648)=5296274,"VERDE",IF(color_Celda(E648)=16777215,"BLANCO","NO SE"))))</f>
        <v>AMARILLO</v>
      </c>
      <c r="Q648" s="32" t="s">
        <v>108</v>
      </c>
      <c r="R648" s="32" t="str">
        <f>VLOOKUP($Q648,Resultados!$A$1:$B$49,2,FALSE)</f>
        <v xml:space="preserve"> _</v>
      </c>
      <c r="S648" s="32"/>
      <c r="T648" s="37"/>
      <c r="U648" s="37"/>
      <c r="V648" s="39"/>
      <c r="W648" s="39"/>
      <c r="X648" s="39"/>
      <c r="Y648" s="64"/>
      <c r="Z648" s="39"/>
      <c r="AA648" s="39"/>
      <c r="AB648" s="39"/>
      <c r="AC648" s="39"/>
      <c r="AD648" s="39"/>
      <c r="AE648" s="110"/>
      <c r="AF648" s="39"/>
      <c r="AG648" s="39"/>
      <c r="AH648" s="39"/>
      <c r="AI648" s="39"/>
      <c r="AJ648" s="43" t="s">
        <v>988</v>
      </c>
      <c r="AK648" s="39"/>
      <c r="AL648" s="155" t="s">
        <v>1627</v>
      </c>
      <c r="AM648" s="431" t="str">
        <f>VLOOKUP($Q648,Resultados!$A$1:$C$49,3,FALSE)</f>
        <v>TRAMITE</v>
      </c>
    </row>
    <row r="649" spans="1:39" ht="39.950000000000003" customHeight="1">
      <c r="A649" s="364">
        <v>602</v>
      </c>
      <c r="B649" s="38">
        <v>45330</v>
      </c>
      <c r="C649" s="337" t="s">
        <v>1288</v>
      </c>
      <c r="D649" s="32" t="s">
        <v>1575</v>
      </c>
      <c r="E649" s="40" t="s">
        <v>1576</v>
      </c>
      <c r="F649" s="39">
        <v>2</v>
      </c>
      <c r="G649" s="39" t="s">
        <v>325</v>
      </c>
      <c r="H649" s="38"/>
      <c r="I649" s="38"/>
      <c r="J649" s="38"/>
      <c r="K649" s="39" t="str">
        <f>IFERROR(VLOOKUP(J649,Jueces!$A$1:$B$11,2,FALSE),"")</f>
        <v/>
      </c>
      <c r="L649" s="32" t="s">
        <v>25</v>
      </c>
      <c r="M649" s="32" t="s">
        <v>1901</v>
      </c>
      <c r="N649" s="32" t="s">
        <v>1902</v>
      </c>
      <c r="O649" s="24" t="str">
        <f>IF(Q649=" _","NO","SI")</f>
        <v>NO</v>
      </c>
      <c r="P649" s="24" t="str">
        <f ca="1">IF(color_Celda(E649)=12106214,"ROSA",IF(color_Celda(E649)=65535,"AMARILLO",IF(color_Celda(E649)=5296274,"VERDE",IF(color_Celda(E649)=16777215,"BLANCO","NO SE"))))</f>
        <v>AMARILLO</v>
      </c>
      <c r="Q649" s="32" t="s">
        <v>108</v>
      </c>
      <c r="R649" s="32" t="str">
        <f>VLOOKUP($Q649,Resultados!$A$1:$B$49,2,FALSE)</f>
        <v xml:space="preserve"> _</v>
      </c>
      <c r="S649" s="32"/>
      <c r="T649" s="37"/>
      <c r="U649" s="37"/>
      <c r="V649" s="39"/>
      <c r="W649" s="39"/>
      <c r="X649" s="39"/>
      <c r="Y649" s="64"/>
      <c r="Z649" s="39"/>
      <c r="AA649" s="39"/>
      <c r="AB649" s="39"/>
      <c r="AC649" s="39"/>
      <c r="AD649" s="39"/>
      <c r="AE649" s="110"/>
      <c r="AF649" s="39"/>
      <c r="AG649" s="39"/>
      <c r="AH649" s="39"/>
      <c r="AI649" s="39"/>
      <c r="AJ649" s="43" t="s">
        <v>988</v>
      </c>
      <c r="AK649" s="39"/>
      <c r="AL649" s="155" t="s">
        <v>1627</v>
      </c>
      <c r="AM649" s="431" t="str">
        <f>VLOOKUP($Q649,Resultados!$A$1:$C$49,3,FALSE)</f>
        <v>TRAMITE</v>
      </c>
    </row>
    <row r="650" spans="1:39" ht="39.950000000000003" customHeight="1">
      <c r="A650" s="364">
        <v>603</v>
      </c>
      <c r="B650" s="38">
        <v>45330</v>
      </c>
      <c r="C650" s="337" t="s">
        <v>1580</v>
      </c>
      <c r="D650" s="32" t="s">
        <v>1581</v>
      </c>
      <c r="E650" s="40" t="s">
        <v>1582</v>
      </c>
      <c r="F650" s="39">
        <v>4</v>
      </c>
      <c r="G650" s="39" t="s">
        <v>325</v>
      </c>
      <c r="H650" s="38"/>
      <c r="I650" s="38"/>
      <c r="J650" s="38"/>
      <c r="K650" s="39" t="str">
        <f>IFERROR(VLOOKUP(J650,Jueces!$A$1:$B$11,2,FALSE),"")</f>
        <v/>
      </c>
      <c r="L650" s="32" t="s">
        <v>86</v>
      </c>
      <c r="M650" s="32" t="s">
        <v>46</v>
      </c>
      <c r="N650" s="32" t="s">
        <v>1933</v>
      </c>
      <c r="O650" s="24" t="str">
        <f>IF(Q650=" _","NO","SI")</f>
        <v>NO</v>
      </c>
      <c r="P650" s="24" t="str">
        <f ca="1">IF(color_Celda(E650)=12106214,"ROSA",IF(color_Celda(E650)=65535,"AMARILLO",IF(color_Celda(E650)=5296274,"VERDE",IF(color_Celda(E650)=16777215,"BLANCO","NO SE"))))</f>
        <v>AMARILLO</v>
      </c>
      <c r="Q650" s="32" t="s">
        <v>108</v>
      </c>
      <c r="R650" s="32" t="str">
        <f>VLOOKUP($Q650,Resultados!$A$1:$B$49,2,FALSE)</f>
        <v xml:space="preserve"> _</v>
      </c>
      <c r="S650" s="32"/>
      <c r="T650" s="37"/>
      <c r="U650" s="37"/>
      <c r="V650" s="39"/>
      <c r="W650" s="39"/>
      <c r="X650" s="39"/>
      <c r="Y650" s="64"/>
      <c r="Z650" s="39"/>
      <c r="AA650" s="39"/>
      <c r="AB650" s="39"/>
      <c r="AC650" s="39"/>
      <c r="AD650" s="39"/>
      <c r="AE650" s="110"/>
      <c r="AF650" s="39"/>
      <c r="AG650" s="39"/>
      <c r="AH650" s="39"/>
      <c r="AI650" s="39"/>
      <c r="AJ650" s="43" t="s">
        <v>988</v>
      </c>
      <c r="AK650" s="39"/>
      <c r="AL650" s="155" t="s">
        <v>1627</v>
      </c>
      <c r="AM650" s="431" t="str">
        <f>VLOOKUP($Q650,Resultados!$A$1:$C$49,3,FALSE)</f>
        <v>TRAMITE</v>
      </c>
    </row>
    <row r="651" spans="1:39" ht="39.950000000000003" customHeight="1">
      <c r="A651" s="364">
        <v>604</v>
      </c>
      <c r="B651" s="35">
        <v>45330</v>
      </c>
      <c r="C651" s="337" t="s">
        <v>461</v>
      </c>
      <c r="D651" s="32" t="s">
        <v>1853</v>
      </c>
      <c r="E651" s="40" t="s">
        <v>1867</v>
      </c>
      <c r="F651" s="39">
        <v>1</v>
      </c>
      <c r="G651" s="39" t="s">
        <v>326</v>
      </c>
      <c r="H651" s="38"/>
      <c r="I651" s="38"/>
      <c r="J651" s="38"/>
      <c r="K651" s="39" t="str">
        <f>IFERROR(VLOOKUP(J651,Jueces!$A$1:$B$11,2,FALSE),"")</f>
        <v/>
      </c>
      <c r="L651" s="32" t="s">
        <v>72</v>
      </c>
      <c r="M651" s="32" t="s">
        <v>234</v>
      </c>
      <c r="N651" s="32" t="s">
        <v>1852</v>
      </c>
      <c r="O651" s="24" t="str">
        <f>IF(Q651=" _","NO","SI")</f>
        <v>NO</v>
      </c>
      <c r="P651" s="24" t="str">
        <f ca="1">IF(color_Celda(E651)=12106214,"ROSA",IF(color_Celda(E651)=65535,"AMARILLO",IF(color_Celda(E651)=5296274,"VERDE",IF(color_Celda(E651)=16777215,"BLANCO","NO SE"))))</f>
        <v>AMARILLO</v>
      </c>
      <c r="Q651" s="32" t="s">
        <v>108</v>
      </c>
      <c r="R651" s="32" t="str">
        <f>VLOOKUP($Q651,Resultados!$A$1:$B$49,2,FALSE)</f>
        <v xml:space="preserve"> _</v>
      </c>
      <c r="S651" s="32"/>
      <c r="T651" s="37"/>
      <c r="U651" s="37"/>
      <c r="V651" s="39"/>
      <c r="W651" s="39"/>
      <c r="X651" s="39"/>
      <c r="Y651" s="64"/>
      <c r="Z651" s="39"/>
      <c r="AA651" s="39"/>
      <c r="AB651" s="39"/>
      <c r="AC651" s="39"/>
      <c r="AD651" s="39"/>
      <c r="AE651" s="110"/>
      <c r="AF651" s="39"/>
      <c r="AG651" s="39"/>
      <c r="AH651" s="39"/>
      <c r="AI651" s="39"/>
      <c r="AJ651" s="43" t="s">
        <v>988</v>
      </c>
      <c r="AK651" s="39"/>
      <c r="AL651" s="155" t="s">
        <v>1627</v>
      </c>
      <c r="AM651" s="431" t="str">
        <f>VLOOKUP($Q651,Resultados!$A$1:$C$49,3,FALSE)</f>
        <v>TRAMITE</v>
      </c>
    </row>
    <row r="652" spans="1:39" ht="39.950000000000003" customHeight="1">
      <c r="A652" s="364">
        <v>605</v>
      </c>
      <c r="B652" s="38">
        <v>45330</v>
      </c>
      <c r="C652" s="337" t="s">
        <v>1925</v>
      </c>
      <c r="D652" s="32" t="s">
        <v>1926</v>
      </c>
      <c r="E652" s="40" t="s">
        <v>1927</v>
      </c>
      <c r="F652" s="39">
        <v>4</v>
      </c>
      <c r="G652" s="39" t="s">
        <v>325</v>
      </c>
      <c r="H652" s="38"/>
      <c r="I652" s="38"/>
      <c r="J652" s="38"/>
      <c r="K652" s="39" t="str">
        <f>IFERROR(VLOOKUP(J652,Jueces!$A$1:$B$11,2,FALSE),"")</f>
        <v/>
      </c>
      <c r="L652" s="32" t="s">
        <v>77</v>
      </c>
      <c r="M652" s="32" t="s">
        <v>1928</v>
      </c>
      <c r="N652" s="32" t="s">
        <v>1913</v>
      </c>
      <c r="O652" s="24" t="str">
        <f>IF(Q652=" _","NO","SI")</f>
        <v>NO</v>
      </c>
      <c r="P652" s="24" t="str">
        <f ca="1">IF(color_Celda(E652)=12106214,"ROSA",IF(color_Celda(E652)=65535,"AMARILLO",IF(color_Celda(E652)=5296274,"VERDE",IF(color_Celda(E652)=16777215,"BLANCO","NO SE"))))</f>
        <v>AMARILLO</v>
      </c>
      <c r="Q652" s="32" t="s">
        <v>108</v>
      </c>
      <c r="R652" s="32" t="str">
        <f>VLOOKUP($Q652,Resultados!$A$1:$B$49,2,FALSE)</f>
        <v xml:space="preserve"> _</v>
      </c>
      <c r="S652" s="32"/>
      <c r="T652" s="37"/>
      <c r="U652" s="37"/>
      <c r="V652" s="39"/>
      <c r="W652" s="39"/>
      <c r="X652" s="39"/>
      <c r="Y652" s="64"/>
      <c r="Z652" s="39"/>
      <c r="AA652" s="39"/>
      <c r="AB652" s="39"/>
      <c r="AC652" s="39"/>
      <c r="AD652" s="39"/>
      <c r="AE652" s="110"/>
      <c r="AF652" s="39"/>
      <c r="AG652" s="39"/>
      <c r="AH652" s="39"/>
      <c r="AI652" s="39"/>
      <c r="AJ652" s="43" t="s">
        <v>988</v>
      </c>
      <c r="AK652" s="39"/>
      <c r="AL652" s="155" t="s">
        <v>1627</v>
      </c>
      <c r="AM652" s="431" t="str">
        <f>VLOOKUP($Q652,Resultados!$A$1:$C$49,3,FALSE)</f>
        <v>TRAMITE</v>
      </c>
    </row>
    <row r="653" spans="1:39" ht="39.950000000000003" customHeight="1">
      <c r="A653" s="364">
        <v>606</v>
      </c>
      <c r="B653" s="38">
        <v>45331</v>
      </c>
      <c r="C653" s="337" t="s">
        <v>12</v>
      </c>
      <c r="D653" s="32" t="s">
        <v>1543</v>
      </c>
      <c r="E653" s="40" t="s">
        <v>1544</v>
      </c>
      <c r="F653" s="39">
        <v>6</v>
      </c>
      <c r="G653" s="32" t="s">
        <v>326</v>
      </c>
      <c r="H653" s="38"/>
      <c r="I653" s="38"/>
      <c r="J653" s="38"/>
      <c r="K653" s="39" t="str">
        <f>IFERROR(VLOOKUP(J653,Jueces!$A$1:$B$11,2,FALSE),"")</f>
        <v/>
      </c>
      <c r="L653" s="32" t="s">
        <v>2172</v>
      </c>
      <c r="M653" s="32" t="s">
        <v>234</v>
      </c>
      <c r="N653" s="32" t="s">
        <v>1948</v>
      </c>
      <c r="O653" s="24" t="str">
        <f>IF(Q653=" _","NO","SI")</f>
        <v>NO</v>
      </c>
      <c r="P653" s="24" t="str">
        <f ca="1">IF(color_Celda(E653)=12106214,"ROSA",IF(color_Celda(E653)=65535,"AMARILLO",IF(color_Celda(E653)=5296274,"VERDE",IF(color_Celda(E653)=16777215,"BLANCO","NO SE"))))</f>
        <v>AMARILLO</v>
      </c>
      <c r="Q653" s="32" t="s">
        <v>108</v>
      </c>
      <c r="R653" s="32" t="str">
        <f>VLOOKUP($Q653,Resultados!$A$1:$B$49,2,FALSE)</f>
        <v xml:space="preserve"> _</v>
      </c>
      <c r="S653" s="32"/>
      <c r="T653" s="37"/>
      <c r="U653" s="37"/>
      <c r="V653" s="39"/>
      <c r="W653" s="39"/>
      <c r="X653" s="39"/>
      <c r="Y653" s="64"/>
      <c r="Z653" s="39"/>
      <c r="AA653" s="39"/>
      <c r="AB653" s="39"/>
      <c r="AC653" s="39"/>
      <c r="AD653" s="39"/>
      <c r="AE653" s="110"/>
      <c r="AF653" s="39"/>
      <c r="AG653" s="39"/>
      <c r="AH653" s="39"/>
      <c r="AI653" s="39"/>
      <c r="AJ653" s="43" t="s">
        <v>988</v>
      </c>
      <c r="AK653" s="39"/>
      <c r="AL653" s="155" t="s">
        <v>1627</v>
      </c>
      <c r="AM653" s="431" t="str">
        <f>VLOOKUP($Q653,Resultados!$A$1:$C$49,3,FALSE)</f>
        <v>TRAMITE</v>
      </c>
    </row>
    <row r="654" spans="1:39" ht="39.950000000000003" customHeight="1">
      <c r="A654" s="364">
        <v>607</v>
      </c>
      <c r="B654" s="35">
        <v>45331</v>
      </c>
      <c r="C654" s="337" t="s">
        <v>1071</v>
      </c>
      <c r="D654" s="32" t="s">
        <v>1547</v>
      </c>
      <c r="E654" s="40" t="s">
        <v>1548</v>
      </c>
      <c r="F654" s="39">
        <v>6</v>
      </c>
      <c r="G654" s="32" t="s">
        <v>326</v>
      </c>
      <c r="H654" s="38"/>
      <c r="I654" s="38"/>
      <c r="J654" s="38"/>
      <c r="K654" s="39" t="str">
        <f>IFERROR(VLOOKUP(J654,Jueces!$A$1:$B$11,2,FALSE),"")</f>
        <v/>
      </c>
      <c r="L654" s="32" t="s">
        <v>82</v>
      </c>
      <c r="M654" s="32" t="s">
        <v>1944</v>
      </c>
      <c r="N654" s="32" t="s">
        <v>2213</v>
      </c>
      <c r="O654" s="24" t="str">
        <f>IF(Q654=" _","NO","SI")</f>
        <v>NO</v>
      </c>
      <c r="P654" s="24" t="str">
        <f ca="1">IF(color_Celda(E654)=12106214,"ROSA",IF(color_Celda(E654)=65535,"AMARILLO",IF(color_Celda(E654)=5296274,"VERDE",IF(color_Celda(E654)=16777215,"BLANCO","NO SE"))))</f>
        <v>AMARILLO</v>
      </c>
      <c r="Q654" s="32" t="s">
        <v>108</v>
      </c>
      <c r="R654" s="32" t="str">
        <f>VLOOKUP($Q654,Resultados!$A$1:$B$49,2,FALSE)</f>
        <v xml:space="preserve"> _</v>
      </c>
      <c r="S654" s="32"/>
      <c r="T654" s="37"/>
      <c r="U654" s="37"/>
      <c r="V654" s="39"/>
      <c r="W654" s="39"/>
      <c r="X654" s="39"/>
      <c r="Y654" s="64"/>
      <c r="Z654" s="39"/>
      <c r="AA654" s="39"/>
      <c r="AB654" s="39"/>
      <c r="AC654" s="39"/>
      <c r="AD654" s="39"/>
      <c r="AE654" s="110"/>
      <c r="AF654" s="39"/>
      <c r="AG654" s="39"/>
      <c r="AH654" s="39"/>
      <c r="AI654" s="39"/>
      <c r="AJ654" s="43" t="s">
        <v>988</v>
      </c>
      <c r="AK654" s="39"/>
      <c r="AL654" s="155" t="s">
        <v>1627</v>
      </c>
      <c r="AM654" s="431" t="str">
        <f>VLOOKUP($Q654,Resultados!$A$1:$C$49,3,FALSE)</f>
        <v>TRAMITE</v>
      </c>
    </row>
    <row r="655" spans="1:39" ht="39.950000000000003" customHeight="1">
      <c r="A655" s="364">
        <v>608</v>
      </c>
      <c r="B655" s="38">
        <v>45331</v>
      </c>
      <c r="C655" s="337" t="s">
        <v>899</v>
      </c>
      <c r="D655" s="32" t="s">
        <v>1549</v>
      </c>
      <c r="E655" s="40" t="s">
        <v>1550</v>
      </c>
      <c r="F655" s="39">
        <v>2</v>
      </c>
      <c r="G655" s="32" t="s">
        <v>325</v>
      </c>
      <c r="H655" s="38"/>
      <c r="I655" s="38"/>
      <c r="J655" s="38"/>
      <c r="K655" s="39" t="str">
        <f>IFERROR(VLOOKUP(J655,Jueces!$A$1:$B$11,2,FALSE),"")</f>
        <v/>
      </c>
      <c r="L655" s="32" t="s">
        <v>72</v>
      </c>
      <c r="M655" s="32" t="s">
        <v>45</v>
      </c>
      <c r="N655" s="32" t="s">
        <v>1898</v>
      </c>
      <c r="O655" s="24" t="str">
        <f>IF(Q655=" _","NO","SI")</f>
        <v>NO</v>
      </c>
      <c r="P655" s="24" t="str">
        <f ca="1">IF(color_Celda(E655)=12106214,"ROSA",IF(color_Celda(E655)=65535,"AMARILLO",IF(color_Celda(E655)=5296274,"VERDE",IF(color_Celda(E655)=16777215,"BLANCO","NO SE"))))</f>
        <v>AMARILLO</v>
      </c>
      <c r="Q655" s="32" t="s">
        <v>108</v>
      </c>
      <c r="R655" s="32" t="str">
        <f>VLOOKUP($Q655,Resultados!$A$1:$B$49,2,FALSE)</f>
        <v xml:space="preserve"> _</v>
      </c>
      <c r="S655" s="32"/>
      <c r="T655" s="37"/>
      <c r="U655" s="37"/>
      <c r="V655" s="39"/>
      <c r="W655" s="39"/>
      <c r="X655" s="39"/>
      <c r="Y655" s="64"/>
      <c r="Z655" s="39"/>
      <c r="AA655" s="39"/>
      <c r="AB655" s="39"/>
      <c r="AC655" s="39"/>
      <c r="AD655" s="39"/>
      <c r="AE655" s="110"/>
      <c r="AF655" s="39"/>
      <c r="AG655" s="39"/>
      <c r="AH655" s="39"/>
      <c r="AI655" s="39"/>
      <c r="AJ655" s="43" t="s">
        <v>988</v>
      </c>
      <c r="AK655" s="39"/>
      <c r="AL655" s="155" t="s">
        <v>1627</v>
      </c>
      <c r="AM655" s="431" t="str">
        <f>VLOOKUP($Q655,Resultados!$A$1:$C$49,3,FALSE)</f>
        <v>TRAMITE</v>
      </c>
    </row>
    <row r="656" spans="1:39" ht="39.950000000000003" customHeight="1">
      <c r="A656" s="364">
        <v>609</v>
      </c>
      <c r="B656" s="38">
        <v>45331</v>
      </c>
      <c r="C656" s="337" t="s">
        <v>1551</v>
      </c>
      <c r="D656" s="32" t="s">
        <v>1621</v>
      </c>
      <c r="E656" s="40" t="s">
        <v>1552</v>
      </c>
      <c r="F656" s="39">
        <v>2</v>
      </c>
      <c r="G656" s="32" t="s">
        <v>325</v>
      </c>
      <c r="H656" s="38"/>
      <c r="I656" s="38"/>
      <c r="J656" s="38"/>
      <c r="K656" s="39" t="str">
        <f>IFERROR(VLOOKUP(J656,Jueces!$A$1:$B$11,2,FALSE),"")</f>
        <v/>
      </c>
      <c r="L656" s="32" t="s">
        <v>84</v>
      </c>
      <c r="M656" s="32" t="s">
        <v>131</v>
      </c>
      <c r="N656" s="32" t="s">
        <v>1868</v>
      </c>
      <c r="O656" s="24" t="str">
        <f>IF(Q656=" _","NO","SI")</f>
        <v>NO</v>
      </c>
      <c r="P656" s="24" t="str">
        <f ca="1">IF(color_Celda(E656)=12106214,"ROSA",IF(color_Celda(E656)=65535,"AMARILLO",IF(color_Celda(E656)=5296274,"VERDE",IF(color_Celda(E656)=16777215,"BLANCO","NO SE"))))</f>
        <v>AMARILLO</v>
      </c>
      <c r="Q656" s="32" t="s">
        <v>108</v>
      </c>
      <c r="R656" s="32" t="str">
        <f>VLOOKUP($Q656,Resultados!$A$1:$B$49,2,FALSE)</f>
        <v xml:space="preserve"> _</v>
      </c>
      <c r="S656" s="32"/>
      <c r="T656" s="37"/>
      <c r="U656" s="37"/>
      <c r="V656" s="39"/>
      <c r="W656" s="39"/>
      <c r="X656" s="39"/>
      <c r="Y656" s="64"/>
      <c r="Z656" s="39"/>
      <c r="AA656" s="39"/>
      <c r="AB656" s="39"/>
      <c r="AC656" s="39"/>
      <c r="AD656" s="39"/>
      <c r="AE656" s="110"/>
      <c r="AF656" s="39"/>
      <c r="AG656" s="39"/>
      <c r="AH656" s="39"/>
      <c r="AI656" s="39"/>
      <c r="AJ656" s="43" t="s">
        <v>988</v>
      </c>
      <c r="AK656" s="39"/>
      <c r="AL656" s="155" t="s">
        <v>1627</v>
      </c>
      <c r="AM656" s="431" t="str">
        <f>VLOOKUP($Q656,Resultados!$A$1:$C$49,3,FALSE)</f>
        <v>TRAMITE</v>
      </c>
    </row>
    <row r="657" spans="1:39" ht="39.950000000000003" customHeight="1">
      <c r="A657" s="364">
        <v>610</v>
      </c>
      <c r="B657" s="38">
        <v>45331</v>
      </c>
      <c r="C657" s="337" t="s">
        <v>12</v>
      </c>
      <c r="D657" s="32" t="s">
        <v>1553</v>
      </c>
      <c r="E657" s="40" t="s">
        <v>1554</v>
      </c>
      <c r="F657" s="39">
        <v>2</v>
      </c>
      <c r="G657" s="32" t="s">
        <v>325</v>
      </c>
      <c r="H657" s="38"/>
      <c r="I657" s="38"/>
      <c r="J657" s="38"/>
      <c r="K657" s="39" t="str">
        <f>IFERROR(VLOOKUP(J657,Jueces!$A$1:$B$11,2,FALSE),"")</f>
        <v/>
      </c>
      <c r="L657" s="32" t="s">
        <v>81</v>
      </c>
      <c r="M657" s="32" t="s">
        <v>59</v>
      </c>
      <c r="N657" s="32" t="s">
        <v>1852</v>
      </c>
      <c r="O657" s="24" t="str">
        <f>IF(Q657=" _","NO","SI")</f>
        <v>NO</v>
      </c>
      <c r="P657" s="24" t="str">
        <f ca="1">IF(color_Celda(E657)=12106214,"ROSA",IF(color_Celda(E657)=65535,"AMARILLO",IF(color_Celda(E657)=5296274,"VERDE",IF(color_Celda(E657)=16777215,"BLANCO","NO SE"))))</f>
        <v>AMARILLO</v>
      </c>
      <c r="Q657" s="32" t="s">
        <v>108</v>
      </c>
      <c r="R657" s="32" t="str">
        <f>VLOOKUP($Q657,Resultados!$A$1:$B$49,2,FALSE)</f>
        <v xml:space="preserve"> _</v>
      </c>
      <c r="S657" s="32"/>
      <c r="T657" s="37"/>
      <c r="U657" s="37"/>
      <c r="V657" s="39"/>
      <c r="W657" s="39"/>
      <c r="X657" s="39"/>
      <c r="Y657" s="64"/>
      <c r="Z657" s="39"/>
      <c r="AA657" s="39"/>
      <c r="AB657" s="39"/>
      <c r="AC657" s="39"/>
      <c r="AD657" s="39"/>
      <c r="AE657" s="110"/>
      <c r="AF657" s="39"/>
      <c r="AG657" s="39"/>
      <c r="AH657" s="39"/>
      <c r="AI657" s="39"/>
      <c r="AJ657" s="43" t="s">
        <v>988</v>
      </c>
      <c r="AK657" s="39"/>
      <c r="AL657" s="155" t="s">
        <v>1627</v>
      </c>
      <c r="AM657" s="431" t="str">
        <f>VLOOKUP($Q657,Resultados!$A$1:$C$49,3,FALSE)</f>
        <v>TRAMITE</v>
      </c>
    </row>
    <row r="658" spans="1:39" ht="39.950000000000003" customHeight="1">
      <c r="A658" s="364">
        <v>611</v>
      </c>
      <c r="B658" s="38">
        <v>45331</v>
      </c>
      <c r="C658" s="331">
        <v>0.33333333333333331</v>
      </c>
      <c r="D658" s="32" t="s">
        <v>1555</v>
      </c>
      <c r="E658" s="40" t="s">
        <v>1556</v>
      </c>
      <c r="F658" s="39">
        <v>2</v>
      </c>
      <c r="G658" s="32" t="s">
        <v>325</v>
      </c>
      <c r="H658" s="38"/>
      <c r="I658" s="38"/>
      <c r="J658" s="38"/>
      <c r="K658" s="39" t="str">
        <f>IFERROR(VLOOKUP(J658,Jueces!$A$1:$B$11,2,FALSE),"")</f>
        <v/>
      </c>
      <c r="L658" s="32" t="s">
        <v>87</v>
      </c>
      <c r="M658" s="32" t="s">
        <v>44</v>
      </c>
      <c r="N658" s="32" t="s">
        <v>3227</v>
      </c>
      <c r="O658" s="24" t="str">
        <f>IF(Q658=" _","NO","SI")</f>
        <v>NO</v>
      </c>
      <c r="P658" s="24" t="str">
        <f ca="1">IF(color_Celda(E658)=12106214,"ROSA",IF(color_Celda(E658)=65535,"AMARILLO",IF(color_Celda(E658)=5296274,"VERDE",IF(color_Celda(E658)=16777215,"BLANCO","NO SE"))))</f>
        <v>AMARILLO</v>
      </c>
      <c r="Q658" s="32" t="s">
        <v>108</v>
      </c>
      <c r="R658" s="32" t="str">
        <f>VLOOKUP($Q658,Resultados!$A$1:$B$49,2,FALSE)</f>
        <v xml:space="preserve"> _</v>
      </c>
      <c r="S658" s="32"/>
      <c r="T658" s="37"/>
      <c r="U658" s="37"/>
      <c r="V658" s="39"/>
      <c r="W658" s="39"/>
      <c r="X658" s="39"/>
      <c r="Y658" s="64"/>
      <c r="Z658" s="39"/>
      <c r="AA658" s="39"/>
      <c r="AB658" s="39"/>
      <c r="AC658" s="39"/>
      <c r="AD658" s="39"/>
      <c r="AE658" s="110"/>
      <c r="AF658" s="39"/>
      <c r="AG658" s="39"/>
      <c r="AH658" s="39"/>
      <c r="AI658" s="39"/>
      <c r="AJ658" s="43" t="s">
        <v>988</v>
      </c>
      <c r="AK658" s="39"/>
      <c r="AL658" s="155" t="s">
        <v>1627</v>
      </c>
      <c r="AM658" s="431" t="str">
        <f>VLOOKUP($Q658,Resultados!$A$1:$C$49,3,FALSE)</f>
        <v>TRAMITE</v>
      </c>
    </row>
    <row r="659" spans="1:39" ht="39.950000000000003" customHeight="1">
      <c r="A659" s="364">
        <v>612</v>
      </c>
      <c r="B659" s="38">
        <v>45331</v>
      </c>
      <c r="C659" s="337" t="s">
        <v>16</v>
      </c>
      <c r="D659" s="32" t="s">
        <v>1965</v>
      </c>
      <c r="E659" s="40" t="s">
        <v>1966</v>
      </c>
      <c r="F659" s="39">
        <v>4</v>
      </c>
      <c r="G659" s="39" t="s">
        <v>325</v>
      </c>
      <c r="H659" s="38"/>
      <c r="I659" s="38"/>
      <c r="J659" s="38"/>
      <c r="K659" s="39" t="str">
        <f>IFERROR(VLOOKUP(J659,Jueces!$A$1:$B$11,2,FALSE),"")</f>
        <v/>
      </c>
      <c r="L659" s="32" t="s">
        <v>73</v>
      </c>
      <c r="M659" s="32" t="s">
        <v>1156</v>
      </c>
      <c r="N659" s="32" t="s">
        <v>1967</v>
      </c>
      <c r="O659" s="24" t="str">
        <f>IF(Q659=" _","NO","SI")</f>
        <v>NO</v>
      </c>
      <c r="P659" s="24" t="str">
        <f ca="1">IF(color_Celda(E659)=12106214,"ROSA",IF(color_Celda(E659)=65535,"AMARILLO",IF(color_Celda(E659)=5296274,"VERDE",IF(color_Celda(E659)=16777215,"BLANCO","NO SE"))))</f>
        <v>AMARILLO</v>
      </c>
      <c r="Q659" s="32" t="s">
        <v>108</v>
      </c>
      <c r="R659" s="32" t="str">
        <f>VLOOKUP($Q659,Resultados!$A$1:$B$49,2,FALSE)</f>
        <v xml:space="preserve"> _</v>
      </c>
      <c r="S659" s="32"/>
      <c r="T659" s="37"/>
      <c r="U659" s="37"/>
      <c r="V659" s="39"/>
      <c r="W659" s="39"/>
      <c r="X659" s="39"/>
      <c r="Y659" s="64"/>
      <c r="Z659" s="39"/>
      <c r="AA659" s="39"/>
      <c r="AB659" s="39"/>
      <c r="AC659" s="39"/>
      <c r="AD659" s="39"/>
      <c r="AE659" s="110"/>
      <c r="AF659" s="39"/>
      <c r="AG659" s="39"/>
      <c r="AH659" s="39"/>
      <c r="AI659" s="39"/>
      <c r="AJ659" s="43" t="s">
        <v>988</v>
      </c>
      <c r="AK659" s="39"/>
      <c r="AL659" s="155" t="s">
        <v>1627</v>
      </c>
      <c r="AM659" s="431" t="str">
        <f>VLOOKUP($Q659,Resultados!$A$1:$C$49,3,FALSE)</f>
        <v>TRAMITE</v>
      </c>
    </row>
    <row r="660" spans="1:39" ht="39.950000000000003" customHeight="1">
      <c r="A660" s="364">
        <v>613</v>
      </c>
      <c r="B660" s="38">
        <v>45336</v>
      </c>
      <c r="C660" s="337" t="s">
        <v>993</v>
      </c>
      <c r="D660" s="32" t="s">
        <v>1541</v>
      </c>
      <c r="E660" s="40" t="s">
        <v>1542</v>
      </c>
      <c r="F660" s="39">
        <v>6</v>
      </c>
      <c r="G660" s="39" t="s">
        <v>326</v>
      </c>
      <c r="H660" s="38"/>
      <c r="I660" s="38"/>
      <c r="J660" s="38"/>
      <c r="K660" s="39" t="str">
        <f>IFERROR(VLOOKUP(J660,Jueces!$A$1:$B$11,2,FALSE),"")</f>
        <v/>
      </c>
      <c r="L660" s="32" t="s">
        <v>76</v>
      </c>
      <c r="M660" s="32" t="s">
        <v>62</v>
      </c>
      <c r="N660" s="32" t="s">
        <v>1782</v>
      </c>
      <c r="O660" s="24" t="str">
        <f>IF(Q660=" _","NO","SI")</f>
        <v>NO</v>
      </c>
      <c r="P660" s="24" t="str">
        <f ca="1">IF(color_Celda(E660)=12106214,"ROSA",IF(color_Celda(E660)=65535,"AMARILLO",IF(color_Celda(E660)=5296274,"VERDE",IF(color_Celda(E660)=16777215,"BLANCO","NO SE"))))</f>
        <v>AMARILLO</v>
      </c>
      <c r="Q660" s="32" t="s">
        <v>108</v>
      </c>
      <c r="R660" s="32" t="str">
        <f>VLOOKUP($Q660,Resultados!$A$1:$B$49,2,FALSE)</f>
        <v xml:space="preserve"> _</v>
      </c>
      <c r="S660" s="32"/>
      <c r="T660" s="37"/>
      <c r="U660" s="37"/>
      <c r="V660" s="39"/>
      <c r="W660" s="39"/>
      <c r="X660" s="39"/>
      <c r="Y660" s="64"/>
      <c r="Z660" s="39"/>
      <c r="AA660" s="39"/>
      <c r="AB660" s="39"/>
      <c r="AC660" s="39"/>
      <c r="AD660" s="39"/>
      <c r="AE660" s="110"/>
      <c r="AF660" s="39"/>
      <c r="AG660" s="39"/>
      <c r="AH660" s="39"/>
      <c r="AI660" s="39"/>
      <c r="AJ660" s="43" t="s">
        <v>988</v>
      </c>
      <c r="AK660" s="39"/>
      <c r="AL660" s="155" t="s">
        <v>1627</v>
      </c>
      <c r="AM660" s="431" t="str">
        <f>VLOOKUP($Q660,Resultados!$A$1:$C$49,3,FALSE)</f>
        <v>TRAMITE</v>
      </c>
    </row>
    <row r="661" spans="1:39" ht="39.950000000000003" customHeight="1">
      <c r="A661" s="364">
        <v>614</v>
      </c>
      <c r="B661" s="38">
        <v>45336</v>
      </c>
      <c r="C661" s="337" t="s">
        <v>12</v>
      </c>
      <c r="D661" s="32" t="s">
        <v>1545</v>
      </c>
      <c r="E661" s="40" t="s">
        <v>1546</v>
      </c>
      <c r="F661" s="39">
        <v>6</v>
      </c>
      <c r="G661" s="32" t="s">
        <v>326</v>
      </c>
      <c r="H661" s="38"/>
      <c r="I661" s="38"/>
      <c r="J661" s="38"/>
      <c r="K661" s="39" t="str">
        <f>IFERROR(VLOOKUP(J661,Jueces!$A$1:$B$11,2,FALSE),"")</f>
        <v/>
      </c>
      <c r="L661" s="32" t="s">
        <v>83</v>
      </c>
      <c r="M661" s="32" t="s">
        <v>52</v>
      </c>
      <c r="N661" s="32" t="s">
        <v>1978</v>
      </c>
      <c r="O661" s="24" t="str">
        <f>IF(Q661=" _","NO","SI")</f>
        <v>NO</v>
      </c>
      <c r="P661" s="24" t="str">
        <f ca="1">IF(color_Celda(E661)=12106214,"ROSA",IF(color_Celda(E661)=65535,"AMARILLO",IF(color_Celda(E661)=5296274,"VERDE",IF(color_Celda(E661)=16777215,"BLANCO","NO SE"))))</f>
        <v>AMARILLO</v>
      </c>
      <c r="Q661" s="32" t="s">
        <v>108</v>
      </c>
      <c r="R661" s="32" t="str">
        <f>VLOOKUP($Q661,Resultados!$A$1:$B$49,2,FALSE)</f>
        <v xml:space="preserve"> _</v>
      </c>
      <c r="S661" s="32"/>
      <c r="T661" s="37"/>
      <c r="U661" s="37"/>
      <c r="V661" s="39"/>
      <c r="W661" s="39"/>
      <c r="X661" s="39"/>
      <c r="Y661" s="64"/>
      <c r="Z661" s="39"/>
      <c r="AA661" s="39"/>
      <c r="AB661" s="39"/>
      <c r="AC661" s="39"/>
      <c r="AD661" s="39"/>
      <c r="AE661" s="110"/>
      <c r="AF661" s="39"/>
      <c r="AG661" s="39"/>
      <c r="AH661" s="39"/>
      <c r="AI661" s="39"/>
      <c r="AJ661" s="43" t="s">
        <v>988</v>
      </c>
      <c r="AK661" s="39"/>
      <c r="AL661" s="155" t="s">
        <v>1627</v>
      </c>
      <c r="AM661" s="431" t="str">
        <f>VLOOKUP($Q661,Resultados!$A$1:$C$49,3,FALSE)</f>
        <v>TRAMITE</v>
      </c>
    </row>
    <row r="662" spans="1:39" ht="39.950000000000003" customHeight="1">
      <c r="A662" s="364">
        <v>615</v>
      </c>
      <c r="B662" s="38">
        <v>45336</v>
      </c>
      <c r="C662" s="337" t="s">
        <v>1577</v>
      </c>
      <c r="D662" s="32" t="s">
        <v>1578</v>
      </c>
      <c r="E662" s="41" t="s">
        <v>1579</v>
      </c>
      <c r="F662" s="39">
        <v>4</v>
      </c>
      <c r="G662" s="39" t="s">
        <v>326</v>
      </c>
      <c r="H662" s="38"/>
      <c r="I662" s="38"/>
      <c r="J662" s="38"/>
      <c r="K662" s="39" t="str">
        <f>IFERROR(VLOOKUP(J662,Jueces!$A$1:$B$11,2,FALSE),"")</f>
        <v/>
      </c>
      <c r="L662" s="32" t="s">
        <v>86</v>
      </c>
      <c r="M662" s="32" t="s">
        <v>234</v>
      </c>
      <c r="N662" s="32" t="s">
        <v>2776</v>
      </c>
      <c r="O662" s="24" t="str">
        <f>IF(Q662=" _","NO","SI")</f>
        <v>NO</v>
      </c>
      <c r="P662" s="24" t="str">
        <f ca="1">IF(color_Celda(E662)=12106214,"ROSA",IF(color_Celda(E662)=65535,"AMARILLO",IF(color_Celda(E662)=5296274,"VERDE",IF(color_Celda(E662)=16777215,"BLANCO","NO SE"))))</f>
        <v>AMARILLO</v>
      </c>
      <c r="Q662" s="32" t="s">
        <v>108</v>
      </c>
      <c r="R662" s="32" t="str">
        <f>VLOOKUP($Q662,Resultados!$A$1:$B$49,2,FALSE)</f>
        <v xml:space="preserve"> _</v>
      </c>
      <c r="S662" s="32"/>
      <c r="T662" s="37"/>
      <c r="U662" s="37"/>
      <c r="V662" s="39"/>
      <c r="W662" s="39"/>
      <c r="X662" s="39"/>
      <c r="Y662" s="64"/>
      <c r="Z662" s="39"/>
      <c r="AA662" s="39"/>
      <c r="AB662" s="39"/>
      <c r="AC662" s="39"/>
      <c r="AD662" s="39"/>
      <c r="AE662" s="110"/>
      <c r="AF662" s="39"/>
      <c r="AG662" s="39"/>
      <c r="AH662" s="39"/>
      <c r="AI662" s="39"/>
      <c r="AJ662" s="43" t="s">
        <v>408</v>
      </c>
      <c r="AK662" s="39"/>
      <c r="AL662" s="363" t="s">
        <v>1627</v>
      </c>
      <c r="AM662" s="431" t="str">
        <f>VLOOKUP($Q662,Resultados!$A$1:$C$49,3,FALSE)</f>
        <v>TRAMITE</v>
      </c>
    </row>
    <row r="663" spans="1:39" ht="39.950000000000003" customHeight="1">
      <c r="A663" s="364">
        <v>617</v>
      </c>
      <c r="B663" s="38">
        <v>45336</v>
      </c>
      <c r="C663" s="337" t="s">
        <v>1010</v>
      </c>
      <c r="D663" s="32" t="s">
        <v>1849</v>
      </c>
      <c r="E663" s="40" t="s">
        <v>1850</v>
      </c>
      <c r="F663" s="39">
        <v>1</v>
      </c>
      <c r="G663" s="39" t="s">
        <v>326</v>
      </c>
      <c r="H663" s="38"/>
      <c r="I663" s="38"/>
      <c r="J663" s="38"/>
      <c r="K663" s="39" t="str">
        <f>IFERROR(VLOOKUP(J663,Jueces!$A$1:$B$11,2,FALSE),"")</f>
        <v/>
      </c>
      <c r="L663" s="32" t="s">
        <v>82</v>
      </c>
      <c r="M663" s="32" t="s">
        <v>172</v>
      </c>
      <c r="N663" s="32" t="s">
        <v>1851</v>
      </c>
      <c r="O663" s="24" t="str">
        <f>IF(Q663=" _","NO","SI")</f>
        <v>NO</v>
      </c>
      <c r="P663" s="24" t="str">
        <f ca="1">IF(color_Celda(E663)=12106214,"ROSA",IF(color_Celda(E663)=65535,"AMARILLO",IF(color_Celda(E663)=5296274,"VERDE",IF(color_Celda(E663)=16777215,"BLANCO","NO SE"))))</f>
        <v>AMARILLO</v>
      </c>
      <c r="Q663" s="32" t="s">
        <v>108</v>
      </c>
      <c r="R663" s="32" t="str">
        <f>VLOOKUP($Q663,Resultados!$A$1:$B$49,2,FALSE)</f>
        <v xml:space="preserve"> _</v>
      </c>
      <c r="S663" s="32"/>
      <c r="T663" s="37"/>
      <c r="U663" s="37"/>
      <c r="V663" s="39"/>
      <c r="W663" s="39"/>
      <c r="X663" s="39"/>
      <c r="Y663" s="64"/>
      <c r="Z663" s="39"/>
      <c r="AA663" s="39"/>
      <c r="AB663" s="39"/>
      <c r="AC663" s="39"/>
      <c r="AD663" s="39"/>
      <c r="AE663" s="110"/>
      <c r="AF663" s="39"/>
      <c r="AG663" s="39"/>
      <c r="AH663" s="39"/>
      <c r="AI663" s="39"/>
      <c r="AJ663" s="43" t="s">
        <v>988</v>
      </c>
      <c r="AK663" s="39"/>
      <c r="AL663" s="155" t="s">
        <v>1627</v>
      </c>
      <c r="AM663" s="431" t="str">
        <f>VLOOKUP($Q663,Resultados!$A$1:$C$49,3,FALSE)</f>
        <v>TRAMITE</v>
      </c>
    </row>
    <row r="664" spans="1:39" ht="39.950000000000003" customHeight="1">
      <c r="A664" s="364">
        <v>618</v>
      </c>
      <c r="B664" s="38">
        <v>45336</v>
      </c>
      <c r="C664" s="337" t="s">
        <v>1071</v>
      </c>
      <c r="D664" s="32" t="s">
        <v>1963</v>
      </c>
      <c r="E664" s="40" t="s">
        <v>1964</v>
      </c>
      <c r="F664" s="39">
        <v>4</v>
      </c>
      <c r="G664" s="39" t="s">
        <v>325</v>
      </c>
      <c r="H664" s="38"/>
      <c r="I664" s="38"/>
      <c r="J664" s="38"/>
      <c r="K664" s="39" t="str">
        <f>IFERROR(VLOOKUP(J664,Jueces!$A$1:$B$11,2,FALSE),"")</f>
        <v/>
      </c>
      <c r="L664" s="32" t="s">
        <v>250</v>
      </c>
      <c r="M664" s="32" t="s">
        <v>1540</v>
      </c>
      <c r="N664" s="32" t="s">
        <v>1948</v>
      </c>
      <c r="O664" s="24" t="str">
        <f>IF(Q664=" _","NO","SI")</f>
        <v>NO</v>
      </c>
      <c r="P664" s="24" t="str">
        <f ca="1">IF(color_Celda(E664)=12106214,"ROSA",IF(color_Celda(E664)=65535,"AMARILLO",IF(color_Celda(E664)=5296274,"VERDE",IF(color_Celda(E664)=16777215,"BLANCO","NO SE"))))</f>
        <v>AMARILLO</v>
      </c>
      <c r="Q664" s="32" t="s">
        <v>108</v>
      </c>
      <c r="R664" s="32" t="str">
        <f>VLOOKUP($Q664,Resultados!$A$1:$B$49,2,FALSE)</f>
        <v xml:space="preserve"> _</v>
      </c>
      <c r="S664" s="32"/>
      <c r="T664" s="37"/>
      <c r="U664" s="37"/>
      <c r="V664" s="39"/>
      <c r="W664" s="39"/>
      <c r="X664" s="39"/>
      <c r="Y664" s="64"/>
      <c r="Z664" s="39"/>
      <c r="AA664" s="39"/>
      <c r="AB664" s="39"/>
      <c r="AC664" s="39"/>
      <c r="AD664" s="39"/>
      <c r="AE664" s="110"/>
      <c r="AF664" s="39"/>
      <c r="AG664" s="39"/>
      <c r="AH664" s="39"/>
      <c r="AI664" s="39"/>
      <c r="AJ664" s="43" t="s">
        <v>988</v>
      </c>
      <c r="AK664" s="39"/>
      <c r="AL664" s="155" t="s">
        <v>1627</v>
      </c>
      <c r="AM664" s="431" t="str">
        <f>VLOOKUP($Q664,Resultados!$A$1:$C$49,3,FALSE)</f>
        <v>TRAMITE</v>
      </c>
    </row>
    <row r="665" spans="1:39" ht="39.950000000000003" customHeight="1">
      <c r="A665" s="364">
        <v>619</v>
      </c>
      <c r="B665" s="38">
        <v>45336</v>
      </c>
      <c r="C665" s="337" t="s">
        <v>850</v>
      </c>
      <c r="D665" s="32" t="s">
        <v>2505</v>
      </c>
      <c r="E665" s="40" t="s">
        <v>2506</v>
      </c>
      <c r="F665" s="39">
        <v>4</v>
      </c>
      <c r="G665" s="39" t="s">
        <v>325</v>
      </c>
      <c r="H665" s="38"/>
      <c r="I665" s="38"/>
      <c r="J665" s="38"/>
      <c r="K665" s="39" t="s">
        <v>1480</v>
      </c>
      <c r="L665" s="70" t="s">
        <v>2173</v>
      </c>
      <c r="M665" s="70" t="s">
        <v>1355</v>
      </c>
      <c r="N665" s="32" t="s">
        <v>2271</v>
      </c>
      <c r="O665" s="137" t="str">
        <f>IF(Q665=" _","NO","SI")</f>
        <v>NO</v>
      </c>
      <c r="P665" s="24" t="str">
        <f ca="1">IF(color_Celda(E665)=12106214,"ROSA",IF(color_Celda(E665)=65535,"AMARILLO",IF(color_Celda(E665)=5296274,"VERDE",IF(color_Celda(E665)=16777215,"BLANCO","NO SE"))))</f>
        <v>AMARILLO</v>
      </c>
      <c r="Q665" s="32" t="s">
        <v>108</v>
      </c>
      <c r="R665" s="32" t="str">
        <f>VLOOKUP($Q665,Resultados!$A$1:$B$49,2,FALSE)</f>
        <v xml:space="preserve"> _</v>
      </c>
      <c r="S665" s="32"/>
      <c r="T665" s="73"/>
      <c r="U665" s="37"/>
      <c r="V665" s="39"/>
      <c r="W665" s="39"/>
      <c r="X665" s="39"/>
      <c r="Y665" s="199"/>
      <c r="Z665" s="39"/>
      <c r="AA665" s="39"/>
      <c r="AB665" s="39"/>
      <c r="AC665" s="39"/>
      <c r="AD665" s="39"/>
      <c r="AE665" s="110"/>
      <c r="AF665" s="39"/>
      <c r="AG665" s="39"/>
      <c r="AH665" s="39"/>
      <c r="AI665" s="39"/>
      <c r="AJ665" s="101" t="s">
        <v>988</v>
      </c>
      <c r="AK665" s="39"/>
      <c r="AL665" s="155" t="s">
        <v>1627</v>
      </c>
      <c r="AM665" s="431" t="str">
        <f>VLOOKUP($Q665,Resultados!$A$1:$C$49,3,FALSE)</f>
        <v>TRAMITE</v>
      </c>
    </row>
    <row r="666" spans="1:39" ht="39.950000000000003" customHeight="1">
      <c r="A666" s="364">
        <v>621</v>
      </c>
      <c r="B666" s="38">
        <v>45337</v>
      </c>
      <c r="C666" s="337" t="s">
        <v>12</v>
      </c>
      <c r="D666" s="32" t="s">
        <v>1571</v>
      </c>
      <c r="E666" s="40" t="s">
        <v>1572</v>
      </c>
      <c r="F666" s="39">
        <v>6</v>
      </c>
      <c r="G666" s="32" t="s">
        <v>326</v>
      </c>
      <c r="H666" s="38"/>
      <c r="I666" s="38"/>
      <c r="J666" s="38"/>
      <c r="K666" s="39" t="str">
        <f>IFERROR(VLOOKUP(J666,Jueces!$A$1:$B$11,2,FALSE),"")</f>
        <v/>
      </c>
      <c r="L666" s="32" t="s">
        <v>71</v>
      </c>
      <c r="M666" s="32" t="s">
        <v>1996</v>
      </c>
      <c r="N666" s="32" t="s">
        <v>1997</v>
      </c>
      <c r="O666" s="24" t="str">
        <f>IF(Q666=" _","NO","SI")</f>
        <v>NO</v>
      </c>
      <c r="P666" s="24" t="str">
        <f ca="1">IF(color_Celda(E666)=12106214,"ROSA",IF(color_Celda(E666)=65535,"AMARILLO",IF(color_Celda(E666)=5296274,"VERDE",IF(color_Celda(E666)=16777215,"BLANCO","NO SE"))))</f>
        <v>AMARILLO</v>
      </c>
      <c r="Q666" s="32" t="s">
        <v>108</v>
      </c>
      <c r="R666" s="32" t="str">
        <f>VLOOKUP($Q666,Resultados!$A$1:$B$49,2,FALSE)</f>
        <v xml:space="preserve"> _</v>
      </c>
      <c r="S666" s="32"/>
      <c r="T666" s="37"/>
      <c r="U666" s="37"/>
      <c r="V666" s="39"/>
      <c r="W666" s="39"/>
      <c r="X666" s="39"/>
      <c r="Y666" s="64"/>
      <c r="Z666" s="39"/>
      <c r="AA666" s="39"/>
      <c r="AB666" s="39"/>
      <c r="AC666" s="39"/>
      <c r="AD666" s="39"/>
      <c r="AE666" s="110"/>
      <c r="AF666" s="39"/>
      <c r="AG666" s="39"/>
      <c r="AH666" s="39"/>
      <c r="AI666" s="39"/>
      <c r="AJ666" s="43" t="s">
        <v>988</v>
      </c>
      <c r="AK666" s="39"/>
      <c r="AL666" s="155" t="s">
        <v>1627</v>
      </c>
      <c r="AM666" s="431" t="str">
        <f>VLOOKUP($Q666,Resultados!$A$1:$C$49,3,FALSE)</f>
        <v>TRAMITE</v>
      </c>
    </row>
    <row r="667" spans="1:39" ht="39.950000000000003" customHeight="1">
      <c r="A667" s="364">
        <v>622</v>
      </c>
      <c r="B667" s="38">
        <v>45337</v>
      </c>
      <c r="C667" s="337" t="s">
        <v>12</v>
      </c>
      <c r="D667" s="32" t="s">
        <v>263</v>
      </c>
      <c r="E667" s="40" t="s">
        <v>1573</v>
      </c>
      <c r="F667" s="39">
        <v>6</v>
      </c>
      <c r="G667" s="32" t="s">
        <v>326</v>
      </c>
      <c r="H667" s="38"/>
      <c r="I667" s="38"/>
      <c r="J667" s="38"/>
      <c r="K667" s="39" t="str">
        <f>IFERROR(VLOOKUP(J667,Jueces!$A$1:$B$11,2,FALSE),"")</f>
        <v/>
      </c>
      <c r="L667" s="32" t="s">
        <v>2172</v>
      </c>
      <c r="M667" s="32" t="s">
        <v>260</v>
      </c>
      <c r="N667" s="32" t="s">
        <v>1948</v>
      </c>
      <c r="O667" s="24" t="str">
        <f>IF(Q667=" _","NO","SI")</f>
        <v>NO</v>
      </c>
      <c r="P667" s="24" t="str">
        <f ca="1">IF(color_Celda(E667)=12106214,"ROSA",IF(color_Celda(E667)=65535,"AMARILLO",IF(color_Celda(E667)=5296274,"VERDE",IF(color_Celda(E667)=16777215,"BLANCO","NO SE"))))</f>
        <v>AMARILLO</v>
      </c>
      <c r="Q667" s="32" t="s">
        <v>108</v>
      </c>
      <c r="R667" s="32" t="str">
        <f>VLOOKUP($Q667,Resultados!$A$1:$B$49,2,FALSE)</f>
        <v xml:space="preserve"> _</v>
      </c>
      <c r="S667" s="32"/>
      <c r="T667" s="37"/>
      <c r="U667" s="37"/>
      <c r="V667" s="39"/>
      <c r="W667" s="39"/>
      <c r="X667" s="39"/>
      <c r="Y667" s="64"/>
      <c r="Z667" s="39"/>
      <c r="AA667" s="39"/>
      <c r="AB667" s="39"/>
      <c r="AC667" s="39"/>
      <c r="AD667" s="39"/>
      <c r="AE667" s="110"/>
      <c r="AF667" s="39"/>
      <c r="AG667" s="39"/>
      <c r="AH667" s="39"/>
      <c r="AI667" s="39"/>
      <c r="AJ667" s="43" t="s">
        <v>988</v>
      </c>
      <c r="AK667" s="39"/>
      <c r="AL667" s="155" t="s">
        <v>1627</v>
      </c>
      <c r="AM667" s="431" t="str">
        <f>VLOOKUP($Q667,Resultados!$A$1:$C$49,3,FALSE)</f>
        <v>TRAMITE</v>
      </c>
    </row>
    <row r="668" spans="1:39" ht="39.950000000000003" customHeight="1">
      <c r="A668" s="364">
        <v>624</v>
      </c>
      <c r="B668" s="38">
        <v>45337</v>
      </c>
      <c r="C668" s="337" t="s">
        <v>217</v>
      </c>
      <c r="D668" s="32" t="s">
        <v>2131</v>
      </c>
      <c r="E668" s="40" t="s">
        <v>2132</v>
      </c>
      <c r="F668" s="39">
        <v>5</v>
      </c>
      <c r="G668" s="32" t="s">
        <v>10</v>
      </c>
      <c r="H668" s="38"/>
      <c r="I668" s="38"/>
      <c r="J668" s="38"/>
      <c r="K668" s="39" t="str">
        <f>IFERROR(VLOOKUP(J668,Jueces!$A$1:$B$11,2,FALSE),"")</f>
        <v/>
      </c>
      <c r="L668" s="32" t="s">
        <v>75</v>
      </c>
      <c r="M668" s="32" t="s">
        <v>1156</v>
      </c>
      <c r="N668" s="32" t="s">
        <v>2133</v>
      </c>
      <c r="O668" s="24" t="str">
        <f>IF(Q668=" _","NO","SI")</f>
        <v>NO</v>
      </c>
      <c r="P668" s="24" t="str">
        <f ca="1">IF(color_Celda(E668)=12106214,"ROSA",IF(color_Celda(E668)=65535,"AMARILLO",IF(color_Celda(E668)=5296274,"VERDE",IF(color_Celda(E668)=16777215,"BLANCO","NO SE"))))</f>
        <v>AMARILLO</v>
      </c>
      <c r="Q668" s="32" t="s">
        <v>108</v>
      </c>
      <c r="R668" s="32" t="str">
        <f>VLOOKUP($Q668,Resultados!$A$1:$B$49,2,FALSE)</f>
        <v xml:space="preserve"> _</v>
      </c>
      <c r="S668" s="32"/>
      <c r="T668" s="37"/>
      <c r="U668" s="37"/>
      <c r="V668" s="39"/>
      <c r="W668" s="39"/>
      <c r="X668" s="39"/>
      <c r="Y668" s="64"/>
      <c r="Z668" s="39"/>
      <c r="AA668" s="39"/>
      <c r="AB668" s="39"/>
      <c r="AC668" s="39"/>
      <c r="AD668" s="39"/>
      <c r="AE668" s="110"/>
      <c r="AF668" s="39"/>
      <c r="AG668" s="39"/>
      <c r="AH668" s="39"/>
      <c r="AI668" s="39"/>
      <c r="AJ668" s="43" t="s">
        <v>988</v>
      </c>
      <c r="AK668" s="39"/>
      <c r="AL668" s="155" t="s">
        <v>1627</v>
      </c>
      <c r="AM668" s="431" t="str">
        <f>VLOOKUP($Q668,Resultados!$A$1:$C$49,3,FALSE)</f>
        <v>TRAMITE</v>
      </c>
    </row>
    <row r="669" spans="1:39" ht="39.950000000000003" customHeight="1">
      <c r="A669" s="364">
        <v>625</v>
      </c>
      <c r="B669" s="38">
        <v>45337</v>
      </c>
      <c r="C669" s="337" t="s">
        <v>217</v>
      </c>
      <c r="D669" s="32" t="s">
        <v>2134</v>
      </c>
      <c r="E669" s="40" t="s">
        <v>2135</v>
      </c>
      <c r="F669" s="39">
        <v>5</v>
      </c>
      <c r="G669" s="32" t="s">
        <v>10</v>
      </c>
      <c r="H669" s="38"/>
      <c r="I669" s="38"/>
      <c r="J669" s="38"/>
      <c r="K669" s="39" t="str">
        <f>IFERROR(VLOOKUP(J669,Jueces!$A$1:$B$11,2,FALSE),"")</f>
        <v/>
      </c>
      <c r="L669" s="32" t="s">
        <v>72</v>
      </c>
      <c r="M669" s="32" t="s">
        <v>1156</v>
      </c>
      <c r="N669" s="32" t="s">
        <v>2133</v>
      </c>
      <c r="O669" s="24" t="str">
        <f>IF(Q669=" _","NO","SI")</f>
        <v>NO</v>
      </c>
      <c r="P669" s="24" t="str">
        <f ca="1">IF(color_Celda(E669)=12106214,"ROSA",IF(color_Celda(E669)=65535,"AMARILLO",IF(color_Celda(E669)=5296274,"VERDE",IF(color_Celda(E669)=16777215,"BLANCO","NO SE"))))</f>
        <v>AMARILLO</v>
      </c>
      <c r="Q669" s="32" t="s">
        <v>108</v>
      </c>
      <c r="R669" s="32" t="str">
        <f>VLOOKUP($Q669,Resultados!$A$1:$B$49,2,FALSE)</f>
        <v xml:space="preserve"> _</v>
      </c>
      <c r="S669" s="32"/>
      <c r="T669" s="37"/>
      <c r="U669" s="37"/>
      <c r="V669" s="39"/>
      <c r="W669" s="39"/>
      <c r="X669" s="39"/>
      <c r="Y669" s="64"/>
      <c r="Z669" s="39"/>
      <c r="AA669" s="39"/>
      <c r="AB669" s="39"/>
      <c r="AC669" s="39"/>
      <c r="AD669" s="39"/>
      <c r="AE669" s="110"/>
      <c r="AF669" s="39"/>
      <c r="AG669" s="39"/>
      <c r="AH669" s="39"/>
      <c r="AI669" s="39"/>
      <c r="AJ669" s="43" t="s">
        <v>988</v>
      </c>
      <c r="AK669" s="39"/>
      <c r="AL669" s="155" t="s">
        <v>1627</v>
      </c>
      <c r="AM669" s="431" t="str">
        <f>VLOOKUP($Q669,Resultados!$A$1:$C$49,3,FALSE)</f>
        <v>TRAMITE</v>
      </c>
    </row>
    <row r="670" spans="1:39" ht="39.950000000000003" customHeight="1">
      <c r="A670" s="364">
        <v>627</v>
      </c>
      <c r="B670" s="38">
        <v>45338</v>
      </c>
      <c r="C670" s="337" t="s">
        <v>1501</v>
      </c>
      <c r="D670" s="32" t="s">
        <v>1601</v>
      </c>
      <c r="E670" s="40" t="s">
        <v>1602</v>
      </c>
      <c r="F670" s="39">
        <v>7</v>
      </c>
      <c r="G670" s="32" t="s">
        <v>10</v>
      </c>
      <c r="H670" s="38"/>
      <c r="I670" s="38"/>
      <c r="J670" s="38"/>
      <c r="K670" s="39" t="str">
        <f>IFERROR(VLOOKUP(J670,Jueces!$A$1:$B$11,2,FALSE),"")</f>
        <v/>
      </c>
      <c r="L670" s="32" t="s">
        <v>87</v>
      </c>
      <c r="M670" s="32" t="s">
        <v>27</v>
      </c>
      <c r="N670" s="32" t="s">
        <v>2013</v>
      </c>
      <c r="O670" s="24" t="str">
        <f>IF(Q670=" _","NO","SI")</f>
        <v>NO</v>
      </c>
      <c r="P670" s="24" t="str">
        <f ca="1">IF(color_Celda(E670)=12106214,"ROSA",IF(color_Celda(E670)=65535,"AMARILLO",IF(color_Celda(E670)=5296274,"VERDE",IF(color_Celda(E670)=16777215,"BLANCO","NO SE"))))</f>
        <v>AMARILLO</v>
      </c>
      <c r="Q670" s="32" t="s">
        <v>108</v>
      </c>
      <c r="R670" s="32" t="str">
        <f>VLOOKUP($Q670,Resultados!$A$1:$B$49,2,FALSE)</f>
        <v xml:space="preserve"> _</v>
      </c>
      <c r="S670" s="32"/>
      <c r="T670" s="37"/>
      <c r="U670" s="37"/>
      <c r="V670" s="39"/>
      <c r="W670" s="39"/>
      <c r="X670" s="39"/>
      <c r="Y670" s="64"/>
      <c r="Z670" s="39"/>
      <c r="AA670" s="39"/>
      <c r="AB670" s="39"/>
      <c r="AC670" s="39"/>
      <c r="AD670" s="39"/>
      <c r="AE670" s="110"/>
      <c r="AF670" s="39"/>
      <c r="AG670" s="39"/>
      <c r="AH670" s="39"/>
      <c r="AI670" s="39"/>
      <c r="AJ670" s="43" t="s">
        <v>988</v>
      </c>
      <c r="AK670" s="39"/>
      <c r="AL670" s="155" t="s">
        <v>1627</v>
      </c>
      <c r="AM670" s="431" t="str">
        <f>VLOOKUP($Q670,Resultados!$A$1:$C$49,3,FALSE)</f>
        <v>TRAMITE</v>
      </c>
    </row>
    <row r="671" spans="1:39" ht="39.950000000000003" customHeight="1">
      <c r="A671" s="364">
        <v>628</v>
      </c>
      <c r="B671" s="38">
        <v>45338</v>
      </c>
      <c r="C671" s="337" t="s">
        <v>65</v>
      </c>
      <c r="D671" s="32" t="s">
        <v>1603</v>
      </c>
      <c r="E671" s="40" t="s">
        <v>1604</v>
      </c>
      <c r="F671" s="39">
        <v>7</v>
      </c>
      <c r="G671" s="39" t="s">
        <v>10</v>
      </c>
      <c r="H671" s="38"/>
      <c r="I671" s="38"/>
      <c r="J671" s="38"/>
      <c r="K671" s="39" t="str">
        <f>IFERROR(VLOOKUP(J671,Jueces!$A$1:$B$11,2,FALSE),"")</f>
        <v/>
      </c>
      <c r="L671" s="32" t="s">
        <v>25</v>
      </c>
      <c r="M671" s="32" t="s">
        <v>171</v>
      </c>
      <c r="N671" s="32" t="s">
        <v>1752</v>
      </c>
      <c r="O671" s="24" t="str">
        <f>IF(Q671=" _","NO","SI")</f>
        <v>NO</v>
      </c>
      <c r="P671" s="24" t="str">
        <f ca="1">IF(color_Celda(E671)=12106214,"ROSA",IF(color_Celda(E671)=65535,"AMARILLO",IF(color_Celda(E671)=5296274,"VERDE",IF(color_Celda(E671)=16777215,"BLANCO","NO SE"))))</f>
        <v>AMARILLO</v>
      </c>
      <c r="Q671" s="32" t="s">
        <v>108</v>
      </c>
      <c r="R671" s="32" t="str">
        <f>VLOOKUP($Q671,Resultados!$A$1:$B$49,2,FALSE)</f>
        <v xml:space="preserve"> _</v>
      </c>
      <c r="S671" s="32"/>
      <c r="T671" s="37"/>
      <c r="U671" s="37"/>
      <c r="V671" s="39"/>
      <c r="W671" s="39"/>
      <c r="X671" s="39"/>
      <c r="Y671" s="64"/>
      <c r="Z671" s="39"/>
      <c r="AA671" s="39"/>
      <c r="AB671" s="39"/>
      <c r="AC671" s="39"/>
      <c r="AD671" s="39"/>
      <c r="AE671" s="110"/>
      <c r="AF671" s="39"/>
      <c r="AG671" s="39"/>
      <c r="AH671" s="39"/>
      <c r="AI671" s="39"/>
      <c r="AJ671" s="43" t="s">
        <v>988</v>
      </c>
      <c r="AK671" s="39"/>
      <c r="AL671" s="155" t="s">
        <v>1627</v>
      </c>
      <c r="AM671" s="431" t="str">
        <f>VLOOKUP($Q671,Resultados!$A$1:$C$49,3,FALSE)</f>
        <v>TRAMITE</v>
      </c>
    </row>
    <row r="672" spans="1:39" ht="39.950000000000003" customHeight="1">
      <c r="A672" s="364">
        <v>629</v>
      </c>
      <c r="B672" s="38">
        <v>45338</v>
      </c>
      <c r="C672" s="337" t="s">
        <v>1605</v>
      </c>
      <c r="D672" s="32" t="s">
        <v>1606</v>
      </c>
      <c r="E672" s="40" t="s">
        <v>1607</v>
      </c>
      <c r="F672" s="39">
        <v>3</v>
      </c>
      <c r="G672" s="39" t="s">
        <v>1750</v>
      </c>
      <c r="H672" s="38"/>
      <c r="I672" s="38"/>
      <c r="J672" s="38"/>
      <c r="K672" s="39" t="str">
        <f>IFERROR(VLOOKUP(J672,Jueces!$A$1:$B$11,2,FALSE),"")</f>
        <v/>
      </c>
      <c r="L672" s="32" t="s">
        <v>73</v>
      </c>
      <c r="M672" s="32" t="s">
        <v>46</v>
      </c>
      <c r="N672" s="32" t="s">
        <v>1760</v>
      </c>
      <c r="O672" s="24" t="str">
        <f>IF(Q672=" _","NO","SI")</f>
        <v>NO</v>
      </c>
      <c r="P672" s="24" t="str">
        <f ca="1">IF(color_Celda(E672)=12106214,"ROSA",IF(color_Celda(E672)=65535,"AMARILLO",IF(color_Celda(E672)=5296274,"VERDE",IF(color_Celda(E672)=16777215,"BLANCO","NO SE"))))</f>
        <v>AMARILLO</v>
      </c>
      <c r="Q672" s="32" t="s">
        <v>108</v>
      </c>
      <c r="R672" s="32" t="str">
        <f>VLOOKUP($Q672,Resultados!$A$1:$B$49,2,FALSE)</f>
        <v xml:space="preserve"> _</v>
      </c>
      <c r="S672" s="32"/>
      <c r="T672" s="37"/>
      <c r="U672" s="37"/>
      <c r="V672" s="39"/>
      <c r="W672" s="39"/>
      <c r="X672" s="39"/>
      <c r="Y672" s="64"/>
      <c r="Z672" s="39"/>
      <c r="AA672" s="39"/>
      <c r="AB672" s="39"/>
      <c r="AC672" s="39"/>
      <c r="AD672" s="39"/>
      <c r="AE672" s="110"/>
      <c r="AF672" s="39"/>
      <c r="AG672" s="39"/>
      <c r="AH672" s="39"/>
      <c r="AI672" s="39"/>
      <c r="AJ672" s="43" t="s">
        <v>988</v>
      </c>
      <c r="AK672" s="39"/>
      <c r="AL672" s="155" t="s">
        <v>1627</v>
      </c>
      <c r="AM672" s="431" t="str">
        <f>VLOOKUP($Q672,Resultados!$A$1:$C$49,3,FALSE)</f>
        <v>TRAMITE</v>
      </c>
    </row>
    <row r="673" spans="1:39" ht="39.950000000000003" customHeight="1">
      <c r="A673" s="364">
        <v>631</v>
      </c>
      <c r="B673" s="38">
        <v>45338</v>
      </c>
      <c r="C673" s="337" t="s">
        <v>12</v>
      </c>
      <c r="D673" s="32" t="s">
        <v>1610</v>
      </c>
      <c r="E673" s="40" t="s">
        <v>1611</v>
      </c>
      <c r="F673" s="39">
        <v>6</v>
      </c>
      <c r="G673" s="32" t="s">
        <v>326</v>
      </c>
      <c r="H673" s="38"/>
      <c r="I673" s="38"/>
      <c r="J673" s="38"/>
      <c r="K673" s="39" t="str">
        <f>IFERROR(VLOOKUP(J673,Jueces!$A$1:$B$11,2,FALSE),"")</f>
        <v/>
      </c>
      <c r="L673" s="32" t="s">
        <v>82</v>
      </c>
      <c r="M673" s="32" t="s">
        <v>45</v>
      </c>
      <c r="N673" s="32" t="s">
        <v>1948</v>
      </c>
      <c r="O673" s="24" t="str">
        <f>IF(Q673=" _","NO","SI")</f>
        <v>NO</v>
      </c>
      <c r="P673" s="24" t="str">
        <f ca="1">IF(color_Celda(E673)=12106214,"ROSA",IF(color_Celda(E673)=65535,"AMARILLO",IF(color_Celda(E673)=5296274,"VERDE",IF(color_Celda(E673)=16777215,"BLANCO","NO SE"))))</f>
        <v>AMARILLO</v>
      </c>
      <c r="Q673" s="32" t="s">
        <v>108</v>
      </c>
      <c r="R673" s="32" t="str">
        <f>VLOOKUP($Q673,Resultados!$A$1:$B$49,2,FALSE)</f>
        <v xml:space="preserve"> _</v>
      </c>
      <c r="S673" s="32"/>
      <c r="T673" s="37"/>
      <c r="U673" s="37"/>
      <c r="V673" s="39"/>
      <c r="W673" s="39"/>
      <c r="X673" s="39"/>
      <c r="Y673" s="64"/>
      <c r="Z673" s="39"/>
      <c r="AA673" s="39"/>
      <c r="AB673" s="39"/>
      <c r="AC673" s="39"/>
      <c r="AD673" s="39"/>
      <c r="AE673" s="110"/>
      <c r="AF673" s="39"/>
      <c r="AG673" s="39"/>
      <c r="AH673" s="39"/>
      <c r="AI673" s="39"/>
      <c r="AJ673" s="43" t="s">
        <v>988</v>
      </c>
      <c r="AK673" s="39"/>
      <c r="AL673" s="155" t="s">
        <v>1627</v>
      </c>
      <c r="AM673" s="431" t="str">
        <f>VLOOKUP($Q673,Resultados!$A$1:$C$49,3,FALSE)</f>
        <v>TRAMITE</v>
      </c>
    </row>
    <row r="674" spans="1:39" ht="39.950000000000003" customHeight="1">
      <c r="A674" s="364">
        <v>632</v>
      </c>
      <c r="B674" s="38">
        <v>45338</v>
      </c>
      <c r="C674" s="337" t="s">
        <v>1612</v>
      </c>
      <c r="D674" s="32" t="s">
        <v>1613</v>
      </c>
      <c r="E674" s="40" t="s">
        <v>1614</v>
      </c>
      <c r="F674" s="39">
        <v>2</v>
      </c>
      <c r="G674" s="39" t="s">
        <v>326</v>
      </c>
      <c r="H674" s="38"/>
      <c r="I674" s="38"/>
      <c r="J674" s="38"/>
      <c r="K674" s="39" t="str">
        <f>IFERROR(VLOOKUP(J674,Jueces!$A$1:$B$11,2,FALSE),"")</f>
        <v/>
      </c>
      <c r="L674" s="32" t="s">
        <v>83</v>
      </c>
      <c r="M674" s="32" t="s">
        <v>60</v>
      </c>
      <c r="N674" s="32" t="s">
        <v>1868</v>
      </c>
      <c r="O674" s="24" t="str">
        <f>IF(Q674=" _","NO","SI")</f>
        <v>NO</v>
      </c>
      <c r="P674" s="24" t="str">
        <f ca="1">IF(color_Celda(E674)=12106214,"ROSA",IF(color_Celda(E674)=65535,"AMARILLO",IF(color_Celda(E674)=5296274,"VERDE",IF(color_Celda(E674)=16777215,"BLANCO","NO SE"))))</f>
        <v>AMARILLO</v>
      </c>
      <c r="Q674" s="32" t="s">
        <v>108</v>
      </c>
      <c r="R674" s="32" t="str">
        <f>VLOOKUP($Q674,Resultados!$A$1:$B$49,2,FALSE)</f>
        <v xml:space="preserve"> _</v>
      </c>
      <c r="S674" s="32"/>
      <c r="T674" s="37"/>
      <c r="U674" s="37"/>
      <c r="V674" s="39"/>
      <c r="W674" s="39"/>
      <c r="X674" s="39"/>
      <c r="Y674" s="64"/>
      <c r="Z674" s="39"/>
      <c r="AA674" s="39"/>
      <c r="AB674" s="39"/>
      <c r="AC674" s="39"/>
      <c r="AD674" s="39"/>
      <c r="AE674" s="110"/>
      <c r="AF674" s="39"/>
      <c r="AG674" s="39"/>
      <c r="AH674" s="39"/>
      <c r="AI674" s="39"/>
      <c r="AJ674" s="43" t="s">
        <v>988</v>
      </c>
      <c r="AK674" s="39"/>
      <c r="AL674" s="155" t="s">
        <v>1627</v>
      </c>
      <c r="AM674" s="431" t="str">
        <f>VLOOKUP($Q674,Resultados!$A$1:$C$49,3,FALSE)</f>
        <v>TRAMITE</v>
      </c>
    </row>
    <row r="675" spans="1:39" ht="39.950000000000003" customHeight="1">
      <c r="A675" s="364">
        <v>633</v>
      </c>
      <c r="B675" s="38">
        <v>45338</v>
      </c>
      <c r="C675" s="337" t="s">
        <v>12</v>
      </c>
      <c r="D675" s="32" t="s">
        <v>1615</v>
      </c>
      <c r="E675" s="40" t="s">
        <v>1616</v>
      </c>
      <c r="F675" s="39">
        <v>2</v>
      </c>
      <c r="G675" s="39" t="s">
        <v>326</v>
      </c>
      <c r="H675" s="38"/>
      <c r="I675" s="38"/>
      <c r="J675" s="38"/>
      <c r="K675" s="39" t="str">
        <f>IFERROR(VLOOKUP(J675,Jueces!$A$1:$B$11,2,FALSE),"")</f>
        <v/>
      </c>
      <c r="L675" s="32" t="s">
        <v>250</v>
      </c>
      <c r="M675" s="32" t="s">
        <v>45</v>
      </c>
      <c r="N675" s="32" t="s">
        <v>1868</v>
      </c>
      <c r="O675" s="24" t="str">
        <f>IF(Q675=" _","NO","SI")</f>
        <v>NO</v>
      </c>
      <c r="P675" s="24" t="str">
        <f ca="1">IF(color_Celda(E675)=12106214,"ROSA",IF(color_Celda(E675)=65535,"AMARILLO",IF(color_Celda(E675)=5296274,"VERDE",IF(color_Celda(E675)=16777215,"BLANCO","NO SE"))))</f>
        <v>AMARILLO</v>
      </c>
      <c r="Q675" s="32" t="s">
        <v>108</v>
      </c>
      <c r="R675" s="32" t="str">
        <f>VLOOKUP($Q675,Resultados!$A$1:$B$49,2,FALSE)</f>
        <v xml:space="preserve"> _</v>
      </c>
      <c r="S675" s="32"/>
      <c r="T675" s="37"/>
      <c r="U675" s="37"/>
      <c r="V675" s="39"/>
      <c r="W675" s="39"/>
      <c r="X675" s="39"/>
      <c r="Y675" s="64"/>
      <c r="Z675" s="39"/>
      <c r="AA675" s="39"/>
      <c r="AB675" s="39"/>
      <c r="AC675" s="39"/>
      <c r="AD675" s="39"/>
      <c r="AE675" s="110"/>
      <c r="AF675" s="39"/>
      <c r="AG675" s="39"/>
      <c r="AH675" s="39"/>
      <c r="AI675" s="39"/>
      <c r="AJ675" s="43" t="s">
        <v>988</v>
      </c>
      <c r="AK675" s="39"/>
      <c r="AL675" s="155" t="s">
        <v>1627</v>
      </c>
      <c r="AM675" s="431" t="str">
        <f>VLOOKUP($Q675,Resultados!$A$1:$C$49,3,FALSE)</f>
        <v>TRAMITE</v>
      </c>
    </row>
    <row r="676" spans="1:39" ht="39.950000000000003" customHeight="1">
      <c r="A676" s="364">
        <v>634</v>
      </c>
      <c r="B676" s="38">
        <v>45338</v>
      </c>
      <c r="C676" s="337" t="s">
        <v>1306</v>
      </c>
      <c r="D676" s="32" t="s">
        <v>1617</v>
      </c>
      <c r="E676" s="41" t="s">
        <v>1618</v>
      </c>
      <c r="F676" s="39">
        <v>4</v>
      </c>
      <c r="G676" s="39" t="s">
        <v>326</v>
      </c>
      <c r="H676" s="38"/>
      <c r="I676" s="38"/>
      <c r="J676" s="38"/>
      <c r="K676" s="39" t="str">
        <f>IFERROR(VLOOKUP(J676,Jueces!$A$1:$B$11,2,FALSE),"")</f>
        <v/>
      </c>
      <c r="L676" s="32" t="s">
        <v>42</v>
      </c>
      <c r="M676" s="32" t="s">
        <v>749</v>
      </c>
      <c r="N676" s="32" t="s">
        <v>2987</v>
      </c>
      <c r="O676" s="24" t="str">
        <f>IF(Q676=" _","NO","SI")</f>
        <v>NO</v>
      </c>
      <c r="P676" s="24" t="str">
        <f ca="1">IF(color_Celda(E676)=12106214,"ROSA",IF(color_Celda(E676)=65535,"AMARILLO",IF(color_Celda(E676)=5296274,"VERDE",IF(color_Celda(E676)=16777215,"BLANCO","NO SE"))))</f>
        <v>AMARILLO</v>
      </c>
      <c r="Q676" s="32" t="s">
        <v>108</v>
      </c>
      <c r="R676" s="32" t="str">
        <f>VLOOKUP($Q676,Resultados!$A$1:$B$49,2,FALSE)</f>
        <v xml:space="preserve"> _</v>
      </c>
      <c r="S676" s="32"/>
      <c r="T676" s="37"/>
      <c r="U676" s="37"/>
      <c r="V676" s="39"/>
      <c r="W676" s="39"/>
      <c r="X676" s="39"/>
      <c r="Y676" s="64"/>
      <c r="Z676" s="39"/>
      <c r="AA676" s="39"/>
      <c r="AB676" s="39"/>
      <c r="AC676" s="39"/>
      <c r="AD676" s="39"/>
      <c r="AE676" s="110"/>
      <c r="AF676" s="39"/>
      <c r="AG676" s="39"/>
      <c r="AH676" s="39"/>
      <c r="AI676" s="39"/>
      <c r="AJ676" s="43" t="s">
        <v>408</v>
      </c>
      <c r="AK676" s="39"/>
      <c r="AL676" s="363" t="s">
        <v>1627</v>
      </c>
      <c r="AM676" s="431" t="str">
        <f>VLOOKUP($Q676,Resultados!$A$1:$C$49,3,FALSE)</f>
        <v>TRAMITE</v>
      </c>
    </row>
    <row r="677" spans="1:39" ht="39.950000000000003" customHeight="1">
      <c r="A677" s="364">
        <v>637</v>
      </c>
      <c r="B677" s="38">
        <v>45338</v>
      </c>
      <c r="C677" s="337" t="s">
        <v>1657</v>
      </c>
      <c r="D677" s="32" t="s">
        <v>1658</v>
      </c>
      <c r="E677" s="40" t="s">
        <v>1659</v>
      </c>
      <c r="F677" s="39">
        <v>6</v>
      </c>
      <c r="G677" s="32" t="s">
        <v>326</v>
      </c>
      <c r="H677" s="38"/>
      <c r="I677" s="38"/>
      <c r="J677" s="38"/>
      <c r="K677" s="39" t="str">
        <f>IFERROR(VLOOKUP(J677,Jueces!$A$1:$B$11,2,FALSE),"")</f>
        <v/>
      </c>
      <c r="L677" s="32" t="s">
        <v>71</v>
      </c>
      <c r="M677" s="32" t="s">
        <v>1995</v>
      </c>
      <c r="N677" s="32" t="s">
        <v>1948</v>
      </c>
      <c r="O677" s="24" t="str">
        <f>IF(Q677=" _","NO","SI")</f>
        <v>NO</v>
      </c>
      <c r="P677" s="24" t="str">
        <f ca="1">IF(color_Celda(E677)=12106214,"ROSA",IF(color_Celda(E677)=65535,"AMARILLO",IF(color_Celda(E677)=5296274,"VERDE",IF(color_Celda(E677)=16777215,"BLANCO","NO SE"))))</f>
        <v>AMARILLO</v>
      </c>
      <c r="Q677" s="32" t="s">
        <v>108</v>
      </c>
      <c r="R677" s="32" t="str">
        <f>VLOOKUP($Q677,Resultados!$A$1:$B$49,2,FALSE)</f>
        <v xml:space="preserve"> _</v>
      </c>
      <c r="S677" s="32"/>
      <c r="T677" s="37"/>
      <c r="U677" s="37"/>
      <c r="V677" s="39"/>
      <c r="W677" s="39"/>
      <c r="X677" s="39"/>
      <c r="Y677" s="64"/>
      <c r="Z677" s="39"/>
      <c r="AA677" s="39"/>
      <c r="AB677" s="39"/>
      <c r="AC677" s="39"/>
      <c r="AD677" s="39"/>
      <c r="AE677" s="110"/>
      <c r="AF677" s="39"/>
      <c r="AG677" s="39"/>
      <c r="AH677" s="39"/>
      <c r="AI677" s="39"/>
      <c r="AJ677" s="43" t="s">
        <v>988</v>
      </c>
      <c r="AK677" s="39"/>
      <c r="AL677" s="155" t="s">
        <v>1627</v>
      </c>
      <c r="AM677" s="431" t="str">
        <f>VLOOKUP($Q677,Resultados!$A$1:$C$49,3,FALSE)</f>
        <v>TRAMITE</v>
      </c>
    </row>
    <row r="678" spans="1:39" ht="39.950000000000003" customHeight="1">
      <c r="A678" s="364">
        <v>638</v>
      </c>
      <c r="B678" s="38">
        <v>45338</v>
      </c>
      <c r="C678" s="337" t="s">
        <v>1211</v>
      </c>
      <c r="D678" s="32" t="s">
        <v>1769</v>
      </c>
      <c r="E678" s="40" t="s">
        <v>1770</v>
      </c>
      <c r="F678" s="39">
        <v>3</v>
      </c>
      <c r="G678" s="39" t="s">
        <v>1750</v>
      </c>
      <c r="H678" s="38"/>
      <c r="I678" s="38"/>
      <c r="J678" s="38"/>
      <c r="K678" s="39" t="str">
        <f>IFERROR(VLOOKUP(J678,Jueces!$A$1:$B$11,2,FALSE),"")</f>
        <v/>
      </c>
      <c r="L678" s="32" t="s">
        <v>73</v>
      </c>
      <c r="M678" s="32" t="s">
        <v>46</v>
      </c>
      <c r="N678" s="32" t="s">
        <v>1771</v>
      </c>
      <c r="O678" s="24" t="str">
        <f>IF(Q678=" _","NO","SI")</f>
        <v>NO</v>
      </c>
      <c r="P678" s="24" t="str">
        <f ca="1">IF(color_Celda(E678)=12106214,"ROSA",IF(color_Celda(E678)=65535,"AMARILLO",IF(color_Celda(E678)=5296274,"VERDE",IF(color_Celda(E678)=16777215,"BLANCO","NO SE"))))</f>
        <v>AMARILLO</v>
      </c>
      <c r="Q678" s="32" t="s">
        <v>108</v>
      </c>
      <c r="R678" s="32" t="str">
        <f>VLOOKUP($Q678,Resultados!$A$1:$B$49,2,FALSE)</f>
        <v xml:space="preserve"> _</v>
      </c>
      <c r="S678" s="32"/>
      <c r="T678" s="37"/>
      <c r="U678" s="37"/>
      <c r="V678" s="39"/>
      <c r="W678" s="39"/>
      <c r="X678" s="39"/>
      <c r="Y678" s="64"/>
      <c r="Z678" s="39"/>
      <c r="AA678" s="39"/>
      <c r="AB678" s="39"/>
      <c r="AC678" s="39"/>
      <c r="AD678" s="39"/>
      <c r="AE678" s="110"/>
      <c r="AF678" s="39"/>
      <c r="AG678" s="39"/>
      <c r="AH678" s="39"/>
      <c r="AI678" s="39"/>
      <c r="AJ678" s="43" t="s">
        <v>988</v>
      </c>
      <c r="AK678" s="39"/>
      <c r="AL678" s="155" t="s">
        <v>1627</v>
      </c>
      <c r="AM678" s="431" t="str">
        <f>VLOOKUP($Q678,Resultados!$A$1:$C$49,3,FALSE)</f>
        <v>TRAMITE</v>
      </c>
    </row>
    <row r="679" spans="1:39" ht="39.950000000000003" customHeight="1">
      <c r="A679" s="364">
        <v>639</v>
      </c>
      <c r="B679" s="38">
        <v>45338</v>
      </c>
      <c r="C679" s="337" t="s">
        <v>1497</v>
      </c>
      <c r="D679" s="32" t="s">
        <v>2128</v>
      </c>
      <c r="E679" s="40" t="s">
        <v>2129</v>
      </c>
      <c r="F679" s="32">
        <v>5</v>
      </c>
      <c r="G679" s="32" t="s">
        <v>10</v>
      </c>
      <c r="H679" s="38"/>
      <c r="I679" s="38"/>
      <c r="J679" s="38"/>
      <c r="K679" s="39" t="str">
        <f>IFERROR(VLOOKUP(J679,Jueces!$A$1:$B$11,2,FALSE),"")</f>
        <v/>
      </c>
      <c r="L679" s="32" t="s">
        <v>86</v>
      </c>
      <c r="M679" s="32" t="s">
        <v>260</v>
      </c>
      <c r="N679" s="32" t="s">
        <v>2130</v>
      </c>
      <c r="O679" s="24" t="str">
        <f>IF(Q679=" _","NO","SI")</f>
        <v>NO</v>
      </c>
      <c r="P679" s="24" t="str">
        <f ca="1">IF(color_Celda(E679)=12106214,"ROSA",IF(color_Celda(E679)=65535,"AMARILLO",IF(color_Celda(E679)=5296274,"VERDE",IF(color_Celda(E679)=16777215,"BLANCO","NO SE"))))</f>
        <v>AMARILLO</v>
      </c>
      <c r="Q679" s="32" t="s">
        <v>108</v>
      </c>
      <c r="R679" s="32" t="str">
        <f>VLOOKUP($Q679,Resultados!$A$1:$B$49,2,FALSE)</f>
        <v xml:space="preserve"> _</v>
      </c>
      <c r="S679" s="32"/>
      <c r="T679" s="37"/>
      <c r="U679" s="37"/>
      <c r="V679" s="39"/>
      <c r="W679" s="39"/>
      <c r="X679" s="39"/>
      <c r="Y679" s="64"/>
      <c r="Z679" s="39"/>
      <c r="AA679" s="39"/>
      <c r="AB679" s="39"/>
      <c r="AC679" s="39"/>
      <c r="AD679" s="39"/>
      <c r="AE679" s="110"/>
      <c r="AF679" s="39"/>
      <c r="AG679" s="39"/>
      <c r="AH679" s="39"/>
      <c r="AI679" s="39"/>
      <c r="AJ679" s="43" t="s">
        <v>988</v>
      </c>
      <c r="AK679" s="39"/>
      <c r="AL679" s="155" t="s">
        <v>1627</v>
      </c>
      <c r="AM679" s="431" t="str">
        <f>VLOOKUP($Q679,Resultados!$A$1:$C$49,3,FALSE)</f>
        <v>TRAMITE</v>
      </c>
    </row>
    <row r="680" spans="1:39" ht="39.950000000000003" customHeight="1">
      <c r="A680" s="364">
        <v>640</v>
      </c>
      <c r="B680" s="38">
        <v>45340</v>
      </c>
      <c r="C680" s="337" t="s">
        <v>12</v>
      </c>
      <c r="D680" s="32" t="s">
        <v>1661</v>
      </c>
      <c r="E680" s="40" t="s">
        <v>1662</v>
      </c>
      <c r="F680" s="39">
        <v>6</v>
      </c>
      <c r="G680" s="32" t="s">
        <v>326</v>
      </c>
      <c r="H680" s="38"/>
      <c r="I680" s="38"/>
      <c r="J680" s="38"/>
      <c r="K680" s="39" t="str">
        <f>IFERROR(VLOOKUP(J680,Jueces!$A$1:$B$11,2,FALSE),"")</f>
        <v/>
      </c>
      <c r="L680" s="32" t="s">
        <v>252</v>
      </c>
      <c r="M680" s="39" t="s">
        <v>651</v>
      </c>
      <c r="N680" s="32" t="s">
        <v>1868</v>
      </c>
      <c r="O680" s="24" t="str">
        <f>IF(Q680=" _","NO","SI")</f>
        <v>NO</v>
      </c>
      <c r="P680" s="24" t="str">
        <f ca="1">IF(color_Celda(E680)=12106214,"ROSA",IF(color_Celda(E680)=65535,"AMARILLO",IF(color_Celda(E680)=5296274,"VERDE",IF(color_Celda(E680)=16777215,"BLANCO","NO SE"))))</f>
        <v>AMARILLO</v>
      </c>
      <c r="Q680" s="32" t="s">
        <v>108</v>
      </c>
      <c r="R680" s="32" t="str">
        <f>VLOOKUP($Q680,Resultados!$A$1:$B$49,2,FALSE)</f>
        <v xml:space="preserve"> _</v>
      </c>
      <c r="S680" s="32"/>
      <c r="T680" s="37"/>
      <c r="U680" s="37"/>
      <c r="V680" s="39"/>
      <c r="W680" s="39"/>
      <c r="X680" s="39"/>
      <c r="Y680" s="64"/>
      <c r="Z680" s="39"/>
      <c r="AA680" s="39"/>
      <c r="AB680" s="39"/>
      <c r="AC680" s="39"/>
      <c r="AD680" s="39"/>
      <c r="AE680" s="110"/>
      <c r="AF680" s="39"/>
      <c r="AG680" s="39"/>
      <c r="AH680" s="39"/>
      <c r="AI680" s="39"/>
      <c r="AJ680" s="43" t="s">
        <v>988</v>
      </c>
      <c r="AK680" s="39"/>
      <c r="AL680" s="155" t="s">
        <v>1627</v>
      </c>
      <c r="AM680" s="431" t="str">
        <f>VLOOKUP($Q680,Resultados!$A$1:$C$49,3,FALSE)</f>
        <v>TRAMITE</v>
      </c>
    </row>
    <row r="681" spans="1:39" ht="39.950000000000003" customHeight="1">
      <c r="A681" s="364">
        <v>643</v>
      </c>
      <c r="B681" s="38">
        <v>45341</v>
      </c>
      <c r="C681" s="337" t="s">
        <v>12</v>
      </c>
      <c r="D681" s="32" t="s">
        <v>1666</v>
      </c>
      <c r="E681" s="40" t="s">
        <v>1667</v>
      </c>
      <c r="F681" s="39">
        <v>6</v>
      </c>
      <c r="G681" s="32" t="s">
        <v>326</v>
      </c>
      <c r="H681" s="38"/>
      <c r="I681" s="38"/>
      <c r="J681" s="38"/>
      <c r="K681" s="39" t="str">
        <f>IFERROR(VLOOKUP(J681,Jueces!$A$1:$B$11,2,FALSE),"")</f>
        <v/>
      </c>
      <c r="L681" s="32" t="s">
        <v>86</v>
      </c>
      <c r="M681" s="32" t="s">
        <v>260</v>
      </c>
      <c r="N681" s="32" t="s">
        <v>1868</v>
      </c>
      <c r="O681" s="24" t="str">
        <f>IF(Q681=" _","NO","SI")</f>
        <v>NO</v>
      </c>
      <c r="P681" s="24" t="str">
        <f ca="1">IF(color_Celda(E681)=12106214,"ROSA",IF(color_Celda(E681)=65535,"AMARILLO",IF(color_Celda(E681)=5296274,"VERDE",IF(color_Celda(E681)=16777215,"BLANCO","NO SE"))))</f>
        <v>AMARILLO</v>
      </c>
      <c r="Q681" s="32" t="s">
        <v>108</v>
      </c>
      <c r="R681" s="32" t="str">
        <f>VLOOKUP($Q681,Resultados!$A$1:$B$49,2,FALSE)</f>
        <v xml:space="preserve"> _</v>
      </c>
      <c r="S681" s="32"/>
      <c r="T681" s="37"/>
      <c r="U681" s="37"/>
      <c r="V681" s="39"/>
      <c r="W681" s="39"/>
      <c r="X681" s="39"/>
      <c r="Y681" s="64"/>
      <c r="Z681" s="39"/>
      <c r="AA681" s="39"/>
      <c r="AB681" s="39"/>
      <c r="AC681" s="39"/>
      <c r="AD681" s="39"/>
      <c r="AE681" s="110"/>
      <c r="AF681" s="39"/>
      <c r="AG681" s="39"/>
      <c r="AH681" s="39"/>
      <c r="AI681" s="39"/>
      <c r="AJ681" s="43" t="s">
        <v>988</v>
      </c>
      <c r="AK681" s="39"/>
      <c r="AL681" s="155" t="s">
        <v>1627</v>
      </c>
      <c r="AM681" s="431" t="str">
        <f>VLOOKUP($Q681,Resultados!$A$1:$C$49,3,FALSE)</f>
        <v>TRAMITE</v>
      </c>
    </row>
    <row r="682" spans="1:39" ht="39.950000000000003" customHeight="1">
      <c r="A682" s="364">
        <v>646</v>
      </c>
      <c r="B682" s="38">
        <v>45341</v>
      </c>
      <c r="C682" s="331"/>
      <c r="D682" s="32" t="s">
        <v>247</v>
      </c>
      <c r="E682" s="40" t="s">
        <v>2154</v>
      </c>
      <c r="F682" s="39">
        <v>5</v>
      </c>
      <c r="G682" s="32" t="s">
        <v>10</v>
      </c>
      <c r="H682" s="38"/>
      <c r="I682" s="38"/>
      <c r="J682" s="38"/>
      <c r="K682" s="39" t="str">
        <f>IFERROR(VLOOKUP(J682,Jueces!$A$1:$B$11,2,FALSE),"")</f>
        <v/>
      </c>
      <c r="L682" s="32" t="s">
        <v>2169</v>
      </c>
      <c r="M682" s="32" t="s">
        <v>256</v>
      </c>
      <c r="N682" s="32" t="s">
        <v>2133</v>
      </c>
      <c r="O682" s="24" t="str">
        <f>IF(Q682=" _","NO","SI")</f>
        <v>NO</v>
      </c>
      <c r="P682" s="24" t="str">
        <f ca="1">IF(color_Celda(E682)=12106214,"ROSA",IF(color_Celda(E682)=65535,"AMARILLO",IF(color_Celda(E682)=5296274,"VERDE",IF(color_Celda(E682)=16777215,"BLANCO","NO SE"))))</f>
        <v>AMARILLO</v>
      </c>
      <c r="Q682" s="32" t="s">
        <v>108</v>
      </c>
      <c r="R682" s="32" t="str">
        <f>VLOOKUP($Q682,Resultados!$A$1:$B$49,2,FALSE)</f>
        <v xml:space="preserve"> _</v>
      </c>
      <c r="S682" s="32"/>
      <c r="T682" s="37"/>
      <c r="U682" s="37"/>
      <c r="V682" s="39"/>
      <c r="W682" s="39"/>
      <c r="X682" s="39"/>
      <c r="Y682" s="64"/>
      <c r="Z682" s="39"/>
      <c r="AA682" s="39"/>
      <c r="AB682" s="39"/>
      <c r="AC682" s="39"/>
      <c r="AD682" s="39"/>
      <c r="AE682" s="110"/>
      <c r="AF682" s="39"/>
      <c r="AG682" s="39"/>
      <c r="AH682" s="39"/>
      <c r="AI682" s="39"/>
      <c r="AJ682" s="43" t="s">
        <v>988</v>
      </c>
      <c r="AK682" s="39"/>
      <c r="AL682" s="155" t="s">
        <v>1627</v>
      </c>
      <c r="AM682" s="431" t="str">
        <f>VLOOKUP($Q682,Resultados!$A$1:$C$49,3,FALSE)</f>
        <v>TRAMITE</v>
      </c>
    </row>
    <row r="683" spans="1:39" ht="39.950000000000003" customHeight="1">
      <c r="A683" s="364">
        <v>647</v>
      </c>
      <c r="B683" s="38">
        <v>45341</v>
      </c>
      <c r="C683" s="337" t="s">
        <v>367</v>
      </c>
      <c r="D683" s="32" t="s">
        <v>2155</v>
      </c>
      <c r="E683" s="40" t="s">
        <v>2156</v>
      </c>
      <c r="F683" s="39">
        <v>5</v>
      </c>
      <c r="G683" s="32" t="s">
        <v>10</v>
      </c>
      <c r="H683" s="38"/>
      <c r="I683" s="38"/>
      <c r="J683" s="38"/>
      <c r="K683" s="39" t="str">
        <f>IFERROR(VLOOKUP(J683,Jueces!$A$1:$B$11,2,FALSE),"")</f>
        <v/>
      </c>
      <c r="L683" s="32" t="s">
        <v>73</v>
      </c>
      <c r="M683" s="32" t="s">
        <v>69</v>
      </c>
      <c r="N683" s="32" t="s">
        <v>2133</v>
      </c>
      <c r="O683" s="24" t="str">
        <f>IF(Q683=" _","NO","SI")</f>
        <v>NO</v>
      </c>
      <c r="P683" s="24" t="str">
        <f ca="1">IF(color_Celda(E683)=12106214,"ROSA",IF(color_Celda(E683)=65535,"AMARILLO",IF(color_Celda(E683)=5296274,"VERDE",IF(color_Celda(E683)=16777215,"BLANCO","NO SE"))))</f>
        <v>AMARILLO</v>
      </c>
      <c r="Q683" s="32" t="s">
        <v>108</v>
      </c>
      <c r="R683" s="32" t="str">
        <f>VLOOKUP($Q683,Resultados!$A$1:$B$49,2,FALSE)</f>
        <v xml:space="preserve"> _</v>
      </c>
      <c r="S683" s="32"/>
      <c r="T683" s="37"/>
      <c r="U683" s="37"/>
      <c r="V683" s="39"/>
      <c r="W683" s="39"/>
      <c r="X683" s="39"/>
      <c r="Y683" s="64"/>
      <c r="Z683" s="39"/>
      <c r="AA683" s="39"/>
      <c r="AB683" s="39"/>
      <c r="AC683" s="39"/>
      <c r="AD683" s="39"/>
      <c r="AE683" s="110"/>
      <c r="AF683" s="39"/>
      <c r="AG683" s="39"/>
      <c r="AH683" s="39"/>
      <c r="AI683" s="39"/>
      <c r="AJ683" s="43" t="s">
        <v>988</v>
      </c>
      <c r="AK683" s="39"/>
      <c r="AL683" s="155" t="s">
        <v>1627</v>
      </c>
      <c r="AM683" s="431" t="str">
        <f>VLOOKUP($Q683,Resultados!$A$1:$C$49,3,FALSE)</f>
        <v>TRAMITE</v>
      </c>
    </row>
    <row r="684" spans="1:39" ht="39.950000000000003" customHeight="1">
      <c r="A684" s="373">
        <v>649</v>
      </c>
      <c r="B684" s="113">
        <v>45343</v>
      </c>
      <c r="C684" s="338" t="s">
        <v>65</v>
      </c>
      <c r="D684" s="26" t="s">
        <v>1648</v>
      </c>
      <c r="E684" s="114" t="s">
        <v>1649</v>
      </c>
      <c r="F684" s="115">
        <v>3</v>
      </c>
      <c r="G684" s="115"/>
      <c r="H684" s="113"/>
      <c r="I684" s="113"/>
      <c r="J684" s="113"/>
      <c r="K684" s="115" t="str">
        <f>IFERROR(VLOOKUP(J684,Jueces!$A$1:$B$11,2,FALSE),"")</f>
        <v/>
      </c>
      <c r="L684" s="26" t="s">
        <v>81</v>
      </c>
      <c r="M684" s="26"/>
      <c r="N684" s="115"/>
      <c r="O684" s="24" t="str">
        <f>IF(Q684=" _","NO","SI")</f>
        <v>SI</v>
      </c>
      <c r="P684" s="24" t="str">
        <f ca="1">IF(color_Celda(E684)=12106214,"ROSA",IF(color_Celda(E684)=65535,"AMARILLO",IF(color_Celda(E684)=5296274,"VERDE",IF(color_Celda(E684)=16777215,"BLANCO","NO SE"))))</f>
        <v>VERDE</v>
      </c>
      <c r="Q684" s="96" t="s">
        <v>3313</v>
      </c>
      <c r="R684" s="26" t="str">
        <f>VLOOKUP($Q684,Resultados!$A$1:$B$49,2,FALSE)</f>
        <v>VERDE</v>
      </c>
      <c r="S684" s="26"/>
      <c r="T684" s="116"/>
      <c r="U684" s="116"/>
      <c r="V684" s="115"/>
      <c r="W684" s="115"/>
      <c r="X684" s="115"/>
      <c r="Y684" s="64"/>
      <c r="Z684" s="115"/>
      <c r="AA684" s="115"/>
      <c r="AB684" s="115"/>
      <c r="AC684" s="115"/>
      <c r="AD684" s="115"/>
      <c r="AE684" s="117"/>
      <c r="AF684" s="115"/>
      <c r="AG684" s="115"/>
      <c r="AH684" s="115"/>
      <c r="AI684" s="115"/>
      <c r="AJ684" s="156" t="s">
        <v>988</v>
      </c>
      <c r="AK684" s="115"/>
      <c r="AL684" s="157" t="s">
        <v>1627</v>
      </c>
      <c r="AM684" s="431" t="str">
        <f>VLOOKUP($Q684,Resultados!$A$1:$C$49,3,FALSE)</f>
        <v>NO LLEGO</v>
      </c>
    </row>
    <row r="685" spans="1:39" ht="39.950000000000003" customHeight="1">
      <c r="A685" s="364">
        <v>650</v>
      </c>
      <c r="B685" s="38">
        <v>45343</v>
      </c>
      <c r="C685" s="337" t="s">
        <v>1643</v>
      </c>
      <c r="D685" s="32" t="s">
        <v>1650</v>
      </c>
      <c r="E685" s="40" t="s">
        <v>1651</v>
      </c>
      <c r="F685" s="39">
        <v>7</v>
      </c>
      <c r="G685" s="39" t="s">
        <v>10</v>
      </c>
      <c r="H685" s="38"/>
      <c r="I685" s="38"/>
      <c r="J685" s="38"/>
      <c r="K685" s="39" t="str">
        <f>IFERROR(VLOOKUP(J685,Jueces!$A$1:$B$11,2,FALSE),"")</f>
        <v/>
      </c>
      <c r="L685" s="32" t="s">
        <v>250</v>
      </c>
      <c r="M685" s="32" t="s">
        <v>974</v>
      </c>
      <c r="N685" s="32" t="s">
        <v>1751</v>
      </c>
      <c r="O685" s="24" t="str">
        <f>IF(Q685=" _","NO","SI")</f>
        <v>NO</v>
      </c>
      <c r="P685" s="24" t="str">
        <f ca="1">IF(color_Celda(E685)=12106214,"ROSA",IF(color_Celda(E685)=65535,"AMARILLO",IF(color_Celda(E685)=5296274,"VERDE",IF(color_Celda(E685)=16777215,"BLANCO","NO SE"))))</f>
        <v>AMARILLO</v>
      </c>
      <c r="Q685" s="32" t="s">
        <v>108</v>
      </c>
      <c r="R685" s="32" t="str">
        <f>VLOOKUP($Q685,Resultados!$A$1:$B$49,2,FALSE)</f>
        <v xml:space="preserve"> _</v>
      </c>
      <c r="S685" s="32"/>
      <c r="T685" s="37"/>
      <c r="U685" s="37"/>
      <c r="V685" s="39"/>
      <c r="W685" s="39"/>
      <c r="X685" s="39"/>
      <c r="Y685" s="64"/>
      <c r="Z685" s="39"/>
      <c r="AA685" s="39"/>
      <c r="AB685" s="39"/>
      <c r="AC685" s="39"/>
      <c r="AD685" s="39"/>
      <c r="AE685" s="110"/>
      <c r="AF685" s="39"/>
      <c r="AG685" s="39"/>
      <c r="AH685" s="39"/>
      <c r="AI685" s="39"/>
      <c r="AJ685" s="43" t="s">
        <v>988</v>
      </c>
      <c r="AK685" s="39"/>
      <c r="AL685" s="155" t="s">
        <v>1627</v>
      </c>
      <c r="AM685" s="431" t="str">
        <f>VLOOKUP($Q685,Resultados!$A$1:$C$49,3,FALSE)</f>
        <v>TRAMITE</v>
      </c>
    </row>
    <row r="686" spans="1:39" ht="39.950000000000003" customHeight="1">
      <c r="A686" s="364">
        <v>651</v>
      </c>
      <c r="B686" s="38">
        <v>45343</v>
      </c>
      <c r="C686" s="337" t="s">
        <v>1697</v>
      </c>
      <c r="D686" s="32" t="s">
        <v>1698</v>
      </c>
      <c r="E686" s="40" t="s">
        <v>1699</v>
      </c>
      <c r="F686" s="39">
        <v>6</v>
      </c>
      <c r="G686" s="32" t="s">
        <v>326</v>
      </c>
      <c r="H686" s="38"/>
      <c r="I686" s="38"/>
      <c r="J686" s="38"/>
      <c r="K686" s="39" t="str">
        <f>IFERROR(VLOOKUP(J686,Jueces!$A$1:$B$11,2,FALSE),"")</f>
        <v/>
      </c>
      <c r="L686" s="32" t="s">
        <v>250</v>
      </c>
      <c r="M686" s="32" t="s">
        <v>1156</v>
      </c>
      <c r="N686" s="32" t="s">
        <v>1868</v>
      </c>
      <c r="O686" s="24" t="str">
        <f>IF(Q686=" _","NO","SI")</f>
        <v>NO</v>
      </c>
      <c r="P686" s="24" t="str">
        <f ca="1">IF(color_Celda(E686)=12106214,"ROSA",IF(color_Celda(E686)=65535,"AMARILLO",IF(color_Celda(E686)=5296274,"VERDE",IF(color_Celda(E686)=16777215,"BLANCO","NO SE"))))</f>
        <v>AMARILLO</v>
      </c>
      <c r="Q686" s="32" t="s">
        <v>108</v>
      </c>
      <c r="R686" s="32" t="str">
        <f>VLOOKUP($Q686,Resultados!$A$1:$B$49,2,FALSE)</f>
        <v xml:space="preserve"> _</v>
      </c>
      <c r="S686" s="32"/>
      <c r="T686" s="37"/>
      <c r="U686" s="37"/>
      <c r="V686" s="39"/>
      <c r="W686" s="39"/>
      <c r="X686" s="39"/>
      <c r="Y686" s="64"/>
      <c r="Z686" s="39"/>
      <c r="AA686" s="39"/>
      <c r="AB686" s="39"/>
      <c r="AC686" s="39"/>
      <c r="AD686" s="39"/>
      <c r="AE686" s="110"/>
      <c r="AF686" s="39"/>
      <c r="AG686" s="39"/>
      <c r="AH686" s="39"/>
      <c r="AI686" s="39"/>
      <c r="AJ686" s="43" t="s">
        <v>988</v>
      </c>
      <c r="AK686" s="39"/>
      <c r="AL686" s="155" t="s">
        <v>1627</v>
      </c>
      <c r="AM686" s="431" t="str">
        <f>VLOOKUP($Q686,Resultados!$A$1:$C$49,3,FALSE)</f>
        <v>TRAMITE</v>
      </c>
    </row>
    <row r="687" spans="1:39" ht="39.950000000000003" customHeight="1">
      <c r="A687" s="364">
        <v>652</v>
      </c>
      <c r="B687" s="35">
        <v>45343</v>
      </c>
      <c r="C687" s="337" t="s">
        <v>14</v>
      </c>
      <c r="D687" s="32" t="s">
        <v>1753</v>
      </c>
      <c r="E687" s="40" t="s">
        <v>1754</v>
      </c>
      <c r="F687" s="39">
        <v>7</v>
      </c>
      <c r="G687" s="39" t="s">
        <v>10</v>
      </c>
      <c r="H687" s="38"/>
      <c r="I687" s="38"/>
      <c r="J687" s="38"/>
      <c r="K687" s="39" t="str">
        <f>IFERROR(VLOOKUP(J687,Jueces!$A$1:$B$11,2,FALSE),"")</f>
        <v/>
      </c>
      <c r="L687" s="32" t="s">
        <v>2167</v>
      </c>
      <c r="M687" s="32" t="s">
        <v>59</v>
      </c>
      <c r="N687" s="43" t="s">
        <v>1755</v>
      </c>
      <c r="O687" s="24" t="str">
        <f>IF(Q687=" _","NO","SI")</f>
        <v>NO</v>
      </c>
      <c r="P687" s="24" t="str">
        <f ca="1">IF(color_Celda(E687)=12106214,"ROSA",IF(color_Celda(E687)=65535,"AMARILLO",IF(color_Celda(E687)=5296274,"VERDE",IF(color_Celda(E687)=16777215,"BLANCO","NO SE"))))</f>
        <v>AMARILLO</v>
      </c>
      <c r="Q687" s="32" t="s">
        <v>108</v>
      </c>
      <c r="R687" s="32" t="str">
        <f>VLOOKUP($Q687,Resultados!$A$1:$B$49,2,FALSE)</f>
        <v xml:space="preserve"> _</v>
      </c>
      <c r="S687" s="32"/>
      <c r="T687" s="37"/>
      <c r="U687" s="37"/>
      <c r="V687" s="39"/>
      <c r="W687" s="39"/>
      <c r="X687" s="39"/>
      <c r="Y687" s="64"/>
      <c r="Z687" s="39"/>
      <c r="AA687" s="39"/>
      <c r="AB687" s="39"/>
      <c r="AC687" s="39"/>
      <c r="AD687" s="39"/>
      <c r="AE687" s="110"/>
      <c r="AF687" s="39"/>
      <c r="AG687" s="39"/>
      <c r="AH687" s="39"/>
      <c r="AI687" s="39"/>
      <c r="AJ687" s="43" t="s">
        <v>988</v>
      </c>
      <c r="AK687" s="39"/>
      <c r="AL687" s="155" t="s">
        <v>1627</v>
      </c>
      <c r="AM687" s="431" t="str">
        <f>VLOOKUP($Q687,Resultados!$A$1:$C$49,3,FALSE)</f>
        <v>TRAMITE</v>
      </c>
    </row>
    <row r="688" spans="1:39" ht="39.950000000000003" customHeight="1">
      <c r="A688" s="364">
        <v>653</v>
      </c>
      <c r="B688" s="38">
        <v>45343</v>
      </c>
      <c r="C688" s="337" t="s">
        <v>14</v>
      </c>
      <c r="D688" s="32" t="s">
        <v>1756</v>
      </c>
      <c r="E688" s="40" t="s">
        <v>1757</v>
      </c>
      <c r="F688" s="39">
        <v>7</v>
      </c>
      <c r="G688" s="39" t="s">
        <v>10</v>
      </c>
      <c r="H688" s="38"/>
      <c r="I688" s="38"/>
      <c r="J688" s="38"/>
      <c r="K688" s="39" t="str">
        <f>IFERROR(VLOOKUP(J688,Jueces!$A$1:$B$11,2,FALSE),"")</f>
        <v/>
      </c>
      <c r="L688" s="32" t="s">
        <v>87</v>
      </c>
      <c r="M688" s="32" t="s">
        <v>1758</v>
      </c>
      <c r="N688" s="32" t="s">
        <v>1759</v>
      </c>
      <c r="O688" s="24" t="str">
        <f>IF(Q688=" _","NO","SI")</f>
        <v>NO</v>
      </c>
      <c r="P688" s="24" t="str">
        <f ca="1">IF(color_Celda(E688)=12106214,"ROSA",IF(color_Celda(E688)=65535,"AMARILLO",IF(color_Celda(E688)=5296274,"VERDE",IF(color_Celda(E688)=16777215,"BLANCO","NO SE"))))</f>
        <v>AMARILLO</v>
      </c>
      <c r="Q688" s="32" t="s">
        <v>108</v>
      </c>
      <c r="R688" s="32" t="str">
        <f>VLOOKUP($Q688,Resultados!$A$1:$B$49,2,FALSE)</f>
        <v xml:space="preserve"> _</v>
      </c>
      <c r="S688" s="32"/>
      <c r="T688" s="37"/>
      <c r="U688" s="37"/>
      <c r="V688" s="39"/>
      <c r="W688" s="39"/>
      <c r="X688" s="39"/>
      <c r="Y688" s="64"/>
      <c r="Z688" s="39"/>
      <c r="AA688" s="39"/>
      <c r="AB688" s="39"/>
      <c r="AC688" s="39"/>
      <c r="AD688" s="39"/>
      <c r="AE688" s="110"/>
      <c r="AF688" s="39"/>
      <c r="AG688" s="39"/>
      <c r="AH688" s="39"/>
      <c r="AI688" s="39"/>
      <c r="AJ688" s="43" t="s">
        <v>988</v>
      </c>
      <c r="AK688" s="39"/>
      <c r="AL688" s="155" t="s">
        <v>1627</v>
      </c>
      <c r="AM688" s="431" t="str">
        <f>VLOOKUP($Q688,Resultados!$A$1:$C$49,3,FALSE)</f>
        <v>TRAMITE</v>
      </c>
    </row>
    <row r="689" spans="1:39" ht="39.950000000000003" customHeight="1">
      <c r="A689" s="364">
        <v>654</v>
      </c>
      <c r="B689" s="38">
        <v>45343</v>
      </c>
      <c r="C689" s="337" t="s">
        <v>14</v>
      </c>
      <c r="D689" s="32" t="s">
        <v>2136</v>
      </c>
      <c r="E689" s="40" t="s">
        <v>2137</v>
      </c>
      <c r="F689" s="39">
        <v>5</v>
      </c>
      <c r="G689" s="32" t="s">
        <v>10</v>
      </c>
      <c r="H689" s="38"/>
      <c r="I689" s="38"/>
      <c r="J689" s="38"/>
      <c r="K689" s="39" t="str">
        <f>IFERROR(VLOOKUP(J689,Jueces!$A$1:$B$11,2,FALSE),"")</f>
        <v/>
      </c>
      <c r="L689" s="32" t="s">
        <v>83</v>
      </c>
      <c r="M689" s="32" t="s">
        <v>46</v>
      </c>
      <c r="N689" s="32" t="s">
        <v>2133</v>
      </c>
      <c r="O689" s="24" t="str">
        <f>IF(Q689=" _","NO","SI")</f>
        <v>NO</v>
      </c>
      <c r="P689" s="24" t="str">
        <f ca="1">IF(color_Celda(E689)=12106214,"ROSA",IF(color_Celda(E689)=65535,"AMARILLO",IF(color_Celda(E689)=5296274,"VERDE",IF(color_Celda(E689)=16777215,"BLANCO","NO SE"))))</f>
        <v>AMARILLO</v>
      </c>
      <c r="Q689" s="32" t="s">
        <v>108</v>
      </c>
      <c r="R689" s="32" t="str">
        <f>VLOOKUP($Q689,Resultados!$A$1:$B$49,2,FALSE)</f>
        <v xml:space="preserve"> _</v>
      </c>
      <c r="S689" s="32"/>
      <c r="T689" s="37"/>
      <c r="U689" s="37"/>
      <c r="V689" s="39"/>
      <c r="W689" s="39"/>
      <c r="X689" s="39"/>
      <c r="Y689" s="64"/>
      <c r="Z689" s="39"/>
      <c r="AA689" s="39"/>
      <c r="AB689" s="39"/>
      <c r="AC689" s="39"/>
      <c r="AD689" s="39"/>
      <c r="AE689" s="110"/>
      <c r="AF689" s="39"/>
      <c r="AG689" s="39"/>
      <c r="AH689" s="39"/>
      <c r="AI689" s="39"/>
      <c r="AJ689" s="43" t="s">
        <v>988</v>
      </c>
      <c r="AK689" s="39"/>
      <c r="AL689" s="155" t="s">
        <v>1627</v>
      </c>
      <c r="AM689" s="431" t="str">
        <f>VLOOKUP($Q689,Resultados!$A$1:$C$49,3,FALSE)</f>
        <v>TRAMITE</v>
      </c>
    </row>
    <row r="690" spans="1:39" ht="39.950000000000003" customHeight="1">
      <c r="A690" s="364">
        <v>655</v>
      </c>
      <c r="B690" s="38">
        <v>45343</v>
      </c>
      <c r="C690" s="337" t="s">
        <v>14</v>
      </c>
      <c r="D690" s="32" t="s">
        <v>1941</v>
      </c>
      <c r="E690" s="40" t="s">
        <v>1942</v>
      </c>
      <c r="F690" s="39">
        <v>4</v>
      </c>
      <c r="G690" s="39" t="s">
        <v>325</v>
      </c>
      <c r="H690" s="38"/>
      <c r="I690" s="38"/>
      <c r="J690" s="38"/>
      <c r="K690" s="39" t="str">
        <f>IFERROR(VLOOKUP(J690,Jueces!$A$1:$B$11,2,FALSE),"")</f>
        <v/>
      </c>
      <c r="L690" s="32" t="s">
        <v>72</v>
      </c>
      <c r="M690" s="32" t="s">
        <v>48</v>
      </c>
      <c r="N690" s="32" t="s">
        <v>1943</v>
      </c>
      <c r="O690" s="24" t="str">
        <f>IF(Q690=" _","NO","SI")</f>
        <v>NO</v>
      </c>
      <c r="P690" s="24" t="str">
        <f ca="1">IF(color_Celda(E690)=12106214,"ROSA",IF(color_Celda(E690)=65535,"AMARILLO",IF(color_Celda(E690)=5296274,"VERDE",IF(color_Celda(E690)=16777215,"BLANCO","NO SE"))))</f>
        <v>AMARILLO</v>
      </c>
      <c r="Q690" s="32" t="s">
        <v>108</v>
      </c>
      <c r="R690" s="32" t="str">
        <f>VLOOKUP($Q690,Resultados!$A$1:$B$49,2,FALSE)</f>
        <v xml:space="preserve"> _</v>
      </c>
      <c r="S690" s="32"/>
      <c r="T690" s="37"/>
      <c r="U690" s="37"/>
      <c r="V690" s="39"/>
      <c r="W690" s="39"/>
      <c r="X690" s="39"/>
      <c r="Y690" s="64"/>
      <c r="Z690" s="39"/>
      <c r="AA690" s="39"/>
      <c r="AB690" s="39"/>
      <c r="AC690" s="39"/>
      <c r="AD690" s="39"/>
      <c r="AE690" s="110"/>
      <c r="AF690" s="39"/>
      <c r="AG690" s="39"/>
      <c r="AH690" s="39"/>
      <c r="AI690" s="39"/>
      <c r="AJ690" s="43" t="s">
        <v>988</v>
      </c>
      <c r="AK690" s="39"/>
      <c r="AL690" s="155" t="s">
        <v>1627</v>
      </c>
      <c r="AM690" s="431" t="str">
        <f>VLOOKUP($Q690,Resultados!$A$1:$C$49,3,FALSE)</f>
        <v>TRAMITE</v>
      </c>
    </row>
    <row r="691" spans="1:39" ht="39.950000000000003" customHeight="1">
      <c r="A691" s="364">
        <v>656</v>
      </c>
      <c r="B691" s="38">
        <v>45343</v>
      </c>
      <c r="C691" s="337" t="s">
        <v>798</v>
      </c>
      <c r="D691" s="32" t="s">
        <v>2143</v>
      </c>
      <c r="E691" s="40" t="s">
        <v>2144</v>
      </c>
      <c r="F691" s="39">
        <v>5</v>
      </c>
      <c r="G691" s="32" t="s">
        <v>10</v>
      </c>
      <c r="H691" s="38"/>
      <c r="I691" s="38"/>
      <c r="J691" s="38"/>
      <c r="K691" s="39" t="str">
        <f>IFERROR(VLOOKUP(J691,Jueces!$A$1:$B$11,2,FALSE),"")</f>
        <v/>
      </c>
      <c r="L691" s="32" t="s">
        <v>72</v>
      </c>
      <c r="M691" s="32" t="s">
        <v>226</v>
      </c>
      <c r="N691" s="32" t="s">
        <v>2133</v>
      </c>
      <c r="O691" s="24" t="str">
        <f>IF(Q691=" _","NO","SI")</f>
        <v>NO</v>
      </c>
      <c r="P691" s="24" t="str">
        <f ca="1">IF(color_Celda(E691)=12106214,"ROSA",IF(color_Celda(E691)=65535,"AMARILLO",IF(color_Celda(E691)=5296274,"VERDE",IF(color_Celda(E691)=16777215,"BLANCO","NO SE"))))</f>
        <v>AMARILLO</v>
      </c>
      <c r="Q691" s="32" t="s">
        <v>108</v>
      </c>
      <c r="R691" s="32" t="str">
        <f>VLOOKUP($Q691,Resultados!$A$1:$B$49,2,FALSE)</f>
        <v xml:space="preserve"> _</v>
      </c>
      <c r="S691" s="32"/>
      <c r="T691" s="37"/>
      <c r="U691" s="37"/>
      <c r="V691" s="39"/>
      <c r="W691" s="39"/>
      <c r="X691" s="39"/>
      <c r="Y691" s="64"/>
      <c r="Z691" s="39"/>
      <c r="AA691" s="39"/>
      <c r="AB691" s="39"/>
      <c r="AC691" s="39"/>
      <c r="AD691" s="39"/>
      <c r="AE691" s="110"/>
      <c r="AF691" s="39"/>
      <c r="AG691" s="39"/>
      <c r="AH691" s="39"/>
      <c r="AI691" s="39"/>
      <c r="AJ691" s="43" t="s">
        <v>988</v>
      </c>
      <c r="AK691" s="39"/>
      <c r="AL691" s="155" t="s">
        <v>1627</v>
      </c>
      <c r="AM691" s="431" t="str">
        <f>VLOOKUP($Q691,Resultados!$A$1:$C$49,3,FALSE)</f>
        <v>TRAMITE</v>
      </c>
    </row>
    <row r="692" spans="1:39" ht="39.950000000000003" customHeight="1">
      <c r="A692" s="364">
        <v>657</v>
      </c>
      <c r="B692" s="38">
        <v>45343</v>
      </c>
      <c r="C692" s="337" t="s">
        <v>111</v>
      </c>
      <c r="D692" s="32" t="s">
        <v>2145</v>
      </c>
      <c r="E692" s="40" t="s">
        <v>2146</v>
      </c>
      <c r="F692" s="39">
        <v>5</v>
      </c>
      <c r="G692" s="39" t="s">
        <v>10</v>
      </c>
      <c r="H692" s="38"/>
      <c r="I692" s="38"/>
      <c r="J692" s="38"/>
      <c r="K692" s="39" t="str">
        <f>IFERROR(VLOOKUP(J692,Jueces!$A$1:$B$11,2,FALSE),"")</f>
        <v/>
      </c>
      <c r="L692" s="32" t="s">
        <v>74</v>
      </c>
      <c r="M692" s="32" t="s">
        <v>1156</v>
      </c>
      <c r="N692" s="32" t="s">
        <v>2133</v>
      </c>
      <c r="O692" s="24" t="str">
        <f>IF(Q692=" _","NO","SI")</f>
        <v>NO</v>
      </c>
      <c r="P692" s="24" t="str">
        <f ca="1">IF(color_Celda(E692)=12106214,"ROSA",IF(color_Celda(E692)=65535,"AMARILLO",IF(color_Celda(E692)=5296274,"VERDE",IF(color_Celda(E692)=16777215,"BLANCO","NO SE"))))</f>
        <v>AMARILLO</v>
      </c>
      <c r="Q692" s="32" t="s">
        <v>108</v>
      </c>
      <c r="R692" s="32" t="str">
        <f>VLOOKUP($Q692,Resultados!$A$1:$B$49,2,FALSE)</f>
        <v xml:space="preserve"> _</v>
      </c>
      <c r="S692" s="32"/>
      <c r="T692" s="37"/>
      <c r="U692" s="37"/>
      <c r="V692" s="39"/>
      <c r="W692" s="39"/>
      <c r="X692" s="39"/>
      <c r="Y692" s="64"/>
      <c r="Z692" s="39"/>
      <c r="AA692" s="39"/>
      <c r="AB692" s="39"/>
      <c r="AC692" s="39"/>
      <c r="AD692" s="39"/>
      <c r="AE692" s="110"/>
      <c r="AF692" s="39"/>
      <c r="AG692" s="39"/>
      <c r="AH692" s="39"/>
      <c r="AI692" s="39"/>
      <c r="AJ692" s="43" t="s">
        <v>988</v>
      </c>
      <c r="AK692" s="39"/>
      <c r="AL692" s="155" t="s">
        <v>1627</v>
      </c>
      <c r="AM692" s="431" t="str">
        <f>VLOOKUP($Q692,Resultados!$A$1:$C$49,3,FALSE)</f>
        <v>TRAMITE</v>
      </c>
    </row>
    <row r="693" spans="1:39" ht="39.950000000000003" customHeight="1">
      <c r="A693" s="364">
        <v>658</v>
      </c>
      <c r="B693" s="38">
        <v>45343</v>
      </c>
      <c r="C693" s="337" t="s">
        <v>111</v>
      </c>
      <c r="D693" s="32" t="s">
        <v>2147</v>
      </c>
      <c r="E693" s="40" t="s">
        <v>2148</v>
      </c>
      <c r="F693" s="39">
        <v>5</v>
      </c>
      <c r="G693" s="39" t="s">
        <v>10</v>
      </c>
      <c r="H693" s="38"/>
      <c r="I693" s="38"/>
      <c r="J693" s="38"/>
      <c r="K693" s="39" t="str">
        <f>IFERROR(VLOOKUP(J693,Jueces!$A$1:$B$11,2,FALSE),"")</f>
        <v/>
      </c>
      <c r="L693" s="32" t="s">
        <v>83</v>
      </c>
      <c r="M693" s="32" t="s">
        <v>1156</v>
      </c>
      <c r="N693" s="32" t="s">
        <v>2133</v>
      </c>
      <c r="O693" s="24" t="str">
        <f>IF(Q693=" _","NO","SI")</f>
        <v>NO</v>
      </c>
      <c r="P693" s="24" t="str">
        <f ca="1">IF(color_Celda(E693)=12106214,"ROSA",IF(color_Celda(E693)=65535,"AMARILLO",IF(color_Celda(E693)=5296274,"VERDE",IF(color_Celda(E693)=16777215,"BLANCO","NO SE"))))</f>
        <v>AMARILLO</v>
      </c>
      <c r="Q693" s="32" t="s">
        <v>108</v>
      </c>
      <c r="R693" s="32" t="str">
        <f>VLOOKUP($Q693,Resultados!$A$1:$B$49,2,FALSE)</f>
        <v xml:space="preserve"> _</v>
      </c>
      <c r="S693" s="32"/>
      <c r="T693" s="37"/>
      <c r="U693" s="37"/>
      <c r="V693" s="39"/>
      <c r="W693" s="39"/>
      <c r="X693" s="39"/>
      <c r="Y693" s="64"/>
      <c r="Z693" s="39"/>
      <c r="AA693" s="39"/>
      <c r="AB693" s="39"/>
      <c r="AC693" s="39"/>
      <c r="AD693" s="39"/>
      <c r="AE693" s="110"/>
      <c r="AF693" s="39"/>
      <c r="AG693" s="39"/>
      <c r="AH693" s="39"/>
      <c r="AI693" s="39"/>
      <c r="AJ693" s="43" t="s">
        <v>988</v>
      </c>
      <c r="AK693" s="39"/>
      <c r="AL693" s="155" t="s">
        <v>1627</v>
      </c>
      <c r="AM693" s="431" t="str">
        <f>VLOOKUP($Q693,Resultados!$A$1:$C$49,3,FALSE)</f>
        <v>TRAMITE</v>
      </c>
    </row>
    <row r="694" spans="1:39" ht="39.950000000000003" customHeight="1">
      <c r="A694" s="364">
        <v>659</v>
      </c>
      <c r="B694" s="38">
        <v>45343</v>
      </c>
      <c r="C694" s="337" t="s">
        <v>111</v>
      </c>
      <c r="D694" s="32" t="s">
        <v>2149</v>
      </c>
      <c r="E694" s="40" t="s">
        <v>2150</v>
      </c>
      <c r="F694" s="39">
        <v>5</v>
      </c>
      <c r="G694" s="32" t="s">
        <v>10</v>
      </c>
      <c r="H694" s="38"/>
      <c r="I694" s="38"/>
      <c r="J694" s="38"/>
      <c r="K694" s="39" t="str">
        <f>IFERROR(VLOOKUP(J694,Jueces!$A$1:$B$11,2,FALSE),"")</f>
        <v/>
      </c>
      <c r="L694" s="32" t="s">
        <v>42</v>
      </c>
      <c r="M694" s="32" t="s">
        <v>2151</v>
      </c>
      <c r="N694" s="32" t="s">
        <v>2133</v>
      </c>
      <c r="O694" s="24" t="str">
        <f>IF(Q694=" _","NO","SI")</f>
        <v>NO</v>
      </c>
      <c r="P694" s="24" t="str">
        <f ca="1">IF(color_Celda(E694)=12106214,"ROSA",IF(color_Celda(E694)=65535,"AMARILLO",IF(color_Celda(E694)=5296274,"VERDE",IF(color_Celda(E694)=16777215,"BLANCO","NO SE"))))</f>
        <v>AMARILLO</v>
      </c>
      <c r="Q694" s="32" t="s">
        <v>108</v>
      </c>
      <c r="R694" s="32" t="str">
        <f>VLOOKUP($Q694,Resultados!$A$1:$B$49,2,FALSE)</f>
        <v xml:space="preserve"> _</v>
      </c>
      <c r="S694" s="32"/>
      <c r="T694" s="37"/>
      <c r="U694" s="37"/>
      <c r="V694" s="39"/>
      <c r="W694" s="39"/>
      <c r="X694" s="39"/>
      <c r="Y694" s="64"/>
      <c r="Z694" s="39"/>
      <c r="AA694" s="39"/>
      <c r="AB694" s="39"/>
      <c r="AC694" s="39"/>
      <c r="AD694" s="39"/>
      <c r="AE694" s="110"/>
      <c r="AF694" s="39"/>
      <c r="AG694" s="39"/>
      <c r="AH694" s="39"/>
      <c r="AI694" s="39"/>
      <c r="AJ694" s="43" t="s">
        <v>988</v>
      </c>
      <c r="AK694" s="39"/>
      <c r="AL694" s="155" t="s">
        <v>1627</v>
      </c>
      <c r="AM694" s="431" t="str">
        <f>VLOOKUP($Q694,Resultados!$A$1:$C$49,3,FALSE)</f>
        <v>TRAMITE</v>
      </c>
    </row>
    <row r="695" spans="1:39" ht="39.950000000000003" customHeight="1">
      <c r="A695" s="364">
        <v>660</v>
      </c>
      <c r="B695" s="38">
        <v>45343</v>
      </c>
      <c r="C695" s="337" t="s">
        <v>1411</v>
      </c>
      <c r="D695" s="32" t="s">
        <v>2152</v>
      </c>
      <c r="E695" s="40" t="s">
        <v>2153</v>
      </c>
      <c r="F695" s="39">
        <v>5</v>
      </c>
      <c r="G695" s="32" t="s">
        <v>10</v>
      </c>
      <c r="H695" s="38"/>
      <c r="I695" s="38"/>
      <c r="J695" s="38"/>
      <c r="K695" s="39" t="str">
        <f>IFERROR(VLOOKUP(J695,Jueces!$A$1:$B$11,2,FALSE),"")</f>
        <v/>
      </c>
      <c r="L695" s="32" t="s">
        <v>77</v>
      </c>
      <c r="M695" s="32" t="s">
        <v>1289</v>
      </c>
      <c r="N695" s="32" t="s">
        <v>2133</v>
      </c>
      <c r="O695" s="24" t="str">
        <f>IF(Q695=" _","NO","SI")</f>
        <v>NO</v>
      </c>
      <c r="P695" s="24" t="str">
        <f ca="1">IF(color_Celda(E695)=12106214,"ROSA",IF(color_Celda(E695)=65535,"AMARILLO",IF(color_Celda(E695)=5296274,"VERDE",IF(color_Celda(E695)=16777215,"BLANCO","NO SE"))))</f>
        <v>AMARILLO</v>
      </c>
      <c r="Q695" s="32" t="s">
        <v>108</v>
      </c>
      <c r="R695" s="32" t="str">
        <f>VLOOKUP($Q695,Resultados!$A$1:$B$49,2,FALSE)</f>
        <v xml:space="preserve"> _</v>
      </c>
      <c r="S695" s="32"/>
      <c r="T695" s="37"/>
      <c r="U695" s="37"/>
      <c r="V695" s="39"/>
      <c r="W695" s="39"/>
      <c r="X695" s="39"/>
      <c r="Y695" s="64"/>
      <c r="Z695" s="39"/>
      <c r="AA695" s="39"/>
      <c r="AB695" s="39"/>
      <c r="AC695" s="39"/>
      <c r="AD695" s="39"/>
      <c r="AE695" s="110"/>
      <c r="AF695" s="39"/>
      <c r="AG695" s="39"/>
      <c r="AH695" s="39"/>
      <c r="AI695" s="39"/>
      <c r="AJ695" s="43" t="s">
        <v>988</v>
      </c>
      <c r="AK695" s="39"/>
      <c r="AL695" s="155" t="s">
        <v>1627</v>
      </c>
      <c r="AM695" s="431" t="str">
        <f>VLOOKUP($Q695,Resultados!$A$1:$C$49,3,FALSE)</f>
        <v>TRAMITE</v>
      </c>
    </row>
    <row r="696" spans="1:39" ht="39.950000000000003" customHeight="1">
      <c r="A696" s="364">
        <v>661</v>
      </c>
      <c r="B696" s="38">
        <v>45344</v>
      </c>
      <c r="C696" s="337" t="s">
        <v>12</v>
      </c>
      <c r="D696" s="32" t="s">
        <v>1998</v>
      </c>
      <c r="E696" s="40" t="s">
        <v>1696</v>
      </c>
      <c r="F696" s="32">
        <v>6</v>
      </c>
      <c r="G696" s="32" t="s">
        <v>326</v>
      </c>
      <c r="H696" s="38"/>
      <c r="I696" s="38"/>
      <c r="J696" s="38"/>
      <c r="K696" s="39" t="str">
        <f>IFERROR(VLOOKUP(J696,Jueces!$A$1:$B$11,2,FALSE),"")</f>
        <v/>
      </c>
      <c r="L696" s="32" t="s">
        <v>75</v>
      </c>
      <c r="M696" s="32" t="s">
        <v>45</v>
      </c>
      <c r="N696" s="32" t="s">
        <v>1948</v>
      </c>
      <c r="O696" s="24" t="str">
        <f>IF(Q696=" _","NO","SI")</f>
        <v>NO</v>
      </c>
      <c r="P696" s="24" t="str">
        <f ca="1">IF(color_Celda(E696)=12106214,"ROSA",IF(color_Celda(E696)=65535,"AMARILLO",IF(color_Celda(E696)=5296274,"VERDE",IF(color_Celda(E696)=16777215,"BLANCO","NO SE"))))</f>
        <v>AMARILLO</v>
      </c>
      <c r="Q696" s="32" t="s">
        <v>108</v>
      </c>
      <c r="R696" s="32" t="str">
        <f>VLOOKUP($Q696,Resultados!$A$1:$B$49,2,FALSE)</f>
        <v xml:space="preserve"> _</v>
      </c>
      <c r="S696" s="32"/>
      <c r="T696" s="37"/>
      <c r="U696" s="37"/>
      <c r="V696" s="39"/>
      <c r="W696" s="39"/>
      <c r="X696" s="39"/>
      <c r="Y696" s="64"/>
      <c r="Z696" s="39"/>
      <c r="AA696" s="39"/>
      <c r="AB696" s="39"/>
      <c r="AC696" s="39"/>
      <c r="AD696" s="39"/>
      <c r="AE696" s="110"/>
      <c r="AF696" s="39"/>
      <c r="AG696" s="39"/>
      <c r="AH696" s="39"/>
      <c r="AI696" s="39"/>
      <c r="AJ696" s="43" t="s">
        <v>988</v>
      </c>
      <c r="AK696" s="39"/>
      <c r="AL696" s="155" t="s">
        <v>1627</v>
      </c>
      <c r="AM696" s="431" t="str">
        <f>VLOOKUP($Q696,Resultados!$A$1:$C$49,3,FALSE)</f>
        <v>TRAMITE</v>
      </c>
    </row>
    <row r="697" spans="1:39" ht="39.950000000000003" customHeight="1">
      <c r="A697" s="364">
        <v>663</v>
      </c>
      <c r="B697" s="35">
        <v>45344</v>
      </c>
      <c r="C697" s="337" t="s">
        <v>759</v>
      </c>
      <c r="D697" s="32" t="s">
        <v>1762</v>
      </c>
      <c r="E697" s="40" t="s">
        <v>1763</v>
      </c>
      <c r="F697" s="39">
        <v>3</v>
      </c>
      <c r="G697" s="39" t="s">
        <v>1750</v>
      </c>
      <c r="H697" s="38"/>
      <c r="I697" s="38"/>
      <c r="J697" s="38"/>
      <c r="K697" s="39" t="str">
        <f>IFERROR(VLOOKUP(J697,Jueces!$A$1:$B$11,2,FALSE),"")</f>
        <v/>
      </c>
      <c r="L697" s="32" t="s">
        <v>250</v>
      </c>
      <c r="M697" s="32" t="s">
        <v>1758</v>
      </c>
      <c r="N697" s="32" t="s">
        <v>1759</v>
      </c>
      <c r="O697" s="24" t="str">
        <f>IF(Q697=" _","NO","SI")</f>
        <v>NO</v>
      </c>
      <c r="P697" s="24" t="str">
        <f ca="1">IF(color_Celda(E697)=12106214,"ROSA",IF(color_Celda(E697)=65535,"AMARILLO",IF(color_Celda(E697)=5296274,"VERDE",IF(color_Celda(E697)=16777215,"BLANCO","NO SE"))))</f>
        <v>AMARILLO</v>
      </c>
      <c r="Q697" s="32" t="s">
        <v>108</v>
      </c>
      <c r="R697" s="32" t="str">
        <f>VLOOKUP($Q697,Resultados!$A$1:$B$49,2,FALSE)</f>
        <v xml:space="preserve"> _</v>
      </c>
      <c r="S697" s="32"/>
      <c r="T697" s="37"/>
      <c r="U697" s="37"/>
      <c r="V697" s="39"/>
      <c r="W697" s="39"/>
      <c r="X697" s="39"/>
      <c r="Y697" s="64"/>
      <c r="Z697" s="39"/>
      <c r="AA697" s="39"/>
      <c r="AB697" s="39"/>
      <c r="AC697" s="39"/>
      <c r="AD697" s="39"/>
      <c r="AE697" s="110"/>
      <c r="AF697" s="39"/>
      <c r="AG697" s="39"/>
      <c r="AH697" s="39"/>
      <c r="AI697" s="39"/>
      <c r="AJ697" s="43" t="s">
        <v>988</v>
      </c>
      <c r="AK697" s="39"/>
      <c r="AL697" s="155" t="s">
        <v>1627</v>
      </c>
      <c r="AM697" s="431" t="str">
        <f>VLOOKUP($Q697,Resultados!$A$1:$C$49,3,FALSE)</f>
        <v>TRAMITE</v>
      </c>
    </row>
    <row r="698" spans="1:39" ht="39.950000000000003" customHeight="1">
      <c r="A698" s="364">
        <v>664</v>
      </c>
      <c r="B698" s="38">
        <v>45344</v>
      </c>
      <c r="C698" s="337" t="s">
        <v>1235</v>
      </c>
      <c r="D698" s="32" t="s">
        <v>1789</v>
      </c>
      <c r="E698" s="40" t="s">
        <v>2043</v>
      </c>
      <c r="F698" s="39">
        <v>3</v>
      </c>
      <c r="G698" s="39" t="s">
        <v>1750</v>
      </c>
      <c r="H698" s="38"/>
      <c r="I698" s="38"/>
      <c r="J698" s="38"/>
      <c r="K698" s="39" t="str">
        <f>IFERROR(VLOOKUP(J698,Jueces!$A$1:$B$11,2,FALSE),"")</f>
        <v/>
      </c>
      <c r="L698" s="32" t="s">
        <v>74</v>
      </c>
      <c r="M698" s="32" t="s">
        <v>47</v>
      </c>
      <c r="N698" s="32" t="s">
        <v>2044</v>
      </c>
      <c r="O698" s="24" t="str">
        <f>IF(Q698=" _","NO","SI")</f>
        <v>NO</v>
      </c>
      <c r="P698" s="24" t="str">
        <f ca="1">IF(color_Celda(E698)=12106214,"ROSA",IF(color_Celda(E698)=65535,"AMARILLO",IF(color_Celda(E698)=5296274,"VERDE",IF(color_Celda(E698)=16777215,"BLANCO","NO SE"))))</f>
        <v>AMARILLO</v>
      </c>
      <c r="Q698" s="32" t="s">
        <v>108</v>
      </c>
      <c r="R698" s="32" t="str">
        <f>VLOOKUP($Q698,Resultados!$A$1:$B$49,2,FALSE)</f>
        <v xml:space="preserve"> _</v>
      </c>
      <c r="S698" s="32"/>
      <c r="T698" s="37"/>
      <c r="U698" s="37"/>
      <c r="V698" s="39"/>
      <c r="W698" s="39"/>
      <c r="X698" s="39"/>
      <c r="Y698" s="64"/>
      <c r="Z698" s="39"/>
      <c r="AA698" s="39"/>
      <c r="AB698" s="39"/>
      <c r="AC698" s="39"/>
      <c r="AD698" s="39"/>
      <c r="AE698" s="110"/>
      <c r="AF698" s="39"/>
      <c r="AG698" s="39"/>
      <c r="AH698" s="39"/>
      <c r="AI698" s="39"/>
      <c r="AJ698" s="43" t="s">
        <v>988</v>
      </c>
      <c r="AK698" s="39"/>
      <c r="AL698" s="155" t="s">
        <v>1627</v>
      </c>
      <c r="AM698" s="431" t="str">
        <f>VLOOKUP($Q698,Resultados!$A$1:$C$49,3,FALSE)</f>
        <v>TRAMITE</v>
      </c>
    </row>
    <row r="699" spans="1:39" ht="39.950000000000003" customHeight="1">
      <c r="A699" s="364">
        <v>666</v>
      </c>
      <c r="B699" s="38">
        <v>45344</v>
      </c>
      <c r="C699" s="337" t="s">
        <v>850</v>
      </c>
      <c r="D699" s="32" t="s">
        <v>1908</v>
      </c>
      <c r="E699" s="40" t="s">
        <v>1909</v>
      </c>
      <c r="F699" s="39">
        <v>4</v>
      </c>
      <c r="G699" s="39" t="s">
        <v>325</v>
      </c>
      <c r="H699" s="38"/>
      <c r="I699" s="38"/>
      <c r="J699" s="38"/>
      <c r="K699" s="39" t="str">
        <f>IFERROR(VLOOKUP(J699,Jueces!$A$1:$B$11,2,FALSE),"")</f>
        <v/>
      </c>
      <c r="L699" s="32" t="s">
        <v>2167</v>
      </c>
      <c r="M699" s="32" t="s">
        <v>315</v>
      </c>
      <c r="N699" s="32" t="s">
        <v>1910</v>
      </c>
      <c r="O699" s="24" t="str">
        <f>IF(Q699=" _","NO","SI")</f>
        <v>NO</v>
      </c>
      <c r="P699" s="24" t="str">
        <f ca="1">IF(color_Celda(E699)=12106214,"ROSA",IF(color_Celda(E699)=65535,"AMARILLO",IF(color_Celda(E699)=5296274,"VERDE",IF(color_Celda(E699)=16777215,"BLANCO","NO SE"))))</f>
        <v>AMARILLO</v>
      </c>
      <c r="Q699" s="32" t="s">
        <v>108</v>
      </c>
      <c r="R699" s="32" t="str">
        <f>VLOOKUP($Q699,Resultados!$A$1:$B$49,2,FALSE)</f>
        <v xml:space="preserve"> _</v>
      </c>
      <c r="S699" s="32"/>
      <c r="T699" s="37"/>
      <c r="U699" s="37"/>
      <c r="V699" s="39"/>
      <c r="W699" s="39"/>
      <c r="X699" s="39"/>
      <c r="Y699" s="64"/>
      <c r="Z699" s="39"/>
      <c r="AA699" s="39"/>
      <c r="AB699" s="39"/>
      <c r="AC699" s="39"/>
      <c r="AD699" s="39"/>
      <c r="AE699" s="110"/>
      <c r="AF699" s="39"/>
      <c r="AG699" s="39"/>
      <c r="AH699" s="39"/>
      <c r="AI699" s="39"/>
      <c r="AJ699" s="43" t="s">
        <v>988</v>
      </c>
      <c r="AK699" s="39"/>
      <c r="AL699" s="155" t="s">
        <v>1627</v>
      </c>
      <c r="AM699" s="431" t="str">
        <f>VLOOKUP($Q699,Resultados!$A$1:$C$49,3,FALSE)</f>
        <v>TRAMITE</v>
      </c>
    </row>
    <row r="700" spans="1:39" ht="39.950000000000003" customHeight="1">
      <c r="A700" s="364">
        <v>667</v>
      </c>
      <c r="B700" s="38">
        <v>45344</v>
      </c>
      <c r="C700" s="337" t="s">
        <v>850</v>
      </c>
      <c r="D700" s="32" t="s">
        <v>1911</v>
      </c>
      <c r="E700" s="40" t="s">
        <v>1912</v>
      </c>
      <c r="F700" s="39">
        <v>4</v>
      </c>
      <c r="G700" s="39" t="s">
        <v>325</v>
      </c>
      <c r="H700" s="38"/>
      <c r="I700" s="38"/>
      <c r="J700" s="38"/>
      <c r="K700" s="39" t="str">
        <f>IFERROR(VLOOKUP(J700,Jueces!$A$1:$B$11,2,FALSE),"")</f>
        <v/>
      </c>
      <c r="L700" s="32" t="s">
        <v>250</v>
      </c>
      <c r="M700" s="32" t="s">
        <v>1156</v>
      </c>
      <c r="N700" s="32" t="s">
        <v>1913</v>
      </c>
      <c r="O700" s="24" t="str">
        <f>IF(Q700=" _","NO","SI")</f>
        <v>NO</v>
      </c>
      <c r="P700" s="24" t="str">
        <f ca="1">IF(color_Celda(E700)=12106214,"ROSA",IF(color_Celda(E700)=65535,"AMARILLO",IF(color_Celda(E700)=5296274,"VERDE",IF(color_Celda(E700)=16777215,"BLANCO","NO SE"))))</f>
        <v>AMARILLO</v>
      </c>
      <c r="Q700" s="32" t="s">
        <v>108</v>
      </c>
      <c r="R700" s="32" t="str">
        <f>VLOOKUP($Q700,Resultados!$A$1:$B$49,2,FALSE)</f>
        <v xml:space="preserve"> _</v>
      </c>
      <c r="S700" s="32"/>
      <c r="T700" s="37"/>
      <c r="U700" s="37"/>
      <c r="V700" s="39"/>
      <c r="W700" s="39"/>
      <c r="X700" s="39"/>
      <c r="Y700" s="64"/>
      <c r="Z700" s="39"/>
      <c r="AA700" s="39"/>
      <c r="AB700" s="39"/>
      <c r="AC700" s="39"/>
      <c r="AD700" s="39"/>
      <c r="AE700" s="110"/>
      <c r="AF700" s="39"/>
      <c r="AG700" s="39"/>
      <c r="AH700" s="39"/>
      <c r="AI700" s="39"/>
      <c r="AJ700" s="43" t="s">
        <v>988</v>
      </c>
      <c r="AK700" s="39"/>
      <c r="AL700" s="155" t="s">
        <v>1627</v>
      </c>
      <c r="AM700" s="431" t="str">
        <f>VLOOKUP($Q700,Resultados!$A$1:$C$49,3,FALSE)</f>
        <v>TRAMITE</v>
      </c>
    </row>
    <row r="701" spans="1:39" ht="39.950000000000003" customHeight="1">
      <c r="A701" s="364">
        <v>668</v>
      </c>
      <c r="B701" s="38">
        <v>45345</v>
      </c>
      <c r="C701" s="337" t="s">
        <v>1783</v>
      </c>
      <c r="D701" s="32" t="s">
        <v>1784</v>
      </c>
      <c r="E701" s="40" t="s">
        <v>1785</v>
      </c>
      <c r="F701" s="39">
        <v>3</v>
      </c>
      <c r="G701" s="39" t="s">
        <v>1750</v>
      </c>
      <c r="H701" s="38"/>
      <c r="I701" s="38"/>
      <c r="J701" s="38"/>
      <c r="K701" s="39" t="str">
        <f>IFERROR(VLOOKUP(J701,Jueces!$A$1:$B$11,2,FALSE),"")</f>
        <v/>
      </c>
      <c r="L701" s="32" t="s">
        <v>25</v>
      </c>
      <c r="M701" s="32" t="s">
        <v>1156</v>
      </c>
      <c r="N701" s="32" t="s">
        <v>3178</v>
      </c>
      <c r="O701" s="24" t="str">
        <f>IF(Q701=" _","NO","SI")</f>
        <v>NO</v>
      </c>
      <c r="P701" s="24" t="str">
        <f ca="1">IF(color_Celda(E701)=12106214,"ROSA",IF(color_Celda(E701)=65535,"AMARILLO",IF(color_Celda(E701)=5296274,"VERDE",IF(color_Celda(E701)=16777215,"BLANCO","NO SE"))))</f>
        <v>AMARILLO</v>
      </c>
      <c r="Q701" s="32" t="s">
        <v>108</v>
      </c>
      <c r="R701" s="32" t="str">
        <f>VLOOKUP($Q701,Resultados!$A$1:$B$49,2,FALSE)</f>
        <v xml:space="preserve"> _</v>
      </c>
      <c r="S701" s="160">
        <v>45344</v>
      </c>
      <c r="T701" s="37"/>
      <c r="U701" s="37"/>
      <c r="V701" s="39"/>
      <c r="W701" s="39"/>
      <c r="X701" s="39"/>
      <c r="Y701" s="64"/>
      <c r="Z701" s="39"/>
      <c r="AA701" s="39"/>
      <c r="AB701" s="39"/>
      <c r="AC701" s="39"/>
      <c r="AD701" s="39"/>
      <c r="AE701" s="110"/>
      <c r="AF701" s="39"/>
      <c r="AG701" s="39"/>
      <c r="AH701" s="39"/>
      <c r="AI701" s="39"/>
      <c r="AJ701" s="43" t="s">
        <v>988</v>
      </c>
      <c r="AK701" s="39"/>
      <c r="AL701" s="155" t="s">
        <v>1627</v>
      </c>
      <c r="AM701" s="431" t="str">
        <f>VLOOKUP($Q701,Resultados!$A$1:$C$49,3,FALSE)</f>
        <v>TRAMITE</v>
      </c>
    </row>
    <row r="702" spans="1:39" ht="38.25">
      <c r="A702" s="373">
        <v>669</v>
      </c>
      <c r="B702" s="113">
        <v>45345</v>
      </c>
      <c r="C702" s="338" t="s">
        <v>1786</v>
      </c>
      <c r="D702" s="26" t="s">
        <v>1787</v>
      </c>
      <c r="E702" s="114" t="s">
        <v>1788</v>
      </c>
      <c r="F702" s="115">
        <v>7</v>
      </c>
      <c r="G702" s="115"/>
      <c r="H702" s="113"/>
      <c r="I702" s="113"/>
      <c r="J702" s="113"/>
      <c r="K702" s="115" t="str">
        <f>IFERROR(VLOOKUP(J702,Jueces!$A$1:$B$11,2,FALSE),"")</f>
        <v/>
      </c>
      <c r="L702" s="26" t="s">
        <v>250</v>
      </c>
      <c r="M702" s="26"/>
      <c r="N702" s="26" t="s">
        <v>2658</v>
      </c>
      <c r="O702" s="304" t="str">
        <f>IF(Q702=" _","NO","SI")</f>
        <v>SI</v>
      </c>
      <c r="P702" s="24" t="str">
        <f ca="1">IF(color_Celda(E702)=12106214,"ROSA",IF(color_Celda(E702)=65535,"AMARILLO",IF(color_Celda(E702)=5296274,"VERDE",IF(color_Celda(E702)=16777215,"BLANCO","NO SE"))))</f>
        <v>VERDE</v>
      </c>
      <c r="Q702" s="96" t="s">
        <v>3313</v>
      </c>
      <c r="R702" s="26" t="str">
        <f>VLOOKUP($Q702,Resultados!$A$1:$B$49,2,FALSE)</f>
        <v>VERDE</v>
      </c>
      <c r="S702" s="26"/>
      <c r="T702" s="116"/>
      <c r="U702" s="116"/>
      <c r="V702" s="115"/>
      <c r="W702" s="115"/>
      <c r="X702" s="115"/>
      <c r="Y702" s="303"/>
      <c r="Z702" s="115"/>
      <c r="AA702" s="115"/>
      <c r="AB702" s="115"/>
      <c r="AC702" s="115"/>
      <c r="AD702" s="115"/>
      <c r="AE702" s="117"/>
      <c r="AF702" s="115"/>
      <c r="AG702" s="115"/>
      <c r="AH702" s="115"/>
      <c r="AI702" s="115"/>
      <c r="AJ702" s="156" t="s">
        <v>988</v>
      </c>
      <c r="AK702" s="115"/>
      <c r="AL702" s="157" t="s">
        <v>1627</v>
      </c>
      <c r="AM702" s="431" t="str">
        <f>VLOOKUP($Q702,Resultados!$A$1:$C$49,3,FALSE)</f>
        <v>NO LLEGO</v>
      </c>
    </row>
    <row r="703" spans="1:39" ht="38.25">
      <c r="A703" s="364">
        <v>670</v>
      </c>
      <c r="B703" s="38">
        <v>45345</v>
      </c>
      <c r="C703" s="337" t="s">
        <v>1259</v>
      </c>
      <c r="D703" s="32" t="s">
        <v>1790</v>
      </c>
      <c r="E703" s="40" t="s">
        <v>1791</v>
      </c>
      <c r="F703" s="39">
        <v>7</v>
      </c>
      <c r="G703" s="32" t="s">
        <v>326</v>
      </c>
      <c r="H703" s="38"/>
      <c r="I703" s="38"/>
      <c r="J703" s="38"/>
      <c r="K703" s="39" t="str">
        <f>IFERROR(VLOOKUP(J703,Jueces!$A$1:$B$11,2,FALSE),"")</f>
        <v/>
      </c>
      <c r="L703" s="32" t="s">
        <v>74</v>
      </c>
      <c r="M703" s="32" t="s">
        <v>61</v>
      </c>
      <c r="N703" s="32" t="s">
        <v>1852</v>
      </c>
      <c r="O703" s="24" t="str">
        <f>IF(Q703=" _","NO","SI")</f>
        <v>NO</v>
      </c>
      <c r="P703" s="24" t="str">
        <f ca="1">IF(color_Celda(E703)=12106214,"ROSA",IF(color_Celda(E703)=65535,"AMARILLO",IF(color_Celda(E703)=5296274,"VERDE",IF(color_Celda(E703)=16777215,"BLANCO","NO SE"))))</f>
        <v>AMARILLO</v>
      </c>
      <c r="Q703" s="32" t="s">
        <v>108</v>
      </c>
      <c r="R703" s="32" t="str">
        <f>VLOOKUP($Q703,Resultados!$A$1:$B$49,2,FALSE)</f>
        <v xml:space="preserve"> _</v>
      </c>
      <c r="S703" s="32"/>
      <c r="T703" s="37"/>
      <c r="U703" s="37"/>
      <c r="V703" s="39"/>
      <c r="W703" s="39"/>
      <c r="X703" s="39"/>
      <c r="Y703" s="64"/>
      <c r="Z703" s="39"/>
      <c r="AA703" s="39"/>
      <c r="AB703" s="39"/>
      <c r="AC703" s="39"/>
      <c r="AD703" s="39"/>
      <c r="AE703" s="110"/>
      <c r="AF703" s="39"/>
      <c r="AG703" s="39"/>
      <c r="AH703" s="39"/>
      <c r="AI703" s="39"/>
      <c r="AJ703" s="43" t="s">
        <v>988</v>
      </c>
      <c r="AK703" s="39"/>
      <c r="AL703" s="155" t="s">
        <v>1627</v>
      </c>
      <c r="AM703" s="431" t="str">
        <f>VLOOKUP($Q703,Resultados!$A$1:$C$49,3,FALSE)</f>
        <v>TRAMITE</v>
      </c>
    </row>
    <row r="704" spans="1:39" ht="39.950000000000003" customHeight="1">
      <c r="A704" s="364">
        <v>672</v>
      </c>
      <c r="B704" s="193">
        <v>45345</v>
      </c>
      <c r="C704" s="339" t="s">
        <v>1952</v>
      </c>
      <c r="D704" s="170" t="s">
        <v>1953</v>
      </c>
      <c r="E704" s="194" t="s">
        <v>1954</v>
      </c>
      <c r="F704" s="150">
        <v>4</v>
      </c>
      <c r="G704" s="150" t="s">
        <v>325</v>
      </c>
      <c r="H704" s="193"/>
      <c r="I704" s="193"/>
      <c r="J704" s="193"/>
      <c r="K704" s="150" t="str">
        <f>IFERROR(VLOOKUP(J704,Jueces!$A$1:$B$11,2,FALSE),"")</f>
        <v/>
      </c>
      <c r="L704" s="170" t="s">
        <v>75</v>
      </c>
      <c r="M704" s="170" t="s">
        <v>226</v>
      </c>
      <c r="N704" s="170" t="s">
        <v>1948</v>
      </c>
      <c r="O704" s="24" t="str">
        <f>IF(Q704=" _","NO","SI")</f>
        <v>NO</v>
      </c>
      <c r="P704" s="24" t="str">
        <f ca="1">IF(color_Celda(E704)=12106214,"ROSA",IF(color_Celda(E704)=65535,"AMARILLO",IF(color_Celda(E704)=5296274,"VERDE",IF(color_Celda(E704)=16777215,"BLANCO","NO SE"))))</f>
        <v>AMARILLO</v>
      </c>
      <c r="Q704" s="170" t="s">
        <v>108</v>
      </c>
      <c r="R704" s="170" t="str">
        <f>VLOOKUP($Q704,Resultados!$A$1:$B$49,2,FALSE)</f>
        <v xml:space="preserve"> _</v>
      </c>
      <c r="S704" s="170"/>
      <c r="T704" s="195"/>
      <c r="U704" s="195"/>
      <c r="V704" s="150"/>
      <c r="W704" s="150"/>
      <c r="X704" s="150"/>
      <c r="Y704" s="64"/>
      <c r="Z704" s="150"/>
      <c r="AA704" s="150"/>
      <c r="AB704" s="150"/>
      <c r="AC704" s="150"/>
      <c r="AD704" s="150"/>
      <c r="AE704" s="196"/>
      <c r="AF704" s="150"/>
      <c r="AG704" s="150"/>
      <c r="AH704" s="150"/>
      <c r="AI704" s="150"/>
      <c r="AJ704" s="197" t="s">
        <v>988</v>
      </c>
      <c r="AK704" s="150"/>
      <c r="AL704" s="198" t="s">
        <v>1627</v>
      </c>
      <c r="AM704" s="431" t="str">
        <f>VLOOKUP($Q704,Resultados!$A$1:$C$49,3,FALSE)</f>
        <v>TRAMITE</v>
      </c>
    </row>
    <row r="705" spans="1:39" ht="38.25">
      <c r="A705" s="364">
        <v>673</v>
      </c>
      <c r="B705" s="200">
        <v>45345</v>
      </c>
      <c r="C705" s="518">
        <v>0.50486111111111109</v>
      </c>
      <c r="D705" s="137" t="s">
        <v>1955</v>
      </c>
      <c r="E705" s="201" t="s">
        <v>1956</v>
      </c>
      <c r="F705" s="199">
        <v>4</v>
      </c>
      <c r="G705" s="199" t="s">
        <v>325</v>
      </c>
      <c r="H705" s="200"/>
      <c r="I705" s="200"/>
      <c r="J705" s="200"/>
      <c r="K705" s="199" t="str">
        <f>IFERROR(VLOOKUP(J705,Jueces!$A$1:$B$11,2,FALSE),"")</f>
        <v/>
      </c>
      <c r="L705" s="137" t="s">
        <v>74</v>
      </c>
      <c r="M705" s="137" t="s">
        <v>1156</v>
      </c>
      <c r="N705" s="137" t="s">
        <v>1957</v>
      </c>
      <c r="O705" s="24" t="str">
        <f>IF(Q705=" _","NO","SI")</f>
        <v>NO</v>
      </c>
      <c r="P705" s="24" t="str">
        <f ca="1">IF(color_Celda(E705)=12106214,"ROSA",IF(color_Celda(E705)=65535,"AMARILLO",IF(color_Celda(E705)=5296274,"VERDE",IF(color_Celda(E705)=16777215,"BLANCO","NO SE"))))</f>
        <v>AMARILLO</v>
      </c>
      <c r="Q705" s="137" t="s">
        <v>108</v>
      </c>
      <c r="R705" s="32" t="str">
        <f>VLOOKUP($Q705,Resultados!$A$1:$B$49,2,FALSE)</f>
        <v xml:space="preserve"> _</v>
      </c>
      <c r="S705" s="137"/>
      <c r="T705" s="202"/>
      <c r="U705" s="202"/>
      <c r="V705" s="199"/>
      <c r="W705" s="199"/>
      <c r="X705" s="199"/>
      <c r="Y705" s="64"/>
      <c r="Z705" s="199"/>
      <c r="AA705" s="199"/>
      <c r="AB705" s="199"/>
      <c r="AC705" s="199"/>
      <c r="AD705" s="199"/>
      <c r="AE705" s="203"/>
      <c r="AF705" s="199"/>
      <c r="AG705" s="199"/>
      <c r="AH705" s="199"/>
      <c r="AI705" s="199"/>
      <c r="AJ705" s="204" t="s">
        <v>988</v>
      </c>
      <c r="AK705" s="199"/>
      <c r="AL705" s="155" t="s">
        <v>1627</v>
      </c>
      <c r="AM705" s="431" t="str">
        <f>VLOOKUP($Q705,Resultados!$A$1:$C$49,3,FALSE)</f>
        <v>TRAMITE</v>
      </c>
    </row>
    <row r="706" spans="1:39" ht="39.950000000000003" customHeight="1">
      <c r="A706" s="364">
        <v>674</v>
      </c>
      <c r="B706" s="193">
        <v>45345</v>
      </c>
      <c r="C706" s="339" t="s">
        <v>402</v>
      </c>
      <c r="D706" s="170" t="s">
        <v>2046</v>
      </c>
      <c r="E706" s="194" t="s">
        <v>2047</v>
      </c>
      <c r="F706" s="150">
        <v>3</v>
      </c>
      <c r="G706" s="150"/>
      <c r="H706" s="193"/>
      <c r="I706" s="193"/>
      <c r="J706" s="193"/>
      <c r="K706" s="150" t="str">
        <f>IFERROR(VLOOKUP(J706,Jueces!$A$1:$B$11,2,FALSE),"")</f>
        <v/>
      </c>
      <c r="L706" s="170" t="s">
        <v>72</v>
      </c>
      <c r="M706" s="170" t="s">
        <v>45</v>
      </c>
      <c r="N706" s="170" t="s">
        <v>2048</v>
      </c>
      <c r="O706" s="24" t="str">
        <f>IF(Q706=" _","NO","SI")</f>
        <v>NO</v>
      </c>
      <c r="P706" s="24" t="str">
        <f ca="1">IF(color_Celda(E706)=12106214,"ROSA",IF(color_Celda(E706)=65535,"AMARILLO",IF(color_Celda(E706)=5296274,"VERDE",IF(color_Celda(E706)=16777215,"BLANCO","NO SE"))))</f>
        <v>AMARILLO</v>
      </c>
      <c r="Q706" s="170" t="s">
        <v>108</v>
      </c>
      <c r="R706" s="170" t="str">
        <f>VLOOKUP($Q706,Resultados!$A$1:$B$49,2,FALSE)</f>
        <v xml:space="preserve"> _</v>
      </c>
      <c r="S706" s="170"/>
      <c r="T706" s="195"/>
      <c r="U706" s="195"/>
      <c r="V706" s="150"/>
      <c r="W706" s="150"/>
      <c r="X706" s="150"/>
      <c r="Y706" s="64"/>
      <c r="Z706" s="150"/>
      <c r="AA706" s="150"/>
      <c r="AB706" s="150"/>
      <c r="AC706" s="150"/>
      <c r="AD706" s="150"/>
      <c r="AE706" s="196"/>
      <c r="AF706" s="150"/>
      <c r="AG706" s="150"/>
      <c r="AH706" s="150"/>
      <c r="AI706" s="150"/>
      <c r="AJ706" s="197" t="s">
        <v>988</v>
      </c>
      <c r="AK706" s="150"/>
      <c r="AL706" s="198" t="s">
        <v>1627</v>
      </c>
      <c r="AM706" s="431" t="str">
        <f>VLOOKUP($Q706,Resultados!$A$1:$C$49,3,FALSE)</f>
        <v>TRAMITE</v>
      </c>
    </row>
    <row r="707" spans="1:39" ht="38.25">
      <c r="A707" s="373">
        <v>675</v>
      </c>
      <c r="B707" s="515">
        <v>45346</v>
      </c>
      <c r="C707" s="519" t="s">
        <v>12</v>
      </c>
      <c r="D707" s="520" t="s">
        <v>1799</v>
      </c>
      <c r="E707" s="522" t="s">
        <v>1800</v>
      </c>
      <c r="F707" s="523">
        <v>6</v>
      </c>
      <c r="G707" s="523"/>
      <c r="H707" s="515"/>
      <c r="I707" s="515"/>
      <c r="J707" s="515"/>
      <c r="K707" s="523" t="str">
        <f>IFERROR(VLOOKUP(J707,Jueces!$A$1:$B$11,2,FALSE),"")</f>
        <v/>
      </c>
      <c r="L707" s="520" t="s">
        <v>74</v>
      </c>
      <c r="M707" s="520"/>
      <c r="N707" s="523"/>
      <c r="O707" s="24" t="str">
        <f>IF(Q707=" _","NO","SI")</f>
        <v>SI</v>
      </c>
      <c r="P707" s="24" t="str">
        <f ca="1">IF(color_Celda(E707)=12106214,"ROSA",IF(color_Celda(E707)=65535,"AMARILLO",IF(color_Celda(E707)=5296274,"VERDE",IF(color_Celda(E707)=16777215,"BLANCO","NO SE"))))</f>
        <v>VERDE</v>
      </c>
      <c r="Q707" s="524" t="s">
        <v>3313</v>
      </c>
      <c r="R707" s="176" t="str">
        <f>VLOOKUP($Q707,Resultados!$A$1:$B$49,2,FALSE)</f>
        <v>VERDE</v>
      </c>
      <c r="S707" s="520"/>
      <c r="T707" s="527"/>
      <c r="U707" s="527"/>
      <c r="V707" s="523"/>
      <c r="W707" s="523"/>
      <c r="X707" s="523"/>
      <c r="Y707" s="64"/>
      <c r="Z707" s="523"/>
      <c r="AA707" s="523"/>
      <c r="AB707" s="523"/>
      <c r="AC707" s="523"/>
      <c r="AD707" s="523"/>
      <c r="AE707" s="530"/>
      <c r="AF707" s="523"/>
      <c r="AG707" s="523"/>
      <c r="AH707" s="523"/>
      <c r="AI707" s="523"/>
      <c r="AJ707" s="531" t="s">
        <v>988</v>
      </c>
      <c r="AK707" s="523"/>
      <c r="AL707" s="507" t="s">
        <v>1627</v>
      </c>
      <c r="AM707" s="431" t="str">
        <f>VLOOKUP($Q707,Resultados!$A$1:$C$49,3,FALSE)</f>
        <v>NO LLEGO</v>
      </c>
    </row>
    <row r="708" spans="1:39" ht="38.25">
      <c r="A708" s="364">
        <v>676</v>
      </c>
      <c r="B708" s="206">
        <v>45348</v>
      </c>
      <c r="C708" s="341" t="s">
        <v>12</v>
      </c>
      <c r="D708" s="207" t="s">
        <v>1801</v>
      </c>
      <c r="E708" s="208" t="s">
        <v>1802</v>
      </c>
      <c r="F708" s="205">
        <v>6</v>
      </c>
      <c r="G708" s="207" t="s">
        <v>326</v>
      </c>
      <c r="H708" s="206"/>
      <c r="I708" s="206"/>
      <c r="J708" s="206"/>
      <c r="K708" s="205" t="str">
        <f>IFERROR(VLOOKUP(J708,Jueces!$A$1:$B$11,2,FALSE),"")</f>
        <v/>
      </c>
      <c r="L708" s="207" t="s">
        <v>84</v>
      </c>
      <c r="M708" s="207" t="s">
        <v>45</v>
      </c>
      <c r="N708" s="207" t="s">
        <v>1814</v>
      </c>
      <c r="O708" s="24" t="str">
        <f>IF(Q708=" _","NO","SI")</f>
        <v>NO</v>
      </c>
      <c r="P708" s="24" t="str">
        <f ca="1">IF(color_Celda(E708)=12106214,"ROSA",IF(color_Celda(E708)=65535,"AMARILLO",IF(color_Celda(E708)=5296274,"VERDE",IF(color_Celda(E708)=16777215,"BLANCO","NO SE"))))</f>
        <v>AMARILLO</v>
      </c>
      <c r="Q708" s="207" t="s">
        <v>108</v>
      </c>
      <c r="R708" s="170" t="str">
        <f>VLOOKUP($Q708,Resultados!$A$1:$B$49,2,FALSE)</f>
        <v xml:space="preserve"> _</v>
      </c>
      <c r="S708" s="207"/>
      <c r="T708" s="209"/>
      <c r="U708" s="209"/>
      <c r="V708" s="205"/>
      <c r="W708" s="205"/>
      <c r="X708" s="205"/>
      <c r="Y708" s="64"/>
      <c r="Z708" s="205"/>
      <c r="AA708" s="205"/>
      <c r="AB708" s="205"/>
      <c r="AC708" s="205"/>
      <c r="AD708" s="205"/>
      <c r="AE708" s="210"/>
      <c r="AF708" s="205"/>
      <c r="AG708" s="205"/>
      <c r="AH708" s="205"/>
      <c r="AI708" s="205"/>
      <c r="AJ708" s="211" t="s">
        <v>988</v>
      </c>
      <c r="AK708" s="205"/>
      <c r="AL708" s="198" t="s">
        <v>1627</v>
      </c>
      <c r="AM708" s="431" t="str">
        <f>VLOOKUP($Q708,Resultados!$A$1:$C$49,3,FALSE)</f>
        <v>TRAMITE</v>
      </c>
    </row>
    <row r="709" spans="1:39" ht="38.25">
      <c r="A709" s="364">
        <v>677</v>
      </c>
      <c r="B709" s="206">
        <v>45348</v>
      </c>
      <c r="C709" s="341" t="s">
        <v>1809</v>
      </c>
      <c r="D709" s="207" t="s">
        <v>1810</v>
      </c>
      <c r="E709" s="208" t="s">
        <v>1811</v>
      </c>
      <c r="F709" s="205">
        <v>3</v>
      </c>
      <c r="G709" s="207" t="s">
        <v>1750</v>
      </c>
      <c r="H709" s="206"/>
      <c r="I709" s="206"/>
      <c r="J709" s="206"/>
      <c r="K709" s="205" t="str">
        <f>IFERROR(VLOOKUP(J709,Jueces!$A$1:$B$11,2,FALSE),"")</f>
        <v/>
      </c>
      <c r="L709" s="207" t="s">
        <v>79</v>
      </c>
      <c r="M709" s="207" t="s">
        <v>584</v>
      </c>
      <c r="N709" s="207" t="s">
        <v>2107</v>
      </c>
      <c r="O709" s="24" t="str">
        <f>IF(Q709=" _","NO","SI")</f>
        <v>NO</v>
      </c>
      <c r="P709" s="24" t="str">
        <f ca="1">IF(color_Celda(E709)=12106214,"ROSA",IF(color_Celda(E709)=65535,"AMARILLO",IF(color_Celda(E709)=5296274,"VERDE",IF(color_Celda(E709)=16777215,"BLANCO","NO SE"))))</f>
        <v>AMARILLO</v>
      </c>
      <c r="Q709" s="207" t="s">
        <v>108</v>
      </c>
      <c r="R709" s="170" t="str">
        <f>VLOOKUP($Q709,Resultados!$A$1:$B$49,2,FALSE)</f>
        <v xml:space="preserve"> _</v>
      </c>
      <c r="S709" s="207"/>
      <c r="T709" s="209"/>
      <c r="U709" s="209"/>
      <c r="V709" s="205"/>
      <c r="W709" s="205"/>
      <c r="X709" s="205"/>
      <c r="Y709" s="64"/>
      <c r="Z709" s="205"/>
      <c r="AA709" s="205"/>
      <c r="AB709" s="205"/>
      <c r="AC709" s="205"/>
      <c r="AD709" s="205"/>
      <c r="AE709" s="210"/>
      <c r="AF709" s="205"/>
      <c r="AG709" s="205"/>
      <c r="AH709" s="205"/>
      <c r="AI709" s="205"/>
      <c r="AJ709" s="211" t="s">
        <v>988</v>
      </c>
      <c r="AK709" s="205"/>
      <c r="AL709" s="198" t="s">
        <v>1627</v>
      </c>
      <c r="AM709" s="431" t="str">
        <f>VLOOKUP($Q709,Resultados!$A$1:$C$49,3,FALSE)</f>
        <v>TRAMITE</v>
      </c>
    </row>
    <row r="710" spans="1:39" ht="114.75">
      <c r="A710" s="364">
        <v>678</v>
      </c>
      <c r="B710" s="206">
        <v>45348</v>
      </c>
      <c r="C710" s="341" t="s">
        <v>981</v>
      </c>
      <c r="D710" s="207" t="s">
        <v>1812</v>
      </c>
      <c r="E710" s="208" t="s">
        <v>1813</v>
      </c>
      <c r="F710" s="205">
        <v>1</v>
      </c>
      <c r="G710" s="205" t="s">
        <v>326</v>
      </c>
      <c r="H710" s="206"/>
      <c r="I710" s="206"/>
      <c r="J710" s="206"/>
      <c r="K710" s="205" t="str">
        <f>IFERROR(VLOOKUP(J710,Jueces!$A$1:$B$11,2,FALSE),"")</f>
        <v/>
      </c>
      <c r="L710" s="207" t="s">
        <v>75</v>
      </c>
      <c r="M710" s="207" t="s">
        <v>259</v>
      </c>
      <c r="N710" s="207" t="s">
        <v>1814</v>
      </c>
      <c r="O710" s="24" t="str">
        <f>IF(Q710=" _","NO","SI")</f>
        <v>NO</v>
      </c>
      <c r="P710" s="24" t="str">
        <f ca="1">IF(color_Celda(E710)=12106214,"ROSA",IF(color_Celda(E710)=65535,"AMARILLO",IF(color_Celda(E710)=5296274,"VERDE",IF(color_Celda(E710)=16777215,"BLANCO","NO SE"))))</f>
        <v>AMARILLO</v>
      </c>
      <c r="Q710" s="207" t="s">
        <v>108</v>
      </c>
      <c r="R710" s="170" t="str">
        <f>VLOOKUP($Q710,Resultados!$A$1:$B$49,2,FALSE)</f>
        <v xml:space="preserve"> _</v>
      </c>
      <c r="S710" s="207"/>
      <c r="T710" s="209"/>
      <c r="U710" s="209"/>
      <c r="V710" s="205"/>
      <c r="W710" s="205"/>
      <c r="X710" s="205"/>
      <c r="Y710" s="64"/>
      <c r="Z710" s="205"/>
      <c r="AA710" s="205"/>
      <c r="AB710" s="205"/>
      <c r="AC710" s="205"/>
      <c r="AD710" s="205"/>
      <c r="AE710" s="210"/>
      <c r="AF710" s="205"/>
      <c r="AG710" s="205"/>
      <c r="AH710" s="205"/>
      <c r="AI710" s="205"/>
      <c r="AJ710" s="211" t="s">
        <v>988</v>
      </c>
      <c r="AK710" s="205"/>
      <c r="AL710" s="198" t="s">
        <v>1627</v>
      </c>
      <c r="AM710" s="431" t="str">
        <f>VLOOKUP($Q710,Resultados!$A$1:$C$49,3,FALSE)</f>
        <v>TRAMITE</v>
      </c>
    </row>
    <row r="711" spans="1:39" ht="38.25">
      <c r="A711" s="364">
        <v>679</v>
      </c>
      <c r="B711" s="200">
        <v>45348</v>
      </c>
      <c r="C711" s="340" t="s">
        <v>1475</v>
      </c>
      <c r="D711" s="137" t="s">
        <v>1929</v>
      </c>
      <c r="E711" s="201" t="s">
        <v>1930</v>
      </c>
      <c r="F711" s="199">
        <v>6</v>
      </c>
      <c r="G711" s="137" t="s">
        <v>326</v>
      </c>
      <c r="H711" s="200"/>
      <c r="I711" s="200"/>
      <c r="J711" s="200"/>
      <c r="K711" s="199" t="str">
        <f>IFERROR(VLOOKUP(J711,Jueces!$A$1:$B$11,2,FALSE),"")</f>
        <v/>
      </c>
      <c r="L711" s="137" t="s">
        <v>74</v>
      </c>
      <c r="M711" s="137" t="s">
        <v>270</v>
      </c>
      <c r="N711" s="137" t="s">
        <v>1868</v>
      </c>
      <c r="O711" s="24" t="str">
        <f>IF(Q711=" _","NO","SI")</f>
        <v>NO</v>
      </c>
      <c r="P711" s="24" t="str">
        <f ca="1">IF(color_Celda(E711)=12106214,"ROSA",IF(color_Celda(E711)=65535,"AMARILLO",IF(color_Celda(E711)=5296274,"VERDE",IF(color_Celda(E711)=16777215,"BLANCO","NO SE"))))</f>
        <v>AMARILLO</v>
      </c>
      <c r="Q711" s="137" t="s">
        <v>108</v>
      </c>
      <c r="R711" s="32" t="str">
        <f>VLOOKUP($Q711,Resultados!$A$1:$B$49,2,FALSE)</f>
        <v xml:space="preserve"> _</v>
      </c>
      <c r="S711" s="137"/>
      <c r="T711" s="202"/>
      <c r="U711" s="202"/>
      <c r="V711" s="199"/>
      <c r="W711" s="199"/>
      <c r="X711" s="199"/>
      <c r="Y711" s="64"/>
      <c r="Z711" s="199"/>
      <c r="AA711" s="199"/>
      <c r="AB711" s="199"/>
      <c r="AC711" s="199"/>
      <c r="AD711" s="199"/>
      <c r="AE711" s="203"/>
      <c r="AF711" s="199"/>
      <c r="AG711" s="199"/>
      <c r="AH711" s="199"/>
      <c r="AI711" s="199"/>
      <c r="AJ711" s="204" t="s">
        <v>988</v>
      </c>
      <c r="AK711" s="199"/>
      <c r="AL711" s="155" t="s">
        <v>1627</v>
      </c>
      <c r="AM711" s="431" t="str">
        <f>VLOOKUP($Q711,Resultados!$A$1:$C$49,3,FALSE)</f>
        <v>TRAMITE</v>
      </c>
    </row>
    <row r="712" spans="1:39" ht="39.950000000000003" customHeight="1">
      <c r="A712" s="364">
        <v>680</v>
      </c>
      <c r="B712" s="38">
        <v>45348</v>
      </c>
      <c r="C712" s="337" t="s">
        <v>1958</v>
      </c>
      <c r="D712" s="32" t="s">
        <v>1959</v>
      </c>
      <c r="E712" s="40" t="s">
        <v>1960</v>
      </c>
      <c r="F712" s="39">
        <v>4</v>
      </c>
      <c r="G712" s="39" t="s">
        <v>325</v>
      </c>
      <c r="H712" s="38"/>
      <c r="I712" s="38"/>
      <c r="J712" s="38"/>
      <c r="K712" s="39" t="str">
        <f>IFERROR(VLOOKUP(J712,Jueces!$A$1:$B$11,2,FALSE),"")</f>
        <v/>
      </c>
      <c r="L712" s="32" t="s">
        <v>72</v>
      </c>
      <c r="M712" s="32" t="s">
        <v>1961</v>
      </c>
      <c r="N712" s="32" t="s">
        <v>1962</v>
      </c>
      <c r="O712" s="24" t="str">
        <f>IF(Q712=" _","NO","SI")</f>
        <v>NO</v>
      </c>
      <c r="P712" s="24" t="str">
        <f ca="1">IF(color_Celda(E712)=12106214,"ROSA",IF(color_Celda(E712)=65535,"AMARILLO",IF(color_Celda(E712)=5296274,"VERDE",IF(color_Celda(E712)=16777215,"BLANCO","NO SE"))))</f>
        <v>AMARILLO</v>
      </c>
      <c r="Q712" s="32" t="s">
        <v>108</v>
      </c>
      <c r="R712" s="32" t="str">
        <f>VLOOKUP($Q712,Resultados!$A$1:$B$49,2,FALSE)</f>
        <v xml:space="preserve"> _</v>
      </c>
      <c r="S712" s="32"/>
      <c r="T712" s="37"/>
      <c r="U712" s="37"/>
      <c r="V712" s="39"/>
      <c r="W712" s="39"/>
      <c r="X712" s="39"/>
      <c r="Y712" s="64"/>
      <c r="Z712" s="39"/>
      <c r="AA712" s="39"/>
      <c r="AB712" s="39"/>
      <c r="AC712" s="39"/>
      <c r="AD712" s="39"/>
      <c r="AE712" s="110"/>
      <c r="AF712" s="39"/>
      <c r="AG712" s="39"/>
      <c r="AH712" s="39"/>
      <c r="AI712" s="39"/>
      <c r="AJ712" s="43" t="s">
        <v>988</v>
      </c>
      <c r="AK712" s="39"/>
      <c r="AL712" s="155" t="s">
        <v>1627</v>
      </c>
      <c r="AM712" s="431" t="str">
        <f>VLOOKUP($Q712,Resultados!$A$1:$C$49,3,FALSE)</f>
        <v>TRAMITE</v>
      </c>
    </row>
    <row r="713" spans="1:39" ht="39.950000000000003" customHeight="1">
      <c r="A713" s="364">
        <v>681</v>
      </c>
      <c r="B713" s="69">
        <v>45349</v>
      </c>
      <c r="C713" s="332" t="s">
        <v>1259</v>
      </c>
      <c r="D713" s="70" t="s">
        <v>1260</v>
      </c>
      <c r="E713" s="92" t="s">
        <v>2030</v>
      </c>
      <c r="F713" s="68">
        <v>7</v>
      </c>
      <c r="G713" s="68" t="s">
        <v>325</v>
      </c>
      <c r="H713" s="69"/>
      <c r="I713" s="69"/>
      <c r="J713" s="69"/>
      <c r="K713" s="68" t="s">
        <v>1480</v>
      </c>
      <c r="L713" s="70" t="s">
        <v>248</v>
      </c>
      <c r="M713" s="70" t="s">
        <v>1261</v>
      </c>
      <c r="N713" s="70" t="s">
        <v>2029</v>
      </c>
      <c r="O713" s="24" t="str">
        <f>IF(Q713=" _","NO","SI")</f>
        <v>NO</v>
      </c>
      <c r="P713" s="24" t="str">
        <f ca="1">IF(color_Celda(E713)=12106214,"ROSA",IF(color_Celda(E713)=65535,"AMARILLO",IF(color_Celda(E713)=5296274,"VERDE",IF(color_Celda(E713)=16777215,"BLANCO","NO SE"))))</f>
        <v>AMARILLO</v>
      </c>
      <c r="Q713" s="70" t="s">
        <v>108</v>
      </c>
      <c r="R713" s="32" t="str">
        <f>VLOOKUP($Q713,Resultados!$A$1:$B$49,2,FALSE)</f>
        <v xml:space="preserve"> _</v>
      </c>
      <c r="S713" s="70"/>
      <c r="T713" s="73"/>
      <c r="U713" s="73"/>
      <c r="V713" s="68"/>
      <c r="W713" s="68"/>
      <c r="X713" s="68"/>
      <c r="Y713" s="64"/>
      <c r="Z713" s="68"/>
      <c r="AA713" s="68"/>
      <c r="AB713" s="68"/>
      <c r="AC713" s="68"/>
      <c r="AD713" s="68"/>
      <c r="AE713" s="358"/>
      <c r="AF713" s="68">
        <v>7</v>
      </c>
      <c r="AG713" s="68"/>
      <c r="AH713" s="68">
        <v>0</v>
      </c>
      <c r="AI713" s="68"/>
      <c r="AJ713" s="101" t="s">
        <v>988</v>
      </c>
      <c r="AK713" s="68"/>
      <c r="AL713" s="155" t="s">
        <v>1627</v>
      </c>
      <c r="AM713" s="431" t="str">
        <f>VLOOKUP($Q713,Resultados!$A$1:$C$49,3,FALSE)</f>
        <v>TRAMITE</v>
      </c>
    </row>
    <row r="714" spans="1:39" ht="39.950000000000003" customHeight="1">
      <c r="A714" s="364">
        <v>682</v>
      </c>
      <c r="B714" s="38">
        <v>45349</v>
      </c>
      <c r="C714" s="337" t="s">
        <v>1605</v>
      </c>
      <c r="D714" s="32" t="s">
        <v>1825</v>
      </c>
      <c r="E714" s="40" t="s">
        <v>1826</v>
      </c>
      <c r="F714" s="39">
        <v>2</v>
      </c>
      <c r="G714" s="39" t="s">
        <v>325</v>
      </c>
      <c r="H714" s="38"/>
      <c r="I714" s="38"/>
      <c r="J714" s="38"/>
      <c r="K714" s="39" t="str">
        <f>IFERROR(VLOOKUP(J714,Jueces!$A$1:$B$11,2,FALSE),"")</f>
        <v/>
      </c>
      <c r="L714" s="32" t="s">
        <v>85</v>
      </c>
      <c r="M714" s="32" t="s">
        <v>1869</v>
      </c>
      <c r="N714" s="32" t="s">
        <v>1868</v>
      </c>
      <c r="O714" s="24" t="str">
        <f>IF(Q714=" _","NO","SI")</f>
        <v>NO</v>
      </c>
      <c r="P714" s="24" t="str">
        <f ca="1">IF(color_Celda(E714)=12106214,"ROSA",IF(color_Celda(E714)=65535,"AMARILLO",IF(color_Celda(E714)=5296274,"VERDE",IF(color_Celda(E714)=16777215,"BLANCO","NO SE"))))</f>
        <v>AMARILLO</v>
      </c>
      <c r="Q714" s="32" t="s">
        <v>108</v>
      </c>
      <c r="R714" s="32" t="str">
        <f>VLOOKUP($Q714,Resultados!$A$1:$B$49,2,FALSE)</f>
        <v xml:space="preserve"> _</v>
      </c>
      <c r="S714" s="32"/>
      <c r="T714" s="37"/>
      <c r="U714" s="37"/>
      <c r="V714" s="39"/>
      <c r="W714" s="39"/>
      <c r="X714" s="39"/>
      <c r="Y714" s="64"/>
      <c r="Z714" s="39"/>
      <c r="AA714" s="39"/>
      <c r="AB714" s="39"/>
      <c r="AC714" s="39"/>
      <c r="AD714" s="39"/>
      <c r="AE714" s="110"/>
      <c r="AF714" s="39"/>
      <c r="AG714" s="39"/>
      <c r="AH714" s="39"/>
      <c r="AI714" s="39"/>
      <c r="AJ714" s="43" t="s">
        <v>988</v>
      </c>
      <c r="AK714" s="39"/>
      <c r="AL714" s="155" t="s">
        <v>1627</v>
      </c>
      <c r="AM714" s="431" t="str">
        <f>VLOOKUP($Q714,Resultados!$A$1:$C$49,3,FALSE)</f>
        <v>TRAMITE</v>
      </c>
    </row>
    <row r="715" spans="1:39" ht="39.950000000000003" customHeight="1">
      <c r="A715" s="364">
        <v>683</v>
      </c>
      <c r="B715" s="38">
        <v>45349</v>
      </c>
      <c r="C715" s="337" t="s">
        <v>12</v>
      </c>
      <c r="D715" s="32" t="s">
        <v>1827</v>
      </c>
      <c r="E715" s="40" t="s">
        <v>1924</v>
      </c>
      <c r="F715" s="39">
        <v>5</v>
      </c>
      <c r="G715" s="32" t="s">
        <v>326</v>
      </c>
      <c r="H715" s="38"/>
      <c r="I715" s="38"/>
      <c r="J715" s="38"/>
      <c r="K715" s="39" t="str">
        <f>IFERROR(VLOOKUP(J715,Jueces!$A$1:$B$11,2,FALSE),"")</f>
        <v/>
      </c>
      <c r="L715" s="32" t="s">
        <v>74</v>
      </c>
      <c r="M715" s="39" t="s">
        <v>311</v>
      </c>
      <c r="N715" s="32" t="s">
        <v>1868</v>
      </c>
      <c r="O715" s="24" t="str">
        <f>IF(Q715=" _","NO","SI")</f>
        <v>NO</v>
      </c>
      <c r="P715" s="24" t="str">
        <f ca="1">IF(color_Celda(E715)=12106214,"ROSA",IF(color_Celda(E715)=65535,"AMARILLO",IF(color_Celda(E715)=5296274,"VERDE",IF(color_Celda(E715)=16777215,"BLANCO","NO SE"))))</f>
        <v>AMARILLO</v>
      </c>
      <c r="Q715" s="32" t="s">
        <v>108</v>
      </c>
      <c r="R715" s="32" t="str">
        <f>VLOOKUP($Q715,Resultados!$A$1:$B$49,2,FALSE)</f>
        <v xml:space="preserve"> _</v>
      </c>
      <c r="S715" s="32"/>
      <c r="T715" s="37"/>
      <c r="U715" s="37"/>
      <c r="V715" s="39"/>
      <c r="W715" s="39"/>
      <c r="X715" s="39"/>
      <c r="Y715" s="64"/>
      <c r="Z715" s="39"/>
      <c r="AA715" s="39"/>
      <c r="AB715" s="39"/>
      <c r="AC715" s="39"/>
      <c r="AD715" s="39"/>
      <c r="AE715" s="110"/>
      <c r="AF715" s="39"/>
      <c r="AG715" s="39"/>
      <c r="AH715" s="39"/>
      <c r="AI715" s="39"/>
      <c r="AJ715" s="43" t="s">
        <v>988</v>
      </c>
      <c r="AK715" s="39"/>
      <c r="AL715" s="155" t="s">
        <v>1627</v>
      </c>
      <c r="AM715" s="431" t="str">
        <f>VLOOKUP($Q715,Resultados!$A$1:$C$49,3,FALSE)</f>
        <v>TRAMITE</v>
      </c>
    </row>
    <row r="716" spans="1:39" ht="39.950000000000003" customHeight="1">
      <c r="A716" s="364">
        <v>684</v>
      </c>
      <c r="B716" s="38">
        <v>45349</v>
      </c>
      <c r="C716" s="337" t="s">
        <v>784</v>
      </c>
      <c r="D716" s="32" t="s">
        <v>1828</v>
      </c>
      <c r="E716" s="40" t="s">
        <v>1829</v>
      </c>
      <c r="F716" s="39">
        <v>2</v>
      </c>
      <c r="G716" s="39" t="s">
        <v>325</v>
      </c>
      <c r="H716" s="38"/>
      <c r="I716" s="38"/>
      <c r="J716" s="38"/>
      <c r="K716" s="39" t="str">
        <f>IFERROR(VLOOKUP(J716,Jueces!$A$1:$B$11,2,FALSE),"")</f>
        <v/>
      </c>
      <c r="L716" s="32" t="s">
        <v>250</v>
      </c>
      <c r="M716" s="32" t="s">
        <v>44</v>
      </c>
      <c r="N716" s="32" t="s">
        <v>1868</v>
      </c>
      <c r="O716" s="24" t="str">
        <f>IF(Q716=" _","NO","SI")</f>
        <v>NO</v>
      </c>
      <c r="P716" s="24" t="str">
        <f ca="1">IF(color_Celda(E716)=12106214,"ROSA",IF(color_Celda(E716)=65535,"AMARILLO",IF(color_Celda(E716)=5296274,"VERDE",IF(color_Celda(E716)=16777215,"BLANCO","NO SE"))))</f>
        <v>AMARILLO</v>
      </c>
      <c r="Q716" s="32" t="s">
        <v>108</v>
      </c>
      <c r="R716" s="32" t="str">
        <f>VLOOKUP($Q716,Resultados!$A$1:$B$49,2,FALSE)</f>
        <v xml:space="preserve"> _</v>
      </c>
      <c r="S716" s="32"/>
      <c r="T716" s="37"/>
      <c r="U716" s="37"/>
      <c r="V716" s="39"/>
      <c r="W716" s="39"/>
      <c r="X716" s="39"/>
      <c r="Y716" s="64"/>
      <c r="Z716" s="39"/>
      <c r="AA716" s="39"/>
      <c r="AB716" s="39"/>
      <c r="AC716" s="39"/>
      <c r="AD716" s="39"/>
      <c r="AE716" s="110"/>
      <c r="AF716" s="39"/>
      <c r="AG716" s="39"/>
      <c r="AH716" s="39"/>
      <c r="AI716" s="39"/>
      <c r="AJ716" s="43" t="s">
        <v>988</v>
      </c>
      <c r="AK716" s="39"/>
      <c r="AL716" s="155" t="s">
        <v>1627</v>
      </c>
      <c r="AM716" s="431" t="str">
        <f>VLOOKUP($Q716,Resultados!$A$1:$C$49,3,FALSE)</f>
        <v>TRAMITE</v>
      </c>
    </row>
    <row r="717" spans="1:39" ht="39.950000000000003" customHeight="1">
      <c r="A717" s="364">
        <v>685</v>
      </c>
      <c r="B717" s="38">
        <v>45349</v>
      </c>
      <c r="C717" s="337" t="s">
        <v>1830</v>
      </c>
      <c r="D717" s="32" t="s">
        <v>1831</v>
      </c>
      <c r="E717" s="40" t="s">
        <v>1832</v>
      </c>
      <c r="F717" s="39">
        <v>7</v>
      </c>
      <c r="G717" s="32" t="s">
        <v>10</v>
      </c>
      <c r="H717" s="38"/>
      <c r="I717" s="38"/>
      <c r="J717" s="38"/>
      <c r="K717" s="39" t="str">
        <f>IFERROR(VLOOKUP(J717,Jueces!$A$1:$B$11,2,FALSE),"")</f>
        <v/>
      </c>
      <c r="L717" s="32" t="s">
        <v>87</v>
      </c>
      <c r="M717" s="32" t="s">
        <v>59</v>
      </c>
      <c r="N717" s="32" t="s">
        <v>2012</v>
      </c>
      <c r="O717" s="24" t="str">
        <f>IF(Q717=" _","NO","SI")</f>
        <v>NO</v>
      </c>
      <c r="P717" s="24" t="str">
        <f ca="1">IF(color_Celda(E717)=12106214,"ROSA",IF(color_Celda(E717)=65535,"AMARILLO",IF(color_Celda(E717)=5296274,"VERDE",IF(color_Celda(E717)=16777215,"BLANCO","NO SE"))))</f>
        <v>AMARILLO</v>
      </c>
      <c r="Q717" s="32" t="s">
        <v>108</v>
      </c>
      <c r="R717" s="32" t="str">
        <f>VLOOKUP($Q717,Resultados!$A$1:$B$49,2,FALSE)</f>
        <v xml:space="preserve"> _</v>
      </c>
      <c r="S717" s="32"/>
      <c r="T717" s="37"/>
      <c r="U717" s="37"/>
      <c r="V717" s="39"/>
      <c r="W717" s="39"/>
      <c r="X717" s="39"/>
      <c r="Y717" s="64"/>
      <c r="Z717" s="39"/>
      <c r="AA717" s="39"/>
      <c r="AB717" s="39"/>
      <c r="AC717" s="39"/>
      <c r="AD717" s="39"/>
      <c r="AE717" s="110"/>
      <c r="AF717" s="39"/>
      <c r="AG717" s="39"/>
      <c r="AH717" s="39"/>
      <c r="AI717" s="39"/>
      <c r="AJ717" s="43" t="s">
        <v>988</v>
      </c>
      <c r="AK717" s="39"/>
      <c r="AL717" s="155" t="s">
        <v>1627</v>
      </c>
      <c r="AM717" s="431" t="str">
        <f>VLOOKUP($Q717,Resultados!$A$1:$C$49,3,FALSE)</f>
        <v>TRAMITE</v>
      </c>
    </row>
    <row r="718" spans="1:39" ht="39.950000000000003" customHeight="1">
      <c r="A718" s="373">
        <v>686</v>
      </c>
      <c r="B718" s="113">
        <v>45349</v>
      </c>
      <c r="C718" s="338" t="s">
        <v>1055</v>
      </c>
      <c r="D718" s="26" t="s">
        <v>1833</v>
      </c>
      <c r="E718" s="114" t="s">
        <v>1834</v>
      </c>
      <c r="F718" s="115">
        <v>7</v>
      </c>
      <c r="G718" s="115"/>
      <c r="H718" s="113"/>
      <c r="I718" s="113"/>
      <c r="J718" s="113"/>
      <c r="K718" s="115" t="str">
        <f>IFERROR(VLOOKUP(J718,Jueces!$A$1:$B$11,2,FALSE),"")</f>
        <v/>
      </c>
      <c r="L718" s="26" t="s">
        <v>83</v>
      </c>
      <c r="M718" s="26"/>
      <c r="N718" s="26" t="s">
        <v>2659</v>
      </c>
      <c r="O718" s="304" t="str">
        <f>IF(Q718=" _","NO","SI")</f>
        <v>SI</v>
      </c>
      <c r="P718" s="24" t="str">
        <f ca="1">IF(color_Celda(E718)=12106214,"ROSA",IF(color_Celda(E718)=65535,"AMARILLO",IF(color_Celda(E718)=5296274,"VERDE",IF(color_Celda(E718)=16777215,"BLANCO","NO SE"))))</f>
        <v>VERDE</v>
      </c>
      <c r="Q718" s="96" t="s">
        <v>3313</v>
      </c>
      <c r="R718" s="26" t="str">
        <f>VLOOKUP($Q718,Resultados!$A$1:$B$49,2,FALSE)</f>
        <v>VERDE</v>
      </c>
      <c r="S718" s="26"/>
      <c r="T718" s="116"/>
      <c r="U718" s="116"/>
      <c r="V718" s="115"/>
      <c r="W718" s="115"/>
      <c r="X718" s="115"/>
      <c r="Y718" s="303"/>
      <c r="Z718" s="115"/>
      <c r="AA718" s="115"/>
      <c r="AB718" s="115"/>
      <c r="AC718" s="115"/>
      <c r="AD718" s="115"/>
      <c r="AE718" s="117"/>
      <c r="AF718" s="115"/>
      <c r="AG718" s="115"/>
      <c r="AH718" s="115"/>
      <c r="AI718" s="115"/>
      <c r="AJ718" s="156" t="s">
        <v>988</v>
      </c>
      <c r="AK718" s="115"/>
      <c r="AL718" s="157" t="s">
        <v>1627</v>
      </c>
      <c r="AM718" s="431" t="str">
        <f>VLOOKUP($Q718,Resultados!$A$1:$C$49,3,FALSE)</f>
        <v>NO LLEGO</v>
      </c>
    </row>
    <row r="719" spans="1:39" ht="39.950000000000003" customHeight="1">
      <c r="A719" s="364">
        <v>687</v>
      </c>
      <c r="B719" s="38">
        <v>45349</v>
      </c>
      <c r="C719" s="337" t="s">
        <v>807</v>
      </c>
      <c r="D719" s="32" t="s">
        <v>1835</v>
      </c>
      <c r="E719" s="40" t="s">
        <v>1836</v>
      </c>
      <c r="F719" s="32">
        <v>3</v>
      </c>
      <c r="G719" s="32" t="s">
        <v>1750</v>
      </c>
      <c r="H719" s="38"/>
      <c r="I719" s="38"/>
      <c r="J719" s="38"/>
      <c r="K719" s="39" t="str">
        <f>IFERROR(VLOOKUP(J719,Jueces!$A$1:$B$11,2,FALSE),"")</f>
        <v/>
      </c>
      <c r="L719" s="32" t="s">
        <v>127</v>
      </c>
      <c r="M719" s="32" t="s">
        <v>61</v>
      </c>
      <c r="N719" s="32" t="s">
        <v>2056</v>
      </c>
      <c r="O719" s="24" t="str">
        <f>IF(Q719=" _","NO","SI")</f>
        <v>NO</v>
      </c>
      <c r="P719" s="24" t="str">
        <f ca="1">IF(color_Celda(E719)=12106214,"ROSA",IF(color_Celda(E719)=65535,"AMARILLO",IF(color_Celda(E719)=5296274,"VERDE",IF(color_Celda(E719)=16777215,"BLANCO","NO SE"))))</f>
        <v>AMARILLO</v>
      </c>
      <c r="Q719" s="32" t="s">
        <v>108</v>
      </c>
      <c r="R719" s="32" t="str">
        <f>VLOOKUP($Q719,Resultados!$A$1:$B$49,2,FALSE)</f>
        <v xml:space="preserve"> _</v>
      </c>
      <c r="S719" s="32"/>
      <c r="T719" s="37"/>
      <c r="U719" s="37"/>
      <c r="V719" s="39"/>
      <c r="W719" s="39"/>
      <c r="X719" s="39"/>
      <c r="Y719" s="64"/>
      <c r="Z719" s="39"/>
      <c r="AA719" s="39"/>
      <c r="AB719" s="39"/>
      <c r="AC719" s="39"/>
      <c r="AD719" s="39"/>
      <c r="AE719" s="110"/>
      <c r="AF719" s="39"/>
      <c r="AG719" s="39"/>
      <c r="AH719" s="39"/>
      <c r="AI719" s="39"/>
      <c r="AJ719" s="43" t="s">
        <v>988</v>
      </c>
      <c r="AK719" s="39"/>
      <c r="AL719" s="155" t="s">
        <v>1627</v>
      </c>
      <c r="AM719" s="431" t="str">
        <f>VLOOKUP($Q719,Resultados!$A$1:$C$49,3,FALSE)</f>
        <v>TRAMITE</v>
      </c>
    </row>
    <row r="720" spans="1:39" ht="39.950000000000003" customHeight="1">
      <c r="A720" s="364">
        <v>689</v>
      </c>
      <c r="B720" s="38">
        <v>45349</v>
      </c>
      <c r="C720" s="337" t="s">
        <v>787</v>
      </c>
      <c r="D720" s="32" t="s">
        <v>1839</v>
      </c>
      <c r="E720" s="40" t="s">
        <v>1840</v>
      </c>
      <c r="F720" s="39">
        <v>6</v>
      </c>
      <c r="G720" s="32" t="s">
        <v>326</v>
      </c>
      <c r="H720" s="38"/>
      <c r="I720" s="38"/>
      <c r="J720" s="38"/>
      <c r="K720" s="39" t="str">
        <f>IFERROR(VLOOKUP(J720,Jueces!$A$1:$B$11,2,FALSE),"")</f>
        <v/>
      </c>
      <c r="L720" s="32" t="s">
        <v>86</v>
      </c>
      <c r="M720" s="32" t="s">
        <v>260</v>
      </c>
      <c r="N720" s="32" t="s">
        <v>1868</v>
      </c>
      <c r="O720" s="24" t="str">
        <f>IF(Q720=" _","NO","SI")</f>
        <v>NO</v>
      </c>
      <c r="P720" s="24" t="str">
        <f ca="1">IF(color_Celda(E720)=12106214,"ROSA",IF(color_Celda(E720)=65535,"AMARILLO",IF(color_Celda(E720)=5296274,"VERDE",IF(color_Celda(E720)=16777215,"BLANCO","NO SE"))))</f>
        <v>AMARILLO</v>
      </c>
      <c r="Q720" s="32" t="s">
        <v>108</v>
      </c>
      <c r="R720" s="32" t="str">
        <f>VLOOKUP($Q720,Resultados!$A$1:$B$49,2,FALSE)</f>
        <v xml:space="preserve"> _</v>
      </c>
      <c r="S720" s="32"/>
      <c r="T720" s="37"/>
      <c r="U720" s="37"/>
      <c r="V720" s="39"/>
      <c r="W720" s="39"/>
      <c r="X720" s="39"/>
      <c r="Y720" s="64"/>
      <c r="Z720" s="39"/>
      <c r="AA720" s="39"/>
      <c r="AB720" s="39"/>
      <c r="AC720" s="39"/>
      <c r="AD720" s="39"/>
      <c r="AE720" s="110"/>
      <c r="AF720" s="39"/>
      <c r="AG720" s="39"/>
      <c r="AH720" s="39"/>
      <c r="AI720" s="39"/>
      <c r="AJ720" s="43" t="s">
        <v>988</v>
      </c>
      <c r="AK720" s="39"/>
      <c r="AL720" s="155" t="s">
        <v>1627</v>
      </c>
      <c r="AM720" s="431" t="str">
        <f>VLOOKUP($Q720,Resultados!$A$1:$C$49,3,FALSE)</f>
        <v>TRAMITE</v>
      </c>
    </row>
    <row r="721" spans="1:39" ht="39.950000000000003" customHeight="1">
      <c r="A721" s="364">
        <v>690</v>
      </c>
      <c r="B721" s="38">
        <v>45349</v>
      </c>
      <c r="C721" s="337" t="s">
        <v>1841</v>
      </c>
      <c r="D721" s="32" t="s">
        <v>1842</v>
      </c>
      <c r="E721" s="40" t="s">
        <v>1843</v>
      </c>
      <c r="F721" s="39">
        <v>7</v>
      </c>
      <c r="G721" s="32" t="s">
        <v>10</v>
      </c>
      <c r="H721" s="38"/>
      <c r="I721" s="38"/>
      <c r="J721" s="38"/>
      <c r="K721" s="39" t="str">
        <f>IFERROR(VLOOKUP(J721,Jueces!$A$1:$B$11,2,FALSE),"")</f>
        <v/>
      </c>
      <c r="L721" s="32" t="s">
        <v>250</v>
      </c>
      <c r="M721" s="32" t="s">
        <v>172</v>
      </c>
      <c r="N721" s="32" t="s">
        <v>2011</v>
      </c>
      <c r="O721" s="24" t="str">
        <f>IF(Q721=" _","NO","SI")</f>
        <v>NO</v>
      </c>
      <c r="P721" s="24" t="str">
        <f ca="1">IF(color_Celda(E721)=12106214,"ROSA",IF(color_Celda(E721)=65535,"AMARILLO",IF(color_Celda(E721)=5296274,"VERDE",IF(color_Celda(E721)=16777215,"BLANCO","NO SE"))))</f>
        <v>AMARILLO</v>
      </c>
      <c r="Q721" s="32" t="s">
        <v>108</v>
      </c>
      <c r="R721" s="32" t="str">
        <f>VLOOKUP($Q721,Resultados!$A$1:$B$49,2,FALSE)</f>
        <v xml:space="preserve"> _</v>
      </c>
      <c r="S721" s="32"/>
      <c r="T721" s="37"/>
      <c r="U721" s="37"/>
      <c r="V721" s="39"/>
      <c r="W721" s="39"/>
      <c r="X721" s="39"/>
      <c r="Y721" s="64"/>
      <c r="Z721" s="39"/>
      <c r="AA721" s="39"/>
      <c r="AB721" s="39"/>
      <c r="AC721" s="39"/>
      <c r="AD721" s="39"/>
      <c r="AE721" s="110"/>
      <c r="AF721" s="39"/>
      <c r="AG721" s="39"/>
      <c r="AH721" s="39"/>
      <c r="AI721" s="39"/>
      <c r="AJ721" s="43" t="s">
        <v>988</v>
      </c>
      <c r="AK721" s="39"/>
      <c r="AL721" s="155" t="s">
        <v>1627</v>
      </c>
      <c r="AM721" s="431" t="str">
        <f>VLOOKUP($Q721,Resultados!$A$1:$C$49,3,FALSE)</f>
        <v>TRAMITE</v>
      </c>
    </row>
    <row r="722" spans="1:39" ht="39.950000000000003" customHeight="1">
      <c r="A722" s="364">
        <v>693</v>
      </c>
      <c r="B722" s="38">
        <v>45349</v>
      </c>
      <c r="C722" s="337">
        <v>0.54166666666666663</v>
      </c>
      <c r="D722" s="32" t="s">
        <v>1949</v>
      </c>
      <c r="E722" s="40" t="s">
        <v>1950</v>
      </c>
      <c r="F722" s="39">
        <v>4</v>
      </c>
      <c r="G722" s="39" t="s">
        <v>325</v>
      </c>
      <c r="H722" s="38"/>
      <c r="I722" s="38"/>
      <c r="J722" s="38"/>
      <c r="K722" s="39" t="str">
        <f>IFERROR(VLOOKUP(J722,Jueces!$A$1:$B$11,2,FALSE),"")</f>
        <v/>
      </c>
      <c r="L722" s="32" t="s">
        <v>73</v>
      </c>
      <c r="M722" s="32" t="s">
        <v>59</v>
      </c>
      <c r="N722" s="32" t="s">
        <v>1951</v>
      </c>
      <c r="O722" s="24" t="str">
        <f>IF(Q722=" _","NO","SI")</f>
        <v>NO</v>
      </c>
      <c r="P722" s="24" t="str">
        <f ca="1">IF(color_Celda(E722)=12106214,"ROSA",IF(color_Celda(E722)=65535,"AMARILLO",IF(color_Celda(E722)=5296274,"VERDE",IF(color_Celda(E722)=16777215,"BLANCO","NO SE"))))</f>
        <v>AMARILLO</v>
      </c>
      <c r="Q722" s="32" t="s">
        <v>108</v>
      </c>
      <c r="R722" s="32" t="str">
        <f>VLOOKUP($Q722,Resultados!$A$1:$B$49,2,FALSE)</f>
        <v xml:space="preserve"> _</v>
      </c>
      <c r="S722" s="32"/>
      <c r="T722" s="37"/>
      <c r="U722" s="37"/>
      <c r="V722" s="39"/>
      <c r="W722" s="39"/>
      <c r="X722" s="39"/>
      <c r="Y722" s="64"/>
      <c r="Z722" s="39"/>
      <c r="AA722" s="39"/>
      <c r="AB722" s="39"/>
      <c r="AC722" s="39"/>
      <c r="AD722" s="39"/>
      <c r="AE722" s="110"/>
      <c r="AF722" s="39"/>
      <c r="AG722" s="39"/>
      <c r="AH722" s="39"/>
      <c r="AI722" s="39"/>
      <c r="AJ722" s="43" t="s">
        <v>988</v>
      </c>
      <c r="AK722" s="39"/>
      <c r="AL722" s="155" t="s">
        <v>1627</v>
      </c>
      <c r="AM722" s="431" t="str">
        <f>VLOOKUP($Q722,Resultados!$A$1:$C$49,3,FALSE)</f>
        <v>TRAMITE</v>
      </c>
    </row>
    <row r="723" spans="1:39" ht="39.950000000000003" customHeight="1">
      <c r="A723" s="364">
        <v>694</v>
      </c>
      <c r="B723" s="38">
        <v>45349</v>
      </c>
      <c r="C723" s="337" t="s">
        <v>34</v>
      </c>
      <c r="D723" s="32" t="s">
        <v>2014</v>
      </c>
      <c r="E723" s="40" t="s">
        <v>2015</v>
      </c>
      <c r="F723" s="39">
        <v>7</v>
      </c>
      <c r="G723" s="32" t="s">
        <v>10</v>
      </c>
      <c r="H723" s="38"/>
      <c r="I723" s="38"/>
      <c r="J723" s="38"/>
      <c r="K723" s="39" t="str">
        <f>IFERROR(VLOOKUP(J723,Jueces!$A$1:$B$11,2,FALSE),"")</f>
        <v/>
      </c>
      <c r="L723" s="32" t="s">
        <v>250</v>
      </c>
      <c r="M723" s="32" t="s">
        <v>1289</v>
      </c>
      <c r="N723" s="32" t="s">
        <v>2016</v>
      </c>
      <c r="O723" s="24" t="str">
        <f>IF(Q723=" _","NO","SI")</f>
        <v>NO</v>
      </c>
      <c r="P723" s="24" t="str">
        <f ca="1">IF(color_Celda(E723)=12106214,"ROSA",IF(color_Celda(E723)=65535,"AMARILLO",IF(color_Celda(E723)=5296274,"VERDE",IF(color_Celda(E723)=16777215,"BLANCO","NO SE"))))</f>
        <v>AMARILLO</v>
      </c>
      <c r="Q723" s="32" t="s">
        <v>108</v>
      </c>
      <c r="R723" s="32" t="str">
        <f>VLOOKUP($Q723,Resultados!$A$1:$B$49,2,FALSE)</f>
        <v xml:space="preserve"> _</v>
      </c>
      <c r="S723" s="32"/>
      <c r="T723" s="37"/>
      <c r="U723" s="37"/>
      <c r="V723" s="39"/>
      <c r="W723" s="39"/>
      <c r="X723" s="39"/>
      <c r="Y723" s="64"/>
      <c r="Z723" s="39"/>
      <c r="AA723" s="39"/>
      <c r="AB723" s="39"/>
      <c r="AC723" s="39"/>
      <c r="AD723" s="39"/>
      <c r="AE723" s="110"/>
      <c r="AF723" s="39"/>
      <c r="AG723" s="39"/>
      <c r="AH723" s="39"/>
      <c r="AI723" s="39"/>
      <c r="AJ723" s="43" t="s">
        <v>988</v>
      </c>
      <c r="AK723" s="39"/>
      <c r="AL723" s="155" t="s">
        <v>1627</v>
      </c>
      <c r="AM723" s="431" t="str">
        <f>VLOOKUP($Q723,Resultados!$A$1:$C$49,3,FALSE)</f>
        <v>TRAMITE</v>
      </c>
    </row>
    <row r="724" spans="1:39" ht="39.950000000000003" customHeight="1">
      <c r="A724" s="364">
        <v>695</v>
      </c>
      <c r="B724" s="38">
        <v>45349</v>
      </c>
      <c r="C724" s="337" t="s">
        <v>1099</v>
      </c>
      <c r="D724" s="32" t="s">
        <v>2057</v>
      </c>
      <c r="E724" s="40" t="s">
        <v>2058</v>
      </c>
      <c r="F724" s="39">
        <v>3</v>
      </c>
      <c r="G724" s="39"/>
      <c r="H724" s="38"/>
      <c r="I724" s="38"/>
      <c r="J724" s="38"/>
      <c r="K724" s="39" t="str">
        <f>IFERROR(VLOOKUP(J724,Jueces!$A$1:$B$11,2,FALSE),"")</f>
        <v/>
      </c>
      <c r="L724" s="32" t="s">
        <v>74</v>
      </c>
      <c r="M724" s="32" t="s">
        <v>1758</v>
      </c>
      <c r="N724" s="32" t="s">
        <v>2059</v>
      </c>
      <c r="O724" s="24" t="str">
        <f>IF(Q724=" _","NO","SI")</f>
        <v>NO</v>
      </c>
      <c r="P724" s="24" t="str">
        <f ca="1">IF(color_Celda(E724)=12106214,"ROSA",IF(color_Celda(E724)=65535,"AMARILLO",IF(color_Celda(E724)=5296274,"VERDE",IF(color_Celda(E724)=16777215,"BLANCO","NO SE"))))</f>
        <v>AMARILLO</v>
      </c>
      <c r="Q724" s="32" t="s">
        <v>108</v>
      </c>
      <c r="R724" s="32" t="str">
        <f>VLOOKUP($Q724,Resultados!$A$1:$B$49,2,FALSE)</f>
        <v xml:space="preserve"> _</v>
      </c>
      <c r="S724" s="32"/>
      <c r="T724" s="37"/>
      <c r="U724" s="37"/>
      <c r="V724" s="39"/>
      <c r="W724" s="39"/>
      <c r="X724" s="39"/>
      <c r="Y724" s="64"/>
      <c r="Z724" s="39"/>
      <c r="AA724" s="39"/>
      <c r="AB724" s="39"/>
      <c r="AC724" s="39"/>
      <c r="AD724" s="39"/>
      <c r="AE724" s="110"/>
      <c r="AF724" s="39"/>
      <c r="AG724" s="39"/>
      <c r="AH724" s="39"/>
      <c r="AI724" s="39"/>
      <c r="AJ724" s="43" t="s">
        <v>988</v>
      </c>
      <c r="AK724" s="39"/>
      <c r="AL724" s="155" t="s">
        <v>1627</v>
      </c>
      <c r="AM724" s="431" t="str">
        <f>VLOOKUP($Q724,Resultados!$A$1:$C$49,3,FALSE)</f>
        <v>TRAMITE</v>
      </c>
    </row>
    <row r="725" spans="1:39" ht="39.950000000000003" customHeight="1">
      <c r="A725" s="364">
        <v>696</v>
      </c>
      <c r="B725" s="38">
        <v>45350</v>
      </c>
      <c r="C725" s="337" t="s">
        <v>12</v>
      </c>
      <c r="D725" s="32" t="s">
        <v>1861</v>
      </c>
      <c r="E725" s="40" t="s">
        <v>1862</v>
      </c>
      <c r="F725" s="39">
        <v>5</v>
      </c>
      <c r="G725" s="32" t="s">
        <v>10</v>
      </c>
      <c r="H725" s="38"/>
      <c r="I725" s="38"/>
      <c r="J725" s="38"/>
      <c r="K725" s="39" t="str">
        <f>IFERROR(VLOOKUP(J725,Jueces!$A$1:$B$11,2,FALSE),"")</f>
        <v/>
      </c>
      <c r="L725" s="32" t="s">
        <v>72</v>
      </c>
      <c r="M725" s="32" t="s">
        <v>62</v>
      </c>
      <c r="N725" s="32" t="s">
        <v>2139</v>
      </c>
      <c r="O725" s="24" t="str">
        <f>IF(Q725=" _","NO","SI")</f>
        <v>NO</v>
      </c>
      <c r="P725" s="24" t="str">
        <f ca="1">IF(color_Celda(E725)=12106214,"ROSA",IF(color_Celda(E725)=65535,"AMARILLO",IF(color_Celda(E725)=5296274,"VERDE",IF(color_Celda(E725)=16777215,"BLANCO","NO SE"))))</f>
        <v>AMARILLO</v>
      </c>
      <c r="Q725" s="32" t="s">
        <v>108</v>
      </c>
      <c r="R725" s="32" t="str">
        <f>VLOOKUP($Q725,Resultados!$A$1:$B$49,2,FALSE)</f>
        <v xml:space="preserve"> _</v>
      </c>
      <c r="S725" s="32"/>
      <c r="T725" s="37"/>
      <c r="U725" s="37"/>
      <c r="V725" s="39"/>
      <c r="W725" s="39"/>
      <c r="X725" s="39"/>
      <c r="Y725" s="64"/>
      <c r="Z725" s="39"/>
      <c r="AA725" s="39"/>
      <c r="AB725" s="39"/>
      <c r="AC725" s="39"/>
      <c r="AD725" s="39"/>
      <c r="AE725" s="110"/>
      <c r="AF725" s="39"/>
      <c r="AG725" s="39"/>
      <c r="AH725" s="39"/>
      <c r="AI725" s="39"/>
      <c r="AJ725" s="43" t="s">
        <v>988</v>
      </c>
      <c r="AK725" s="39"/>
      <c r="AL725" s="155" t="s">
        <v>1627</v>
      </c>
      <c r="AM725" s="431" t="str">
        <f>VLOOKUP($Q725,Resultados!$A$1:$C$49,3,FALSE)</f>
        <v>TRAMITE</v>
      </c>
    </row>
    <row r="726" spans="1:39" ht="39.950000000000003" customHeight="1">
      <c r="A726" s="364">
        <v>697</v>
      </c>
      <c r="B726" s="38">
        <v>45350</v>
      </c>
      <c r="C726" s="337" t="s">
        <v>12</v>
      </c>
      <c r="D726" s="32" t="s">
        <v>1863</v>
      </c>
      <c r="E726" s="40" t="s">
        <v>1864</v>
      </c>
      <c r="F726" s="39">
        <v>5</v>
      </c>
      <c r="G726" s="32" t="s">
        <v>10</v>
      </c>
      <c r="H726" s="38"/>
      <c r="I726" s="38"/>
      <c r="J726" s="38"/>
      <c r="K726" s="39" t="str">
        <f>IFERROR(VLOOKUP(J726,Jueces!$A$1:$B$11,2,FALSE),"")</f>
        <v/>
      </c>
      <c r="L726" s="32" t="s">
        <v>82</v>
      </c>
      <c r="M726" s="32" t="s">
        <v>1156</v>
      </c>
      <c r="N726" s="32" t="s">
        <v>2011</v>
      </c>
      <c r="O726" s="24" t="str">
        <f>IF(Q726=" _","NO","SI")</f>
        <v>NO</v>
      </c>
      <c r="P726" s="24" t="str">
        <f ca="1">IF(color_Celda(E726)=12106214,"ROSA",IF(color_Celda(E726)=65535,"AMARILLO",IF(color_Celda(E726)=5296274,"VERDE",IF(color_Celda(E726)=16777215,"BLANCO","NO SE"))))</f>
        <v>AMARILLO</v>
      </c>
      <c r="Q726" s="32" t="s">
        <v>108</v>
      </c>
      <c r="R726" s="32" t="str">
        <f>VLOOKUP($Q726,Resultados!$A$1:$B$49,2,FALSE)</f>
        <v xml:space="preserve"> _</v>
      </c>
      <c r="S726" s="32"/>
      <c r="T726" s="37"/>
      <c r="U726" s="37"/>
      <c r="V726" s="39"/>
      <c r="W726" s="39"/>
      <c r="X726" s="39"/>
      <c r="Y726" s="64"/>
      <c r="Z726" s="39"/>
      <c r="AA726" s="39"/>
      <c r="AB726" s="39"/>
      <c r="AC726" s="39"/>
      <c r="AD726" s="39"/>
      <c r="AE726" s="110"/>
      <c r="AF726" s="39"/>
      <c r="AG726" s="39"/>
      <c r="AH726" s="39"/>
      <c r="AI726" s="39"/>
      <c r="AJ726" s="43" t="s">
        <v>988</v>
      </c>
      <c r="AK726" s="39"/>
      <c r="AL726" s="155" t="s">
        <v>1627</v>
      </c>
      <c r="AM726" s="431" t="str">
        <f>VLOOKUP($Q726,Resultados!$A$1:$C$49,3,FALSE)</f>
        <v>TRAMITE</v>
      </c>
    </row>
    <row r="727" spans="1:39" ht="39.950000000000003" customHeight="1">
      <c r="A727" s="364">
        <v>698</v>
      </c>
      <c r="B727" s="35">
        <v>45350</v>
      </c>
      <c r="C727" s="337" t="s">
        <v>12</v>
      </c>
      <c r="D727" s="32" t="s">
        <v>1865</v>
      </c>
      <c r="E727" s="40" t="s">
        <v>1866</v>
      </c>
      <c r="F727" s="39">
        <v>5</v>
      </c>
      <c r="G727" s="32" t="s">
        <v>10</v>
      </c>
      <c r="H727" s="38"/>
      <c r="I727" s="38"/>
      <c r="J727" s="38"/>
      <c r="K727" s="39" t="str">
        <f>IFERROR(VLOOKUP(J727,Jueces!$A$1:$B$11,2,FALSE),"")</f>
        <v/>
      </c>
      <c r="L727" s="32" t="s">
        <v>74</v>
      </c>
      <c r="M727" s="32" t="s">
        <v>1156</v>
      </c>
      <c r="N727" s="32" t="s">
        <v>2011</v>
      </c>
      <c r="O727" s="24" t="str">
        <f>IF(Q727=" _","NO","SI")</f>
        <v>NO</v>
      </c>
      <c r="P727" s="24" t="str">
        <f ca="1">IF(color_Celda(E727)=12106214,"ROSA",IF(color_Celda(E727)=65535,"AMARILLO",IF(color_Celda(E727)=5296274,"VERDE",IF(color_Celda(E727)=16777215,"BLANCO","NO SE"))))</f>
        <v>AMARILLO</v>
      </c>
      <c r="Q727" s="32" t="s">
        <v>108</v>
      </c>
      <c r="R727" s="32" t="str">
        <f>VLOOKUP($Q727,Resultados!$A$1:$B$49,2,FALSE)</f>
        <v xml:space="preserve"> _</v>
      </c>
      <c r="S727" s="32"/>
      <c r="T727" s="37"/>
      <c r="U727" s="37"/>
      <c r="V727" s="39"/>
      <c r="W727" s="39"/>
      <c r="X727" s="39"/>
      <c r="Y727" s="64"/>
      <c r="Z727" s="39"/>
      <c r="AA727" s="39"/>
      <c r="AB727" s="39"/>
      <c r="AC727" s="39"/>
      <c r="AD727" s="39"/>
      <c r="AE727" s="110"/>
      <c r="AF727" s="39"/>
      <c r="AG727" s="39"/>
      <c r="AH727" s="39"/>
      <c r="AI727" s="39"/>
      <c r="AJ727" s="43" t="s">
        <v>988</v>
      </c>
      <c r="AK727" s="39"/>
      <c r="AL727" s="155" t="s">
        <v>1627</v>
      </c>
      <c r="AM727" s="431" t="str">
        <f>VLOOKUP($Q727,Resultados!$A$1:$C$49,3,FALSE)</f>
        <v>TRAMITE</v>
      </c>
    </row>
    <row r="728" spans="1:39" ht="39.950000000000003" customHeight="1">
      <c r="A728" s="364">
        <v>699</v>
      </c>
      <c r="B728" s="38">
        <v>45350</v>
      </c>
      <c r="C728" s="337" t="s">
        <v>1088</v>
      </c>
      <c r="D728" s="32" t="s">
        <v>1875</v>
      </c>
      <c r="E728" s="40" t="s">
        <v>1876</v>
      </c>
      <c r="F728" s="39">
        <v>3</v>
      </c>
      <c r="G728" s="39" t="s">
        <v>1750</v>
      </c>
      <c r="H728" s="38"/>
      <c r="I728" s="38"/>
      <c r="J728" s="38"/>
      <c r="K728" s="39" t="str">
        <f>IFERROR(VLOOKUP(J728,Jueces!$A$1:$B$11,2,FALSE),"")</f>
        <v/>
      </c>
      <c r="L728" s="32" t="s">
        <v>84</v>
      </c>
      <c r="M728" s="32" t="s">
        <v>1355</v>
      </c>
      <c r="N728" s="32" t="s">
        <v>2051</v>
      </c>
      <c r="O728" s="24" t="str">
        <f>IF(Q728=" _","NO","SI")</f>
        <v>NO</v>
      </c>
      <c r="P728" s="24" t="str">
        <f ca="1">IF(color_Celda(E728)=12106214,"ROSA",IF(color_Celda(E728)=65535,"AMARILLO",IF(color_Celda(E728)=5296274,"VERDE",IF(color_Celda(E728)=16777215,"BLANCO","NO SE"))))</f>
        <v>AMARILLO</v>
      </c>
      <c r="Q728" s="32" t="s">
        <v>108</v>
      </c>
      <c r="R728" s="32" t="str">
        <f>VLOOKUP($Q728,Resultados!$A$1:$B$49,2,FALSE)</f>
        <v xml:space="preserve"> _</v>
      </c>
      <c r="S728" s="32"/>
      <c r="T728" s="37"/>
      <c r="U728" s="37"/>
      <c r="V728" s="39"/>
      <c r="W728" s="39"/>
      <c r="X728" s="39"/>
      <c r="Y728" s="64"/>
      <c r="Z728" s="39"/>
      <c r="AA728" s="39"/>
      <c r="AB728" s="39"/>
      <c r="AC728" s="39"/>
      <c r="AD728" s="39"/>
      <c r="AE728" s="110"/>
      <c r="AF728" s="39"/>
      <c r="AG728" s="39"/>
      <c r="AH728" s="39"/>
      <c r="AI728" s="39"/>
      <c r="AJ728" s="43" t="s">
        <v>988</v>
      </c>
      <c r="AK728" s="39"/>
      <c r="AL728" s="155" t="s">
        <v>1627</v>
      </c>
      <c r="AM728" s="431" t="str">
        <f>VLOOKUP($Q728,Resultados!$A$1:$C$49,3,FALSE)</f>
        <v>TRAMITE</v>
      </c>
    </row>
    <row r="729" spans="1:39" ht="39.950000000000003" customHeight="1">
      <c r="A729" s="364">
        <v>700</v>
      </c>
      <c r="B729" s="38">
        <v>45350</v>
      </c>
      <c r="C729" s="337" t="s">
        <v>1301</v>
      </c>
      <c r="D729" s="32" t="s">
        <v>153</v>
      </c>
      <c r="E729" s="40" t="s">
        <v>1878</v>
      </c>
      <c r="F729" s="39">
        <v>2</v>
      </c>
      <c r="G729" s="32" t="s">
        <v>325</v>
      </c>
      <c r="H729" s="38"/>
      <c r="I729" s="38"/>
      <c r="J729" s="38"/>
      <c r="K729" s="39" t="str">
        <f>IFERROR(VLOOKUP(J729,Jueces!$A$1:$B$11,2,FALSE),"")</f>
        <v/>
      </c>
      <c r="L729" s="32" t="s">
        <v>250</v>
      </c>
      <c r="M729" s="32" t="s">
        <v>159</v>
      </c>
      <c r="N729" s="32" t="s">
        <v>1868</v>
      </c>
      <c r="O729" s="24" t="str">
        <f>IF(Q729=" _","NO","SI")</f>
        <v>NO</v>
      </c>
      <c r="P729" s="24" t="str">
        <f ca="1">IF(color_Celda(E729)=12106214,"ROSA",IF(color_Celda(E729)=65535,"AMARILLO",IF(color_Celda(E729)=5296274,"VERDE",IF(color_Celda(E729)=16777215,"BLANCO","NO SE"))))</f>
        <v>AMARILLO</v>
      </c>
      <c r="Q729" s="32" t="s">
        <v>108</v>
      </c>
      <c r="R729" s="32" t="str">
        <f>VLOOKUP($Q729,Resultados!$A$1:$B$49,2,FALSE)</f>
        <v xml:space="preserve"> _</v>
      </c>
      <c r="S729" s="32"/>
      <c r="T729" s="37"/>
      <c r="U729" s="37"/>
      <c r="V729" s="39"/>
      <c r="W729" s="39"/>
      <c r="X729" s="39"/>
      <c r="Y729" s="64"/>
      <c r="Z729" s="39"/>
      <c r="AA729" s="39"/>
      <c r="AB729" s="39"/>
      <c r="AC729" s="39"/>
      <c r="AD729" s="39"/>
      <c r="AE729" s="110"/>
      <c r="AF729" s="39"/>
      <c r="AG729" s="39"/>
      <c r="AH729" s="39"/>
      <c r="AI729" s="39"/>
      <c r="AJ729" s="43" t="s">
        <v>988</v>
      </c>
      <c r="AK729" s="39"/>
      <c r="AL729" s="155" t="s">
        <v>1627</v>
      </c>
      <c r="AM729" s="431" t="str">
        <f>VLOOKUP($Q729,Resultados!$A$1:$C$49,3,FALSE)</f>
        <v>TRAMITE</v>
      </c>
    </row>
    <row r="730" spans="1:39" ht="39.950000000000003" customHeight="1">
      <c r="A730" s="364">
        <v>702</v>
      </c>
      <c r="B730" s="38">
        <v>45350</v>
      </c>
      <c r="C730" s="337" t="s">
        <v>1880</v>
      </c>
      <c r="D730" s="32" t="s">
        <v>1881</v>
      </c>
      <c r="E730" s="40" t="s">
        <v>1882</v>
      </c>
      <c r="F730" s="39">
        <v>2</v>
      </c>
      <c r="G730" s="32" t="s">
        <v>325</v>
      </c>
      <c r="H730" s="38"/>
      <c r="I730" s="38"/>
      <c r="J730" s="38"/>
      <c r="K730" s="39" t="str">
        <f>IFERROR(VLOOKUP(J730,Jueces!$A$1:$B$11,2,FALSE),"")</f>
        <v/>
      </c>
      <c r="L730" s="32" t="s">
        <v>73</v>
      </c>
      <c r="M730" s="32" t="s">
        <v>1896</v>
      </c>
      <c r="N730" s="32" t="s">
        <v>1897</v>
      </c>
      <c r="O730" s="24" t="str">
        <f>IF(Q730=" _","NO","SI")</f>
        <v>NO</v>
      </c>
      <c r="P730" s="24" t="str">
        <f ca="1">IF(color_Celda(E730)=12106214,"ROSA",IF(color_Celda(E730)=65535,"AMARILLO",IF(color_Celda(E730)=5296274,"VERDE",IF(color_Celda(E730)=16777215,"BLANCO","NO SE"))))</f>
        <v>AMARILLO</v>
      </c>
      <c r="Q730" s="32" t="s">
        <v>108</v>
      </c>
      <c r="R730" s="32" t="str">
        <f>VLOOKUP($Q730,Resultados!$A$1:$B$49,2,FALSE)</f>
        <v xml:space="preserve"> _</v>
      </c>
      <c r="S730" s="32"/>
      <c r="T730" s="37"/>
      <c r="U730" s="37"/>
      <c r="V730" s="39"/>
      <c r="W730" s="39"/>
      <c r="X730" s="39"/>
      <c r="Y730" s="64"/>
      <c r="Z730" s="39"/>
      <c r="AA730" s="39"/>
      <c r="AB730" s="39"/>
      <c r="AC730" s="39"/>
      <c r="AD730" s="39"/>
      <c r="AE730" s="110"/>
      <c r="AF730" s="39"/>
      <c r="AG730" s="39"/>
      <c r="AH730" s="39"/>
      <c r="AI730" s="39"/>
      <c r="AJ730" s="43" t="s">
        <v>988</v>
      </c>
      <c r="AK730" s="39"/>
      <c r="AL730" s="155" t="s">
        <v>1627</v>
      </c>
      <c r="AM730" s="431" t="str">
        <f>VLOOKUP($Q730,Resultados!$A$1:$C$49,3,FALSE)</f>
        <v>TRAMITE</v>
      </c>
    </row>
    <row r="731" spans="1:39" ht="39.950000000000003" customHeight="1">
      <c r="A731" s="364">
        <v>703</v>
      </c>
      <c r="B731" s="38">
        <v>45350</v>
      </c>
      <c r="C731" s="337" t="s">
        <v>1096</v>
      </c>
      <c r="D731" s="32" t="s">
        <v>1886</v>
      </c>
      <c r="E731" s="40" t="s">
        <v>1887</v>
      </c>
      <c r="F731" s="39">
        <v>2</v>
      </c>
      <c r="G731" s="32" t="s">
        <v>325</v>
      </c>
      <c r="H731" s="38"/>
      <c r="I731" s="38"/>
      <c r="J731" s="38"/>
      <c r="K731" s="39" t="str">
        <f>IFERROR(VLOOKUP(J731,Jueces!$A$1:$B$11,2,FALSE),"")</f>
        <v/>
      </c>
      <c r="L731" s="32" t="s">
        <v>73</v>
      </c>
      <c r="M731" s="32" t="s">
        <v>2074</v>
      </c>
      <c r="N731" s="32" t="s">
        <v>2075</v>
      </c>
      <c r="O731" s="24" t="str">
        <f>IF(Q731=" _","NO","SI")</f>
        <v>NO</v>
      </c>
      <c r="P731" s="24" t="str">
        <f ca="1">IF(color_Celda(E731)=12106214,"ROSA",IF(color_Celda(E731)=65535,"AMARILLO",IF(color_Celda(E731)=5296274,"VERDE",IF(color_Celda(E731)=16777215,"BLANCO","NO SE"))))</f>
        <v>AMARILLO</v>
      </c>
      <c r="Q731" s="32" t="s">
        <v>108</v>
      </c>
      <c r="R731" s="32" t="str">
        <f>VLOOKUP($Q731,Resultados!$A$1:$B$49,2,FALSE)</f>
        <v xml:space="preserve"> _</v>
      </c>
      <c r="S731" s="32"/>
      <c r="T731" s="37"/>
      <c r="U731" s="37"/>
      <c r="V731" s="39"/>
      <c r="W731" s="39"/>
      <c r="X731" s="39"/>
      <c r="Y731" s="64"/>
      <c r="Z731" s="39"/>
      <c r="AA731" s="39"/>
      <c r="AB731" s="39"/>
      <c r="AC731" s="39"/>
      <c r="AD731" s="39"/>
      <c r="AE731" s="110"/>
      <c r="AF731" s="39"/>
      <c r="AG731" s="39"/>
      <c r="AH731" s="39"/>
      <c r="AI731" s="39"/>
      <c r="AJ731" s="43" t="s">
        <v>988</v>
      </c>
      <c r="AK731" s="39"/>
      <c r="AL731" s="155" t="s">
        <v>1627</v>
      </c>
      <c r="AM731" s="431" t="str">
        <f>VLOOKUP($Q731,Resultados!$A$1:$C$49,3,FALSE)</f>
        <v>TRAMITE</v>
      </c>
    </row>
    <row r="732" spans="1:39" ht="39.950000000000003" customHeight="1">
      <c r="A732" s="364">
        <v>705</v>
      </c>
      <c r="B732" s="38">
        <v>45350</v>
      </c>
      <c r="C732" s="337" t="s">
        <v>1891</v>
      </c>
      <c r="D732" s="32" t="s">
        <v>1892</v>
      </c>
      <c r="E732" s="40" t="s">
        <v>1893</v>
      </c>
      <c r="F732" s="39">
        <v>7</v>
      </c>
      <c r="G732" s="32" t="s">
        <v>10</v>
      </c>
      <c r="H732" s="38"/>
      <c r="I732" s="38"/>
      <c r="J732" s="38"/>
      <c r="K732" s="39" t="str">
        <f>IFERROR(VLOOKUP(J732,Jueces!$A$1:$B$11,2,FALSE),"")</f>
        <v/>
      </c>
      <c r="L732" s="32" t="s">
        <v>88</v>
      </c>
      <c r="M732" s="32" t="s">
        <v>260</v>
      </c>
      <c r="N732" s="32" t="s">
        <v>2022</v>
      </c>
      <c r="O732" s="24" t="str">
        <f>IF(Q732=" _","NO","SI")</f>
        <v>NO</v>
      </c>
      <c r="P732" s="24" t="str">
        <f ca="1">IF(color_Celda(E732)=12106214,"ROSA",IF(color_Celda(E732)=65535,"AMARILLO",IF(color_Celda(E732)=5296274,"VERDE",IF(color_Celda(E732)=16777215,"BLANCO","NO SE"))))</f>
        <v>AMARILLO</v>
      </c>
      <c r="Q732" s="32" t="s">
        <v>108</v>
      </c>
      <c r="R732" s="32" t="str">
        <f>VLOOKUP($Q732,Resultados!$A$1:$B$49,2,FALSE)</f>
        <v xml:space="preserve"> _</v>
      </c>
      <c r="S732" s="32"/>
      <c r="T732" s="37"/>
      <c r="U732" s="37"/>
      <c r="V732" s="39"/>
      <c r="W732" s="39"/>
      <c r="X732" s="39"/>
      <c r="Y732" s="64"/>
      <c r="Z732" s="39"/>
      <c r="AA732" s="39"/>
      <c r="AB732" s="39"/>
      <c r="AC732" s="39"/>
      <c r="AD732" s="39"/>
      <c r="AE732" s="110"/>
      <c r="AF732" s="39"/>
      <c r="AG732" s="39"/>
      <c r="AH732" s="39"/>
      <c r="AI732" s="39"/>
      <c r="AJ732" s="43" t="s">
        <v>988</v>
      </c>
      <c r="AK732" s="39"/>
      <c r="AL732" s="155" t="s">
        <v>1627</v>
      </c>
      <c r="AM732" s="431" t="str">
        <f>VLOOKUP($Q732,Resultados!$A$1:$C$49,3,FALSE)</f>
        <v>TRAMITE</v>
      </c>
    </row>
    <row r="733" spans="1:39" ht="39.950000000000003" customHeight="1">
      <c r="A733" s="364">
        <v>706</v>
      </c>
      <c r="B733" s="38">
        <v>45350</v>
      </c>
      <c r="C733" s="337" t="s">
        <v>461</v>
      </c>
      <c r="D733" s="32" t="s">
        <v>1894</v>
      </c>
      <c r="E733" s="40" t="s">
        <v>1895</v>
      </c>
      <c r="F733" s="39">
        <v>3</v>
      </c>
      <c r="G733" s="32" t="s">
        <v>1750</v>
      </c>
      <c r="H733" s="38"/>
      <c r="I733" s="38"/>
      <c r="J733" s="38"/>
      <c r="K733" s="39" t="str">
        <f>IFERROR(VLOOKUP(J733,Jueces!$A$1:$B$11,2,FALSE),"")</f>
        <v/>
      </c>
      <c r="L733" s="32" t="s">
        <v>72</v>
      </c>
      <c r="M733" s="32" t="s">
        <v>61</v>
      </c>
      <c r="N733" s="32" t="s">
        <v>2045</v>
      </c>
      <c r="O733" s="24" t="str">
        <f>IF(Q733=" _","NO","SI")</f>
        <v>NO</v>
      </c>
      <c r="P733" s="24" t="str">
        <f ca="1">IF(color_Celda(E733)=12106214,"ROSA",IF(color_Celda(E733)=65535,"AMARILLO",IF(color_Celda(E733)=5296274,"VERDE",IF(color_Celda(E733)=16777215,"BLANCO","NO SE"))))</f>
        <v>AMARILLO</v>
      </c>
      <c r="Q733" s="32" t="s">
        <v>108</v>
      </c>
      <c r="R733" s="32" t="str">
        <f>VLOOKUP($Q733,Resultados!$A$1:$B$49,2,FALSE)</f>
        <v xml:space="preserve"> _</v>
      </c>
      <c r="S733" s="32"/>
      <c r="T733" s="37"/>
      <c r="U733" s="37"/>
      <c r="V733" s="39"/>
      <c r="W733" s="39"/>
      <c r="X733" s="39"/>
      <c r="Y733" s="64"/>
      <c r="Z733" s="39"/>
      <c r="AA733" s="39"/>
      <c r="AB733" s="39"/>
      <c r="AC733" s="39"/>
      <c r="AD733" s="39"/>
      <c r="AE733" s="110"/>
      <c r="AF733" s="39"/>
      <c r="AG733" s="39"/>
      <c r="AH733" s="39"/>
      <c r="AI733" s="39"/>
      <c r="AJ733" s="43" t="s">
        <v>988</v>
      </c>
      <c r="AK733" s="39"/>
      <c r="AL733" s="155" t="s">
        <v>1627</v>
      </c>
      <c r="AM733" s="431" t="str">
        <f>VLOOKUP($Q733,Resultados!$A$1:$C$49,3,FALSE)</f>
        <v>TRAMITE</v>
      </c>
    </row>
    <row r="734" spans="1:39" ht="39.950000000000003" customHeight="1">
      <c r="A734" s="364">
        <v>707</v>
      </c>
      <c r="B734" s="38">
        <v>45350</v>
      </c>
      <c r="C734" s="337" t="s">
        <v>1099</v>
      </c>
      <c r="D734" s="32" t="s">
        <v>1922</v>
      </c>
      <c r="E734" s="40" t="s">
        <v>1923</v>
      </c>
      <c r="F734" s="39">
        <v>6</v>
      </c>
      <c r="G734" s="32" t="s">
        <v>326</v>
      </c>
      <c r="H734" s="38"/>
      <c r="I734" s="38"/>
      <c r="J734" s="38"/>
      <c r="K734" s="39" t="str">
        <f>IFERROR(VLOOKUP(J734,Jueces!$A$1:$B$11,2,FALSE),"")</f>
        <v/>
      </c>
      <c r="L734" s="32" t="s">
        <v>72</v>
      </c>
      <c r="M734" s="32" t="s">
        <v>270</v>
      </c>
      <c r="N734" s="32" t="s">
        <v>1868</v>
      </c>
      <c r="O734" s="24" t="str">
        <f>IF(Q734=" _","NO","SI")</f>
        <v>NO</v>
      </c>
      <c r="P734" s="24" t="str">
        <f ca="1">IF(color_Celda(E734)=12106214,"ROSA",IF(color_Celda(E734)=65535,"AMARILLO",IF(color_Celda(E734)=5296274,"VERDE",IF(color_Celda(E734)=16777215,"BLANCO","NO SE"))))</f>
        <v>AMARILLO</v>
      </c>
      <c r="Q734" s="32" t="s">
        <v>108</v>
      </c>
      <c r="R734" s="32" t="str">
        <f>VLOOKUP($Q734,Resultados!$A$1:$B$49,2,FALSE)</f>
        <v xml:space="preserve"> _</v>
      </c>
      <c r="S734" s="32"/>
      <c r="T734" s="37"/>
      <c r="U734" s="37"/>
      <c r="V734" s="39"/>
      <c r="W734" s="39"/>
      <c r="X734" s="39"/>
      <c r="Y734" s="64"/>
      <c r="Z734" s="39"/>
      <c r="AA734" s="39"/>
      <c r="AB734" s="39"/>
      <c r="AC734" s="39"/>
      <c r="AD734" s="39"/>
      <c r="AE734" s="110"/>
      <c r="AF734" s="39"/>
      <c r="AG734" s="39"/>
      <c r="AH734" s="39"/>
      <c r="AI734" s="39"/>
      <c r="AJ734" s="43" t="s">
        <v>988</v>
      </c>
      <c r="AK734" s="39"/>
      <c r="AL734" s="155" t="s">
        <v>1627</v>
      </c>
      <c r="AM734" s="431" t="str">
        <f>VLOOKUP($Q734,Resultados!$A$1:$C$49,3,FALSE)</f>
        <v>TRAMITE</v>
      </c>
    </row>
    <row r="735" spans="1:39" ht="39.950000000000003" customHeight="1">
      <c r="A735" s="364">
        <v>709</v>
      </c>
      <c r="B735" s="38">
        <v>45350</v>
      </c>
      <c r="C735" s="331">
        <v>0.50694444444444442</v>
      </c>
      <c r="D735" s="32" t="s">
        <v>2094</v>
      </c>
      <c r="E735" s="40" t="s">
        <v>2095</v>
      </c>
      <c r="F735" s="39">
        <v>4</v>
      </c>
      <c r="G735" s="32" t="s">
        <v>325</v>
      </c>
      <c r="H735" s="38"/>
      <c r="I735" s="38"/>
      <c r="J735" s="38"/>
      <c r="K735" s="39" t="str">
        <f>IFERROR(VLOOKUP(J735,Jueces!$A$1:$B$11,2,FALSE),"")</f>
        <v/>
      </c>
      <c r="L735" s="32" t="s">
        <v>2170</v>
      </c>
      <c r="M735" s="32" t="s">
        <v>1156</v>
      </c>
      <c r="N735" s="32" t="s">
        <v>2096</v>
      </c>
      <c r="O735" s="24" t="str">
        <f>IF(Q735=" _","NO","SI")</f>
        <v>NO</v>
      </c>
      <c r="P735" s="24" t="str">
        <f ca="1">IF(color_Celda(E735)=12106214,"ROSA",IF(color_Celda(E735)=65535,"AMARILLO",IF(color_Celda(E735)=5296274,"VERDE",IF(color_Celda(E735)=16777215,"BLANCO","NO SE"))))</f>
        <v>AMARILLO</v>
      </c>
      <c r="Q735" s="32" t="s">
        <v>108</v>
      </c>
      <c r="R735" s="32" t="str">
        <f>VLOOKUP($Q735,Resultados!$A$1:$B$49,2,FALSE)</f>
        <v xml:space="preserve"> _</v>
      </c>
      <c r="S735" s="32"/>
      <c r="T735" s="37"/>
      <c r="U735" s="37"/>
      <c r="V735" s="39"/>
      <c r="W735" s="39"/>
      <c r="X735" s="39"/>
      <c r="Y735" s="64"/>
      <c r="Z735" s="39"/>
      <c r="AA735" s="39"/>
      <c r="AB735" s="39"/>
      <c r="AC735" s="39"/>
      <c r="AD735" s="39"/>
      <c r="AE735" s="110"/>
      <c r="AF735" s="39"/>
      <c r="AG735" s="39"/>
      <c r="AH735" s="39"/>
      <c r="AI735" s="39"/>
      <c r="AJ735" s="43" t="s">
        <v>988</v>
      </c>
      <c r="AK735" s="39"/>
      <c r="AL735" s="155" t="s">
        <v>1627</v>
      </c>
      <c r="AM735" s="431" t="str">
        <f>VLOOKUP($Q735,Resultados!$A$1:$C$49,3,FALSE)</f>
        <v>TRAMITE</v>
      </c>
    </row>
    <row r="736" spans="1:39" ht="39.950000000000003" customHeight="1">
      <c r="A736" s="364">
        <v>710</v>
      </c>
      <c r="B736" s="38">
        <v>45350</v>
      </c>
      <c r="C736" s="331">
        <v>0.41666666666666669</v>
      </c>
      <c r="D736" s="32" t="s">
        <v>2097</v>
      </c>
      <c r="E736" s="40" t="s">
        <v>2098</v>
      </c>
      <c r="F736" s="39">
        <v>4</v>
      </c>
      <c r="G736" s="32" t="s">
        <v>325</v>
      </c>
      <c r="H736" s="38"/>
      <c r="I736" s="38"/>
      <c r="J736" s="38"/>
      <c r="K736" s="39" t="str">
        <f>IFERROR(VLOOKUP(J736,Jueces!$A$1:$B$11,2,FALSE),"")</f>
        <v/>
      </c>
      <c r="L736" s="32" t="s">
        <v>252</v>
      </c>
      <c r="M736" s="32" t="s">
        <v>226</v>
      </c>
      <c r="N736" s="32" t="s">
        <v>2099</v>
      </c>
      <c r="O736" s="24" t="str">
        <f>IF(Q736=" _","NO","SI")</f>
        <v>NO</v>
      </c>
      <c r="P736" s="24" t="str">
        <f ca="1">IF(color_Celda(E736)=12106214,"ROSA",IF(color_Celda(E736)=65535,"AMARILLO",IF(color_Celda(E736)=5296274,"VERDE",IF(color_Celda(E736)=16777215,"BLANCO","NO SE"))))</f>
        <v>AMARILLO</v>
      </c>
      <c r="Q736" s="32" t="s">
        <v>108</v>
      </c>
      <c r="R736" s="32" t="str">
        <f>VLOOKUP($Q736,Resultados!$A$1:$B$49,2,FALSE)</f>
        <v xml:space="preserve"> _</v>
      </c>
      <c r="S736" s="32"/>
      <c r="T736" s="37"/>
      <c r="U736" s="37"/>
      <c r="V736" s="39"/>
      <c r="W736" s="39"/>
      <c r="X736" s="39"/>
      <c r="Y736" s="64"/>
      <c r="Z736" s="39"/>
      <c r="AA736" s="39"/>
      <c r="AB736" s="39"/>
      <c r="AC736" s="39"/>
      <c r="AD736" s="39"/>
      <c r="AE736" s="110"/>
      <c r="AF736" s="39"/>
      <c r="AG736" s="39"/>
      <c r="AH736" s="39"/>
      <c r="AI736" s="39"/>
      <c r="AJ736" s="43" t="s">
        <v>988</v>
      </c>
      <c r="AK736" s="39"/>
      <c r="AL736" s="155" t="s">
        <v>1627</v>
      </c>
      <c r="AM736" s="431" t="str">
        <f>VLOOKUP($Q736,Resultados!$A$1:$C$49,3,FALSE)</f>
        <v>TRAMITE</v>
      </c>
    </row>
    <row r="737" spans="1:39" ht="39.950000000000003" customHeight="1">
      <c r="A737" s="364">
        <v>711</v>
      </c>
      <c r="B737" s="38">
        <v>45350</v>
      </c>
      <c r="C737" s="331">
        <v>0.45833333333333331</v>
      </c>
      <c r="D737" s="32" t="s">
        <v>2100</v>
      </c>
      <c r="E737" s="40" t="s">
        <v>2101</v>
      </c>
      <c r="F737" s="39">
        <v>4</v>
      </c>
      <c r="G737" s="32" t="s">
        <v>325</v>
      </c>
      <c r="H737" s="38"/>
      <c r="I737" s="38"/>
      <c r="J737" s="38"/>
      <c r="K737" s="39" t="str">
        <f>IFERROR(VLOOKUP(J737,Jueces!$A$1:$B$11,2,FALSE),"")</f>
        <v/>
      </c>
      <c r="L737" s="32" t="s">
        <v>72</v>
      </c>
      <c r="M737" s="32" t="s">
        <v>131</v>
      </c>
      <c r="N737" s="32" t="s">
        <v>2102</v>
      </c>
      <c r="O737" s="24" t="str">
        <f>IF(Q737=" _","NO","SI")</f>
        <v>NO</v>
      </c>
      <c r="P737" s="24" t="str">
        <f ca="1">IF(color_Celda(E737)=12106214,"ROSA",IF(color_Celda(E737)=65535,"AMARILLO",IF(color_Celda(E737)=5296274,"VERDE",IF(color_Celda(E737)=16777215,"BLANCO","NO SE"))))</f>
        <v>AMARILLO</v>
      </c>
      <c r="Q737" s="32" t="s">
        <v>108</v>
      </c>
      <c r="R737" s="32" t="str">
        <f>VLOOKUP($Q737,Resultados!$A$1:$B$49,2,FALSE)</f>
        <v xml:space="preserve"> _</v>
      </c>
      <c r="S737" s="32"/>
      <c r="T737" s="37"/>
      <c r="U737" s="37"/>
      <c r="V737" s="39"/>
      <c r="W737" s="39"/>
      <c r="X737" s="39"/>
      <c r="Y737" s="64"/>
      <c r="Z737" s="39"/>
      <c r="AA737" s="39"/>
      <c r="AB737" s="39"/>
      <c r="AC737" s="39"/>
      <c r="AD737" s="39"/>
      <c r="AE737" s="110"/>
      <c r="AF737" s="39"/>
      <c r="AG737" s="39"/>
      <c r="AH737" s="39"/>
      <c r="AI737" s="39"/>
      <c r="AJ737" s="43" t="s">
        <v>988</v>
      </c>
      <c r="AK737" s="39"/>
      <c r="AL737" s="155" t="s">
        <v>1627</v>
      </c>
      <c r="AM737" s="431" t="str">
        <f>VLOOKUP($Q737,Resultados!$A$1:$C$49,3,FALSE)</f>
        <v>TRAMITE</v>
      </c>
    </row>
    <row r="738" spans="1:39" ht="39.950000000000003" customHeight="1">
      <c r="A738" s="364">
        <v>712</v>
      </c>
      <c r="B738" s="38">
        <v>45350</v>
      </c>
      <c r="C738" s="331">
        <v>0.45833333333333331</v>
      </c>
      <c r="D738" s="32" t="s">
        <v>2103</v>
      </c>
      <c r="E738" s="40" t="s">
        <v>2104</v>
      </c>
      <c r="F738" s="39">
        <v>4</v>
      </c>
      <c r="G738" s="32" t="s">
        <v>325</v>
      </c>
      <c r="H738" s="38"/>
      <c r="I738" s="38"/>
      <c r="J738" s="38"/>
      <c r="K738" s="39" t="str">
        <f>IFERROR(VLOOKUP(J738,Jueces!$A$1:$B$11,2,FALSE),"")</f>
        <v/>
      </c>
      <c r="L738" s="32" t="s">
        <v>83</v>
      </c>
      <c r="M738" s="32" t="s">
        <v>47</v>
      </c>
      <c r="N738" s="32" t="s">
        <v>2091</v>
      </c>
      <c r="O738" s="24" t="str">
        <f>IF(Q738=" _","NO","SI")</f>
        <v>NO</v>
      </c>
      <c r="P738" s="24" t="str">
        <f ca="1">IF(color_Celda(E738)=12106214,"ROSA",IF(color_Celda(E738)=65535,"AMARILLO",IF(color_Celda(E738)=5296274,"VERDE",IF(color_Celda(E738)=16777215,"BLANCO","NO SE"))))</f>
        <v>AMARILLO</v>
      </c>
      <c r="Q738" s="32" t="s">
        <v>108</v>
      </c>
      <c r="R738" s="32" t="str">
        <f>VLOOKUP($Q738,Resultados!$A$1:$B$49,2,FALSE)</f>
        <v xml:space="preserve"> _</v>
      </c>
      <c r="S738" s="32"/>
      <c r="T738" s="37"/>
      <c r="U738" s="37"/>
      <c r="V738" s="39"/>
      <c r="W738" s="39"/>
      <c r="X738" s="39"/>
      <c r="Y738" s="64"/>
      <c r="Z738" s="39"/>
      <c r="AA738" s="39"/>
      <c r="AB738" s="39"/>
      <c r="AC738" s="39"/>
      <c r="AD738" s="39"/>
      <c r="AE738" s="110"/>
      <c r="AF738" s="39"/>
      <c r="AG738" s="39"/>
      <c r="AH738" s="39"/>
      <c r="AI738" s="39"/>
      <c r="AJ738" s="43" t="s">
        <v>988</v>
      </c>
      <c r="AK738" s="39"/>
      <c r="AL738" s="155" t="s">
        <v>1627</v>
      </c>
      <c r="AM738" s="431" t="str">
        <f>VLOOKUP($Q738,Resultados!$A$1:$C$49,3,FALSE)</f>
        <v>TRAMITE</v>
      </c>
    </row>
    <row r="739" spans="1:39" ht="39.950000000000003" customHeight="1">
      <c r="A739" s="364">
        <v>713</v>
      </c>
      <c r="B739" s="38">
        <v>45350</v>
      </c>
      <c r="C739" s="337" t="s">
        <v>771</v>
      </c>
      <c r="D739" s="32" t="s">
        <v>1884</v>
      </c>
      <c r="E739" s="40" t="s">
        <v>1885</v>
      </c>
      <c r="F739" s="39">
        <v>7</v>
      </c>
      <c r="G739" s="39" t="s">
        <v>10</v>
      </c>
      <c r="H739" s="38"/>
      <c r="I739" s="38"/>
      <c r="J739" s="38"/>
      <c r="K739" s="39" t="str">
        <f>IFERROR(VLOOKUP(J739,Jueces!$A$1:$B$11,2,FALSE),"")</f>
        <v/>
      </c>
      <c r="L739" s="32" t="s">
        <v>72</v>
      </c>
      <c r="M739" s="32" t="s">
        <v>90</v>
      </c>
      <c r="N739" s="32" t="s">
        <v>1890</v>
      </c>
      <c r="O739" s="24" t="str">
        <f>IF(Q739=" _","NO","SI")</f>
        <v>NO</v>
      </c>
      <c r="P739" s="24" t="str">
        <f ca="1">IF(color_Celda(E739)=12106214,"ROSA",IF(color_Celda(E739)=65535,"AMARILLO",IF(color_Celda(E739)=5296274,"VERDE",IF(color_Celda(E739)=16777215,"BLANCO","NO SE"))))</f>
        <v>AMARILLO</v>
      </c>
      <c r="Q739" s="32" t="s">
        <v>108</v>
      </c>
      <c r="R739" s="32" t="str">
        <f>VLOOKUP($Q739,Resultados!$A$1:$B$49,2,FALSE)</f>
        <v xml:space="preserve"> _</v>
      </c>
      <c r="S739" s="32"/>
      <c r="T739" s="37"/>
      <c r="U739" s="37"/>
      <c r="V739" s="39"/>
      <c r="W739" s="39"/>
      <c r="X739" s="39"/>
      <c r="Y739" s="64"/>
      <c r="Z739" s="39"/>
      <c r="AA739" s="39"/>
      <c r="AB739" s="39"/>
      <c r="AC739" s="39"/>
      <c r="AD739" s="39"/>
      <c r="AE739" s="110"/>
      <c r="AF739" s="39"/>
      <c r="AG739" s="39"/>
      <c r="AH739" s="39"/>
      <c r="AI739" s="39"/>
      <c r="AJ739" s="43" t="s">
        <v>988</v>
      </c>
      <c r="AK739" s="39"/>
      <c r="AL739" s="155" t="s">
        <v>1627</v>
      </c>
      <c r="AM739" s="431" t="str">
        <f>VLOOKUP($Q739,Resultados!$A$1:$C$49,3,FALSE)</f>
        <v>TRAMITE</v>
      </c>
    </row>
    <row r="740" spans="1:39" ht="39.950000000000003" customHeight="1">
      <c r="A740" s="364">
        <v>714</v>
      </c>
      <c r="B740" s="38">
        <v>45351</v>
      </c>
      <c r="C740" s="337" t="s">
        <v>12</v>
      </c>
      <c r="D740" s="32" t="s">
        <v>1968</v>
      </c>
      <c r="E740" s="40" t="s">
        <v>1974</v>
      </c>
      <c r="F740" s="39">
        <v>7</v>
      </c>
      <c r="G740" s="32" t="s">
        <v>10</v>
      </c>
      <c r="H740" s="38"/>
      <c r="I740" s="38"/>
      <c r="J740" s="38"/>
      <c r="K740" s="39" t="str">
        <f>IFERROR(VLOOKUP(J740,Jueces!$A$1:$B$11,2,FALSE),"")</f>
        <v/>
      </c>
      <c r="L740" s="32" t="s">
        <v>72</v>
      </c>
      <c r="M740" s="32" t="s">
        <v>61</v>
      </c>
      <c r="N740" s="32" t="s">
        <v>2023</v>
      </c>
      <c r="O740" s="24" t="str">
        <f>IF(Q740=" _","NO","SI")</f>
        <v>NO</v>
      </c>
      <c r="P740" s="24" t="str">
        <f ca="1">IF(color_Celda(E740)=12106214,"ROSA",IF(color_Celda(E740)=65535,"AMARILLO",IF(color_Celda(E740)=5296274,"VERDE",IF(color_Celda(E740)=16777215,"BLANCO","NO SE"))))</f>
        <v>AMARILLO</v>
      </c>
      <c r="Q740" s="32" t="s">
        <v>108</v>
      </c>
      <c r="R740" s="32" t="str">
        <f>VLOOKUP($Q740,Resultados!$A$1:$B$49,2,FALSE)</f>
        <v xml:space="preserve"> _</v>
      </c>
      <c r="S740" s="32"/>
      <c r="T740" s="37"/>
      <c r="U740" s="37"/>
      <c r="V740" s="39"/>
      <c r="W740" s="39"/>
      <c r="X740" s="39"/>
      <c r="Y740" s="64"/>
      <c r="Z740" s="39"/>
      <c r="AA740" s="39"/>
      <c r="AB740" s="39"/>
      <c r="AC740" s="39"/>
      <c r="AD740" s="39"/>
      <c r="AE740" s="110"/>
      <c r="AF740" s="39"/>
      <c r="AG740" s="39"/>
      <c r="AH740" s="39"/>
      <c r="AI740" s="39"/>
      <c r="AJ740" s="43" t="s">
        <v>988</v>
      </c>
      <c r="AK740" s="39"/>
      <c r="AL740" s="155" t="s">
        <v>1627</v>
      </c>
      <c r="AM740" s="431" t="str">
        <f>VLOOKUP($Q740,Resultados!$A$1:$C$49,3,FALSE)</f>
        <v>TRAMITE</v>
      </c>
    </row>
    <row r="741" spans="1:39" ht="39.950000000000003" customHeight="1">
      <c r="A741" s="364">
        <v>715</v>
      </c>
      <c r="B741" s="38">
        <v>45351</v>
      </c>
      <c r="C741" s="337" t="s">
        <v>12</v>
      </c>
      <c r="D741" s="32" t="s">
        <v>1969</v>
      </c>
      <c r="E741" s="40" t="s">
        <v>1970</v>
      </c>
      <c r="F741" s="39">
        <v>7</v>
      </c>
      <c r="G741" s="32" t="s">
        <v>10</v>
      </c>
      <c r="H741" s="38"/>
      <c r="I741" s="38"/>
      <c r="J741" s="38"/>
      <c r="K741" s="39" t="str">
        <f>IFERROR(VLOOKUP(J741,Jueces!$A$1:$B$11,2,FALSE),"")</f>
        <v/>
      </c>
      <c r="L741" s="32" t="s">
        <v>72</v>
      </c>
      <c r="M741" s="32" t="s">
        <v>49</v>
      </c>
      <c r="N741" s="32" t="s">
        <v>2022</v>
      </c>
      <c r="O741" s="24" t="str">
        <f>IF(Q741=" _","NO","SI")</f>
        <v>NO</v>
      </c>
      <c r="P741" s="24" t="str">
        <f ca="1">IF(color_Celda(E741)=12106214,"ROSA",IF(color_Celda(E741)=65535,"AMARILLO",IF(color_Celda(E741)=5296274,"VERDE",IF(color_Celda(E741)=16777215,"BLANCO","NO SE"))))</f>
        <v>AMARILLO</v>
      </c>
      <c r="Q741" s="32" t="s">
        <v>108</v>
      </c>
      <c r="R741" s="32" t="str">
        <f>VLOOKUP($Q741,Resultados!$A$1:$B$49,2,FALSE)</f>
        <v xml:space="preserve"> _</v>
      </c>
      <c r="S741" s="32"/>
      <c r="T741" s="37"/>
      <c r="U741" s="37"/>
      <c r="V741" s="39"/>
      <c r="W741" s="39"/>
      <c r="X741" s="39"/>
      <c r="Y741" s="64"/>
      <c r="Z741" s="39"/>
      <c r="AA741" s="39"/>
      <c r="AB741" s="39"/>
      <c r="AC741" s="39"/>
      <c r="AD741" s="39"/>
      <c r="AE741" s="110"/>
      <c r="AF741" s="39"/>
      <c r="AG741" s="39"/>
      <c r="AH741" s="39"/>
      <c r="AI741" s="39"/>
      <c r="AJ741" s="43" t="s">
        <v>988</v>
      </c>
      <c r="AK741" s="39"/>
      <c r="AL741" s="155" t="s">
        <v>1627</v>
      </c>
      <c r="AM741" s="431" t="str">
        <f>VLOOKUP($Q741,Resultados!$A$1:$C$49,3,FALSE)</f>
        <v>TRAMITE</v>
      </c>
    </row>
    <row r="742" spans="1:39" ht="39.950000000000003" customHeight="1">
      <c r="A742" s="364">
        <v>716</v>
      </c>
      <c r="B742" s="38">
        <v>45351</v>
      </c>
      <c r="C742" s="337" t="s">
        <v>1128</v>
      </c>
      <c r="D742" s="32" t="s">
        <v>1972</v>
      </c>
      <c r="E742" s="40" t="s">
        <v>1973</v>
      </c>
      <c r="F742" s="39">
        <v>3</v>
      </c>
      <c r="G742" s="32" t="s">
        <v>1750</v>
      </c>
      <c r="H742" s="38"/>
      <c r="I742" s="38"/>
      <c r="J742" s="38"/>
      <c r="K742" s="39" t="str">
        <f>IFERROR(VLOOKUP(J742,Jueces!$A$1:$B$11,2,FALSE),"")</f>
        <v/>
      </c>
      <c r="L742" s="32" t="s">
        <v>78</v>
      </c>
      <c r="M742" s="32" t="s">
        <v>974</v>
      </c>
      <c r="N742" s="32" t="s">
        <v>2107</v>
      </c>
      <c r="O742" s="24" t="str">
        <f>IF(Q742=" _","NO","SI")</f>
        <v>NO</v>
      </c>
      <c r="P742" s="24" t="str">
        <f ca="1">IF(color_Celda(E742)=12106214,"ROSA",IF(color_Celda(E742)=65535,"AMARILLO",IF(color_Celda(E742)=5296274,"VERDE",IF(color_Celda(E742)=16777215,"BLANCO","NO SE"))))</f>
        <v>AMARILLO</v>
      </c>
      <c r="Q742" s="32" t="s">
        <v>108</v>
      </c>
      <c r="R742" s="32" t="str">
        <f>VLOOKUP($Q742,Resultados!$A$1:$B$49,2,FALSE)</f>
        <v xml:space="preserve"> _</v>
      </c>
      <c r="S742" s="32"/>
      <c r="T742" s="37"/>
      <c r="U742" s="37"/>
      <c r="V742" s="39"/>
      <c r="W742" s="39"/>
      <c r="X742" s="39"/>
      <c r="Y742" s="64"/>
      <c r="Z742" s="39"/>
      <c r="AA742" s="39"/>
      <c r="AB742" s="39"/>
      <c r="AC742" s="39"/>
      <c r="AD742" s="39"/>
      <c r="AE742" s="110"/>
      <c r="AF742" s="39"/>
      <c r="AG742" s="39"/>
      <c r="AH742" s="39"/>
      <c r="AI742" s="39"/>
      <c r="AJ742" s="43" t="s">
        <v>988</v>
      </c>
      <c r="AK742" s="39"/>
      <c r="AL742" s="155" t="s">
        <v>1627</v>
      </c>
      <c r="AM742" s="431" t="str">
        <f>VLOOKUP($Q742,Resultados!$A$1:$C$49,3,FALSE)</f>
        <v>TRAMITE</v>
      </c>
    </row>
    <row r="743" spans="1:39" ht="39.950000000000003" customHeight="1">
      <c r="A743" s="364">
        <v>717</v>
      </c>
      <c r="B743" s="38">
        <v>45351</v>
      </c>
      <c r="C743" s="337" t="s">
        <v>14</v>
      </c>
      <c r="D743" s="32" t="s">
        <v>1976</v>
      </c>
      <c r="E743" s="40" t="s">
        <v>1977</v>
      </c>
      <c r="F743" s="39">
        <v>4</v>
      </c>
      <c r="G743" s="32" t="s">
        <v>325</v>
      </c>
      <c r="H743" s="38"/>
      <c r="I743" s="38"/>
      <c r="J743" s="38"/>
      <c r="K743" s="39" t="str">
        <f>IFERROR(VLOOKUP(J743,Jueces!$A$1:$B$11,2,FALSE),"")</f>
        <v/>
      </c>
      <c r="L743" s="32" t="s">
        <v>73</v>
      </c>
      <c r="M743" s="32" t="s">
        <v>46</v>
      </c>
      <c r="N743" s="39"/>
      <c r="O743" s="24" t="str">
        <f>IF(Q743=" _","NO","SI")</f>
        <v>NO</v>
      </c>
      <c r="P743" s="24" t="str">
        <f ca="1">IF(color_Celda(E743)=12106214,"ROSA",IF(color_Celda(E743)=65535,"AMARILLO",IF(color_Celda(E743)=5296274,"VERDE",IF(color_Celda(E743)=16777215,"BLANCO","NO SE"))))</f>
        <v>AMARILLO</v>
      </c>
      <c r="Q743" s="32" t="s">
        <v>108</v>
      </c>
      <c r="R743" s="32" t="str">
        <f>VLOOKUP($Q743,Resultados!$A$1:$B$49,2,FALSE)</f>
        <v xml:space="preserve"> _</v>
      </c>
      <c r="S743" s="32"/>
      <c r="T743" s="37"/>
      <c r="U743" s="37"/>
      <c r="V743" s="39"/>
      <c r="W743" s="39"/>
      <c r="X743" s="39"/>
      <c r="Y743" s="64"/>
      <c r="Z743" s="39"/>
      <c r="AA743" s="39"/>
      <c r="AB743" s="39"/>
      <c r="AC743" s="39"/>
      <c r="AD743" s="39"/>
      <c r="AE743" s="110"/>
      <c r="AF743" s="39"/>
      <c r="AG743" s="39"/>
      <c r="AH743" s="39"/>
      <c r="AI743" s="39"/>
      <c r="AJ743" s="43" t="s">
        <v>988</v>
      </c>
      <c r="AK743" s="39"/>
      <c r="AL743" s="155" t="s">
        <v>1627</v>
      </c>
      <c r="AM743" s="431" t="str">
        <f>VLOOKUP($Q743,Resultados!$A$1:$C$49,3,FALSE)</f>
        <v>TRAMITE</v>
      </c>
    </row>
    <row r="744" spans="1:39" ht="39.950000000000003" customHeight="1">
      <c r="A744" s="364">
        <v>718</v>
      </c>
      <c r="B744" s="193">
        <v>45351</v>
      </c>
      <c r="C744" s="339" t="s">
        <v>887</v>
      </c>
      <c r="D744" s="170" t="s">
        <v>1979</v>
      </c>
      <c r="E744" s="194" t="s">
        <v>1980</v>
      </c>
      <c r="F744" s="150">
        <v>8</v>
      </c>
      <c r="G744" s="170" t="s">
        <v>325</v>
      </c>
      <c r="H744" s="193"/>
      <c r="I744" s="193"/>
      <c r="J744" s="193"/>
      <c r="K744" s="150" t="str">
        <f>IFERROR(VLOOKUP(J744,Jueces!$A$1:$B$11,2,FALSE),"")</f>
        <v/>
      </c>
      <c r="L744" s="170" t="s">
        <v>72</v>
      </c>
      <c r="M744" s="170" t="s">
        <v>131</v>
      </c>
      <c r="N744" s="170" t="s">
        <v>2078</v>
      </c>
      <c r="O744" s="24" t="str">
        <f>IF(Q744=" _","NO","SI")</f>
        <v>NO</v>
      </c>
      <c r="P744" s="24" t="str">
        <f ca="1">IF(color_Celda(E744)=12106214,"ROSA",IF(color_Celda(E744)=65535,"AMARILLO",IF(color_Celda(E744)=5296274,"VERDE",IF(color_Celda(E744)=16777215,"BLANCO","NO SE"))))</f>
        <v>AMARILLO</v>
      </c>
      <c r="Q744" s="170" t="s">
        <v>108</v>
      </c>
      <c r="R744" s="170" t="str">
        <f>VLOOKUP($Q744,Resultados!$A$1:$B$49,2,FALSE)</f>
        <v xml:space="preserve"> _</v>
      </c>
      <c r="S744" s="170"/>
      <c r="T744" s="195"/>
      <c r="U744" s="195"/>
      <c r="V744" s="150"/>
      <c r="W744" s="150"/>
      <c r="X744" s="150"/>
      <c r="Y744" s="64"/>
      <c r="Z744" s="150"/>
      <c r="AA744" s="150"/>
      <c r="AB744" s="150"/>
      <c r="AC744" s="150"/>
      <c r="AD744" s="150"/>
      <c r="AE744" s="196"/>
      <c r="AF744" s="150"/>
      <c r="AG744" s="150"/>
      <c r="AH744" s="150"/>
      <c r="AI744" s="150"/>
      <c r="AJ744" s="197" t="s">
        <v>988</v>
      </c>
      <c r="AK744" s="150"/>
      <c r="AL744" s="198" t="s">
        <v>1627</v>
      </c>
      <c r="AM744" s="431" t="str">
        <f>VLOOKUP($Q744,Resultados!$A$1:$C$49,3,FALSE)</f>
        <v>TRAMITE</v>
      </c>
    </row>
    <row r="745" spans="1:39" ht="51">
      <c r="A745" s="373">
        <v>719</v>
      </c>
      <c r="B745" s="516">
        <v>45351</v>
      </c>
      <c r="C745" s="519" t="s">
        <v>1981</v>
      </c>
      <c r="D745" s="520" t="s">
        <v>1982</v>
      </c>
      <c r="E745" s="522" t="s">
        <v>1983</v>
      </c>
      <c r="F745" s="523">
        <v>6</v>
      </c>
      <c r="G745" s="523"/>
      <c r="H745" s="515"/>
      <c r="I745" s="515"/>
      <c r="J745" s="515"/>
      <c r="K745" s="523" t="str">
        <f>IFERROR(VLOOKUP(J745,Jueces!$A$1:$B$11,2,FALSE),"")</f>
        <v/>
      </c>
      <c r="L745" s="520" t="s">
        <v>83</v>
      </c>
      <c r="M745" s="520"/>
      <c r="N745" s="520" t="s">
        <v>2660</v>
      </c>
      <c r="O745" s="304" t="str">
        <f>IF(Q745=" _","NO","SI")</f>
        <v>SI</v>
      </c>
      <c r="P745" s="24" t="str">
        <f ca="1">IF(color_Celda(E745)=12106214,"ROSA",IF(color_Celda(E745)=65535,"AMARILLO",IF(color_Celda(E745)=5296274,"VERDE",IF(color_Celda(E745)=16777215,"BLANCO","NO SE"))))</f>
        <v>VERDE</v>
      </c>
      <c r="Q745" s="524" t="s">
        <v>3313</v>
      </c>
      <c r="R745" s="176" t="str">
        <f>VLOOKUP($Q745,Resultados!$A$1:$B$49,2,FALSE)</f>
        <v>VERDE</v>
      </c>
      <c r="S745" s="520"/>
      <c r="T745" s="527"/>
      <c r="U745" s="527"/>
      <c r="V745" s="523"/>
      <c r="W745" s="523"/>
      <c r="X745" s="523"/>
      <c r="Y745" s="303"/>
      <c r="Z745" s="523"/>
      <c r="AA745" s="523"/>
      <c r="AB745" s="523"/>
      <c r="AC745" s="523"/>
      <c r="AD745" s="523"/>
      <c r="AE745" s="530"/>
      <c r="AF745" s="523"/>
      <c r="AG745" s="523"/>
      <c r="AH745" s="523"/>
      <c r="AI745" s="523"/>
      <c r="AJ745" s="531" t="s">
        <v>988</v>
      </c>
      <c r="AK745" s="523"/>
      <c r="AL745" s="507" t="s">
        <v>1627</v>
      </c>
      <c r="AM745" s="431" t="str">
        <f>VLOOKUP($Q745,Resultados!$A$1:$C$49,3,FALSE)</f>
        <v>NO LLEGO</v>
      </c>
    </row>
    <row r="746" spans="1:39" ht="51">
      <c r="A746" s="364">
        <v>720</v>
      </c>
      <c r="B746" s="206">
        <v>45351</v>
      </c>
      <c r="C746" s="341" t="s">
        <v>850</v>
      </c>
      <c r="D746" s="207" t="s">
        <v>1984</v>
      </c>
      <c r="E746" s="208" t="s">
        <v>2020</v>
      </c>
      <c r="F746" s="205">
        <v>7</v>
      </c>
      <c r="G746" s="207" t="s">
        <v>10</v>
      </c>
      <c r="H746" s="206"/>
      <c r="I746" s="206"/>
      <c r="J746" s="206"/>
      <c r="K746" s="205" t="str">
        <f>IFERROR(VLOOKUP(J746,Jueces!$A$1:$B$11,2,FALSE),"")</f>
        <v/>
      </c>
      <c r="L746" s="207" t="s">
        <v>25</v>
      </c>
      <c r="M746" s="207" t="s">
        <v>361</v>
      </c>
      <c r="N746" s="207" t="s">
        <v>2021</v>
      </c>
      <c r="O746" s="24" t="str">
        <f>IF(Q746=" _","NO","SI")</f>
        <v>NO</v>
      </c>
      <c r="P746" s="24" t="str">
        <f ca="1">IF(color_Celda(E746)=12106214,"ROSA",IF(color_Celda(E746)=65535,"AMARILLO",IF(color_Celda(E746)=5296274,"VERDE",IF(color_Celda(E746)=16777215,"BLANCO","NO SE"))))</f>
        <v>AMARILLO</v>
      </c>
      <c r="Q746" s="207" t="s">
        <v>108</v>
      </c>
      <c r="R746" s="170" t="str">
        <f>VLOOKUP($Q746,Resultados!$A$1:$B$49,2,FALSE)</f>
        <v xml:space="preserve"> _</v>
      </c>
      <c r="S746" s="207"/>
      <c r="T746" s="209"/>
      <c r="U746" s="209"/>
      <c r="V746" s="205"/>
      <c r="W746" s="205"/>
      <c r="X746" s="205"/>
      <c r="Y746" s="64"/>
      <c r="Z746" s="205"/>
      <c r="AA746" s="205"/>
      <c r="AB746" s="205"/>
      <c r="AC746" s="205"/>
      <c r="AD746" s="205"/>
      <c r="AE746" s="210"/>
      <c r="AF746" s="205"/>
      <c r="AG746" s="205"/>
      <c r="AH746" s="205"/>
      <c r="AI746" s="205"/>
      <c r="AJ746" s="211" t="s">
        <v>988</v>
      </c>
      <c r="AK746" s="205"/>
      <c r="AL746" s="198" t="s">
        <v>1627</v>
      </c>
      <c r="AM746" s="431" t="str">
        <f>VLOOKUP($Q746,Resultados!$A$1:$C$49,3,FALSE)</f>
        <v>TRAMITE</v>
      </c>
    </row>
    <row r="747" spans="1:39" ht="51">
      <c r="A747" s="364">
        <v>721</v>
      </c>
      <c r="B747" s="206">
        <v>45351</v>
      </c>
      <c r="C747" s="341" t="s">
        <v>1985</v>
      </c>
      <c r="D747" s="207" t="s">
        <v>1986</v>
      </c>
      <c r="E747" s="208" t="s">
        <v>1987</v>
      </c>
      <c r="F747" s="205">
        <v>6</v>
      </c>
      <c r="G747" s="207" t="s">
        <v>326</v>
      </c>
      <c r="H747" s="206"/>
      <c r="I747" s="206"/>
      <c r="J747" s="206"/>
      <c r="K747" s="205" t="str">
        <f>IFERROR(VLOOKUP(J747,Jueces!$A$1:$B$11,2,FALSE),"")</f>
        <v/>
      </c>
      <c r="L747" s="207" t="s">
        <v>86</v>
      </c>
      <c r="M747" s="207" t="s">
        <v>1156</v>
      </c>
      <c r="N747" s="207" t="s">
        <v>2011</v>
      </c>
      <c r="O747" s="24" t="str">
        <f>IF(Q747=" _","NO","SI")</f>
        <v>NO</v>
      </c>
      <c r="P747" s="24" t="str">
        <f ca="1">IF(color_Celda(E747)=12106214,"ROSA",IF(color_Celda(E747)=65535,"AMARILLO",IF(color_Celda(E747)=5296274,"VERDE",IF(color_Celda(E747)=16777215,"BLANCO","NO SE"))))</f>
        <v>AMARILLO</v>
      </c>
      <c r="Q747" s="207" t="s">
        <v>108</v>
      </c>
      <c r="R747" s="170" t="str">
        <f>VLOOKUP($Q747,Resultados!$A$1:$B$49,2,FALSE)</f>
        <v xml:space="preserve"> _</v>
      </c>
      <c r="S747" s="207"/>
      <c r="T747" s="209"/>
      <c r="U747" s="209"/>
      <c r="V747" s="205"/>
      <c r="W747" s="205"/>
      <c r="X747" s="205"/>
      <c r="Y747" s="64"/>
      <c r="Z747" s="205"/>
      <c r="AA747" s="205"/>
      <c r="AB747" s="205"/>
      <c r="AC747" s="205"/>
      <c r="AD747" s="205"/>
      <c r="AE747" s="210"/>
      <c r="AF747" s="205"/>
      <c r="AG747" s="205"/>
      <c r="AH747" s="205"/>
      <c r="AI747" s="205"/>
      <c r="AJ747" s="211" t="s">
        <v>988</v>
      </c>
      <c r="AK747" s="205"/>
      <c r="AL747" s="198" t="s">
        <v>1627</v>
      </c>
      <c r="AM747" s="431" t="str">
        <f>VLOOKUP($Q747,Resultados!$A$1:$C$49,3,FALSE)</f>
        <v>TRAMITE</v>
      </c>
    </row>
    <row r="748" spans="1:39" ht="63.75">
      <c r="A748" s="364">
        <v>722</v>
      </c>
      <c r="B748" s="200">
        <v>45351</v>
      </c>
      <c r="C748" s="340" t="s">
        <v>955</v>
      </c>
      <c r="D748" s="137" t="s">
        <v>1988</v>
      </c>
      <c r="E748" s="201" t="s">
        <v>2017</v>
      </c>
      <c r="F748" s="199">
        <v>7</v>
      </c>
      <c r="G748" s="137" t="s">
        <v>10</v>
      </c>
      <c r="H748" s="200"/>
      <c r="I748" s="200"/>
      <c r="J748" s="200"/>
      <c r="K748" s="199" t="str">
        <f>IFERROR(VLOOKUP(J748,Jueces!$A$1:$B$11,2,FALSE),"")</f>
        <v/>
      </c>
      <c r="L748" s="137" t="s">
        <v>79</v>
      </c>
      <c r="M748" s="137" t="s">
        <v>1156</v>
      </c>
      <c r="N748" s="137" t="s">
        <v>2011</v>
      </c>
      <c r="O748" s="24" t="str">
        <f>IF(Q748=" _","NO","SI")</f>
        <v>NO</v>
      </c>
      <c r="P748" s="24" t="str">
        <f ca="1">IF(color_Celda(E748)=12106214,"ROSA",IF(color_Celda(E748)=65535,"AMARILLO",IF(color_Celda(E748)=5296274,"VERDE",IF(color_Celda(E748)=16777215,"BLANCO","NO SE"))))</f>
        <v>AMARILLO</v>
      </c>
      <c r="Q748" s="137" t="s">
        <v>108</v>
      </c>
      <c r="R748" s="32" t="str">
        <f>VLOOKUP($Q748,Resultados!$A$1:$B$49,2,FALSE)</f>
        <v xml:space="preserve"> _</v>
      </c>
      <c r="S748" s="137"/>
      <c r="T748" s="202"/>
      <c r="U748" s="202"/>
      <c r="V748" s="199"/>
      <c r="W748" s="199"/>
      <c r="X748" s="199"/>
      <c r="Y748" s="64"/>
      <c r="Z748" s="199"/>
      <c r="AA748" s="199"/>
      <c r="AB748" s="199"/>
      <c r="AC748" s="199"/>
      <c r="AD748" s="199"/>
      <c r="AE748" s="203"/>
      <c r="AF748" s="199"/>
      <c r="AG748" s="199"/>
      <c r="AH748" s="199"/>
      <c r="AI748" s="199"/>
      <c r="AJ748" s="204" t="s">
        <v>988</v>
      </c>
      <c r="AK748" s="199"/>
      <c r="AL748" s="155" t="s">
        <v>1627</v>
      </c>
      <c r="AM748" s="431" t="str">
        <f>VLOOKUP($Q748,Resultados!$A$1:$C$49,3,FALSE)</f>
        <v>TRAMITE</v>
      </c>
    </row>
    <row r="749" spans="1:39" ht="39.950000000000003" customHeight="1">
      <c r="A749" s="364">
        <v>724</v>
      </c>
      <c r="B749" s="213">
        <v>45351</v>
      </c>
      <c r="C749" s="354" t="s">
        <v>1010</v>
      </c>
      <c r="D749" s="214" t="s">
        <v>1991</v>
      </c>
      <c r="E749" s="215" t="s">
        <v>1992</v>
      </c>
      <c r="F749" s="214">
        <v>7</v>
      </c>
      <c r="G749" s="212" t="s">
        <v>10</v>
      </c>
      <c r="H749" s="213"/>
      <c r="I749" s="213"/>
      <c r="J749" s="213"/>
      <c r="K749" s="212" t="str">
        <f>IFERROR(VLOOKUP(J749,Jueces!$A$1:$B$11,2,FALSE),"")</f>
        <v/>
      </c>
      <c r="L749" s="214" t="s">
        <v>85</v>
      </c>
      <c r="M749" s="214" t="s">
        <v>361</v>
      </c>
      <c r="N749" s="212"/>
      <c r="O749" s="24" t="str">
        <f>IF(Q749=" _","NO","SI")</f>
        <v>NO</v>
      </c>
      <c r="P749" s="24" t="str">
        <f ca="1">IF(color_Celda(E749)=12106214,"ROSA",IF(color_Celda(E749)=65535,"AMARILLO",IF(color_Celda(E749)=5296274,"VERDE",IF(color_Celda(E749)=16777215,"BLANCO","NO SE"))))</f>
        <v>AMARILLO</v>
      </c>
      <c r="Q749" s="214" t="s">
        <v>108</v>
      </c>
      <c r="R749" s="214" t="str">
        <f>VLOOKUP($Q749,Resultados!$A$1:$B$49,2,FALSE)</f>
        <v xml:space="preserve"> _</v>
      </c>
      <c r="S749" s="214"/>
      <c r="T749" s="216"/>
      <c r="U749" s="216"/>
      <c r="V749" s="212"/>
      <c r="W749" s="212"/>
      <c r="X749" s="212"/>
      <c r="Y749" s="64"/>
      <c r="Z749" s="212"/>
      <c r="AA749" s="212"/>
      <c r="AB749" s="212"/>
      <c r="AC749" s="212"/>
      <c r="AD749" s="212"/>
      <c r="AE749" s="217"/>
      <c r="AF749" s="212"/>
      <c r="AG749" s="212"/>
      <c r="AH749" s="212"/>
      <c r="AI749" s="212"/>
      <c r="AJ749" s="218" t="s">
        <v>988</v>
      </c>
      <c r="AK749" s="212"/>
      <c r="AL749" s="219" t="s">
        <v>1627</v>
      </c>
      <c r="AM749" s="431" t="str">
        <f>VLOOKUP($Q749,Resultados!$A$1:$C$49,3,FALSE)</f>
        <v>TRAMITE</v>
      </c>
    </row>
    <row r="750" spans="1:39" ht="40.15" customHeight="1">
      <c r="A750" s="364">
        <v>725</v>
      </c>
      <c r="B750" s="213">
        <v>45351</v>
      </c>
      <c r="C750" s="354" t="s">
        <v>26</v>
      </c>
      <c r="D750" s="214" t="s">
        <v>2049</v>
      </c>
      <c r="E750" s="215" t="s">
        <v>2050</v>
      </c>
      <c r="F750" s="212">
        <v>3</v>
      </c>
      <c r="G750" s="212"/>
      <c r="H750" s="213"/>
      <c r="I750" s="213"/>
      <c r="J750" s="213"/>
      <c r="K750" s="212" t="str">
        <f>IFERROR(VLOOKUP(J750,Jueces!$A$1:$B$11,2,FALSE),"")</f>
        <v/>
      </c>
      <c r="L750" s="214" t="s">
        <v>250</v>
      </c>
      <c r="M750" s="214" t="s">
        <v>651</v>
      </c>
      <c r="N750" s="214" t="s">
        <v>3096</v>
      </c>
      <c r="O750" s="233" t="str">
        <f>IF(Q750=" _","NO","SI")</f>
        <v>NO</v>
      </c>
      <c r="P750" s="24" t="str">
        <f ca="1">IF(color_Celda(E750)=12106214,"ROSA",IF(color_Celda(E750)=65535,"AMARILLO",IF(color_Celda(E750)=5296274,"VERDE",IF(color_Celda(E750)=16777215,"BLANCO","NO SE"))))</f>
        <v>AMARILLO</v>
      </c>
      <c r="Q750" s="214" t="s">
        <v>108</v>
      </c>
      <c r="R750" s="214" t="str">
        <f>VLOOKUP($Q750,Resultados!$A$1:$B$49,2,FALSE)</f>
        <v xml:space="preserve"> _</v>
      </c>
      <c r="S750" s="214"/>
      <c r="T750" s="216"/>
      <c r="U750" s="216"/>
      <c r="V750" s="212"/>
      <c r="W750" s="212"/>
      <c r="X750" s="212"/>
      <c r="Y750" s="284"/>
      <c r="Z750" s="212"/>
      <c r="AA750" s="212"/>
      <c r="AB750" s="212"/>
      <c r="AC750" s="212"/>
      <c r="AD750" s="212"/>
      <c r="AE750" s="217"/>
      <c r="AF750" s="212"/>
      <c r="AG750" s="212"/>
      <c r="AH750" s="212"/>
      <c r="AI750" s="212"/>
      <c r="AJ750" s="218" t="s">
        <v>988</v>
      </c>
      <c r="AK750" s="212"/>
      <c r="AL750" s="243" t="s">
        <v>1627</v>
      </c>
      <c r="AM750" s="431" t="str">
        <f>VLOOKUP($Q750,Resultados!$A$1:$C$49,3,FALSE)</f>
        <v>TRAMITE</v>
      </c>
    </row>
    <row r="751" spans="1:39" ht="51">
      <c r="A751" s="364">
        <v>726</v>
      </c>
      <c r="B751" s="206">
        <v>45351</v>
      </c>
      <c r="C751" s="341" t="s">
        <v>803</v>
      </c>
      <c r="D751" s="207" t="s">
        <v>2052</v>
      </c>
      <c r="E751" s="208" t="s">
        <v>2053</v>
      </c>
      <c r="F751" s="205">
        <v>3</v>
      </c>
      <c r="G751" s="207" t="s">
        <v>1750</v>
      </c>
      <c r="H751" s="206"/>
      <c r="I751" s="206"/>
      <c r="J751" s="206"/>
      <c r="K751" s="205" t="str">
        <f>IFERROR(VLOOKUP(J751,Jueces!$A$1:$B$11,2,FALSE),"")</f>
        <v/>
      </c>
      <c r="L751" s="207" t="s">
        <v>74</v>
      </c>
      <c r="M751" s="207" t="s">
        <v>47</v>
      </c>
      <c r="N751" s="207" t="s">
        <v>2054</v>
      </c>
      <c r="O751" s="396" t="str">
        <f>IF(Q751=" _","NO","SI")</f>
        <v>NO</v>
      </c>
      <c r="P751" s="24" t="str">
        <f ca="1">IF(color_Celda(E751)=12106214,"ROSA",IF(color_Celda(E751)=65535,"AMARILLO",IF(color_Celda(E751)=5296274,"VERDE",IF(color_Celda(E751)=16777215,"BLANCO","NO SE"))))</f>
        <v>AMARILLO</v>
      </c>
      <c r="Q751" s="207" t="s">
        <v>108</v>
      </c>
      <c r="R751" s="214" t="str">
        <f>VLOOKUP($Q751,Resultados!$A$1:$B$49,2,FALSE)</f>
        <v xml:space="preserve"> _</v>
      </c>
      <c r="S751" s="207"/>
      <c r="T751" s="209"/>
      <c r="U751" s="209"/>
      <c r="V751" s="205"/>
      <c r="W751" s="205"/>
      <c r="X751" s="205"/>
      <c r="Y751" s="397"/>
      <c r="Z751" s="205"/>
      <c r="AA751" s="205"/>
      <c r="AB751" s="205"/>
      <c r="AC751" s="205"/>
      <c r="AD751" s="205"/>
      <c r="AE751" s="210"/>
      <c r="AF751" s="205"/>
      <c r="AG751" s="205"/>
      <c r="AH751" s="205"/>
      <c r="AI751" s="205"/>
      <c r="AJ751" s="211" t="s">
        <v>988</v>
      </c>
      <c r="AK751" s="205"/>
      <c r="AL751" s="243" t="s">
        <v>1627</v>
      </c>
      <c r="AM751" s="431" t="str">
        <f>VLOOKUP($Q751,Resultados!$A$1:$C$49,3,FALSE)</f>
        <v>TRAMITE</v>
      </c>
    </row>
    <row r="752" spans="1:39" ht="51">
      <c r="A752" s="364">
        <v>727</v>
      </c>
      <c r="B752" s="200">
        <v>45351</v>
      </c>
      <c r="C752" s="518">
        <v>0.41666666666666669</v>
      </c>
      <c r="D752" s="137" t="s">
        <v>2092</v>
      </c>
      <c r="E752" s="201" t="s">
        <v>2093</v>
      </c>
      <c r="F752" s="199">
        <v>4</v>
      </c>
      <c r="G752" s="137" t="s">
        <v>325</v>
      </c>
      <c r="H752" s="200"/>
      <c r="I752" s="200"/>
      <c r="J752" s="200"/>
      <c r="K752" s="199"/>
      <c r="L752" s="137" t="s">
        <v>72</v>
      </c>
      <c r="M752" s="137" t="s">
        <v>59</v>
      </c>
      <c r="N752" s="137" t="s">
        <v>2078</v>
      </c>
      <c r="O752" s="24" t="str">
        <f>IF(Q752=" _","NO","SI")</f>
        <v>NO</v>
      </c>
      <c r="P752" s="24" t="str">
        <f ca="1">IF(color_Celda(E752)=12106214,"ROSA",IF(color_Celda(E752)=65535,"AMARILLO",IF(color_Celda(E752)=5296274,"VERDE",IF(color_Celda(E752)=16777215,"BLANCO","NO SE"))))</f>
        <v>AMARILLO</v>
      </c>
      <c r="Q752" s="137" t="s">
        <v>108</v>
      </c>
      <c r="R752" s="32" t="str">
        <f>VLOOKUP($Q752,Resultados!$A$1:$B$49,2,FALSE)</f>
        <v xml:space="preserve"> _</v>
      </c>
      <c r="S752" s="137"/>
      <c r="T752" s="202"/>
      <c r="U752" s="202"/>
      <c r="V752" s="199"/>
      <c r="W752" s="199"/>
      <c r="X752" s="199"/>
      <c r="Y752" s="64"/>
      <c r="Z752" s="199"/>
      <c r="AA752" s="199"/>
      <c r="AB752" s="199"/>
      <c r="AC752" s="199"/>
      <c r="AD752" s="199"/>
      <c r="AE752" s="203"/>
      <c r="AF752" s="199"/>
      <c r="AG752" s="199"/>
      <c r="AH752" s="199"/>
      <c r="AI752" s="199"/>
      <c r="AJ752" s="204" t="s">
        <v>988</v>
      </c>
      <c r="AK752" s="199"/>
      <c r="AL752" s="155" t="s">
        <v>1627</v>
      </c>
      <c r="AM752" s="431" t="str">
        <f>VLOOKUP($Q752,Resultados!$A$1:$C$49,3,FALSE)</f>
        <v>TRAMITE</v>
      </c>
    </row>
    <row r="753" spans="1:39" ht="39.950000000000003" customHeight="1">
      <c r="A753" s="364">
        <v>728</v>
      </c>
      <c r="B753" s="38">
        <v>45352</v>
      </c>
      <c r="C753" s="337" t="s">
        <v>12</v>
      </c>
      <c r="D753" s="32" t="s">
        <v>2004</v>
      </c>
      <c r="E753" s="40" t="s">
        <v>2005</v>
      </c>
      <c r="F753" s="39">
        <v>2</v>
      </c>
      <c r="G753" s="32" t="s">
        <v>325</v>
      </c>
      <c r="H753" s="38"/>
      <c r="I753" s="38"/>
      <c r="J753" s="38"/>
      <c r="K753" s="39" t="str">
        <f>IFERROR(VLOOKUP(J753,Jueces!$A$1:$B$11,2,FALSE),"")</f>
        <v/>
      </c>
      <c r="L753" s="32" t="s">
        <v>74</v>
      </c>
      <c r="M753" s="32" t="s">
        <v>59</v>
      </c>
      <c r="N753" s="32" t="s">
        <v>2076</v>
      </c>
      <c r="O753" s="16" t="str">
        <f>IF(Q753=" _","NO","SI")</f>
        <v>NO</v>
      </c>
      <c r="P753" s="24" t="str">
        <f ca="1">IF(color_Celda(E753)=12106214,"ROSA",IF(color_Celda(E753)=65535,"AMARILLO",IF(color_Celda(E753)=5296274,"VERDE",IF(color_Celda(E753)=16777215,"BLANCO","NO SE"))))</f>
        <v>AMARILLO</v>
      </c>
      <c r="Q753" s="32" t="s">
        <v>108</v>
      </c>
      <c r="R753" s="32" t="str">
        <f>VLOOKUP($Q753,Resultados!$A$1:$B$49,2,FALSE)</f>
        <v xml:space="preserve"> _</v>
      </c>
      <c r="S753" s="32"/>
      <c r="T753" s="37"/>
      <c r="U753" s="37"/>
      <c r="V753" s="39"/>
      <c r="W753" s="39"/>
      <c r="X753" s="39"/>
      <c r="Y753" s="165"/>
      <c r="Z753" s="39"/>
      <c r="AA753" s="39"/>
      <c r="AB753" s="39"/>
      <c r="AC753" s="39"/>
      <c r="AD753" s="39"/>
      <c r="AE753" s="110"/>
      <c r="AF753" s="39"/>
      <c r="AG753" s="39"/>
      <c r="AH753" s="39"/>
      <c r="AI753" s="39"/>
      <c r="AJ753" s="43" t="s">
        <v>988</v>
      </c>
      <c r="AK753" s="39"/>
      <c r="AL753" s="155" t="s">
        <v>1627</v>
      </c>
      <c r="AM753" s="431" t="str">
        <f>VLOOKUP($Q753,Resultados!$A$1:$C$49,3,FALSE)</f>
        <v>TRAMITE</v>
      </c>
    </row>
    <row r="754" spans="1:39" ht="39.950000000000003" customHeight="1">
      <c r="A754" s="364">
        <v>729</v>
      </c>
      <c r="B754" s="35">
        <v>45352</v>
      </c>
      <c r="C754" s="337" t="s">
        <v>12</v>
      </c>
      <c r="D754" s="32" t="s">
        <v>2006</v>
      </c>
      <c r="E754" s="40" t="s">
        <v>2007</v>
      </c>
      <c r="F754" s="39">
        <v>7</v>
      </c>
      <c r="G754" s="39"/>
      <c r="H754" s="38"/>
      <c r="I754" s="38"/>
      <c r="J754" s="38"/>
      <c r="K754" s="39" t="str">
        <f>IFERROR(VLOOKUP(J754,Jueces!$A$1:$B$11,2,FALSE),"")</f>
        <v/>
      </c>
      <c r="L754" s="32" t="s">
        <v>85</v>
      </c>
      <c r="M754" s="32" t="s">
        <v>260</v>
      </c>
      <c r="N754" s="32" t="s">
        <v>2011</v>
      </c>
      <c r="O754" s="16" t="str">
        <f>IF(Q754=" _","NO","SI")</f>
        <v>NO</v>
      </c>
      <c r="P754" s="24" t="str">
        <f ca="1">IF(color_Celda(E754)=12106214,"ROSA",IF(color_Celda(E754)=65535,"AMARILLO",IF(color_Celda(E754)=5296274,"VERDE",IF(color_Celda(E754)=16777215,"BLANCO","NO SE"))))</f>
        <v>AMARILLO</v>
      </c>
      <c r="Q754" s="32" t="s">
        <v>108</v>
      </c>
      <c r="R754" s="32" t="str">
        <f>VLOOKUP($Q754,Resultados!$A$1:$B$49,2,FALSE)</f>
        <v xml:space="preserve"> _</v>
      </c>
      <c r="S754" s="32"/>
      <c r="T754" s="37"/>
      <c r="U754" s="37"/>
      <c r="V754" s="39"/>
      <c r="W754" s="39"/>
      <c r="X754" s="39"/>
      <c r="Y754" s="165"/>
      <c r="Z754" s="39"/>
      <c r="AA754" s="39"/>
      <c r="AB754" s="39"/>
      <c r="AC754" s="39"/>
      <c r="AD754" s="39"/>
      <c r="AE754" s="110"/>
      <c r="AF754" s="39"/>
      <c r="AG754" s="39"/>
      <c r="AH754" s="39"/>
      <c r="AI754" s="39"/>
      <c r="AJ754" s="43" t="s">
        <v>988</v>
      </c>
      <c r="AK754" s="39"/>
      <c r="AL754" s="155" t="s">
        <v>1627</v>
      </c>
      <c r="AM754" s="431" t="str">
        <f>VLOOKUP($Q754,Resultados!$A$1:$C$49,3,FALSE)</f>
        <v>TRAMITE</v>
      </c>
    </row>
    <row r="755" spans="1:39" ht="39.950000000000003" customHeight="1">
      <c r="A755" s="364">
        <v>730</v>
      </c>
      <c r="B755" s="38">
        <v>45352</v>
      </c>
      <c r="C755" s="331">
        <v>0.46597222222222223</v>
      </c>
      <c r="D755" s="39" t="s">
        <v>2009</v>
      </c>
      <c r="E755" s="41" t="s">
        <v>2010</v>
      </c>
      <c r="F755" s="39">
        <v>3</v>
      </c>
      <c r="G755" s="32" t="s">
        <v>10</v>
      </c>
      <c r="H755" s="38"/>
      <c r="I755" s="38"/>
      <c r="J755" s="38"/>
      <c r="K755" s="39" t="str">
        <f>IFERROR(VLOOKUP(J755,Jueces!$A$1:$B$11,2,FALSE),"")</f>
        <v/>
      </c>
      <c r="L755" s="32" t="s">
        <v>42</v>
      </c>
      <c r="M755" s="32" t="s">
        <v>52</v>
      </c>
      <c r="N755" s="32" t="s">
        <v>3007</v>
      </c>
      <c r="O755" s="16" t="str">
        <f>IF(Q755=" _","NO","SI")</f>
        <v>NO</v>
      </c>
      <c r="P755" s="24" t="str">
        <f ca="1">IF(color_Celda(E755)=12106214,"ROSA",IF(color_Celda(E755)=65535,"AMARILLO",IF(color_Celda(E755)=5296274,"VERDE",IF(color_Celda(E755)=16777215,"BLANCO","NO SE"))))</f>
        <v>AMARILLO</v>
      </c>
      <c r="Q755" s="32" t="s">
        <v>108</v>
      </c>
      <c r="R755" s="32" t="str">
        <f>VLOOKUP($Q755,Resultados!$A$1:$B$49,2,FALSE)</f>
        <v xml:space="preserve"> _</v>
      </c>
      <c r="S755" s="32"/>
      <c r="T755" s="37"/>
      <c r="U755" s="37"/>
      <c r="V755" s="39"/>
      <c r="W755" s="39"/>
      <c r="X755" s="39"/>
      <c r="Y755" s="165"/>
      <c r="Z755" s="39"/>
      <c r="AA755" s="39"/>
      <c r="AB755" s="39"/>
      <c r="AC755" s="39"/>
      <c r="AD755" s="39"/>
      <c r="AE755" s="110"/>
      <c r="AF755" s="39"/>
      <c r="AG755" s="39"/>
      <c r="AH755" s="39"/>
      <c r="AI755" s="39"/>
      <c r="AJ755" s="43" t="s">
        <v>408</v>
      </c>
      <c r="AK755" s="39"/>
      <c r="AL755" s="155" t="s">
        <v>1627</v>
      </c>
      <c r="AM755" s="431" t="str">
        <f>VLOOKUP($Q755,Resultados!$A$1:$C$49,3,FALSE)</f>
        <v>TRAMITE</v>
      </c>
    </row>
    <row r="756" spans="1:39" ht="39.950000000000003" customHeight="1">
      <c r="A756" s="364">
        <v>731</v>
      </c>
      <c r="B756" s="38">
        <v>45352</v>
      </c>
      <c r="C756" s="337" t="s">
        <v>34</v>
      </c>
      <c r="D756" s="32" t="s">
        <v>2018</v>
      </c>
      <c r="E756" s="40" t="s">
        <v>2019</v>
      </c>
      <c r="F756" s="32">
        <v>7</v>
      </c>
      <c r="G756" s="32" t="s">
        <v>10</v>
      </c>
      <c r="H756" s="38"/>
      <c r="I756" s="38"/>
      <c r="J756" s="38"/>
      <c r="K756" s="39" t="str">
        <f>IFERROR(VLOOKUP(J756,Jueces!$A$1:$B$11,2,FALSE),"")</f>
        <v/>
      </c>
      <c r="L756" s="32" t="s">
        <v>74</v>
      </c>
      <c r="M756" s="32" t="s">
        <v>67</v>
      </c>
      <c r="N756" s="32" t="s">
        <v>2011</v>
      </c>
      <c r="O756" s="16" t="str">
        <f>IF(Q756=" _","NO","SI")</f>
        <v>NO</v>
      </c>
      <c r="P756" s="24" t="str">
        <f ca="1">IF(color_Celda(E756)=12106214,"ROSA",IF(color_Celda(E756)=65535,"AMARILLO",IF(color_Celda(E756)=5296274,"VERDE",IF(color_Celda(E756)=16777215,"BLANCO","NO SE"))))</f>
        <v>AMARILLO</v>
      </c>
      <c r="Q756" s="32" t="s">
        <v>108</v>
      </c>
      <c r="R756" s="32" t="str">
        <f>VLOOKUP($Q756,Resultados!$A$1:$B$49,2,FALSE)</f>
        <v xml:space="preserve"> _</v>
      </c>
      <c r="S756" s="32"/>
      <c r="T756" s="37"/>
      <c r="U756" s="37"/>
      <c r="V756" s="39"/>
      <c r="W756" s="39"/>
      <c r="X756" s="39"/>
      <c r="Y756" s="165"/>
      <c r="Z756" s="39"/>
      <c r="AA756" s="39"/>
      <c r="AB756" s="39"/>
      <c r="AC756" s="39"/>
      <c r="AD756" s="39"/>
      <c r="AE756" s="110"/>
      <c r="AF756" s="39"/>
      <c r="AG756" s="39"/>
      <c r="AH756" s="39"/>
      <c r="AI756" s="39"/>
      <c r="AJ756" s="43" t="s">
        <v>988</v>
      </c>
      <c r="AK756" s="39"/>
      <c r="AL756" s="155" t="s">
        <v>1627</v>
      </c>
      <c r="AM756" s="431" t="str">
        <f>VLOOKUP($Q756,Resultados!$A$1:$C$49,3,FALSE)</f>
        <v>TRAMITE</v>
      </c>
    </row>
    <row r="757" spans="1:39" ht="39.950000000000003" customHeight="1">
      <c r="A757" s="364">
        <v>732</v>
      </c>
      <c r="B757" s="38">
        <v>45352</v>
      </c>
      <c r="C757" s="337" t="s">
        <v>2024</v>
      </c>
      <c r="D757" s="32" t="s">
        <v>2025</v>
      </c>
      <c r="E757" s="40" t="s">
        <v>2026</v>
      </c>
      <c r="F757" s="39">
        <v>2</v>
      </c>
      <c r="G757" s="32" t="s">
        <v>325</v>
      </c>
      <c r="H757" s="38"/>
      <c r="I757" s="38"/>
      <c r="J757" s="38"/>
      <c r="K757" s="39" t="str">
        <f>IFERROR(VLOOKUP(J757,Jueces!$A$1:$B$11,2,FALSE),"")</f>
        <v/>
      </c>
      <c r="L757" s="32" t="s">
        <v>254</v>
      </c>
      <c r="M757" s="32" t="s">
        <v>61</v>
      </c>
      <c r="N757" s="32" t="s">
        <v>2077</v>
      </c>
      <c r="O757" s="16" t="str">
        <f>IF(Q757=" _","NO","SI")</f>
        <v>NO</v>
      </c>
      <c r="P757" s="24" t="str">
        <f ca="1">IF(color_Celda(E757)=12106214,"ROSA",IF(color_Celda(E757)=65535,"AMARILLO",IF(color_Celda(E757)=5296274,"VERDE",IF(color_Celda(E757)=16777215,"BLANCO","NO SE"))))</f>
        <v>AMARILLO</v>
      </c>
      <c r="Q757" s="32" t="s">
        <v>108</v>
      </c>
      <c r="R757" s="32" t="str">
        <f>VLOOKUP($Q757,Resultados!$A$1:$B$49,2,FALSE)</f>
        <v xml:space="preserve"> _</v>
      </c>
      <c r="S757" s="32"/>
      <c r="T757" s="37"/>
      <c r="U757" s="37"/>
      <c r="V757" s="39"/>
      <c r="W757" s="39"/>
      <c r="X757" s="39"/>
      <c r="Y757" s="165"/>
      <c r="Z757" s="39"/>
      <c r="AA757" s="39"/>
      <c r="AB757" s="39"/>
      <c r="AC757" s="39"/>
      <c r="AD757" s="39"/>
      <c r="AE757" s="110"/>
      <c r="AF757" s="39"/>
      <c r="AG757" s="39"/>
      <c r="AH757" s="39"/>
      <c r="AI757" s="39"/>
      <c r="AJ757" s="43" t="s">
        <v>988</v>
      </c>
      <c r="AK757" s="39"/>
      <c r="AL757" s="155" t="s">
        <v>1627</v>
      </c>
      <c r="AM757" s="431" t="str">
        <f>VLOOKUP($Q757,Resultados!$A$1:$C$49,3,FALSE)</f>
        <v>TRAMITE</v>
      </c>
    </row>
    <row r="758" spans="1:39" ht="39.950000000000003" customHeight="1">
      <c r="A758" s="364">
        <v>734</v>
      </c>
      <c r="B758" s="38">
        <v>45355</v>
      </c>
      <c r="C758" s="337" t="s">
        <v>12</v>
      </c>
      <c r="D758" s="32" t="s">
        <v>2027</v>
      </c>
      <c r="E758" s="40" t="s">
        <v>2028</v>
      </c>
      <c r="F758" s="39">
        <v>6</v>
      </c>
      <c r="G758" s="39" t="s">
        <v>326</v>
      </c>
      <c r="H758" s="38"/>
      <c r="I758" s="38"/>
      <c r="J758" s="38"/>
      <c r="K758" s="39" t="str">
        <f>IFERROR(VLOOKUP(J758,Jueces!$A$1:$B$11,2,FALSE),"")</f>
        <v/>
      </c>
      <c r="L758" s="32" t="s">
        <v>87</v>
      </c>
      <c r="M758" s="32" t="s">
        <v>1156</v>
      </c>
      <c r="N758" s="32" t="s">
        <v>3095</v>
      </c>
      <c r="O758" s="16" t="str">
        <f>IF(Q758=" _","NO","SI")</f>
        <v>NO</v>
      </c>
      <c r="P758" s="24" t="str">
        <f ca="1">IF(color_Celda(E758)=12106214,"ROSA",IF(color_Celda(E758)=65535,"AMARILLO",IF(color_Celda(E758)=5296274,"VERDE",IF(color_Celda(E758)=16777215,"BLANCO","NO SE"))))</f>
        <v>AMARILLO</v>
      </c>
      <c r="Q758" s="32" t="s">
        <v>108</v>
      </c>
      <c r="R758" s="32" t="str">
        <f>VLOOKUP($Q758,Resultados!$A$1:$B$49,2,FALSE)</f>
        <v xml:space="preserve"> _</v>
      </c>
      <c r="S758" s="32"/>
      <c r="T758" s="37"/>
      <c r="U758" s="37"/>
      <c r="V758" s="39"/>
      <c r="W758" s="39"/>
      <c r="X758" s="39"/>
      <c r="Y758" s="165"/>
      <c r="Z758" s="39"/>
      <c r="AA758" s="39"/>
      <c r="AB758" s="39"/>
      <c r="AC758" s="39"/>
      <c r="AD758" s="39"/>
      <c r="AE758" s="110"/>
      <c r="AF758" s="39"/>
      <c r="AG758" s="39"/>
      <c r="AH758" s="39"/>
      <c r="AI758" s="39"/>
      <c r="AJ758" s="43" t="s">
        <v>988</v>
      </c>
      <c r="AK758" s="39"/>
      <c r="AL758" s="155" t="s">
        <v>1627</v>
      </c>
      <c r="AM758" s="431" t="str">
        <f>VLOOKUP($Q758,Resultados!$A$1:$C$49,3,FALSE)</f>
        <v>TRAMITE</v>
      </c>
    </row>
    <row r="759" spans="1:39" ht="39.950000000000003" customHeight="1">
      <c r="A759" s="364">
        <v>735</v>
      </c>
      <c r="B759" s="38">
        <v>45355</v>
      </c>
      <c r="C759" s="337" t="s">
        <v>1187</v>
      </c>
      <c r="D759" s="32" t="s">
        <v>2041</v>
      </c>
      <c r="E759" s="40" t="s">
        <v>2042</v>
      </c>
      <c r="F759" s="39">
        <v>3</v>
      </c>
      <c r="G759" s="32" t="s">
        <v>1750</v>
      </c>
      <c r="H759" s="38"/>
      <c r="I759" s="38"/>
      <c r="J759" s="38"/>
      <c r="K759" s="39" t="str">
        <f>IFERROR(VLOOKUP(J759,Jueces!$A$1:$B$11,2,FALSE),"")</f>
        <v/>
      </c>
      <c r="L759" s="32" t="s">
        <v>2172</v>
      </c>
      <c r="M759" s="32" t="s">
        <v>47</v>
      </c>
      <c r="N759" s="32" t="s">
        <v>2209</v>
      </c>
      <c r="O759" s="16" t="str">
        <f>IF(Q759=" _","NO","SI")</f>
        <v>NO</v>
      </c>
      <c r="P759" s="24" t="str">
        <f ca="1">IF(color_Celda(E759)=12106214,"ROSA",IF(color_Celda(E759)=65535,"AMARILLO",IF(color_Celda(E759)=5296274,"VERDE",IF(color_Celda(E759)=16777215,"BLANCO","NO SE"))))</f>
        <v>AMARILLO</v>
      </c>
      <c r="Q759" s="32" t="s">
        <v>108</v>
      </c>
      <c r="R759" s="32" t="str">
        <f>VLOOKUP($Q759,Resultados!$A$1:$B$49,2,FALSE)</f>
        <v xml:space="preserve"> _</v>
      </c>
      <c r="S759" s="32"/>
      <c r="T759" s="37"/>
      <c r="U759" s="37"/>
      <c r="V759" s="39"/>
      <c r="W759" s="39"/>
      <c r="X759" s="39"/>
      <c r="Y759" s="165"/>
      <c r="Z759" s="39"/>
      <c r="AA759" s="39"/>
      <c r="AB759" s="39"/>
      <c r="AC759" s="39"/>
      <c r="AD759" s="39"/>
      <c r="AE759" s="110"/>
      <c r="AF759" s="39"/>
      <c r="AG759" s="39"/>
      <c r="AH759" s="39"/>
      <c r="AI759" s="39"/>
      <c r="AJ759" s="43" t="s">
        <v>988</v>
      </c>
      <c r="AK759" s="39"/>
      <c r="AL759" s="155" t="s">
        <v>1627</v>
      </c>
      <c r="AM759" s="431" t="str">
        <f>VLOOKUP($Q759,Resultados!$A$1:$C$49,3,FALSE)</f>
        <v>TRAMITE</v>
      </c>
    </row>
    <row r="760" spans="1:39" ht="39.950000000000003" customHeight="1">
      <c r="A760" s="364">
        <v>736</v>
      </c>
      <c r="B760" s="38">
        <v>45356</v>
      </c>
      <c r="C760" s="337" t="s">
        <v>12</v>
      </c>
      <c r="D760" s="32" t="s">
        <v>2063</v>
      </c>
      <c r="E760" s="40" t="s">
        <v>2064</v>
      </c>
      <c r="F760" s="39">
        <v>6</v>
      </c>
      <c r="G760" s="39" t="s">
        <v>326</v>
      </c>
      <c r="H760" s="38"/>
      <c r="I760" s="38"/>
      <c r="J760" s="38"/>
      <c r="K760" s="39" t="str">
        <f>IFERROR(VLOOKUP(J760,Jueces!$A$1:$B$11,2,FALSE),"")</f>
        <v/>
      </c>
      <c r="L760" s="32" t="s">
        <v>250</v>
      </c>
      <c r="M760" s="32" t="s">
        <v>260</v>
      </c>
      <c r="N760" s="32" t="s">
        <v>2113</v>
      </c>
      <c r="O760" s="16" t="str">
        <f>IF(Q760=" _","NO","SI")</f>
        <v>NO</v>
      </c>
      <c r="P760" s="24" t="str">
        <f ca="1">IF(color_Celda(E760)=12106214,"ROSA",IF(color_Celda(E760)=65535,"AMARILLO",IF(color_Celda(E760)=5296274,"VERDE",IF(color_Celda(E760)=16777215,"BLANCO","NO SE"))))</f>
        <v>AMARILLO</v>
      </c>
      <c r="Q760" s="32" t="s">
        <v>108</v>
      </c>
      <c r="R760" s="32" t="str">
        <f>VLOOKUP($Q760,Resultados!$A$1:$B$49,2,FALSE)</f>
        <v xml:space="preserve"> _</v>
      </c>
      <c r="S760" s="32"/>
      <c r="T760" s="37"/>
      <c r="U760" s="37"/>
      <c r="V760" s="39"/>
      <c r="W760" s="39"/>
      <c r="X760" s="39"/>
      <c r="Y760" s="165"/>
      <c r="Z760" s="39"/>
      <c r="AA760" s="39"/>
      <c r="AB760" s="39"/>
      <c r="AC760" s="39"/>
      <c r="AD760" s="39"/>
      <c r="AE760" s="110"/>
      <c r="AF760" s="39"/>
      <c r="AG760" s="39"/>
      <c r="AH760" s="39"/>
      <c r="AI760" s="39"/>
      <c r="AJ760" s="43" t="s">
        <v>988</v>
      </c>
      <c r="AK760" s="39"/>
      <c r="AL760" s="155" t="s">
        <v>1627</v>
      </c>
      <c r="AM760" s="431" t="str">
        <f>VLOOKUP($Q760,Resultados!$A$1:$C$49,3,FALSE)</f>
        <v>TRAMITE</v>
      </c>
    </row>
    <row r="761" spans="1:39" ht="39.950000000000003" customHeight="1">
      <c r="A761" s="364">
        <v>738</v>
      </c>
      <c r="B761" s="38">
        <v>45356</v>
      </c>
      <c r="C761" s="337" t="s">
        <v>1003</v>
      </c>
      <c r="D761" s="32" t="s">
        <v>2067</v>
      </c>
      <c r="E761" s="40" t="s">
        <v>2068</v>
      </c>
      <c r="F761" s="39">
        <v>3</v>
      </c>
      <c r="G761" s="32" t="s">
        <v>1750</v>
      </c>
      <c r="H761" s="38"/>
      <c r="I761" s="38"/>
      <c r="J761" s="38"/>
      <c r="K761" s="39" t="str">
        <f>IFERROR(VLOOKUP(J761,Jueces!$A$1:$B$11,2,FALSE),"")</f>
        <v/>
      </c>
      <c r="L761" s="32" t="s">
        <v>72</v>
      </c>
      <c r="M761" s="32" t="s">
        <v>1393</v>
      </c>
      <c r="N761" s="32" t="s">
        <v>2829</v>
      </c>
      <c r="O761" s="32" t="str">
        <f>IF(Q761=" _","NO","SI")</f>
        <v>NO</v>
      </c>
      <c r="P761" s="24" t="str">
        <f ca="1">IF(color_Celda(E761)=12106214,"ROSA",IF(color_Celda(E761)=65535,"AMARILLO",IF(color_Celda(E761)=5296274,"VERDE",IF(color_Celda(E761)=16777215,"BLANCO","NO SE"))))</f>
        <v>AMARILLO</v>
      </c>
      <c r="Q761" s="32" t="s">
        <v>108</v>
      </c>
      <c r="R761" s="32" t="str">
        <f>VLOOKUP($Q761,Resultados!$A$1:$B$49,2,FALSE)</f>
        <v xml:space="preserve"> _</v>
      </c>
      <c r="S761" s="32"/>
      <c r="T761" s="37"/>
      <c r="U761" s="37"/>
      <c r="V761" s="39"/>
      <c r="W761" s="39"/>
      <c r="X761" s="39"/>
      <c r="Y761" s="39"/>
      <c r="Z761" s="39"/>
      <c r="AA761" s="39"/>
      <c r="AB761" s="39"/>
      <c r="AC761" s="39"/>
      <c r="AD761" s="39"/>
      <c r="AE761" s="110"/>
      <c r="AF761" s="39"/>
      <c r="AG761" s="39"/>
      <c r="AH761" s="39"/>
      <c r="AI761" s="39"/>
      <c r="AJ761" s="43" t="s">
        <v>988</v>
      </c>
      <c r="AK761" s="39"/>
      <c r="AL761" s="155" t="s">
        <v>1627</v>
      </c>
      <c r="AM761" s="431" t="str">
        <f>VLOOKUP($Q761,Resultados!$A$1:$C$49,3,FALSE)</f>
        <v>TRAMITE</v>
      </c>
    </row>
    <row r="762" spans="1:39" ht="39.950000000000003" customHeight="1">
      <c r="A762" s="364">
        <v>739</v>
      </c>
      <c r="B762" s="35">
        <v>45356</v>
      </c>
      <c r="C762" s="337" t="s">
        <v>2024</v>
      </c>
      <c r="D762" s="32" t="s">
        <v>2111</v>
      </c>
      <c r="E762" s="40" t="s">
        <v>2069</v>
      </c>
      <c r="F762" s="39">
        <v>7</v>
      </c>
      <c r="G762" s="39" t="s">
        <v>10</v>
      </c>
      <c r="H762" s="38"/>
      <c r="I762" s="38"/>
      <c r="J762" s="38"/>
      <c r="K762" s="39" t="str">
        <f>IFERROR(VLOOKUP(J762,Jueces!$A$1:$B$11,2,FALSE),"")</f>
        <v/>
      </c>
      <c r="L762" s="32" t="s">
        <v>87</v>
      </c>
      <c r="M762" s="32" t="s">
        <v>2210</v>
      </c>
      <c r="N762" s="32" t="s">
        <v>2211</v>
      </c>
      <c r="O762" s="16" t="str">
        <f>IF(Q762=" _","NO","SI")</f>
        <v>NO</v>
      </c>
      <c r="P762" s="24" t="str">
        <f ca="1">IF(color_Celda(E762)=12106214,"ROSA",IF(color_Celda(E762)=65535,"AMARILLO",IF(color_Celda(E762)=5296274,"VERDE",IF(color_Celda(E762)=16777215,"BLANCO","NO SE"))))</f>
        <v>AMARILLO</v>
      </c>
      <c r="Q762" s="32" t="s">
        <v>108</v>
      </c>
      <c r="R762" s="32" t="str">
        <f>VLOOKUP($Q762,Resultados!$A$1:$B$49,2,FALSE)</f>
        <v xml:space="preserve"> _</v>
      </c>
      <c r="S762" s="32"/>
      <c r="T762" s="37"/>
      <c r="U762" s="37"/>
      <c r="V762" s="39"/>
      <c r="W762" s="39"/>
      <c r="X762" s="39"/>
      <c r="Y762" s="165"/>
      <c r="Z762" s="39"/>
      <c r="AA762" s="39"/>
      <c r="AB762" s="39"/>
      <c r="AC762" s="39"/>
      <c r="AD762" s="39"/>
      <c r="AE762" s="110"/>
      <c r="AF762" s="39"/>
      <c r="AG762" s="39"/>
      <c r="AH762" s="39"/>
      <c r="AI762" s="39"/>
      <c r="AJ762" s="43" t="s">
        <v>988</v>
      </c>
      <c r="AK762" s="39"/>
      <c r="AL762" s="155" t="s">
        <v>1627</v>
      </c>
      <c r="AM762" s="431" t="str">
        <f>VLOOKUP($Q762,Resultados!$A$1:$C$49,3,FALSE)</f>
        <v>TRAMITE</v>
      </c>
    </row>
    <row r="763" spans="1:39" ht="39.950000000000003" customHeight="1">
      <c r="A763" s="364">
        <v>740</v>
      </c>
      <c r="B763" s="38">
        <v>45356</v>
      </c>
      <c r="C763" s="337" t="s">
        <v>2070</v>
      </c>
      <c r="D763" s="32" t="s">
        <v>2112</v>
      </c>
      <c r="E763" s="40" t="s">
        <v>2071</v>
      </c>
      <c r="F763" s="39">
        <v>5</v>
      </c>
      <c r="G763" s="32" t="s">
        <v>10</v>
      </c>
      <c r="H763" s="38"/>
      <c r="I763" s="38"/>
      <c r="J763" s="38"/>
      <c r="K763" s="39" t="str">
        <f>IFERROR(VLOOKUP(J763,Jueces!$A$1:$B$11,2,FALSE),"")</f>
        <v/>
      </c>
      <c r="L763" s="32" t="s">
        <v>25</v>
      </c>
      <c r="M763" s="32" t="s">
        <v>2140</v>
      </c>
      <c r="N763" s="32" t="s">
        <v>2724</v>
      </c>
      <c r="O763" s="16" t="str">
        <f>IF(Q763=" _","NO","SI")</f>
        <v>NO</v>
      </c>
      <c r="P763" s="24" t="str">
        <f ca="1">IF(color_Celda(E763)=12106214,"ROSA",IF(color_Celda(E763)=65535,"AMARILLO",IF(color_Celda(E763)=5296274,"VERDE",IF(color_Celda(E763)=16777215,"BLANCO","NO SE"))))</f>
        <v>AMARILLO</v>
      </c>
      <c r="Q763" s="32" t="s">
        <v>108</v>
      </c>
      <c r="R763" s="32" t="str">
        <f>VLOOKUP($Q763,Resultados!$A$1:$B$49,2,FALSE)</f>
        <v xml:space="preserve"> _</v>
      </c>
      <c r="S763" s="32"/>
      <c r="T763" s="37"/>
      <c r="U763" s="37"/>
      <c r="V763" s="39"/>
      <c r="W763" s="39"/>
      <c r="X763" s="39"/>
      <c r="Y763" s="165"/>
      <c r="Z763" s="39"/>
      <c r="AA763" s="39"/>
      <c r="AB763" s="39"/>
      <c r="AC763" s="39"/>
      <c r="AD763" s="39"/>
      <c r="AE763" s="110"/>
      <c r="AF763" s="39"/>
      <c r="AG763" s="39"/>
      <c r="AH763" s="39"/>
      <c r="AI763" s="39"/>
      <c r="AJ763" s="43" t="s">
        <v>988</v>
      </c>
      <c r="AK763" s="39"/>
      <c r="AL763" s="155" t="s">
        <v>1627</v>
      </c>
      <c r="AM763" s="431" t="str">
        <f>VLOOKUP($Q763,Resultados!$A$1:$C$49,3,FALSE)</f>
        <v>TRAMITE</v>
      </c>
    </row>
    <row r="764" spans="1:39" ht="39.950000000000003" customHeight="1">
      <c r="A764" s="364">
        <v>741</v>
      </c>
      <c r="B764" s="38">
        <v>45356</v>
      </c>
      <c r="C764" s="337" t="s">
        <v>26</v>
      </c>
      <c r="D764" s="32" t="s">
        <v>2073</v>
      </c>
      <c r="E764" s="40" t="s">
        <v>2072</v>
      </c>
      <c r="F764" s="39">
        <v>5</v>
      </c>
      <c r="G764" s="32" t="s">
        <v>10</v>
      </c>
      <c r="H764" s="38"/>
      <c r="I764" s="38"/>
      <c r="J764" s="38"/>
      <c r="K764" s="39" t="str">
        <f>IFERROR(VLOOKUP(J764,Jueces!$A$1:$B$11,2,FALSE),"")</f>
        <v/>
      </c>
      <c r="L764" s="32" t="s">
        <v>78</v>
      </c>
      <c r="M764" s="32" t="s">
        <v>44</v>
      </c>
      <c r="N764" s="32" t="s">
        <v>2139</v>
      </c>
      <c r="O764" s="16" t="str">
        <f>IF(Q764=" _","NO","SI")</f>
        <v>NO</v>
      </c>
      <c r="P764" s="24" t="str">
        <f ca="1">IF(color_Celda(E764)=12106214,"ROSA",IF(color_Celda(E764)=65535,"AMARILLO",IF(color_Celda(E764)=5296274,"VERDE",IF(color_Celda(E764)=16777215,"BLANCO","NO SE"))))</f>
        <v>AMARILLO</v>
      </c>
      <c r="Q764" s="32" t="s">
        <v>108</v>
      </c>
      <c r="R764" s="32" t="str">
        <f>VLOOKUP($Q764,Resultados!$A$1:$B$49,2,FALSE)</f>
        <v xml:space="preserve"> _</v>
      </c>
      <c r="S764" s="32"/>
      <c r="T764" s="37"/>
      <c r="U764" s="37"/>
      <c r="V764" s="39"/>
      <c r="W764" s="39"/>
      <c r="X764" s="39"/>
      <c r="Y764" s="165"/>
      <c r="Z764" s="39"/>
      <c r="AA764" s="39"/>
      <c r="AB764" s="39"/>
      <c r="AC764" s="39"/>
      <c r="AD764" s="39"/>
      <c r="AE764" s="110"/>
      <c r="AF764" s="39"/>
      <c r="AG764" s="39"/>
      <c r="AH764" s="39"/>
      <c r="AI764" s="39"/>
      <c r="AJ764" s="43" t="s">
        <v>988</v>
      </c>
      <c r="AK764" s="39"/>
      <c r="AL764" s="155" t="s">
        <v>1627</v>
      </c>
      <c r="AM764" s="431" t="str">
        <f>VLOOKUP($Q764,Resultados!$A$1:$C$49,3,FALSE)</f>
        <v>TRAMITE</v>
      </c>
    </row>
    <row r="765" spans="1:39" ht="39.950000000000003" customHeight="1">
      <c r="A765" s="364">
        <v>742</v>
      </c>
      <c r="B765" s="38">
        <v>45356</v>
      </c>
      <c r="C765" s="331"/>
      <c r="D765" s="32" t="s">
        <v>2079</v>
      </c>
      <c r="E765" s="40" t="s">
        <v>2080</v>
      </c>
      <c r="F765" s="39">
        <v>4</v>
      </c>
      <c r="G765" s="32" t="s">
        <v>325</v>
      </c>
      <c r="H765" s="38"/>
      <c r="I765" s="38"/>
      <c r="J765" s="38"/>
      <c r="K765" s="39" t="str">
        <f>IFERROR(VLOOKUP(J765,Jueces!$A$1:$B$11,2,FALSE),"")</f>
        <v/>
      </c>
      <c r="L765" s="32" t="s">
        <v>83</v>
      </c>
      <c r="M765" s="32" t="s">
        <v>47</v>
      </c>
      <c r="N765" s="32" t="s">
        <v>2081</v>
      </c>
      <c r="O765" s="16" t="str">
        <f>IF(Q765=" _","NO","SI")</f>
        <v>NO</v>
      </c>
      <c r="P765" s="24" t="str">
        <f ca="1">IF(color_Celda(E765)=12106214,"ROSA",IF(color_Celda(E765)=65535,"AMARILLO",IF(color_Celda(E765)=5296274,"VERDE",IF(color_Celda(E765)=16777215,"BLANCO","NO SE"))))</f>
        <v>AMARILLO</v>
      </c>
      <c r="Q765" s="32" t="s">
        <v>108</v>
      </c>
      <c r="R765" s="32" t="str">
        <f>VLOOKUP($Q765,Resultados!$A$1:$B$49,2,FALSE)</f>
        <v xml:space="preserve"> _</v>
      </c>
      <c r="S765" s="32"/>
      <c r="T765" s="37"/>
      <c r="U765" s="37"/>
      <c r="V765" s="39"/>
      <c r="W765" s="39"/>
      <c r="X765" s="39"/>
      <c r="Y765" s="165"/>
      <c r="Z765" s="39"/>
      <c r="AA765" s="39"/>
      <c r="AB765" s="39"/>
      <c r="AC765" s="39"/>
      <c r="AD765" s="39"/>
      <c r="AE765" s="110"/>
      <c r="AF765" s="39"/>
      <c r="AG765" s="39"/>
      <c r="AH765" s="39"/>
      <c r="AI765" s="39"/>
      <c r="AJ765" s="43" t="s">
        <v>988</v>
      </c>
      <c r="AK765" s="39"/>
      <c r="AL765" s="155" t="s">
        <v>1627</v>
      </c>
      <c r="AM765" s="431" t="str">
        <f>VLOOKUP($Q765,Resultados!$A$1:$C$49,3,FALSE)</f>
        <v>TRAMITE</v>
      </c>
    </row>
    <row r="766" spans="1:39" ht="39.950000000000003" customHeight="1">
      <c r="A766" s="364">
        <v>743</v>
      </c>
      <c r="B766" s="38">
        <v>45356</v>
      </c>
      <c r="C766" s="331"/>
      <c r="D766" s="32" t="s">
        <v>2082</v>
      </c>
      <c r="E766" s="40" t="s">
        <v>2083</v>
      </c>
      <c r="F766" s="39">
        <v>4</v>
      </c>
      <c r="G766" s="32" t="s">
        <v>325</v>
      </c>
      <c r="H766" s="38"/>
      <c r="I766" s="38"/>
      <c r="J766" s="38"/>
      <c r="K766" s="39" t="str">
        <f>IFERROR(VLOOKUP(J766,Jueces!$A$1:$B$11,2,FALSE),"")</f>
        <v/>
      </c>
      <c r="L766" s="32" t="s">
        <v>181</v>
      </c>
      <c r="M766" s="32" t="s">
        <v>2084</v>
      </c>
      <c r="N766" s="32" t="s">
        <v>2085</v>
      </c>
      <c r="O766" s="16" t="str">
        <f>IF(Q766=" _","NO","SI")</f>
        <v>NO</v>
      </c>
      <c r="P766" s="24" t="str">
        <f ca="1">IF(color_Celda(E766)=12106214,"ROSA",IF(color_Celda(E766)=65535,"AMARILLO",IF(color_Celda(E766)=5296274,"VERDE",IF(color_Celda(E766)=16777215,"BLANCO","NO SE"))))</f>
        <v>AMARILLO</v>
      </c>
      <c r="Q766" s="32" t="s">
        <v>108</v>
      </c>
      <c r="R766" s="32" t="str">
        <f>VLOOKUP($Q766,Resultados!$A$1:$B$49,2,FALSE)</f>
        <v xml:space="preserve"> _</v>
      </c>
      <c r="S766" s="32"/>
      <c r="T766" s="37"/>
      <c r="U766" s="37"/>
      <c r="V766" s="39"/>
      <c r="W766" s="39"/>
      <c r="X766" s="39"/>
      <c r="Y766" s="165"/>
      <c r="Z766" s="39"/>
      <c r="AA766" s="39"/>
      <c r="AB766" s="39"/>
      <c r="AC766" s="39"/>
      <c r="AD766" s="39"/>
      <c r="AE766" s="110"/>
      <c r="AF766" s="39"/>
      <c r="AG766" s="39"/>
      <c r="AH766" s="39"/>
      <c r="AI766" s="39"/>
      <c r="AJ766" s="43" t="s">
        <v>988</v>
      </c>
      <c r="AK766" s="39"/>
      <c r="AL766" s="155" t="s">
        <v>1627</v>
      </c>
      <c r="AM766" s="431" t="str">
        <f>VLOOKUP($Q766,Resultados!$A$1:$C$49,3,FALSE)</f>
        <v>TRAMITE</v>
      </c>
    </row>
    <row r="767" spans="1:39" ht="39.950000000000003" customHeight="1">
      <c r="A767" s="364">
        <v>744</v>
      </c>
      <c r="B767" s="38">
        <v>45356</v>
      </c>
      <c r="C767" s="331"/>
      <c r="D767" s="32" t="s">
        <v>2086</v>
      </c>
      <c r="E767" s="40" t="s">
        <v>2087</v>
      </c>
      <c r="F767" s="39">
        <v>4</v>
      </c>
      <c r="G767" s="32" t="s">
        <v>325</v>
      </c>
      <c r="H767" s="38"/>
      <c r="I767" s="38"/>
      <c r="J767" s="38"/>
      <c r="K767" s="39" t="str">
        <f>IFERROR(VLOOKUP(J767,Jueces!$A$1:$B$11,2,FALSE),"")</f>
        <v/>
      </c>
      <c r="L767" s="32" t="s">
        <v>77</v>
      </c>
      <c r="M767" s="32" t="s">
        <v>234</v>
      </c>
      <c r="N767" s="32" t="s">
        <v>2088</v>
      </c>
      <c r="O767" s="16" t="str">
        <f>IF(Q767=" _","NO","SI")</f>
        <v>NO</v>
      </c>
      <c r="P767" s="24" t="str">
        <f ca="1">IF(color_Celda(E767)=12106214,"ROSA",IF(color_Celda(E767)=65535,"AMARILLO",IF(color_Celda(E767)=5296274,"VERDE",IF(color_Celda(E767)=16777215,"BLANCO","NO SE"))))</f>
        <v>AMARILLO</v>
      </c>
      <c r="Q767" s="32" t="s">
        <v>108</v>
      </c>
      <c r="R767" s="32" t="str">
        <f>VLOOKUP($Q767,Resultados!$A$1:$B$49,2,FALSE)</f>
        <v xml:space="preserve"> _</v>
      </c>
      <c r="S767" s="32"/>
      <c r="T767" s="37"/>
      <c r="U767" s="37"/>
      <c r="V767" s="39"/>
      <c r="W767" s="39"/>
      <c r="X767" s="39"/>
      <c r="Y767" s="165"/>
      <c r="Z767" s="39"/>
      <c r="AA767" s="39"/>
      <c r="AB767" s="39"/>
      <c r="AC767" s="39"/>
      <c r="AD767" s="39"/>
      <c r="AE767" s="110"/>
      <c r="AF767" s="39"/>
      <c r="AG767" s="39"/>
      <c r="AH767" s="39"/>
      <c r="AI767" s="39"/>
      <c r="AJ767" s="43" t="s">
        <v>988</v>
      </c>
      <c r="AK767" s="39"/>
      <c r="AL767" s="155" t="s">
        <v>1627</v>
      </c>
      <c r="AM767" s="431" t="str">
        <f>VLOOKUP($Q767,Resultados!$A$1:$C$49,3,FALSE)</f>
        <v>TRAMITE</v>
      </c>
    </row>
    <row r="768" spans="1:39" ht="39.950000000000003" customHeight="1">
      <c r="A768" s="364">
        <v>745</v>
      </c>
      <c r="B768" s="38">
        <v>45356</v>
      </c>
      <c r="C768" s="331"/>
      <c r="D768" s="32" t="s">
        <v>2089</v>
      </c>
      <c r="E768" s="40" t="s">
        <v>2090</v>
      </c>
      <c r="F768" s="39">
        <v>4</v>
      </c>
      <c r="G768" s="32" t="s">
        <v>325</v>
      </c>
      <c r="H768" s="38"/>
      <c r="I768" s="38"/>
      <c r="J768" s="38"/>
      <c r="K768" s="39" t="str">
        <f>IFERROR(VLOOKUP(J768,Jueces!$A$1:$B$11,2,FALSE),"")</f>
        <v/>
      </c>
      <c r="L768" s="32" t="s">
        <v>86</v>
      </c>
      <c r="M768" s="32" t="s">
        <v>45</v>
      </c>
      <c r="N768" s="32" t="s">
        <v>2466</v>
      </c>
      <c r="O768" s="16" t="str">
        <f>IF(Q768=" _","NO","SI")</f>
        <v>NO</v>
      </c>
      <c r="P768" s="24" t="str">
        <f ca="1">IF(color_Celda(E768)=12106214,"ROSA",IF(color_Celda(E768)=65535,"AMARILLO",IF(color_Celda(E768)=5296274,"VERDE",IF(color_Celda(E768)=16777215,"BLANCO","NO SE"))))</f>
        <v>AMARILLO</v>
      </c>
      <c r="Q768" s="32" t="s">
        <v>108</v>
      </c>
      <c r="R768" s="32" t="str">
        <f>VLOOKUP($Q768,Resultados!$A$1:$B$49,2,FALSE)</f>
        <v xml:space="preserve"> _</v>
      </c>
      <c r="S768" s="32"/>
      <c r="T768" s="37"/>
      <c r="U768" s="37"/>
      <c r="V768" s="39"/>
      <c r="W768" s="39"/>
      <c r="X768" s="39"/>
      <c r="Y768" s="165"/>
      <c r="Z768" s="39"/>
      <c r="AA768" s="39"/>
      <c r="AB768" s="39"/>
      <c r="AC768" s="39"/>
      <c r="AD768" s="39"/>
      <c r="AE768" s="110"/>
      <c r="AF768" s="39"/>
      <c r="AG768" s="39"/>
      <c r="AH768" s="39"/>
      <c r="AI768" s="39"/>
      <c r="AJ768" s="43" t="s">
        <v>988</v>
      </c>
      <c r="AK768" s="39"/>
      <c r="AL768" s="155" t="s">
        <v>1627</v>
      </c>
      <c r="AM768" s="431" t="str">
        <f>VLOOKUP($Q768,Resultados!$A$1:$C$49,3,FALSE)</f>
        <v>TRAMITE</v>
      </c>
    </row>
    <row r="769" spans="1:39" ht="39.950000000000003" customHeight="1">
      <c r="A769" s="364">
        <v>746</v>
      </c>
      <c r="B769" s="38">
        <v>45356</v>
      </c>
      <c r="C769" s="331">
        <v>0.34722222222222227</v>
      </c>
      <c r="D769" s="32" t="s">
        <v>2108</v>
      </c>
      <c r="E769" s="40" t="s">
        <v>2109</v>
      </c>
      <c r="F769" s="39">
        <v>3</v>
      </c>
      <c r="G769" s="32" t="s">
        <v>1750</v>
      </c>
      <c r="H769" s="38"/>
      <c r="I769" s="38"/>
      <c r="J769" s="38"/>
      <c r="K769" s="39" t="str">
        <f>IFERROR(VLOOKUP(J769,Jueces!$A$1:$B$11,2,FALSE),"")</f>
        <v/>
      </c>
      <c r="L769" s="32" t="s">
        <v>86</v>
      </c>
      <c r="M769" s="32" t="s">
        <v>202</v>
      </c>
      <c r="N769" s="32" t="s">
        <v>2110</v>
      </c>
      <c r="O769" s="16" t="str">
        <f>IF(Q769=" _","NO","SI")</f>
        <v>NO</v>
      </c>
      <c r="P769" s="24" t="str">
        <f ca="1">IF(color_Celda(E769)=12106214,"ROSA",IF(color_Celda(E769)=65535,"AMARILLO",IF(color_Celda(E769)=5296274,"VERDE",IF(color_Celda(E769)=16777215,"BLANCO","NO SE"))))</f>
        <v>AMARILLO</v>
      </c>
      <c r="Q769" s="32" t="s">
        <v>108</v>
      </c>
      <c r="R769" s="32" t="str">
        <f>VLOOKUP($Q769,Resultados!$A$1:$B$49,2,FALSE)</f>
        <v xml:space="preserve"> _</v>
      </c>
      <c r="S769" s="32"/>
      <c r="T769" s="37"/>
      <c r="U769" s="37"/>
      <c r="V769" s="39"/>
      <c r="W769" s="39"/>
      <c r="X769" s="39"/>
      <c r="Y769" s="165"/>
      <c r="Z769" s="39"/>
      <c r="AA769" s="39"/>
      <c r="AB769" s="39"/>
      <c r="AC769" s="39"/>
      <c r="AD769" s="39"/>
      <c r="AE769" s="110"/>
      <c r="AF769" s="39"/>
      <c r="AG769" s="39"/>
      <c r="AH769" s="39"/>
      <c r="AI769" s="39"/>
      <c r="AJ769" s="43" t="s">
        <v>988</v>
      </c>
      <c r="AK769" s="39"/>
      <c r="AL769" s="155" t="s">
        <v>1627</v>
      </c>
      <c r="AM769" s="431" t="str">
        <f>VLOOKUP($Q769,Resultados!$A$1:$C$49,3,FALSE)</f>
        <v>TRAMITE</v>
      </c>
    </row>
    <row r="770" spans="1:39" ht="39.950000000000003" customHeight="1">
      <c r="A770" s="364">
        <v>747</v>
      </c>
      <c r="B770" s="38">
        <v>45356</v>
      </c>
      <c r="C770" s="337" t="s">
        <v>2138</v>
      </c>
      <c r="D770" s="32" t="s">
        <v>2141</v>
      </c>
      <c r="E770" s="40" t="s">
        <v>2142</v>
      </c>
      <c r="F770" s="39">
        <v>5</v>
      </c>
      <c r="G770" s="32" t="s">
        <v>10</v>
      </c>
      <c r="H770" s="38"/>
      <c r="I770" s="38"/>
      <c r="J770" s="38"/>
      <c r="K770" s="39" t="str">
        <f>IFERROR(VLOOKUP(J770,Jueces!$A$1:$B$11,2,FALSE),"")</f>
        <v/>
      </c>
      <c r="L770" s="32" t="s">
        <v>73</v>
      </c>
      <c r="M770" s="32" t="s">
        <v>234</v>
      </c>
      <c r="N770" s="32" t="s">
        <v>2133</v>
      </c>
      <c r="O770" s="16" t="str">
        <f>IF(Q770=" _","NO","SI")</f>
        <v>NO</v>
      </c>
      <c r="P770" s="24" t="str">
        <f ca="1">IF(color_Celda(E770)=12106214,"ROSA",IF(color_Celda(E770)=65535,"AMARILLO",IF(color_Celda(E770)=5296274,"VERDE",IF(color_Celda(E770)=16777215,"BLANCO","NO SE"))))</f>
        <v>AMARILLO</v>
      </c>
      <c r="Q770" s="32" t="s">
        <v>108</v>
      </c>
      <c r="R770" s="32" t="str">
        <f>VLOOKUP($Q770,Resultados!$A$1:$B$49,2,FALSE)</f>
        <v xml:space="preserve"> _</v>
      </c>
      <c r="S770" s="32"/>
      <c r="T770" s="37"/>
      <c r="U770" s="37"/>
      <c r="V770" s="39"/>
      <c r="W770" s="39"/>
      <c r="X770" s="39"/>
      <c r="Y770" s="165"/>
      <c r="Z770" s="39"/>
      <c r="AA770" s="39"/>
      <c r="AB770" s="39"/>
      <c r="AC770" s="39"/>
      <c r="AD770" s="39"/>
      <c r="AE770" s="110"/>
      <c r="AF770" s="39"/>
      <c r="AG770" s="39"/>
      <c r="AH770" s="39"/>
      <c r="AI770" s="39"/>
      <c r="AJ770" s="43" t="s">
        <v>988</v>
      </c>
      <c r="AK770" s="39"/>
      <c r="AL770" s="155" t="s">
        <v>1627</v>
      </c>
      <c r="AM770" s="431" t="str">
        <f>VLOOKUP($Q770,Resultados!$A$1:$C$49,3,FALSE)</f>
        <v>TRAMITE</v>
      </c>
    </row>
    <row r="771" spans="1:39" ht="39.950000000000003" customHeight="1">
      <c r="A771" s="364">
        <v>748</v>
      </c>
      <c r="B771" s="38">
        <v>45357</v>
      </c>
      <c r="C771" s="337" t="s">
        <v>1958</v>
      </c>
      <c r="D771" s="32" t="s">
        <v>2114</v>
      </c>
      <c r="E771" s="40" t="s">
        <v>2159</v>
      </c>
      <c r="F771" s="39">
        <v>5</v>
      </c>
      <c r="G771" s="32" t="s">
        <v>10</v>
      </c>
      <c r="H771" s="38"/>
      <c r="I771" s="38"/>
      <c r="J771" s="38"/>
      <c r="K771" s="39" t="str">
        <f>IFERROR(VLOOKUP(J771,Jueces!$A$1:$B$11,2,FALSE),"")</f>
        <v/>
      </c>
      <c r="L771" s="32" t="s">
        <v>87</v>
      </c>
      <c r="M771" s="32" t="s">
        <v>2160</v>
      </c>
      <c r="N771" s="32" t="s">
        <v>2133</v>
      </c>
      <c r="O771" s="16" t="str">
        <f>IF(Q771=" _","NO","SI")</f>
        <v>NO</v>
      </c>
      <c r="P771" s="24" t="str">
        <f ca="1">IF(color_Celda(E771)=12106214,"ROSA",IF(color_Celda(E771)=65535,"AMARILLO",IF(color_Celda(E771)=5296274,"VERDE",IF(color_Celda(E771)=16777215,"BLANCO","NO SE"))))</f>
        <v>AMARILLO</v>
      </c>
      <c r="Q771" s="32" t="s">
        <v>108</v>
      </c>
      <c r="R771" s="32" t="str">
        <f>VLOOKUP($Q771,Resultados!$A$1:$B$49,2,FALSE)</f>
        <v xml:space="preserve"> _</v>
      </c>
      <c r="S771" s="32"/>
      <c r="T771" s="37"/>
      <c r="U771" s="37"/>
      <c r="V771" s="39"/>
      <c r="W771" s="39"/>
      <c r="X771" s="39"/>
      <c r="Y771" s="165"/>
      <c r="Z771" s="39"/>
      <c r="AA771" s="39"/>
      <c r="AB771" s="39"/>
      <c r="AC771" s="39"/>
      <c r="AD771" s="39"/>
      <c r="AE771" s="110"/>
      <c r="AF771" s="39"/>
      <c r="AG771" s="39"/>
      <c r="AH771" s="39"/>
      <c r="AI771" s="39"/>
      <c r="AJ771" s="43" t="s">
        <v>988</v>
      </c>
      <c r="AK771" s="39"/>
      <c r="AL771" s="155" t="s">
        <v>1627</v>
      </c>
      <c r="AM771" s="431" t="str">
        <f>VLOOKUP($Q771,Resultados!$A$1:$C$49,3,FALSE)</f>
        <v>TRAMITE</v>
      </c>
    </row>
    <row r="772" spans="1:39" ht="39.950000000000003" customHeight="1">
      <c r="A772" s="364">
        <v>749</v>
      </c>
      <c r="B772" s="38">
        <v>45357</v>
      </c>
      <c r="C772" s="337" t="s">
        <v>913</v>
      </c>
      <c r="D772" s="32" t="s">
        <v>2115</v>
      </c>
      <c r="E772" s="40" t="s">
        <v>2116</v>
      </c>
      <c r="F772" s="39">
        <v>5</v>
      </c>
      <c r="G772" s="32" t="s">
        <v>10</v>
      </c>
      <c r="H772" s="38"/>
      <c r="I772" s="38"/>
      <c r="J772" s="38"/>
      <c r="K772" s="39" t="str">
        <f>IFERROR(VLOOKUP(J772,Jueces!$A$1:$B$11,2,FALSE),"")</f>
        <v/>
      </c>
      <c r="L772" s="32" t="s">
        <v>25</v>
      </c>
      <c r="M772" s="32" t="s">
        <v>49</v>
      </c>
      <c r="N772" s="32" t="s">
        <v>2158</v>
      </c>
      <c r="O772" s="16" t="str">
        <f>IF(Q772=" _","NO","SI")</f>
        <v>NO</v>
      </c>
      <c r="P772" s="24" t="str">
        <f ca="1">IF(color_Celda(E772)=12106214,"ROSA",IF(color_Celda(E772)=65535,"AMARILLO",IF(color_Celda(E772)=5296274,"VERDE",IF(color_Celda(E772)=16777215,"BLANCO","NO SE"))))</f>
        <v>AMARILLO</v>
      </c>
      <c r="Q772" s="32" t="s">
        <v>108</v>
      </c>
      <c r="R772" s="32" t="str">
        <f>VLOOKUP($Q772,Resultados!$A$1:$B$49,2,FALSE)</f>
        <v xml:space="preserve"> _</v>
      </c>
      <c r="S772" s="32"/>
      <c r="T772" s="37"/>
      <c r="U772" s="37"/>
      <c r="V772" s="39"/>
      <c r="W772" s="39"/>
      <c r="X772" s="39"/>
      <c r="Y772" s="165"/>
      <c r="Z772" s="39"/>
      <c r="AA772" s="39"/>
      <c r="AB772" s="39"/>
      <c r="AC772" s="39"/>
      <c r="AD772" s="39"/>
      <c r="AE772" s="110"/>
      <c r="AF772" s="39"/>
      <c r="AG772" s="39"/>
      <c r="AH772" s="39"/>
      <c r="AI772" s="39"/>
      <c r="AJ772" s="43" t="s">
        <v>988</v>
      </c>
      <c r="AK772" s="39"/>
      <c r="AL772" s="155" t="s">
        <v>1627</v>
      </c>
      <c r="AM772" s="431" t="str">
        <f>VLOOKUP($Q772,Resultados!$A$1:$C$49,3,FALSE)</f>
        <v>TRAMITE</v>
      </c>
    </row>
    <row r="773" spans="1:39" ht="39.950000000000003" customHeight="1">
      <c r="A773" s="364">
        <v>751</v>
      </c>
      <c r="B773" s="38">
        <v>45357</v>
      </c>
      <c r="C773" s="337" t="s">
        <v>2117</v>
      </c>
      <c r="D773" s="32" t="s">
        <v>2120</v>
      </c>
      <c r="E773" s="41" t="s">
        <v>2121</v>
      </c>
      <c r="F773" s="39">
        <v>1</v>
      </c>
      <c r="G773" s="39" t="s">
        <v>325</v>
      </c>
      <c r="H773" s="38"/>
      <c r="I773" s="38"/>
      <c r="J773" s="38"/>
      <c r="K773" s="39" t="str">
        <f>IFERROR(VLOOKUP(J773,Jueces!$A$1:$B$11,2,FALSE),"")</f>
        <v/>
      </c>
      <c r="L773" s="32" t="s">
        <v>2172</v>
      </c>
      <c r="M773" s="32" t="s">
        <v>1289</v>
      </c>
      <c r="N773" s="32" t="s">
        <v>2426</v>
      </c>
      <c r="O773" s="16" t="str">
        <f>IF(Q773=" _","NO","SI")</f>
        <v>NO</v>
      </c>
      <c r="P773" s="24" t="str">
        <f ca="1">IF(color_Celda(E773)=12106214,"ROSA",IF(color_Celda(E773)=65535,"AMARILLO",IF(color_Celda(E773)=5296274,"VERDE",IF(color_Celda(E773)=16777215,"BLANCO","NO SE"))))</f>
        <v>AMARILLO</v>
      </c>
      <c r="Q773" s="32" t="s">
        <v>108</v>
      </c>
      <c r="R773" s="32" t="str">
        <f>VLOOKUP($Q773,Resultados!$A$1:$B$49,2,FALSE)</f>
        <v xml:space="preserve"> _</v>
      </c>
      <c r="S773" s="32"/>
      <c r="T773" s="37"/>
      <c r="U773" s="37"/>
      <c r="V773" s="39"/>
      <c r="W773" s="39"/>
      <c r="X773" s="39"/>
      <c r="Y773" s="165"/>
      <c r="Z773" s="39"/>
      <c r="AA773" s="39"/>
      <c r="AB773" s="39"/>
      <c r="AC773" s="39"/>
      <c r="AD773" s="39"/>
      <c r="AE773" s="110"/>
      <c r="AF773" s="39"/>
      <c r="AG773" s="39"/>
      <c r="AH773" s="39"/>
      <c r="AI773" s="39"/>
      <c r="AJ773" s="43" t="s">
        <v>408</v>
      </c>
      <c r="AK773" s="39"/>
      <c r="AL773" s="155" t="s">
        <v>1627</v>
      </c>
      <c r="AM773" s="431" t="str">
        <f>VLOOKUP($Q773,Resultados!$A$1:$C$49,3,FALSE)</f>
        <v>TRAMITE</v>
      </c>
    </row>
    <row r="774" spans="1:39" ht="39.950000000000003" customHeight="1">
      <c r="A774" s="364">
        <v>753</v>
      </c>
      <c r="B774" s="38">
        <v>45357</v>
      </c>
      <c r="C774" s="337" t="s">
        <v>744</v>
      </c>
      <c r="D774" s="32" t="s">
        <v>2123</v>
      </c>
      <c r="E774" s="40" t="s">
        <v>2124</v>
      </c>
      <c r="F774" s="39">
        <v>2</v>
      </c>
      <c r="G774" s="32" t="s">
        <v>325</v>
      </c>
      <c r="H774" s="38"/>
      <c r="I774" s="38"/>
      <c r="J774" s="38"/>
      <c r="K774" s="39" t="str">
        <f>IFERROR(VLOOKUP(J774,Jueces!$A$1:$B$11,2,FALSE),"")</f>
        <v/>
      </c>
      <c r="L774" s="32" t="s">
        <v>73</v>
      </c>
      <c r="M774" s="32" t="s">
        <v>1355</v>
      </c>
      <c r="N774" s="32" t="s">
        <v>2219</v>
      </c>
      <c r="O774" s="16" t="str">
        <f>IF(Q774=" _","NO","SI")</f>
        <v>NO</v>
      </c>
      <c r="P774" s="24" t="str">
        <f ca="1">IF(color_Celda(E774)=12106214,"ROSA",IF(color_Celda(E774)=65535,"AMARILLO",IF(color_Celda(E774)=5296274,"VERDE",IF(color_Celda(E774)=16777215,"BLANCO","NO SE"))))</f>
        <v>AMARILLO</v>
      </c>
      <c r="Q774" s="32" t="s">
        <v>108</v>
      </c>
      <c r="R774" s="32" t="str">
        <f>VLOOKUP($Q774,Resultados!$A$1:$B$49,2,FALSE)</f>
        <v xml:space="preserve"> _</v>
      </c>
      <c r="S774" s="32"/>
      <c r="T774" s="37"/>
      <c r="U774" s="37"/>
      <c r="V774" s="39"/>
      <c r="W774" s="39"/>
      <c r="X774" s="39"/>
      <c r="Y774" s="165"/>
      <c r="Z774" s="39"/>
      <c r="AA774" s="39"/>
      <c r="AB774" s="39"/>
      <c r="AC774" s="39"/>
      <c r="AD774" s="39"/>
      <c r="AE774" s="110"/>
      <c r="AF774" s="39"/>
      <c r="AG774" s="39"/>
      <c r="AH774" s="39"/>
      <c r="AI774" s="39"/>
      <c r="AJ774" s="43" t="s">
        <v>988</v>
      </c>
      <c r="AK774" s="39"/>
      <c r="AL774" s="155" t="s">
        <v>1627</v>
      </c>
      <c r="AM774" s="431" t="str">
        <f>VLOOKUP($Q774,Resultados!$A$1:$C$49,3,FALSE)</f>
        <v>TRAMITE</v>
      </c>
    </row>
    <row r="775" spans="1:39" ht="39.950000000000003" customHeight="1">
      <c r="A775" s="364">
        <v>754</v>
      </c>
      <c r="B775" s="38">
        <v>45357</v>
      </c>
      <c r="C775" s="337" t="s">
        <v>2125</v>
      </c>
      <c r="D775" s="32" t="s">
        <v>2126</v>
      </c>
      <c r="E775" s="40" t="s">
        <v>2127</v>
      </c>
      <c r="F775" s="39">
        <v>5</v>
      </c>
      <c r="G775" s="32" t="s">
        <v>10</v>
      </c>
      <c r="H775" s="38"/>
      <c r="I775" s="38"/>
      <c r="J775" s="38"/>
      <c r="K775" s="39" t="str">
        <f>IFERROR(VLOOKUP(J775,Jueces!$A$1:$B$11,2,FALSE),"")</f>
        <v/>
      </c>
      <c r="L775" s="32" t="s">
        <v>25</v>
      </c>
      <c r="M775" s="32" t="s">
        <v>2157</v>
      </c>
      <c r="N775" s="32" t="s">
        <v>2139</v>
      </c>
      <c r="O775" s="16" t="str">
        <f>IF(Q775=" _","NO","SI")</f>
        <v>NO</v>
      </c>
      <c r="P775" s="24" t="str">
        <f ca="1">IF(color_Celda(E775)=12106214,"ROSA",IF(color_Celda(E775)=65535,"AMARILLO",IF(color_Celda(E775)=5296274,"VERDE",IF(color_Celda(E775)=16777215,"BLANCO","NO SE"))))</f>
        <v>AMARILLO</v>
      </c>
      <c r="Q775" s="32" t="s">
        <v>108</v>
      </c>
      <c r="R775" s="32" t="str">
        <f>VLOOKUP($Q775,Resultados!$A$1:$B$49,2,FALSE)</f>
        <v xml:space="preserve"> _</v>
      </c>
      <c r="S775" s="32"/>
      <c r="T775" s="37"/>
      <c r="U775" s="37"/>
      <c r="V775" s="39"/>
      <c r="W775" s="39"/>
      <c r="X775" s="39"/>
      <c r="Y775" s="165"/>
      <c r="Z775" s="39"/>
      <c r="AA775" s="39"/>
      <c r="AB775" s="39"/>
      <c r="AC775" s="39"/>
      <c r="AD775" s="39"/>
      <c r="AE775" s="110"/>
      <c r="AF775" s="39"/>
      <c r="AG775" s="39"/>
      <c r="AH775" s="39"/>
      <c r="AI775" s="39"/>
      <c r="AJ775" s="43" t="s">
        <v>988</v>
      </c>
      <c r="AK775" s="39"/>
      <c r="AL775" s="155" t="s">
        <v>1627</v>
      </c>
      <c r="AM775" s="431" t="str">
        <f>VLOOKUP($Q775,Resultados!$A$1:$C$49,3,FALSE)</f>
        <v>TRAMITE</v>
      </c>
    </row>
    <row r="776" spans="1:39" ht="39.950000000000003" customHeight="1">
      <c r="A776" s="364">
        <v>755</v>
      </c>
      <c r="B776" s="38">
        <v>45357</v>
      </c>
      <c r="C776" s="337" t="s">
        <v>16</v>
      </c>
      <c r="D776" s="32" t="s">
        <v>2161</v>
      </c>
      <c r="E776" s="40" t="s">
        <v>2162</v>
      </c>
      <c r="F776" s="39">
        <v>4</v>
      </c>
      <c r="G776" s="32" t="s">
        <v>325</v>
      </c>
      <c r="H776" s="38"/>
      <c r="I776" s="38"/>
      <c r="J776" s="38"/>
      <c r="K776" s="39" t="str">
        <f>IFERROR(VLOOKUP(J776,Jueces!$A$1:$B$11,2,FALSE),"")</f>
        <v/>
      </c>
      <c r="L776" s="32" t="s">
        <v>75</v>
      </c>
      <c r="M776" s="32" t="s">
        <v>226</v>
      </c>
      <c r="N776" s="32" t="s">
        <v>2139</v>
      </c>
      <c r="O776" s="16" t="str">
        <f>IF(Q776=" _","NO","SI")</f>
        <v>NO</v>
      </c>
      <c r="P776" s="24" t="str">
        <f ca="1">IF(color_Celda(E776)=12106214,"ROSA",IF(color_Celda(E776)=65535,"AMARILLO",IF(color_Celda(E776)=5296274,"VERDE",IF(color_Celda(E776)=16777215,"BLANCO","NO SE"))))</f>
        <v>AMARILLO</v>
      </c>
      <c r="Q776" s="32" t="s">
        <v>108</v>
      </c>
      <c r="R776" s="32" t="str">
        <f>VLOOKUP($Q776,Resultados!$A$1:$B$49,2,FALSE)</f>
        <v xml:space="preserve"> _</v>
      </c>
      <c r="S776" s="32"/>
      <c r="T776" s="37"/>
      <c r="U776" s="37"/>
      <c r="V776" s="39"/>
      <c r="W776" s="39"/>
      <c r="X776" s="39"/>
      <c r="Y776" s="165"/>
      <c r="Z776" s="39"/>
      <c r="AA776" s="39"/>
      <c r="AB776" s="39"/>
      <c r="AC776" s="39"/>
      <c r="AD776" s="39"/>
      <c r="AE776" s="110"/>
      <c r="AF776" s="39"/>
      <c r="AG776" s="39"/>
      <c r="AH776" s="39"/>
      <c r="AI776" s="39"/>
      <c r="AJ776" s="43" t="s">
        <v>988</v>
      </c>
      <c r="AK776" s="39"/>
      <c r="AL776" s="155" t="s">
        <v>1627</v>
      </c>
      <c r="AM776" s="431" t="str">
        <f>VLOOKUP($Q776,Resultados!$A$1:$C$49,3,FALSE)</f>
        <v>TRAMITE</v>
      </c>
    </row>
    <row r="777" spans="1:39" ht="39.950000000000003" customHeight="1">
      <c r="A777" s="364">
        <v>756</v>
      </c>
      <c r="B777" s="38">
        <v>45357</v>
      </c>
      <c r="C777" s="337" t="s">
        <v>16</v>
      </c>
      <c r="D777" s="32" t="s">
        <v>2163</v>
      </c>
      <c r="E777" s="40" t="s">
        <v>2164</v>
      </c>
      <c r="F777" s="39">
        <v>4</v>
      </c>
      <c r="G777" s="39" t="s">
        <v>325</v>
      </c>
      <c r="H777" s="38"/>
      <c r="I777" s="38"/>
      <c r="J777" s="38"/>
      <c r="K777" s="39" t="str">
        <f>IFERROR(VLOOKUP(J777,Jueces!$A$1:$B$11,2,FALSE),"")</f>
        <v/>
      </c>
      <c r="L777" s="32" t="s">
        <v>72</v>
      </c>
      <c r="M777" s="32" t="s">
        <v>226</v>
      </c>
      <c r="N777" s="32" t="s">
        <v>2133</v>
      </c>
      <c r="O777" s="16" t="str">
        <f>IF(Q777=" _","NO","SI")</f>
        <v>NO</v>
      </c>
      <c r="P777" s="24" t="str">
        <f ca="1">IF(color_Celda(E777)=12106214,"ROSA",IF(color_Celda(E777)=65535,"AMARILLO",IF(color_Celda(E777)=5296274,"VERDE",IF(color_Celda(E777)=16777215,"BLANCO","NO SE"))))</f>
        <v>AMARILLO</v>
      </c>
      <c r="Q777" s="32" t="s">
        <v>108</v>
      </c>
      <c r="R777" s="32" t="str">
        <f>VLOOKUP($Q777,Resultados!$A$1:$B$49,2,FALSE)</f>
        <v xml:space="preserve"> _</v>
      </c>
      <c r="S777" s="32"/>
      <c r="T777" s="37"/>
      <c r="U777" s="37"/>
      <c r="V777" s="39"/>
      <c r="W777" s="39"/>
      <c r="X777" s="39"/>
      <c r="Y777" s="165"/>
      <c r="Z777" s="39"/>
      <c r="AA777" s="39"/>
      <c r="AB777" s="39"/>
      <c r="AC777" s="39"/>
      <c r="AD777" s="39"/>
      <c r="AE777" s="110"/>
      <c r="AF777" s="39"/>
      <c r="AG777" s="39"/>
      <c r="AH777" s="39"/>
      <c r="AI777" s="39"/>
      <c r="AJ777" s="43" t="s">
        <v>988</v>
      </c>
      <c r="AK777" s="39"/>
      <c r="AL777" s="155" t="s">
        <v>1627</v>
      </c>
      <c r="AM777" s="431" t="str">
        <f>VLOOKUP($Q777,Resultados!$A$1:$C$49,3,FALSE)</f>
        <v>TRAMITE</v>
      </c>
    </row>
    <row r="778" spans="1:39" ht="39.950000000000003" customHeight="1">
      <c r="A778" s="364">
        <v>757</v>
      </c>
      <c r="B778" s="38">
        <v>45357</v>
      </c>
      <c r="C778" s="337" t="s">
        <v>16</v>
      </c>
      <c r="D778" s="32" t="s">
        <v>2165</v>
      </c>
      <c r="E778" s="40" t="s">
        <v>2166</v>
      </c>
      <c r="F778" s="39">
        <v>4</v>
      </c>
      <c r="G778" s="39" t="s">
        <v>325</v>
      </c>
      <c r="H778" s="38"/>
      <c r="I778" s="38"/>
      <c r="J778" s="38"/>
      <c r="K778" s="39" t="str">
        <f>IFERROR(VLOOKUP(J778,Jueces!$A$1:$B$11,2,FALSE),"")</f>
        <v/>
      </c>
      <c r="L778" s="32" t="s">
        <v>74</v>
      </c>
      <c r="M778" s="32" t="s">
        <v>46</v>
      </c>
      <c r="N778" s="32" t="s">
        <v>2139</v>
      </c>
      <c r="O778" s="16" t="str">
        <f>IF(Q778=" _","NO","SI")</f>
        <v>NO</v>
      </c>
      <c r="P778" s="24" t="str">
        <f ca="1">IF(color_Celda(E778)=12106214,"ROSA",IF(color_Celda(E778)=65535,"AMARILLO",IF(color_Celda(E778)=5296274,"VERDE",IF(color_Celda(E778)=16777215,"BLANCO","NO SE"))))</f>
        <v>AMARILLO</v>
      </c>
      <c r="Q778" s="32" t="s">
        <v>108</v>
      </c>
      <c r="R778" s="32" t="str">
        <f>VLOOKUP($Q778,Resultados!$A$1:$B$49,2,FALSE)</f>
        <v xml:space="preserve"> _</v>
      </c>
      <c r="S778" s="32"/>
      <c r="T778" s="37"/>
      <c r="U778" s="37"/>
      <c r="V778" s="39"/>
      <c r="W778" s="39"/>
      <c r="X778" s="39"/>
      <c r="Y778" s="165"/>
      <c r="Z778" s="39"/>
      <c r="AA778" s="39"/>
      <c r="AB778" s="39"/>
      <c r="AC778" s="39"/>
      <c r="AD778" s="39"/>
      <c r="AE778" s="110"/>
      <c r="AF778" s="39"/>
      <c r="AG778" s="39"/>
      <c r="AH778" s="39"/>
      <c r="AI778" s="39"/>
      <c r="AJ778" s="43" t="s">
        <v>988</v>
      </c>
      <c r="AK778" s="39"/>
      <c r="AL778" s="155" t="s">
        <v>1627</v>
      </c>
      <c r="AM778" s="431" t="str">
        <f>VLOOKUP($Q778,Resultados!$A$1:$C$49,3,FALSE)</f>
        <v>TRAMITE</v>
      </c>
    </row>
    <row r="779" spans="1:39" ht="39.950000000000003" customHeight="1">
      <c r="A779" s="364">
        <v>758</v>
      </c>
      <c r="B779" s="38">
        <v>45357</v>
      </c>
      <c r="C779" s="337" t="s">
        <v>16</v>
      </c>
      <c r="D779" s="32" t="s">
        <v>2174</v>
      </c>
      <c r="E779" s="40" t="s">
        <v>2175</v>
      </c>
      <c r="F779" s="39">
        <v>4</v>
      </c>
      <c r="G779" s="39" t="s">
        <v>325</v>
      </c>
      <c r="H779" s="38"/>
      <c r="I779" s="38"/>
      <c r="J779" s="38"/>
      <c r="K779" s="39" t="str">
        <f>IFERROR(VLOOKUP(J779,Jueces!$A$1:$B$11,2,FALSE),"")</f>
        <v/>
      </c>
      <c r="L779" s="32" t="s">
        <v>78</v>
      </c>
      <c r="M779" s="32" t="s">
        <v>2008</v>
      </c>
      <c r="N779" s="32" t="s">
        <v>2211</v>
      </c>
      <c r="O779" s="16" t="str">
        <f>IF(Q779=" _","NO","SI")</f>
        <v>NO</v>
      </c>
      <c r="P779" s="24" t="str">
        <f ca="1">IF(color_Celda(E779)=12106214,"ROSA",IF(color_Celda(E779)=65535,"AMARILLO",IF(color_Celda(E779)=5296274,"VERDE",IF(color_Celda(E779)=16777215,"BLANCO","NO SE"))))</f>
        <v>AMARILLO</v>
      </c>
      <c r="Q779" s="32" t="s">
        <v>108</v>
      </c>
      <c r="R779" s="32" t="str">
        <f>VLOOKUP($Q779,Resultados!$A$1:$B$49,2,FALSE)</f>
        <v xml:space="preserve"> _</v>
      </c>
      <c r="S779" s="32"/>
      <c r="T779" s="37"/>
      <c r="U779" s="37"/>
      <c r="V779" s="39"/>
      <c r="W779" s="39"/>
      <c r="X779" s="39"/>
      <c r="Y779" s="165"/>
      <c r="Z779" s="39"/>
      <c r="AA779" s="39"/>
      <c r="AB779" s="39"/>
      <c r="AC779" s="39"/>
      <c r="AD779" s="39"/>
      <c r="AE779" s="110"/>
      <c r="AF779" s="39"/>
      <c r="AG779" s="39"/>
      <c r="AH779" s="39"/>
      <c r="AI779" s="39"/>
      <c r="AJ779" s="43" t="s">
        <v>988</v>
      </c>
      <c r="AK779" s="39"/>
      <c r="AL779" s="155" t="s">
        <v>1627</v>
      </c>
      <c r="AM779" s="431" t="str">
        <f>VLOOKUP($Q779,Resultados!$A$1:$C$49,3,FALSE)</f>
        <v>TRAMITE</v>
      </c>
    </row>
    <row r="780" spans="1:39" ht="39.950000000000003" customHeight="1">
      <c r="A780" s="364">
        <v>759</v>
      </c>
      <c r="B780" s="38">
        <v>45357</v>
      </c>
      <c r="C780" s="337" t="s">
        <v>16</v>
      </c>
      <c r="D780" s="32" t="s">
        <v>2176</v>
      </c>
      <c r="E780" s="40" t="s">
        <v>2177</v>
      </c>
      <c r="F780" s="39">
        <v>4</v>
      </c>
      <c r="G780" s="39" t="s">
        <v>325</v>
      </c>
      <c r="H780" s="38"/>
      <c r="I780" s="38"/>
      <c r="J780" s="38"/>
      <c r="K780" s="39" t="str">
        <f>IFERROR(VLOOKUP(J780,Jueces!$A$1:$B$11,2,FALSE),"")</f>
        <v/>
      </c>
      <c r="L780" s="32" t="s">
        <v>2169</v>
      </c>
      <c r="M780" s="32" t="s">
        <v>45</v>
      </c>
      <c r="N780" s="32" t="s">
        <v>2211</v>
      </c>
      <c r="O780" s="16" t="str">
        <f>IF(Q780=" _","NO","SI")</f>
        <v>NO</v>
      </c>
      <c r="P780" s="24" t="str">
        <f ca="1">IF(color_Celda(E780)=12106214,"ROSA",IF(color_Celda(E780)=65535,"AMARILLO",IF(color_Celda(E780)=5296274,"VERDE",IF(color_Celda(E780)=16777215,"BLANCO","NO SE"))))</f>
        <v>AMARILLO</v>
      </c>
      <c r="Q780" s="32" t="s">
        <v>108</v>
      </c>
      <c r="R780" s="32" t="str">
        <f>VLOOKUP($Q780,Resultados!$A$1:$B$49,2,FALSE)</f>
        <v xml:space="preserve"> _</v>
      </c>
      <c r="S780" s="32"/>
      <c r="T780" s="37"/>
      <c r="U780" s="37"/>
      <c r="V780" s="39"/>
      <c r="W780" s="39"/>
      <c r="X780" s="39"/>
      <c r="Y780" s="165"/>
      <c r="Z780" s="39"/>
      <c r="AA780" s="39"/>
      <c r="AB780" s="39"/>
      <c r="AC780" s="39"/>
      <c r="AD780" s="39"/>
      <c r="AE780" s="110"/>
      <c r="AF780" s="39"/>
      <c r="AG780" s="39"/>
      <c r="AH780" s="39"/>
      <c r="AI780" s="39"/>
      <c r="AJ780" s="43" t="s">
        <v>988</v>
      </c>
      <c r="AK780" s="39"/>
      <c r="AL780" s="155" t="s">
        <v>1627</v>
      </c>
      <c r="AM780" s="431" t="str">
        <f>VLOOKUP($Q780,Resultados!$A$1:$C$49,3,FALSE)</f>
        <v>TRAMITE</v>
      </c>
    </row>
    <row r="781" spans="1:39" ht="39.950000000000003" customHeight="1">
      <c r="A781" s="364">
        <v>760</v>
      </c>
      <c r="B781" s="38">
        <v>45357</v>
      </c>
      <c r="C781" s="337" t="s">
        <v>16</v>
      </c>
      <c r="D781" s="32" t="s">
        <v>2178</v>
      </c>
      <c r="E781" s="40" t="s">
        <v>2181</v>
      </c>
      <c r="F781" s="39">
        <v>4</v>
      </c>
      <c r="G781" s="32" t="s">
        <v>325</v>
      </c>
      <c r="H781" s="38"/>
      <c r="I781" s="38"/>
      <c r="J781" s="38"/>
      <c r="K781" s="39" t="str">
        <f>IFERROR(VLOOKUP(J781,Jueces!$A$1:$B$11,2,FALSE),"")</f>
        <v/>
      </c>
      <c r="L781" s="32" t="s">
        <v>2171</v>
      </c>
      <c r="M781" s="32" t="s">
        <v>46</v>
      </c>
      <c r="N781" s="32" t="s">
        <v>2211</v>
      </c>
      <c r="O781" s="16" t="str">
        <f>IF(Q781=" _","NO","SI")</f>
        <v>NO</v>
      </c>
      <c r="P781" s="24" t="str">
        <f ca="1">IF(color_Celda(E781)=12106214,"ROSA",IF(color_Celda(E781)=65535,"AMARILLO",IF(color_Celda(E781)=5296274,"VERDE",IF(color_Celda(E781)=16777215,"BLANCO","NO SE"))))</f>
        <v>AMARILLO</v>
      </c>
      <c r="Q781" s="32" t="s">
        <v>108</v>
      </c>
      <c r="R781" s="32" t="str">
        <f>VLOOKUP($Q781,Resultados!$A$1:$B$49,2,FALSE)</f>
        <v xml:space="preserve"> _</v>
      </c>
      <c r="S781" s="32"/>
      <c r="T781" s="37"/>
      <c r="U781" s="37"/>
      <c r="V781" s="39"/>
      <c r="W781" s="39"/>
      <c r="X781" s="39"/>
      <c r="Y781" s="165"/>
      <c r="Z781" s="39"/>
      <c r="AA781" s="39"/>
      <c r="AB781" s="39"/>
      <c r="AC781" s="39"/>
      <c r="AD781" s="39"/>
      <c r="AE781" s="110"/>
      <c r="AF781" s="39"/>
      <c r="AG781" s="39"/>
      <c r="AH781" s="39"/>
      <c r="AI781" s="39"/>
      <c r="AJ781" s="43" t="s">
        <v>988</v>
      </c>
      <c r="AK781" s="39"/>
      <c r="AL781" s="155" t="s">
        <v>1627</v>
      </c>
      <c r="AM781" s="431" t="str">
        <f>VLOOKUP($Q781,Resultados!$A$1:$C$49,3,FALSE)</f>
        <v>TRAMITE</v>
      </c>
    </row>
    <row r="782" spans="1:39" ht="39.950000000000003" customHeight="1">
      <c r="A782" s="364">
        <v>761</v>
      </c>
      <c r="B782" s="38">
        <v>45357</v>
      </c>
      <c r="C782" s="337" t="s">
        <v>16</v>
      </c>
      <c r="D782" s="32" t="s">
        <v>2179</v>
      </c>
      <c r="E782" s="40" t="s">
        <v>2180</v>
      </c>
      <c r="F782" s="39">
        <v>4</v>
      </c>
      <c r="G782" s="39" t="s">
        <v>325</v>
      </c>
      <c r="H782" s="38"/>
      <c r="I782" s="38"/>
      <c r="J782" s="38"/>
      <c r="K782" s="39" t="str">
        <f>IFERROR(VLOOKUP(J782,Jueces!$A$1:$B$11,2,FALSE),"")</f>
        <v/>
      </c>
      <c r="L782" s="32" t="s">
        <v>77</v>
      </c>
      <c r="M782" s="32" t="s">
        <v>62</v>
      </c>
      <c r="N782" s="32" t="s">
        <v>2211</v>
      </c>
      <c r="O782" s="16" t="str">
        <f>IF(Q782=" _","NO","SI")</f>
        <v>NO</v>
      </c>
      <c r="P782" s="24" t="str">
        <f ca="1">IF(color_Celda(E782)=12106214,"ROSA",IF(color_Celda(E782)=65535,"AMARILLO",IF(color_Celda(E782)=5296274,"VERDE",IF(color_Celda(E782)=16777215,"BLANCO","NO SE"))))</f>
        <v>AMARILLO</v>
      </c>
      <c r="Q782" s="32" t="s">
        <v>108</v>
      </c>
      <c r="R782" s="32" t="str">
        <f>VLOOKUP($Q782,Resultados!$A$1:$B$49,2,FALSE)</f>
        <v xml:space="preserve"> _</v>
      </c>
      <c r="S782" s="32"/>
      <c r="T782" s="37"/>
      <c r="U782" s="37"/>
      <c r="V782" s="39"/>
      <c r="W782" s="39"/>
      <c r="X782" s="39"/>
      <c r="Y782" s="165"/>
      <c r="Z782" s="39"/>
      <c r="AA782" s="39"/>
      <c r="AB782" s="39"/>
      <c r="AC782" s="39"/>
      <c r="AD782" s="39"/>
      <c r="AE782" s="110"/>
      <c r="AF782" s="39"/>
      <c r="AG782" s="39"/>
      <c r="AH782" s="39"/>
      <c r="AI782" s="39"/>
      <c r="AJ782" s="43" t="s">
        <v>988</v>
      </c>
      <c r="AK782" s="39"/>
      <c r="AL782" s="155" t="s">
        <v>1627</v>
      </c>
      <c r="AM782" s="431" t="str">
        <f>VLOOKUP($Q782,Resultados!$A$1:$C$49,3,FALSE)</f>
        <v>TRAMITE</v>
      </c>
    </row>
    <row r="783" spans="1:39" ht="39.950000000000003" customHeight="1">
      <c r="A783" s="364">
        <v>762</v>
      </c>
      <c r="B783" s="38">
        <v>45357</v>
      </c>
      <c r="C783" s="337" t="s">
        <v>16</v>
      </c>
      <c r="D783" s="32" t="s">
        <v>2184</v>
      </c>
      <c r="E783" s="40" t="s">
        <v>2185</v>
      </c>
      <c r="F783" s="39">
        <v>4</v>
      </c>
      <c r="G783" s="32" t="s">
        <v>325</v>
      </c>
      <c r="H783" s="38"/>
      <c r="I783" s="38"/>
      <c r="J783" s="38"/>
      <c r="K783" s="39" t="str">
        <f>IFERROR(VLOOKUP(J783,Jueces!$A$1:$B$11,2,FALSE),"")</f>
        <v/>
      </c>
      <c r="L783" s="32" t="s">
        <v>74</v>
      </c>
      <c r="M783" s="32" t="s">
        <v>1355</v>
      </c>
      <c r="N783" s="32" t="s">
        <v>2209</v>
      </c>
      <c r="O783" s="16" t="str">
        <f>IF(Q783=" _","NO","SI")</f>
        <v>NO</v>
      </c>
      <c r="P783" s="24" t="str">
        <f ca="1">IF(color_Celda(E783)=12106214,"ROSA",IF(color_Celda(E783)=65535,"AMARILLO",IF(color_Celda(E783)=5296274,"VERDE",IF(color_Celda(E783)=16777215,"BLANCO","NO SE"))))</f>
        <v>AMARILLO</v>
      </c>
      <c r="Q783" s="32" t="s">
        <v>108</v>
      </c>
      <c r="R783" s="32" t="str">
        <f>VLOOKUP($Q783,Resultados!$A$1:$B$49,2,FALSE)</f>
        <v xml:space="preserve"> _</v>
      </c>
      <c r="S783" s="32"/>
      <c r="T783" s="37"/>
      <c r="U783" s="37"/>
      <c r="V783" s="39"/>
      <c r="W783" s="39"/>
      <c r="X783" s="39"/>
      <c r="Y783" s="165"/>
      <c r="Z783" s="39"/>
      <c r="AA783" s="39"/>
      <c r="AB783" s="39"/>
      <c r="AC783" s="39"/>
      <c r="AD783" s="39"/>
      <c r="AE783" s="110"/>
      <c r="AF783" s="39"/>
      <c r="AG783" s="39"/>
      <c r="AH783" s="39"/>
      <c r="AI783" s="39"/>
      <c r="AJ783" s="43" t="s">
        <v>988</v>
      </c>
      <c r="AK783" s="39"/>
      <c r="AL783" s="155" t="s">
        <v>1627</v>
      </c>
      <c r="AM783" s="431" t="str">
        <f>VLOOKUP($Q783,Resultados!$A$1:$C$49,3,FALSE)</f>
        <v>TRAMITE</v>
      </c>
    </row>
    <row r="784" spans="1:39" ht="39.950000000000003" customHeight="1">
      <c r="A784" s="364">
        <v>763</v>
      </c>
      <c r="B784" s="38">
        <v>45357</v>
      </c>
      <c r="C784" s="337" t="s">
        <v>981</v>
      </c>
      <c r="D784" s="32" t="s">
        <v>2186</v>
      </c>
      <c r="E784" s="40" t="s">
        <v>2187</v>
      </c>
      <c r="F784" s="39">
        <v>4</v>
      </c>
      <c r="G784" s="32" t="s">
        <v>325</v>
      </c>
      <c r="H784" s="38"/>
      <c r="I784" s="38"/>
      <c r="J784" s="38"/>
      <c r="K784" s="39" t="str">
        <f>IFERROR(VLOOKUP(J784,Jueces!$A$1:$B$11,2,FALSE),"")</f>
        <v/>
      </c>
      <c r="L784" s="32" t="s">
        <v>75</v>
      </c>
      <c r="M784" s="32" t="s">
        <v>59</v>
      </c>
      <c r="N784" s="32" t="s">
        <v>2211</v>
      </c>
      <c r="O784" s="16" t="str">
        <f>IF(Q784=" _","NO","SI")</f>
        <v>NO</v>
      </c>
      <c r="P784" s="24" t="str">
        <f ca="1">IF(color_Celda(E784)=12106214,"ROSA",IF(color_Celda(E784)=65535,"AMARILLO",IF(color_Celda(E784)=5296274,"VERDE",IF(color_Celda(E784)=16777215,"BLANCO","NO SE"))))</f>
        <v>AMARILLO</v>
      </c>
      <c r="Q784" s="32" t="s">
        <v>108</v>
      </c>
      <c r="R784" s="32" t="str">
        <f>VLOOKUP($Q784,Resultados!$A$1:$B$49,2,FALSE)</f>
        <v xml:space="preserve"> _</v>
      </c>
      <c r="S784" s="32"/>
      <c r="T784" s="37"/>
      <c r="U784" s="37"/>
      <c r="V784" s="39"/>
      <c r="W784" s="39"/>
      <c r="X784" s="39"/>
      <c r="Y784" s="165"/>
      <c r="Z784" s="39"/>
      <c r="AA784" s="39"/>
      <c r="AB784" s="39"/>
      <c r="AC784" s="39"/>
      <c r="AD784" s="39"/>
      <c r="AE784" s="110"/>
      <c r="AF784" s="39"/>
      <c r="AG784" s="39"/>
      <c r="AH784" s="39"/>
      <c r="AI784" s="39"/>
      <c r="AJ784" s="43" t="s">
        <v>988</v>
      </c>
      <c r="AK784" s="39"/>
      <c r="AL784" s="155" t="s">
        <v>1627</v>
      </c>
      <c r="AM784" s="431" t="str">
        <f>VLOOKUP($Q784,Resultados!$A$1:$C$49,3,FALSE)</f>
        <v>TRAMITE</v>
      </c>
    </row>
    <row r="785" spans="1:39" ht="39.950000000000003" customHeight="1">
      <c r="A785" s="364">
        <v>764</v>
      </c>
      <c r="B785" s="38">
        <v>45357</v>
      </c>
      <c r="C785" s="337" t="s">
        <v>981</v>
      </c>
      <c r="D785" s="32" t="s">
        <v>2188</v>
      </c>
      <c r="E785" s="40" t="s">
        <v>2189</v>
      </c>
      <c r="F785" s="39">
        <v>4</v>
      </c>
      <c r="G785" s="32" t="s">
        <v>325</v>
      </c>
      <c r="H785" s="38"/>
      <c r="I785" s="38"/>
      <c r="J785" s="38"/>
      <c r="K785" s="39" t="str">
        <f>IFERROR(VLOOKUP(J785,Jueces!$A$1:$B$11,2,FALSE),"")</f>
        <v/>
      </c>
      <c r="L785" s="32" t="s">
        <v>250</v>
      </c>
      <c r="M785" s="32" t="s">
        <v>44</v>
      </c>
      <c r="N785" s="32" t="s">
        <v>2209</v>
      </c>
      <c r="O785" s="16" t="str">
        <f>IF(Q785=" _","NO","SI")</f>
        <v>NO</v>
      </c>
      <c r="P785" s="24" t="str">
        <f ca="1">IF(color_Celda(E785)=12106214,"ROSA",IF(color_Celda(E785)=65535,"AMARILLO",IF(color_Celda(E785)=5296274,"VERDE",IF(color_Celda(E785)=16777215,"BLANCO","NO SE"))))</f>
        <v>AMARILLO</v>
      </c>
      <c r="Q785" s="32" t="s">
        <v>108</v>
      </c>
      <c r="R785" s="32" t="str">
        <f>VLOOKUP($Q785,Resultados!$A$1:$B$49,2,FALSE)</f>
        <v xml:space="preserve"> _</v>
      </c>
      <c r="S785" s="32"/>
      <c r="T785" s="37"/>
      <c r="U785" s="37"/>
      <c r="V785" s="39"/>
      <c r="W785" s="39"/>
      <c r="X785" s="39"/>
      <c r="Y785" s="165"/>
      <c r="Z785" s="39"/>
      <c r="AA785" s="39"/>
      <c r="AB785" s="39"/>
      <c r="AC785" s="39"/>
      <c r="AD785" s="39"/>
      <c r="AE785" s="110"/>
      <c r="AF785" s="39"/>
      <c r="AG785" s="39"/>
      <c r="AH785" s="39"/>
      <c r="AI785" s="39"/>
      <c r="AJ785" s="43" t="s">
        <v>988</v>
      </c>
      <c r="AK785" s="39"/>
      <c r="AL785" s="155" t="s">
        <v>1627</v>
      </c>
      <c r="AM785" s="431" t="str">
        <f>VLOOKUP($Q785,Resultados!$A$1:$C$49,3,FALSE)</f>
        <v>TRAMITE</v>
      </c>
    </row>
    <row r="786" spans="1:39" ht="39.950000000000003" customHeight="1">
      <c r="A786" s="364">
        <v>765</v>
      </c>
      <c r="B786" s="38">
        <v>45357</v>
      </c>
      <c r="C786" s="337" t="s">
        <v>981</v>
      </c>
      <c r="D786" s="32" t="s">
        <v>2190</v>
      </c>
      <c r="E786" s="40" t="s">
        <v>2191</v>
      </c>
      <c r="F786" s="39">
        <v>4</v>
      </c>
      <c r="G786" s="39" t="s">
        <v>325</v>
      </c>
      <c r="H786" s="38"/>
      <c r="I786" s="38"/>
      <c r="J786" s="38"/>
      <c r="K786" s="39" t="str">
        <f>IFERROR(VLOOKUP(J786,Jueces!$A$1:$B$11,2,FALSE),"")</f>
        <v/>
      </c>
      <c r="L786" s="32" t="s">
        <v>87</v>
      </c>
      <c r="M786" s="32" t="s">
        <v>1289</v>
      </c>
      <c r="N786" s="32" t="s">
        <v>2209</v>
      </c>
      <c r="O786" s="16" t="str">
        <f>IF(Q786=" _","NO","SI")</f>
        <v>NO</v>
      </c>
      <c r="P786" s="24" t="str">
        <f ca="1">IF(color_Celda(E786)=12106214,"ROSA",IF(color_Celda(E786)=65535,"AMARILLO",IF(color_Celda(E786)=5296274,"VERDE",IF(color_Celda(E786)=16777215,"BLANCO","NO SE"))))</f>
        <v>AMARILLO</v>
      </c>
      <c r="Q786" s="32" t="s">
        <v>108</v>
      </c>
      <c r="R786" s="32" t="str">
        <f>VLOOKUP($Q786,Resultados!$A$1:$B$49,2,FALSE)</f>
        <v xml:space="preserve"> _</v>
      </c>
      <c r="S786" s="32"/>
      <c r="T786" s="37"/>
      <c r="U786" s="37"/>
      <c r="V786" s="39"/>
      <c r="W786" s="39"/>
      <c r="X786" s="39"/>
      <c r="Y786" s="165"/>
      <c r="Z786" s="39"/>
      <c r="AA786" s="39"/>
      <c r="AB786" s="39"/>
      <c r="AC786" s="39"/>
      <c r="AD786" s="39"/>
      <c r="AE786" s="110"/>
      <c r="AF786" s="39"/>
      <c r="AG786" s="39"/>
      <c r="AH786" s="39"/>
      <c r="AI786" s="39"/>
      <c r="AJ786" s="43" t="s">
        <v>988</v>
      </c>
      <c r="AK786" s="39"/>
      <c r="AL786" s="155" t="s">
        <v>1627</v>
      </c>
      <c r="AM786" s="431" t="str">
        <f>VLOOKUP($Q786,Resultados!$A$1:$C$49,3,FALSE)</f>
        <v>TRAMITE</v>
      </c>
    </row>
    <row r="787" spans="1:39" ht="39.950000000000003" customHeight="1">
      <c r="A787" s="364">
        <v>766</v>
      </c>
      <c r="B787" s="38">
        <v>45357</v>
      </c>
      <c r="C787" s="337" t="s">
        <v>981</v>
      </c>
      <c r="D787" s="32" t="s">
        <v>2192</v>
      </c>
      <c r="E787" s="40" t="s">
        <v>2193</v>
      </c>
      <c r="F787" s="39">
        <v>4</v>
      </c>
      <c r="G787" s="39" t="s">
        <v>325</v>
      </c>
      <c r="H787" s="38"/>
      <c r="I787" s="38"/>
      <c r="J787" s="38"/>
      <c r="K787" s="39" t="str">
        <f>IFERROR(VLOOKUP(J787,Jueces!$A$1:$B$11,2,FALSE),"")</f>
        <v/>
      </c>
      <c r="L787" s="32" t="s">
        <v>87</v>
      </c>
      <c r="M787" s="32" t="s">
        <v>1156</v>
      </c>
      <c r="N787" s="32" t="s">
        <v>2209</v>
      </c>
      <c r="O787" s="16" t="str">
        <f>IF(Q787=" _","NO","SI")</f>
        <v>NO</v>
      </c>
      <c r="P787" s="24" t="str">
        <f ca="1">IF(color_Celda(E787)=12106214,"ROSA",IF(color_Celda(E787)=65535,"AMARILLO",IF(color_Celda(E787)=5296274,"VERDE",IF(color_Celda(E787)=16777215,"BLANCO","NO SE"))))</f>
        <v>AMARILLO</v>
      </c>
      <c r="Q787" s="32" t="s">
        <v>108</v>
      </c>
      <c r="R787" s="32" t="str">
        <f>VLOOKUP($Q787,Resultados!$A$1:$B$49,2,FALSE)</f>
        <v xml:space="preserve"> _</v>
      </c>
      <c r="S787" s="32"/>
      <c r="T787" s="37"/>
      <c r="U787" s="37"/>
      <c r="V787" s="39"/>
      <c r="W787" s="39"/>
      <c r="X787" s="39"/>
      <c r="Y787" s="165"/>
      <c r="Z787" s="39"/>
      <c r="AA787" s="39"/>
      <c r="AB787" s="39"/>
      <c r="AC787" s="39"/>
      <c r="AD787" s="39"/>
      <c r="AE787" s="110"/>
      <c r="AF787" s="39"/>
      <c r="AG787" s="39"/>
      <c r="AH787" s="39"/>
      <c r="AI787" s="39"/>
      <c r="AJ787" s="43" t="s">
        <v>988</v>
      </c>
      <c r="AK787" s="39"/>
      <c r="AL787" s="155" t="s">
        <v>1627</v>
      </c>
      <c r="AM787" s="431" t="str">
        <f>VLOOKUP($Q787,Resultados!$A$1:$C$49,3,FALSE)</f>
        <v>TRAMITE</v>
      </c>
    </row>
    <row r="788" spans="1:39" ht="39.950000000000003" customHeight="1">
      <c r="A788" s="364">
        <v>767</v>
      </c>
      <c r="B788" s="38">
        <v>45357</v>
      </c>
      <c r="C788" s="337" t="s">
        <v>1231</v>
      </c>
      <c r="D788" s="32" t="s">
        <v>2194</v>
      </c>
      <c r="E788" s="41" t="s">
        <v>2195</v>
      </c>
      <c r="F788" s="39">
        <v>7</v>
      </c>
      <c r="G788" s="32" t="s">
        <v>325</v>
      </c>
      <c r="H788" s="38"/>
      <c r="I788" s="38"/>
      <c r="J788" s="38"/>
      <c r="K788" s="39" t="str">
        <f>IFERROR(VLOOKUP(J788,Jueces!$A$1:$B$11,2,FALSE),"")</f>
        <v/>
      </c>
      <c r="L788" s="32" t="s">
        <v>2173</v>
      </c>
      <c r="M788" s="32" t="s">
        <v>749</v>
      </c>
      <c r="N788" s="32" t="s">
        <v>2196</v>
      </c>
      <c r="O788" s="16" t="str">
        <f>IF(Q788=" _","NO","SI")</f>
        <v>NO</v>
      </c>
      <c r="P788" s="24" t="str">
        <f ca="1">IF(color_Celda(E788)=12106214,"ROSA",IF(color_Celda(E788)=65535,"AMARILLO",IF(color_Celda(E788)=5296274,"VERDE",IF(color_Celda(E788)=16777215,"BLANCO","NO SE"))))</f>
        <v>AMARILLO</v>
      </c>
      <c r="Q788" s="32" t="s">
        <v>108</v>
      </c>
      <c r="R788" s="32" t="str">
        <f>VLOOKUP($Q788,Resultados!$A$1:$B$49,2,FALSE)</f>
        <v xml:space="preserve"> _</v>
      </c>
      <c r="S788" s="32"/>
      <c r="T788" s="37"/>
      <c r="U788" s="37"/>
      <c r="V788" s="39"/>
      <c r="W788" s="39"/>
      <c r="X788" s="39"/>
      <c r="Y788" s="165"/>
      <c r="Z788" s="39"/>
      <c r="AA788" s="39"/>
      <c r="AB788" s="39"/>
      <c r="AC788" s="39"/>
      <c r="AD788" s="39"/>
      <c r="AE788" s="110"/>
      <c r="AF788" s="39"/>
      <c r="AG788" s="39"/>
      <c r="AH788" s="39"/>
      <c r="AI788" s="39"/>
      <c r="AJ788" s="43" t="s">
        <v>408</v>
      </c>
      <c r="AK788" s="39"/>
      <c r="AL788" s="155" t="s">
        <v>1627</v>
      </c>
      <c r="AM788" s="431" t="str">
        <f>VLOOKUP($Q788,Resultados!$A$1:$C$49,3,FALSE)</f>
        <v>TRAMITE</v>
      </c>
    </row>
    <row r="789" spans="1:39" ht="39.950000000000003" customHeight="1">
      <c r="A789" s="364">
        <v>768</v>
      </c>
      <c r="B789" s="38">
        <v>45358</v>
      </c>
      <c r="C789" s="337" t="s">
        <v>385</v>
      </c>
      <c r="D789" s="32" t="s">
        <v>2197</v>
      </c>
      <c r="E789" s="40" t="s">
        <v>2198</v>
      </c>
      <c r="F789" s="39">
        <v>7</v>
      </c>
      <c r="G789" s="32" t="s">
        <v>10</v>
      </c>
      <c r="H789" s="38"/>
      <c r="I789" s="38"/>
      <c r="J789" s="38"/>
      <c r="K789" s="39" t="str">
        <f>IFERROR(VLOOKUP(J789,Jueces!$A$1:$B$11,2,FALSE),"")</f>
        <v/>
      </c>
      <c r="L789" s="32" t="s">
        <v>250</v>
      </c>
      <c r="M789" s="32" t="s">
        <v>1156</v>
      </c>
      <c r="N789" s="32" t="s">
        <v>1858</v>
      </c>
      <c r="O789" s="16" t="str">
        <f>IF(Q789=" _","NO","SI")</f>
        <v>NO</v>
      </c>
      <c r="P789" s="24" t="str">
        <f ca="1">IF(color_Celda(E789)=12106214,"ROSA",IF(color_Celda(E789)=65535,"AMARILLO",IF(color_Celda(E789)=5296274,"VERDE",IF(color_Celda(E789)=16777215,"BLANCO","NO SE"))))</f>
        <v>AMARILLO</v>
      </c>
      <c r="Q789" s="32" t="s">
        <v>108</v>
      </c>
      <c r="R789" s="32" t="str">
        <f>VLOOKUP($Q789,Resultados!$A$1:$B$49,2,FALSE)</f>
        <v xml:space="preserve"> _</v>
      </c>
      <c r="S789" s="32"/>
      <c r="T789" s="37"/>
      <c r="U789" s="37"/>
      <c r="V789" s="39"/>
      <c r="W789" s="39"/>
      <c r="X789" s="39"/>
      <c r="Y789" s="165"/>
      <c r="Z789" s="39"/>
      <c r="AA789" s="39"/>
      <c r="AB789" s="39"/>
      <c r="AC789" s="39"/>
      <c r="AD789" s="39"/>
      <c r="AE789" s="110"/>
      <c r="AF789" s="39"/>
      <c r="AG789" s="39"/>
      <c r="AH789" s="39"/>
      <c r="AI789" s="39"/>
      <c r="AJ789" s="43" t="s">
        <v>988</v>
      </c>
      <c r="AK789" s="39"/>
      <c r="AL789" s="155" t="s">
        <v>1627</v>
      </c>
      <c r="AM789" s="431" t="str">
        <f>VLOOKUP($Q789,Resultados!$A$1:$C$49,3,FALSE)</f>
        <v>TRAMITE</v>
      </c>
    </row>
    <row r="790" spans="1:39" ht="39.950000000000003" customHeight="1">
      <c r="A790" s="364">
        <v>769</v>
      </c>
      <c r="B790" s="38">
        <v>45358</v>
      </c>
      <c r="C790" s="337" t="s">
        <v>12</v>
      </c>
      <c r="D790" s="32" t="s">
        <v>2199</v>
      </c>
      <c r="E790" s="40" t="s">
        <v>2200</v>
      </c>
      <c r="F790" s="39">
        <v>6</v>
      </c>
      <c r="G790" s="32" t="s">
        <v>326</v>
      </c>
      <c r="H790" s="38"/>
      <c r="I790" s="38"/>
      <c r="J790" s="38"/>
      <c r="K790" s="39" t="str">
        <f>IFERROR(VLOOKUP(J790,Jueces!$A$1:$B$11,2,FALSE),"")</f>
        <v/>
      </c>
      <c r="L790" s="32" t="s">
        <v>75</v>
      </c>
      <c r="M790" s="32" t="s">
        <v>1156</v>
      </c>
      <c r="N790" s="32" t="s">
        <v>2218</v>
      </c>
      <c r="O790" s="16" t="str">
        <f>IF(Q790=" _","NO","SI")</f>
        <v>NO</v>
      </c>
      <c r="P790" s="24" t="str">
        <f ca="1">IF(color_Celda(E790)=12106214,"ROSA",IF(color_Celda(E790)=65535,"AMARILLO",IF(color_Celda(E790)=5296274,"VERDE",IF(color_Celda(E790)=16777215,"BLANCO","NO SE"))))</f>
        <v>AMARILLO</v>
      </c>
      <c r="Q790" s="32" t="s">
        <v>108</v>
      </c>
      <c r="R790" s="32" t="str">
        <f>VLOOKUP($Q790,Resultados!$A$1:$B$49,2,FALSE)</f>
        <v xml:space="preserve"> _</v>
      </c>
      <c r="S790" s="32"/>
      <c r="T790" s="37"/>
      <c r="U790" s="37"/>
      <c r="V790" s="39"/>
      <c r="W790" s="39"/>
      <c r="X790" s="39"/>
      <c r="Y790" s="165"/>
      <c r="Z790" s="39"/>
      <c r="AA790" s="39"/>
      <c r="AB790" s="39"/>
      <c r="AC790" s="39"/>
      <c r="AD790" s="39"/>
      <c r="AE790" s="110"/>
      <c r="AF790" s="39"/>
      <c r="AG790" s="39"/>
      <c r="AH790" s="39"/>
      <c r="AI790" s="39"/>
      <c r="AJ790" s="43" t="s">
        <v>988</v>
      </c>
      <c r="AK790" s="39"/>
      <c r="AL790" s="155" t="s">
        <v>1627</v>
      </c>
      <c r="AM790" s="431" t="str">
        <f>VLOOKUP($Q790,Resultados!$A$1:$C$49,3,FALSE)</f>
        <v>TRAMITE</v>
      </c>
    </row>
    <row r="791" spans="1:39" ht="39.950000000000003" customHeight="1">
      <c r="A791" s="364">
        <v>770</v>
      </c>
      <c r="B791" s="38">
        <v>45358</v>
      </c>
      <c r="C791" s="337" t="s">
        <v>12</v>
      </c>
      <c r="D791" s="32" t="s">
        <v>2201</v>
      </c>
      <c r="E791" s="40" t="s">
        <v>2202</v>
      </c>
      <c r="F791" s="39">
        <v>6</v>
      </c>
      <c r="G791" s="32" t="s">
        <v>326</v>
      </c>
      <c r="H791" s="38"/>
      <c r="I791" s="38"/>
      <c r="J791" s="38"/>
      <c r="K791" s="39" t="str">
        <f>IFERROR(VLOOKUP(J791,Jueces!$A$1:$B$11,2,FALSE),"")</f>
        <v/>
      </c>
      <c r="L791" s="32" t="s">
        <v>77</v>
      </c>
      <c r="M791" s="32" t="s">
        <v>1156</v>
      </c>
      <c r="N791" s="32" t="s">
        <v>2218</v>
      </c>
      <c r="O791" s="16" t="str">
        <f>IF(Q791=" _","NO","SI")</f>
        <v>NO</v>
      </c>
      <c r="P791" s="24" t="str">
        <f ca="1">IF(color_Celda(E791)=12106214,"ROSA",IF(color_Celda(E791)=65535,"AMARILLO",IF(color_Celda(E791)=5296274,"VERDE",IF(color_Celda(E791)=16777215,"BLANCO","NO SE"))))</f>
        <v>AMARILLO</v>
      </c>
      <c r="Q791" s="32" t="s">
        <v>108</v>
      </c>
      <c r="R791" s="32" t="str">
        <f>VLOOKUP($Q791,Resultados!$A$1:$B$49,2,FALSE)</f>
        <v xml:space="preserve"> _</v>
      </c>
      <c r="S791" s="32"/>
      <c r="T791" s="37"/>
      <c r="U791" s="37"/>
      <c r="V791" s="39"/>
      <c r="W791" s="39"/>
      <c r="X791" s="39"/>
      <c r="Y791" s="165"/>
      <c r="Z791" s="39"/>
      <c r="AA791" s="39"/>
      <c r="AB791" s="39"/>
      <c r="AC791" s="39"/>
      <c r="AD791" s="39"/>
      <c r="AE791" s="110"/>
      <c r="AF791" s="39"/>
      <c r="AG791" s="39"/>
      <c r="AH791" s="39"/>
      <c r="AI791" s="39"/>
      <c r="AJ791" s="43" t="s">
        <v>988</v>
      </c>
      <c r="AK791" s="39"/>
      <c r="AL791" s="155" t="s">
        <v>1627</v>
      </c>
      <c r="AM791" s="431" t="str">
        <f>VLOOKUP($Q791,Resultados!$A$1:$C$49,3,FALSE)</f>
        <v>TRAMITE</v>
      </c>
    </row>
    <row r="792" spans="1:39" ht="39.950000000000003" customHeight="1">
      <c r="A792" s="364">
        <v>771</v>
      </c>
      <c r="B792" s="38">
        <v>45358</v>
      </c>
      <c r="C792" s="337" t="s">
        <v>12</v>
      </c>
      <c r="D792" s="32" t="s">
        <v>2203</v>
      </c>
      <c r="E792" s="40" t="s">
        <v>2204</v>
      </c>
      <c r="F792" s="39">
        <v>7</v>
      </c>
      <c r="G792" s="32" t="s">
        <v>10</v>
      </c>
      <c r="H792" s="38"/>
      <c r="I792" s="38"/>
      <c r="J792" s="38"/>
      <c r="K792" s="39" t="str">
        <f>IFERROR(VLOOKUP(J792,Jueces!$A$1:$B$11,2,FALSE),"")</f>
        <v/>
      </c>
      <c r="L792" s="32" t="s">
        <v>73</v>
      </c>
      <c r="M792" s="32" t="s">
        <v>61</v>
      </c>
      <c r="N792" s="32" t="s">
        <v>1858</v>
      </c>
      <c r="O792" s="16" t="str">
        <f>IF(Q792=" _","NO","SI")</f>
        <v>NO</v>
      </c>
      <c r="P792" s="24" t="str">
        <f ca="1">IF(color_Celda(E792)=12106214,"ROSA",IF(color_Celda(E792)=65535,"AMARILLO",IF(color_Celda(E792)=5296274,"VERDE",IF(color_Celda(E792)=16777215,"BLANCO","NO SE"))))</f>
        <v>AMARILLO</v>
      </c>
      <c r="Q792" s="32" t="s">
        <v>108</v>
      </c>
      <c r="R792" s="32" t="str">
        <f>VLOOKUP($Q792,Resultados!$A$1:$B$49,2,FALSE)</f>
        <v xml:space="preserve"> _</v>
      </c>
      <c r="S792" s="32"/>
      <c r="T792" s="37"/>
      <c r="U792" s="37"/>
      <c r="V792" s="39"/>
      <c r="W792" s="39"/>
      <c r="X792" s="39"/>
      <c r="Y792" s="165"/>
      <c r="Z792" s="39"/>
      <c r="AA792" s="39"/>
      <c r="AB792" s="39"/>
      <c r="AC792" s="39"/>
      <c r="AD792" s="39"/>
      <c r="AE792" s="110"/>
      <c r="AF792" s="39"/>
      <c r="AG792" s="39"/>
      <c r="AH792" s="39"/>
      <c r="AI792" s="39"/>
      <c r="AJ792" s="43" t="s">
        <v>988</v>
      </c>
      <c r="AK792" s="39"/>
      <c r="AL792" s="155" t="s">
        <v>1627</v>
      </c>
      <c r="AM792" s="431" t="str">
        <f>VLOOKUP($Q792,Resultados!$A$1:$C$49,3,FALSE)</f>
        <v>TRAMITE</v>
      </c>
    </row>
    <row r="793" spans="1:39" ht="39.950000000000003" customHeight="1">
      <c r="A793" s="364">
        <v>772</v>
      </c>
      <c r="B793" s="38">
        <v>45358</v>
      </c>
      <c r="C793" s="337" t="s">
        <v>130</v>
      </c>
      <c r="D793" s="32" t="s">
        <v>2205</v>
      </c>
      <c r="E793" s="40" t="s">
        <v>2206</v>
      </c>
      <c r="F793" s="39">
        <v>2</v>
      </c>
      <c r="G793" s="32" t="s">
        <v>325</v>
      </c>
      <c r="H793" s="38"/>
      <c r="I793" s="38"/>
      <c r="J793" s="38"/>
      <c r="K793" s="39" t="str">
        <f>IFERROR(VLOOKUP(J793,Jueces!$A$1:$B$11,2,FALSE),"")</f>
        <v/>
      </c>
      <c r="L793" s="32" t="s">
        <v>85</v>
      </c>
      <c r="M793" s="32" t="s">
        <v>59</v>
      </c>
      <c r="N793" s="32" t="s">
        <v>2217</v>
      </c>
      <c r="O793" s="16" t="str">
        <f>IF(Q793=" _","NO","SI")</f>
        <v>NO</v>
      </c>
      <c r="P793" s="24" t="str">
        <f ca="1">IF(color_Celda(E793)=12106214,"ROSA",IF(color_Celda(E793)=65535,"AMARILLO",IF(color_Celda(E793)=5296274,"VERDE",IF(color_Celda(E793)=16777215,"BLANCO","NO SE"))))</f>
        <v>AMARILLO</v>
      </c>
      <c r="Q793" s="32" t="s">
        <v>108</v>
      </c>
      <c r="R793" s="32" t="str">
        <f>VLOOKUP($Q793,Resultados!$A$1:$B$49,2,FALSE)</f>
        <v xml:space="preserve"> _</v>
      </c>
      <c r="S793" s="32"/>
      <c r="T793" s="37"/>
      <c r="U793" s="37"/>
      <c r="V793" s="39"/>
      <c r="W793" s="39"/>
      <c r="X793" s="39"/>
      <c r="Y793" s="165"/>
      <c r="Z793" s="39"/>
      <c r="AA793" s="39"/>
      <c r="AB793" s="39"/>
      <c r="AC793" s="39"/>
      <c r="AD793" s="39"/>
      <c r="AE793" s="110"/>
      <c r="AF793" s="39"/>
      <c r="AG793" s="39"/>
      <c r="AH793" s="39"/>
      <c r="AI793" s="39"/>
      <c r="AJ793" s="43" t="s">
        <v>988</v>
      </c>
      <c r="AK793" s="39"/>
      <c r="AL793" s="155" t="s">
        <v>1627</v>
      </c>
      <c r="AM793" s="431" t="str">
        <f>VLOOKUP($Q793,Resultados!$A$1:$C$49,3,FALSE)</f>
        <v>TRAMITE</v>
      </c>
    </row>
    <row r="794" spans="1:39" ht="39.950000000000003" customHeight="1">
      <c r="A794" s="364">
        <v>773</v>
      </c>
      <c r="B794" s="38">
        <v>45358</v>
      </c>
      <c r="C794" s="337" t="s">
        <v>1475</v>
      </c>
      <c r="D794" s="32" t="s">
        <v>2215</v>
      </c>
      <c r="E794" s="40" t="s">
        <v>2216</v>
      </c>
      <c r="F794" s="39">
        <v>7</v>
      </c>
      <c r="G794" s="32" t="s">
        <v>10</v>
      </c>
      <c r="H794" s="38"/>
      <c r="I794" s="38"/>
      <c r="J794" s="38"/>
      <c r="K794" s="39" t="str">
        <f>IFERROR(VLOOKUP(J794,Jueces!$A$1:$B$11,2,FALSE),"")</f>
        <v/>
      </c>
      <c r="L794" s="32" t="s">
        <v>250</v>
      </c>
      <c r="M794" s="32" t="s">
        <v>90</v>
      </c>
      <c r="N794" s="32" t="s">
        <v>2388</v>
      </c>
      <c r="O794" s="32" t="str">
        <f>IF(Q794=" _","NO","SI")</f>
        <v>NO</v>
      </c>
      <c r="P794" s="24" t="str">
        <f ca="1">IF(color_Celda(E794)=12106214,"ROSA",IF(color_Celda(E794)=65535,"AMARILLO",IF(color_Celda(E794)=5296274,"VERDE",IF(color_Celda(E794)=16777215,"BLANCO","NO SE"))))</f>
        <v>AMARILLO</v>
      </c>
      <c r="Q794" s="32" t="s">
        <v>108</v>
      </c>
      <c r="R794" s="32" t="str">
        <f>VLOOKUP($Q794,Resultados!$A$1:$B$49,2,FALSE)</f>
        <v xml:space="preserve"> _</v>
      </c>
      <c r="S794" s="32"/>
      <c r="T794" s="37"/>
      <c r="U794" s="37"/>
      <c r="V794" s="39"/>
      <c r="W794" s="39"/>
      <c r="X794" s="39"/>
      <c r="Y794" s="39"/>
      <c r="Z794" s="39"/>
      <c r="AA794" s="39"/>
      <c r="AB794" s="39"/>
      <c r="AC794" s="39"/>
      <c r="AD794" s="39"/>
      <c r="AE794" s="110"/>
      <c r="AF794" s="39"/>
      <c r="AG794" s="39"/>
      <c r="AH794" s="39"/>
      <c r="AI794" s="39"/>
      <c r="AJ794" s="43" t="s">
        <v>988</v>
      </c>
      <c r="AK794" s="39"/>
      <c r="AL794" s="155" t="s">
        <v>1627</v>
      </c>
      <c r="AM794" s="431" t="str">
        <f>VLOOKUP($Q794,Resultados!$A$1:$C$49,3,FALSE)</f>
        <v>TRAMITE</v>
      </c>
    </row>
    <row r="795" spans="1:39" ht="39.950000000000003" customHeight="1">
      <c r="A795" s="364">
        <v>774</v>
      </c>
      <c r="B795" s="38">
        <v>45359</v>
      </c>
      <c r="C795" s="337" t="s">
        <v>2060</v>
      </c>
      <c r="D795" s="32" t="s">
        <v>2061</v>
      </c>
      <c r="E795" s="40" t="s">
        <v>2062</v>
      </c>
      <c r="F795" s="39">
        <v>7</v>
      </c>
      <c r="G795" s="32" t="s">
        <v>326</v>
      </c>
      <c r="H795" s="38"/>
      <c r="I795" s="38"/>
      <c r="J795" s="38"/>
      <c r="K795" s="39" t="str">
        <f>IFERROR(VLOOKUP(J795,Jueces!$A$1:$B$11,2,FALSE),"")</f>
        <v/>
      </c>
      <c r="L795" s="32" t="s">
        <v>86</v>
      </c>
      <c r="M795" s="32" t="s">
        <v>67</v>
      </c>
      <c r="N795" s="32" t="s">
        <v>2106</v>
      </c>
      <c r="O795" s="16" t="str">
        <f>IF(Q795=" _","NO","SI")</f>
        <v>NO</v>
      </c>
      <c r="P795" s="24" t="str">
        <f ca="1">IF(color_Celda(E795)=12106214,"ROSA",IF(color_Celda(E795)=65535,"AMARILLO",IF(color_Celda(E795)=5296274,"VERDE",IF(color_Celda(E795)=16777215,"BLANCO","NO SE"))))</f>
        <v>AMARILLO</v>
      </c>
      <c r="Q795" s="32" t="s">
        <v>108</v>
      </c>
      <c r="R795" s="32" t="str">
        <f>VLOOKUP($Q795,Resultados!$A$1:$B$49,2,FALSE)</f>
        <v xml:space="preserve"> _</v>
      </c>
      <c r="S795" s="32"/>
      <c r="T795" s="37"/>
      <c r="U795" s="37"/>
      <c r="V795" s="39"/>
      <c r="W795" s="39"/>
      <c r="X795" s="39"/>
      <c r="Y795" s="165"/>
      <c r="Z795" s="39"/>
      <c r="AA795" s="39"/>
      <c r="AB795" s="39"/>
      <c r="AC795" s="39"/>
      <c r="AD795" s="39"/>
      <c r="AE795" s="110"/>
      <c r="AF795" s="39"/>
      <c r="AG795" s="39"/>
      <c r="AH795" s="39"/>
      <c r="AI795" s="39"/>
      <c r="AJ795" s="43" t="s">
        <v>988</v>
      </c>
      <c r="AK795" s="39"/>
      <c r="AL795" s="155" t="s">
        <v>1627</v>
      </c>
      <c r="AM795" s="431" t="str">
        <f>VLOOKUP($Q795,Resultados!$A$1:$C$49,3,FALSE)</f>
        <v>TRAMITE</v>
      </c>
    </row>
    <row r="796" spans="1:39" ht="39.950000000000003" customHeight="1">
      <c r="A796" s="364">
        <v>775</v>
      </c>
      <c r="B796" s="38">
        <v>45359</v>
      </c>
      <c r="C796" s="337" t="s">
        <v>12</v>
      </c>
      <c r="D796" s="32" t="s">
        <v>2220</v>
      </c>
      <c r="E796" s="40" t="s">
        <v>2221</v>
      </c>
      <c r="F796" s="39">
        <v>6</v>
      </c>
      <c r="G796" s="39"/>
      <c r="H796" s="38"/>
      <c r="I796" s="38"/>
      <c r="J796" s="38"/>
      <c r="K796" s="39" t="str">
        <f>IFERROR(VLOOKUP(J796,Jueces!$A$1:$B$11,2,FALSE),"")</f>
        <v/>
      </c>
      <c r="L796" s="32" t="s">
        <v>127</v>
      </c>
      <c r="M796" s="32" t="s">
        <v>172</v>
      </c>
      <c r="N796" s="39" t="s">
        <v>2485</v>
      </c>
      <c r="O796" s="32" t="str">
        <f>IF(Q796=" _","NO","SI")</f>
        <v>NO</v>
      </c>
      <c r="P796" s="24" t="str">
        <f ca="1">IF(color_Celda(E796)=12106214,"ROSA",IF(color_Celda(E796)=65535,"AMARILLO",IF(color_Celda(E796)=5296274,"VERDE",IF(color_Celda(E796)=16777215,"BLANCO","NO SE"))))</f>
        <v>AMARILLO</v>
      </c>
      <c r="Q796" s="32" t="s">
        <v>108</v>
      </c>
      <c r="R796" s="32" t="str">
        <f>VLOOKUP($Q796,Resultados!$A$1:$B$49,2,FALSE)</f>
        <v xml:space="preserve"> _</v>
      </c>
      <c r="S796" s="32"/>
      <c r="T796" s="37"/>
      <c r="U796" s="37"/>
      <c r="V796" s="39"/>
      <c r="W796" s="39"/>
      <c r="X796" s="39"/>
      <c r="Y796" s="39"/>
      <c r="Z796" s="39"/>
      <c r="AA796" s="39"/>
      <c r="AB796" s="39"/>
      <c r="AC796" s="39"/>
      <c r="AD796" s="39"/>
      <c r="AE796" s="110"/>
      <c r="AF796" s="39"/>
      <c r="AG796" s="39"/>
      <c r="AH796" s="39"/>
      <c r="AI796" s="39"/>
      <c r="AJ796" s="43" t="s">
        <v>988</v>
      </c>
      <c r="AK796" s="39"/>
      <c r="AL796" s="155" t="s">
        <v>1627</v>
      </c>
      <c r="AM796" s="431" t="str">
        <f>VLOOKUP($Q796,Resultados!$A$1:$C$49,3,FALSE)</f>
        <v>TRAMITE</v>
      </c>
    </row>
    <row r="797" spans="1:39" ht="39.950000000000003" customHeight="1">
      <c r="A797" s="364">
        <v>777</v>
      </c>
      <c r="B797" s="38">
        <v>45359</v>
      </c>
      <c r="C797" s="337" t="s">
        <v>1276</v>
      </c>
      <c r="D797" s="32" t="s">
        <v>2465</v>
      </c>
      <c r="E797" s="41" t="s">
        <v>2469</v>
      </c>
      <c r="F797" s="39">
        <v>3</v>
      </c>
      <c r="G797" s="39" t="s">
        <v>326</v>
      </c>
      <c r="H797" s="38"/>
      <c r="I797" s="38"/>
      <c r="J797" s="38"/>
      <c r="K797" s="39" t="s">
        <v>1480</v>
      </c>
      <c r="L797" s="70" t="s">
        <v>25</v>
      </c>
      <c r="M797" s="70" t="s">
        <v>2468</v>
      </c>
      <c r="N797" s="32" t="s">
        <v>2789</v>
      </c>
      <c r="O797" s="32" t="str">
        <f>IF(Q797=" _","NO","SI")</f>
        <v>NO</v>
      </c>
      <c r="P797" s="24" t="str">
        <f ca="1">IF(color_Celda(E797)=12106214,"ROSA",IF(color_Celda(E797)=65535,"AMARILLO",IF(color_Celda(E797)=5296274,"VERDE",IF(color_Celda(E797)=16777215,"BLANCO","NO SE"))))</f>
        <v>AMARILLO</v>
      </c>
      <c r="Q797" s="32" t="s">
        <v>108</v>
      </c>
      <c r="R797" s="32" t="str">
        <f>VLOOKUP($Q797,Resultados!$A$1:$B$49,2,FALSE)</f>
        <v xml:space="preserve"> _</v>
      </c>
      <c r="S797" s="32"/>
      <c r="T797" s="73"/>
      <c r="U797" s="37"/>
      <c r="V797" s="39"/>
      <c r="W797" s="39"/>
      <c r="X797" s="39"/>
      <c r="Y797" s="39"/>
      <c r="Z797" s="39"/>
      <c r="AA797" s="39"/>
      <c r="AB797" s="39"/>
      <c r="AC797" s="39"/>
      <c r="AD797" s="39"/>
      <c r="AE797" s="110"/>
      <c r="AF797" s="39"/>
      <c r="AG797" s="39"/>
      <c r="AH797" s="39"/>
      <c r="AI797" s="39"/>
      <c r="AJ797" s="101" t="s">
        <v>408</v>
      </c>
      <c r="AK797" s="39"/>
      <c r="AL797" s="155" t="s">
        <v>1627</v>
      </c>
      <c r="AM797" s="431" t="str">
        <f>VLOOKUP($Q797,Resultados!$A$1:$C$49,3,FALSE)</f>
        <v>TRAMITE</v>
      </c>
    </row>
    <row r="798" spans="1:39" ht="39.950000000000003" customHeight="1">
      <c r="A798" s="364">
        <v>778</v>
      </c>
      <c r="B798" s="38">
        <v>45359</v>
      </c>
      <c r="C798" s="337" t="s">
        <v>14</v>
      </c>
      <c r="D798" s="32" t="s">
        <v>2483</v>
      </c>
      <c r="E798" s="40" t="s">
        <v>2484</v>
      </c>
      <c r="F798" s="39">
        <v>7</v>
      </c>
      <c r="G798" s="32" t="s">
        <v>10</v>
      </c>
      <c r="H798" s="38"/>
      <c r="I798" s="38"/>
      <c r="J798" s="38"/>
      <c r="K798" s="39" t="s">
        <v>1480</v>
      </c>
      <c r="L798" s="70" t="s">
        <v>82</v>
      </c>
      <c r="M798" s="70" t="s">
        <v>236</v>
      </c>
      <c r="N798" s="32" t="s">
        <v>2482</v>
      </c>
      <c r="O798" s="32" t="str">
        <f>IF(Q798=" _","NO","SI")</f>
        <v>NO</v>
      </c>
      <c r="P798" s="24" t="str">
        <f ca="1">IF(color_Celda(E798)=12106214,"ROSA",IF(color_Celda(E798)=65535,"AMARILLO",IF(color_Celda(E798)=5296274,"VERDE",IF(color_Celda(E798)=16777215,"BLANCO","NO SE"))))</f>
        <v>AMARILLO</v>
      </c>
      <c r="Q798" s="32" t="s">
        <v>108</v>
      </c>
      <c r="R798" s="32" t="str">
        <f>VLOOKUP($Q798,Resultados!$A$1:$B$49,2,FALSE)</f>
        <v xml:space="preserve"> _</v>
      </c>
      <c r="S798" s="32"/>
      <c r="T798" s="73"/>
      <c r="U798" s="37"/>
      <c r="V798" s="39"/>
      <c r="W798" s="39"/>
      <c r="X798" s="39"/>
      <c r="Y798" s="39"/>
      <c r="Z798" s="39"/>
      <c r="AA798" s="39"/>
      <c r="AB798" s="39"/>
      <c r="AC798" s="39"/>
      <c r="AD798" s="39"/>
      <c r="AE798" s="110"/>
      <c r="AF798" s="39"/>
      <c r="AG798" s="39"/>
      <c r="AH798" s="39"/>
      <c r="AI798" s="39"/>
      <c r="AJ798" s="101" t="s">
        <v>988</v>
      </c>
      <c r="AK798" s="39"/>
      <c r="AL798" s="155" t="s">
        <v>1627</v>
      </c>
      <c r="AM798" s="431" t="str">
        <f>VLOOKUP($Q798,Resultados!$A$1:$C$49,3,FALSE)</f>
        <v>TRAMITE</v>
      </c>
    </row>
    <row r="799" spans="1:39" ht="39.950000000000003" customHeight="1">
      <c r="A799" s="364">
        <v>779</v>
      </c>
      <c r="B799" s="38">
        <v>45359</v>
      </c>
      <c r="C799" s="337" t="s">
        <v>1443</v>
      </c>
      <c r="D799" s="32" t="s">
        <v>2486</v>
      </c>
      <c r="E799" s="40" t="s">
        <v>2487</v>
      </c>
      <c r="F799" s="39">
        <v>6</v>
      </c>
      <c r="G799" s="32" t="s">
        <v>326</v>
      </c>
      <c r="H799" s="38"/>
      <c r="I799" s="38"/>
      <c r="J799" s="38"/>
      <c r="K799" s="39" t="s">
        <v>1480</v>
      </c>
      <c r="L799" s="70" t="s">
        <v>252</v>
      </c>
      <c r="M799" s="70" t="s">
        <v>46</v>
      </c>
      <c r="N799" s="32" t="s">
        <v>2485</v>
      </c>
      <c r="O799" s="32" t="str">
        <f>IF(Q799=" _","NO","SI")</f>
        <v>NO</v>
      </c>
      <c r="P799" s="24" t="str">
        <f ca="1">IF(color_Celda(E799)=12106214,"ROSA",IF(color_Celda(E799)=65535,"AMARILLO",IF(color_Celda(E799)=5296274,"VERDE",IF(color_Celda(E799)=16777215,"BLANCO","NO SE"))))</f>
        <v>AMARILLO</v>
      </c>
      <c r="Q799" s="32" t="s">
        <v>108</v>
      </c>
      <c r="R799" s="32" t="str">
        <f>VLOOKUP($Q799,Resultados!$A$1:$B$49,2,FALSE)</f>
        <v xml:space="preserve"> _</v>
      </c>
      <c r="S799" s="32"/>
      <c r="T799" s="73"/>
      <c r="U799" s="37"/>
      <c r="V799" s="39"/>
      <c r="W799" s="39"/>
      <c r="X799" s="39"/>
      <c r="Y799" s="39"/>
      <c r="Z799" s="39"/>
      <c r="AA799" s="39"/>
      <c r="AB799" s="39"/>
      <c r="AC799" s="39"/>
      <c r="AD799" s="39"/>
      <c r="AE799" s="110"/>
      <c r="AF799" s="39"/>
      <c r="AG799" s="39"/>
      <c r="AH799" s="39"/>
      <c r="AI799" s="39"/>
      <c r="AJ799" s="101" t="s">
        <v>988</v>
      </c>
      <c r="AK799" s="39"/>
      <c r="AL799" s="155" t="s">
        <v>1627</v>
      </c>
      <c r="AM799" s="431" t="str">
        <f>VLOOKUP($Q799,Resultados!$A$1:$C$49,3,FALSE)</f>
        <v>TRAMITE</v>
      </c>
    </row>
    <row r="800" spans="1:39" ht="39.950000000000003" customHeight="1">
      <c r="A800" s="364">
        <v>780</v>
      </c>
      <c r="B800" s="38">
        <v>45359</v>
      </c>
      <c r="C800" s="337" t="s">
        <v>14</v>
      </c>
      <c r="D800" s="32" t="s">
        <v>2488</v>
      </c>
      <c r="E800" s="40" t="s">
        <v>2489</v>
      </c>
      <c r="F800" s="39">
        <v>4</v>
      </c>
      <c r="G800" s="39" t="s">
        <v>325</v>
      </c>
      <c r="H800" s="38"/>
      <c r="I800" s="38"/>
      <c r="J800" s="38"/>
      <c r="K800" s="39" t="s">
        <v>1480</v>
      </c>
      <c r="L800" s="70" t="s">
        <v>87</v>
      </c>
      <c r="M800" s="70" t="s">
        <v>2491</v>
      </c>
      <c r="N800" s="32" t="s">
        <v>2490</v>
      </c>
      <c r="O800" s="32" t="str">
        <f>IF(Q800=" _","NO","SI")</f>
        <v>NO</v>
      </c>
      <c r="P800" s="24" t="str">
        <f ca="1">IF(color_Celda(E800)=12106214,"ROSA",IF(color_Celda(E800)=65535,"AMARILLO",IF(color_Celda(E800)=5296274,"VERDE",IF(color_Celda(E800)=16777215,"BLANCO","NO SE"))))</f>
        <v>AMARILLO</v>
      </c>
      <c r="Q800" s="32" t="s">
        <v>108</v>
      </c>
      <c r="R800" s="32" t="str">
        <f>VLOOKUP($Q800,Resultados!$A$1:$B$49,2,FALSE)</f>
        <v xml:space="preserve"> _</v>
      </c>
      <c r="S800" s="32"/>
      <c r="T800" s="73"/>
      <c r="U800" s="37"/>
      <c r="V800" s="39"/>
      <c r="W800" s="39"/>
      <c r="X800" s="39"/>
      <c r="Y800" s="39"/>
      <c r="Z800" s="39"/>
      <c r="AA800" s="39"/>
      <c r="AB800" s="39"/>
      <c r="AC800" s="39"/>
      <c r="AD800" s="39"/>
      <c r="AE800" s="110"/>
      <c r="AF800" s="39"/>
      <c r="AG800" s="39"/>
      <c r="AH800" s="39"/>
      <c r="AI800" s="39"/>
      <c r="AJ800" s="101" t="s">
        <v>988</v>
      </c>
      <c r="AK800" s="39"/>
      <c r="AL800" s="155" t="s">
        <v>1627</v>
      </c>
      <c r="AM800" s="431" t="str">
        <f>VLOOKUP($Q800,Resultados!$A$1:$C$49,3,FALSE)</f>
        <v>TRAMITE</v>
      </c>
    </row>
    <row r="801" spans="1:39" ht="39.950000000000003" customHeight="1">
      <c r="A801" s="364">
        <v>781</v>
      </c>
      <c r="B801" s="35">
        <v>45359</v>
      </c>
      <c r="C801" s="337" t="s">
        <v>14</v>
      </c>
      <c r="D801" s="32" t="s">
        <v>2492</v>
      </c>
      <c r="E801" s="40" t="s">
        <v>2493</v>
      </c>
      <c r="F801" s="39">
        <v>4</v>
      </c>
      <c r="G801" s="39" t="s">
        <v>325</v>
      </c>
      <c r="H801" s="38"/>
      <c r="I801" s="38"/>
      <c r="J801" s="38"/>
      <c r="K801" s="39" t="s">
        <v>1480</v>
      </c>
      <c r="L801" s="70" t="s">
        <v>77</v>
      </c>
      <c r="M801" s="70" t="s">
        <v>1156</v>
      </c>
      <c r="N801" s="39" t="s">
        <v>2485</v>
      </c>
      <c r="O801" s="32" t="str">
        <f>IF(Q801=" _","NO","SI")</f>
        <v>NO</v>
      </c>
      <c r="P801" s="24" t="str">
        <f ca="1">IF(color_Celda(E801)=12106214,"ROSA",IF(color_Celda(E801)=65535,"AMARILLO",IF(color_Celda(E801)=5296274,"VERDE",IF(color_Celda(E801)=16777215,"BLANCO","NO SE"))))</f>
        <v>AMARILLO</v>
      </c>
      <c r="Q801" s="32" t="s">
        <v>108</v>
      </c>
      <c r="R801" s="32" t="str">
        <f>VLOOKUP($Q801,Resultados!$A$1:$B$49,2,FALSE)</f>
        <v xml:space="preserve"> _</v>
      </c>
      <c r="S801" s="32"/>
      <c r="T801" s="73"/>
      <c r="U801" s="37"/>
      <c r="V801" s="39"/>
      <c r="W801" s="39"/>
      <c r="X801" s="39"/>
      <c r="Y801" s="39"/>
      <c r="Z801" s="39"/>
      <c r="AA801" s="39"/>
      <c r="AB801" s="39"/>
      <c r="AC801" s="39"/>
      <c r="AD801" s="39"/>
      <c r="AE801" s="110"/>
      <c r="AF801" s="39"/>
      <c r="AG801" s="39"/>
      <c r="AH801" s="39"/>
      <c r="AI801" s="39"/>
      <c r="AJ801" s="101" t="s">
        <v>988</v>
      </c>
      <c r="AK801" s="39"/>
      <c r="AL801" s="155" t="s">
        <v>1627</v>
      </c>
      <c r="AM801" s="431" t="str">
        <f>VLOOKUP($Q801,Resultados!$A$1:$C$49,3,FALSE)</f>
        <v>TRAMITE</v>
      </c>
    </row>
    <row r="802" spans="1:39" ht="39.950000000000003" customHeight="1">
      <c r="A802" s="364">
        <v>782</v>
      </c>
      <c r="B802" s="35">
        <v>45359</v>
      </c>
      <c r="C802" s="337" t="s">
        <v>14</v>
      </c>
      <c r="D802" s="32" t="s">
        <v>2494</v>
      </c>
      <c r="E802" s="40" t="s">
        <v>2495</v>
      </c>
      <c r="F802" s="39">
        <v>4</v>
      </c>
      <c r="G802" s="39" t="s">
        <v>325</v>
      </c>
      <c r="H802" s="38"/>
      <c r="I802" s="38"/>
      <c r="J802" s="38"/>
      <c r="K802" s="39" t="s">
        <v>1480</v>
      </c>
      <c r="L802" s="70" t="s">
        <v>72</v>
      </c>
      <c r="M802" s="70" t="s">
        <v>46</v>
      </c>
      <c r="N802" s="39" t="s">
        <v>2485</v>
      </c>
      <c r="O802" s="32" t="str">
        <f>IF(Q802=" _","NO","SI")</f>
        <v>NO</v>
      </c>
      <c r="P802" s="24" t="str">
        <f ca="1">IF(color_Celda(E802)=12106214,"ROSA",IF(color_Celda(E802)=65535,"AMARILLO",IF(color_Celda(E802)=5296274,"VERDE",IF(color_Celda(E802)=16777215,"BLANCO","NO SE"))))</f>
        <v>AMARILLO</v>
      </c>
      <c r="Q802" s="32" t="s">
        <v>108</v>
      </c>
      <c r="R802" s="32" t="str">
        <f>VLOOKUP($Q802,Resultados!$A$1:$B$49,2,FALSE)</f>
        <v xml:space="preserve"> _</v>
      </c>
      <c r="S802" s="32"/>
      <c r="T802" s="73"/>
      <c r="U802" s="37"/>
      <c r="V802" s="39"/>
      <c r="W802" s="39"/>
      <c r="X802" s="39"/>
      <c r="Y802" s="39"/>
      <c r="Z802" s="39"/>
      <c r="AA802" s="39"/>
      <c r="AB802" s="39"/>
      <c r="AC802" s="39"/>
      <c r="AD802" s="39"/>
      <c r="AE802" s="110"/>
      <c r="AF802" s="39"/>
      <c r="AG802" s="39"/>
      <c r="AH802" s="39"/>
      <c r="AI802" s="39"/>
      <c r="AJ802" s="101" t="s">
        <v>988</v>
      </c>
      <c r="AK802" s="39"/>
      <c r="AL802" s="155" t="s">
        <v>1627</v>
      </c>
      <c r="AM802" s="431" t="str">
        <f>VLOOKUP($Q802,Resultados!$A$1:$C$49,3,FALSE)</f>
        <v>TRAMITE</v>
      </c>
    </row>
    <row r="803" spans="1:39" ht="39.950000000000003" customHeight="1">
      <c r="A803" s="364">
        <v>783</v>
      </c>
      <c r="B803" s="38">
        <v>45359</v>
      </c>
      <c r="C803" s="331">
        <v>0.41666666666666669</v>
      </c>
      <c r="D803" s="32" t="s">
        <v>2499</v>
      </c>
      <c r="E803" s="40" t="s">
        <v>2500</v>
      </c>
      <c r="F803" s="39">
        <v>4</v>
      </c>
      <c r="G803" s="39" t="s">
        <v>325</v>
      </c>
      <c r="H803" s="38"/>
      <c r="I803" s="38"/>
      <c r="J803" s="38"/>
      <c r="K803" s="39" t="s">
        <v>1480</v>
      </c>
      <c r="L803" s="70" t="s">
        <v>2173</v>
      </c>
      <c r="M803" s="70" t="s">
        <v>1156</v>
      </c>
      <c r="N803" s="39" t="s">
        <v>2485</v>
      </c>
      <c r="O803" s="32" t="str">
        <f>IF(Q803=" _","NO","SI")</f>
        <v>NO</v>
      </c>
      <c r="P803" s="24" t="str">
        <f ca="1">IF(color_Celda(E803)=12106214,"ROSA",IF(color_Celda(E803)=65535,"AMARILLO",IF(color_Celda(E803)=5296274,"VERDE",IF(color_Celda(E803)=16777215,"BLANCO","NO SE"))))</f>
        <v>AMARILLO</v>
      </c>
      <c r="Q803" s="32" t="s">
        <v>108</v>
      </c>
      <c r="R803" s="32" t="str">
        <f>VLOOKUP($Q803,Resultados!$A$1:$B$49,2,FALSE)</f>
        <v xml:space="preserve"> _</v>
      </c>
      <c r="S803" s="32"/>
      <c r="T803" s="73"/>
      <c r="U803" s="37"/>
      <c r="V803" s="39"/>
      <c r="W803" s="39"/>
      <c r="X803" s="39"/>
      <c r="Y803" s="39"/>
      <c r="Z803" s="39"/>
      <c r="AA803" s="39"/>
      <c r="AB803" s="39"/>
      <c r="AC803" s="39"/>
      <c r="AD803" s="39"/>
      <c r="AE803" s="110"/>
      <c r="AF803" s="39"/>
      <c r="AG803" s="39"/>
      <c r="AH803" s="39"/>
      <c r="AI803" s="39"/>
      <c r="AJ803" s="101" t="s">
        <v>988</v>
      </c>
      <c r="AK803" s="39"/>
      <c r="AL803" s="155" t="s">
        <v>1627</v>
      </c>
      <c r="AM803" s="431" t="str">
        <f>VLOOKUP($Q803,Resultados!$A$1:$C$49,3,FALSE)</f>
        <v>TRAMITE</v>
      </c>
    </row>
    <row r="804" spans="1:39" ht="39.950000000000003" customHeight="1">
      <c r="A804" s="364">
        <v>784</v>
      </c>
      <c r="B804" s="38">
        <v>45362</v>
      </c>
      <c r="C804" s="337" t="s">
        <v>12</v>
      </c>
      <c r="D804" s="32" t="s">
        <v>2458</v>
      </c>
      <c r="E804" s="40" t="s">
        <v>2461</v>
      </c>
      <c r="F804" s="39">
        <v>3</v>
      </c>
      <c r="G804" s="39" t="s">
        <v>1750</v>
      </c>
      <c r="H804" s="38"/>
      <c r="I804" s="38"/>
      <c r="J804" s="38"/>
      <c r="K804" s="39" t="s">
        <v>1480</v>
      </c>
      <c r="L804" s="70" t="s">
        <v>2168</v>
      </c>
      <c r="M804" s="244" t="s">
        <v>226</v>
      </c>
      <c r="N804" s="32" t="s">
        <v>2462</v>
      </c>
      <c r="O804" s="32" t="str">
        <f>IF(Q804=" _","NO","SI")</f>
        <v>NO</v>
      </c>
      <c r="P804" s="24" t="str">
        <f ca="1">IF(color_Celda(E804)=12106214,"ROSA",IF(color_Celda(E804)=65535,"AMARILLO",IF(color_Celda(E804)=5296274,"VERDE",IF(color_Celda(E804)=16777215,"BLANCO","NO SE"))))</f>
        <v>AMARILLO</v>
      </c>
      <c r="Q804" s="32" t="s">
        <v>108</v>
      </c>
      <c r="R804" s="32" t="str">
        <f>VLOOKUP($Q804,Resultados!$A$1:$B$49,2,FALSE)</f>
        <v xml:space="preserve"> _</v>
      </c>
      <c r="S804" s="32"/>
      <c r="T804" s="73"/>
      <c r="U804" s="37"/>
      <c r="V804" s="39"/>
      <c r="W804" s="39"/>
      <c r="X804" s="39"/>
      <c r="Y804" s="39"/>
      <c r="Z804" s="39"/>
      <c r="AA804" s="39"/>
      <c r="AB804" s="39"/>
      <c r="AC804" s="39"/>
      <c r="AD804" s="39"/>
      <c r="AE804" s="110"/>
      <c r="AF804" s="39"/>
      <c r="AG804" s="39"/>
      <c r="AH804" s="39"/>
      <c r="AI804" s="39"/>
      <c r="AJ804" s="101" t="s">
        <v>988</v>
      </c>
      <c r="AK804" s="39"/>
      <c r="AL804" s="155" t="s">
        <v>1627</v>
      </c>
      <c r="AM804" s="431" t="str">
        <f>VLOOKUP($Q804,Resultados!$A$1:$C$49,3,FALSE)</f>
        <v>TRAMITE</v>
      </c>
    </row>
    <row r="805" spans="1:39" ht="39.950000000000003" customHeight="1">
      <c r="A805" s="364">
        <v>785</v>
      </c>
      <c r="B805" s="38">
        <v>45362</v>
      </c>
      <c r="C805" s="337" t="s">
        <v>742</v>
      </c>
      <c r="D805" s="32" t="s">
        <v>2463</v>
      </c>
      <c r="E805" s="40" t="s">
        <v>2464</v>
      </c>
      <c r="F805" s="39">
        <v>2</v>
      </c>
      <c r="G805" s="32" t="s">
        <v>325</v>
      </c>
      <c r="H805" s="38"/>
      <c r="I805" s="38"/>
      <c r="J805" s="38"/>
      <c r="K805" s="39" t="s">
        <v>1480</v>
      </c>
      <c r="L805" s="70" t="s">
        <v>83</v>
      </c>
      <c r="M805" s="70" t="s">
        <v>131</v>
      </c>
      <c r="N805" s="32" t="s">
        <v>2481</v>
      </c>
      <c r="O805" s="32" t="str">
        <f>IF(Q805=" _","NO","SI")</f>
        <v>NO</v>
      </c>
      <c r="P805" s="24" t="str">
        <f ca="1">IF(color_Celda(E805)=12106214,"ROSA",IF(color_Celda(E805)=65535,"AMARILLO",IF(color_Celda(E805)=5296274,"VERDE",IF(color_Celda(E805)=16777215,"BLANCO","NO SE"))))</f>
        <v>AMARILLO</v>
      </c>
      <c r="Q805" s="32" t="s">
        <v>108</v>
      </c>
      <c r="R805" s="32" t="str">
        <f>VLOOKUP($Q805,Resultados!$A$1:$B$49,2,FALSE)</f>
        <v xml:space="preserve"> _</v>
      </c>
      <c r="S805" s="32"/>
      <c r="T805" s="73"/>
      <c r="U805" s="37"/>
      <c r="V805" s="39"/>
      <c r="W805" s="39"/>
      <c r="X805" s="39"/>
      <c r="Y805" s="39"/>
      <c r="Z805" s="39"/>
      <c r="AA805" s="39"/>
      <c r="AB805" s="39"/>
      <c r="AC805" s="39"/>
      <c r="AD805" s="39"/>
      <c r="AE805" s="110"/>
      <c r="AF805" s="39"/>
      <c r="AG805" s="39"/>
      <c r="AH805" s="39"/>
      <c r="AI805" s="39"/>
      <c r="AJ805" s="101" t="s">
        <v>988</v>
      </c>
      <c r="AK805" s="39"/>
      <c r="AL805" s="155" t="s">
        <v>1627</v>
      </c>
      <c r="AM805" s="431" t="str">
        <f>VLOOKUP($Q805,Resultados!$A$1:$C$49,3,FALSE)</f>
        <v>TRAMITE</v>
      </c>
    </row>
    <row r="806" spans="1:39" ht="39.950000000000003" customHeight="1">
      <c r="A806" s="364">
        <v>786</v>
      </c>
      <c r="B806" s="35">
        <v>45362</v>
      </c>
      <c r="C806" s="337" t="s">
        <v>1040</v>
      </c>
      <c r="D806" s="32" t="s">
        <v>2496</v>
      </c>
      <c r="E806" s="40" t="s">
        <v>2497</v>
      </c>
      <c r="F806" s="39">
        <v>4</v>
      </c>
      <c r="G806" s="39" t="s">
        <v>325</v>
      </c>
      <c r="H806" s="35"/>
      <c r="I806" s="38"/>
      <c r="J806" s="38"/>
      <c r="K806" s="39" t="s">
        <v>1480</v>
      </c>
      <c r="L806" s="70" t="s">
        <v>75</v>
      </c>
      <c r="M806" s="70" t="s">
        <v>46</v>
      </c>
      <c r="N806" s="39" t="s">
        <v>2498</v>
      </c>
      <c r="O806" s="32" t="str">
        <f>IF(Q806=" _","NO","SI")</f>
        <v>NO</v>
      </c>
      <c r="P806" s="24" t="str">
        <f ca="1">IF(color_Celda(E806)=12106214,"ROSA",IF(color_Celda(E806)=65535,"AMARILLO",IF(color_Celda(E806)=5296274,"VERDE",IF(color_Celda(E806)=16777215,"BLANCO","NO SE"))))</f>
        <v>AMARILLO</v>
      </c>
      <c r="Q806" s="32" t="s">
        <v>108</v>
      </c>
      <c r="R806" s="32" t="str">
        <f>VLOOKUP($Q806,Resultados!$A$1:$B$49,2,FALSE)</f>
        <v xml:space="preserve"> _</v>
      </c>
      <c r="S806" s="32"/>
      <c r="T806" s="73"/>
      <c r="U806" s="37"/>
      <c r="V806" s="39"/>
      <c r="W806" s="39"/>
      <c r="X806" s="39"/>
      <c r="Y806" s="39"/>
      <c r="Z806" s="39"/>
      <c r="AA806" s="39"/>
      <c r="AB806" s="39"/>
      <c r="AC806" s="39"/>
      <c r="AD806" s="39"/>
      <c r="AE806" s="110"/>
      <c r="AF806" s="39"/>
      <c r="AG806" s="39"/>
      <c r="AH806" s="39"/>
      <c r="AI806" s="39"/>
      <c r="AJ806" s="101" t="s">
        <v>988</v>
      </c>
      <c r="AK806" s="39"/>
      <c r="AL806" s="155" t="s">
        <v>1627</v>
      </c>
      <c r="AM806" s="431" t="str">
        <f>VLOOKUP($Q806,Resultados!$A$1:$C$49,3,FALSE)</f>
        <v>TRAMITE</v>
      </c>
    </row>
    <row r="807" spans="1:39" ht="39.950000000000003" customHeight="1">
      <c r="A807" s="364">
        <v>790</v>
      </c>
      <c r="B807" s="38">
        <v>45363</v>
      </c>
      <c r="C807" s="337" t="s">
        <v>867</v>
      </c>
      <c r="D807" s="32" t="s">
        <v>2583</v>
      </c>
      <c r="E807" s="41" t="s">
        <v>2593</v>
      </c>
      <c r="F807" s="39">
        <v>3</v>
      </c>
      <c r="G807" s="32" t="s">
        <v>325</v>
      </c>
      <c r="H807" s="38"/>
      <c r="I807" s="38"/>
      <c r="J807" s="38"/>
      <c r="K807" s="39" t="s">
        <v>1480</v>
      </c>
      <c r="L807" s="70" t="s">
        <v>76</v>
      </c>
      <c r="M807" s="70" t="s">
        <v>46</v>
      </c>
      <c r="N807" s="32" t="s">
        <v>2595</v>
      </c>
      <c r="O807" s="32" t="str">
        <f>IF(Q807=" _","NO","SI")</f>
        <v>NO</v>
      </c>
      <c r="P807" s="24" t="str">
        <f ca="1">IF(color_Celda(E807)=12106214,"ROSA",IF(color_Celda(E807)=65535,"AMARILLO",IF(color_Celda(E807)=5296274,"VERDE",IF(color_Celda(E807)=16777215,"BLANCO","NO SE"))))</f>
        <v>AMARILLO</v>
      </c>
      <c r="Q807" s="32" t="s">
        <v>108</v>
      </c>
      <c r="R807" s="32" t="str">
        <f>VLOOKUP($Q807,Resultados!$A$1:$B$49,2,FALSE)</f>
        <v xml:space="preserve"> _</v>
      </c>
      <c r="S807" s="32"/>
      <c r="T807" s="73"/>
      <c r="U807" s="37"/>
      <c r="V807" s="39"/>
      <c r="W807" s="39"/>
      <c r="X807" s="39"/>
      <c r="Y807" s="39"/>
      <c r="Z807" s="39"/>
      <c r="AA807" s="39"/>
      <c r="AB807" s="39"/>
      <c r="AC807" s="39"/>
      <c r="AD807" s="39"/>
      <c r="AE807" s="110"/>
      <c r="AF807" s="39"/>
      <c r="AG807" s="39"/>
      <c r="AH807" s="39"/>
      <c r="AI807" s="39"/>
      <c r="AJ807" s="101" t="s">
        <v>408</v>
      </c>
      <c r="AK807" s="39"/>
      <c r="AL807" s="155" t="s">
        <v>1627</v>
      </c>
      <c r="AM807" s="431" t="str">
        <f>VLOOKUP($Q807,Resultados!$A$1:$C$49,3,FALSE)</f>
        <v>TRAMITE</v>
      </c>
    </row>
    <row r="808" spans="1:39" ht="39.950000000000003" customHeight="1">
      <c r="A808" s="364">
        <v>791</v>
      </c>
      <c r="B808" s="38">
        <v>45363</v>
      </c>
      <c r="C808" s="337" t="s">
        <v>1388</v>
      </c>
      <c r="D808" s="32" t="s">
        <v>2584</v>
      </c>
      <c r="E808" s="40" t="s">
        <v>2585</v>
      </c>
      <c r="F808" s="39">
        <v>5</v>
      </c>
      <c r="G808" s="32" t="s">
        <v>10</v>
      </c>
      <c r="H808" s="38"/>
      <c r="I808" s="38"/>
      <c r="J808" s="38"/>
      <c r="K808" s="39" t="s">
        <v>1480</v>
      </c>
      <c r="L808" s="70" t="s">
        <v>87</v>
      </c>
      <c r="M808" s="70" t="s">
        <v>2602</v>
      </c>
      <c r="N808" s="32" t="s">
        <v>2599</v>
      </c>
      <c r="O808" s="32" t="str">
        <f>IF(Q808=" _","NO","SI")</f>
        <v>NO</v>
      </c>
      <c r="P808" s="24" t="str">
        <f ca="1">IF(color_Celda(E808)=12106214,"ROSA",IF(color_Celda(E808)=65535,"AMARILLO",IF(color_Celda(E808)=5296274,"VERDE",IF(color_Celda(E808)=16777215,"BLANCO","NO SE"))))</f>
        <v>AMARILLO</v>
      </c>
      <c r="Q808" s="32" t="s">
        <v>108</v>
      </c>
      <c r="R808" s="32" t="str">
        <f>VLOOKUP($Q808,Resultados!$A$1:$B$49,2,FALSE)</f>
        <v xml:space="preserve"> _</v>
      </c>
      <c r="S808" s="32"/>
      <c r="T808" s="73"/>
      <c r="U808" s="37"/>
      <c r="V808" s="39"/>
      <c r="W808" s="39"/>
      <c r="X808" s="39"/>
      <c r="Y808" s="39"/>
      <c r="Z808" s="39"/>
      <c r="AA808" s="39"/>
      <c r="AB808" s="39"/>
      <c r="AC808" s="39"/>
      <c r="AD808" s="39"/>
      <c r="AE808" s="110"/>
      <c r="AF808" s="39"/>
      <c r="AG808" s="39"/>
      <c r="AH808" s="39"/>
      <c r="AI808" s="39"/>
      <c r="AJ808" s="101" t="s">
        <v>988</v>
      </c>
      <c r="AK808" s="39"/>
      <c r="AL808" s="155" t="s">
        <v>1627</v>
      </c>
      <c r="AM808" s="431" t="str">
        <f>VLOOKUP($Q808,Resultados!$A$1:$C$49,3,FALSE)</f>
        <v>TRAMITE</v>
      </c>
    </row>
    <row r="809" spans="1:39" ht="39.950000000000003" customHeight="1">
      <c r="A809" s="364">
        <v>792</v>
      </c>
      <c r="B809" s="38">
        <v>45363</v>
      </c>
      <c r="C809" s="337" t="s">
        <v>2347</v>
      </c>
      <c r="D809" s="32" t="s">
        <v>2586</v>
      </c>
      <c r="E809" s="40" t="s">
        <v>2631</v>
      </c>
      <c r="F809" s="39">
        <v>5</v>
      </c>
      <c r="G809" s="32" t="s">
        <v>10</v>
      </c>
      <c r="H809" s="38"/>
      <c r="I809" s="38"/>
      <c r="J809" s="38"/>
      <c r="K809" s="39" t="s">
        <v>1480</v>
      </c>
      <c r="L809" s="70" t="s">
        <v>42</v>
      </c>
      <c r="M809" s="70" t="s">
        <v>2632</v>
      </c>
      <c r="N809" s="32" t="s">
        <v>2630</v>
      </c>
      <c r="O809" s="32" t="str">
        <f>IF(Q809=" _","NO","SI")</f>
        <v>NO</v>
      </c>
      <c r="P809" s="24" t="str">
        <f ca="1">IF(color_Celda(E809)=12106214,"ROSA",IF(color_Celda(E809)=65535,"AMARILLO",IF(color_Celda(E809)=5296274,"VERDE",IF(color_Celda(E809)=16777215,"BLANCO","NO SE"))))</f>
        <v>AMARILLO</v>
      </c>
      <c r="Q809" s="32" t="s">
        <v>108</v>
      </c>
      <c r="R809" s="32" t="str">
        <f>VLOOKUP($Q809,Resultados!$A$1:$B$49,2,FALSE)</f>
        <v xml:space="preserve"> _</v>
      </c>
      <c r="S809" s="32"/>
      <c r="T809" s="73"/>
      <c r="U809" s="37"/>
      <c r="V809" s="39"/>
      <c r="W809" s="39"/>
      <c r="X809" s="39"/>
      <c r="Y809" s="39"/>
      <c r="Z809" s="39"/>
      <c r="AA809" s="39"/>
      <c r="AB809" s="39"/>
      <c r="AC809" s="39"/>
      <c r="AD809" s="39"/>
      <c r="AE809" s="110"/>
      <c r="AF809" s="39"/>
      <c r="AG809" s="39"/>
      <c r="AH809" s="39"/>
      <c r="AI809" s="39"/>
      <c r="AJ809" s="101" t="s">
        <v>988</v>
      </c>
      <c r="AK809" s="39"/>
      <c r="AL809" s="155" t="s">
        <v>1627</v>
      </c>
      <c r="AM809" s="431" t="str">
        <f>VLOOKUP($Q809,Resultados!$A$1:$C$49,3,FALSE)</f>
        <v>TRAMITE</v>
      </c>
    </row>
    <row r="810" spans="1:39" ht="39.950000000000003" customHeight="1">
      <c r="A810" s="364">
        <v>793</v>
      </c>
      <c r="B810" s="38">
        <v>45363</v>
      </c>
      <c r="C810" s="331">
        <v>0.3888888888888889</v>
      </c>
      <c r="D810" s="32" t="s">
        <v>2589</v>
      </c>
      <c r="E810" s="40" t="s">
        <v>2590</v>
      </c>
      <c r="F810" s="39">
        <v>5</v>
      </c>
      <c r="G810" s="32" t="s">
        <v>10</v>
      </c>
      <c r="H810" s="38"/>
      <c r="I810" s="38"/>
      <c r="J810" s="38"/>
      <c r="K810" s="39" t="s">
        <v>1480</v>
      </c>
      <c r="L810" s="70" t="s">
        <v>87</v>
      </c>
      <c r="M810" s="70" t="s">
        <v>2629</v>
      </c>
      <c r="N810" s="39" t="s">
        <v>2628</v>
      </c>
      <c r="O810" s="32" t="str">
        <f>IF(Q810=" _","NO","SI")</f>
        <v>NO</v>
      </c>
      <c r="P810" s="24" t="str">
        <f ca="1">IF(color_Celda(E810)=12106214,"ROSA",IF(color_Celda(E810)=65535,"AMARILLO",IF(color_Celda(E810)=5296274,"VERDE",IF(color_Celda(E810)=16777215,"BLANCO","NO SE"))))</f>
        <v>AMARILLO</v>
      </c>
      <c r="Q810" s="32" t="s">
        <v>108</v>
      </c>
      <c r="R810" s="32" t="str">
        <f>VLOOKUP($Q810,Resultados!$A$1:$B$49,2,FALSE)</f>
        <v xml:space="preserve"> _</v>
      </c>
      <c r="S810" s="32"/>
      <c r="T810" s="73"/>
      <c r="U810" s="37"/>
      <c r="V810" s="39"/>
      <c r="W810" s="39"/>
      <c r="X810" s="39"/>
      <c r="Y810" s="39"/>
      <c r="Z810" s="39"/>
      <c r="AA810" s="39"/>
      <c r="AB810" s="39"/>
      <c r="AC810" s="39"/>
      <c r="AD810" s="39"/>
      <c r="AE810" s="110"/>
      <c r="AF810" s="39"/>
      <c r="AG810" s="39"/>
      <c r="AH810" s="39"/>
      <c r="AI810" s="39"/>
      <c r="AJ810" s="101" t="s">
        <v>988</v>
      </c>
      <c r="AK810" s="39"/>
      <c r="AL810" s="155" t="s">
        <v>1627</v>
      </c>
      <c r="AM810" s="431" t="str">
        <f>VLOOKUP($Q810,Resultados!$A$1:$C$49,3,FALSE)</f>
        <v>TRAMITE</v>
      </c>
    </row>
    <row r="811" spans="1:39" ht="39.950000000000003" customHeight="1">
      <c r="A811" s="364">
        <v>795</v>
      </c>
      <c r="B811" s="38">
        <v>45363</v>
      </c>
      <c r="C811" s="337" t="s">
        <v>1652</v>
      </c>
      <c r="D811" s="32" t="s">
        <v>2597</v>
      </c>
      <c r="E811" s="40" t="s">
        <v>2598</v>
      </c>
      <c r="F811" s="39">
        <v>3</v>
      </c>
      <c r="G811" s="32" t="s">
        <v>1750</v>
      </c>
      <c r="H811" s="38"/>
      <c r="I811" s="38"/>
      <c r="J811" s="38"/>
      <c r="K811" s="39" t="s">
        <v>1480</v>
      </c>
      <c r="L811" s="70" t="s">
        <v>83</v>
      </c>
      <c r="M811" s="70" t="s">
        <v>46</v>
      </c>
      <c r="N811" s="39" t="s">
        <v>2599</v>
      </c>
      <c r="O811" s="32" t="str">
        <f>IF(Q811=" _","NO","SI")</f>
        <v>NO</v>
      </c>
      <c r="P811" s="24" t="str">
        <f ca="1">IF(color_Celda(E811)=12106214,"ROSA",IF(color_Celda(E811)=65535,"AMARILLO",IF(color_Celda(E811)=5296274,"VERDE",IF(color_Celda(E811)=16777215,"BLANCO","NO SE"))))</f>
        <v>AMARILLO</v>
      </c>
      <c r="Q811" s="32" t="s">
        <v>108</v>
      </c>
      <c r="R811" s="32" t="str">
        <f>VLOOKUP($Q811,Resultados!$A$1:$B$49,2,FALSE)</f>
        <v xml:space="preserve"> _</v>
      </c>
      <c r="S811" s="32"/>
      <c r="T811" s="73"/>
      <c r="U811" s="37"/>
      <c r="V811" s="39"/>
      <c r="W811" s="39"/>
      <c r="X811" s="39"/>
      <c r="Y811" s="39"/>
      <c r="Z811" s="39"/>
      <c r="AA811" s="39"/>
      <c r="AB811" s="39"/>
      <c r="AC811" s="39"/>
      <c r="AD811" s="39"/>
      <c r="AE811" s="110"/>
      <c r="AF811" s="39"/>
      <c r="AG811" s="39"/>
      <c r="AH811" s="39"/>
      <c r="AI811" s="39"/>
      <c r="AJ811" s="101" t="s">
        <v>988</v>
      </c>
      <c r="AK811" s="39"/>
      <c r="AL811" s="155" t="s">
        <v>1627</v>
      </c>
      <c r="AM811" s="431" t="str">
        <f>VLOOKUP($Q811,Resultados!$A$1:$C$49,3,FALSE)</f>
        <v>TRAMITE</v>
      </c>
    </row>
    <row r="812" spans="1:39" ht="39.950000000000003" customHeight="1">
      <c r="A812" s="364">
        <v>796</v>
      </c>
      <c r="B812" s="38">
        <v>45363</v>
      </c>
      <c r="C812" s="337" t="s">
        <v>2616</v>
      </c>
      <c r="D812" s="32" t="s">
        <v>2617</v>
      </c>
      <c r="E812" s="40" t="s">
        <v>2618</v>
      </c>
      <c r="F812" s="39">
        <v>4</v>
      </c>
      <c r="G812" s="39"/>
      <c r="H812" s="38"/>
      <c r="I812" s="38"/>
      <c r="J812" s="38"/>
      <c r="K812" s="39" t="s">
        <v>1480</v>
      </c>
      <c r="L812" s="70" t="s">
        <v>78</v>
      </c>
      <c r="M812" s="70" t="s">
        <v>61</v>
      </c>
      <c r="N812" s="39" t="s">
        <v>2615</v>
      </c>
      <c r="O812" s="32" t="str">
        <f>IF(Q812=" _","NO","SI")</f>
        <v>NO</v>
      </c>
      <c r="P812" s="24" t="str">
        <f ca="1">IF(color_Celda(E812)=12106214,"ROSA",IF(color_Celda(E812)=65535,"AMARILLO",IF(color_Celda(E812)=5296274,"VERDE",IF(color_Celda(E812)=16777215,"BLANCO","NO SE"))))</f>
        <v>AMARILLO</v>
      </c>
      <c r="Q812" s="32" t="s">
        <v>108</v>
      </c>
      <c r="R812" s="32" t="str">
        <f>VLOOKUP($Q812,Resultados!$A$1:$B$49,2,FALSE)</f>
        <v xml:space="preserve"> _</v>
      </c>
      <c r="S812" s="32"/>
      <c r="T812" s="73"/>
      <c r="U812" s="37"/>
      <c r="V812" s="39"/>
      <c r="W812" s="39"/>
      <c r="X812" s="39"/>
      <c r="Y812" s="39"/>
      <c r="Z812" s="39"/>
      <c r="AA812" s="39"/>
      <c r="AB812" s="39"/>
      <c r="AC812" s="39"/>
      <c r="AD812" s="39"/>
      <c r="AE812" s="110"/>
      <c r="AF812" s="39"/>
      <c r="AG812" s="39"/>
      <c r="AH812" s="39"/>
      <c r="AI812" s="39"/>
      <c r="AJ812" s="101" t="s">
        <v>988</v>
      </c>
      <c r="AK812" s="39"/>
      <c r="AL812" s="155" t="s">
        <v>1627</v>
      </c>
      <c r="AM812" s="431" t="str">
        <f>VLOOKUP($Q812,Resultados!$A$1:$C$49,3,FALSE)</f>
        <v>TRAMITE</v>
      </c>
    </row>
    <row r="813" spans="1:39" ht="39.950000000000003" customHeight="1">
      <c r="A813" s="364">
        <v>798</v>
      </c>
      <c r="B813" s="38">
        <v>45364</v>
      </c>
      <c r="C813" s="337" t="s">
        <v>798</v>
      </c>
      <c r="D813" s="32" t="s">
        <v>2613</v>
      </c>
      <c r="E813" s="40" t="s">
        <v>2614</v>
      </c>
      <c r="F813" s="39">
        <v>4</v>
      </c>
      <c r="G813" s="39"/>
      <c r="H813" s="38"/>
      <c r="I813" s="38"/>
      <c r="J813" s="38"/>
      <c r="K813" s="39" t="s">
        <v>1480</v>
      </c>
      <c r="L813" s="70" t="s">
        <v>74</v>
      </c>
      <c r="M813" s="70" t="s">
        <v>90</v>
      </c>
      <c r="N813" s="39" t="s">
        <v>2615</v>
      </c>
      <c r="O813" s="32" t="str">
        <f>IF(Q813=" _","NO","SI")</f>
        <v>NO</v>
      </c>
      <c r="P813" s="24" t="str">
        <f ca="1">IF(color_Celda(E813)=12106214,"ROSA",IF(color_Celda(E813)=65535,"AMARILLO",IF(color_Celda(E813)=5296274,"VERDE",IF(color_Celda(E813)=16777215,"BLANCO","NO SE"))))</f>
        <v>AMARILLO</v>
      </c>
      <c r="Q813" s="32" t="s">
        <v>108</v>
      </c>
      <c r="R813" s="32" t="str">
        <f>VLOOKUP($Q813,Resultados!$A$1:$B$49,2,FALSE)</f>
        <v xml:space="preserve"> _</v>
      </c>
      <c r="S813" s="32"/>
      <c r="T813" s="73"/>
      <c r="U813" s="37"/>
      <c r="V813" s="39"/>
      <c r="W813" s="39"/>
      <c r="X813" s="39"/>
      <c r="Y813" s="39"/>
      <c r="Z813" s="39"/>
      <c r="AA813" s="39"/>
      <c r="AB813" s="39"/>
      <c r="AC813" s="39"/>
      <c r="AD813" s="39"/>
      <c r="AE813" s="110"/>
      <c r="AF813" s="39"/>
      <c r="AG813" s="39"/>
      <c r="AH813" s="39"/>
      <c r="AI813" s="39"/>
      <c r="AJ813" s="101" t="s">
        <v>988</v>
      </c>
      <c r="AK813" s="39"/>
      <c r="AL813" s="155" t="s">
        <v>1627</v>
      </c>
      <c r="AM813" s="431" t="str">
        <f>VLOOKUP($Q813,Resultados!$A$1:$C$49,3,FALSE)</f>
        <v>TRAMITE</v>
      </c>
    </row>
    <row r="814" spans="1:39" ht="39.950000000000003" customHeight="1">
      <c r="A814" s="364">
        <v>799</v>
      </c>
      <c r="B814" s="38">
        <v>45364</v>
      </c>
      <c r="C814" s="337" t="s">
        <v>15</v>
      </c>
      <c r="D814" s="32" t="s">
        <v>2626</v>
      </c>
      <c r="E814" s="40" t="s">
        <v>2627</v>
      </c>
      <c r="F814" s="39">
        <v>1</v>
      </c>
      <c r="G814" s="32" t="s">
        <v>326</v>
      </c>
      <c r="H814" s="38"/>
      <c r="I814" s="38"/>
      <c r="J814" s="38"/>
      <c r="K814" s="39" t="s">
        <v>1480</v>
      </c>
      <c r="L814" s="70" t="s">
        <v>77</v>
      </c>
      <c r="M814" s="70" t="s">
        <v>1156</v>
      </c>
      <c r="N814" s="39" t="s">
        <v>2628</v>
      </c>
      <c r="O814" s="32" t="str">
        <f>IF(Q814=" _","NO","SI")</f>
        <v>NO</v>
      </c>
      <c r="P814" s="24" t="str">
        <f ca="1">IF(color_Celda(E814)=12106214,"ROSA",IF(color_Celda(E814)=65535,"AMARILLO",IF(color_Celda(E814)=5296274,"VERDE",IF(color_Celda(E814)=16777215,"BLANCO","NO SE"))))</f>
        <v>AMARILLO</v>
      </c>
      <c r="Q814" s="32" t="s">
        <v>108</v>
      </c>
      <c r="R814" s="32" t="str">
        <f>VLOOKUP($Q814,Resultados!$A$1:$B$49,2,FALSE)</f>
        <v xml:space="preserve"> _</v>
      </c>
      <c r="S814" s="32"/>
      <c r="T814" s="73"/>
      <c r="U814" s="37"/>
      <c r="V814" s="39"/>
      <c r="W814" s="39"/>
      <c r="X814" s="39"/>
      <c r="Y814" s="39"/>
      <c r="Z814" s="39"/>
      <c r="AA814" s="39"/>
      <c r="AB814" s="39"/>
      <c r="AC814" s="39"/>
      <c r="AD814" s="39"/>
      <c r="AE814" s="110"/>
      <c r="AF814" s="39"/>
      <c r="AG814" s="39"/>
      <c r="AH814" s="39"/>
      <c r="AI814" s="39"/>
      <c r="AJ814" s="101" t="s">
        <v>988</v>
      </c>
      <c r="AK814" s="39"/>
      <c r="AL814" s="155" t="s">
        <v>1627</v>
      </c>
      <c r="AM814" s="431" t="str">
        <f>VLOOKUP($Q814,Resultados!$A$1:$C$49,3,FALSE)</f>
        <v>TRAMITE</v>
      </c>
    </row>
    <row r="815" spans="1:39" ht="39.950000000000003" customHeight="1">
      <c r="A815" s="364">
        <v>800</v>
      </c>
      <c r="B815" s="38">
        <v>45365</v>
      </c>
      <c r="C815" s="337" t="s">
        <v>12</v>
      </c>
      <c r="D815" s="32" t="s">
        <v>2634</v>
      </c>
      <c r="E815" s="40" t="s">
        <v>2603</v>
      </c>
      <c r="F815" s="39">
        <v>5</v>
      </c>
      <c r="G815" s="32" t="s">
        <v>10</v>
      </c>
      <c r="H815" s="38"/>
      <c r="I815" s="38"/>
      <c r="J815" s="38"/>
      <c r="K815" s="39" t="s">
        <v>1480</v>
      </c>
      <c r="L815" s="70" t="s">
        <v>2169</v>
      </c>
      <c r="M815" s="70" t="s">
        <v>2635</v>
      </c>
      <c r="N815" s="32" t="s">
        <v>2633</v>
      </c>
      <c r="O815" s="32" t="str">
        <f>IF(Q815=" _","NO","SI")</f>
        <v>NO</v>
      </c>
      <c r="P815" s="24" t="str">
        <f ca="1">IF(color_Celda(E815)=12106214,"ROSA",IF(color_Celda(E815)=65535,"AMARILLO",IF(color_Celda(E815)=5296274,"VERDE",IF(color_Celda(E815)=16777215,"BLANCO","NO SE"))))</f>
        <v>AMARILLO</v>
      </c>
      <c r="Q815" s="32" t="s">
        <v>108</v>
      </c>
      <c r="R815" s="32" t="str">
        <f>VLOOKUP($Q815,Resultados!$A$1:$B$49,2,FALSE)</f>
        <v xml:space="preserve"> _</v>
      </c>
      <c r="S815" s="32"/>
      <c r="T815" s="73"/>
      <c r="U815" s="37"/>
      <c r="V815" s="39"/>
      <c r="W815" s="39"/>
      <c r="X815" s="39"/>
      <c r="Y815" s="39"/>
      <c r="Z815" s="39"/>
      <c r="AA815" s="39"/>
      <c r="AB815" s="39"/>
      <c r="AC815" s="39"/>
      <c r="AD815" s="39"/>
      <c r="AE815" s="110"/>
      <c r="AF815" s="39"/>
      <c r="AG815" s="39"/>
      <c r="AH815" s="39"/>
      <c r="AI815" s="39"/>
      <c r="AJ815" s="101" t="s">
        <v>988</v>
      </c>
      <c r="AK815" s="39"/>
      <c r="AL815" s="155" t="s">
        <v>1627</v>
      </c>
      <c r="AM815" s="431" t="str">
        <f>VLOOKUP($Q815,Resultados!$A$1:$C$49,3,FALSE)</f>
        <v>TRAMITE</v>
      </c>
    </row>
    <row r="816" spans="1:39" ht="39.950000000000003" customHeight="1">
      <c r="A816" s="364">
        <v>801</v>
      </c>
      <c r="B816" s="38">
        <v>45365</v>
      </c>
      <c r="C816" s="337" t="s">
        <v>2604</v>
      </c>
      <c r="D816" s="32" t="s">
        <v>2605</v>
      </c>
      <c r="E816" s="40" t="s">
        <v>2606</v>
      </c>
      <c r="F816" s="32">
        <v>6</v>
      </c>
      <c r="G816" s="39"/>
      <c r="H816" s="38"/>
      <c r="I816" s="38"/>
      <c r="J816" s="38"/>
      <c r="K816" s="39" t="s">
        <v>1480</v>
      </c>
      <c r="L816" s="70" t="s">
        <v>77</v>
      </c>
      <c r="M816" s="70" t="s">
        <v>90</v>
      </c>
      <c r="N816" s="32" t="s">
        <v>2633</v>
      </c>
      <c r="O816" s="32" t="str">
        <f>IF(Q816=" _","NO","SI")</f>
        <v>NO</v>
      </c>
      <c r="P816" s="24" t="str">
        <f ca="1">IF(color_Celda(E816)=12106214,"ROSA",IF(color_Celda(E816)=65535,"AMARILLO",IF(color_Celda(E816)=5296274,"VERDE",IF(color_Celda(E816)=16777215,"BLANCO","NO SE"))))</f>
        <v>AMARILLO</v>
      </c>
      <c r="Q816" s="32" t="s">
        <v>108</v>
      </c>
      <c r="R816" s="32" t="str">
        <f>VLOOKUP($Q816,Resultados!$A$1:$B$49,2,FALSE)</f>
        <v xml:space="preserve"> _</v>
      </c>
      <c r="S816" s="32"/>
      <c r="T816" s="73"/>
      <c r="U816" s="37"/>
      <c r="V816" s="39"/>
      <c r="W816" s="39"/>
      <c r="X816" s="39"/>
      <c r="Y816" s="39"/>
      <c r="Z816" s="39"/>
      <c r="AA816" s="39"/>
      <c r="AB816" s="39"/>
      <c r="AC816" s="39"/>
      <c r="AD816" s="39"/>
      <c r="AE816" s="110"/>
      <c r="AF816" s="39"/>
      <c r="AG816" s="39"/>
      <c r="AH816" s="39"/>
      <c r="AI816" s="39"/>
      <c r="AJ816" s="101" t="s">
        <v>988</v>
      </c>
      <c r="AK816" s="39"/>
      <c r="AL816" s="155" t="s">
        <v>1627</v>
      </c>
      <c r="AM816" s="431" t="str">
        <f>VLOOKUP($Q816,Resultados!$A$1:$C$49,3,FALSE)</f>
        <v>TRAMITE</v>
      </c>
    </row>
    <row r="817" spans="1:39" ht="39.950000000000003" customHeight="1">
      <c r="A817" s="364">
        <v>802</v>
      </c>
      <c r="B817" s="38">
        <v>45365</v>
      </c>
      <c r="C817" s="337" t="s">
        <v>41</v>
      </c>
      <c r="D817" s="32" t="s">
        <v>2607</v>
      </c>
      <c r="E817" s="40" t="s">
        <v>2608</v>
      </c>
      <c r="F817" s="39">
        <v>7</v>
      </c>
      <c r="G817" s="32" t="s">
        <v>10</v>
      </c>
      <c r="H817" s="38"/>
      <c r="I817" s="38"/>
      <c r="J817" s="38"/>
      <c r="K817" s="39" t="s">
        <v>1480</v>
      </c>
      <c r="L817" s="70" t="s">
        <v>252</v>
      </c>
      <c r="M817" s="70" t="s">
        <v>1156</v>
      </c>
      <c r="N817" s="32" t="s">
        <v>2633</v>
      </c>
      <c r="O817" s="32" t="str">
        <f>IF(Q817=" _","NO","SI")</f>
        <v>NO</v>
      </c>
      <c r="P817" s="24" t="str">
        <f ca="1">IF(color_Celda(E817)=12106214,"ROSA",IF(color_Celda(E817)=65535,"AMARILLO",IF(color_Celda(E817)=5296274,"VERDE",IF(color_Celda(E817)=16777215,"BLANCO","NO SE"))))</f>
        <v>AMARILLO</v>
      </c>
      <c r="Q817" s="32" t="s">
        <v>108</v>
      </c>
      <c r="R817" s="32" t="str">
        <f>VLOOKUP($Q817,Resultados!$A$1:$B$49,2,FALSE)</f>
        <v xml:space="preserve"> _</v>
      </c>
      <c r="S817" s="32"/>
      <c r="T817" s="73"/>
      <c r="U817" s="37"/>
      <c r="V817" s="39"/>
      <c r="W817" s="39"/>
      <c r="X817" s="39"/>
      <c r="Y817" s="39"/>
      <c r="Z817" s="39"/>
      <c r="AA817" s="39"/>
      <c r="AB817" s="39"/>
      <c r="AC817" s="39"/>
      <c r="AD817" s="39"/>
      <c r="AE817" s="110"/>
      <c r="AF817" s="39"/>
      <c r="AG817" s="39"/>
      <c r="AH817" s="39"/>
      <c r="AI817" s="39"/>
      <c r="AJ817" s="101" t="s">
        <v>988</v>
      </c>
      <c r="AK817" s="39"/>
      <c r="AL817" s="155" t="s">
        <v>1627</v>
      </c>
      <c r="AM817" s="431" t="str">
        <f>VLOOKUP($Q817,Resultados!$A$1:$C$49,3,FALSE)</f>
        <v>TRAMITE</v>
      </c>
    </row>
    <row r="818" spans="1:39" ht="39.950000000000003" customHeight="1">
      <c r="A818" s="364">
        <v>803</v>
      </c>
      <c r="B818" s="38">
        <v>45365</v>
      </c>
      <c r="C818" s="337" t="s">
        <v>130</v>
      </c>
      <c r="D818" s="32" t="s">
        <v>2609</v>
      </c>
      <c r="E818" s="40" t="s">
        <v>2610</v>
      </c>
      <c r="F818" s="39">
        <v>7</v>
      </c>
      <c r="G818" s="32" t="s">
        <v>10</v>
      </c>
      <c r="H818" s="38"/>
      <c r="I818" s="38"/>
      <c r="J818" s="38"/>
      <c r="K818" s="39" t="s">
        <v>1480</v>
      </c>
      <c r="L818" s="70" t="s">
        <v>127</v>
      </c>
      <c r="M818" s="70" t="s">
        <v>1156</v>
      </c>
      <c r="N818" s="32" t="s">
        <v>2633</v>
      </c>
      <c r="O818" s="32" t="str">
        <f>IF(Q818=" _","NO","SI")</f>
        <v>NO</v>
      </c>
      <c r="P818" s="24" t="str">
        <f ca="1">IF(color_Celda(E818)=12106214,"ROSA",IF(color_Celda(E818)=65535,"AMARILLO",IF(color_Celda(E818)=5296274,"VERDE",IF(color_Celda(E818)=16777215,"BLANCO","NO SE"))))</f>
        <v>AMARILLO</v>
      </c>
      <c r="Q818" s="32" t="s">
        <v>108</v>
      </c>
      <c r="R818" s="32" t="str">
        <f>VLOOKUP($Q818,Resultados!$A$1:$B$49,2,FALSE)</f>
        <v xml:space="preserve"> _</v>
      </c>
      <c r="S818" s="32"/>
      <c r="T818" s="73"/>
      <c r="U818" s="37"/>
      <c r="V818" s="39"/>
      <c r="W818" s="39"/>
      <c r="X818" s="39"/>
      <c r="Y818" s="39"/>
      <c r="Z818" s="39"/>
      <c r="AA818" s="39"/>
      <c r="AB818" s="39"/>
      <c r="AC818" s="39"/>
      <c r="AD818" s="39"/>
      <c r="AE818" s="110"/>
      <c r="AF818" s="39"/>
      <c r="AG818" s="39"/>
      <c r="AH818" s="39"/>
      <c r="AI818" s="39"/>
      <c r="AJ818" s="101" t="s">
        <v>988</v>
      </c>
      <c r="AK818" s="39"/>
      <c r="AL818" s="155" t="s">
        <v>1627</v>
      </c>
      <c r="AM818" s="431" t="str">
        <f>VLOOKUP($Q818,Resultados!$A$1:$C$49,3,FALSE)</f>
        <v>TRAMITE</v>
      </c>
    </row>
    <row r="819" spans="1:39" ht="39.950000000000003" customHeight="1">
      <c r="A819" s="364">
        <v>804</v>
      </c>
      <c r="B819" s="35">
        <v>45365</v>
      </c>
      <c r="C819" s="337" t="s">
        <v>143</v>
      </c>
      <c r="D819" s="32" t="s">
        <v>2611</v>
      </c>
      <c r="E819" s="40" t="s">
        <v>2612</v>
      </c>
      <c r="F819" s="39">
        <v>2</v>
      </c>
      <c r="G819" s="39"/>
      <c r="H819" s="38"/>
      <c r="I819" s="38"/>
      <c r="J819" s="38"/>
      <c r="K819" s="39" t="s">
        <v>1480</v>
      </c>
      <c r="L819" s="70" t="s">
        <v>73</v>
      </c>
      <c r="M819" s="70" t="s">
        <v>59</v>
      </c>
      <c r="N819" s="39" t="s">
        <v>2615</v>
      </c>
      <c r="O819" s="32" t="str">
        <f>IF(Q819=" _","NO","SI")</f>
        <v>NO</v>
      </c>
      <c r="P819" s="24" t="str">
        <f ca="1">IF(color_Celda(E819)=12106214,"ROSA",IF(color_Celda(E819)=65535,"AMARILLO",IF(color_Celda(E819)=5296274,"VERDE",IF(color_Celda(E819)=16777215,"BLANCO","NO SE"))))</f>
        <v>AMARILLO</v>
      </c>
      <c r="Q819" s="32" t="s">
        <v>108</v>
      </c>
      <c r="R819" s="32" t="str">
        <f>VLOOKUP($Q819,Resultados!$A$1:$B$49,2,FALSE)</f>
        <v xml:space="preserve"> _</v>
      </c>
      <c r="S819" s="32"/>
      <c r="T819" s="73"/>
      <c r="U819" s="37"/>
      <c r="V819" s="39"/>
      <c r="W819" s="39"/>
      <c r="X819" s="39"/>
      <c r="Y819" s="39"/>
      <c r="Z819" s="39"/>
      <c r="AA819" s="39"/>
      <c r="AB819" s="39"/>
      <c r="AC819" s="39"/>
      <c r="AD819" s="39"/>
      <c r="AE819" s="110"/>
      <c r="AF819" s="39"/>
      <c r="AG819" s="39"/>
      <c r="AH819" s="39"/>
      <c r="AI819" s="39"/>
      <c r="AJ819" s="101" t="s">
        <v>988</v>
      </c>
      <c r="AK819" s="39"/>
      <c r="AL819" s="155" t="s">
        <v>1627</v>
      </c>
      <c r="AM819" s="431" t="str">
        <f>VLOOKUP($Q819,Resultados!$A$1:$C$49,3,FALSE)</f>
        <v>TRAMITE</v>
      </c>
    </row>
    <row r="820" spans="1:39" ht="39.950000000000003" customHeight="1">
      <c r="A820" s="364">
        <v>805</v>
      </c>
      <c r="B820" s="38">
        <v>45366</v>
      </c>
      <c r="C820" s="337" t="s">
        <v>1395</v>
      </c>
      <c r="D820" s="32" t="s">
        <v>2636</v>
      </c>
      <c r="E820" s="40" t="s">
        <v>2637</v>
      </c>
      <c r="F820" s="39">
        <v>7</v>
      </c>
      <c r="G820" s="32" t="s">
        <v>10</v>
      </c>
      <c r="H820" s="38"/>
      <c r="I820" s="38"/>
      <c r="J820" s="38"/>
      <c r="K820" s="39" t="s">
        <v>1480</v>
      </c>
      <c r="L820" s="70" t="s">
        <v>77</v>
      </c>
      <c r="M820" s="70" t="s">
        <v>62</v>
      </c>
      <c r="N820" s="32" t="s">
        <v>2848</v>
      </c>
      <c r="O820" s="32" t="str">
        <f>IF(Q820=" _","NO","SI")</f>
        <v>NO</v>
      </c>
      <c r="P820" s="24" t="str">
        <f ca="1">IF(color_Celda(E820)=12106214,"ROSA",IF(color_Celda(E820)=65535,"AMARILLO",IF(color_Celda(E820)=5296274,"VERDE",IF(color_Celda(E820)=16777215,"BLANCO","NO SE"))))</f>
        <v>AMARILLO</v>
      </c>
      <c r="Q820" s="32" t="s">
        <v>108</v>
      </c>
      <c r="R820" s="32" t="str">
        <f>VLOOKUP($Q820,Resultados!$A$1:$B$49,2,FALSE)</f>
        <v xml:space="preserve"> _</v>
      </c>
      <c r="S820" s="32"/>
      <c r="T820" s="73"/>
      <c r="U820" s="37"/>
      <c r="V820" s="39"/>
      <c r="W820" s="39"/>
      <c r="X820" s="39"/>
      <c r="Y820" s="39"/>
      <c r="Z820" s="39"/>
      <c r="AA820" s="39"/>
      <c r="AB820" s="39"/>
      <c r="AC820" s="39"/>
      <c r="AD820" s="39"/>
      <c r="AE820" s="110"/>
      <c r="AF820" s="39"/>
      <c r="AG820" s="39"/>
      <c r="AH820" s="39"/>
      <c r="AI820" s="39"/>
      <c r="AJ820" s="101" t="s">
        <v>988</v>
      </c>
      <c r="AK820" s="39"/>
      <c r="AL820" s="155" t="s">
        <v>1627</v>
      </c>
      <c r="AM820" s="431" t="str">
        <f>VLOOKUP($Q820,Resultados!$A$1:$C$49,3,FALSE)</f>
        <v>TRAMITE</v>
      </c>
    </row>
    <row r="821" spans="1:39" ht="39.950000000000003" customHeight="1">
      <c r="A821" s="364">
        <v>806</v>
      </c>
      <c r="B821" s="38">
        <v>45366</v>
      </c>
      <c r="C821" s="337" t="s">
        <v>776</v>
      </c>
      <c r="D821" s="32" t="s">
        <v>2638</v>
      </c>
      <c r="E821" s="40" t="s">
        <v>2819</v>
      </c>
      <c r="F821" s="39">
        <v>1</v>
      </c>
      <c r="G821" s="32" t="s">
        <v>2876</v>
      </c>
      <c r="H821" s="38"/>
      <c r="I821" s="38"/>
      <c r="J821" s="38"/>
      <c r="K821" s="39" t="s">
        <v>1480</v>
      </c>
      <c r="L821" s="70" t="s">
        <v>72</v>
      </c>
      <c r="M821" s="70" t="s">
        <v>260</v>
      </c>
      <c r="N821" s="32" t="s">
        <v>2820</v>
      </c>
      <c r="O821" s="32" t="str">
        <f>IF(Q821=" _","NO","SI")</f>
        <v>NO</v>
      </c>
      <c r="P821" s="24" t="str">
        <f ca="1">IF(color_Celda(E821)=12106214,"ROSA",IF(color_Celda(E821)=65535,"AMARILLO",IF(color_Celda(E821)=5296274,"VERDE",IF(color_Celda(E821)=16777215,"BLANCO","NO SE"))))</f>
        <v>AMARILLO</v>
      </c>
      <c r="Q821" s="32" t="s">
        <v>108</v>
      </c>
      <c r="R821" s="32" t="str">
        <f>VLOOKUP($Q821,Resultados!$A$1:$B$49,2,FALSE)</f>
        <v xml:space="preserve"> _</v>
      </c>
      <c r="S821" s="32"/>
      <c r="T821" s="73"/>
      <c r="U821" s="37"/>
      <c r="V821" s="39"/>
      <c r="W821" s="39"/>
      <c r="X821" s="39"/>
      <c r="Y821" s="39"/>
      <c r="Z821" s="39"/>
      <c r="AA821" s="39"/>
      <c r="AB821" s="39"/>
      <c r="AC821" s="39"/>
      <c r="AD821" s="39"/>
      <c r="AE821" s="110"/>
      <c r="AF821" s="39"/>
      <c r="AG821" s="39"/>
      <c r="AH821" s="39"/>
      <c r="AI821" s="39"/>
      <c r="AJ821" s="101" t="s">
        <v>988</v>
      </c>
      <c r="AK821" s="39"/>
      <c r="AL821" s="155" t="s">
        <v>1627</v>
      </c>
      <c r="AM821" s="431" t="str">
        <f>VLOOKUP($Q821,Resultados!$A$1:$C$49,3,FALSE)</f>
        <v>TRAMITE</v>
      </c>
    </row>
    <row r="822" spans="1:39" ht="39.950000000000003" customHeight="1">
      <c r="A822" s="364">
        <v>807</v>
      </c>
      <c r="B822" s="38">
        <v>45366</v>
      </c>
      <c r="C822" s="337" t="s">
        <v>899</v>
      </c>
      <c r="D822" s="32" t="s">
        <v>2639</v>
      </c>
      <c r="E822" s="40" t="s">
        <v>2640</v>
      </c>
      <c r="F822" s="39">
        <v>7</v>
      </c>
      <c r="G822" s="32" t="s">
        <v>10</v>
      </c>
      <c r="H822" s="38"/>
      <c r="I822" s="38"/>
      <c r="J822" s="38"/>
      <c r="K822" s="39" t="s">
        <v>1480</v>
      </c>
      <c r="L822" s="70" t="s">
        <v>74</v>
      </c>
      <c r="M822" s="70" t="s">
        <v>62</v>
      </c>
      <c r="N822" s="32" t="s">
        <v>2805</v>
      </c>
      <c r="O822" s="32" t="str">
        <f>IF(Q822=" _","NO","SI")</f>
        <v>NO</v>
      </c>
      <c r="P822" s="24" t="str">
        <f ca="1">IF(color_Celda(E822)=12106214,"ROSA",IF(color_Celda(E822)=65535,"AMARILLO",IF(color_Celda(E822)=5296274,"VERDE",IF(color_Celda(E822)=16777215,"BLANCO","NO SE"))))</f>
        <v>AMARILLO</v>
      </c>
      <c r="Q822" s="32" t="s">
        <v>108</v>
      </c>
      <c r="R822" s="32" t="str">
        <f>VLOOKUP($Q822,Resultados!$A$1:$B$49,2,FALSE)</f>
        <v xml:space="preserve"> _</v>
      </c>
      <c r="S822" s="32"/>
      <c r="T822" s="73"/>
      <c r="U822" s="37"/>
      <c r="V822" s="39"/>
      <c r="W822" s="39"/>
      <c r="X822" s="39"/>
      <c r="Y822" s="39"/>
      <c r="Z822" s="39"/>
      <c r="AA822" s="39"/>
      <c r="AB822" s="39"/>
      <c r="AC822" s="39"/>
      <c r="AD822" s="39"/>
      <c r="AE822" s="110"/>
      <c r="AF822" s="39"/>
      <c r="AG822" s="39"/>
      <c r="AH822" s="39"/>
      <c r="AI822" s="39"/>
      <c r="AJ822" s="101" t="s">
        <v>988</v>
      </c>
      <c r="AK822" s="39"/>
      <c r="AL822" s="155" t="s">
        <v>1627</v>
      </c>
      <c r="AM822" s="431" t="str">
        <f>VLOOKUP($Q822,Resultados!$A$1:$C$49,3,FALSE)</f>
        <v>TRAMITE</v>
      </c>
    </row>
    <row r="823" spans="1:39" ht="39.950000000000003" customHeight="1">
      <c r="A823" s="373">
        <v>808</v>
      </c>
      <c r="B823" s="113">
        <v>45366</v>
      </c>
      <c r="C823" s="338" t="s">
        <v>1283</v>
      </c>
      <c r="D823" s="26" t="s">
        <v>2642</v>
      </c>
      <c r="E823" s="114" t="s">
        <v>2643</v>
      </c>
      <c r="F823" s="115">
        <v>5</v>
      </c>
      <c r="G823" s="115"/>
      <c r="H823" s="113"/>
      <c r="I823" s="113"/>
      <c r="J823" s="113"/>
      <c r="K823" s="115" t="s">
        <v>1480</v>
      </c>
      <c r="L823" s="96" t="s">
        <v>2171</v>
      </c>
      <c r="M823" s="96"/>
      <c r="N823" s="115"/>
      <c r="O823" s="26" t="str">
        <f>IF(Q823=" _","NO","SI")</f>
        <v>SI</v>
      </c>
      <c r="P823" s="24" t="str">
        <f ca="1">IF(color_Celda(E823)=12106214,"ROSA",IF(color_Celda(E823)=65535,"AMARILLO",IF(color_Celda(E823)=5296274,"VERDE",IF(color_Celda(E823)=16777215,"BLANCO","NO SE"))))</f>
        <v>VERDE</v>
      </c>
      <c r="Q823" s="96" t="s">
        <v>3313</v>
      </c>
      <c r="R823" s="26" t="str">
        <f>VLOOKUP($Q823,Resultados!$A$1:$B$49,2,FALSE)</f>
        <v>VERDE</v>
      </c>
      <c r="S823" s="26"/>
      <c r="T823" s="99"/>
      <c r="U823" s="116"/>
      <c r="V823" s="115"/>
      <c r="W823" s="115"/>
      <c r="X823" s="115"/>
      <c r="Y823" s="115"/>
      <c r="Z823" s="115"/>
      <c r="AA823" s="115"/>
      <c r="AB823" s="115"/>
      <c r="AC823" s="115"/>
      <c r="AD823" s="115"/>
      <c r="AE823" s="117"/>
      <c r="AF823" s="115"/>
      <c r="AG823" s="115"/>
      <c r="AH823" s="115"/>
      <c r="AI823" s="115"/>
      <c r="AJ823" s="245" t="s">
        <v>988</v>
      </c>
      <c r="AK823" s="115"/>
      <c r="AL823" s="157" t="s">
        <v>1627</v>
      </c>
      <c r="AM823" s="431" t="str">
        <f>VLOOKUP($Q823,Resultados!$A$1:$C$49,3,FALSE)</f>
        <v>NO LLEGO</v>
      </c>
    </row>
    <row r="824" spans="1:39" ht="39.950000000000003" customHeight="1">
      <c r="A824" s="364">
        <v>809</v>
      </c>
      <c r="B824" s="38">
        <v>45369</v>
      </c>
      <c r="C824" s="331">
        <v>0.43958333333333338</v>
      </c>
      <c r="D824" s="32" t="s">
        <v>2649</v>
      </c>
      <c r="E824" s="40" t="s">
        <v>2821</v>
      </c>
      <c r="F824" s="39">
        <v>1</v>
      </c>
      <c r="G824" s="32" t="s">
        <v>2876</v>
      </c>
      <c r="H824" s="38"/>
      <c r="I824" s="38"/>
      <c r="J824" s="38"/>
      <c r="K824" s="39" t="s">
        <v>1480</v>
      </c>
      <c r="L824" s="70" t="s">
        <v>250</v>
      </c>
      <c r="M824" s="70" t="s">
        <v>1289</v>
      </c>
      <c r="N824" s="214" t="s">
        <v>2817</v>
      </c>
      <c r="O824" s="32" t="str">
        <f>IF(Q824=" _","NO","SI")</f>
        <v>NO</v>
      </c>
      <c r="P824" s="24" t="str">
        <f ca="1">IF(color_Celda(E824)=12106214,"ROSA",IF(color_Celda(E824)=65535,"AMARILLO",IF(color_Celda(E824)=5296274,"VERDE",IF(color_Celda(E824)=16777215,"BLANCO","NO SE"))))</f>
        <v>AMARILLO</v>
      </c>
      <c r="Q824" s="32" t="s">
        <v>108</v>
      </c>
      <c r="R824" s="32" t="str">
        <f>VLOOKUP($Q824,Resultados!$A$1:$B$49,2,FALSE)</f>
        <v xml:space="preserve"> _</v>
      </c>
      <c r="S824" s="32"/>
      <c r="T824" s="73"/>
      <c r="U824" s="37"/>
      <c r="V824" s="39"/>
      <c r="W824" s="39"/>
      <c r="X824" s="39"/>
      <c r="Y824" s="39"/>
      <c r="Z824" s="39"/>
      <c r="AA824" s="39"/>
      <c r="AB824" s="39"/>
      <c r="AC824" s="39"/>
      <c r="AD824" s="39"/>
      <c r="AE824" s="110"/>
      <c r="AF824" s="39"/>
      <c r="AG824" s="39"/>
      <c r="AH824" s="39"/>
      <c r="AI824" s="39"/>
      <c r="AJ824" s="101" t="s">
        <v>988</v>
      </c>
      <c r="AK824" s="39"/>
      <c r="AL824" s="155" t="s">
        <v>1627</v>
      </c>
      <c r="AM824" s="431" t="str">
        <f>VLOOKUP($Q824,Resultados!$A$1:$C$49,3,FALSE)</f>
        <v>TRAMITE</v>
      </c>
    </row>
    <row r="825" spans="1:39" ht="39.950000000000003" customHeight="1">
      <c r="A825" s="364">
        <v>810</v>
      </c>
      <c r="B825" s="38">
        <v>45369</v>
      </c>
      <c r="C825" s="331">
        <v>0.46249999999999997</v>
      </c>
      <c r="D825" s="32" t="s">
        <v>2650</v>
      </c>
      <c r="E825" s="297" t="s">
        <v>2651</v>
      </c>
      <c r="F825" s="39">
        <v>6</v>
      </c>
      <c r="G825" s="32" t="s">
        <v>2876</v>
      </c>
      <c r="H825" s="38"/>
      <c r="I825" s="38"/>
      <c r="J825" s="38"/>
      <c r="K825" s="39" t="s">
        <v>1480</v>
      </c>
      <c r="L825" s="70" t="s">
        <v>83</v>
      </c>
      <c r="M825" s="70" t="s">
        <v>62</v>
      </c>
      <c r="N825" s="39" t="s">
        <v>2832</v>
      </c>
      <c r="O825" s="32" t="str">
        <f>IF(Q825=" _","NO","SI")</f>
        <v>NO</v>
      </c>
      <c r="P825" s="24" t="str">
        <f ca="1">IF(color_Celda(E825)=12106214,"ROSA",IF(color_Celda(E825)=65535,"AMARILLO",IF(color_Celda(E825)=5296274,"VERDE",IF(color_Celda(E825)=16777215,"BLANCO","NO SE"))))</f>
        <v>AMARILLO</v>
      </c>
      <c r="Q825" s="32" t="s">
        <v>108</v>
      </c>
      <c r="R825" s="32" t="str">
        <f>VLOOKUP($Q825,Resultados!$A$1:$B$49,2,FALSE)</f>
        <v xml:space="preserve"> _</v>
      </c>
      <c r="S825" s="32"/>
      <c r="T825" s="73"/>
      <c r="U825" s="37"/>
      <c r="V825" s="39"/>
      <c r="W825" s="39"/>
      <c r="X825" s="39"/>
      <c r="Y825" s="39"/>
      <c r="Z825" s="39"/>
      <c r="AA825" s="39"/>
      <c r="AB825" s="39"/>
      <c r="AC825" s="39"/>
      <c r="AD825" s="39"/>
      <c r="AE825" s="110"/>
      <c r="AF825" s="39"/>
      <c r="AG825" s="39"/>
      <c r="AH825" s="39"/>
      <c r="AI825" s="39"/>
      <c r="AJ825" s="101" t="s">
        <v>988</v>
      </c>
      <c r="AK825" s="39"/>
      <c r="AL825" s="155" t="s">
        <v>1627</v>
      </c>
      <c r="AM825" s="431" t="str">
        <f>VLOOKUP($Q825,Resultados!$A$1:$C$49,3,FALSE)</f>
        <v>TRAMITE</v>
      </c>
    </row>
    <row r="826" spans="1:39" ht="39.950000000000003" customHeight="1">
      <c r="A826" s="364">
        <v>811</v>
      </c>
      <c r="B826" s="38">
        <v>45369</v>
      </c>
      <c r="C826" s="331">
        <v>0.53472222222222221</v>
      </c>
      <c r="D826" s="32" t="s">
        <v>2652</v>
      </c>
      <c r="E826" s="40" t="s">
        <v>2653</v>
      </c>
      <c r="F826" s="39">
        <v>7</v>
      </c>
      <c r="G826" s="32" t="s">
        <v>10</v>
      </c>
      <c r="H826" s="38"/>
      <c r="I826" s="38"/>
      <c r="J826" s="38"/>
      <c r="K826" s="39" t="s">
        <v>1480</v>
      </c>
      <c r="L826" s="70" t="s">
        <v>83</v>
      </c>
      <c r="M826" s="70" t="s">
        <v>1156</v>
      </c>
      <c r="N826" s="32" t="s">
        <v>2671</v>
      </c>
      <c r="O826" s="32" t="str">
        <f>IF(Q826=" _","NO","SI")</f>
        <v>NO</v>
      </c>
      <c r="P826" s="24" t="str">
        <f ca="1">IF(color_Celda(E826)=12106214,"ROSA",IF(color_Celda(E826)=65535,"AMARILLO",IF(color_Celda(E826)=5296274,"VERDE",IF(color_Celda(E826)=16777215,"BLANCO","NO SE"))))</f>
        <v>AMARILLO</v>
      </c>
      <c r="Q826" s="32" t="s">
        <v>108</v>
      </c>
      <c r="R826" s="32" t="str">
        <f>VLOOKUP($Q826,Resultados!$A$1:$B$49,2,FALSE)</f>
        <v xml:space="preserve"> _</v>
      </c>
      <c r="S826" s="32"/>
      <c r="T826" s="73"/>
      <c r="U826" s="37"/>
      <c r="V826" s="39"/>
      <c r="W826" s="39"/>
      <c r="X826" s="39"/>
      <c r="Y826" s="39"/>
      <c r="Z826" s="39"/>
      <c r="AA826" s="39"/>
      <c r="AB826" s="39"/>
      <c r="AC826" s="39"/>
      <c r="AD826" s="39"/>
      <c r="AE826" s="110"/>
      <c r="AF826" s="39"/>
      <c r="AG826" s="39"/>
      <c r="AH826" s="39"/>
      <c r="AI826" s="39"/>
      <c r="AJ826" s="101" t="s">
        <v>988</v>
      </c>
      <c r="AK826" s="39"/>
      <c r="AL826" s="155" t="s">
        <v>1627</v>
      </c>
      <c r="AM826" s="431" t="str">
        <f>VLOOKUP($Q826,Resultados!$A$1:$C$49,3,FALSE)</f>
        <v>TRAMITE</v>
      </c>
    </row>
    <row r="827" spans="1:39" ht="39.950000000000003" customHeight="1">
      <c r="A827" s="364">
        <v>812</v>
      </c>
      <c r="B827" s="35">
        <v>45369</v>
      </c>
      <c r="C827" s="337" t="s">
        <v>3026</v>
      </c>
      <c r="D827" s="32" t="s">
        <v>2917</v>
      </c>
      <c r="E827" s="40" t="s">
        <v>2918</v>
      </c>
      <c r="F827" s="39">
        <v>5</v>
      </c>
      <c r="G827" s="32" t="s">
        <v>10</v>
      </c>
      <c r="H827" s="38"/>
      <c r="I827" s="38"/>
      <c r="J827" s="38"/>
      <c r="K827" s="39" t="s">
        <v>1480</v>
      </c>
      <c r="L827" s="70" t="s">
        <v>87</v>
      </c>
      <c r="M827" s="70" t="s">
        <v>1156</v>
      </c>
      <c r="N827" s="39" t="s">
        <v>2888</v>
      </c>
      <c r="O827" s="32" t="str">
        <f>IF(Q827=" _","NO","SI")</f>
        <v>NO</v>
      </c>
      <c r="P827" s="24" t="str">
        <f ca="1">IF(color_Celda(E827)=12106214,"ROSA",IF(color_Celda(E827)=65535,"AMARILLO",IF(color_Celda(E827)=5296274,"VERDE",IF(color_Celda(E827)=16777215,"BLANCO","NO SE"))))</f>
        <v>AMARILLO</v>
      </c>
      <c r="Q827" s="32" t="s">
        <v>108</v>
      </c>
      <c r="R827" s="32" t="str">
        <f>VLOOKUP($Q827,Resultados!$A$1:$B$49,2,FALSE)</f>
        <v xml:space="preserve"> _</v>
      </c>
      <c r="S827" s="32"/>
      <c r="T827" s="73"/>
      <c r="U827" s="37"/>
      <c r="V827" s="39"/>
      <c r="W827" s="39"/>
      <c r="X827" s="39"/>
      <c r="Y827" s="39"/>
      <c r="Z827" s="39"/>
      <c r="AA827" s="39"/>
      <c r="AB827" s="39"/>
      <c r="AC827" s="39"/>
      <c r="AD827" s="39"/>
      <c r="AE827" s="110"/>
      <c r="AF827" s="39"/>
      <c r="AG827" s="39"/>
      <c r="AH827" s="39"/>
      <c r="AI827" s="39"/>
      <c r="AJ827" s="101" t="s">
        <v>988</v>
      </c>
      <c r="AK827" s="39"/>
      <c r="AL827" s="155" t="s">
        <v>1627</v>
      </c>
      <c r="AM827" s="431" t="str">
        <f>VLOOKUP($Q827,Resultados!$A$1:$C$49,3,FALSE)</f>
        <v>TRAMITE</v>
      </c>
    </row>
    <row r="828" spans="1:39" ht="39.950000000000003" customHeight="1">
      <c r="A828" s="373">
        <v>813</v>
      </c>
      <c r="B828" s="113">
        <v>45370</v>
      </c>
      <c r="C828" s="342">
        <v>0.33333333333333331</v>
      </c>
      <c r="D828" s="26" t="s">
        <v>2654</v>
      </c>
      <c r="E828" s="114" t="s">
        <v>2655</v>
      </c>
      <c r="F828" s="115">
        <v>5</v>
      </c>
      <c r="G828" s="115"/>
      <c r="H828" s="113"/>
      <c r="I828" s="113"/>
      <c r="J828" s="113"/>
      <c r="K828" s="115" t="s">
        <v>1480</v>
      </c>
      <c r="L828" s="96" t="s">
        <v>74</v>
      </c>
      <c r="M828" s="96"/>
      <c r="N828" s="115"/>
      <c r="O828" s="26" t="str">
        <f>IF(Q828=" _","NO","SI")</f>
        <v>SI</v>
      </c>
      <c r="P828" s="24" t="str">
        <f ca="1">IF(color_Celda(E828)=12106214,"ROSA",IF(color_Celda(E828)=65535,"AMARILLO",IF(color_Celda(E828)=5296274,"VERDE",IF(color_Celda(E828)=16777215,"BLANCO","NO SE"))))</f>
        <v>VERDE</v>
      </c>
      <c r="Q828" s="96" t="s">
        <v>3313</v>
      </c>
      <c r="R828" s="26" t="str">
        <f>VLOOKUP($Q828,Resultados!$A$1:$B$49,2,FALSE)</f>
        <v>VERDE</v>
      </c>
      <c r="S828" s="26"/>
      <c r="T828" s="99"/>
      <c r="U828" s="116"/>
      <c r="V828" s="115"/>
      <c r="W828" s="115"/>
      <c r="X828" s="115"/>
      <c r="Y828" s="115"/>
      <c r="Z828" s="115"/>
      <c r="AA828" s="115"/>
      <c r="AB828" s="115"/>
      <c r="AC828" s="115"/>
      <c r="AD828" s="115"/>
      <c r="AE828" s="117"/>
      <c r="AF828" s="115"/>
      <c r="AG828" s="115"/>
      <c r="AH828" s="115"/>
      <c r="AI828" s="115"/>
      <c r="AJ828" s="245" t="s">
        <v>988</v>
      </c>
      <c r="AK828" s="115"/>
      <c r="AL828" s="157" t="s">
        <v>1627</v>
      </c>
      <c r="AM828" s="431" t="str">
        <f>VLOOKUP($Q828,Resultados!$A$1:$C$49,3,FALSE)</f>
        <v>NO LLEGO</v>
      </c>
    </row>
    <row r="829" spans="1:39" ht="39.950000000000003" customHeight="1">
      <c r="A829" s="364">
        <v>814</v>
      </c>
      <c r="B829" s="38">
        <v>45370</v>
      </c>
      <c r="C829" s="337" t="s">
        <v>1497</v>
      </c>
      <c r="D829" s="32" t="s">
        <v>2668</v>
      </c>
      <c r="E829" s="41" t="s">
        <v>2669</v>
      </c>
      <c r="F829" s="39">
        <v>7</v>
      </c>
      <c r="G829" s="32" t="s">
        <v>10</v>
      </c>
      <c r="H829" s="38"/>
      <c r="I829" s="38"/>
      <c r="J829" s="38"/>
      <c r="K829" s="39" t="s">
        <v>1480</v>
      </c>
      <c r="L829" s="70" t="s">
        <v>83</v>
      </c>
      <c r="M829" s="70" t="s">
        <v>90</v>
      </c>
      <c r="N829" s="32" t="s">
        <v>2670</v>
      </c>
      <c r="O829" s="32" t="str">
        <f>IF(Q829=" _","NO","SI")</f>
        <v>NO</v>
      </c>
      <c r="P829" s="24" t="str">
        <f ca="1">IF(color_Celda(E829)=12106214,"ROSA",IF(color_Celda(E829)=65535,"AMARILLO",IF(color_Celda(E829)=5296274,"VERDE",IF(color_Celda(E829)=16777215,"BLANCO","NO SE"))))</f>
        <v>AMARILLO</v>
      </c>
      <c r="Q829" s="32" t="s">
        <v>108</v>
      </c>
      <c r="R829" s="32" t="str">
        <f>VLOOKUP($Q829,Resultados!$A$1:$B$49,2,FALSE)</f>
        <v xml:space="preserve"> _</v>
      </c>
      <c r="S829" s="32"/>
      <c r="T829" s="73"/>
      <c r="U829" s="37"/>
      <c r="V829" s="39"/>
      <c r="W829" s="39"/>
      <c r="X829" s="39"/>
      <c r="Y829" s="39"/>
      <c r="Z829" s="39"/>
      <c r="AA829" s="39"/>
      <c r="AB829" s="39"/>
      <c r="AC829" s="39"/>
      <c r="AD829" s="39"/>
      <c r="AE829" s="110"/>
      <c r="AF829" s="39"/>
      <c r="AG829" s="39"/>
      <c r="AH829" s="39"/>
      <c r="AI829" s="39"/>
      <c r="AJ829" s="101" t="s">
        <v>408</v>
      </c>
      <c r="AK829" s="39"/>
      <c r="AL829" s="155" t="s">
        <v>1627</v>
      </c>
      <c r="AM829" s="431" t="str">
        <f>VLOOKUP($Q829,Resultados!$A$1:$C$49,3,FALSE)</f>
        <v>TRAMITE</v>
      </c>
    </row>
    <row r="830" spans="1:39" ht="39.950000000000003" customHeight="1">
      <c r="A830" s="372">
        <v>816</v>
      </c>
      <c r="B830" s="163">
        <v>45370</v>
      </c>
      <c r="C830" s="328" t="s">
        <v>803</v>
      </c>
      <c r="D830" s="16" t="s">
        <v>2837</v>
      </c>
      <c r="E830" s="281" t="s">
        <v>2838</v>
      </c>
      <c r="F830" s="165">
        <v>8</v>
      </c>
      <c r="G830" s="16" t="s">
        <v>325</v>
      </c>
      <c r="H830" s="163"/>
      <c r="I830" s="163"/>
      <c r="J830" s="163"/>
      <c r="K830" s="165" t="s">
        <v>1480</v>
      </c>
      <c r="L830" s="79" t="s">
        <v>88</v>
      </c>
      <c r="M830" s="79" t="s">
        <v>2839</v>
      </c>
      <c r="N830" s="16" t="s">
        <v>3011</v>
      </c>
      <c r="O830" s="16" t="str">
        <f>IF(Q830=" _","NO","SI")</f>
        <v>SI</v>
      </c>
      <c r="P830" s="24" t="str">
        <f ca="1">IF(color_Celda(E830)=12106214,"ROSA",IF(color_Celda(E830)=65535,"AMARILLO",IF(color_Celda(E830)=5296274,"VERDE",IF(color_Celda(E830)=16777215,"BLANCO","NO SE"))))</f>
        <v>ROSA</v>
      </c>
      <c r="Q830" s="16" t="s">
        <v>2437</v>
      </c>
      <c r="R830" s="16" t="str">
        <f>VLOOKUP($Q830,Resultados!$A$1:$B$49,2,FALSE)</f>
        <v>DEVUELTA AL JUZGADO DE ORIGEN</v>
      </c>
      <c r="S830" s="16"/>
      <c r="T830" s="86"/>
      <c r="U830" s="166"/>
      <c r="V830" s="165"/>
      <c r="W830" s="165"/>
      <c r="X830" s="165"/>
      <c r="Y830" s="165"/>
      <c r="Z830" s="165"/>
      <c r="AA830" s="165"/>
      <c r="AB830" s="165"/>
      <c r="AC830" s="165"/>
      <c r="AD830" s="165"/>
      <c r="AE830" s="232"/>
      <c r="AF830" s="165"/>
      <c r="AG830" s="165"/>
      <c r="AH830" s="165"/>
      <c r="AI830" s="165"/>
      <c r="AJ830" s="105" t="s">
        <v>988</v>
      </c>
      <c r="AK830" s="165"/>
      <c r="AL830" s="316" t="s">
        <v>1628</v>
      </c>
      <c r="AM830" s="431" t="str">
        <f>VLOOKUP($Q830,Resultados!$A$1:$C$49,3,FALSE)</f>
        <v>DEVUELTA</v>
      </c>
    </row>
    <row r="831" spans="1:39" ht="39.950000000000003" customHeight="1">
      <c r="A831" s="364">
        <v>817</v>
      </c>
      <c r="B831" s="38">
        <v>45370</v>
      </c>
      <c r="C831" s="337" t="s">
        <v>1497</v>
      </c>
      <c r="D831" s="32" t="s">
        <v>2849</v>
      </c>
      <c r="E831" s="40" t="s">
        <v>2850</v>
      </c>
      <c r="F831" s="39">
        <v>7</v>
      </c>
      <c r="G831" s="39" t="s">
        <v>10</v>
      </c>
      <c r="H831" s="38"/>
      <c r="I831" s="38"/>
      <c r="J831" s="38"/>
      <c r="K831" s="39" t="s">
        <v>1480</v>
      </c>
      <c r="L831" s="70" t="s">
        <v>82</v>
      </c>
      <c r="M831" s="70" t="s">
        <v>226</v>
      </c>
      <c r="N831" s="32" t="s">
        <v>2817</v>
      </c>
      <c r="O831" s="32" t="str">
        <f>IF(Q831=" _","NO","SI")</f>
        <v>NO</v>
      </c>
      <c r="P831" s="24" t="str">
        <f ca="1">IF(color_Celda(E831)=12106214,"ROSA",IF(color_Celda(E831)=65535,"AMARILLO",IF(color_Celda(E831)=5296274,"VERDE",IF(color_Celda(E831)=16777215,"BLANCO","NO SE"))))</f>
        <v>AMARILLO</v>
      </c>
      <c r="Q831" s="32" t="s">
        <v>108</v>
      </c>
      <c r="R831" s="32" t="str">
        <f>VLOOKUP($Q831,Resultados!$A$1:$B$49,2,FALSE)</f>
        <v xml:space="preserve"> _</v>
      </c>
      <c r="S831" s="32"/>
      <c r="T831" s="73"/>
      <c r="U831" s="37"/>
      <c r="V831" s="39"/>
      <c r="W831" s="39"/>
      <c r="X831" s="39"/>
      <c r="Y831" s="39"/>
      <c r="Z831" s="39"/>
      <c r="AA831" s="39"/>
      <c r="AB831" s="39"/>
      <c r="AC831" s="39"/>
      <c r="AD831" s="39"/>
      <c r="AE831" s="110"/>
      <c r="AF831" s="39"/>
      <c r="AG831" s="39"/>
      <c r="AH831" s="39"/>
      <c r="AI831" s="39"/>
      <c r="AJ831" s="101" t="s">
        <v>988</v>
      </c>
      <c r="AK831" s="39"/>
      <c r="AL831" s="155" t="s">
        <v>1627</v>
      </c>
      <c r="AM831" s="431" t="str">
        <f>VLOOKUP($Q831,Resultados!$A$1:$C$49,3,FALSE)</f>
        <v>TRAMITE</v>
      </c>
    </row>
    <row r="832" spans="1:39" ht="39.950000000000003" customHeight="1">
      <c r="A832" s="364">
        <v>818</v>
      </c>
      <c r="B832" s="38">
        <v>45370</v>
      </c>
      <c r="C832" s="337" t="s">
        <v>2897</v>
      </c>
      <c r="D832" s="32" t="s">
        <v>2898</v>
      </c>
      <c r="E832" s="40" t="s">
        <v>2899</v>
      </c>
      <c r="F832" s="39">
        <v>4</v>
      </c>
      <c r="G832" s="32" t="s">
        <v>325</v>
      </c>
      <c r="H832" s="38"/>
      <c r="I832" s="38"/>
      <c r="J832" s="38"/>
      <c r="K832" s="39" t="s">
        <v>1480</v>
      </c>
      <c r="L832" s="70" t="s">
        <v>77</v>
      </c>
      <c r="M832" s="70" t="s">
        <v>47</v>
      </c>
      <c r="N832" s="39" t="s">
        <v>2882</v>
      </c>
      <c r="O832" s="32" t="str">
        <f>IF(Q832=" _","NO","SI")</f>
        <v>NO</v>
      </c>
      <c r="P832" s="24" t="str">
        <f ca="1">IF(color_Celda(E832)=12106214,"ROSA",IF(color_Celda(E832)=65535,"AMARILLO",IF(color_Celda(E832)=5296274,"VERDE",IF(color_Celda(E832)=16777215,"BLANCO","NO SE"))))</f>
        <v>AMARILLO</v>
      </c>
      <c r="Q832" s="32" t="s">
        <v>108</v>
      </c>
      <c r="R832" s="32" t="str">
        <f>VLOOKUP($Q832,Resultados!$A$1:$B$49,2,FALSE)</f>
        <v xml:space="preserve"> _</v>
      </c>
      <c r="S832" s="32"/>
      <c r="T832" s="73"/>
      <c r="U832" s="37"/>
      <c r="V832" s="39"/>
      <c r="W832" s="39"/>
      <c r="X832" s="39"/>
      <c r="Y832" s="39"/>
      <c r="Z832" s="39"/>
      <c r="AA832" s="39"/>
      <c r="AB832" s="39"/>
      <c r="AC832" s="39"/>
      <c r="AD832" s="39"/>
      <c r="AE832" s="110"/>
      <c r="AF832" s="39"/>
      <c r="AG832" s="39"/>
      <c r="AH832" s="39"/>
      <c r="AI832" s="39"/>
      <c r="AJ832" s="101" t="s">
        <v>988</v>
      </c>
      <c r="AK832" s="39"/>
      <c r="AL832" s="155" t="s">
        <v>1627</v>
      </c>
      <c r="AM832" s="431" t="str">
        <f>VLOOKUP($Q832,Resultados!$A$1:$C$49,3,FALSE)</f>
        <v>TRAMITE</v>
      </c>
    </row>
    <row r="833" spans="1:39" ht="39.950000000000003" customHeight="1">
      <c r="A833" s="364">
        <v>819</v>
      </c>
      <c r="B833" s="38">
        <v>45370</v>
      </c>
      <c r="C833" s="337" t="s">
        <v>1497</v>
      </c>
      <c r="D833" s="32" t="s">
        <v>2902</v>
      </c>
      <c r="E833" s="40" t="s">
        <v>2903</v>
      </c>
      <c r="F833" s="39">
        <v>4</v>
      </c>
      <c r="G833" s="32" t="s">
        <v>325</v>
      </c>
      <c r="H833" s="38"/>
      <c r="I833" s="38"/>
      <c r="J833" s="38"/>
      <c r="K833" s="39" t="s">
        <v>1480</v>
      </c>
      <c r="L833" s="70" t="s">
        <v>72</v>
      </c>
      <c r="M833" s="70" t="s">
        <v>47</v>
      </c>
      <c r="N833" s="39" t="s">
        <v>2882</v>
      </c>
      <c r="O833" s="32" t="str">
        <f>IF(Q833=" _","NO","SI")</f>
        <v>NO</v>
      </c>
      <c r="P833" s="24" t="str">
        <f ca="1">IF(color_Celda(E833)=12106214,"ROSA",IF(color_Celda(E833)=65535,"AMARILLO",IF(color_Celda(E833)=5296274,"VERDE",IF(color_Celda(E833)=16777215,"BLANCO","NO SE"))))</f>
        <v>AMARILLO</v>
      </c>
      <c r="Q833" s="32" t="s">
        <v>108</v>
      </c>
      <c r="R833" s="32" t="str">
        <f>VLOOKUP($Q833,Resultados!$A$1:$B$49,2,FALSE)</f>
        <v xml:space="preserve"> _</v>
      </c>
      <c r="S833" s="32"/>
      <c r="T833" s="73"/>
      <c r="U833" s="37"/>
      <c r="V833" s="39"/>
      <c r="W833" s="39"/>
      <c r="X833" s="39"/>
      <c r="Y833" s="39"/>
      <c r="Z833" s="39"/>
      <c r="AA833" s="39"/>
      <c r="AB833" s="39"/>
      <c r="AC833" s="39"/>
      <c r="AD833" s="39"/>
      <c r="AE833" s="110"/>
      <c r="AF833" s="39"/>
      <c r="AG833" s="39"/>
      <c r="AH833" s="39"/>
      <c r="AI833" s="39"/>
      <c r="AJ833" s="101" t="s">
        <v>988</v>
      </c>
      <c r="AK833" s="39"/>
      <c r="AL833" s="155" t="s">
        <v>1627</v>
      </c>
      <c r="AM833" s="431" t="str">
        <f>VLOOKUP($Q833,Resultados!$A$1:$C$49,3,FALSE)</f>
        <v>TRAMITE</v>
      </c>
    </row>
    <row r="834" spans="1:39" ht="39.950000000000003" customHeight="1">
      <c r="A834" s="364">
        <v>820</v>
      </c>
      <c r="B834" s="38">
        <v>45370</v>
      </c>
      <c r="C834" s="337" t="s">
        <v>2914</v>
      </c>
      <c r="D834" s="32" t="s">
        <v>2915</v>
      </c>
      <c r="E834" s="40" t="s">
        <v>2916</v>
      </c>
      <c r="F834" s="39">
        <v>5</v>
      </c>
      <c r="G834" s="32" t="s">
        <v>10</v>
      </c>
      <c r="H834" s="38"/>
      <c r="I834" s="38"/>
      <c r="J834" s="38"/>
      <c r="K834" s="39" t="s">
        <v>1480</v>
      </c>
      <c r="L834" s="70" t="s">
        <v>74</v>
      </c>
      <c r="M834" s="70" t="s">
        <v>311</v>
      </c>
      <c r="N834" s="39" t="s">
        <v>2882</v>
      </c>
      <c r="O834" s="32" t="str">
        <f>IF(Q834=" _","NO","SI")</f>
        <v>NO</v>
      </c>
      <c r="P834" s="24" t="str">
        <f ca="1">IF(color_Celda(E834)=12106214,"ROSA",IF(color_Celda(E834)=65535,"AMARILLO",IF(color_Celda(E834)=5296274,"VERDE",IF(color_Celda(E834)=16777215,"BLANCO","NO SE"))))</f>
        <v>AMARILLO</v>
      </c>
      <c r="Q834" s="32" t="s">
        <v>108</v>
      </c>
      <c r="R834" s="32" t="str">
        <f>VLOOKUP($Q834,Resultados!$A$1:$B$49,2,FALSE)</f>
        <v xml:space="preserve"> _</v>
      </c>
      <c r="S834" s="32"/>
      <c r="T834" s="73"/>
      <c r="U834" s="37"/>
      <c r="V834" s="39"/>
      <c r="W834" s="39"/>
      <c r="X834" s="39"/>
      <c r="Y834" s="39"/>
      <c r="Z834" s="39"/>
      <c r="AA834" s="39"/>
      <c r="AB834" s="39"/>
      <c r="AC834" s="39"/>
      <c r="AD834" s="39"/>
      <c r="AE834" s="110"/>
      <c r="AF834" s="39"/>
      <c r="AG834" s="39"/>
      <c r="AH834" s="39"/>
      <c r="AI834" s="39"/>
      <c r="AJ834" s="101" t="s">
        <v>988</v>
      </c>
      <c r="AK834" s="39"/>
      <c r="AL834" s="155" t="s">
        <v>1627</v>
      </c>
      <c r="AM834" s="431" t="str">
        <f>VLOOKUP($Q834,Resultados!$A$1:$C$49,3,FALSE)</f>
        <v>TRAMITE</v>
      </c>
    </row>
    <row r="835" spans="1:39" ht="40.15" customHeight="1">
      <c r="A835" s="364">
        <v>821</v>
      </c>
      <c r="B835" s="38">
        <v>45371</v>
      </c>
      <c r="C835" s="337" t="s">
        <v>12</v>
      </c>
      <c r="D835" s="32" t="s">
        <v>2840</v>
      </c>
      <c r="E835" s="40" t="s">
        <v>2661</v>
      </c>
      <c r="F835" s="39">
        <v>7</v>
      </c>
      <c r="G835" s="39"/>
      <c r="H835" s="38"/>
      <c r="I835" s="38"/>
      <c r="J835" s="38"/>
      <c r="K835" s="39" t="s">
        <v>1480</v>
      </c>
      <c r="L835" s="70" t="s">
        <v>77</v>
      </c>
      <c r="M835" s="70" t="s">
        <v>208</v>
      </c>
      <c r="N835" s="32" t="s">
        <v>2817</v>
      </c>
      <c r="O835" s="32" t="str">
        <f>IF(Q835=" _","NO","SI")</f>
        <v>NO</v>
      </c>
      <c r="P835" s="24" t="str">
        <f ca="1">IF(color_Celda(E835)=12106214,"ROSA",IF(color_Celda(E835)=65535,"AMARILLO",IF(color_Celda(E835)=5296274,"VERDE",IF(color_Celda(E835)=16777215,"BLANCO","NO SE"))))</f>
        <v>AMARILLO</v>
      </c>
      <c r="Q835" s="32" t="s">
        <v>108</v>
      </c>
      <c r="R835" s="32" t="str">
        <f>VLOOKUP($Q835,Resultados!$A$1:$B$49,2,FALSE)</f>
        <v xml:space="preserve"> _</v>
      </c>
      <c r="S835" s="32"/>
      <c r="T835" s="73"/>
      <c r="U835" s="37"/>
      <c r="V835" s="39"/>
      <c r="W835" s="39"/>
      <c r="X835" s="39"/>
      <c r="Y835" s="39"/>
      <c r="Z835" s="39"/>
      <c r="AA835" s="39"/>
      <c r="AB835" s="39"/>
      <c r="AC835" s="39"/>
      <c r="AD835" s="39"/>
      <c r="AE835" s="110"/>
      <c r="AF835" s="39"/>
      <c r="AG835" s="39"/>
      <c r="AH835" s="39"/>
      <c r="AI835" s="39"/>
      <c r="AJ835" s="101" t="s">
        <v>988</v>
      </c>
      <c r="AK835" s="39"/>
      <c r="AL835" s="155" t="s">
        <v>1627</v>
      </c>
      <c r="AM835" s="431" t="str">
        <f>VLOOKUP($Q835,Resultados!$A$1:$C$49,3,FALSE)</f>
        <v>TRAMITE</v>
      </c>
    </row>
    <row r="836" spans="1:39" ht="40.15" customHeight="1">
      <c r="A836" s="364">
        <v>822</v>
      </c>
      <c r="B836" s="38">
        <v>45371</v>
      </c>
      <c r="C836" s="337" t="s">
        <v>12</v>
      </c>
      <c r="D836" s="32" t="s">
        <v>2662</v>
      </c>
      <c r="E836" s="40" t="s">
        <v>2663</v>
      </c>
      <c r="F836" s="39">
        <v>6</v>
      </c>
      <c r="G836" s="32" t="s">
        <v>2876</v>
      </c>
      <c r="H836" s="38"/>
      <c r="I836" s="38"/>
      <c r="J836" s="38"/>
      <c r="K836" s="39" t="s">
        <v>1480</v>
      </c>
      <c r="L836" s="70" t="s">
        <v>85</v>
      </c>
      <c r="M836" s="70" t="s">
        <v>62</v>
      </c>
      <c r="N836" s="32" t="s">
        <v>2817</v>
      </c>
      <c r="O836" s="32" t="str">
        <f>IF(Q836=" _","NO","SI")</f>
        <v>NO</v>
      </c>
      <c r="P836" s="24" t="str">
        <f ca="1">IF(color_Celda(E836)=12106214,"ROSA",IF(color_Celda(E836)=65535,"AMARILLO",IF(color_Celda(E836)=5296274,"VERDE",IF(color_Celda(E836)=16777215,"BLANCO","NO SE"))))</f>
        <v>AMARILLO</v>
      </c>
      <c r="Q836" s="32" t="s">
        <v>108</v>
      </c>
      <c r="R836" s="32" t="str">
        <f>VLOOKUP($Q836,Resultados!$A$1:$B$49,2,FALSE)</f>
        <v xml:space="preserve"> _</v>
      </c>
      <c r="S836" s="32"/>
      <c r="T836" s="73"/>
      <c r="U836" s="37"/>
      <c r="V836" s="39"/>
      <c r="W836" s="39"/>
      <c r="X836" s="39"/>
      <c r="Y836" s="39"/>
      <c r="Z836" s="39"/>
      <c r="AA836" s="39"/>
      <c r="AB836" s="39"/>
      <c r="AC836" s="39"/>
      <c r="AD836" s="39"/>
      <c r="AE836" s="110"/>
      <c r="AF836" s="39"/>
      <c r="AG836" s="39"/>
      <c r="AH836" s="39"/>
      <c r="AI836" s="39"/>
      <c r="AJ836" s="101" t="s">
        <v>988</v>
      </c>
      <c r="AK836" s="39"/>
      <c r="AL836" s="155" t="s">
        <v>1627</v>
      </c>
      <c r="AM836" s="431" t="str">
        <f>VLOOKUP($Q836,Resultados!$A$1:$C$49,3,FALSE)</f>
        <v>TRAMITE</v>
      </c>
    </row>
    <row r="837" spans="1:39" ht="40.15" customHeight="1">
      <c r="A837" s="364">
        <v>823</v>
      </c>
      <c r="B837" s="38">
        <v>45371</v>
      </c>
      <c r="C837" s="337" t="s">
        <v>1003</v>
      </c>
      <c r="D837" s="32" t="s">
        <v>2687</v>
      </c>
      <c r="E837" s="40" t="s">
        <v>2878</v>
      </c>
      <c r="F837" s="39">
        <v>5</v>
      </c>
      <c r="G837" s="32" t="s">
        <v>10</v>
      </c>
      <c r="H837" s="38"/>
      <c r="I837" s="38"/>
      <c r="J837" s="38"/>
      <c r="K837" s="39" t="s">
        <v>1480</v>
      </c>
      <c r="L837" s="70" t="s">
        <v>25</v>
      </c>
      <c r="M837" s="70" t="s">
        <v>2877</v>
      </c>
      <c r="N837" s="32" t="s">
        <v>2881</v>
      </c>
      <c r="O837" s="32" t="str">
        <f>IF(Q837=" _","NO","SI")</f>
        <v>NO</v>
      </c>
      <c r="P837" s="24" t="str">
        <f ca="1">IF(color_Celda(E837)=12106214,"ROSA",IF(color_Celda(E837)=65535,"AMARILLO",IF(color_Celda(E837)=5296274,"VERDE",IF(color_Celda(E837)=16777215,"BLANCO","NO SE"))))</f>
        <v>AMARILLO</v>
      </c>
      <c r="Q837" s="32" t="s">
        <v>108</v>
      </c>
      <c r="R837" s="32" t="str">
        <f>VLOOKUP($Q837,Resultados!$A$1:$B$49,2,FALSE)</f>
        <v xml:space="preserve"> _</v>
      </c>
      <c r="S837" s="32"/>
      <c r="T837" s="73"/>
      <c r="U837" s="37"/>
      <c r="V837" s="39"/>
      <c r="W837" s="39"/>
      <c r="X837" s="39"/>
      <c r="Y837" s="39"/>
      <c r="Z837" s="39"/>
      <c r="AA837" s="39"/>
      <c r="AB837" s="39"/>
      <c r="AC837" s="39"/>
      <c r="AD837" s="39"/>
      <c r="AE837" s="110"/>
      <c r="AF837" s="39"/>
      <c r="AG837" s="39"/>
      <c r="AH837" s="39"/>
      <c r="AI837" s="39"/>
      <c r="AJ837" s="101" t="s">
        <v>988</v>
      </c>
      <c r="AK837" s="39"/>
      <c r="AL837" s="155" t="s">
        <v>1627</v>
      </c>
      <c r="AM837" s="431" t="str">
        <f>VLOOKUP($Q837,Resultados!$A$1:$C$49,3,FALSE)</f>
        <v>TRAMITE</v>
      </c>
    </row>
    <row r="838" spans="1:39" ht="40.15" customHeight="1">
      <c r="A838" s="373">
        <v>824</v>
      </c>
      <c r="B838" s="113">
        <v>45371</v>
      </c>
      <c r="C838" s="338" t="s">
        <v>1608</v>
      </c>
      <c r="D838" s="26" t="s">
        <v>2688</v>
      </c>
      <c r="E838" s="114" t="s">
        <v>2689</v>
      </c>
      <c r="F838" s="115">
        <v>4</v>
      </c>
      <c r="G838" s="115"/>
      <c r="H838" s="113"/>
      <c r="I838" s="113"/>
      <c r="J838" s="113"/>
      <c r="K838" s="115" t="s">
        <v>1480</v>
      </c>
      <c r="L838" s="96" t="s">
        <v>72</v>
      </c>
      <c r="M838" s="96"/>
      <c r="N838" s="115"/>
      <c r="O838" s="26" t="str">
        <f>IF(Q838=" _","NO","SI")</f>
        <v>SI</v>
      </c>
      <c r="P838" s="24" t="str">
        <f ca="1">IF(color_Celda(E838)=12106214,"ROSA",IF(color_Celda(E838)=65535,"AMARILLO",IF(color_Celda(E838)=5296274,"VERDE",IF(color_Celda(E838)=16777215,"BLANCO","NO SE"))))</f>
        <v>VERDE</v>
      </c>
      <c r="Q838" s="96" t="s">
        <v>3313</v>
      </c>
      <c r="R838" s="26" t="str">
        <f>VLOOKUP($Q838,Resultados!$A$1:$B$49,2,FALSE)</f>
        <v>VERDE</v>
      </c>
      <c r="S838" s="26"/>
      <c r="T838" s="99"/>
      <c r="U838" s="116"/>
      <c r="V838" s="115"/>
      <c r="W838" s="115"/>
      <c r="X838" s="115"/>
      <c r="Y838" s="115"/>
      <c r="Z838" s="115"/>
      <c r="AA838" s="115"/>
      <c r="AB838" s="115"/>
      <c r="AC838" s="115"/>
      <c r="AD838" s="115"/>
      <c r="AE838" s="117"/>
      <c r="AF838" s="115"/>
      <c r="AG838" s="115"/>
      <c r="AH838" s="115"/>
      <c r="AI838" s="115"/>
      <c r="AJ838" s="245" t="s">
        <v>988</v>
      </c>
      <c r="AK838" s="115"/>
      <c r="AL838" s="157" t="s">
        <v>1627</v>
      </c>
      <c r="AM838" s="431" t="str">
        <f>VLOOKUP($Q838,Resultados!$A$1:$C$49,3,FALSE)</f>
        <v>NO LLEGO</v>
      </c>
    </row>
    <row r="839" spans="1:39" ht="40.15" customHeight="1">
      <c r="A839" s="364">
        <v>825</v>
      </c>
      <c r="B839" s="38">
        <v>45371</v>
      </c>
      <c r="C839" s="331" t="s">
        <v>239</v>
      </c>
      <c r="D839" s="39" t="s">
        <v>2712</v>
      </c>
      <c r="E839" s="41" t="s">
        <v>2713</v>
      </c>
      <c r="F839" s="39">
        <v>4</v>
      </c>
      <c r="G839" s="39" t="s">
        <v>2876</v>
      </c>
      <c r="H839" s="38"/>
      <c r="I839" s="38"/>
      <c r="J839" s="38"/>
      <c r="K839" s="39"/>
      <c r="L839" s="70" t="s">
        <v>87</v>
      </c>
      <c r="M839" s="70" t="s">
        <v>261</v>
      </c>
      <c r="N839" s="32" t="s">
        <v>2714</v>
      </c>
      <c r="O839" s="32" t="str">
        <f>IF(Q839=" _","NO","SI")</f>
        <v>NO</v>
      </c>
      <c r="P839" s="24" t="str">
        <f ca="1">IF(color_Celda(E839)=12106214,"ROSA",IF(color_Celda(E839)=65535,"AMARILLO",IF(color_Celda(E839)=5296274,"VERDE",IF(color_Celda(E839)=16777215,"BLANCO","NO SE"))))</f>
        <v>AMARILLO</v>
      </c>
      <c r="Q839" s="70" t="s">
        <v>108</v>
      </c>
      <c r="R839" s="32" t="s">
        <v>2942</v>
      </c>
      <c r="S839" s="32"/>
      <c r="T839" s="73"/>
      <c r="U839" s="37"/>
      <c r="V839" s="39"/>
      <c r="W839" s="39"/>
      <c r="X839" s="39"/>
      <c r="Y839" s="39"/>
      <c r="Z839" s="39"/>
      <c r="AA839" s="39"/>
      <c r="AB839" s="39"/>
      <c r="AC839" s="39"/>
      <c r="AD839" s="39"/>
      <c r="AE839" s="110"/>
      <c r="AF839" s="39"/>
      <c r="AG839" s="39"/>
      <c r="AH839" s="39"/>
      <c r="AI839" s="39"/>
      <c r="AJ839" s="101" t="s">
        <v>408</v>
      </c>
      <c r="AK839" s="39"/>
      <c r="AL839" s="155" t="s">
        <v>1627</v>
      </c>
      <c r="AM839" s="431" t="str">
        <f>VLOOKUP($Q839,Resultados!$A$1:$C$49,3,FALSE)</f>
        <v>TRAMITE</v>
      </c>
    </row>
    <row r="840" spans="1:39" ht="40.15" customHeight="1">
      <c r="A840" s="364">
        <v>826</v>
      </c>
      <c r="B840" s="38">
        <v>45371</v>
      </c>
      <c r="C840" s="337" t="s">
        <v>14</v>
      </c>
      <c r="D840" s="32" t="s">
        <v>2844</v>
      </c>
      <c r="E840" s="40" t="s">
        <v>2845</v>
      </c>
      <c r="F840" s="39">
        <v>7</v>
      </c>
      <c r="G840" s="32" t="s">
        <v>10</v>
      </c>
      <c r="H840" s="38"/>
      <c r="I840" s="38"/>
      <c r="J840" s="38"/>
      <c r="K840" s="39" t="s">
        <v>1480</v>
      </c>
      <c r="L840" s="70" t="s">
        <v>83</v>
      </c>
      <c r="M840" s="70" t="s">
        <v>1156</v>
      </c>
      <c r="N840" s="32" t="s">
        <v>2805</v>
      </c>
      <c r="O840" s="32" t="str">
        <f>IF(Q840=" _","NO","SI")</f>
        <v>NO</v>
      </c>
      <c r="P840" s="24" t="str">
        <f ca="1">IF(color_Celda(E840)=12106214,"ROSA",IF(color_Celda(E840)=65535,"AMARILLO",IF(color_Celda(E840)=5296274,"VERDE",IF(color_Celda(E840)=16777215,"BLANCO","NO SE"))))</f>
        <v>AMARILLO</v>
      </c>
      <c r="Q840" s="32" t="s">
        <v>108</v>
      </c>
      <c r="R840" s="32" t="str">
        <f>VLOOKUP($Q840,Resultados!$A$1:$B$49,2,FALSE)</f>
        <v xml:space="preserve"> _</v>
      </c>
      <c r="S840" s="32"/>
      <c r="T840" s="73"/>
      <c r="U840" s="37"/>
      <c r="V840" s="39"/>
      <c r="W840" s="39"/>
      <c r="X840" s="39"/>
      <c r="Y840" s="39"/>
      <c r="Z840" s="39"/>
      <c r="AA840" s="39"/>
      <c r="AB840" s="39"/>
      <c r="AC840" s="39"/>
      <c r="AD840" s="39"/>
      <c r="AE840" s="110"/>
      <c r="AF840" s="39"/>
      <c r="AG840" s="39"/>
      <c r="AH840" s="39"/>
      <c r="AI840" s="39"/>
      <c r="AJ840" s="101" t="s">
        <v>988</v>
      </c>
      <c r="AK840" s="39"/>
      <c r="AL840" s="155" t="s">
        <v>1627</v>
      </c>
      <c r="AM840" s="431" t="str">
        <f>VLOOKUP($Q840,Resultados!$A$1:$C$49,3,FALSE)</f>
        <v>TRAMITE</v>
      </c>
    </row>
    <row r="841" spans="1:39" ht="40.15" customHeight="1">
      <c r="A841" s="364">
        <v>827</v>
      </c>
      <c r="B841" s="38">
        <v>45371</v>
      </c>
      <c r="C841" s="337" t="s">
        <v>1099</v>
      </c>
      <c r="D841" s="32" t="s">
        <v>2889</v>
      </c>
      <c r="E841" s="40" t="s">
        <v>2890</v>
      </c>
      <c r="F841" s="39">
        <v>4</v>
      </c>
      <c r="G841" s="32" t="s">
        <v>325</v>
      </c>
      <c r="H841" s="38"/>
      <c r="I841" s="38"/>
      <c r="J841" s="38"/>
      <c r="K841" s="39" t="s">
        <v>1480</v>
      </c>
      <c r="L841" s="70" t="s">
        <v>82</v>
      </c>
      <c r="M841" s="70" t="s">
        <v>67</v>
      </c>
      <c r="N841" s="39" t="s">
        <v>2888</v>
      </c>
      <c r="O841" s="32" t="str">
        <f>IF(Q841=" _","NO","SI")</f>
        <v>NO</v>
      </c>
      <c r="P841" s="24" t="str">
        <f ca="1">IF(color_Celda(E841)=12106214,"ROSA",IF(color_Celda(E841)=65535,"AMARILLO",IF(color_Celda(E841)=5296274,"VERDE",IF(color_Celda(E841)=16777215,"BLANCO","NO SE"))))</f>
        <v>AMARILLO</v>
      </c>
      <c r="Q841" s="32" t="s">
        <v>108</v>
      </c>
      <c r="R841" s="32" t="str">
        <f>VLOOKUP($Q841,Resultados!$A$1:$B$49,2,FALSE)</f>
        <v xml:space="preserve"> _</v>
      </c>
      <c r="S841" s="32"/>
      <c r="T841" s="73"/>
      <c r="U841" s="37"/>
      <c r="V841" s="39"/>
      <c r="W841" s="39"/>
      <c r="X841" s="39"/>
      <c r="Y841" s="39"/>
      <c r="Z841" s="39"/>
      <c r="AA841" s="39"/>
      <c r="AB841" s="39"/>
      <c r="AC841" s="39"/>
      <c r="AD841" s="39"/>
      <c r="AE841" s="110"/>
      <c r="AF841" s="39"/>
      <c r="AG841" s="39"/>
      <c r="AH841" s="39"/>
      <c r="AI841" s="39"/>
      <c r="AJ841" s="101" t="s">
        <v>988</v>
      </c>
      <c r="AK841" s="39"/>
      <c r="AL841" s="155" t="s">
        <v>1627</v>
      </c>
      <c r="AM841" s="431" t="str">
        <f>VLOOKUP($Q841,Resultados!$A$1:$C$49,3,FALSE)</f>
        <v>TRAMITE</v>
      </c>
    </row>
    <row r="842" spans="1:39" ht="40.15" customHeight="1">
      <c r="A842" s="364">
        <v>828</v>
      </c>
      <c r="B842" s="38">
        <v>45371</v>
      </c>
      <c r="C842" s="337" t="s">
        <v>217</v>
      </c>
      <c r="D842" s="32" t="s">
        <v>2891</v>
      </c>
      <c r="E842" s="40" t="s">
        <v>2892</v>
      </c>
      <c r="F842" s="39">
        <v>4</v>
      </c>
      <c r="G842" s="32" t="s">
        <v>325</v>
      </c>
      <c r="H842" s="38"/>
      <c r="I842" s="38"/>
      <c r="J842" s="38"/>
      <c r="K842" s="39" t="s">
        <v>1480</v>
      </c>
      <c r="L842" s="70" t="s">
        <v>73</v>
      </c>
      <c r="M842" s="70" t="s">
        <v>1289</v>
      </c>
      <c r="N842" s="39" t="s">
        <v>2882</v>
      </c>
      <c r="O842" s="32" t="str">
        <f>IF(Q842=" _","NO","SI")</f>
        <v>NO</v>
      </c>
      <c r="P842" s="24" t="str">
        <f ca="1">IF(color_Celda(E842)=12106214,"ROSA",IF(color_Celda(E842)=65535,"AMARILLO",IF(color_Celda(E842)=5296274,"VERDE",IF(color_Celda(E842)=16777215,"BLANCO","NO SE"))))</f>
        <v>AMARILLO</v>
      </c>
      <c r="Q842" s="32" t="s">
        <v>108</v>
      </c>
      <c r="R842" s="32" t="str">
        <f>VLOOKUP($Q842,Resultados!$A$1:$B$49,2,FALSE)</f>
        <v xml:space="preserve"> _</v>
      </c>
      <c r="S842" s="32"/>
      <c r="T842" s="73"/>
      <c r="U842" s="37"/>
      <c r="V842" s="39"/>
      <c r="W842" s="39"/>
      <c r="X842" s="39"/>
      <c r="Y842" s="39"/>
      <c r="Z842" s="39"/>
      <c r="AA842" s="39"/>
      <c r="AB842" s="39"/>
      <c r="AC842" s="39"/>
      <c r="AD842" s="39"/>
      <c r="AE842" s="110"/>
      <c r="AF842" s="39"/>
      <c r="AG842" s="39"/>
      <c r="AH842" s="39"/>
      <c r="AI842" s="39"/>
      <c r="AJ842" s="101" t="s">
        <v>988</v>
      </c>
      <c r="AK842" s="39"/>
      <c r="AL842" s="155" t="s">
        <v>1627</v>
      </c>
      <c r="AM842" s="431" t="str">
        <f>VLOOKUP($Q842,Resultados!$A$1:$C$49,3,FALSE)</f>
        <v>TRAMITE</v>
      </c>
    </row>
    <row r="843" spans="1:39" ht="40.15" customHeight="1">
      <c r="A843" s="364">
        <v>829</v>
      </c>
      <c r="B843" s="38">
        <v>45372</v>
      </c>
      <c r="C843" s="337" t="s">
        <v>12</v>
      </c>
      <c r="D843" s="32" t="s">
        <v>2690</v>
      </c>
      <c r="E843" s="40" t="s">
        <v>2691</v>
      </c>
      <c r="F843" s="39">
        <v>3</v>
      </c>
      <c r="G843" s="32" t="s">
        <v>1750</v>
      </c>
      <c r="H843" s="38"/>
      <c r="I843" s="38"/>
      <c r="J843" s="38"/>
      <c r="K843" s="39" t="s">
        <v>1480</v>
      </c>
      <c r="L843" s="70" t="s">
        <v>83</v>
      </c>
      <c r="M843" s="70" t="s">
        <v>234</v>
      </c>
      <c r="N843" s="32" t="s">
        <v>2817</v>
      </c>
      <c r="O843" s="32" t="str">
        <f>IF(Q843=" _","NO","SI")</f>
        <v>NO</v>
      </c>
      <c r="P843" s="24" t="str">
        <f ca="1">IF(color_Celda(E843)=12106214,"ROSA",IF(color_Celda(E843)=65535,"AMARILLO",IF(color_Celda(E843)=5296274,"VERDE",IF(color_Celda(E843)=16777215,"BLANCO","NO SE"))))</f>
        <v>AMARILLO</v>
      </c>
      <c r="Q843" s="32" t="s">
        <v>108</v>
      </c>
      <c r="R843" s="32" t="str">
        <f>VLOOKUP($Q843,Resultados!$A$1:$B$49,2,FALSE)</f>
        <v xml:space="preserve"> _</v>
      </c>
      <c r="S843" s="32"/>
      <c r="T843" s="73"/>
      <c r="U843" s="37"/>
      <c r="V843" s="39"/>
      <c r="W843" s="39"/>
      <c r="X843" s="39"/>
      <c r="Y843" s="39"/>
      <c r="Z843" s="39"/>
      <c r="AA843" s="39"/>
      <c r="AB843" s="39"/>
      <c r="AC843" s="39"/>
      <c r="AD843" s="39"/>
      <c r="AE843" s="110"/>
      <c r="AF843" s="39"/>
      <c r="AG843" s="39"/>
      <c r="AH843" s="39"/>
      <c r="AI843" s="39"/>
      <c r="AJ843" s="101" t="s">
        <v>988</v>
      </c>
      <c r="AK843" s="39"/>
      <c r="AL843" s="155" t="s">
        <v>1627</v>
      </c>
      <c r="AM843" s="431" t="str">
        <f>VLOOKUP($Q843,Resultados!$A$1:$C$49,3,FALSE)</f>
        <v>TRAMITE</v>
      </c>
    </row>
    <row r="844" spans="1:39" ht="40.15" customHeight="1">
      <c r="A844" s="364">
        <v>830</v>
      </c>
      <c r="B844" s="38">
        <v>45372</v>
      </c>
      <c r="C844" s="337" t="s">
        <v>12</v>
      </c>
      <c r="D844" s="32" t="s">
        <v>2692</v>
      </c>
      <c r="E844" s="41" t="s">
        <v>2717</v>
      </c>
      <c r="F844" s="32">
        <v>6</v>
      </c>
      <c r="G844" s="32" t="s">
        <v>10</v>
      </c>
      <c r="H844" s="38"/>
      <c r="I844" s="38"/>
      <c r="J844" s="38"/>
      <c r="K844" s="39" t="s">
        <v>1480</v>
      </c>
      <c r="L844" s="70" t="s">
        <v>2170</v>
      </c>
      <c r="M844" s="70" t="s">
        <v>61</v>
      </c>
      <c r="N844" s="32" t="s">
        <v>2718</v>
      </c>
      <c r="O844" s="32" t="str">
        <f>IF(Q844=" _","NO","SI")</f>
        <v>NO</v>
      </c>
      <c r="P844" s="24" t="str">
        <f ca="1">IF(color_Celda(E844)=12106214,"ROSA",IF(color_Celda(E844)=65535,"AMARILLO",IF(color_Celda(E844)=5296274,"VERDE",IF(color_Celda(E844)=16777215,"BLANCO","NO SE"))))</f>
        <v>AMARILLO</v>
      </c>
      <c r="Q844" s="32" t="s">
        <v>108</v>
      </c>
      <c r="R844" s="32" t="str">
        <f>VLOOKUP($Q844,Resultados!$A$1:$B$49,2,FALSE)</f>
        <v xml:space="preserve"> _</v>
      </c>
      <c r="S844" s="32"/>
      <c r="T844" s="73"/>
      <c r="U844" s="37"/>
      <c r="V844" s="39"/>
      <c r="W844" s="39"/>
      <c r="X844" s="39"/>
      <c r="Y844" s="39"/>
      <c r="Z844" s="39"/>
      <c r="AA844" s="39"/>
      <c r="AB844" s="39"/>
      <c r="AC844" s="39"/>
      <c r="AD844" s="39"/>
      <c r="AE844" s="110"/>
      <c r="AF844" s="39"/>
      <c r="AG844" s="39"/>
      <c r="AH844" s="39"/>
      <c r="AI844" s="39"/>
      <c r="AJ844" s="101" t="s">
        <v>408</v>
      </c>
      <c r="AK844" s="39"/>
      <c r="AL844" s="155" t="s">
        <v>1627</v>
      </c>
      <c r="AM844" s="431" t="str">
        <f>VLOOKUP($Q844,Resultados!$A$1:$C$49,3,FALSE)</f>
        <v>TRAMITE</v>
      </c>
    </row>
    <row r="845" spans="1:39" ht="40.15" customHeight="1">
      <c r="A845" s="364">
        <v>831</v>
      </c>
      <c r="B845" s="38">
        <v>45372</v>
      </c>
      <c r="C845" s="337" t="s">
        <v>807</v>
      </c>
      <c r="D845" s="32" t="s">
        <v>2693</v>
      </c>
      <c r="E845" s="40" t="s">
        <v>2694</v>
      </c>
      <c r="F845" s="39">
        <v>3</v>
      </c>
      <c r="G845" s="32" t="s">
        <v>1750</v>
      </c>
      <c r="H845" s="38"/>
      <c r="I845" s="38"/>
      <c r="J845" s="38"/>
      <c r="K845" s="39" t="s">
        <v>1480</v>
      </c>
      <c r="L845" s="70" t="s">
        <v>76</v>
      </c>
      <c r="M845" s="70" t="s">
        <v>1289</v>
      </c>
      <c r="N845" s="32" t="s">
        <v>2817</v>
      </c>
      <c r="O845" s="32" t="str">
        <f>IF(Q845=" _","NO","SI")</f>
        <v>NO</v>
      </c>
      <c r="P845" s="24" t="str">
        <f ca="1">IF(color_Celda(E845)=12106214,"ROSA",IF(color_Celda(E845)=65535,"AMARILLO",IF(color_Celda(E845)=5296274,"VERDE",IF(color_Celda(E845)=16777215,"BLANCO","NO SE"))))</f>
        <v>AMARILLO</v>
      </c>
      <c r="Q845" s="32" t="s">
        <v>108</v>
      </c>
      <c r="R845" s="32" t="str">
        <f>VLOOKUP($Q845,Resultados!$A$1:$B$49,2,FALSE)</f>
        <v xml:space="preserve"> _</v>
      </c>
      <c r="S845" s="32"/>
      <c r="T845" s="73"/>
      <c r="U845" s="37"/>
      <c r="V845" s="39"/>
      <c r="W845" s="39"/>
      <c r="X845" s="39"/>
      <c r="Y845" s="39"/>
      <c r="Z845" s="39"/>
      <c r="AA845" s="39"/>
      <c r="AB845" s="39"/>
      <c r="AC845" s="39"/>
      <c r="AD845" s="39"/>
      <c r="AE845" s="110"/>
      <c r="AF845" s="39"/>
      <c r="AG845" s="39"/>
      <c r="AH845" s="39"/>
      <c r="AI845" s="39"/>
      <c r="AJ845" s="101" t="s">
        <v>988</v>
      </c>
      <c r="AK845" s="39"/>
      <c r="AL845" s="155" t="s">
        <v>1627</v>
      </c>
      <c r="AM845" s="431" t="str">
        <f>VLOOKUP($Q845,Resultados!$A$1:$C$49,3,FALSE)</f>
        <v>TRAMITE</v>
      </c>
    </row>
    <row r="846" spans="1:39" ht="40.15" customHeight="1">
      <c r="A846" s="364">
        <v>833</v>
      </c>
      <c r="B846" s="38">
        <v>45372</v>
      </c>
      <c r="C846" s="337" t="s">
        <v>2279</v>
      </c>
      <c r="D846" s="32" t="s">
        <v>2719</v>
      </c>
      <c r="E846" s="41" t="s">
        <v>2720</v>
      </c>
      <c r="F846" s="39">
        <v>4</v>
      </c>
      <c r="G846" s="39" t="s">
        <v>2876</v>
      </c>
      <c r="H846" s="38"/>
      <c r="I846" s="38"/>
      <c r="J846" s="38"/>
      <c r="K846" s="39" t="s">
        <v>1480</v>
      </c>
      <c r="L846" s="70" t="s">
        <v>78</v>
      </c>
      <c r="M846" s="70" t="s">
        <v>195</v>
      </c>
      <c r="N846" s="32" t="s">
        <v>2714</v>
      </c>
      <c r="O846" s="32" t="str">
        <f>IF(Q846=" _","NO","SI")</f>
        <v>NO</v>
      </c>
      <c r="P846" s="24" t="str">
        <f ca="1">IF(color_Celda(E846)=12106214,"ROSA",IF(color_Celda(E846)=65535,"AMARILLO",IF(color_Celda(E846)=5296274,"VERDE",IF(color_Celda(E846)=16777215,"BLANCO","NO SE"))))</f>
        <v>AMARILLO</v>
      </c>
      <c r="Q846" s="32" t="s">
        <v>108</v>
      </c>
      <c r="R846" s="32" t="str">
        <f>VLOOKUP($Q846,Resultados!$A$1:$B$49,2,FALSE)</f>
        <v xml:space="preserve"> _</v>
      </c>
      <c r="S846" s="32"/>
      <c r="T846" s="73"/>
      <c r="U846" s="37"/>
      <c r="V846" s="39"/>
      <c r="W846" s="39"/>
      <c r="X846" s="39"/>
      <c r="Y846" s="39"/>
      <c r="Z846" s="39"/>
      <c r="AA846" s="39"/>
      <c r="AB846" s="39"/>
      <c r="AC846" s="39"/>
      <c r="AD846" s="39"/>
      <c r="AE846" s="110"/>
      <c r="AF846" s="39"/>
      <c r="AG846" s="39"/>
      <c r="AH846" s="39"/>
      <c r="AI846" s="39"/>
      <c r="AJ846" s="101" t="s">
        <v>408</v>
      </c>
      <c r="AK846" s="39"/>
      <c r="AL846" s="155" t="s">
        <v>1627</v>
      </c>
      <c r="AM846" s="431" t="str">
        <f>VLOOKUP($Q846,Resultados!$A$1:$C$49,3,FALSE)</f>
        <v>TRAMITE</v>
      </c>
    </row>
    <row r="847" spans="1:39" ht="40.15" customHeight="1">
      <c r="A847" s="364">
        <v>834</v>
      </c>
      <c r="B847" s="38">
        <v>45372</v>
      </c>
      <c r="C847" s="337" t="s">
        <v>16</v>
      </c>
      <c r="D847" s="32" t="s">
        <v>2900</v>
      </c>
      <c r="E847" s="40" t="s">
        <v>2901</v>
      </c>
      <c r="F847" s="39">
        <v>4</v>
      </c>
      <c r="G847" s="32" t="s">
        <v>325</v>
      </c>
      <c r="H847" s="38"/>
      <c r="I847" s="38"/>
      <c r="J847" s="38"/>
      <c r="K847" s="39" t="s">
        <v>1480</v>
      </c>
      <c r="L847" s="70" t="s">
        <v>74</v>
      </c>
      <c r="M847" s="70" t="s">
        <v>1156</v>
      </c>
      <c r="N847" s="39" t="s">
        <v>2888</v>
      </c>
      <c r="O847" s="32" t="str">
        <f>IF(Q847=" _","NO","SI")</f>
        <v>NO</v>
      </c>
      <c r="P847" s="24" t="str">
        <f ca="1">IF(color_Celda(E847)=12106214,"ROSA",IF(color_Celda(E847)=65535,"AMARILLO",IF(color_Celda(E847)=5296274,"VERDE",IF(color_Celda(E847)=16777215,"BLANCO","NO SE"))))</f>
        <v>AMARILLO</v>
      </c>
      <c r="Q847" s="32" t="s">
        <v>108</v>
      </c>
      <c r="R847" s="32" t="str">
        <f>VLOOKUP($Q847,Resultados!$A$1:$B$49,2,FALSE)</f>
        <v xml:space="preserve"> _</v>
      </c>
      <c r="S847" s="32"/>
      <c r="T847" s="73"/>
      <c r="U847" s="37"/>
      <c r="V847" s="39"/>
      <c r="W847" s="39"/>
      <c r="X847" s="39"/>
      <c r="Y847" s="39"/>
      <c r="Z847" s="39"/>
      <c r="AA847" s="39"/>
      <c r="AB847" s="39"/>
      <c r="AC847" s="39"/>
      <c r="AD847" s="39"/>
      <c r="AE847" s="110"/>
      <c r="AF847" s="39"/>
      <c r="AG847" s="39"/>
      <c r="AH847" s="39"/>
      <c r="AI847" s="39"/>
      <c r="AJ847" s="101" t="s">
        <v>988</v>
      </c>
      <c r="AK847" s="39"/>
      <c r="AL847" s="155" t="s">
        <v>1627</v>
      </c>
      <c r="AM847" s="431" t="str">
        <f>VLOOKUP($Q847,Resultados!$A$1:$C$49,3,FALSE)</f>
        <v>TRAMITE</v>
      </c>
    </row>
    <row r="848" spans="1:39" ht="40.15" customHeight="1">
      <c r="A848" s="364">
        <v>837</v>
      </c>
      <c r="B848" s="38">
        <v>45373</v>
      </c>
      <c r="C848" s="337" t="s">
        <v>12</v>
      </c>
      <c r="D848" s="32" t="s">
        <v>2697</v>
      </c>
      <c r="E848" s="40" t="s">
        <v>2698</v>
      </c>
      <c r="F848" s="39">
        <v>5</v>
      </c>
      <c r="G848" s="32" t="s">
        <v>10</v>
      </c>
      <c r="H848" s="38"/>
      <c r="I848" s="38"/>
      <c r="J848" s="38"/>
      <c r="K848" s="39" t="s">
        <v>1480</v>
      </c>
      <c r="L848" s="70" t="s">
        <v>2168</v>
      </c>
      <c r="M848" s="70" t="s">
        <v>1156</v>
      </c>
      <c r="N848" s="39" t="s">
        <v>2888</v>
      </c>
      <c r="O848" s="32" t="str">
        <f>IF(Q848=" _","NO","SI")</f>
        <v>NO</v>
      </c>
      <c r="P848" s="24" t="str">
        <f ca="1">IF(color_Celda(E848)=12106214,"ROSA",IF(color_Celda(E848)=65535,"AMARILLO",IF(color_Celda(E848)=5296274,"VERDE",IF(color_Celda(E848)=16777215,"BLANCO","NO SE"))))</f>
        <v>AMARILLO</v>
      </c>
      <c r="Q848" s="32" t="s">
        <v>108</v>
      </c>
      <c r="R848" s="32" t="str">
        <f>VLOOKUP($Q848,Resultados!$A$1:$B$49,2,FALSE)</f>
        <v xml:space="preserve"> _</v>
      </c>
      <c r="S848" s="32"/>
      <c r="T848" s="73"/>
      <c r="U848" s="37"/>
      <c r="V848" s="39"/>
      <c r="W848" s="39"/>
      <c r="X848" s="39"/>
      <c r="Y848" s="39"/>
      <c r="Z848" s="39"/>
      <c r="AA848" s="39"/>
      <c r="AB848" s="39"/>
      <c r="AC848" s="39"/>
      <c r="AD848" s="39"/>
      <c r="AE848" s="110"/>
      <c r="AF848" s="39"/>
      <c r="AG848" s="39"/>
      <c r="AH848" s="39"/>
      <c r="AI848" s="39"/>
      <c r="AJ848" s="101" t="s">
        <v>988</v>
      </c>
      <c r="AK848" s="39"/>
      <c r="AL848" s="155" t="s">
        <v>1627</v>
      </c>
      <c r="AM848" s="431" t="str">
        <f>VLOOKUP($Q848,Resultados!$A$1:$C$49,3,FALSE)</f>
        <v>TRAMITE</v>
      </c>
    </row>
    <row r="849" spans="1:39" ht="40.15" customHeight="1">
      <c r="A849" s="364">
        <v>838</v>
      </c>
      <c r="B849" s="38">
        <v>45373</v>
      </c>
      <c r="C849" s="337" t="s">
        <v>12</v>
      </c>
      <c r="D849" s="32" t="s">
        <v>2699</v>
      </c>
      <c r="E849" s="40" t="s">
        <v>2700</v>
      </c>
      <c r="F849" s="39">
        <v>5</v>
      </c>
      <c r="G849" s="32" t="s">
        <v>10</v>
      </c>
      <c r="H849" s="38"/>
      <c r="I849" s="38"/>
      <c r="J849" s="38"/>
      <c r="K849" s="39" t="s">
        <v>1480</v>
      </c>
      <c r="L849" s="70" t="s">
        <v>73</v>
      </c>
      <c r="M849" s="70" t="s">
        <v>1156</v>
      </c>
      <c r="N849" s="39" t="s">
        <v>2888</v>
      </c>
      <c r="O849" s="32" t="str">
        <f>IF(Q849=" _","NO","SI")</f>
        <v>NO</v>
      </c>
      <c r="P849" s="24" t="str">
        <f ca="1">IF(color_Celda(E849)=12106214,"ROSA",IF(color_Celda(E849)=65535,"AMARILLO",IF(color_Celda(E849)=5296274,"VERDE",IF(color_Celda(E849)=16777215,"BLANCO","NO SE"))))</f>
        <v>AMARILLO</v>
      </c>
      <c r="Q849" s="32" t="s">
        <v>108</v>
      </c>
      <c r="R849" s="32" t="str">
        <f>VLOOKUP($Q849,Resultados!$A$1:$B$49,2,FALSE)</f>
        <v xml:space="preserve"> _</v>
      </c>
      <c r="S849" s="32"/>
      <c r="T849" s="73"/>
      <c r="U849" s="37"/>
      <c r="V849" s="39"/>
      <c r="W849" s="39"/>
      <c r="X849" s="39"/>
      <c r="Y849" s="39"/>
      <c r="Z849" s="39"/>
      <c r="AA849" s="39"/>
      <c r="AB849" s="39"/>
      <c r="AC849" s="39"/>
      <c r="AD849" s="39"/>
      <c r="AE849" s="110"/>
      <c r="AF849" s="39"/>
      <c r="AG849" s="39"/>
      <c r="AH849" s="39"/>
      <c r="AI849" s="39"/>
      <c r="AJ849" s="101" t="s">
        <v>988</v>
      </c>
      <c r="AK849" s="39"/>
      <c r="AL849" s="155" t="s">
        <v>1627</v>
      </c>
      <c r="AM849" s="431" t="str">
        <f>VLOOKUP($Q849,Resultados!$A$1:$C$49,3,FALSE)</f>
        <v>TRAMITE</v>
      </c>
    </row>
    <row r="850" spans="1:39" ht="40.15" customHeight="1">
      <c r="A850" s="364">
        <v>839</v>
      </c>
      <c r="B850" s="38">
        <v>45373</v>
      </c>
      <c r="C850" s="337" t="s">
        <v>12</v>
      </c>
      <c r="D850" s="32" t="s">
        <v>2701</v>
      </c>
      <c r="E850" s="40" t="s">
        <v>2702</v>
      </c>
      <c r="F850" s="39">
        <v>5</v>
      </c>
      <c r="G850" s="32" t="s">
        <v>10</v>
      </c>
      <c r="H850" s="38"/>
      <c r="I850" s="38"/>
      <c r="J850" s="38"/>
      <c r="K850" s="39" t="s">
        <v>1480</v>
      </c>
      <c r="L850" s="70" t="s">
        <v>85</v>
      </c>
      <c r="M850" s="70" t="s">
        <v>234</v>
      </c>
      <c r="N850" s="39" t="s">
        <v>2888</v>
      </c>
      <c r="O850" s="32" t="str">
        <f>IF(Q850=" _","NO","SI")</f>
        <v>NO</v>
      </c>
      <c r="P850" s="24" t="str">
        <f ca="1">IF(color_Celda(E850)=12106214,"ROSA",IF(color_Celda(E850)=65535,"AMARILLO",IF(color_Celda(E850)=5296274,"VERDE",IF(color_Celda(E850)=16777215,"BLANCO","NO SE"))))</f>
        <v>AMARILLO</v>
      </c>
      <c r="Q850" s="32" t="s">
        <v>108</v>
      </c>
      <c r="R850" s="32" t="str">
        <f>VLOOKUP($Q850,Resultados!$A$1:$B$49,2,FALSE)</f>
        <v xml:space="preserve"> _</v>
      </c>
      <c r="S850" s="32"/>
      <c r="T850" s="73"/>
      <c r="U850" s="37"/>
      <c r="V850" s="39"/>
      <c r="W850" s="39"/>
      <c r="X850" s="39"/>
      <c r="Y850" s="39"/>
      <c r="Z850" s="39"/>
      <c r="AA850" s="39"/>
      <c r="AB850" s="39"/>
      <c r="AC850" s="39"/>
      <c r="AD850" s="39"/>
      <c r="AE850" s="110"/>
      <c r="AF850" s="39"/>
      <c r="AG850" s="39"/>
      <c r="AH850" s="39"/>
      <c r="AI850" s="39"/>
      <c r="AJ850" s="101" t="s">
        <v>988</v>
      </c>
      <c r="AK850" s="39"/>
      <c r="AL850" s="155" t="s">
        <v>1627</v>
      </c>
      <c r="AM850" s="431" t="str">
        <f>VLOOKUP($Q850,Resultados!$A$1:$C$49,3,FALSE)</f>
        <v>TRAMITE</v>
      </c>
    </row>
    <row r="851" spans="1:39" ht="40.15" customHeight="1">
      <c r="A851" s="364">
        <v>840</v>
      </c>
      <c r="B851" s="38">
        <v>45373</v>
      </c>
      <c r="C851" s="337" t="s">
        <v>1830</v>
      </c>
      <c r="D851" s="32" t="s">
        <v>2703</v>
      </c>
      <c r="E851" s="40" t="s">
        <v>2704</v>
      </c>
      <c r="F851" s="39">
        <v>7</v>
      </c>
      <c r="G851" s="32" t="s">
        <v>10</v>
      </c>
      <c r="H851" s="38"/>
      <c r="I851" s="38"/>
      <c r="J851" s="38"/>
      <c r="K851" s="39" t="s">
        <v>1480</v>
      </c>
      <c r="L851" s="70" t="s">
        <v>252</v>
      </c>
      <c r="M851" s="70" t="s">
        <v>90</v>
      </c>
      <c r="N851" s="39" t="s">
        <v>2888</v>
      </c>
      <c r="O851" s="32" t="str">
        <f>IF(Q851=" _","NO","SI")</f>
        <v>NO</v>
      </c>
      <c r="P851" s="24" t="str">
        <f ca="1">IF(color_Celda(E851)=12106214,"ROSA",IF(color_Celda(E851)=65535,"AMARILLO",IF(color_Celda(E851)=5296274,"VERDE",IF(color_Celda(E851)=16777215,"BLANCO","NO SE"))))</f>
        <v>AMARILLO</v>
      </c>
      <c r="Q851" s="32" t="s">
        <v>108</v>
      </c>
      <c r="R851" s="32" t="str">
        <f>VLOOKUP($Q851,Resultados!$A$1:$B$49,2,FALSE)</f>
        <v xml:space="preserve"> _</v>
      </c>
      <c r="S851" s="32"/>
      <c r="T851" s="73"/>
      <c r="U851" s="37"/>
      <c r="V851" s="39"/>
      <c r="W851" s="39"/>
      <c r="X851" s="39"/>
      <c r="Y851" s="39"/>
      <c r="Z851" s="39"/>
      <c r="AA851" s="39"/>
      <c r="AB851" s="39"/>
      <c r="AC851" s="39"/>
      <c r="AD851" s="39"/>
      <c r="AE851" s="110"/>
      <c r="AF851" s="39"/>
      <c r="AG851" s="39"/>
      <c r="AH851" s="39"/>
      <c r="AI851" s="39"/>
      <c r="AJ851" s="101" t="s">
        <v>988</v>
      </c>
      <c r="AK851" s="39"/>
      <c r="AL851" s="155" t="s">
        <v>1627</v>
      </c>
      <c r="AM851" s="431" t="str">
        <f>VLOOKUP($Q851,Resultados!$A$1:$C$49,3,FALSE)</f>
        <v>TRAMITE</v>
      </c>
    </row>
    <row r="852" spans="1:39" ht="40.15" customHeight="1">
      <c r="A852" s="364">
        <v>841</v>
      </c>
      <c r="B852" s="38">
        <v>45373</v>
      </c>
      <c r="C852" s="337" t="s">
        <v>2705</v>
      </c>
      <c r="D852" s="32" t="s">
        <v>2706</v>
      </c>
      <c r="E852" s="40" t="s">
        <v>2707</v>
      </c>
      <c r="F852" s="39">
        <v>7</v>
      </c>
      <c r="G852" s="32" t="s">
        <v>10</v>
      </c>
      <c r="H852" s="38"/>
      <c r="I852" s="38"/>
      <c r="J852" s="38"/>
      <c r="K852" s="39" t="s">
        <v>1480</v>
      </c>
      <c r="L852" s="70" t="s">
        <v>83</v>
      </c>
      <c r="M852" s="70" t="s">
        <v>67</v>
      </c>
      <c r="N852" s="32" t="s">
        <v>2817</v>
      </c>
      <c r="O852" s="32" t="str">
        <f>IF(Q852=" _","NO","SI")</f>
        <v>NO</v>
      </c>
      <c r="P852" s="24" t="str">
        <f ca="1">IF(color_Celda(E852)=12106214,"ROSA",IF(color_Celda(E852)=65535,"AMARILLO",IF(color_Celda(E852)=5296274,"VERDE",IF(color_Celda(E852)=16777215,"BLANCO","NO SE"))))</f>
        <v>AMARILLO</v>
      </c>
      <c r="Q852" s="32" t="s">
        <v>108</v>
      </c>
      <c r="R852" s="32" t="str">
        <f>VLOOKUP($Q852,Resultados!$A$1:$B$49,2,FALSE)</f>
        <v xml:space="preserve"> _</v>
      </c>
      <c r="S852" s="32"/>
      <c r="T852" s="73"/>
      <c r="U852" s="37"/>
      <c r="V852" s="39"/>
      <c r="W852" s="39"/>
      <c r="X852" s="39"/>
      <c r="Y852" s="39"/>
      <c r="Z852" s="39"/>
      <c r="AA852" s="39"/>
      <c r="AB852" s="39"/>
      <c r="AC852" s="39"/>
      <c r="AD852" s="39"/>
      <c r="AE852" s="110"/>
      <c r="AF852" s="39"/>
      <c r="AG852" s="39"/>
      <c r="AH852" s="39"/>
      <c r="AI852" s="39"/>
      <c r="AJ852" s="101" t="s">
        <v>988</v>
      </c>
      <c r="AK852" s="39"/>
      <c r="AL852" s="155" t="s">
        <v>1627</v>
      </c>
      <c r="AM852" s="431" t="str">
        <f>VLOOKUP($Q852,Resultados!$A$1:$C$49,3,FALSE)</f>
        <v>TRAMITE</v>
      </c>
    </row>
    <row r="853" spans="1:39" ht="40.15" customHeight="1">
      <c r="A853" s="364">
        <v>842</v>
      </c>
      <c r="B853" s="38">
        <v>45373</v>
      </c>
      <c r="C853" s="337" t="s">
        <v>26</v>
      </c>
      <c r="D853" s="32" t="s">
        <v>2770</v>
      </c>
      <c r="E853" s="40" t="s">
        <v>2771</v>
      </c>
      <c r="F853" s="39">
        <v>1</v>
      </c>
      <c r="G853" s="39" t="s">
        <v>10</v>
      </c>
      <c r="H853" s="38"/>
      <c r="I853" s="38"/>
      <c r="J853" s="38"/>
      <c r="K853" s="39" t="s">
        <v>1480</v>
      </c>
      <c r="L853" s="70" t="s">
        <v>2173</v>
      </c>
      <c r="M853" s="70" t="s">
        <v>59</v>
      </c>
      <c r="N853" s="32" t="s">
        <v>2772</v>
      </c>
      <c r="O853" s="32" t="str">
        <f>IF(Q853=" _","NO","SI")</f>
        <v>NO</v>
      </c>
      <c r="P853" s="24" t="str">
        <f ca="1">IF(color_Celda(E853)=12106214,"ROSA",IF(color_Celda(E853)=65535,"AMARILLO",IF(color_Celda(E853)=5296274,"VERDE",IF(color_Celda(E853)=16777215,"BLANCO","NO SE"))))</f>
        <v>AMARILLO</v>
      </c>
      <c r="Q853" s="32" t="s">
        <v>108</v>
      </c>
      <c r="R853" s="32" t="str">
        <f>VLOOKUP($Q853,Resultados!$A$1:$B$49,2,FALSE)</f>
        <v xml:space="preserve"> _</v>
      </c>
      <c r="S853" s="32"/>
      <c r="T853" s="73"/>
      <c r="U853" s="37"/>
      <c r="V853" s="39"/>
      <c r="W853" s="39"/>
      <c r="X853" s="39"/>
      <c r="Y853" s="39"/>
      <c r="Z853" s="39"/>
      <c r="AA853" s="39"/>
      <c r="AB853" s="39"/>
      <c r="AC853" s="39"/>
      <c r="AD853" s="39"/>
      <c r="AE853" s="110"/>
      <c r="AF853" s="39"/>
      <c r="AG853" s="39"/>
      <c r="AH853" s="39"/>
      <c r="AI853" s="39"/>
      <c r="AJ853" s="101" t="s">
        <v>988</v>
      </c>
      <c r="AK853" s="39"/>
      <c r="AL853" s="155" t="s">
        <v>1627</v>
      </c>
      <c r="AM853" s="431" t="str">
        <f>VLOOKUP($Q853,Resultados!$A$1:$C$49,3,FALSE)</f>
        <v>TRAMITE</v>
      </c>
    </row>
    <row r="854" spans="1:39" ht="39.950000000000003" customHeight="1">
      <c r="A854" s="364">
        <v>843</v>
      </c>
      <c r="B854" s="38">
        <v>45373</v>
      </c>
      <c r="C854" s="337" t="s">
        <v>41</v>
      </c>
      <c r="D854" s="32" t="s">
        <v>2823</v>
      </c>
      <c r="E854" s="40" t="s">
        <v>2824</v>
      </c>
      <c r="F854" s="39">
        <v>3</v>
      </c>
      <c r="G854" s="32" t="s">
        <v>1750</v>
      </c>
      <c r="H854" s="38"/>
      <c r="I854" s="38"/>
      <c r="J854" s="38"/>
      <c r="K854" s="39" t="s">
        <v>1480</v>
      </c>
      <c r="L854" s="70" t="s">
        <v>25</v>
      </c>
      <c r="M854" s="70" t="s">
        <v>2825</v>
      </c>
      <c r="N854" s="32" t="s">
        <v>2805</v>
      </c>
      <c r="O854" s="32" t="str">
        <f>IF(Q854=" _","NO","SI")</f>
        <v>NO</v>
      </c>
      <c r="P854" s="24" t="str">
        <f ca="1">IF(color_Celda(E854)=12106214,"ROSA",IF(color_Celda(E854)=65535,"AMARILLO",IF(color_Celda(E854)=5296274,"VERDE",IF(color_Celda(E854)=16777215,"BLANCO","NO SE"))))</f>
        <v>AMARILLO</v>
      </c>
      <c r="Q854" s="32" t="s">
        <v>108</v>
      </c>
      <c r="R854" s="32" t="str">
        <f>VLOOKUP($Q854,Resultados!$A$1:$B$49,2,FALSE)</f>
        <v xml:space="preserve"> _</v>
      </c>
      <c r="S854" s="32"/>
      <c r="T854" s="73"/>
      <c r="U854" s="37"/>
      <c r="V854" s="39"/>
      <c r="W854" s="39"/>
      <c r="X854" s="39"/>
      <c r="Y854" s="39"/>
      <c r="Z854" s="39"/>
      <c r="AA854" s="39"/>
      <c r="AB854" s="39"/>
      <c r="AC854" s="39"/>
      <c r="AD854" s="39"/>
      <c r="AE854" s="110"/>
      <c r="AF854" s="39"/>
      <c r="AG854" s="39"/>
      <c r="AH854" s="39"/>
      <c r="AI854" s="39"/>
      <c r="AJ854" s="101" t="s">
        <v>988</v>
      </c>
      <c r="AK854" s="39"/>
      <c r="AL854" s="155" t="s">
        <v>1627</v>
      </c>
      <c r="AM854" s="431" t="str">
        <f>VLOOKUP($Q854,Resultados!$A$1:$C$49,3,FALSE)</f>
        <v>TRAMITE</v>
      </c>
    </row>
    <row r="855" spans="1:39" ht="39.950000000000003" customHeight="1">
      <c r="A855" s="364">
        <v>844</v>
      </c>
      <c r="B855" s="38">
        <v>45376</v>
      </c>
      <c r="C855" s="331" t="s">
        <v>12</v>
      </c>
      <c r="D855" s="32" t="s">
        <v>2453</v>
      </c>
      <c r="E855" s="40" t="s">
        <v>2459</v>
      </c>
      <c r="F855" s="39">
        <v>4</v>
      </c>
      <c r="G855" s="39" t="s">
        <v>325</v>
      </c>
      <c r="H855" s="38"/>
      <c r="I855" s="38"/>
      <c r="J855" s="38"/>
      <c r="K855" s="39" t="s">
        <v>1480</v>
      </c>
      <c r="L855" s="355" t="s">
        <v>85</v>
      </c>
      <c r="M855" s="355" t="s">
        <v>47</v>
      </c>
      <c r="N855" s="43" t="s">
        <v>2904</v>
      </c>
      <c r="O855" s="32" t="str">
        <f>IF(Q855=" _","NO","SI")</f>
        <v>NO</v>
      </c>
      <c r="P855" s="24" t="str">
        <f ca="1">IF(color_Celda(E855)=12106214,"ROSA",IF(color_Celda(E855)=65535,"AMARILLO",IF(color_Celda(E855)=5296274,"VERDE",IF(color_Celda(E855)=16777215,"BLANCO","NO SE"))))</f>
        <v>AMARILLO</v>
      </c>
      <c r="Q855" s="32" t="s">
        <v>108</v>
      </c>
      <c r="R855" s="32" t="str">
        <f>VLOOKUP($Q855,Resultados!$A$1:$B$49,2,FALSE)</f>
        <v xml:space="preserve"> _</v>
      </c>
      <c r="S855" s="32"/>
      <c r="T855" s="357"/>
      <c r="U855" s="37"/>
      <c r="V855" s="39"/>
      <c r="W855" s="39"/>
      <c r="X855" s="39"/>
      <c r="Y855" s="39"/>
      <c r="Z855" s="39"/>
      <c r="AA855" s="39"/>
      <c r="AB855" s="39"/>
      <c r="AC855" s="39"/>
      <c r="AD855" s="39"/>
      <c r="AE855" s="110"/>
      <c r="AF855" s="39"/>
      <c r="AG855" s="39"/>
      <c r="AH855" s="39"/>
      <c r="AI855" s="39"/>
      <c r="AJ855" s="155" t="s">
        <v>988</v>
      </c>
      <c r="AK855" s="39"/>
      <c r="AL855" s="155" t="s">
        <v>1627</v>
      </c>
      <c r="AM855" s="431" t="str">
        <f>VLOOKUP($Q855,Resultados!$A$1:$C$49,3,FALSE)</f>
        <v>TRAMITE</v>
      </c>
    </row>
    <row r="856" spans="1:39" ht="39.950000000000003" customHeight="1">
      <c r="A856" s="364">
        <v>845</v>
      </c>
      <c r="B856" s="38">
        <v>45376</v>
      </c>
      <c r="C856" s="337" t="s">
        <v>26</v>
      </c>
      <c r="D856" s="32" t="s">
        <v>2733</v>
      </c>
      <c r="E856" s="40" t="s">
        <v>2910</v>
      </c>
      <c r="F856" s="39">
        <v>4</v>
      </c>
      <c r="G856" s="32" t="s">
        <v>325</v>
      </c>
      <c r="H856" s="38"/>
      <c r="I856" s="38"/>
      <c r="J856" s="38"/>
      <c r="K856" s="39" t="s">
        <v>1480</v>
      </c>
      <c r="L856" s="70" t="s">
        <v>83</v>
      </c>
      <c r="M856" s="70" t="s">
        <v>1156</v>
      </c>
      <c r="N856" s="32" t="s">
        <v>2911</v>
      </c>
      <c r="O856" s="32" t="str">
        <f>IF(Q856=" _","NO","SI")</f>
        <v>NO</v>
      </c>
      <c r="P856" s="24" t="str">
        <f ca="1">IF(color_Celda(E856)=12106214,"ROSA",IF(color_Celda(E856)=65535,"AMARILLO",IF(color_Celda(E856)=5296274,"VERDE",IF(color_Celda(E856)=16777215,"BLANCO","NO SE"))))</f>
        <v>AMARILLO</v>
      </c>
      <c r="Q856" s="32" t="s">
        <v>108</v>
      </c>
      <c r="R856" s="32" t="str">
        <f>VLOOKUP($Q856,Resultados!$A$1:$B$49,2,FALSE)</f>
        <v xml:space="preserve"> _</v>
      </c>
      <c r="S856" s="32"/>
      <c r="T856" s="73"/>
      <c r="U856" s="37"/>
      <c r="V856" s="39"/>
      <c r="W856" s="39"/>
      <c r="X856" s="39"/>
      <c r="Y856" s="39"/>
      <c r="Z856" s="39"/>
      <c r="AA856" s="39"/>
      <c r="AB856" s="39"/>
      <c r="AC856" s="39"/>
      <c r="AD856" s="39"/>
      <c r="AE856" s="110"/>
      <c r="AF856" s="39"/>
      <c r="AG856" s="39"/>
      <c r="AH856" s="39"/>
      <c r="AI856" s="39"/>
      <c r="AJ856" s="101" t="s">
        <v>988</v>
      </c>
      <c r="AK856" s="39"/>
      <c r="AL856" s="155" t="s">
        <v>1627</v>
      </c>
      <c r="AM856" s="431" t="str">
        <f>VLOOKUP($Q856,Resultados!$A$1:$C$49,3,FALSE)</f>
        <v>TRAMITE</v>
      </c>
    </row>
    <row r="857" spans="1:39" ht="39.950000000000003" customHeight="1">
      <c r="A857" s="364">
        <v>846</v>
      </c>
      <c r="B857" s="38">
        <v>45376</v>
      </c>
      <c r="C857" s="337" t="s">
        <v>810</v>
      </c>
      <c r="D857" s="32" t="s">
        <v>2742</v>
      </c>
      <c r="E857" s="40" t="s">
        <v>2743</v>
      </c>
      <c r="F857" s="39">
        <v>1</v>
      </c>
      <c r="G857" s="32" t="s">
        <v>2716</v>
      </c>
      <c r="H857" s="38"/>
      <c r="I857" s="38"/>
      <c r="J857" s="38"/>
      <c r="K857" s="39" t="s">
        <v>1480</v>
      </c>
      <c r="L857" s="70" t="s">
        <v>2168</v>
      </c>
      <c r="M857" s="70" t="s">
        <v>1156</v>
      </c>
      <c r="N857" s="32" t="s">
        <v>2822</v>
      </c>
      <c r="O857" s="32" t="str">
        <f>IF(Q857=" _","NO","SI")</f>
        <v>NO</v>
      </c>
      <c r="P857" s="24" t="str">
        <f ca="1">IF(color_Celda(E857)=12106214,"ROSA",IF(color_Celda(E857)=65535,"AMARILLO",IF(color_Celda(E857)=5296274,"VERDE",IF(color_Celda(E857)=16777215,"BLANCO","NO SE"))))</f>
        <v>AMARILLO</v>
      </c>
      <c r="Q857" s="32" t="s">
        <v>108</v>
      </c>
      <c r="R857" s="32" t="str">
        <f>VLOOKUP($Q857,Resultados!$A$1:$B$49,2,FALSE)</f>
        <v xml:space="preserve"> _</v>
      </c>
      <c r="S857" s="32"/>
      <c r="T857" s="73"/>
      <c r="U857" s="37"/>
      <c r="V857" s="39"/>
      <c r="W857" s="39"/>
      <c r="X857" s="39"/>
      <c r="Y857" s="39"/>
      <c r="Z857" s="39"/>
      <c r="AA857" s="39"/>
      <c r="AB857" s="39"/>
      <c r="AC857" s="39"/>
      <c r="AD857" s="39"/>
      <c r="AE857" s="110"/>
      <c r="AF857" s="39"/>
      <c r="AG857" s="39"/>
      <c r="AH857" s="39"/>
      <c r="AI857" s="39"/>
      <c r="AJ857" s="101" t="s">
        <v>988</v>
      </c>
      <c r="AK857" s="39"/>
      <c r="AL857" s="155" t="s">
        <v>1627</v>
      </c>
      <c r="AM857" s="431" t="str">
        <f>VLOOKUP($Q857,Resultados!$A$1:$C$49,3,FALSE)</f>
        <v>TRAMITE</v>
      </c>
    </row>
    <row r="858" spans="1:39" ht="39.950000000000003" customHeight="1">
      <c r="A858" s="364">
        <v>847</v>
      </c>
      <c r="B858" s="38">
        <v>45376</v>
      </c>
      <c r="C858" s="337" t="s">
        <v>2744</v>
      </c>
      <c r="D858" s="32" t="s">
        <v>2745</v>
      </c>
      <c r="E858" s="40" t="s">
        <v>3004</v>
      </c>
      <c r="F858" s="39">
        <v>3</v>
      </c>
      <c r="G858" s="32" t="s">
        <v>1750</v>
      </c>
      <c r="H858" s="38"/>
      <c r="I858" s="38"/>
      <c r="J858" s="38"/>
      <c r="K858" s="39" t="s">
        <v>1480</v>
      </c>
      <c r="L858" s="70" t="s">
        <v>2172</v>
      </c>
      <c r="M858" s="70" t="s">
        <v>3005</v>
      </c>
      <c r="N858" s="32" t="s">
        <v>3006</v>
      </c>
      <c r="O858" s="32" t="str">
        <f>IF(Q858=" _","NO","SI")</f>
        <v>NO</v>
      </c>
      <c r="P858" s="24" t="str">
        <f ca="1">IF(color_Celda(E858)=12106214,"ROSA",IF(color_Celda(E858)=65535,"AMARILLO",IF(color_Celda(E858)=5296274,"VERDE",IF(color_Celda(E858)=16777215,"BLANCO","NO SE"))))</f>
        <v>AMARILLO</v>
      </c>
      <c r="Q858" s="32" t="s">
        <v>108</v>
      </c>
      <c r="R858" s="32" t="str">
        <f>VLOOKUP($Q858,Resultados!$A$1:$B$49,2,FALSE)</f>
        <v xml:space="preserve"> _</v>
      </c>
      <c r="S858" s="315">
        <v>45286</v>
      </c>
      <c r="T858" s="73"/>
      <c r="U858" s="37"/>
      <c r="V858" s="39"/>
      <c r="W858" s="39"/>
      <c r="X858" s="39"/>
      <c r="Y858" s="39"/>
      <c r="Z858" s="39"/>
      <c r="AA858" s="39"/>
      <c r="AB858" s="39"/>
      <c r="AC858" s="39"/>
      <c r="AD858" s="39"/>
      <c r="AE858" s="110"/>
      <c r="AF858" s="39"/>
      <c r="AG858" s="39"/>
      <c r="AH858" s="39"/>
      <c r="AI858" s="39"/>
      <c r="AJ858" s="101" t="s">
        <v>988</v>
      </c>
      <c r="AK858" s="39"/>
      <c r="AL858" s="155" t="s">
        <v>1627</v>
      </c>
      <c r="AM858" s="431" t="str">
        <f>VLOOKUP($Q858,Resultados!$A$1:$C$49,3,FALSE)</f>
        <v>TRAMITE</v>
      </c>
    </row>
    <row r="859" spans="1:39" ht="39.950000000000003" customHeight="1">
      <c r="A859" s="364">
        <v>848</v>
      </c>
      <c r="B859" s="38">
        <v>45376</v>
      </c>
      <c r="C859" s="337" t="s">
        <v>380</v>
      </c>
      <c r="D859" s="32" t="s">
        <v>2746</v>
      </c>
      <c r="E859" s="40" t="s">
        <v>2747</v>
      </c>
      <c r="F859" s="39">
        <v>5</v>
      </c>
      <c r="G859" s="32" t="s">
        <v>10</v>
      </c>
      <c r="H859" s="38"/>
      <c r="I859" s="38"/>
      <c r="J859" s="38"/>
      <c r="K859" s="39" t="s">
        <v>1480</v>
      </c>
      <c r="L859" s="70" t="s">
        <v>87</v>
      </c>
      <c r="M859" s="70" t="s">
        <v>1156</v>
      </c>
      <c r="N859" s="32" t="s">
        <v>2888</v>
      </c>
      <c r="O859" s="32" t="str">
        <f>IF(Q859=" _","NO","SI")</f>
        <v>NO</v>
      </c>
      <c r="P859" s="24" t="str">
        <f ca="1">IF(color_Celda(E859)=12106214,"ROSA",IF(color_Celda(E859)=65535,"AMARILLO",IF(color_Celda(E859)=5296274,"VERDE",IF(color_Celda(E859)=16777215,"BLANCO","NO SE"))))</f>
        <v>AMARILLO</v>
      </c>
      <c r="Q859" s="32" t="s">
        <v>108</v>
      </c>
      <c r="R859" s="32" t="str">
        <f>VLOOKUP($Q859,Resultados!$A$1:$B$49,2,FALSE)</f>
        <v xml:space="preserve"> _</v>
      </c>
      <c r="S859" s="32"/>
      <c r="T859" s="73"/>
      <c r="U859" s="37"/>
      <c r="V859" s="39"/>
      <c r="W859" s="39"/>
      <c r="X859" s="39"/>
      <c r="Y859" s="39"/>
      <c r="Z859" s="39"/>
      <c r="AA859" s="39"/>
      <c r="AB859" s="39"/>
      <c r="AC859" s="39"/>
      <c r="AD859" s="39"/>
      <c r="AE859" s="110"/>
      <c r="AF859" s="39"/>
      <c r="AG859" s="39"/>
      <c r="AH859" s="39"/>
      <c r="AI859" s="39"/>
      <c r="AJ859" s="101" t="s">
        <v>988</v>
      </c>
      <c r="AK859" s="39"/>
      <c r="AL859" s="155" t="s">
        <v>1627</v>
      </c>
      <c r="AM859" s="431" t="str">
        <f>VLOOKUP($Q859,Resultados!$A$1:$C$49,3,FALSE)</f>
        <v>TRAMITE</v>
      </c>
    </row>
    <row r="860" spans="1:39" ht="39.950000000000003" customHeight="1">
      <c r="A860" s="364">
        <v>849</v>
      </c>
      <c r="B860" s="38">
        <v>45376</v>
      </c>
      <c r="C860" s="337" t="s">
        <v>2748</v>
      </c>
      <c r="D860" s="32" t="s">
        <v>2749</v>
      </c>
      <c r="E860" s="40" t="s">
        <v>2750</v>
      </c>
      <c r="F860" s="39">
        <v>5</v>
      </c>
      <c r="G860" s="32" t="s">
        <v>10</v>
      </c>
      <c r="H860" s="38"/>
      <c r="I860" s="38"/>
      <c r="J860" s="38"/>
      <c r="K860" s="39" t="s">
        <v>1480</v>
      </c>
      <c r="L860" s="70" t="s">
        <v>77</v>
      </c>
      <c r="M860" s="70" t="s">
        <v>2920</v>
      </c>
      <c r="N860" s="39" t="s">
        <v>2888</v>
      </c>
      <c r="O860" s="32" t="str">
        <f>IF(Q860=" _","NO","SI")</f>
        <v>NO</v>
      </c>
      <c r="P860" s="24" t="str">
        <f ca="1">IF(color_Celda(E860)=12106214,"ROSA",IF(color_Celda(E860)=65535,"AMARILLO",IF(color_Celda(E860)=5296274,"VERDE",IF(color_Celda(E860)=16777215,"BLANCO","NO SE"))))</f>
        <v>AMARILLO</v>
      </c>
      <c r="Q860" s="32" t="s">
        <v>108</v>
      </c>
      <c r="R860" s="32" t="str">
        <f>VLOOKUP($Q860,Resultados!$A$1:$B$49,2,FALSE)</f>
        <v xml:space="preserve"> _</v>
      </c>
      <c r="S860" s="32"/>
      <c r="T860" s="73"/>
      <c r="U860" s="37"/>
      <c r="V860" s="39"/>
      <c r="W860" s="39"/>
      <c r="X860" s="39"/>
      <c r="Y860" s="39"/>
      <c r="Z860" s="39"/>
      <c r="AA860" s="39"/>
      <c r="AB860" s="39"/>
      <c r="AC860" s="39"/>
      <c r="AD860" s="39"/>
      <c r="AE860" s="110"/>
      <c r="AF860" s="39"/>
      <c r="AG860" s="39"/>
      <c r="AH860" s="39"/>
      <c r="AI860" s="39"/>
      <c r="AJ860" s="101" t="s">
        <v>988</v>
      </c>
      <c r="AK860" s="39"/>
      <c r="AL860" s="155" t="s">
        <v>1627</v>
      </c>
      <c r="AM860" s="431" t="str">
        <f>VLOOKUP($Q860,Resultados!$A$1:$C$49,3,FALSE)</f>
        <v>TRAMITE</v>
      </c>
    </row>
    <row r="861" spans="1:39" ht="39.950000000000003" customHeight="1">
      <c r="A861" s="364">
        <v>850</v>
      </c>
      <c r="B861" s="38">
        <v>45376</v>
      </c>
      <c r="C861" s="337" t="s">
        <v>2117</v>
      </c>
      <c r="D861" s="32" t="s">
        <v>2751</v>
      </c>
      <c r="E861" s="40" t="s">
        <v>2752</v>
      </c>
      <c r="F861" s="39">
        <v>5</v>
      </c>
      <c r="G861" s="32" t="s">
        <v>10</v>
      </c>
      <c r="H861" s="38"/>
      <c r="I861" s="38"/>
      <c r="J861" s="38"/>
      <c r="K861" s="39" t="s">
        <v>1480</v>
      </c>
      <c r="L861" s="70" t="s">
        <v>2172</v>
      </c>
      <c r="M861" s="70" t="s">
        <v>260</v>
      </c>
      <c r="N861" s="39" t="s">
        <v>2888</v>
      </c>
      <c r="O861" s="32" t="str">
        <f>IF(Q861=" _","NO","SI")</f>
        <v>NO</v>
      </c>
      <c r="P861" s="24" t="str">
        <f ca="1">IF(color_Celda(E861)=12106214,"ROSA",IF(color_Celda(E861)=65535,"AMARILLO",IF(color_Celda(E861)=5296274,"VERDE",IF(color_Celda(E861)=16777215,"BLANCO","NO SE"))))</f>
        <v>AMARILLO</v>
      </c>
      <c r="Q861" s="32" t="s">
        <v>108</v>
      </c>
      <c r="R861" s="32" t="str">
        <f>VLOOKUP($Q861,Resultados!$A$1:$B$49,2,FALSE)</f>
        <v xml:space="preserve"> _</v>
      </c>
      <c r="S861" s="32"/>
      <c r="T861" s="73"/>
      <c r="U861" s="37"/>
      <c r="V861" s="39"/>
      <c r="W861" s="39"/>
      <c r="X861" s="39"/>
      <c r="Y861" s="39"/>
      <c r="Z861" s="39"/>
      <c r="AA861" s="39"/>
      <c r="AB861" s="39"/>
      <c r="AC861" s="39"/>
      <c r="AD861" s="39"/>
      <c r="AE861" s="110"/>
      <c r="AF861" s="39"/>
      <c r="AG861" s="39"/>
      <c r="AH861" s="39"/>
      <c r="AI861" s="39"/>
      <c r="AJ861" s="101" t="s">
        <v>988</v>
      </c>
      <c r="AK861" s="39"/>
      <c r="AL861" s="155" t="s">
        <v>1627</v>
      </c>
      <c r="AM861" s="431" t="str">
        <f>VLOOKUP($Q861,Resultados!$A$1:$C$49,3,FALSE)</f>
        <v>TRAMITE</v>
      </c>
    </row>
    <row r="862" spans="1:39" ht="39.950000000000003" customHeight="1">
      <c r="A862" s="364">
        <v>851</v>
      </c>
      <c r="B862" s="38">
        <v>45376</v>
      </c>
      <c r="C862" s="337" t="s">
        <v>371</v>
      </c>
      <c r="D862" s="32" t="s">
        <v>2905</v>
      </c>
      <c r="E862" s="40" t="s">
        <v>2906</v>
      </c>
      <c r="F862" s="39">
        <v>4</v>
      </c>
      <c r="G862" s="32" t="s">
        <v>325</v>
      </c>
      <c r="H862" s="38"/>
      <c r="I862" s="38"/>
      <c r="J862" s="38"/>
      <c r="K862" s="39" t="s">
        <v>1480</v>
      </c>
      <c r="L862" s="70" t="s">
        <v>72</v>
      </c>
      <c r="M862" s="70" t="s">
        <v>67</v>
      </c>
      <c r="N862" s="32" t="s">
        <v>2907</v>
      </c>
      <c r="O862" s="32" t="str">
        <f>IF(Q862=" _","NO","SI")</f>
        <v>NO</v>
      </c>
      <c r="P862" s="24" t="str">
        <f ca="1">IF(color_Celda(E862)=12106214,"ROSA",IF(color_Celda(E862)=65535,"AMARILLO",IF(color_Celda(E862)=5296274,"VERDE",IF(color_Celda(E862)=16777215,"BLANCO","NO SE"))))</f>
        <v>AMARILLO</v>
      </c>
      <c r="Q862" s="32" t="s">
        <v>108</v>
      </c>
      <c r="R862" s="32" t="str">
        <f>VLOOKUP($Q862,Resultados!$A$1:$B$49,2,FALSE)</f>
        <v xml:space="preserve"> _</v>
      </c>
      <c r="S862" s="32"/>
      <c r="T862" s="73"/>
      <c r="U862" s="37"/>
      <c r="V862" s="39"/>
      <c r="W862" s="39"/>
      <c r="X862" s="39"/>
      <c r="Y862" s="39"/>
      <c r="Z862" s="39"/>
      <c r="AA862" s="39"/>
      <c r="AB862" s="39"/>
      <c r="AC862" s="39"/>
      <c r="AD862" s="39"/>
      <c r="AE862" s="110"/>
      <c r="AF862" s="39"/>
      <c r="AG862" s="39"/>
      <c r="AH862" s="39"/>
      <c r="AI862" s="39"/>
      <c r="AJ862" s="101" t="s">
        <v>988</v>
      </c>
      <c r="AK862" s="39"/>
      <c r="AL862" s="155" t="s">
        <v>1627</v>
      </c>
      <c r="AM862" s="431" t="str">
        <f>VLOOKUP($Q862,Resultados!$A$1:$C$49,3,FALSE)</f>
        <v>TRAMITE</v>
      </c>
    </row>
    <row r="863" spans="1:39" ht="39.950000000000003" customHeight="1">
      <c r="A863" s="364">
        <v>852</v>
      </c>
      <c r="B863" s="38">
        <v>45376</v>
      </c>
      <c r="C863" s="337" t="s">
        <v>371</v>
      </c>
      <c r="D863" s="32" t="s">
        <v>2908</v>
      </c>
      <c r="E863" s="40" t="s">
        <v>2909</v>
      </c>
      <c r="F863" s="39">
        <v>4</v>
      </c>
      <c r="G863" s="32" t="s">
        <v>325</v>
      </c>
      <c r="H863" s="38"/>
      <c r="I863" s="38"/>
      <c r="J863" s="38"/>
      <c r="K863" s="39" t="s">
        <v>1480</v>
      </c>
      <c r="L863" s="70" t="s">
        <v>73</v>
      </c>
      <c r="M863" s="70" t="s">
        <v>260</v>
      </c>
      <c r="N863" s="39" t="s">
        <v>2882</v>
      </c>
      <c r="O863" s="32" t="str">
        <f>IF(Q863=" _","NO","SI")</f>
        <v>NO</v>
      </c>
      <c r="P863" s="24" t="str">
        <f ca="1">IF(color_Celda(E863)=12106214,"ROSA",IF(color_Celda(E863)=65535,"AMARILLO",IF(color_Celda(E863)=5296274,"VERDE",IF(color_Celda(E863)=16777215,"BLANCO","NO SE"))))</f>
        <v>AMARILLO</v>
      </c>
      <c r="Q863" s="32" t="s">
        <v>108</v>
      </c>
      <c r="R863" s="32" t="str">
        <f>VLOOKUP($Q863,Resultados!$A$1:$B$49,2,FALSE)</f>
        <v xml:space="preserve"> _</v>
      </c>
      <c r="S863" s="32"/>
      <c r="T863" s="73"/>
      <c r="U863" s="37"/>
      <c r="V863" s="39"/>
      <c r="W863" s="39"/>
      <c r="X863" s="39"/>
      <c r="Y863" s="39"/>
      <c r="Z863" s="39"/>
      <c r="AA863" s="39"/>
      <c r="AB863" s="39"/>
      <c r="AC863" s="39"/>
      <c r="AD863" s="39"/>
      <c r="AE863" s="110"/>
      <c r="AF863" s="39"/>
      <c r="AG863" s="39"/>
      <c r="AH863" s="39"/>
      <c r="AI863" s="39"/>
      <c r="AJ863" s="101" t="s">
        <v>988</v>
      </c>
      <c r="AK863" s="39"/>
      <c r="AL863" s="155" t="s">
        <v>1627</v>
      </c>
      <c r="AM863" s="431" t="str">
        <f>VLOOKUP($Q863,Resultados!$A$1:$C$49,3,FALSE)</f>
        <v>TRAMITE</v>
      </c>
    </row>
    <row r="864" spans="1:39" ht="39.950000000000003" customHeight="1">
      <c r="A864" s="364">
        <v>854</v>
      </c>
      <c r="B864" s="38">
        <v>45377</v>
      </c>
      <c r="C864" s="337" t="s">
        <v>2734</v>
      </c>
      <c r="D864" s="32" t="s">
        <v>2735</v>
      </c>
      <c r="E864" s="40" t="s">
        <v>2736</v>
      </c>
      <c r="F864" s="39">
        <v>5</v>
      </c>
      <c r="G864" s="39"/>
      <c r="H864" s="38"/>
      <c r="I864" s="38"/>
      <c r="J864" s="38"/>
      <c r="K864" s="39" t="s">
        <v>1480</v>
      </c>
      <c r="L864" s="70" t="s">
        <v>252</v>
      </c>
      <c r="M864" s="70" t="s">
        <v>90</v>
      </c>
      <c r="N864" s="32" t="s">
        <v>2882</v>
      </c>
      <c r="O864" s="32" t="str">
        <f>IF(Q864=" _","NO","SI")</f>
        <v>NO</v>
      </c>
      <c r="P864" s="24" t="str">
        <f ca="1">IF(color_Celda(E864)=12106214,"ROSA",IF(color_Celda(E864)=65535,"AMARILLO",IF(color_Celda(E864)=5296274,"VERDE",IF(color_Celda(E864)=16777215,"BLANCO","NO SE"))))</f>
        <v>AMARILLO</v>
      </c>
      <c r="Q864" s="32" t="s">
        <v>108</v>
      </c>
      <c r="R864" s="32" t="str">
        <f>VLOOKUP($Q864,Resultados!$A$1:$B$49,2,FALSE)</f>
        <v xml:space="preserve"> _</v>
      </c>
      <c r="S864" s="32"/>
      <c r="T864" s="73"/>
      <c r="U864" s="37"/>
      <c r="V864" s="39"/>
      <c r="W864" s="39"/>
      <c r="X864" s="39"/>
      <c r="Y864" s="39"/>
      <c r="Z864" s="39"/>
      <c r="AA864" s="39"/>
      <c r="AB864" s="39"/>
      <c r="AC864" s="39"/>
      <c r="AD864" s="39"/>
      <c r="AE864" s="110"/>
      <c r="AF864" s="39"/>
      <c r="AG864" s="39"/>
      <c r="AH864" s="39"/>
      <c r="AI864" s="39"/>
      <c r="AJ864" s="101" t="s">
        <v>988</v>
      </c>
      <c r="AK864" s="39"/>
      <c r="AL864" s="155" t="s">
        <v>1627</v>
      </c>
      <c r="AM864" s="431" t="str">
        <f>VLOOKUP($Q864,Resultados!$A$1:$C$49,3,FALSE)</f>
        <v>TRAMITE</v>
      </c>
    </row>
    <row r="865" spans="1:39" ht="39.950000000000003" customHeight="1">
      <c r="A865" s="364">
        <v>855</v>
      </c>
      <c r="B865" s="38">
        <v>45377</v>
      </c>
      <c r="C865" s="337" t="s">
        <v>1643</v>
      </c>
      <c r="D865" s="32" t="s">
        <v>2737</v>
      </c>
      <c r="E865" s="40" t="s">
        <v>2919</v>
      </c>
      <c r="F865" s="39">
        <v>5</v>
      </c>
      <c r="G865" s="32" t="s">
        <v>10</v>
      </c>
      <c r="H865" s="38"/>
      <c r="I865" s="38"/>
      <c r="J865" s="38"/>
      <c r="K865" s="39" t="s">
        <v>1480</v>
      </c>
      <c r="L865" s="70" t="s">
        <v>77</v>
      </c>
      <c r="M865" s="70" t="s">
        <v>1156</v>
      </c>
      <c r="N865" s="39" t="s">
        <v>2888</v>
      </c>
      <c r="O865" s="32" t="str">
        <f>IF(Q865=" _","NO","SI")</f>
        <v>NO</v>
      </c>
      <c r="P865" s="24" t="str">
        <f ca="1">IF(color_Celda(E865)=12106214,"ROSA",IF(color_Celda(E865)=65535,"AMARILLO",IF(color_Celda(E865)=5296274,"VERDE",IF(color_Celda(E865)=16777215,"BLANCO","NO SE"))))</f>
        <v>AMARILLO</v>
      </c>
      <c r="Q865" s="32" t="s">
        <v>108</v>
      </c>
      <c r="R865" s="32" t="str">
        <f>VLOOKUP($Q865,Resultados!$A$1:$B$49,2,FALSE)</f>
        <v xml:space="preserve"> _</v>
      </c>
      <c r="S865" s="32"/>
      <c r="T865" s="73"/>
      <c r="U865" s="37"/>
      <c r="V865" s="39"/>
      <c r="W865" s="39"/>
      <c r="X865" s="39"/>
      <c r="Y865" s="39"/>
      <c r="Z865" s="39"/>
      <c r="AA865" s="39"/>
      <c r="AB865" s="39"/>
      <c r="AC865" s="39"/>
      <c r="AD865" s="39"/>
      <c r="AE865" s="110"/>
      <c r="AF865" s="39"/>
      <c r="AG865" s="39"/>
      <c r="AH865" s="39"/>
      <c r="AI865" s="39"/>
      <c r="AJ865" s="101" t="s">
        <v>988</v>
      </c>
      <c r="AK865" s="39"/>
      <c r="AL865" s="155" t="s">
        <v>1627</v>
      </c>
      <c r="AM865" s="431" t="str">
        <f>VLOOKUP($Q865,Resultados!$A$1:$C$49,3,FALSE)</f>
        <v>TRAMITE</v>
      </c>
    </row>
    <row r="866" spans="1:39" ht="39.950000000000003" customHeight="1">
      <c r="A866" s="364">
        <v>856</v>
      </c>
      <c r="B866" s="38">
        <v>45377</v>
      </c>
      <c r="C866" s="337" t="s">
        <v>932</v>
      </c>
      <c r="D866" s="32" t="s">
        <v>2738</v>
      </c>
      <c r="E866" s="40" t="s">
        <v>2739</v>
      </c>
      <c r="F866" s="39">
        <v>5</v>
      </c>
      <c r="G866" s="32" t="s">
        <v>10</v>
      </c>
      <c r="H866" s="38"/>
      <c r="I866" s="38"/>
      <c r="J866" s="38"/>
      <c r="K866" s="39" t="s">
        <v>1480</v>
      </c>
      <c r="L866" s="70" t="s">
        <v>82</v>
      </c>
      <c r="M866" s="70" t="s">
        <v>260</v>
      </c>
      <c r="N866" s="39" t="s">
        <v>2888</v>
      </c>
      <c r="O866" s="32" t="str">
        <f>IF(Q866=" _","NO","SI")</f>
        <v>NO</v>
      </c>
      <c r="P866" s="24" t="str">
        <f ca="1">IF(color_Celda(E866)=12106214,"ROSA",IF(color_Celda(E866)=65535,"AMARILLO",IF(color_Celda(E866)=5296274,"VERDE",IF(color_Celda(E866)=16777215,"BLANCO","NO SE"))))</f>
        <v>AMARILLO</v>
      </c>
      <c r="Q866" s="32" t="s">
        <v>108</v>
      </c>
      <c r="R866" s="32" t="str">
        <f>VLOOKUP($Q866,Resultados!$A$1:$B$49,2,FALSE)</f>
        <v xml:space="preserve"> _</v>
      </c>
      <c r="S866" s="32"/>
      <c r="T866" s="73"/>
      <c r="U866" s="37"/>
      <c r="V866" s="39"/>
      <c r="W866" s="39"/>
      <c r="X866" s="39"/>
      <c r="Y866" s="39"/>
      <c r="Z866" s="39"/>
      <c r="AA866" s="39"/>
      <c r="AB866" s="39"/>
      <c r="AC866" s="39"/>
      <c r="AD866" s="39"/>
      <c r="AE866" s="110"/>
      <c r="AF866" s="39"/>
      <c r="AG866" s="39"/>
      <c r="AH866" s="39"/>
      <c r="AI866" s="39"/>
      <c r="AJ866" s="101" t="s">
        <v>988</v>
      </c>
      <c r="AK866" s="39"/>
      <c r="AL866" s="155" t="s">
        <v>1627</v>
      </c>
      <c r="AM866" s="431" t="str">
        <f>VLOOKUP($Q866,Resultados!$A$1:$C$49,3,FALSE)</f>
        <v>TRAMITE</v>
      </c>
    </row>
    <row r="867" spans="1:39" ht="39.950000000000003" customHeight="1">
      <c r="A867" s="364">
        <v>857</v>
      </c>
      <c r="B867" s="38">
        <v>45377</v>
      </c>
      <c r="C867" s="337" t="s">
        <v>12</v>
      </c>
      <c r="D867" s="32" t="s">
        <v>2740</v>
      </c>
      <c r="E867" s="40" t="s">
        <v>2741</v>
      </c>
      <c r="F867" s="39">
        <v>3</v>
      </c>
      <c r="G867" s="32" t="s">
        <v>1750</v>
      </c>
      <c r="H867" s="38"/>
      <c r="I867" s="38"/>
      <c r="J867" s="38"/>
      <c r="K867" s="39" t="s">
        <v>1480</v>
      </c>
      <c r="L867" s="70" t="s">
        <v>2172</v>
      </c>
      <c r="M867" s="70" t="s">
        <v>46</v>
      </c>
      <c r="N867" s="32" t="s">
        <v>2817</v>
      </c>
      <c r="O867" s="32" t="str">
        <f>IF(Q867=" _","NO","SI")</f>
        <v>NO</v>
      </c>
      <c r="P867" s="24" t="str">
        <f ca="1">IF(color_Celda(E867)=12106214,"ROSA",IF(color_Celda(E867)=65535,"AMARILLO",IF(color_Celda(E867)=5296274,"VERDE",IF(color_Celda(E867)=16777215,"BLANCO","NO SE"))))</f>
        <v>AMARILLO</v>
      </c>
      <c r="Q867" s="32" t="s">
        <v>108</v>
      </c>
      <c r="R867" s="32" t="str">
        <f>VLOOKUP($Q867,Resultados!$A$1:$B$49,2,FALSE)</f>
        <v xml:space="preserve"> _</v>
      </c>
      <c r="S867" s="32"/>
      <c r="T867" s="73"/>
      <c r="U867" s="37"/>
      <c r="V867" s="39"/>
      <c r="W867" s="39"/>
      <c r="X867" s="39"/>
      <c r="Y867" s="39"/>
      <c r="Z867" s="39"/>
      <c r="AA867" s="39"/>
      <c r="AB867" s="39"/>
      <c r="AC867" s="39"/>
      <c r="AD867" s="39"/>
      <c r="AE867" s="110"/>
      <c r="AF867" s="39"/>
      <c r="AG867" s="39"/>
      <c r="AH867" s="39"/>
      <c r="AI867" s="39"/>
      <c r="AJ867" s="101" t="s">
        <v>988</v>
      </c>
      <c r="AK867" s="39"/>
      <c r="AL867" s="155" t="s">
        <v>1627</v>
      </c>
      <c r="AM867" s="431" t="str">
        <f>VLOOKUP($Q867,Resultados!$A$1:$C$49,3,FALSE)</f>
        <v>TRAMITE</v>
      </c>
    </row>
    <row r="868" spans="1:39" ht="39.950000000000003" customHeight="1">
      <c r="A868" s="364">
        <v>858</v>
      </c>
      <c r="B868" s="38">
        <v>45377</v>
      </c>
      <c r="C868" s="337" t="s">
        <v>721</v>
      </c>
      <c r="D868" s="32" t="s">
        <v>2830</v>
      </c>
      <c r="E868" s="40" t="s">
        <v>2831</v>
      </c>
      <c r="F868" s="39">
        <v>3</v>
      </c>
      <c r="G868" s="39" t="s">
        <v>1750</v>
      </c>
      <c r="H868" s="38"/>
      <c r="I868" s="38"/>
      <c r="J868" s="38"/>
      <c r="K868" s="39" t="s">
        <v>1480</v>
      </c>
      <c r="L868" s="70" t="s">
        <v>77</v>
      </c>
      <c r="M868" s="70" t="s">
        <v>234</v>
      </c>
      <c r="N868" s="32" t="s">
        <v>2829</v>
      </c>
      <c r="O868" s="32" t="str">
        <f>IF(Q868=" _","NO","SI")</f>
        <v>NO</v>
      </c>
      <c r="P868" s="24" t="str">
        <f ca="1">IF(color_Celda(E868)=12106214,"ROSA",IF(color_Celda(E868)=65535,"AMARILLO",IF(color_Celda(E868)=5296274,"VERDE",IF(color_Celda(E868)=16777215,"BLANCO","NO SE"))))</f>
        <v>AMARILLO</v>
      </c>
      <c r="Q868" s="32" t="s">
        <v>108</v>
      </c>
      <c r="R868" s="32" t="str">
        <f>VLOOKUP($Q868,Resultados!$A$1:$B$49,2,FALSE)</f>
        <v xml:space="preserve"> _</v>
      </c>
      <c r="S868" s="32"/>
      <c r="T868" s="73"/>
      <c r="U868" s="37"/>
      <c r="V868" s="39"/>
      <c r="W868" s="39"/>
      <c r="X868" s="39"/>
      <c r="Y868" s="39"/>
      <c r="Z868" s="39"/>
      <c r="AA868" s="39"/>
      <c r="AB868" s="39"/>
      <c r="AC868" s="39"/>
      <c r="AD868" s="39"/>
      <c r="AE868" s="110"/>
      <c r="AF868" s="39"/>
      <c r="AG868" s="39"/>
      <c r="AH868" s="39"/>
      <c r="AI868" s="39"/>
      <c r="AJ868" s="101" t="s">
        <v>988</v>
      </c>
      <c r="AK868" s="39"/>
      <c r="AL868" s="155" t="s">
        <v>1627</v>
      </c>
      <c r="AM868" s="431" t="str">
        <f>VLOOKUP($Q868,Resultados!$A$1:$C$49,3,FALSE)</f>
        <v>TRAMITE</v>
      </c>
    </row>
    <row r="869" spans="1:39" ht="39.950000000000003" customHeight="1">
      <c r="A869" s="364">
        <v>859</v>
      </c>
      <c r="B869" s="38">
        <v>45377</v>
      </c>
      <c r="C869" s="337" t="s">
        <v>2764</v>
      </c>
      <c r="D869" s="32" t="s">
        <v>2833</v>
      </c>
      <c r="E869" s="40" t="s">
        <v>2834</v>
      </c>
      <c r="F869" s="39">
        <v>6</v>
      </c>
      <c r="G869" s="32" t="s">
        <v>2876</v>
      </c>
      <c r="H869" s="38"/>
      <c r="I869" s="38"/>
      <c r="J869" s="38"/>
      <c r="K869" s="39" t="s">
        <v>1480</v>
      </c>
      <c r="L869" s="70" t="s">
        <v>72</v>
      </c>
      <c r="M869" s="70" t="s">
        <v>2835</v>
      </c>
      <c r="N869" s="32" t="s">
        <v>2836</v>
      </c>
      <c r="O869" s="32" t="str">
        <f>IF(Q869=" _","NO","SI")</f>
        <v>NO</v>
      </c>
      <c r="P869" s="24" t="str">
        <f ca="1">IF(color_Celda(E869)=12106214,"ROSA",IF(color_Celda(E869)=65535,"AMARILLO",IF(color_Celda(E869)=5296274,"VERDE",IF(color_Celda(E869)=16777215,"BLANCO","NO SE"))))</f>
        <v>AMARILLO</v>
      </c>
      <c r="Q869" s="32" t="s">
        <v>108</v>
      </c>
      <c r="R869" s="32" t="str">
        <f>VLOOKUP($Q869,Resultados!$A$1:$B$49,2,FALSE)</f>
        <v xml:space="preserve"> _</v>
      </c>
      <c r="S869" s="32"/>
      <c r="T869" s="73"/>
      <c r="U869" s="37"/>
      <c r="V869" s="39"/>
      <c r="W869" s="39"/>
      <c r="X869" s="39"/>
      <c r="Y869" s="39"/>
      <c r="Z869" s="39"/>
      <c r="AA869" s="39"/>
      <c r="AB869" s="39"/>
      <c r="AC869" s="39"/>
      <c r="AD869" s="39"/>
      <c r="AE869" s="110"/>
      <c r="AF869" s="39"/>
      <c r="AG869" s="39"/>
      <c r="AH869" s="39"/>
      <c r="AI869" s="39"/>
      <c r="AJ869" s="101" t="s">
        <v>988</v>
      </c>
      <c r="AK869" s="39"/>
      <c r="AL869" s="155" t="s">
        <v>1627</v>
      </c>
      <c r="AM869" s="431" t="str">
        <f>VLOOKUP($Q869,Resultados!$A$1:$C$49,3,FALSE)</f>
        <v>TRAMITE</v>
      </c>
    </row>
    <row r="870" spans="1:39" ht="39.950000000000003" customHeight="1">
      <c r="A870" s="364">
        <v>860</v>
      </c>
      <c r="B870" s="38">
        <v>45378</v>
      </c>
      <c r="C870" s="337" t="s">
        <v>2753</v>
      </c>
      <c r="D870" s="32" t="s">
        <v>2754</v>
      </c>
      <c r="E870" s="41" t="s">
        <v>2813</v>
      </c>
      <c r="F870" s="39">
        <v>5</v>
      </c>
      <c r="G870" s="32" t="s">
        <v>10</v>
      </c>
      <c r="H870" s="38"/>
      <c r="I870" s="38"/>
      <c r="J870" s="38"/>
      <c r="K870" s="39" t="s">
        <v>1480</v>
      </c>
      <c r="L870" s="70" t="s">
        <v>127</v>
      </c>
      <c r="M870" s="70" t="s">
        <v>221</v>
      </c>
      <c r="N870" s="32" t="s">
        <v>3133</v>
      </c>
      <c r="O870" s="32" t="str">
        <f>IF(Q870=" _","NO","SI")</f>
        <v>NO</v>
      </c>
      <c r="P870" s="24" t="str">
        <f ca="1">IF(color_Celda(E870)=12106214,"ROSA",IF(color_Celda(E870)=65535,"AMARILLO",IF(color_Celda(E870)=5296274,"VERDE",IF(color_Celda(E870)=16777215,"BLANCO","NO SE"))))</f>
        <v>AMARILLO</v>
      </c>
      <c r="Q870" s="32" t="s">
        <v>108</v>
      </c>
      <c r="R870" s="32" t="str">
        <f>VLOOKUP($Q870,Resultados!$A$1:$B$49,2,FALSE)</f>
        <v xml:space="preserve"> _</v>
      </c>
      <c r="S870" s="32"/>
      <c r="T870" s="73"/>
      <c r="U870" s="37"/>
      <c r="V870" s="39"/>
      <c r="W870" s="39"/>
      <c r="X870" s="39"/>
      <c r="Y870" s="39"/>
      <c r="Z870" s="39"/>
      <c r="AA870" s="39"/>
      <c r="AB870" s="39"/>
      <c r="AC870" s="39"/>
      <c r="AD870" s="39"/>
      <c r="AE870" s="110"/>
      <c r="AF870" s="39"/>
      <c r="AG870" s="39"/>
      <c r="AH870" s="39"/>
      <c r="AI870" s="39"/>
      <c r="AJ870" s="101" t="s">
        <v>408</v>
      </c>
      <c r="AK870" s="39"/>
      <c r="AL870" s="155" t="s">
        <v>1627</v>
      </c>
      <c r="AM870" s="431" t="str">
        <f>VLOOKUP($Q870,Resultados!$A$1:$C$49,3,FALSE)</f>
        <v>TRAMITE</v>
      </c>
    </row>
    <row r="871" spans="1:39" ht="39.950000000000003" customHeight="1">
      <c r="A871" s="364">
        <v>862</v>
      </c>
      <c r="B871" s="38">
        <v>45378</v>
      </c>
      <c r="C871" s="337" t="s">
        <v>1259</v>
      </c>
      <c r="D871" s="32" t="s">
        <v>2757</v>
      </c>
      <c r="E871" s="40" t="s">
        <v>2758</v>
      </c>
      <c r="F871" s="39">
        <v>5</v>
      </c>
      <c r="G871" s="39" t="s">
        <v>10</v>
      </c>
      <c r="H871" s="38"/>
      <c r="I871" s="38"/>
      <c r="J871" s="38"/>
      <c r="K871" s="39" t="s">
        <v>1480</v>
      </c>
      <c r="L871" s="70" t="s">
        <v>73</v>
      </c>
      <c r="M871" s="70" t="s">
        <v>157</v>
      </c>
      <c r="N871" s="32" t="s">
        <v>2818</v>
      </c>
      <c r="O871" s="32" t="str">
        <f>IF(Q871=" _","NO","SI")</f>
        <v>NO</v>
      </c>
      <c r="P871" s="24" t="str">
        <f ca="1">IF(color_Celda(E871)=12106214,"ROSA",IF(color_Celda(E871)=65535,"AMARILLO",IF(color_Celda(E871)=5296274,"VERDE",IF(color_Celda(E871)=16777215,"BLANCO","NO SE"))))</f>
        <v>AMARILLO</v>
      </c>
      <c r="Q871" s="32" t="s">
        <v>108</v>
      </c>
      <c r="R871" s="32" t="str">
        <f>VLOOKUP($Q871,Resultados!$A$1:$B$49,2,FALSE)</f>
        <v xml:space="preserve"> _</v>
      </c>
      <c r="S871" s="32"/>
      <c r="T871" s="73"/>
      <c r="U871" s="37"/>
      <c r="V871" s="39"/>
      <c r="W871" s="39"/>
      <c r="X871" s="39"/>
      <c r="Y871" s="39"/>
      <c r="Z871" s="39"/>
      <c r="AA871" s="39"/>
      <c r="AB871" s="39"/>
      <c r="AC871" s="39"/>
      <c r="AD871" s="39"/>
      <c r="AE871" s="110"/>
      <c r="AF871" s="39"/>
      <c r="AG871" s="39"/>
      <c r="AH871" s="39"/>
      <c r="AI871" s="39"/>
      <c r="AJ871" s="101" t="s">
        <v>988</v>
      </c>
      <c r="AK871" s="39"/>
      <c r="AL871" s="155" t="s">
        <v>1627</v>
      </c>
      <c r="AM871" s="431" t="str">
        <f>VLOOKUP($Q871,Resultados!$A$1:$C$49,3,FALSE)</f>
        <v>TRAMITE</v>
      </c>
    </row>
    <row r="872" spans="1:39" ht="39.950000000000003" customHeight="1">
      <c r="A872" s="364">
        <v>863</v>
      </c>
      <c r="B872" s="38">
        <v>45378</v>
      </c>
      <c r="C872" s="337" t="s">
        <v>179</v>
      </c>
      <c r="D872" s="32" t="s">
        <v>2759</v>
      </c>
      <c r="E872" s="40" t="s">
        <v>2760</v>
      </c>
      <c r="F872" s="39">
        <v>5</v>
      </c>
      <c r="G872" s="39" t="s">
        <v>10</v>
      </c>
      <c r="H872" s="38"/>
      <c r="I872" s="38"/>
      <c r="J872" s="38"/>
      <c r="K872" s="39" t="s">
        <v>1480</v>
      </c>
      <c r="L872" s="70" t="s">
        <v>74</v>
      </c>
      <c r="M872" s="70" t="s">
        <v>270</v>
      </c>
      <c r="N872" s="32" t="s">
        <v>2817</v>
      </c>
      <c r="O872" s="32" t="str">
        <f>IF(Q872=" _","NO","SI")</f>
        <v>NO</v>
      </c>
      <c r="P872" s="24" t="str">
        <f ca="1">IF(color_Celda(E872)=12106214,"ROSA",IF(color_Celda(E872)=65535,"AMARILLO",IF(color_Celda(E872)=5296274,"VERDE",IF(color_Celda(E872)=16777215,"BLANCO","NO SE"))))</f>
        <v>AMARILLO</v>
      </c>
      <c r="Q872" s="32" t="s">
        <v>108</v>
      </c>
      <c r="R872" s="32" t="str">
        <f>VLOOKUP($Q872,Resultados!$A$1:$B$49,2,FALSE)</f>
        <v xml:space="preserve"> _</v>
      </c>
      <c r="S872" s="32"/>
      <c r="T872" s="73"/>
      <c r="U872" s="37"/>
      <c r="V872" s="39"/>
      <c r="W872" s="39"/>
      <c r="X872" s="39"/>
      <c r="Y872" s="39"/>
      <c r="Z872" s="39"/>
      <c r="AA872" s="39"/>
      <c r="AB872" s="39"/>
      <c r="AC872" s="39"/>
      <c r="AD872" s="39"/>
      <c r="AE872" s="110"/>
      <c r="AF872" s="39"/>
      <c r="AG872" s="39"/>
      <c r="AH872" s="39"/>
      <c r="AI872" s="39"/>
      <c r="AJ872" s="101" t="s">
        <v>988</v>
      </c>
      <c r="AK872" s="39"/>
      <c r="AL872" s="155" t="s">
        <v>1627</v>
      </c>
      <c r="AM872" s="431" t="str">
        <f>VLOOKUP($Q872,Resultados!$A$1:$C$49,3,FALSE)</f>
        <v>TRAMITE</v>
      </c>
    </row>
    <row r="873" spans="1:39" ht="39.950000000000003" customHeight="1">
      <c r="A873" s="364">
        <v>864</v>
      </c>
      <c r="B873" s="38">
        <v>45378</v>
      </c>
      <c r="C873" s="337" t="s">
        <v>12</v>
      </c>
      <c r="D873" s="32" t="s">
        <v>2762</v>
      </c>
      <c r="E873" s="40" t="s">
        <v>2763</v>
      </c>
      <c r="F873" s="39">
        <v>5</v>
      </c>
      <c r="G873" s="39" t="s">
        <v>10</v>
      </c>
      <c r="H873" s="38"/>
      <c r="I873" s="38"/>
      <c r="J873" s="38"/>
      <c r="K873" s="39" t="s">
        <v>1480</v>
      </c>
      <c r="L873" s="70" t="s">
        <v>77</v>
      </c>
      <c r="M873" s="70" t="s">
        <v>45</v>
      </c>
      <c r="N873" s="32" t="s">
        <v>2816</v>
      </c>
      <c r="O873" s="32" t="str">
        <f>IF(Q873=" _","NO","SI")</f>
        <v>NO</v>
      </c>
      <c r="P873" s="24" t="str">
        <f ca="1">IF(color_Celda(E873)=12106214,"ROSA",IF(color_Celda(E873)=65535,"AMARILLO",IF(color_Celda(E873)=5296274,"VERDE",IF(color_Celda(E873)=16777215,"BLANCO","NO SE"))))</f>
        <v>AMARILLO</v>
      </c>
      <c r="Q873" s="32" t="s">
        <v>108</v>
      </c>
      <c r="R873" s="32" t="str">
        <f>VLOOKUP($Q873,Resultados!$A$1:$B$49,2,FALSE)</f>
        <v xml:space="preserve"> _</v>
      </c>
      <c r="S873" s="32"/>
      <c r="T873" s="73"/>
      <c r="U873" s="37"/>
      <c r="V873" s="39"/>
      <c r="W873" s="39"/>
      <c r="X873" s="39"/>
      <c r="Y873" s="39"/>
      <c r="Z873" s="39"/>
      <c r="AA873" s="39"/>
      <c r="AB873" s="39"/>
      <c r="AC873" s="39"/>
      <c r="AD873" s="39"/>
      <c r="AE873" s="110"/>
      <c r="AF873" s="39"/>
      <c r="AG873" s="39"/>
      <c r="AH873" s="39"/>
      <c r="AI873" s="39"/>
      <c r="AJ873" s="101" t="s">
        <v>988</v>
      </c>
      <c r="AK873" s="39"/>
      <c r="AL873" s="155" t="s">
        <v>1627</v>
      </c>
      <c r="AM873" s="431" t="str">
        <f>VLOOKUP($Q873,Resultados!$A$1:$C$49,3,FALSE)</f>
        <v>TRAMITE</v>
      </c>
    </row>
    <row r="874" spans="1:39" ht="39.950000000000003" customHeight="1">
      <c r="A874" s="364">
        <v>865</v>
      </c>
      <c r="B874" s="35">
        <v>45378</v>
      </c>
      <c r="C874" s="337" t="s">
        <v>2764</v>
      </c>
      <c r="D874" s="32" t="s">
        <v>2765</v>
      </c>
      <c r="E874" s="40" t="s">
        <v>2766</v>
      </c>
      <c r="F874" s="39">
        <v>3</v>
      </c>
      <c r="G874" s="39" t="s">
        <v>1750</v>
      </c>
      <c r="H874" s="38"/>
      <c r="I874" s="38"/>
      <c r="J874" s="38"/>
      <c r="K874" s="39" t="s">
        <v>1480</v>
      </c>
      <c r="L874" s="70" t="s">
        <v>72</v>
      </c>
      <c r="M874" s="70" t="s">
        <v>363</v>
      </c>
      <c r="N874" s="32" t="s">
        <v>2815</v>
      </c>
      <c r="O874" s="32" t="str">
        <f>IF(Q874=" _","NO","SI")</f>
        <v>NO</v>
      </c>
      <c r="P874" s="24" t="str">
        <f ca="1">IF(color_Celda(E874)=12106214,"ROSA",IF(color_Celda(E874)=65535,"AMARILLO",IF(color_Celda(E874)=5296274,"VERDE",IF(color_Celda(E874)=16777215,"BLANCO","NO SE"))))</f>
        <v>AMARILLO</v>
      </c>
      <c r="Q874" s="32" t="s">
        <v>108</v>
      </c>
      <c r="R874" s="32" t="str">
        <f>VLOOKUP($Q874,Resultados!$A$1:$B$49,2,FALSE)</f>
        <v xml:space="preserve"> _</v>
      </c>
      <c r="S874" s="32"/>
      <c r="T874" s="73"/>
      <c r="U874" s="37"/>
      <c r="V874" s="39"/>
      <c r="W874" s="39"/>
      <c r="X874" s="39"/>
      <c r="Y874" s="39"/>
      <c r="Z874" s="39"/>
      <c r="AA874" s="39"/>
      <c r="AB874" s="39"/>
      <c r="AC874" s="39"/>
      <c r="AD874" s="39"/>
      <c r="AE874" s="110"/>
      <c r="AF874" s="39"/>
      <c r="AG874" s="39"/>
      <c r="AH874" s="39"/>
      <c r="AI874" s="39"/>
      <c r="AJ874" s="101" t="s">
        <v>988</v>
      </c>
      <c r="AK874" s="39"/>
      <c r="AL874" s="155" t="s">
        <v>1627</v>
      </c>
      <c r="AM874" s="431" t="str">
        <f>VLOOKUP($Q874,Resultados!$A$1:$C$49,3,FALSE)</f>
        <v>TRAMITE</v>
      </c>
    </row>
    <row r="875" spans="1:39" ht="39.950000000000003" customHeight="1">
      <c r="A875" s="364">
        <v>866</v>
      </c>
      <c r="B875" s="35">
        <v>45378</v>
      </c>
      <c r="C875" s="337" t="s">
        <v>2768</v>
      </c>
      <c r="D875" s="32" t="s">
        <v>2767</v>
      </c>
      <c r="E875" s="40" t="s">
        <v>2769</v>
      </c>
      <c r="F875" s="39">
        <v>5</v>
      </c>
      <c r="G875" s="39" t="s">
        <v>10</v>
      </c>
      <c r="H875" s="38"/>
      <c r="I875" s="38"/>
      <c r="J875" s="38"/>
      <c r="K875" s="39" t="s">
        <v>1480</v>
      </c>
      <c r="L875" s="70" t="s">
        <v>87</v>
      </c>
      <c r="M875" s="70" t="s">
        <v>234</v>
      </c>
      <c r="N875" s="32" t="s">
        <v>2814</v>
      </c>
      <c r="O875" s="32" t="str">
        <f>IF(Q875=" _","NO","SI")</f>
        <v>NO</v>
      </c>
      <c r="P875" s="24" t="str">
        <f ca="1">IF(color_Celda(E875)=12106214,"ROSA",IF(color_Celda(E875)=65535,"AMARILLO",IF(color_Celda(E875)=5296274,"VERDE",IF(color_Celda(E875)=16777215,"BLANCO","NO SE"))))</f>
        <v>AMARILLO</v>
      </c>
      <c r="Q875" s="32" t="s">
        <v>108</v>
      </c>
      <c r="R875" s="32" t="str">
        <f>VLOOKUP($Q875,Resultados!$A$1:$B$49,2,FALSE)</f>
        <v xml:space="preserve"> _</v>
      </c>
      <c r="S875" s="32"/>
      <c r="T875" s="73"/>
      <c r="U875" s="37"/>
      <c r="V875" s="39"/>
      <c r="W875" s="39"/>
      <c r="X875" s="39"/>
      <c r="Y875" s="39"/>
      <c r="Z875" s="39"/>
      <c r="AA875" s="39"/>
      <c r="AB875" s="39"/>
      <c r="AC875" s="39"/>
      <c r="AD875" s="39"/>
      <c r="AE875" s="110"/>
      <c r="AF875" s="39"/>
      <c r="AG875" s="39"/>
      <c r="AH875" s="39"/>
      <c r="AI875" s="39"/>
      <c r="AJ875" s="101" t="s">
        <v>988</v>
      </c>
      <c r="AK875" s="39"/>
      <c r="AL875" s="155" t="s">
        <v>1627</v>
      </c>
      <c r="AM875" s="431" t="str">
        <f>VLOOKUP($Q875,Resultados!$A$1:$C$49,3,FALSE)</f>
        <v>TRAMITE</v>
      </c>
    </row>
    <row r="876" spans="1:39" ht="39.950000000000003" customHeight="1">
      <c r="A876" s="364">
        <v>868</v>
      </c>
      <c r="B876" s="38">
        <v>45385</v>
      </c>
      <c r="C876" s="337" t="s">
        <v>16</v>
      </c>
      <c r="D876" s="32" t="s">
        <v>2809</v>
      </c>
      <c r="E876" s="40" t="s">
        <v>2810</v>
      </c>
      <c r="F876" s="39">
        <v>3</v>
      </c>
      <c r="G876" s="39"/>
      <c r="H876" s="38"/>
      <c r="I876" s="38"/>
      <c r="J876" s="38"/>
      <c r="K876" s="39" t="s">
        <v>1480</v>
      </c>
      <c r="L876" s="70" t="s">
        <v>2170</v>
      </c>
      <c r="M876" s="70" t="s">
        <v>1289</v>
      </c>
      <c r="N876" s="32" t="s">
        <v>2805</v>
      </c>
      <c r="O876" s="32" t="str">
        <f>IF(Q876=" _","NO","SI")</f>
        <v>NO</v>
      </c>
      <c r="P876" s="24" t="str">
        <f ca="1">IF(color_Celda(E876)=12106214,"ROSA",IF(color_Celda(E876)=65535,"AMARILLO",IF(color_Celda(E876)=5296274,"VERDE",IF(color_Celda(E876)=16777215,"BLANCO","NO SE"))))</f>
        <v>AMARILLO</v>
      </c>
      <c r="Q876" s="32" t="s">
        <v>108</v>
      </c>
      <c r="R876" s="32" t="str">
        <f>VLOOKUP($Q876,Resultados!$A$1:$B$49,2,FALSE)</f>
        <v xml:space="preserve"> _</v>
      </c>
      <c r="S876" s="32"/>
      <c r="T876" s="73"/>
      <c r="U876" s="37"/>
      <c r="V876" s="39"/>
      <c r="W876" s="39"/>
      <c r="X876" s="39"/>
      <c r="Y876" s="39"/>
      <c r="Z876" s="39"/>
      <c r="AA876" s="39"/>
      <c r="AB876" s="39"/>
      <c r="AC876" s="39"/>
      <c r="AD876" s="39"/>
      <c r="AE876" s="110"/>
      <c r="AF876" s="39"/>
      <c r="AG876" s="39"/>
      <c r="AH876" s="39"/>
      <c r="AI876" s="39"/>
      <c r="AJ876" s="101" t="s">
        <v>988</v>
      </c>
      <c r="AK876" s="39"/>
      <c r="AL876" s="155" t="s">
        <v>1627</v>
      </c>
      <c r="AM876" s="431" t="str">
        <f>VLOOKUP($Q876,Resultados!$A$1:$C$49,3,FALSE)</f>
        <v>TRAMITE</v>
      </c>
    </row>
    <row r="877" spans="1:39" ht="39.950000000000003" customHeight="1">
      <c r="A877" s="364">
        <v>869</v>
      </c>
      <c r="B877" s="38">
        <v>45385</v>
      </c>
      <c r="C877" s="331">
        <v>0.41666666666666669</v>
      </c>
      <c r="D877" s="32" t="s">
        <v>2893</v>
      </c>
      <c r="E877" s="40" t="s">
        <v>2894</v>
      </c>
      <c r="F877" s="39">
        <v>4</v>
      </c>
      <c r="G877" s="32" t="s">
        <v>325</v>
      </c>
      <c r="H877" s="38"/>
      <c r="I877" s="38"/>
      <c r="J877" s="38"/>
      <c r="K877" s="39" t="s">
        <v>1480</v>
      </c>
      <c r="L877" s="70" t="s">
        <v>2173</v>
      </c>
      <c r="M877" s="70" t="s">
        <v>45</v>
      </c>
      <c r="N877" s="39" t="s">
        <v>2888</v>
      </c>
      <c r="O877" s="32" t="str">
        <f>IF(Q877=" _","NO","SI")</f>
        <v>NO</v>
      </c>
      <c r="P877" s="24" t="str">
        <f ca="1">IF(color_Celda(E877)=12106214,"ROSA",IF(color_Celda(E877)=65535,"AMARILLO",IF(color_Celda(E877)=5296274,"VERDE",IF(color_Celda(E877)=16777215,"BLANCO","NO SE"))))</f>
        <v>AMARILLO</v>
      </c>
      <c r="Q877" s="32" t="s">
        <v>108</v>
      </c>
      <c r="R877" s="32" t="str">
        <f>VLOOKUP($Q877,Resultados!$A$1:$B$49,2,FALSE)</f>
        <v xml:space="preserve"> _</v>
      </c>
      <c r="S877" s="32"/>
      <c r="T877" s="73"/>
      <c r="U877" s="37"/>
      <c r="V877" s="39"/>
      <c r="W877" s="39"/>
      <c r="X877" s="39"/>
      <c r="Y877" s="39"/>
      <c r="Z877" s="39"/>
      <c r="AA877" s="39"/>
      <c r="AB877" s="39"/>
      <c r="AC877" s="39"/>
      <c r="AD877" s="39"/>
      <c r="AE877" s="110"/>
      <c r="AF877" s="39"/>
      <c r="AG877" s="39"/>
      <c r="AH877" s="39"/>
      <c r="AI877" s="39"/>
      <c r="AJ877" s="101" t="s">
        <v>988</v>
      </c>
      <c r="AK877" s="39"/>
      <c r="AL877" s="155" t="s">
        <v>1627</v>
      </c>
      <c r="AM877" s="431" t="str">
        <f>VLOOKUP($Q877,Resultados!$A$1:$C$49,3,FALSE)</f>
        <v>TRAMITE</v>
      </c>
    </row>
    <row r="878" spans="1:39" ht="39.950000000000003" customHeight="1">
      <c r="A878" s="364">
        <v>871</v>
      </c>
      <c r="B878" s="38">
        <v>45386</v>
      </c>
      <c r="C878" s="337" t="s">
        <v>1055</v>
      </c>
      <c r="D878" s="32" t="s">
        <v>2807</v>
      </c>
      <c r="E878" s="40" t="s">
        <v>2808</v>
      </c>
      <c r="F878" s="39">
        <v>2</v>
      </c>
      <c r="G878" s="32" t="s">
        <v>325</v>
      </c>
      <c r="H878" s="38"/>
      <c r="I878" s="38"/>
      <c r="J878" s="38"/>
      <c r="K878" s="39" t="s">
        <v>1480</v>
      </c>
      <c r="L878" s="70" t="s">
        <v>78</v>
      </c>
      <c r="M878" s="70" t="s">
        <v>131</v>
      </c>
      <c r="N878" s="32" t="s">
        <v>2817</v>
      </c>
      <c r="O878" s="32" t="str">
        <f>IF(Q878=" _","NO","SI")</f>
        <v>NO</v>
      </c>
      <c r="P878" s="24" t="str">
        <f ca="1">IF(color_Celda(E878)=12106214,"ROSA",IF(color_Celda(E878)=65535,"AMARILLO",IF(color_Celda(E878)=5296274,"VERDE",IF(color_Celda(E878)=16777215,"BLANCO","NO SE"))))</f>
        <v>AMARILLO</v>
      </c>
      <c r="Q878" s="32" t="s">
        <v>108</v>
      </c>
      <c r="R878" s="32" t="str">
        <f>VLOOKUP($Q878,Resultados!$A$1:$B$49,2,FALSE)</f>
        <v xml:space="preserve"> _</v>
      </c>
      <c r="S878" s="32"/>
      <c r="T878" s="73"/>
      <c r="U878" s="37"/>
      <c r="V878" s="39"/>
      <c r="W878" s="39"/>
      <c r="X878" s="39"/>
      <c r="Y878" s="39"/>
      <c r="Z878" s="39"/>
      <c r="AA878" s="39"/>
      <c r="AB878" s="39"/>
      <c r="AC878" s="39"/>
      <c r="AD878" s="39"/>
      <c r="AE878" s="110"/>
      <c r="AF878" s="39"/>
      <c r="AG878" s="39"/>
      <c r="AH878" s="39"/>
      <c r="AI878" s="39"/>
      <c r="AJ878" s="101" t="s">
        <v>988</v>
      </c>
      <c r="AK878" s="39"/>
      <c r="AL878" s="155" t="s">
        <v>1627</v>
      </c>
      <c r="AM878" s="431" t="str">
        <f>VLOOKUP($Q878,Resultados!$A$1:$C$49,3,FALSE)</f>
        <v>TRAMITE</v>
      </c>
    </row>
    <row r="879" spans="1:39" ht="39.950000000000003" customHeight="1">
      <c r="A879" s="364">
        <v>872</v>
      </c>
      <c r="B879" s="38">
        <v>45386</v>
      </c>
      <c r="C879" s="337" t="s">
        <v>34</v>
      </c>
      <c r="D879" s="32" t="s">
        <v>2826</v>
      </c>
      <c r="E879" s="40" t="s">
        <v>2827</v>
      </c>
      <c r="F879" s="39">
        <v>3</v>
      </c>
      <c r="G879" s="32" t="s">
        <v>1750</v>
      </c>
      <c r="H879" s="38"/>
      <c r="I879" s="38"/>
      <c r="J879" s="38"/>
      <c r="K879" s="39" t="s">
        <v>1480</v>
      </c>
      <c r="L879" s="70" t="s">
        <v>73</v>
      </c>
      <c r="M879" s="70" t="s">
        <v>44</v>
      </c>
      <c r="N879" s="32" t="s">
        <v>2828</v>
      </c>
      <c r="O879" s="32" t="str">
        <f>IF(Q879=" _","NO","SI")</f>
        <v>NO</v>
      </c>
      <c r="P879" s="24" t="str">
        <f ca="1">IF(color_Celda(E879)=12106214,"ROSA",IF(color_Celda(E879)=65535,"AMARILLO",IF(color_Celda(E879)=5296274,"VERDE",IF(color_Celda(E879)=16777215,"BLANCO","NO SE"))))</f>
        <v>AMARILLO</v>
      </c>
      <c r="Q879" s="32" t="s">
        <v>108</v>
      </c>
      <c r="R879" s="32" t="str">
        <f>VLOOKUP($Q879,Resultados!$A$1:$B$49,2,FALSE)</f>
        <v xml:space="preserve"> _</v>
      </c>
      <c r="S879" s="32"/>
      <c r="T879" s="73"/>
      <c r="U879" s="37"/>
      <c r="V879" s="39"/>
      <c r="W879" s="39"/>
      <c r="X879" s="39"/>
      <c r="Y879" s="39"/>
      <c r="Z879" s="39"/>
      <c r="AA879" s="39"/>
      <c r="AB879" s="39"/>
      <c r="AC879" s="39"/>
      <c r="AD879" s="39"/>
      <c r="AE879" s="110"/>
      <c r="AF879" s="39"/>
      <c r="AG879" s="39"/>
      <c r="AH879" s="39"/>
      <c r="AI879" s="39"/>
      <c r="AJ879" s="101" t="s">
        <v>988</v>
      </c>
      <c r="AK879" s="39"/>
      <c r="AL879" s="155" t="s">
        <v>1627</v>
      </c>
      <c r="AM879" s="431" t="str">
        <f>VLOOKUP($Q879,Resultados!$A$1:$C$49,3,FALSE)</f>
        <v>TRAMITE</v>
      </c>
    </row>
    <row r="880" spans="1:39" ht="39.950000000000003" customHeight="1">
      <c r="A880" s="364">
        <v>873</v>
      </c>
      <c r="B880" s="38">
        <v>45387</v>
      </c>
      <c r="C880" s="337" t="s">
        <v>217</v>
      </c>
      <c r="D880" s="32" t="s">
        <v>2792</v>
      </c>
      <c r="E880" s="41" t="s">
        <v>2793</v>
      </c>
      <c r="F880" s="39">
        <v>7</v>
      </c>
      <c r="G880" s="32" t="s">
        <v>2876</v>
      </c>
      <c r="H880" s="38"/>
      <c r="I880" s="38"/>
      <c r="J880" s="38"/>
      <c r="K880" s="39" t="s">
        <v>1480</v>
      </c>
      <c r="L880" s="70" t="s">
        <v>87</v>
      </c>
      <c r="M880" s="70" t="s">
        <v>2468</v>
      </c>
      <c r="N880" s="32" t="s">
        <v>2795</v>
      </c>
      <c r="O880" s="32" t="str">
        <f>IF(Q880=" _","NO","SI")</f>
        <v>NO</v>
      </c>
      <c r="P880" s="24" t="str">
        <f ca="1">IF(color_Celda(E880)=12106214,"ROSA",IF(color_Celda(E880)=65535,"AMARILLO",IF(color_Celda(E880)=5296274,"VERDE",IF(color_Celda(E880)=16777215,"BLANCO","NO SE"))))</f>
        <v>AMARILLO</v>
      </c>
      <c r="Q880" s="32" t="s">
        <v>108</v>
      </c>
      <c r="R880" s="32" t="str">
        <f>VLOOKUP($Q880,Resultados!$A$1:$B$49,2,FALSE)</f>
        <v xml:space="preserve"> _</v>
      </c>
      <c r="S880" s="32"/>
      <c r="T880" s="73"/>
      <c r="U880" s="37"/>
      <c r="V880" s="39"/>
      <c r="W880" s="39"/>
      <c r="X880" s="39"/>
      <c r="Y880" s="39"/>
      <c r="Z880" s="39"/>
      <c r="AA880" s="39"/>
      <c r="AB880" s="39"/>
      <c r="AC880" s="39"/>
      <c r="AD880" s="39"/>
      <c r="AE880" s="110"/>
      <c r="AF880" s="39"/>
      <c r="AG880" s="39"/>
      <c r="AH880" s="39"/>
      <c r="AI880" s="39"/>
      <c r="AJ880" s="101" t="s">
        <v>408</v>
      </c>
      <c r="AK880" s="39"/>
      <c r="AL880" s="155" t="s">
        <v>1627</v>
      </c>
      <c r="AM880" s="431" t="str">
        <f>VLOOKUP($Q880,Resultados!$A$1:$C$49,3,FALSE)</f>
        <v>TRAMITE</v>
      </c>
    </row>
    <row r="881" spans="1:39" ht="39.950000000000003" customHeight="1">
      <c r="A881" s="364">
        <v>875</v>
      </c>
      <c r="B881" s="38">
        <v>45387</v>
      </c>
      <c r="C881" s="337" t="s">
        <v>1010</v>
      </c>
      <c r="D881" s="32" t="s">
        <v>2797</v>
      </c>
      <c r="E881" s="41" t="s">
        <v>2799</v>
      </c>
      <c r="F881" s="39">
        <v>3</v>
      </c>
      <c r="G881" s="32" t="s">
        <v>10</v>
      </c>
      <c r="H881" s="38"/>
      <c r="I881" s="38"/>
      <c r="J881" s="38"/>
      <c r="K881" s="39" t="s">
        <v>1480</v>
      </c>
      <c r="L881" s="70" t="s">
        <v>25</v>
      </c>
      <c r="M881" s="70" t="s">
        <v>2798</v>
      </c>
      <c r="N881" s="32" t="s">
        <v>2800</v>
      </c>
      <c r="O881" s="32" t="str">
        <f>IF(Q881=" _","NO","SI")</f>
        <v>NO</v>
      </c>
      <c r="P881" s="24" t="str">
        <f ca="1">IF(color_Celda(E881)=12106214,"ROSA",IF(color_Celda(E881)=65535,"AMARILLO",IF(color_Celda(E881)=5296274,"VERDE",IF(color_Celda(E881)=16777215,"BLANCO","NO SE"))))</f>
        <v>AMARILLO</v>
      </c>
      <c r="Q881" s="32" t="s">
        <v>108</v>
      </c>
      <c r="R881" s="32" t="str">
        <f>VLOOKUP($Q881,Resultados!$A$1:$B$49,2,FALSE)</f>
        <v xml:space="preserve"> _</v>
      </c>
      <c r="S881" s="32"/>
      <c r="T881" s="73"/>
      <c r="U881" s="37"/>
      <c r="V881" s="39"/>
      <c r="W881" s="39"/>
      <c r="X881" s="39"/>
      <c r="Y881" s="39"/>
      <c r="Z881" s="39"/>
      <c r="AA881" s="39"/>
      <c r="AB881" s="39"/>
      <c r="AC881" s="39"/>
      <c r="AD881" s="39"/>
      <c r="AE881" s="110"/>
      <c r="AF881" s="39"/>
      <c r="AG881" s="39"/>
      <c r="AH881" s="39"/>
      <c r="AI881" s="39"/>
      <c r="AJ881" s="101" t="s">
        <v>408</v>
      </c>
      <c r="AK881" s="39"/>
      <c r="AL881" s="155" t="s">
        <v>1627</v>
      </c>
      <c r="AM881" s="431" t="str">
        <f>VLOOKUP($Q881,Resultados!$A$1:$C$49,3,FALSE)</f>
        <v>TRAMITE</v>
      </c>
    </row>
    <row r="882" spans="1:39" ht="39.950000000000003" customHeight="1">
      <c r="A882" s="364">
        <v>876</v>
      </c>
      <c r="B882" s="38">
        <v>45387</v>
      </c>
      <c r="C882" s="337" t="s">
        <v>14</v>
      </c>
      <c r="D882" s="32" t="s">
        <v>2801</v>
      </c>
      <c r="E882" s="40" t="s">
        <v>2806</v>
      </c>
      <c r="F882" s="39">
        <v>4</v>
      </c>
      <c r="G882" s="32" t="s">
        <v>325</v>
      </c>
      <c r="H882" s="38"/>
      <c r="I882" s="38"/>
      <c r="J882" s="38"/>
      <c r="K882" s="39" t="s">
        <v>1480</v>
      </c>
      <c r="L882" s="70" t="s">
        <v>2168</v>
      </c>
      <c r="M882" s="70" t="s">
        <v>1156</v>
      </c>
      <c r="N882" s="32" t="s">
        <v>3195</v>
      </c>
      <c r="O882" s="32" t="str">
        <f>IF(Q882=" _","NO","SI")</f>
        <v>NO</v>
      </c>
      <c r="P882" s="24" t="str">
        <f ca="1">IF(color_Celda(E882)=12106214,"ROSA",IF(color_Celda(E882)=65535,"AMARILLO",IF(color_Celda(E882)=5296274,"VERDE",IF(color_Celda(E882)=16777215,"BLANCO","NO SE"))))</f>
        <v>AMARILLO</v>
      </c>
      <c r="Q882" s="32" t="s">
        <v>108</v>
      </c>
      <c r="R882" s="32" t="str">
        <f>VLOOKUP($Q882,Resultados!$A$1:$B$49,2,FALSE)</f>
        <v xml:space="preserve"> _</v>
      </c>
      <c r="S882" s="32"/>
      <c r="T882" s="73"/>
      <c r="U882" s="37"/>
      <c r="V882" s="39"/>
      <c r="W882" s="39"/>
      <c r="X882" s="39"/>
      <c r="Y882" s="39"/>
      <c r="Z882" s="39"/>
      <c r="AA882" s="39"/>
      <c r="AB882" s="39"/>
      <c r="AC882" s="39"/>
      <c r="AD882" s="39"/>
      <c r="AE882" s="110"/>
      <c r="AF882" s="39"/>
      <c r="AG882" s="39"/>
      <c r="AH882" s="39"/>
      <c r="AI882" s="39"/>
      <c r="AJ882" s="101" t="s">
        <v>988</v>
      </c>
      <c r="AK882" s="39"/>
      <c r="AL882" s="155" t="s">
        <v>1627</v>
      </c>
      <c r="AM882" s="431" t="str">
        <f>VLOOKUP($Q882,Resultados!$A$1:$C$49,3,FALSE)</f>
        <v>TRAMITE</v>
      </c>
    </row>
    <row r="883" spans="1:39" ht="39.950000000000003" customHeight="1">
      <c r="A883" s="364">
        <v>877</v>
      </c>
      <c r="B883" s="38">
        <v>45387</v>
      </c>
      <c r="C883" s="337" t="s">
        <v>14</v>
      </c>
      <c r="D883" s="32" t="s">
        <v>2802</v>
      </c>
      <c r="E883" s="40" t="s">
        <v>2803</v>
      </c>
      <c r="F883" s="39">
        <v>4</v>
      </c>
      <c r="G883" s="39" t="s">
        <v>325</v>
      </c>
      <c r="H883" s="38"/>
      <c r="I883" s="38"/>
      <c r="J883" s="38"/>
      <c r="K883" s="39" t="s">
        <v>1480</v>
      </c>
      <c r="L883" s="70" t="s">
        <v>2169</v>
      </c>
      <c r="M883" s="70" t="s">
        <v>2804</v>
      </c>
      <c r="N883" s="32" t="s">
        <v>2805</v>
      </c>
      <c r="O883" s="32" t="str">
        <f>IF(Q883=" _","NO","SI")</f>
        <v>NO</v>
      </c>
      <c r="P883" s="24" t="str">
        <f ca="1">IF(color_Celda(E883)=12106214,"ROSA",IF(color_Celda(E883)=65535,"AMARILLO",IF(color_Celda(E883)=5296274,"VERDE",IF(color_Celda(E883)=16777215,"BLANCO","NO SE"))))</f>
        <v>AMARILLO</v>
      </c>
      <c r="Q883" s="32" t="s">
        <v>108</v>
      </c>
      <c r="R883" s="32" t="str">
        <f>VLOOKUP($Q883,Resultados!$A$1:$B$49,2,FALSE)</f>
        <v xml:space="preserve"> _</v>
      </c>
      <c r="S883" s="32"/>
      <c r="T883" s="73"/>
      <c r="U883" s="37"/>
      <c r="V883" s="39"/>
      <c r="W883" s="39"/>
      <c r="X883" s="39"/>
      <c r="Y883" s="39"/>
      <c r="Z883" s="39"/>
      <c r="AA883" s="39"/>
      <c r="AB883" s="39"/>
      <c r="AC883" s="39"/>
      <c r="AD883" s="39"/>
      <c r="AE883" s="110"/>
      <c r="AF883" s="39"/>
      <c r="AG883" s="39"/>
      <c r="AH883" s="39"/>
      <c r="AI883" s="39"/>
      <c r="AJ883" s="101" t="s">
        <v>988</v>
      </c>
      <c r="AK883" s="39"/>
      <c r="AL883" s="155" t="s">
        <v>1627</v>
      </c>
      <c r="AM883" s="431" t="str">
        <f>VLOOKUP($Q883,Resultados!$A$1:$C$49,3,FALSE)</f>
        <v>TRAMITE</v>
      </c>
    </row>
    <row r="884" spans="1:39" ht="39.950000000000003" customHeight="1">
      <c r="A884" s="364">
        <v>878</v>
      </c>
      <c r="B884" s="38">
        <v>45387</v>
      </c>
      <c r="C884" s="337" t="s">
        <v>1135</v>
      </c>
      <c r="D884" s="32" t="s">
        <v>2811</v>
      </c>
      <c r="E884" s="41" t="s">
        <v>2812</v>
      </c>
      <c r="F884" s="39">
        <v>3</v>
      </c>
      <c r="G884" s="32" t="s">
        <v>10</v>
      </c>
      <c r="H884" s="38"/>
      <c r="I884" s="38"/>
      <c r="J884" s="38"/>
      <c r="K884" s="39" t="s">
        <v>1480</v>
      </c>
      <c r="L884" s="70" t="s">
        <v>2169</v>
      </c>
      <c r="M884" s="70" t="s">
        <v>47</v>
      </c>
      <c r="N884" s="32" t="s">
        <v>2874</v>
      </c>
      <c r="O884" s="32" t="str">
        <f>IF(Q884=" _","NO","SI")</f>
        <v>NO</v>
      </c>
      <c r="P884" s="24" t="str">
        <f ca="1">IF(color_Celda(E884)=12106214,"ROSA",IF(color_Celda(E884)=65535,"AMARILLO",IF(color_Celda(E884)=5296274,"VERDE",IF(color_Celda(E884)=16777215,"BLANCO","NO SE"))))</f>
        <v>AMARILLO</v>
      </c>
      <c r="Q884" s="32" t="s">
        <v>108</v>
      </c>
      <c r="R884" s="32" t="str">
        <f>VLOOKUP($Q884,Resultados!$A$1:$B$49,2,FALSE)</f>
        <v xml:space="preserve"> _</v>
      </c>
      <c r="S884" s="32"/>
      <c r="T884" s="73"/>
      <c r="U884" s="37"/>
      <c r="V884" s="39"/>
      <c r="W884" s="39"/>
      <c r="X884" s="39"/>
      <c r="Y884" s="39"/>
      <c r="Z884" s="39"/>
      <c r="AA884" s="39"/>
      <c r="AB884" s="39"/>
      <c r="AC884" s="39"/>
      <c r="AD884" s="39"/>
      <c r="AE884" s="110"/>
      <c r="AF884" s="39"/>
      <c r="AG884" s="39"/>
      <c r="AH884" s="39"/>
      <c r="AI884" s="39"/>
      <c r="AJ884" s="101" t="s">
        <v>408</v>
      </c>
      <c r="AK884" s="39"/>
      <c r="AL884" s="155" t="s">
        <v>1627</v>
      </c>
      <c r="AM884" s="431" t="str">
        <f>VLOOKUP($Q884,Resultados!$A$1:$C$49,3,FALSE)</f>
        <v>TRAMITE</v>
      </c>
    </row>
    <row r="885" spans="1:39" ht="39.950000000000003" customHeight="1">
      <c r="A885" s="364">
        <v>879</v>
      </c>
      <c r="B885" s="38">
        <v>45387</v>
      </c>
      <c r="C885" s="337" t="s">
        <v>923</v>
      </c>
      <c r="D885" s="32" t="s">
        <v>2858</v>
      </c>
      <c r="E885" s="40" t="s">
        <v>2859</v>
      </c>
      <c r="F885" s="39">
        <v>3</v>
      </c>
      <c r="G885" s="32" t="s">
        <v>1750</v>
      </c>
      <c r="H885" s="38"/>
      <c r="I885" s="38"/>
      <c r="J885" s="38"/>
      <c r="K885" s="39" t="s">
        <v>1480</v>
      </c>
      <c r="L885" s="70" t="s">
        <v>250</v>
      </c>
      <c r="M885" s="70" t="s">
        <v>1156</v>
      </c>
      <c r="N885" s="32" t="s">
        <v>2870</v>
      </c>
      <c r="O885" s="32" t="str">
        <f>IF(Q885=" _","NO","SI")</f>
        <v>NO</v>
      </c>
      <c r="P885" s="24" t="str">
        <f ca="1">IF(color_Celda(E885)=12106214,"ROSA",IF(color_Celda(E885)=65535,"AMARILLO",IF(color_Celda(E885)=5296274,"VERDE",IF(color_Celda(E885)=16777215,"BLANCO","NO SE"))))</f>
        <v>AMARILLO</v>
      </c>
      <c r="Q885" s="32" t="s">
        <v>108</v>
      </c>
      <c r="R885" s="32" t="str">
        <f>VLOOKUP($Q885,Resultados!$A$1:$B$49,2,FALSE)</f>
        <v xml:space="preserve"> _</v>
      </c>
      <c r="S885" s="32"/>
      <c r="T885" s="73"/>
      <c r="U885" s="37"/>
      <c r="V885" s="39"/>
      <c r="W885" s="39"/>
      <c r="X885" s="39"/>
      <c r="Y885" s="39"/>
      <c r="Z885" s="39"/>
      <c r="AA885" s="39"/>
      <c r="AB885" s="39"/>
      <c r="AC885" s="39"/>
      <c r="AD885" s="39"/>
      <c r="AE885" s="110"/>
      <c r="AF885" s="39"/>
      <c r="AG885" s="39"/>
      <c r="AH885" s="39"/>
      <c r="AI885" s="39"/>
      <c r="AJ885" s="101" t="s">
        <v>988</v>
      </c>
      <c r="AK885" s="39"/>
      <c r="AL885" s="155" t="s">
        <v>1627</v>
      </c>
      <c r="AM885" s="431" t="str">
        <f>VLOOKUP($Q885,Resultados!$A$1:$C$49,3,FALSE)</f>
        <v>TRAMITE</v>
      </c>
    </row>
    <row r="886" spans="1:39" ht="39.950000000000003" customHeight="1">
      <c r="A886" s="364">
        <v>880</v>
      </c>
      <c r="B886" s="38">
        <v>45387</v>
      </c>
      <c r="C886" s="337" t="s">
        <v>14</v>
      </c>
      <c r="D886" s="32" t="s">
        <v>2895</v>
      </c>
      <c r="E886" s="40" t="s">
        <v>2896</v>
      </c>
      <c r="F886" s="39">
        <v>4</v>
      </c>
      <c r="G886" s="32" t="s">
        <v>325</v>
      </c>
      <c r="H886" s="38"/>
      <c r="I886" s="38"/>
      <c r="J886" s="38"/>
      <c r="K886" s="39" t="s">
        <v>1480</v>
      </c>
      <c r="L886" s="70" t="s">
        <v>87</v>
      </c>
      <c r="M886" s="70" t="s">
        <v>1156</v>
      </c>
      <c r="N886" s="39" t="s">
        <v>2888</v>
      </c>
      <c r="O886" s="32" t="str">
        <f>IF(Q886=" _","NO","SI")</f>
        <v>NO</v>
      </c>
      <c r="P886" s="24" t="str">
        <f ca="1">IF(color_Celda(E886)=12106214,"ROSA",IF(color_Celda(E886)=65535,"AMARILLO",IF(color_Celda(E886)=5296274,"VERDE",IF(color_Celda(E886)=16777215,"BLANCO","NO SE"))))</f>
        <v>AMARILLO</v>
      </c>
      <c r="Q886" s="32" t="s">
        <v>108</v>
      </c>
      <c r="R886" s="32" t="str">
        <f>VLOOKUP($Q886,Resultados!$A$1:$B$49,2,FALSE)</f>
        <v xml:space="preserve"> _</v>
      </c>
      <c r="S886" s="32"/>
      <c r="T886" s="73"/>
      <c r="U886" s="37"/>
      <c r="V886" s="39"/>
      <c r="W886" s="39"/>
      <c r="X886" s="39"/>
      <c r="Y886" s="39"/>
      <c r="Z886" s="39"/>
      <c r="AA886" s="39"/>
      <c r="AB886" s="39"/>
      <c r="AC886" s="39"/>
      <c r="AD886" s="39"/>
      <c r="AE886" s="110"/>
      <c r="AF886" s="39"/>
      <c r="AG886" s="39"/>
      <c r="AH886" s="39"/>
      <c r="AI886" s="39"/>
      <c r="AJ886" s="101" t="s">
        <v>988</v>
      </c>
      <c r="AK886" s="39"/>
      <c r="AL886" s="155" t="s">
        <v>1627</v>
      </c>
      <c r="AM886" s="431" t="str">
        <f>VLOOKUP($Q886,Resultados!$A$1:$C$49,3,FALSE)</f>
        <v>TRAMITE</v>
      </c>
    </row>
    <row r="887" spans="1:39" ht="39.950000000000003" customHeight="1">
      <c r="A887" s="364">
        <v>881</v>
      </c>
      <c r="B887" s="69">
        <v>45390</v>
      </c>
      <c r="C887" s="332" t="s">
        <v>12</v>
      </c>
      <c r="D887" s="70" t="s">
        <v>1184</v>
      </c>
      <c r="E887" s="92" t="s">
        <v>2913</v>
      </c>
      <c r="F887" s="70">
        <v>5</v>
      </c>
      <c r="G887" s="68" t="s">
        <v>10</v>
      </c>
      <c r="H887" s="69"/>
      <c r="I887" s="69"/>
      <c r="J887" s="69"/>
      <c r="K887" s="68" t="s">
        <v>1480</v>
      </c>
      <c r="L887" s="70" t="s">
        <v>2170</v>
      </c>
      <c r="M887" s="70" t="s">
        <v>361</v>
      </c>
      <c r="N887" s="68" t="s">
        <v>2912</v>
      </c>
      <c r="O887" s="32" t="str">
        <f>IF(Q887=" _","NO","SI")</f>
        <v>NO</v>
      </c>
      <c r="P887" s="24" t="str">
        <f ca="1">IF(color_Celda(E887)=12106214,"ROSA",IF(color_Celda(E887)=65535,"AMARILLO",IF(color_Celda(E887)=5296274,"VERDE",IF(color_Celda(E887)=16777215,"BLANCO","NO SE"))))</f>
        <v>AMARILLO</v>
      </c>
      <c r="Q887" s="70" t="s">
        <v>108</v>
      </c>
      <c r="R887" s="32" t="str">
        <f>VLOOKUP($Q887,Resultados!$A$1:$B$49,2,FALSE)</f>
        <v xml:space="preserve"> _</v>
      </c>
      <c r="S887" s="70"/>
      <c r="T887" s="73"/>
      <c r="U887" s="73"/>
      <c r="V887" s="68"/>
      <c r="W887" s="68"/>
      <c r="X887" s="68"/>
      <c r="Y887" s="39"/>
      <c r="Z887" s="68"/>
      <c r="AA887" s="68"/>
      <c r="AB887" s="68"/>
      <c r="AC887" s="68"/>
      <c r="AD887" s="68"/>
      <c r="AE887" s="358"/>
      <c r="AF887" s="68">
        <v>7</v>
      </c>
      <c r="AG887" s="68"/>
      <c r="AH887" s="68">
        <v>0</v>
      </c>
      <c r="AI887" s="68"/>
      <c r="AJ887" s="101" t="s">
        <v>988</v>
      </c>
      <c r="AK887" s="362"/>
      <c r="AL887" s="155" t="s">
        <v>1627</v>
      </c>
      <c r="AM887" s="431" t="str">
        <f>VLOOKUP($Q887,Resultados!$A$1:$C$49,3,FALSE)</f>
        <v>TRAMITE</v>
      </c>
    </row>
    <row r="888" spans="1:39" ht="39.950000000000003" customHeight="1">
      <c r="A888" s="364">
        <v>882</v>
      </c>
      <c r="B888" s="38">
        <v>45390</v>
      </c>
      <c r="C888" s="337" t="s">
        <v>982</v>
      </c>
      <c r="D888" s="32" t="s">
        <v>2841</v>
      </c>
      <c r="E888" s="40" t="s">
        <v>2842</v>
      </c>
      <c r="F888" s="39">
        <v>5</v>
      </c>
      <c r="G888" s="32" t="s">
        <v>10</v>
      </c>
      <c r="H888" s="38"/>
      <c r="I888" s="38"/>
      <c r="J888" s="38"/>
      <c r="K888" s="39" t="s">
        <v>1480</v>
      </c>
      <c r="L888" s="70" t="s">
        <v>2170</v>
      </c>
      <c r="M888" s="70" t="s">
        <v>226</v>
      </c>
      <c r="N888" s="32" t="s">
        <v>2843</v>
      </c>
      <c r="O888" s="32" t="str">
        <f>IF(Q888=" _","NO","SI")</f>
        <v>NO</v>
      </c>
      <c r="P888" s="24" t="str">
        <f ca="1">IF(color_Celda(E888)=12106214,"ROSA",IF(color_Celda(E888)=65535,"AMARILLO",IF(color_Celda(E888)=5296274,"VERDE",IF(color_Celda(E888)=16777215,"BLANCO","NO SE"))))</f>
        <v>AMARILLO</v>
      </c>
      <c r="Q888" s="32" t="s">
        <v>108</v>
      </c>
      <c r="R888" s="32" t="str">
        <f>VLOOKUP($Q888,Resultados!$A$1:$B$49,2,FALSE)</f>
        <v xml:space="preserve"> _</v>
      </c>
      <c r="S888" s="32"/>
      <c r="T888" s="73"/>
      <c r="U888" s="37"/>
      <c r="V888" s="39"/>
      <c r="W888" s="39"/>
      <c r="X888" s="39"/>
      <c r="Y888" s="39"/>
      <c r="Z888" s="39"/>
      <c r="AA888" s="39"/>
      <c r="AB888" s="39"/>
      <c r="AC888" s="39"/>
      <c r="AD888" s="39"/>
      <c r="AE888" s="110"/>
      <c r="AF888" s="39"/>
      <c r="AG888" s="39"/>
      <c r="AH888" s="39"/>
      <c r="AI888" s="39"/>
      <c r="AJ888" s="101" t="s">
        <v>988</v>
      </c>
      <c r="AK888" s="39"/>
      <c r="AL888" s="155" t="s">
        <v>1627</v>
      </c>
      <c r="AM888" s="431" t="str">
        <f>VLOOKUP($Q888,Resultados!$A$1:$C$49,3,FALSE)</f>
        <v>TRAMITE</v>
      </c>
    </row>
    <row r="889" spans="1:39" ht="39.950000000000003" customHeight="1">
      <c r="A889" s="364">
        <v>883</v>
      </c>
      <c r="B889" s="38">
        <v>45390</v>
      </c>
      <c r="C889" s="337" t="s">
        <v>982</v>
      </c>
      <c r="D889" s="32" t="s">
        <v>2851</v>
      </c>
      <c r="E889" s="41" t="s">
        <v>2853</v>
      </c>
      <c r="F889" s="39">
        <v>5</v>
      </c>
      <c r="G889" s="32" t="s">
        <v>2876</v>
      </c>
      <c r="H889" s="38"/>
      <c r="I889" s="38"/>
      <c r="J889" s="38"/>
      <c r="K889" s="39" t="s">
        <v>1480</v>
      </c>
      <c r="L889" s="70" t="s">
        <v>77</v>
      </c>
      <c r="M889" s="70" t="s">
        <v>2852</v>
      </c>
      <c r="N889" s="32" t="s">
        <v>2854</v>
      </c>
      <c r="O889" s="32" t="str">
        <f>IF(Q889=" _","NO","SI")</f>
        <v>NO</v>
      </c>
      <c r="P889" s="24" t="str">
        <f ca="1">IF(color_Celda(E889)=12106214,"ROSA",IF(color_Celda(E889)=65535,"AMARILLO",IF(color_Celda(E889)=5296274,"VERDE",IF(color_Celda(E889)=16777215,"BLANCO","NO SE"))))</f>
        <v>AMARILLO</v>
      </c>
      <c r="Q889" s="32" t="s">
        <v>108</v>
      </c>
      <c r="R889" s="32" t="str">
        <f>VLOOKUP($Q889,Resultados!$A$1:$B$49,2,FALSE)</f>
        <v xml:space="preserve"> _</v>
      </c>
      <c r="S889" s="32"/>
      <c r="T889" s="73"/>
      <c r="U889" s="37"/>
      <c r="V889" s="39"/>
      <c r="W889" s="39"/>
      <c r="X889" s="39"/>
      <c r="Y889" s="39"/>
      <c r="Z889" s="39"/>
      <c r="AA889" s="39"/>
      <c r="AB889" s="39"/>
      <c r="AC889" s="39"/>
      <c r="AD889" s="39"/>
      <c r="AE889" s="110"/>
      <c r="AF889" s="39"/>
      <c r="AG889" s="39"/>
      <c r="AH889" s="39"/>
      <c r="AI889" s="39"/>
      <c r="AJ889" s="101" t="s">
        <v>408</v>
      </c>
      <c r="AK889" s="39"/>
      <c r="AL889" s="155" t="s">
        <v>1627</v>
      </c>
      <c r="AM889" s="431" t="str">
        <f>VLOOKUP($Q889,Resultados!$A$1:$C$49,3,FALSE)</f>
        <v>TRAMITE</v>
      </c>
    </row>
    <row r="890" spans="1:39" ht="39.950000000000003" customHeight="1">
      <c r="A890" s="364">
        <v>884</v>
      </c>
      <c r="B890" s="38">
        <v>45390</v>
      </c>
      <c r="C890" s="337" t="s">
        <v>753</v>
      </c>
      <c r="D890" s="32" t="s">
        <v>2855</v>
      </c>
      <c r="E890" s="40" t="s">
        <v>2856</v>
      </c>
      <c r="F890" s="39">
        <v>3</v>
      </c>
      <c r="G890" s="32" t="s">
        <v>1750</v>
      </c>
      <c r="H890" s="38"/>
      <c r="I890" s="38"/>
      <c r="J890" s="38"/>
      <c r="K890" s="39" t="s">
        <v>1480</v>
      </c>
      <c r="L890" s="70" t="s">
        <v>2171</v>
      </c>
      <c r="M890" s="70" t="s">
        <v>46</v>
      </c>
      <c r="N890" s="32" t="s">
        <v>2888</v>
      </c>
      <c r="O890" s="32" t="str">
        <f>IF(Q890=" _","NO","SI")</f>
        <v>NO</v>
      </c>
      <c r="P890" s="24" t="str">
        <f ca="1">IF(color_Celda(E890)=12106214,"ROSA",IF(color_Celda(E890)=65535,"AMARILLO",IF(color_Celda(E890)=5296274,"VERDE",IF(color_Celda(E890)=16777215,"BLANCO","NO SE"))))</f>
        <v>AMARILLO</v>
      </c>
      <c r="Q890" s="32" t="s">
        <v>108</v>
      </c>
      <c r="R890" s="32" t="str">
        <f>VLOOKUP($Q890,Resultados!$A$1:$B$49,2,FALSE)</f>
        <v xml:space="preserve"> _</v>
      </c>
      <c r="S890" s="32"/>
      <c r="T890" s="73"/>
      <c r="U890" s="37"/>
      <c r="V890" s="39"/>
      <c r="W890" s="39"/>
      <c r="X890" s="39"/>
      <c r="Y890" s="39"/>
      <c r="Z890" s="39"/>
      <c r="AA890" s="39"/>
      <c r="AB890" s="39"/>
      <c r="AC890" s="39"/>
      <c r="AD890" s="39"/>
      <c r="AE890" s="110"/>
      <c r="AF890" s="39"/>
      <c r="AG890" s="39"/>
      <c r="AH890" s="39"/>
      <c r="AI890" s="39"/>
      <c r="AJ890" s="101" t="s">
        <v>988</v>
      </c>
      <c r="AK890" s="39"/>
      <c r="AL890" s="155" t="s">
        <v>1627</v>
      </c>
      <c r="AM890" s="431" t="str">
        <f>VLOOKUP($Q890,Resultados!$A$1:$C$49,3,FALSE)</f>
        <v>TRAMITE</v>
      </c>
    </row>
    <row r="891" spans="1:39" ht="39.950000000000003" customHeight="1">
      <c r="A891" s="364">
        <v>885</v>
      </c>
      <c r="B891" s="38">
        <v>45390</v>
      </c>
      <c r="C891" s="337" t="s">
        <v>12</v>
      </c>
      <c r="D891" s="32" t="s">
        <v>2857</v>
      </c>
      <c r="E891" s="41" t="s">
        <v>2869</v>
      </c>
      <c r="F891" s="39">
        <v>6</v>
      </c>
      <c r="G891" s="32" t="s">
        <v>325</v>
      </c>
      <c r="H891" s="38"/>
      <c r="I891" s="38"/>
      <c r="J891" s="38"/>
      <c r="K891" s="39" t="s">
        <v>1480</v>
      </c>
      <c r="L891" s="70" t="s">
        <v>2172</v>
      </c>
      <c r="M891" s="70" t="s">
        <v>234</v>
      </c>
      <c r="N891" s="39"/>
      <c r="O891" s="32" t="str">
        <f>IF(Q891=" _","NO","SI")</f>
        <v>NO</v>
      </c>
      <c r="P891" s="24" t="str">
        <f ca="1">IF(color_Celda(E891)=12106214,"ROSA",IF(color_Celda(E891)=65535,"AMARILLO",IF(color_Celda(E891)=5296274,"VERDE",IF(color_Celda(E891)=16777215,"BLANCO","NO SE"))))</f>
        <v>AMARILLO</v>
      </c>
      <c r="Q891" s="32" t="s">
        <v>108</v>
      </c>
      <c r="R891" s="32" t="str">
        <f>VLOOKUP($Q891,Resultados!$A$1:$B$49,2,FALSE)</f>
        <v xml:space="preserve"> _</v>
      </c>
      <c r="S891" s="32"/>
      <c r="T891" s="73"/>
      <c r="U891" s="37"/>
      <c r="V891" s="39"/>
      <c r="W891" s="39"/>
      <c r="X891" s="39"/>
      <c r="Y891" s="39"/>
      <c r="Z891" s="39"/>
      <c r="AA891" s="39"/>
      <c r="AB891" s="39"/>
      <c r="AC891" s="39"/>
      <c r="AD891" s="39"/>
      <c r="AE891" s="110"/>
      <c r="AF891" s="39"/>
      <c r="AG891" s="39"/>
      <c r="AH891" s="39"/>
      <c r="AI891" s="39"/>
      <c r="AJ891" s="101" t="s">
        <v>408</v>
      </c>
      <c r="AK891" s="39"/>
      <c r="AL891" s="155" t="s">
        <v>1627</v>
      </c>
      <c r="AM891" s="431" t="str">
        <f>VLOOKUP($Q891,Resultados!$A$1:$C$49,3,FALSE)</f>
        <v>TRAMITE</v>
      </c>
    </row>
    <row r="892" spans="1:39" ht="39.950000000000003" customHeight="1">
      <c r="A892" s="364">
        <v>886</v>
      </c>
      <c r="B892" s="38">
        <v>45390</v>
      </c>
      <c r="C892" s="337" t="s">
        <v>1989</v>
      </c>
      <c r="D892" s="32" t="s">
        <v>2860</v>
      </c>
      <c r="E892" s="40" t="s">
        <v>2861</v>
      </c>
      <c r="F892" s="39">
        <v>3</v>
      </c>
      <c r="G892" s="32" t="s">
        <v>1750</v>
      </c>
      <c r="H892" s="38"/>
      <c r="I892" s="38"/>
      <c r="J892" s="38"/>
      <c r="K892" s="39" t="s">
        <v>1480</v>
      </c>
      <c r="L892" s="70" t="s">
        <v>88</v>
      </c>
      <c r="M892" s="70" t="s">
        <v>45</v>
      </c>
      <c r="N892" s="39" t="s">
        <v>2963</v>
      </c>
      <c r="O892" s="32" t="str">
        <f>IF(Q892=" _","NO","SI")</f>
        <v>NO</v>
      </c>
      <c r="P892" s="24" t="str">
        <f ca="1">IF(color_Celda(E892)=12106214,"ROSA",IF(color_Celda(E892)=65535,"AMARILLO",IF(color_Celda(E892)=5296274,"VERDE",IF(color_Celda(E892)=16777215,"BLANCO","NO SE"))))</f>
        <v>AMARILLO</v>
      </c>
      <c r="Q892" s="32" t="s">
        <v>108</v>
      </c>
      <c r="R892" s="32" t="str">
        <f>VLOOKUP($Q892,Resultados!$A$1:$B$49,2,FALSE)</f>
        <v xml:space="preserve"> _</v>
      </c>
      <c r="S892" s="32"/>
      <c r="T892" s="73"/>
      <c r="U892" s="37"/>
      <c r="V892" s="39"/>
      <c r="W892" s="39"/>
      <c r="X892" s="39"/>
      <c r="Y892" s="39"/>
      <c r="Z892" s="39"/>
      <c r="AA892" s="39"/>
      <c r="AB892" s="39"/>
      <c r="AC892" s="39"/>
      <c r="AD892" s="39"/>
      <c r="AE892" s="110"/>
      <c r="AF892" s="39"/>
      <c r="AG892" s="39"/>
      <c r="AH892" s="39"/>
      <c r="AI892" s="39"/>
      <c r="AJ892" s="101" t="s">
        <v>988</v>
      </c>
      <c r="AK892" s="39"/>
      <c r="AL892" s="155" t="s">
        <v>1627</v>
      </c>
      <c r="AM892" s="431" t="str">
        <f>VLOOKUP($Q892,Resultados!$A$1:$C$49,3,FALSE)</f>
        <v>TRAMITE</v>
      </c>
    </row>
    <row r="893" spans="1:39" ht="39.950000000000003" customHeight="1">
      <c r="A893" s="364">
        <v>887</v>
      </c>
      <c r="B893" s="38">
        <v>45390</v>
      </c>
      <c r="C893" s="337" t="s">
        <v>2862</v>
      </c>
      <c r="D893" s="32" t="s">
        <v>2863</v>
      </c>
      <c r="E893" s="40" t="s">
        <v>2864</v>
      </c>
      <c r="F893" s="39">
        <v>3</v>
      </c>
      <c r="G893" s="32" t="s">
        <v>1750</v>
      </c>
      <c r="H893" s="38"/>
      <c r="I893" s="38"/>
      <c r="J893" s="38"/>
      <c r="K893" s="39" t="s">
        <v>1480</v>
      </c>
      <c r="L893" s="70" t="s">
        <v>72</v>
      </c>
      <c r="M893" s="70" t="s">
        <v>44</v>
      </c>
      <c r="N893" s="39" t="s">
        <v>2962</v>
      </c>
      <c r="O893" s="32" t="str">
        <f>IF(Q893=" _","NO","SI")</f>
        <v>NO</v>
      </c>
      <c r="P893" s="24" t="str">
        <f ca="1">IF(color_Celda(E893)=12106214,"ROSA",IF(color_Celda(E893)=65535,"AMARILLO",IF(color_Celda(E893)=5296274,"VERDE",IF(color_Celda(E893)=16777215,"BLANCO","NO SE"))))</f>
        <v>AMARILLO</v>
      </c>
      <c r="Q893" s="32" t="s">
        <v>108</v>
      </c>
      <c r="R893" s="32" t="str">
        <f>VLOOKUP($Q893,Resultados!$A$1:$B$49,2,FALSE)</f>
        <v xml:space="preserve"> _</v>
      </c>
      <c r="S893" s="32"/>
      <c r="T893" s="73"/>
      <c r="U893" s="37"/>
      <c r="V893" s="39"/>
      <c r="W893" s="39"/>
      <c r="X893" s="39"/>
      <c r="Y893" s="39"/>
      <c r="Z893" s="39"/>
      <c r="AA893" s="39"/>
      <c r="AB893" s="39"/>
      <c r="AC893" s="39"/>
      <c r="AD893" s="39"/>
      <c r="AE893" s="110"/>
      <c r="AF893" s="39"/>
      <c r="AG893" s="39"/>
      <c r="AH893" s="39"/>
      <c r="AI893" s="39"/>
      <c r="AJ893" s="101" t="s">
        <v>988</v>
      </c>
      <c r="AK893" s="39"/>
      <c r="AL893" s="155" t="s">
        <v>1627</v>
      </c>
      <c r="AM893" s="431" t="str">
        <f>VLOOKUP($Q893,Resultados!$A$1:$C$49,3,FALSE)</f>
        <v>TRAMITE</v>
      </c>
    </row>
    <row r="894" spans="1:39" ht="39.950000000000003" customHeight="1">
      <c r="A894" s="364">
        <v>888</v>
      </c>
      <c r="B894" s="35">
        <v>45390</v>
      </c>
      <c r="C894" s="337" t="s">
        <v>2865</v>
      </c>
      <c r="D894" s="32" t="s">
        <v>2866</v>
      </c>
      <c r="E894" s="41" t="s">
        <v>2875</v>
      </c>
      <c r="F894" s="39">
        <v>8</v>
      </c>
      <c r="G894" s="32" t="s">
        <v>2876</v>
      </c>
      <c r="H894" s="38"/>
      <c r="I894" s="38"/>
      <c r="J894" s="38"/>
      <c r="K894" s="39" t="s">
        <v>1480</v>
      </c>
      <c r="L894" s="70" t="s">
        <v>2173</v>
      </c>
      <c r="M894" s="70"/>
      <c r="N894" s="39"/>
      <c r="O894" s="32" t="str">
        <f>IF(Q894=" _","NO","SI")</f>
        <v>NO</v>
      </c>
      <c r="P894" s="24" t="str">
        <f ca="1">IF(color_Celda(E894)=12106214,"ROSA",IF(color_Celda(E894)=65535,"AMARILLO",IF(color_Celda(E894)=5296274,"VERDE",IF(color_Celda(E894)=16777215,"BLANCO","NO SE"))))</f>
        <v>AMARILLO</v>
      </c>
      <c r="Q894" s="32" t="s">
        <v>108</v>
      </c>
      <c r="R894" s="32" t="str">
        <f>VLOOKUP($Q894,Resultados!$A$1:$B$49,2,FALSE)</f>
        <v xml:space="preserve"> _</v>
      </c>
      <c r="S894" s="32"/>
      <c r="T894" s="73"/>
      <c r="U894" s="37"/>
      <c r="V894" s="39"/>
      <c r="W894" s="39"/>
      <c r="X894" s="39"/>
      <c r="Y894" s="39"/>
      <c r="Z894" s="39"/>
      <c r="AA894" s="39"/>
      <c r="AB894" s="39"/>
      <c r="AC894" s="39"/>
      <c r="AD894" s="39"/>
      <c r="AE894" s="110"/>
      <c r="AF894" s="39"/>
      <c r="AG894" s="39"/>
      <c r="AH894" s="39"/>
      <c r="AI894" s="39"/>
      <c r="AJ894" s="101" t="s">
        <v>408</v>
      </c>
      <c r="AK894" s="39"/>
      <c r="AL894" s="155" t="s">
        <v>1627</v>
      </c>
      <c r="AM894" s="431" t="str">
        <f>VLOOKUP($Q894,Resultados!$A$1:$C$49,3,FALSE)</f>
        <v>TRAMITE</v>
      </c>
    </row>
    <row r="895" spans="1:39" ht="39.950000000000003" customHeight="1">
      <c r="A895" s="364">
        <v>889</v>
      </c>
      <c r="B895" s="38">
        <v>45390</v>
      </c>
      <c r="C895" s="337" t="s">
        <v>756</v>
      </c>
      <c r="D895" s="32" t="s">
        <v>2867</v>
      </c>
      <c r="E895" s="40" t="s">
        <v>2868</v>
      </c>
      <c r="F895" s="39">
        <v>5</v>
      </c>
      <c r="G895" s="32" t="s">
        <v>10</v>
      </c>
      <c r="H895" s="38"/>
      <c r="I895" s="38"/>
      <c r="J895" s="38"/>
      <c r="K895" s="39" t="s">
        <v>1480</v>
      </c>
      <c r="L895" s="70" t="s">
        <v>78</v>
      </c>
      <c r="M895" s="70" t="s">
        <v>260</v>
      </c>
      <c r="N895" s="32" t="s">
        <v>2873</v>
      </c>
      <c r="O895" s="32" t="str">
        <f>IF(Q895=" _","NO","SI")</f>
        <v>NO</v>
      </c>
      <c r="P895" s="24" t="str">
        <f ca="1">IF(color_Celda(E895)=12106214,"ROSA",IF(color_Celda(E895)=65535,"AMARILLO",IF(color_Celda(E895)=5296274,"VERDE",IF(color_Celda(E895)=16777215,"BLANCO","NO SE"))))</f>
        <v>AMARILLO</v>
      </c>
      <c r="Q895" s="32" t="s">
        <v>108</v>
      </c>
      <c r="R895" s="32" t="str">
        <f>VLOOKUP($Q895,Resultados!$A$1:$B$49,2,FALSE)</f>
        <v xml:space="preserve"> _</v>
      </c>
      <c r="S895" s="32"/>
      <c r="T895" s="73"/>
      <c r="U895" s="37"/>
      <c r="V895" s="39"/>
      <c r="W895" s="39"/>
      <c r="X895" s="39"/>
      <c r="Y895" s="39"/>
      <c r="Z895" s="39"/>
      <c r="AA895" s="39"/>
      <c r="AB895" s="39"/>
      <c r="AC895" s="39"/>
      <c r="AD895" s="39"/>
      <c r="AE895" s="110"/>
      <c r="AF895" s="39"/>
      <c r="AG895" s="39"/>
      <c r="AH895" s="39"/>
      <c r="AI895" s="39"/>
      <c r="AJ895" s="101" t="s">
        <v>988</v>
      </c>
      <c r="AK895" s="39"/>
      <c r="AL895" s="155" t="s">
        <v>1627</v>
      </c>
      <c r="AM895" s="431" t="str">
        <f>VLOOKUP($Q895,Resultados!$A$1:$C$49,3,FALSE)</f>
        <v>TRAMITE</v>
      </c>
    </row>
    <row r="896" spans="1:39" ht="39.950000000000003" customHeight="1">
      <c r="A896" s="364">
        <v>890</v>
      </c>
      <c r="B896" s="38">
        <v>45390</v>
      </c>
      <c r="C896" s="337" t="s">
        <v>111</v>
      </c>
      <c r="D896" s="32" t="s">
        <v>2871</v>
      </c>
      <c r="E896" s="40" t="s">
        <v>2872</v>
      </c>
      <c r="F896" s="39">
        <v>3</v>
      </c>
      <c r="G896" s="39" t="s">
        <v>1750</v>
      </c>
      <c r="H896" s="38"/>
      <c r="I896" s="38"/>
      <c r="J896" s="38"/>
      <c r="K896" s="39" t="s">
        <v>1480</v>
      </c>
      <c r="L896" s="70" t="s">
        <v>127</v>
      </c>
      <c r="M896" s="70" t="s">
        <v>46</v>
      </c>
      <c r="N896" s="32" t="s">
        <v>2805</v>
      </c>
      <c r="O896" s="32" t="str">
        <f>IF(Q896=" _","NO","SI")</f>
        <v>NO</v>
      </c>
      <c r="P896" s="24" t="str">
        <f ca="1">IF(color_Celda(E896)=12106214,"ROSA",IF(color_Celda(E896)=65535,"AMARILLO",IF(color_Celda(E896)=5296274,"VERDE",IF(color_Celda(E896)=16777215,"BLANCO","NO SE"))))</f>
        <v>AMARILLO</v>
      </c>
      <c r="Q896" s="32" t="s">
        <v>108</v>
      </c>
      <c r="R896" s="32" t="str">
        <f>VLOOKUP($Q896,Resultados!$A$1:$B$49,2,FALSE)</f>
        <v xml:space="preserve"> _</v>
      </c>
      <c r="S896" s="32"/>
      <c r="T896" s="73"/>
      <c r="U896" s="37"/>
      <c r="V896" s="39"/>
      <c r="W896" s="39"/>
      <c r="X896" s="39"/>
      <c r="Y896" s="39"/>
      <c r="Z896" s="39"/>
      <c r="AA896" s="39"/>
      <c r="AB896" s="39"/>
      <c r="AC896" s="39"/>
      <c r="AD896" s="39"/>
      <c r="AE896" s="110"/>
      <c r="AF896" s="39"/>
      <c r="AG896" s="39"/>
      <c r="AH896" s="39"/>
      <c r="AI896" s="39"/>
      <c r="AJ896" s="101" t="s">
        <v>988</v>
      </c>
      <c r="AK896" s="39"/>
      <c r="AL896" s="155" t="s">
        <v>1627</v>
      </c>
      <c r="AM896" s="431" t="str">
        <f>VLOOKUP($Q896,Resultados!$A$1:$C$49,3,FALSE)</f>
        <v>TRAMITE</v>
      </c>
    </row>
    <row r="897" spans="1:39" ht="39.950000000000003" customHeight="1">
      <c r="A897" s="364">
        <v>891</v>
      </c>
      <c r="B897" s="35">
        <v>45390</v>
      </c>
      <c r="C897" s="337" t="s">
        <v>1055</v>
      </c>
      <c r="D897" s="32" t="s">
        <v>2879</v>
      </c>
      <c r="E897" s="40" t="s">
        <v>2880</v>
      </c>
      <c r="F897" s="39">
        <v>4</v>
      </c>
      <c r="G897" s="32" t="s">
        <v>325</v>
      </c>
      <c r="H897" s="38"/>
      <c r="I897" s="38"/>
      <c r="J897" s="38"/>
      <c r="K897" s="39" t="s">
        <v>1480</v>
      </c>
      <c r="L897" s="70" t="s">
        <v>78</v>
      </c>
      <c r="M897" s="70" t="s">
        <v>47</v>
      </c>
      <c r="N897" s="32" t="s">
        <v>2882</v>
      </c>
      <c r="O897" s="32" t="str">
        <f>IF(Q897=" _","NO","SI")</f>
        <v>NO</v>
      </c>
      <c r="P897" s="24" t="str">
        <f ca="1">IF(color_Celda(E897)=12106214,"ROSA",IF(color_Celda(E897)=65535,"AMARILLO",IF(color_Celda(E897)=5296274,"VERDE",IF(color_Celda(E897)=16777215,"BLANCO","NO SE"))))</f>
        <v>AMARILLO</v>
      </c>
      <c r="Q897" s="32" t="s">
        <v>108</v>
      </c>
      <c r="R897" s="32" t="str">
        <f>VLOOKUP($Q897,Resultados!$A$1:$B$49,2,FALSE)</f>
        <v xml:space="preserve"> _</v>
      </c>
      <c r="S897" s="32"/>
      <c r="T897" s="73"/>
      <c r="U897" s="37"/>
      <c r="V897" s="39"/>
      <c r="W897" s="39"/>
      <c r="X897" s="39"/>
      <c r="Y897" s="39"/>
      <c r="Z897" s="39"/>
      <c r="AA897" s="39"/>
      <c r="AB897" s="39"/>
      <c r="AC897" s="39"/>
      <c r="AD897" s="39"/>
      <c r="AE897" s="110"/>
      <c r="AF897" s="39"/>
      <c r="AG897" s="39"/>
      <c r="AH897" s="39"/>
      <c r="AI897" s="39"/>
      <c r="AJ897" s="101" t="s">
        <v>988</v>
      </c>
      <c r="AK897" s="39"/>
      <c r="AL897" s="155" t="s">
        <v>1627</v>
      </c>
      <c r="AM897" s="431" t="str">
        <f>VLOOKUP($Q897,Resultados!$A$1:$C$49,3,FALSE)</f>
        <v>TRAMITE</v>
      </c>
    </row>
    <row r="898" spans="1:39" ht="39.950000000000003" customHeight="1">
      <c r="A898" s="372">
        <v>892</v>
      </c>
      <c r="B898" s="163">
        <v>45390</v>
      </c>
      <c r="C898" s="328" t="s">
        <v>2117</v>
      </c>
      <c r="D898" s="16" t="s">
        <v>2883</v>
      </c>
      <c r="E898" s="281" t="s">
        <v>2884</v>
      </c>
      <c r="F898" s="165">
        <v>4</v>
      </c>
      <c r="G898" s="16" t="s">
        <v>325</v>
      </c>
      <c r="H898" s="307">
        <v>45408</v>
      </c>
      <c r="I898" s="163"/>
      <c r="J898" s="163"/>
      <c r="K898" s="165" t="s">
        <v>1480</v>
      </c>
      <c r="L898" s="79" t="s">
        <v>250</v>
      </c>
      <c r="M898" s="79" t="s">
        <v>47</v>
      </c>
      <c r="N898" s="16" t="s">
        <v>3379</v>
      </c>
      <c r="O898" s="16" t="str">
        <f>IF(Q898=" _","NO","SI")</f>
        <v>SI</v>
      </c>
      <c r="P898" s="24" t="str">
        <f ca="1">IF(color_Celda(E898)=12106214,"ROSA",IF(color_Celda(E898)=65535,"AMARILLO",IF(color_Celda(E898)=5296274,"VERDE",IF(color_Celda(E898)=16777215,"BLANCO","NO SE"))))</f>
        <v>ROSA</v>
      </c>
      <c r="Q898" s="16" t="s">
        <v>1162</v>
      </c>
      <c r="R898" s="16" t="str">
        <f>VLOOKUP($Q898,Resultados!$A$1:$B$49,2,FALSE)</f>
        <v>ELEVADA A JUICIO</v>
      </c>
      <c r="S898" s="16"/>
      <c r="T898" s="86"/>
      <c r="U898" s="166"/>
      <c r="V898" s="165"/>
      <c r="W898" s="165"/>
      <c r="X898" s="165"/>
      <c r="Y898" s="165"/>
      <c r="Z898" s="165"/>
      <c r="AA898" s="165"/>
      <c r="AB898" s="165"/>
      <c r="AC898" s="165"/>
      <c r="AD898" s="165"/>
      <c r="AE898" s="232"/>
      <c r="AF898" s="165"/>
      <c r="AG898" s="165"/>
      <c r="AH898" s="165"/>
      <c r="AI898" s="165"/>
      <c r="AJ898" s="105" t="s">
        <v>988</v>
      </c>
      <c r="AK898" s="165"/>
      <c r="AL898" s="316" t="s">
        <v>1628</v>
      </c>
      <c r="AM898" s="431" t="str">
        <f>VLOOKUP($Q898,Resultados!$A$1:$C$49,3,FALSE)</f>
        <v>ELEVADA</v>
      </c>
    </row>
    <row r="899" spans="1:39" ht="39.950000000000003" customHeight="1">
      <c r="A899" s="364">
        <v>893</v>
      </c>
      <c r="B899" s="38">
        <v>45390</v>
      </c>
      <c r="C899" s="337" t="s">
        <v>380</v>
      </c>
      <c r="D899" s="32" t="s">
        <v>2885</v>
      </c>
      <c r="E899" s="40" t="s">
        <v>2886</v>
      </c>
      <c r="F899" s="39">
        <v>4</v>
      </c>
      <c r="G899" s="32" t="s">
        <v>325</v>
      </c>
      <c r="H899" s="38"/>
      <c r="I899" s="38"/>
      <c r="J899" s="38"/>
      <c r="K899" s="39" t="s">
        <v>1480</v>
      </c>
      <c r="L899" s="70" t="s">
        <v>85</v>
      </c>
      <c r="M899" s="70" t="s">
        <v>2887</v>
      </c>
      <c r="N899" s="32" t="s">
        <v>3097</v>
      </c>
      <c r="O899" s="32" t="str">
        <f>IF(Q899=" _","NO","SI")</f>
        <v>NO</v>
      </c>
      <c r="P899" s="24" t="str">
        <f ca="1">IF(color_Celda(E899)=12106214,"ROSA",IF(color_Celda(E899)=65535,"AMARILLO",IF(color_Celda(E899)=5296274,"VERDE",IF(color_Celda(E899)=16777215,"BLANCO","NO SE"))))</f>
        <v>AMARILLO</v>
      </c>
      <c r="Q899" s="32" t="s">
        <v>108</v>
      </c>
      <c r="R899" s="32" t="str">
        <f>VLOOKUP($Q899,Resultados!$A$1:$B$49,2,FALSE)</f>
        <v xml:space="preserve"> _</v>
      </c>
      <c r="S899" s="32"/>
      <c r="T899" s="73"/>
      <c r="U899" s="37"/>
      <c r="V899" s="39"/>
      <c r="W899" s="39"/>
      <c r="X899" s="39"/>
      <c r="Y899" s="39"/>
      <c r="Z899" s="39"/>
      <c r="AA899" s="39"/>
      <c r="AB899" s="39"/>
      <c r="AC899" s="39"/>
      <c r="AD899" s="39"/>
      <c r="AE899" s="110"/>
      <c r="AF899" s="39"/>
      <c r="AG899" s="39"/>
      <c r="AH899" s="39"/>
      <c r="AI899" s="39"/>
      <c r="AJ899" s="101" t="s">
        <v>988</v>
      </c>
      <c r="AK899" s="39"/>
      <c r="AL899" s="155" t="s">
        <v>1627</v>
      </c>
      <c r="AM899" s="431" t="str">
        <f>VLOOKUP($Q899,Resultados!$A$1:$C$49,3,FALSE)</f>
        <v>TRAMITE</v>
      </c>
    </row>
    <row r="900" spans="1:39" ht="39.950000000000003" customHeight="1">
      <c r="A900" s="364">
        <v>894</v>
      </c>
      <c r="B900" s="38">
        <v>45391</v>
      </c>
      <c r="C900" s="337" t="s">
        <v>1058</v>
      </c>
      <c r="D900" s="32" t="s">
        <v>2922</v>
      </c>
      <c r="E900" s="40" t="s">
        <v>2923</v>
      </c>
      <c r="F900" s="39">
        <v>3</v>
      </c>
      <c r="G900" s="39"/>
      <c r="H900" s="38"/>
      <c r="I900" s="38"/>
      <c r="J900" s="38"/>
      <c r="K900" s="39" t="s">
        <v>1480</v>
      </c>
      <c r="L900" s="70" t="s">
        <v>2173</v>
      </c>
      <c r="M900" s="70" t="s">
        <v>45</v>
      </c>
      <c r="N900" s="39" t="s">
        <v>2962</v>
      </c>
      <c r="O900" s="32" t="str">
        <f>IF(Q900=" _","NO","SI")</f>
        <v>NO</v>
      </c>
      <c r="P900" s="24" t="str">
        <f ca="1">IF(color_Celda(E900)=12106214,"ROSA",IF(color_Celda(E900)=65535,"AMARILLO",IF(color_Celda(E900)=5296274,"VERDE",IF(color_Celda(E900)=16777215,"BLANCO","NO SE"))))</f>
        <v>AMARILLO</v>
      </c>
      <c r="Q900" s="32" t="s">
        <v>108</v>
      </c>
      <c r="R900" s="32" t="str">
        <f>VLOOKUP($Q900,Resultados!$A$1:$B$49,2,FALSE)</f>
        <v xml:space="preserve"> _</v>
      </c>
      <c r="S900" s="32"/>
      <c r="T900" s="73"/>
      <c r="U900" s="37"/>
      <c r="V900" s="39"/>
      <c r="W900" s="39"/>
      <c r="X900" s="39"/>
      <c r="Y900" s="39"/>
      <c r="Z900" s="39"/>
      <c r="AA900" s="39"/>
      <c r="AB900" s="39"/>
      <c r="AC900" s="39"/>
      <c r="AD900" s="39"/>
      <c r="AE900" s="110"/>
      <c r="AF900" s="39"/>
      <c r="AG900" s="39"/>
      <c r="AH900" s="39"/>
      <c r="AI900" s="39"/>
      <c r="AJ900" s="101" t="s">
        <v>988</v>
      </c>
      <c r="AK900" s="39"/>
      <c r="AL900" s="155" t="s">
        <v>1627</v>
      </c>
      <c r="AM900" s="431" t="str">
        <f>VLOOKUP($Q900,Resultados!$A$1:$C$49,3,FALSE)</f>
        <v>TRAMITE</v>
      </c>
    </row>
    <row r="901" spans="1:39" ht="39.950000000000003" customHeight="1">
      <c r="A901" s="364">
        <v>895</v>
      </c>
      <c r="B901" s="38">
        <v>45391</v>
      </c>
      <c r="C901" s="337" t="s">
        <v>12</v>
      </c>
      <c r="D901" s="32" t="s">
        <v>2924</v>
      </c>
      <c r="E901" s="40" t="s">
        <v>2925</v>
      </c>
      <c r="F901" s="39">
        <v>6</v>
      </c>
      <c r="G901" s="39"/>
      <c r="H901" s="38"/>
      <c r="I901" s="38"/>
      <c r="J901" s="38"/>
      <c r="K901" s="39" t="s">
        <v>1480</v>
      </c>
      <c r="L901" s="70" t="s">
        <v>77</v>
      </c>
      <c r="M901" s="70" t="s">
        <v>2949</v>
      </c>
      <c r="N901" s="32" t="s">
        <v>2948</v>
      </c>
      <c r="O901" s="32" t="str">
        <f>IF(Q901=" _","NO","SI")</f>
        <v>NO</v>
      </c>
      <c r="P901" s="24" t="str">
        <f ca="1">IF(color_Celda(E901)=12106214,"ROSA",IF(color_Celda(E901)=65535,"AMARILLO",IF(color_Celda(E901)=5296274,"VERDE",IF(color_Celda(E901)=16777215,"BLANCO","NO SE"))))</f>
        <v>AMARILLO</v>
      </c>
      <c r="Q901" s="32" t="s">
        <v>108</v>
      </c>
      <c r="R901" s="32" t="str">
        <f>VLOOKUP($Q901,Resultados!$A$1:$B$49,2,FALSE)</f>
        <v xml:space="preserve"> _</v>
      </c>
      <c r="S901" s="32"/>
      <c r="T901" s="73"/>
      <c r="U901" s="37"/>
      <c r="V901" s="39"/>
      <c r="W901" s="39"/>
      <c r="X901" s="39"/>
      <c r="Y901" s="39"/>
      <c r="Z901" s="39"/>
      <c r="AA901" s="39"/>
      <c r="AB901" s="39"/>
      <c r="AC901" s="39"/>
      <c r="AD901" s="39"/>
      <c r="AE901" s="110"/>
      <c r="AF901" s="39"/>
      <c r="AG901" s="39"/>
      <c r="AH901" s="39"/>
      <c r="AI901" s="39"/>
      <c r="AJ901" s="101" t="s">
        <v>988</v>
      </c>
      <c r="AK901" s="39"/>
      <c r="AL901" s="155" t="s">
        <v>1627</v>
      </c>
      <c r="AM901" s="431" t="str">
        <f>VLOOKUP($Q901,Resultados!$A$1:$C$49,3,FALSE)</f>
        <v>TRAMITE</v>
      </c>
    </row>
    <row r="902" spans="1:39" ht="39.950000000000003" customHeight="1">
      <c r="A902" s="364">
        <v>896</v>
      </c>
      <c r="B902" s="38">
        <v>45391</v>
      </c>
      <c r="C902" s="337" t="s">
        <v>2936</v>
      </c>
      <c r="D902" s="32" t="s">
        <v>2937</v>
      </c>
      <c r="E902" s="41" t="s">
        <v>2938</v>
      </c>
      <c r="F902" s="39">
        <v>1</v>
      </c>
      <c r="G902" s="32" t="s">
        <v>10</v>
      </c>
      <c r="H902" s="38"/>
      <c r="I902" s="38"/>
      <c r="J902" s="38"/>
      <c r="K902" s="39" t="s">
        <v>1480</v>
      </c>
      <c r="L902" s="70" t="s">
        <v>72</v>
      </c>
      <c r="M902" s="70" t="s">
        <v>234</v>
      </c>
      <c r="N902" s="32" t="s">
        <v>3090</v>
      </c>
      <c r="O902" s="32" t="str">
        <f>IF(Q902=" _","NO","SI")</f>
        <v>NO</v>
      </c>
      <c r="P902" s="24" t="str">
        <f ca="1">IF(color_Celda(E902)=12106214,"ROSA",IF(color_Celda(E902)=65535,"AMARILLO",IF(color_Celda(E902)=5296274,"VERDE",IF(color_Celda(E902)=16777215,"BLANCO","NO SE"))))</f>
        <v>AMARILLO</v>
      </c>
      <c r="Q902" s="32" t="s">
        <v>108</v>
      </c>
      <c r="R902" s="32" t="str">
        <f>VLOOKUP($Q902,Resultados!$A$1:$B$49,2,FALSE)</f>
        <v xml:space="preserve"> _</v>
      </c>
      <c r="S902" s="32"/>
      <c r="T902" s="73"/>
      <c r="U902" s="37"/>
      <c r="V902" s="39"/>
      <c r="W902" s="39"/>
      <c r="X902" s="39"/>
      <c r="Y902" s="39"/>
      <c r="Z902" s="39"/>
      <c r="AA902" s="39"/>
      <c r="AB902" s="39"/>
      <c r="AC902" s="39"/>
      <c r="AD902" s="39"/>
      <c r="AE902" s="110"/>
      <c r="AF902" s="39"/>
      <c r="AG902" s="39"/>
      <c r="AH902" s="39"/>
      <c r="AI902" s="39"/>
      <c r="AJ902" s="101" t="s">
        <v>408</v>
      </c>
      <c r="AK902" s="39"/>
      <c r="AL902" s="155" t="s">
        <v>1627</v>
      </c>
      <c r="AM902" s="431" t="str">
        <f>VLOOKUP($Q902,Resultados!$A$1:$C$49,3,FALSE)</f>
        <v>TRAMITE</v>
      </c>
    </row>
    <row r="903" spans="1:39" ht="39.950000000000003" customHeight="1">
      <c r="A903" s="364">
        <v>897</v>
      </c>
      <c r="B903" s="38">
        <v>45391</v>
      </c>
      <c r="C903" s="337" t="s">
        <v>2418</v>
      </c>
      <c r="D903" s="32" t="s">
        <v>2939</v>
      </c>
      <c r="E903" s="40" t="s">
        <v>2940</v>
      </c>
      <c r="F903" s="39">
        <v>2</v>
      </c>
      <c r="G903" s="39"/>
      <c r="H903" s="38"/>
      <c r="I903" s="38"/>
      <c r="J903" s="38"/>
      <c r="K903" s="39" t="s">
        <v>1480</v>
      </c>
      <c r="L903" s="70" t="s">
        <v>2170</v>
      </c>
      <c r="M903" s="70" t="s">
        <v>1248</v>
      </c>
      <c r="N903" s="39" t="s">
        <v>2962</v>
      </c>
      <c r="O903" s="32" t="str">
        <f>IF(Q903=" _","NO","SI")</f>
        <v>NO</v>
      </c>
      <c r="P903" s="24" t="str">
        <f ca="1">IF(color_Celda(E903)=12106214,"ROSA",IF(color_Celda(E903)=65535,"AMARILLO",IF(color_Celda(E903)=5296274,"VERDE",IF(color_Celda(E903)=16777215,"BLANCO","NO SE"))))</f>
        <v>AMARILLO</v>
      </c>
      <c r="Q903" s="32" t="s">
        <v>108</v>
      </c>
      <c r="R903" s="32" t="str">
        <f>VLOOKUP($Q903,Resultados!$A$1:$B$49,2,FALSE)</f>
        <v xml:space="preserve"> _</v>
      </c>
      <c r="S903" s="32"/>
      <c r="T903" s="73"/>
      <c r="U903" s="37"/>
      <c r="V903" s="39"/>
      <c r="W903" s="39"/>
      <c r="X903" s="39"/>
      <c r="Y903" s="39"/>
      <c r="Z903" s="39"/>
      <c r="AA903" s="39"/>
      <c r="AB903" s="39"/>
      <c r="AC903" s="39"/>
      <c r="AD903" s="39"/>
      <c r="AE903" s="110"/>
      <c r="AF903" s="39"/>
      <c r="AG903" s="39"/>
      <c r="AH903" s="39"/>
      <c r="AI903" s="39"/>
      <c r="AJ903" s="101" t="s">
        <v>988</v>
      </c>
      <c r="AK903" s="39"/>
      <c r="AL903" s="155" t="s">
        <v>1627</v>
      </c>
      <c r="AM903" s="431" t="str">
        <f>VLOOKUP($Q903,Resultados!$A$1:$C$49,3,FALSE)</f>
        <v>TRAMITE</v>
      </c>
    </row>
    <row r="904" spans="1:39" ht="39.950000000000003" customHeight="1">
      <c r="A904" s="364">
        <v>898</v>
      </c>
      <c r="B904" s="38">
        <v>45392</v>
      </c>
      <c r="C904" s="337" t="s">
        <v>12</v>
      </c>
      <c r="D904" s="32" t="s">
        <v>2953</v>
      </c>
      <c r="E904" s="40" t="s">
        <v>2954</v>
      </c>
      <c r="F904" s="39">
        <v>6</v>
      </c>
      <c r="G904" s="39"/>
      <c r="H904" s="38"/>
      <c r="I904" s="38"/>
      <c r="J904" s="38"/>
      <c r="K904" s="39" t="s">
        <v>1480</v>
      </c>
      <c r="L904" s="70" t="s">
        <v>82</v>
      </c>
      <c r="M904" s="70" t="s">
        <v>234</v>
      </c>
      <c r="N904" s="39" t="s">
        <v>2963</v>
      </c>
      <c r="O904" s="32" t="str">
        <f>IF(Q904=" _","NO","SI")</f>
        <v>NO</v>
      </c>
      <c r="P904" s="24" t="str">
        <f ca="1">IF(color_Celda(E904)=12106214,"ROSA",IF(color_Celda(E904)=65535,"AMARILLO",IF(color_Celda(E904)=5296274,"VERDE",IF(color_Celda(E904)=16777215,"BLANCO","NO SE"))))</f>
        <v>AMARILLO</v>
      </c>
      <c r="Q904" s="32" t="s">
        <v>108</v>
      </c>
      <c r="R904" s="32" t="str">
        <f>VLOOKUP($Q904,Resultados!$A$1:$B$49,2,FALSE)</f>
        <v xml:space="preserve"> _</v>
      </c>
      <c r="S904" s="32"/>
      <c r="T904" s="73"/>
      <c r="U904" s="37"/>
      <c r="V904" s="39"/>
      <c r="W904" s="39"/>
      <c r="X904" s="39"/>
      <c r="Y904" s="39"/>
      <c r="Z904" s="39"/>
      <c r="AA904" s="39"/>
      <c r="AB904" s="39"/>
      <c r="AC904" s="39"/>
      <c r="AD904" s="39"/>
      <c r="AE904" s="110"/>
      <c r="AF904" s="39"/>
      <c r="AG904" s="39"/>
      <c r="AH904" s="39"/>
      <c r="AI904" s="39"/>
      <c r="AJ904" s="101" t="s">
        <v>988</v>
      </c>
      <c r="AK904" s="39"/>
      <c r="AL904" s="155" t="s">
        <v>1627</v>
      </c>
      <c r="AM904" s="431" t="str">
        <f>VLOOKUP($Q904,Resultados!$A$1:$C$49,3,FALSE)</f>
        <v>TRAMITE</v>
      </c>
    </row>
    <row r="905" spans="1:39" ht="39.950000000000003" customHeight="1">
      <c r="A905" s="364">
        <v>899</v>
      </c>
      <c r="B905" s="38">
        <v>45392</v>
      </c>
      <c r="C905" s="337" t="s">
        <v>12</v>
      </c>
      <c r="D905" s="32" t="s">
        <v>2955</v>
      </c>
      <c r="E905" s="40" t="s">
        <v>2964</v>
      </c>
      <c r="F905" s="39">
        <v>6</v>
      </c>
      <c r="G905" s="39"/>
      <c r="H905" s="38"/>
      <c r="I905" s="38"/>
      <c r="J905" s="38"/>
      <c r="K905" s="39" t="s">
        <v>1480</v>
      </c>
      <c r="L905" s="70" t="s">
        <v>74</v>
      </c>
      <c r="M905" s="70" t="s">
        <v>226</v>
      </c>
      <c r="N905" s="39" t="s">
        <v>2963</v>
      </c>
      <c r="O905" s="32" t="str">
        <f>IF(Q905=" _","NO","SI")</f>
        <v>NO</v>
      </c>
      <c r="P905" s="24" t="str">
        <f ca="1">IF(color_Celda(E905)=12106214,"ROSA",IF(color_Celda(E905)=65535,"AMARILLO",IF(color_Celda(E905)=5296274,"VERDE",IF(color_Celda(E905)=16777215,"BLANCO","NO SE"))))</f>
        <v>AMARILLO</v>
      </c>
      <c r="Q905" s="32" t="s">
        <v>108</v>
      </c>
      <c r="R905" s="32" t="str">
        <f>VLOOKUP($Q905,Resultados!$A$1:$B$49,2,FALSE)</f>
        <v xml:space="preserve"> _</v>
      </c>
      <c r="S905" s="32"/>
      <c r="T905" s="73"/>
      <c r="U905" s="37"/>
      <c r="V905" s="39"/>
      <c r="W905" s="39"/>
      <c r="X905" s="39"/>
      <c r="Y905" s="39"/>
      <c r="Z905" s="39"/>
      <c r="AA905" s="39"/>
      <c r="AB905" s="39"/>
      <c r="AC905" s="39"/>
      <c r="AD905" s="39"/>
      <c r="AE905" s="110"/>
      <c r="AF905" s="39"/>
      <c r="AG905" s="39"/>
      <c r="AH905" s="39"/>
      <c r="AI905" s="39"/>
      <c r="AJ905" s="101" t="s">
        <v>988</v>
      </c>
      <c r="AK905" s="39"/>
      <c r="AL905" s="155" t="s">
        <v>1627</v>
      </c>
      <c r="AM905" s="431" t="str">
        <f>VLOOKUP($Q905,Resultados!$A$1:$C$49,3,FALSE)</f>
        <v>TRAMITE</v>
      </c>
    </row>
    <row r="906" spans="1:39" ht="39.950000000000003" customHeight="1">
      <c r="A906" s="364">
        <v>900</v>
      </c>
      <c r="B906" s="38">
        <v>45392</v>
      </c>
      <c r="C906" s="337" t="s">
        <v>14</v>
      </c>
      <c r="D906" s="32" t="s">
        <v>2956</v>
      </c>
      <c r="E906" s="40" t="s">
        <v>2957</v>
      </c>
      <c r="F906" s="39">
        <v>6</v>
      </c>
      <c r="G906" s="39"/>
      <c r="H906" s="38"/>
      <c r="I906" s="38"/>
      <c r="J906" s="38"/>
      <c r="K906" s="39" t="s">
        <v>1480</v>
      </c>
      <c r="L906" s="70" t="s">
        <v>78</v>
      </c>
      <c r="M906" s="70" t="s">
        <v>62</v>
      </c>
      <c r="N906" s="39" t="s">
        <v>2962</v>
      </c>
      <c r="O906" s="32" t="str">
        <f>IF(Q906=" _","NO","SI")</f>
        <v>NO</v>
      </c>
      <c r="P906" s="24" t="str">
        <f ca="1">IF(color_Celda(E906)=12106214,"ROSA",IF(color_Celda(E906)=65535,"AMARILLO",IF(color_Celda(E906)=5296274,"VERDE",IF(color_Celda(E906)=16777215,"BLANCO","NO SE"))))</f>
        <v>AMARILLO</v>
      </c>
      <c r="Q906" s="32" t="s">
        <v>108</v>
      </c>
      <c r="R906" s="32" t="str">
        <f>VLOOKUP($Q906,Resultados!$A$1:$B$49,2,FALSE)</f>
        <v xml:space="preserve"> _</v>
      </c>
      <c r="S906" s="32"/>
      <c r="T906" s="73"/>
      <c r="U906" s="37"/>
      <c r="V906" s="39"/>
      <c r="W906" s="39"/>
      <c r="X906" s="39"/>
      <c r="Y906" s="39"/>
      <c r="Z906" s="39"/>
      <c r="AA906" s="39"/>
      <c r="AB906" s="39"/>
      <c r="AC906" s="39"/>
      <c r="AD906" s="39"/>
      <c r="AE906" s="110"/>
      <c r="AF906" s="39"/>
      <c r="AG906" s="39"/>
      <c r="AH906" s="39"/>
      <c r="AI906" s="39"/>
      <c r="AJ906" s="101" t="s">
        <v>988</v>
      </c>
      <c r="AK906" s="39"/>
      <c r="AL906" s="155" t="s">
        <v>1627</v>
      </c>
      <c r="AM906" s="431" t="str">
        <f>VLOOKUP($Q906,Resultados!$A$1:$C$49,3,FALSE)</f>
        <v>TRAMITE</v>
      </c>
    </row>
    <row r="907" spans="1:39" ht="39.950000000000003" customHeight="1">
      <c r="A907" s="364">
        <v>901</v>
      </c>
      <c r="B907" s="38">
        <v>45392</v>
      </c>
      <c r="C907" s="337" t="s">
        <v>781</v>
      </c>
      <c r="D907" s="32" t="s">
        <v>2958</v>
      </c>
      <c r="E907" s="40" t="s">
        <v>2959</v>
      </c>
      <c r="F907" s="39">
        <v>7</v>
      </c>
      <c r="G907" s="32" t="s">
        <v>10</v>
      </c>
      <c r="H907" s="38"/>
      <c r="I907" s="38"/>
      <c r="J907" s="38"/>
      <c r="K907" s="39" t="s">
        <v>1480</v>
      </c>
      <c r="L907" s="70" t="s">
        <v>74</v>
      </c>
      <c r="M907" s="70" t="s">
        <v>686</v>
      </c>
      <c r="N907" s="32" t="s">
        <v>3047</v>
      </c>
      <c r="O907" s="32" t="str">
        <f>IF(Q907=" _","NO","SI")</f>
        <v>NO</v>
      </c>
      <c r="P907" s="24" t="str">
        <f ca="1">IF(color_Celda(E907)=12106214,"ROSA",IF(color_Celda(E907)=65535,"AMARILLO",IF(color_Celda(E907)=5296274,"VERDE",IF(color_Celda(E907)=16777215,"BLANCO","NO SE"))))</f>
        <v>AMARILLO</v>
      </c>
      <c r="Q907" s="32" t="s">
        <v>108</v>
      </c>
      <c r="R907" s="32" t="str">
        <f>VLOOKUP($Q907,Resultados!$A$1:$B$49,2,FALSE)</f>
        <v xml:space="preserve"> _</v>
      </c>
      <c r="S907" s="32"/>
      <c r="T907" s="73"/>
      <c r="U907" s="37"/>
      <c r="V907" s="39"/>
      <c r="W907" s="39"/>
      <c r="X907" s="39"/>
      <c r="Y907" s="39"/>
      <c r="Z907" s="39"/>
      <c r="AA907" s="39"/>
      <c r="AB907" s="39"/>
      <c r="AC907" s="39"/>
      <c r="AD907" s="39"/>
      <c r="AE907" s="110"/>
      <c r="AF907" s="39"/>
      <c r="AG907" s="39"/>
      <c r="AH907" s="39"/>
      <c r="AI907" s="39"/>
      <c r="AJ907" s="101" t="s">
        <v>988</v>
      </c>
      <c r="AK907" s="39"/>
      <c r="AL907" s="155" t="s">
        <v>1627</v>
      </c>
      <c r="AM907" s="431" t="str">
        <f>VLOOKUP($Q907,Resultados!$A$1:$C$49,3,FALSE)</f>
        <v>TRAMITE</v>
      </c>
    </row>
    <row r="908" spans="1:39" ht="39.950000000000003" customHeight="1">
      <c r="A908" s="364">
        <v>902</v>
      </c>
      <c r="B908" s="38">
        <v>45392</v>
      </c>
      <c r="C908" s="337" t="s">
        <v>1170</v>
      </c>
      <c r="D908" s="32" t="s">
        <v>2960</v>
      </c>
      <c r="E908" s="40" t="s">
        <v>2961</v>
      </c>
      <c r="F908" s="39">
        <v>5</v>
      </c>
      <c r="G908" s="32" t="s">
        <v>10</v>
      </c>
      <c r="H908" s="38"/>
      <c r="I908" s="38"/>
      <c r="J908" s="38"/>
      <c r="K908" s="39" t="s">
        <v>1480</v>
      </c>
      <c r="L908" s="70" t="s">
        <v>87</v>
      </c>
      <c r="M908" s="70" t="s">
        <v>234</v>
      </c>
      <c r="N908" s="39" t="s">
        <v>2991</v>
      </c>
      <c r="O908" s="32" t="str">
        <f>IF(Q908=" _","NO","SI")</f>
        <v>NO</v>
      </c>
      <c r="P908" s="24" t="str">
        <f ca="1">IF(color_Celda(E908)=12106214,"ROSA",IF(color_Celda(E908)=65535,"AMARILLO",IF(color_Celda(E908)=5296274,"VERDE",IF(color_Celda(E908)=16777215,"BLANCO","NO SE"))))</f>
        <v>AMARILLO</v>
      </c>
      <c r="Q908" s="32" t="s">
        <v>108</v>
      </c>
      <c r="R908" s="32" t="str">
        <f>VLOOKUP($Q908,Resultados!$A$1:$B$49,2,FALSE)</f>
        <v xml:space="preserve"> _</v>
      </c>
      <c r="S908" s="160">
        <v>45103</v>
      </c>
      <c r="T908" s="73"/>
      <c r="U908" s="37"/>
      <c r="V908" s="39"/>
      <c r="W908" s="39"/>
      <c r="X908" s="39"/>
      <c r="Y908" s="39"/>
      <c r="Z908" s="39"/>
      <c r="AA908" s="39"/>
      <c r="AB908" s="39"/>
      <c r="AC908" s="39"/>
      <c r="AD908" s="39"/>
      <c r="AE908" s="110"/>
      <c r="AF908" s="39"/>
      <c r="AG908" s="39"/>
      <c r="AH908" s="39"/>
      <c r="AI908" s="39"/>
      <c r="AJ908" s="101" t="s">
        <v>988</v>
      </c>
      <c r="AK908" s="39"/>
      <c r="AL908" s="155" t="s">
        <v>1627</v>
      </c>
      <c r="AM908" s="431" t="str">
        <f>VLOOKUP($Q908,Resultados!$A$1:$C$49,3,FALSE)</f>
        <v>TRAMITE</v>
      </c>
    </row>
    <row r="909" spans="1:39" ht="39.950000000000003" customHeight="1">
      <c r="A909" s="364">
        <v>903</v>
      </c>
      <c r="B909" s="38">
        <v>45392</v>
      </c>
      <c r="C909" s="337" t="s">
        <v>810</v>
      </c>
      <c r="D909" s="32" t="s">
        <v>2965</v>
      </c>
      <c r="E909" s="40" t="s">
        <v>2966</v>
      </c>
      <c r="F909" s="39">
        <v>3</v>
      </c>
      <c r="G909" s="32" t="s">
        <v>1750</v>
      </c>
      <c r="H909" s="38"/>
      <c r="I909" s="38"/>
      <c r="J909" s="38"/>
      <c r="K909" s="39" t="s">
        <v>1480</v>
      </c>
      <c r="L909" s="70" t="s">
        <v>2170</v>
      </c>
      <c r="M909" s="70" t="s">
        <v>2504</v>
      </c>
      <c r="N909" s="32" t="s">
        <v>2967</v>
      </c>
      <c r="O909" s="32" t="str">
        <f>IF(Q909=" _","NO","SI")</f>
        <v>NO</v>
      </c>
      <c r="P909" s="24" t="str">
        <f ca="1">IF(color_Celda(E909)=12106214,"ROSA",IF(color_Celda(E909)=65535,"AMARILLO",IF(color_Celda(E909)=5296274,"VERDE",IF(color_Celda(E909)=16777215,"BLANCO","NO SE"))))</f>
        <v>AMARILLO</v>
      </c>
      <c r="Q909" s="32" t="s">
        <v>108</v>
      </c>
      <c r="R909" s="32" t="str">
        <f>VLOOKUP($Q909,Resultados!$A$1:$B$49,2,FALSE)</f>
        <v xml:space="preserve"> _</v>
      </c>
      <c r="S909" s="32"/>
      <c r="T909" s="73"/>
      <c r="U909" s="37"/>
      <c r="V909" s="39"/>
      <c r="W909" s="39"/>
      <c r="X909" s="39"/>
      <c r="Y909" s="39"/>
      <c r="Z909" s="39"/>
      <c r="AA909" s="39"/>
      <c r="AB909" s="39"/>
      <c r="AC909" s="39"/>
      <c r="AD909" s="39"/>
      <c r="AE909" s="110"/>
      <c r="AF909" s="39"/>
      <c r="AG909" s="39"/>
      <c r="AH909" s="39"/>
      <c r="AI909" s="39"/>
      <c r="AJ909" s="101" t="s">
        <v>988</v>
      </c>
      <c r="AK909" s="39"/>
      <c r="AL909" s="155" t="s">
        <v>1627</v>
      </c>
      <c r="AM909" s="431" t="str">
        <f>VLOOKUP($Q909,Resultados!$A$1:$C$49,3,FALSE)</f>
        <v>TRAMITE</v>
      </c>
    </row>
    <row r="910" spans="1:39" ht="39.950000000000003" customHeight="1">
      <c r="A910" s="364">
        <v>904</v>
      </c>
      <c r="B910" s="38">
        <v>45392</v>
      </c>
      <c r="C910" s="337" t="s">
        <v>14</v>
      </c>
      <c r="D910" s="32" t="s">
        <v>2971</v>
      </c>
      <c r="E910" s="40" t="s">
        <v>2972</v>
      </c>
      <c r="F910" s="39">
        <v>4</v>
      </c>
      <c r="G910" s="32" t="s">
        <v>325</v>
      </c>
      <c r="H910" s="38"/>
      <c r="I910" s="38"/>
      <c r="J910" s="38"/>
      <c r="K910" s="39" t="s">
        <v>1480</v>
      </c>
      <c r="L910" s="70" t="s">
        <v>250</v>
      </c>
      <c r="M910" s="70" t="s">
        <v>45</v>
      </c>
      <c r="N910" s="39" t="s">
        <v>2962</v>
      </c>
      <c r="O910" s="32" t="str">
        <f>IF(Q910=" _","NO","SI")</f>
        <v>NO</v>
      </c>
      <c r="P910" s="24" t="str">
        <f ca="1">IF(color_Celda(E910)=12106214,"ROSA",IF(color_Celda(E910)=65535,"AMARILLO",IF(color_Celda(E910)=5296274,"VERDE",IF(color_Celda(E910)=16777215,"BLANCO","NO SE"))))</f>
        <v>AMARILLO</v>
      </c>
      <c r="Q910" s="32" t="s">
        <v>108</v>
      </c>
      <c r="R910" s="32" t="str">
        <f>VLOOKUP($Q910,Resultados!$A$1:$B$49,2,FALSE)</f>
        <v xml:space="preserve"> _</v>
      </c>
      <c r="S910" s="32"/>
      <c r="T910" s="73"/>
      <c r="U910" s="37"/>
      <c r="V910" s="39"/>
      <c r="W910" s="39"/>
      <c r="X910" s="39"/>
      <c r="Y910" s="39"/>
      <c r="Z910" s="39"/>
      <c r="AA910" s="39"/>
      <c r="AB910" s="39"/>
      <c r="AC910" s="39"/>
      <c r="AD910" s="39"/>
      <c r="AE910" s="110"/>
      <c r="AF910" s="39"/>
      <c r="AG910" s="39"/>
      <c r="AH910" s="39"/>
      <c r="AI910" s="39"/>
      <c r="AJ910" s="101" t="s">
        <v>988</v>
      </c>
      <c r="AK910" s="39"/>
      <c r="AL910" s="155" t="s">
        <v>1627</v>
      </c>
      <c r="AM910" s="431" t="str">
        <f>VLOOKUP($Q910,Resultados!$A$1:$C$49,3,FALSE)</f>
        <v>TRAMITE</v>
      </c>
    </row>
    <row r="911" spans="1:39" ht="39.950000000000003" customHeight="1">
      <c r="A911" s="364">
        <v>905</v>
      </c>
      <c r="B911" s="38">
        <v>45392</v>
      </c>
      <c r="C911" s="337" t="s">
        <v>1352</v>
      </c>
      <c r="D911" s="32" t="s">
        <v>2974</v>
      </c>
      <c r="E911" s="41" t="s">
        <v>2975</v>
      </c>
      <c r="F911" s="39">
        <v>4</v>
      </c>
      <c r="G911" s="32" t="s">
        <v>325</v>
      </c>
      <c r="H911" s="38"/>
      <c r="I911" s="38"/>
      <c r="J911" s="38"/>
      <c r="K911" s="39" t="s">
        <v>1480</v>
      </c>
      <c r="L911" s="70" t="s">
        <v>78</v>
      </c>
      <c r="M911" s="70" t="s">
        <v>234</v>
      </c>
      <c r="N911" s="32" t="s">
        <v>2976</v>
      </c>
      <c r="O911" s="32" t="str">
        <f>IF(Q911=" _","NO","SI")</f>
        <v>NO</v>
      </c>
      <c r="P911" s="24" t="str">
        <f ca="1">IF(color_Celda(E911)=12106214,"ROSA",IF(color_Celda(E911)=65535,"AMARILLO",IF(color_Celda(E911)=5296274,"VERDE",IF(color_Celda(E911)=16777215,"BLANCO","NO SE"))))</f>
        <v>AMARILLO</v>
      </c>
      <c r="Q911" s="32" t="s">
        <v>108</v>
      </c>
      <c r="R911" s="32" t="str">
        <f>VLOOKUP($Q911,Resultados!$A$1:$B$49,2,FALSE)</f>
        <v xml:space="preserve"> _</v>
      </c>
      <c r="S911" s="32"/>
      <c r="T911" s="73"/>
      <c r="U911" s="37"/>
      <c r="V911" s="39"/>
      <c r="W911" s="39"/>
      <c r="X911" s="39"/>
      <c r="Y911" s="39"/>
      <c r="Z911" s="39"/>
      <c r="AA911" s="39"/>
      <c r="AB911" s="39"/>
      <c r="AC911" s="39"/>
      <c r="AD911" s="39"/>
      <c r="AE911" s="110"/>
      <c r="AF911" s="39"/>
      <c r="AG911" s="39"/>
      <c r="AH911" s="39"/>
      <c r="AI911" s="39"/>
      <c r="AJ911" s="101" t="s">
        <v>408</v>
      </c>
      <c r="AK911" s="39"/>
      <c r="AL911" s="155" t="s">
        <v>1627</v>
      </c>
      <c r="AM911" s="431" t="str">
        <f>VLOOKUP($Q911,Resultados!$A$1:$C$49,3,FALSE)</f>
        <v>TRAMITE</v>
      </c>
    </row>
    <row r="912" spans="1:39" ht="39.950000000000003" customHeight="1">
      <c r="A912" s="364">
        <v>906</v>
      </c>
      <c r="B912" s="38">
        <v>45392</v>
      </c>
      <c r="C912" s="337" t="s">
        <v>759</v>
      </c>
      <c r="D912" s="32" t="s">
        <v>2977</v>
      </c>
      <c r="E912" s="40" t="s">
        <v>2978</v>
      </c>
      <c r="F912" s="39">
        <v>5</v>
      </c>
      <c r="G912" s="32" t="s">
        <v>10</v>
      </c>
      <c r="H912" s="38"/>
      <c r="I912" s="38"/>
      <c r="J912" s="38"/>
      <c r="K912" s="39" t="s">
        <v>1480</v>
      </c>
      <c r="L912" s="70" t="s">
        <v>2170</v>
      </c>
      <c r="M912" s="70" t="s">
        <v>226</v>
      </c>
      <c r="N912" s="32" t="s">
        <v>3132</v>
      </c>
      <c r="O912" s="32" t="str">
        <f>IF(Q912=" _","NO","SI")</f>
        <v>NO</v>
      </c>
      <c r="P912" s="24" t="str">
        <f ca="1">IF(color_Celda(E912)=12106214,"ROSA",IF(color_Celda(E912)=65535,"AMARILLO",IF(color_Celda(E912)=5296274,"VERDE",IF(color_Celda(E912)=16777215,"BLANCO","NO SE"))))</f>
        <v>AMARILLO</v>
      </c>
      <c r="Q912" s="32" t="s">
        <v>108</v>
      </c>
      <c r="R912" s="32" t="str">
        <f>VLOOKUP($Q912,Resultados!$A$1:$B$49,2,FALSE)</f>
        <v xml:space="preserve"> _</v>
      </c>
      <c r="S912" s="160">
        <v>45392</v>
      </c>
      <c r="T912" s="73"/>
      <c r="U912" s="37"/>
      <c r="V912" s="39"/>
      <c r="W912" s="39"/>
      <c r="X912" s="39"/>
      <c r="Y912" s="39"/>
      <c r="Z912" s="39"/>
      <c r="AA912" s="39"/>
      <c r="AB912" s="39"/>
      <c r="AC912" s="39"/>
      <c r="AD912" s="39"/>
      <c r="AE912" s="110"/>
      <c r="AF912" s="39"/>
      <c r="AG912" s="39"/>
      <c r="AH912" s="39"/>
      <c r="AI912" s="39"/>
      <c r="AJ912" s="101" t="s">
        <v>988</v>
      </c>
      <c r="AK912" s="39"/>
      <c r="AL912" s="155" t="s">
        <v>1627</v>
      </c>
      <c r="AM912" s="431" t="str">
        <f>VLOOKUP($Q912,Resultados!$A$1:$C$49,3,FALSE)</f>
        <v>TRAMITE</v>
      </c>
    </row>
    <row r="913" spans="1:39" ht="39.950000000000003" customHeight="1">
      <c r="A913" s="364">
        <v>907</v>
      </c>
      <c r="B913" s="38">
        <v>45393</v>
      </c>
      <c r="C913" s="337" t="s">
        <v>12</v>
      </c>
      <c r="D913" s="32" t="s">
        <v>2979</v>
      </c>
      <c r="E913" s="40" t="s">
        <v>2980</v>
      </c>
      <c r="F913" s="39">
        <v>1</v>
      </c>
      <c r="G913" s="32" t="s">
        <v>2876</v>
      </c>
      <c r="H913" s="38"/>
      <c r="I913" s="38"/>
      <c r="J913" s="38"/>
      <c r="K913" s="39" t="s">
        <v>1480</v>
      </c>
      <c r="L913" s="70" t="s">
        <v>75</v>
      </c>
      <c r="M913" s="70" t="s">
        <v>3020</v>
      </c>
      <c r="N913" s="39" t="s">
        <v>3021</v>
      </c>
      <c r="O913" s="32" t="str">
        <f>IF(Q913=" _","NO","SI")</f>
        <v>NO</v>
      </c>
      <c r="P913" s="24" t="str">
        <f ca="1">IF(color_Celda(E913)=12106214,"ROSA",IF(color_Celda(E913)=65535,"AMARILLO",IF(color_Celda(E913)=5296274,"VERDE",IF(color_Celda(E913)=16777215,"BLANCO","NO SE"))))</f>
        <v>AMARILLO</v>
      </c>
      <c r="Q913" s="32" t="s">
        <v>108</v>
      </c>
      <c r="R913" s="32" t="str">
        <f>VLOOKUP($Q913,Resultados!$A$1:$B$49,2,FALSE)</f>
        <v xml:space="preserve"> _</v>
      </c>
      <c r="S913" s="32"/>
      <c r="T913" s="73"/>
      <c r="U913" s="37"/>
      <c r="V913" s="39"/>
      <c r="W913" s="39"/>
      <c r="X913" s="39"/>
      <c r="Y913" s="39"/>
      <c r="Z913" s="39"/>
      <c r="AA913" s="39"/>
      <c r="AB913" s="39"/>
      <c r="AC913" s="39"/>
      <c r="AD913" s="39"/>
      <c r="AE913" s="110"/>
      <c r="AF913" s="39"/>
      <c r="AG913" s="39"/>
      <c r="AH913" s="39"/>
      <c r="AI913" s="39"/>
      <c r="AJ913" s="101" t="s">
        <v>988</v>
      </c>
      <c r="AK913" s="39"/>
      <c r="AL913" s="155" t="s">
        <v>1627</v>
      </c>
      <c r="AM913" s="431" t="str">
        <f>VLOOKUP($Q913,Resultados!$A$1:$C$49,3,FALSE)</f>
        <v>TRAMITE</v>
      </c>
    </row>
    <row r="914" spans="1:39" ht="39.950000000000003" customHeight="1">
      <c r="A914" s="364">
        <v>908</v>
      </c>
      <c r="B914" s="38">
        <v>45393</v>
      </c>
      <c r="C914" s="337" t="s">
        <v>12</v>
      </c>
      <c r="D914" s="32" t="s">
        <v>2981</v>
      </c>
      <c r="E914" s="40" t="s">
        <v>2982</v>
      </c>
      <c r="F914" s="39">
        <v>5</v>
      </c>
      <c r="G914" s="32" t="s">
        <v>10</v>
      </c>
      <c r="H914" s="38"/>
      <c r="I914" s="38"/>
      <c r="J914" s="38"/>
      <c r="K914" s="39" t="s">
        <v>1480</v>
      </c>
      <c r="L914" s="70" t="s">
        <v>77</v>
      </c>
      <c r="M914" s="70" t="s">
        <v>2992</v>
      </c>
      <c r="N914" s="39" t="s">
        <v>2991</v>
      </c>
      <c r="O914" s="32" t="str">
        <f>IF(Q914=" _","NO","SI")</f>
        <v>NO</v>
      </c>
      <c r="P914" s="24" t="str">
        <f ca="1">IF(color_Celda(E914)=12106214,"ROSA",IF(color_Celda(E914)=65535,"AMARILLO",IF(color_Celda(E914)=5296274,"VERDE",IF(color_Celda(E914)=16777215,"BLANCO","NO SE"))))</f>
        <v>AMARILLO</v>
      </c>
      <c r="Q914" s="32" t="s">
        <v>108</v>
      </c>
      <c r="R914" s="32" t="str">
        <f>VLOOKUP($Q914,Resultados!$A$1:$B$49,2,FALSE)</f>
        <v xml:space="preserve"> _</v>
      </c>
      <c r="S914" s="160">
        <v>45369</v>
      </c>
      <c r="T914" s="73"/>
      <c r="U914" s="37"/>
      <c r="V914" s="39"/>
      <c r="W914" s="39"/>
      <c r="X914" s="39"/>
      <c r="Y914" s="39"/>
      <c r="Z914" s="39"/>
      <c r="AA914" s="39"/>
      <c r="AB914" s="39"/>
      <c r="AC914" s="39"/>
      <c r="AD914" s="39"/>
      <c r="AE914" s="110"/>
      <c r="AF914" s="39"/>
      <c r="AG914" s="39"/>
      <c r="AH914" s="39"/>
      <c r="AI914" s="39"/>
      <c r="AJ914" s="101" t="s">
        <v>988</v>
      </c>
      <c r="AK914" s="39"/>
      <c r="AL914" s="155" t="s">
        <v>1627</v>
      </c>
      <c r="AM914" s="431" t="str">
        <f>VLOOKUP($Q914,Resultados!$A$1:$C$49,3,FALSE)</f>
        <v>TRAMITE</v>
      </c>
    </row>
    <row r="915" spans="1:39" ht="39.950000000000003" customHeight="1">
      <c r="A915" s="364">
        <v>909</v>
      </c>
      <c r="B915" s="38">
        <v>45393</v>
      </c>
      <c r="C915" s="337" t="s">
        <v>1058</v>
      </c>
      <c r="D915" s="32" t="s">
        <v>2983</v>
      </c>
      <c r="E915" s="40" t="s">
        <v>2984</v>
      </c>
      <c r="F915" s="39">
        <v>5</v>
      </c>
      <c r="G915" s="32" t="s">
        <v>10</v>
      </c>
      <c r="H915" s="38"/>
      <c r="I915" s="38"/>
      <c r="J915" s="38"/>
      <c r="K915" s="39" t="s">
        <v>1480</v>
      </c>
      <c r="L915" s="70" t="s">
        <v>36</v>
      </c>
      <c r="M915" s="70" t="s">
        <v>361</v>
      </c>
      <c r="N915" s="39" t="s">
        <v>2990</v>
      </c>
      <c r="O915" s="32" t="str">
        <f>IF(Q915=" _","NO","SI")</f>
        <v>NO</v>
      </c>
      <c r="P915" s="24" t="str">
        <f ca="1">IF(color_Celda(E915)=12106214,"ROSA",IF(color_Celda(E915)=65535,"AMARILLO",IF(color_Celda(E915)=5296274,"VERDE",IF(color_Celda(E915)=16777215,"BLANCO","NO SE"))))</f>
        <v>AMARILLO</v>
      </c>
      <c r="Q915" s="32" t="s">
        <v>108</v>
      </c>
      <c r="R915" s="32" t="str">
        <f>VLOOKUP($Q915,Resultados!$A$1:$B$49,2,FALSE)</f>
        <v xml:space="preserve"> _</v>
      </c>
      <c r="S915" s="160">
        <v>44701</v>
      </c>
      <c r="T915" s="73"/>
      <c r="U915" s="37"/>
      <c r="V915" s="39"/>
      <c r="W915" s="39"/>
      <c r="X915" s="39"/>
      <c r="Y915" s="39"/>
      <c r="Z915" s="39"/>
      <c r="AA915" s="39"/>
      <c r="AB915" s="39"/>
      <c r="AC915" s="39"/>
      <c r="AD915" s="39"/>
      <c r="AE915" s="110"/>
      <c r="AF915" s="39"/>
      <c r="AG915" s="39"/>
      <c r="AH915" s="39"/>
      <c r="AI915" s="39"/>
      <c r="AJ915" s="101" t="s">
        <v>988</v>
      </c>
      <c r="AK915" s="39"/>
      <c r="AL915" s="155" t="s">
        <v>1627</v>
      </c>
      <c r="AM915" s="431" t="str">
        <f>VLOOKUP($Q915,Resultados!$A$1:$C$49,3,FALSE)</f>
        <v>TRAMITE</v>
      </c>
    </row>
    <row r="916" spans="1:39" ht="39.950000000000003" customHeight="1">
      <c r="A916" s="364">
        <v>910</v>
      </c>
      <c r="B916" s="38">
        <v>45393</v>
      </c>
      <c r="C916" s="337" t="s">
        <v>1388</v>
      </c>
      <c r="D916" s="32" t="s">
        <v>2993</v>
      </c>
      <c r="E916" s="40" t="s">
        <v>2994</v>
      </c>
      <c r="F916" s="39">
        <v>3</v>
      </c>
      <c r="G916" s="32" t="s">
        <v>1750</v>
      </c>
      <c r="H916" s="38"/>
      <c r="I916" s="38"/>
      <c r="J916" s="38"/>
      <c r="K916" s="39" t="s">
        <v>1480</v>
      </c>
      <c r="L916" s="70" t="s">
        <v>2169</v>
      </c>
      <c r="M916" s="70" t="s">
        <v>1156</v>
      </c>
      <c r="N916" s="39" t="s">
        <v>2990</v>
      </c>
      <c r="O916" s="32" t="str">
        <f>IF(Q916=" _","NO","SI")</f>
        <v>NO</v>
      </c>
      <c r="P916" s="24" t="str">
        <f ca="1">IF(color_Celda(E916)=12106214,"ROSA",IF(color_Celda(E916)=65535,"AMARILLO",IF(color_Celda(E916)=5296274,"VERDE",IF(color_Celda(E916)=16777215,"BLANCO","NO SE"))))</f>
        <v>AMARILLO</v>
      </c>
      <c r="Q916" s="32" t="s">
        <v>108</v>
      </c>
      <c r="R916" s="32" t="str">
        <f>VLOOKUP($Q916,Resultados!$A$1:$B$49,2,FALSE)</f>
        <v xml:space="preserve"> _</v>
      </c>
      <c r="S916" s="160">
        <v>45391</v>
      </c>
      <c r="T916" s="73"/>
      <c r="U916" s="37"/>
      <c r="V916" s="39"/>
      <c r="W916" s="39"/>
      <c r="X916" s="39"/>
      <c r="Y916" s="39"/>
      <c r="Z916" s="39"/>
      <c r="AA916" s="39"/>
      <c r="AB916" s="39"/>
      <c r="AC916" s="39"/>
      <c r="AD916" s="39"/>
      <c r="AE916" s="110"/>
      <c r="AF916" s="39"/>
      <c r="AG916" s="39"/>
      <c r="AH916" s="39"/>
      <c r="AI916" s="39"/>
      <c r="AJ916" s="101" t="s">
        <v>988</v>
      </c>
      <c r="AK916" s="39"/>
      <c r="AL916" s="155" t="s">
        <v>1627</v>
      </c>
      <c r="AM916" s="431" t="str">
        <f>VLOOKUP($Q916,Resultados!$A$1:$C$49,3,FALSE)</f>
        <v>TRAMITE</v>
      </c>
    </row>
    <row r="917" spans="1:39" ht="39.950000000000003" customHeight="1">
      <c r="A917" s="364">
        <v>911</v>
      </c>
      <c r="B917" s="38">
        <v>45393</v>
      </c>
      <c r="C917" s="331" t="s">
        <v>721</v>
      </c>
      <c r="D917" s="39" t="s">
        <v>3036</v>
      </c>
      <c r="E917" s="297" t="s">
        <v>3037</v>
      </c>
      <c r="F917" s="39">
        <v>5</v>
      </c>
      <c r="G917" s="32" t="s">
        <v>10</v>
      </c>
      <c r="H917" s="38"/>
      <c r="I917" s="38"/>
      <c r="J917" s="38"/>
      <c r="K917" s="39" t="s">
        <v>1480</v>
      </c>
      <c r="L917" s="70" t="s">
        <v>2167</v>
      </c>
      <c r="M917" s="70" t="s">
        <v>1156</v>
      </c>
      <c r="N917" s="32" t="s">
        <v>3048</v>
      </c>
      <c r="O917" s="32" t="str">
        <f>IF(Q917=" _","NO","SI")</f>
        <v>NO</v>
      </c>
      <c r="P917" s="24" t="str">
        <f ca="1">IF(color_Celda(E917)=12106214,"ROSA",IF(color_Celda(E917)=65535,"AMARILLO",IF(color_Celda(E917)=5296274,"VERDE",IF(color_Celda(E917)=16777215,"BLANCO","NO SE"))))</f>
        <v>AMARILLO</v>
      </c>
      <c r="Q917" s="32" t="s">
        <v>108</v>
      </c>
      <c r="R917" s="32" t="str">
        <f>VLOOKUP($Q917,Resultados!$A$1:$B$49,2,FALSE)</f>
        <v xml:space="preserve"> _</v>
      </c>
      <c r="S917" s="32"/>
      <c r="T917" s="73"/>
      <c r="U917" s="37"/>
      <c r="V917" s="39"/>
      <c r="W917" s="39"/>
      <c r="X917" s="39"/>
      <c r="Y917" s="39"/>
      <c r="Z917" s="39"/>
      <c r="AA917" s="39"/>
      <c r="AB917" s="39"/>
      <c r="AC917" s="39"/>
      <c r="AD917" s="39"/>
      <c r="AE917" s="110"/>
      <c r="AF917" s="39"/>
      <c r="AG917" s="39"/>
      <c r="AH917" s="39"/>
      <c r="AI917" s="39"/>
      <c r="AJ917" s="101" t="s">
        <v>988</v>
      </c>
      <c r="AK917" s="39"/>
      <c r="AL917" s="155" t="s">
        <v>1627</v>
      </c>
      <c r="AM917" s="431" t="str">
        <f>VLOOKUP($Q917,Resultados!$A$1:$C$49,3,FALSE)</f>
        <v>TRAMITE</v>
      </c>
    </row>
    <row r="918" spans="1:39" ht="39.950000000000003" customHeight="1">
      <c r="A918" s="364">
        <v>912</v>
      </c>
      <c r="B918" s="38">
        <v>45393</v>
      </c>
      <c r="C918" s="337" t="s">
        <v>1175</v>
      </c>
      <c r="D918" s="32" t="s">
        <v>3040</v>
      </c>
      <c r="E918" s="41" t="s">
        <v>3088</v>
      </c>
      <c r="F918" s="39">
        <v>7</v>
      </c>
      <c r="G918" s="32" t="s">
        <v>325</v>
      </c>
      <c r="H918" s="38"/>
      <c r="I918" s="38"/>
      <c r="J918" s="38"/>
      <c r="K918" s="39" t="s">
        <v>1480</v>
      </c>
      <c r="L918" s="70" t="s">
        <v>2167</v>
      </c>
      <c r="M918" s="70" t="s">
        <v>272</v>
      </c>
      <c r="N918" s="32" t="s">
        <v>3083</v>
      </c>
      <c r="O918" s="32" t="str">
        <f>IF(Q918=" _","NO","SI")</f>
        <v>NO</v>
      </c>
      <c r="P918" s="24" t="str">
        <f ca="1">IF(color_Celda(E918)=12106214,"ROSA",IF(color_Celda(E918)=65535,"AMARILLO",IF(color_Celda(E918)=5296274,"VERDE",IF(color_Celda(E918)=16777215,"BLANCO","NO SE"))))</f>
        <v>AMARILLO</v>
      </c>
      <c r="Q918" s="32" t="s">
        <v>108</v>
      </c>
      <c r="R918" s="32" t="str">
        <f>VLOOKUP($Q918,Resultados!$A$1:$B$49,2,FALSE)</f>
        <v xml:space="preserve"> _</v>
      </c>
      <c r="S918" s="32"/>
      <c r="T918" s="73"/>
      <c r="U918" s="37"/>
      <c r="V918" s="39"/>
      <c r="W918" s="39"/>
      <c r="X918" s="39"/>
      <c r="Y918" s="39"/>
      <c r="Z918" s="39"/>
      <c r="AA918" s="39"/>
      <c r="AB918" s="39"/>
      <c r="AC918" s="39"/>
      <c r="AD918" s="39"/>
      <c r="AE918" s="110"/>
      <c r="AF918" s="39"/>
      <c r="AG918" s="39"/>
      <c r="AH918" s="39"/>
      <c r="AI918" s="39"/>
      <c r="AJ918" s="101" t="s">
        <v>408</v>
      </c>
      <c r="AK918" s="39"/>
      <c r="AL918" s="155" t="s">
        <v>1627</v>
      </c>
      <c r="AM918" s="431" t="str">
        <f>VLOOKUP($Q918,Resultados!$A$1:$C$49,3,FALSE)</f>
        <v>TRAMITE</v>
      </c>
    </row>
    <row r="919" spans="1:39" ht="39.950000000000003" customHeight="1">
      <c r="A919" s="364">
        <v>914</v>
      </c>
      <c r="B919" s="38">
        <v>45394</v>
      </c>
      <c r="C919" s="337" t="s">
        <v>1069</v>
      </c>
      <c r="D919" s="32" t="s">
        <v>3010</v>
      </c>
      <c r="E919" s="41" t="s">
        <v>3014</v>
      </c>
      <c r="F919" s="39">
        <v>3</v>
      </c>
      <c r="G919" s="32" t="s">
        <v>10</v>
      </c>
      <c r="H919" s="38"/>
      <c r="I919" s="38"/>
      <c r="J919" s="38"/>
      <c r="K919" s="39" t="s">
        <v>1480</v>
      </c>
      <c r="L919" s="70" t="s">
        <v>88</v>
      </c>
      <c r="M919" s="70" t="s">
        <v>361</v>
      </c>
      <c r="N919" s="32" t="s">
        <v>3013</v>
      </c>
      <c r="O919" s="32" t="str">
        <f>IF(Q919=" _","NO","SI")</f>
        <v>NO</v>
      </c>
      <c r="P919" s="24" t="str">
        <f ca="1">IF(color_Celda(E919)=12106214,"ROSA",IF(color_Celda(E919)=65535,"AMARILLO",IF(color_Celda(E919)=5296274,"VERDE",IF(color_Celda(E919)=16777215,"BLANCO","NO SE"))))</f>
        <v>AMARILLO</v>
      </c>
      <c r="Q919" s="32" t="s">
        <v>108</v>
      </c>
      <c r="R919" s="32" t="str">
        <f>VLOOKUP($Q919,Resultados!$A$1:$B$49,2,FALSE)</f>
        <v xml:space="preserve"> _</v>
      </c>
      <c r="S919" s="32"/>
      <c r="T919" s="73"/>
      <c r="U919" s="37"/>
      <c r="V919" s="39"/>
      <c r="W919" s="39"/>
      <c r="X919" s="39"/>
      <c r="Y919" s="39"/>
      <c r="Z919" s="39"/>
      <c r="AA919" s="39"/>
      <c r="AB919" s="39"/>
      <c r="AC919" s="39"/>
      <c r="AD919" s="39"/>
      <c r="AE919" s="110"/>
      <c r="AF919" s="39"/>
      <c r="AG919" s="39"/>
      <c r="AH919" s="39"/>
      <c r="AI919" s="39"/>
      <c r="AJ919" s="101" t="s">
        <v>408</v>
      </c>
      <c r="AK919" s="39"/>
      <c r="AL919" s="155" t="s">
        <v>1627</v>
      </c>
      <c r="AM919" s="431" t="str">
        <f>VLOOKUP($Q919,Resultados!$A$1:$C$49,3,FALSE)</f>
        <v>TRAMITE</v>
      </c>
    </row>
    <row r="920" spans="1:39" ht="39.950000000000003" customHeight="1">
      <c r="A920" s="364">
        <v>915</v>
      </c>
      <c r="B920" s="38">
        <v>45394</v>
      </c>
      <c r="C920" s="331" t="s">
        <v>894</v>
      </c>
      <c r="D920" s="39" t="s">
        <v>3022</v>
      </c>
      <c r="E920" s="297" t="s">
        <v>3023</v>
      </c>
      <c r="F920" s="39">
        <v>1</v>
      </c>
      <c r="G920" s="32" t="s">
        <v>2876</v>
      </c>
      <c r="H920" s="38"/>
      <c r="I920" s="38"/>
      <c r="J920" s="38"/>
      <c r="K920" s="39" t="s">
        <v>1480</v>
      </c>
      <c r="L920" s="70" t="s">
        <v>87</v>
      </c>
      <c r="M920" s="70" t="s">
        <v>361</v>
      </c>
      <c r="N920" s="32" t="s">
        <v>3054</v>
      </c>
      <c r="O920" s="32" t="str">
        <f>IF(Q920=" _","NO","SI")</f>
        <v>NO</v>
      </c>
      <c r="P920" s="24" t="str">
        <f ca="1">IF(color_Celda(E920)=12106214,"ROSA",IF(color_Celda(E920)=65535,"AMARILLO",IF(color_Celda(E920)=5296274,"VERDE",IF(color_Celda(E920)=16777215,"BLANCO","NO SE"))))</f>
        <v>AMARILLO</v>
      </c>
      <c r="Q920" s="32" t="s">
        <v>108</v>
      </c>
      <c r="R920" s="32" t="str">
        <f>VLOOKUP($Q920,Resultados!$A$1:$B$49,2,FALSE)</f>
        <v xml:space="preserve"> _</v>
      </c>
      <c r="S920" s="32"/>
      <c r="T920" s="73"/>
      <c r="U920" s="37"/>
      <c r="V920" s="39"/>
      <c r="W920" s="39"/>
      <c r="X920" s="39"/>
      <c r="Y920" s="39"/>
      <c r="Z920" s="39"/>
      <c r="AA920" s="39"/>
      <c r="AB920" s="39"/>
      <c r="AC920" s="39"/>
      <c r="AD920" s="39"/>
      <c r="AE920" s="110"/>
      <c r="AF920" s="39"/>
      <c r="AG920" s="39"/>
      <c r="AH920" s="39"/>
      <c r="AI920" s="39"/>
      <c r="AJ920" s="101" t="s">
        <v>988</v>
      </c>
      <c r="AK920" s="39"/>
      <c r="AL920" s="155" t="s">
        <v>1627</v>
      </c>
      <c r="AM920" s="431" t="str">
        <f>VLOOKUP($Q920,Resultados!$A$1:$C$49,3,FALSE)</f>
        <v>TRAMITE</v>
      </c>
    </row>
    <row r="921" spans="1:39" ht="39.950000000000003" customHeight="1">
      <c r="A921" s="364">
        <v>916</v>
      </c>
      <c r="B921" s="38">
        <v>45394</v>
      </c>
      <c r="C921" s="331" t="s">
        <v>3024</v>
      </c>
      <c r="D921" s="39" t="s">
        <v>3025</v>
      </c>
      <c r="E921" s="41" t="s">
        <v>3058</v>
      </c>
      <c r="F921" s="39">
        <v>7</v>
      </c>
      <c r="G921" s="32" t="s">
        <v>1750</v>
      </c>
      <c r="H921" s="38"/>
      <c r="I921" s="38"/>
      <c r="J921" s="38"/>
      <c r="K921" s="39" t="s">
        <v>1480</v>
      </c>
      <c r="L921" s="70" t="s">
        <v>127</v>
      </c>
      <c r="M921" s="70" t="s">
        <v>53</v>
      </c>
      <c r="N921" s="32" t="s">
        <v>3059</v>
      </c>
      <c r="O921" s="32" t="str">
        <f>IF(Q921=" _","NO","SI")</f>
        <v>NO</v>
      </c>
      <c r="P921" s="24" t="str">
        <f ca="1">IF(color_Celda(E921)=12106214,"ROSA",IF(color_Celda(E921)=65535,"AMARILLO",IF(color_Celda(E921)=5296274,"VERDE",IF(color_Celda(E921)=16777215,"BLANCO","NO SE"))))</f>
        <v>AMARILLO</v>
      </c>
      <c r="Q921" s="32" t="s">
        <v>108</v>
      </c>
      <c r="R921" s="32" t="str">
        <f>VLOOKUP($Q921,Resultados!$A$1:$B$49,2,FALSE)</f>
        <v xml:space="preserve"> _</v>
      </c>
      <c r="S921" s="32"/>
      <c r="T921" s="73"/>
      <c r="U921" s="37"/>
      <c r="V921" s="39"/>
      <c r="W921" s="39"/>
      <c r="X921" s="39"/>
      <c r="Y921" s="39"/>
      <c r="Z921" s="39"/>
      <c r="AA921" s="39"/>
      <c r="AB921" s="39"/>
      <c r="AC921" s="39"/>
      <c r="AD921" s="39"/>
      <c r="AE921" s="110"/>
      <c r="AF921" s="39"/>
      <c r="AG921" s="39"/>
      <c r="AH921" s="39"/>
      <c r="AI921" s="39"/>
      <c r="AJ921" s="101" t="s">
        <v>408</v>
      </c>
      <c r="AK921" s="39"/>
      <c r="AL921" s="155" t="s">
        <v>1627</v>
      </c>
      <c r="AM921" s="431" t="str">
        <f>VLOOKUP($Q921,Resultados!$A$1:$C$49,3,FALSE)</f>
        <v>TRAMITE</v>
      </c>
    </row>
    <row r="922" spans="1:39" ht="39.950000000000003" customHeight="1">
      <c r="A922" s="364">
        <v>917</v>
      </c>
      <c r="B922" s="38">
        <v>45394</v>
      </c>
      <c r="C922" s="331" t="s">
        <v>3026</v>
      </c>
      <c r="D922" s="39" t="s">
        <v>3027</v>
      </c>
      <c r="E922" s="41" t="s">
        <v>3038</v>
      </c>
      <c r="F922" s="39">
        <v>2</v>
      </c>
      <c r="G922" s="32" t="s">
        <v>2876</v>
      </c>
      <c r="H922" s="38"/>
      <c r="I922" s="38"/>
      <c r="J922" s="38"/>
      <c r="K922" s="39" t="s">
        <v>1480</v>
      </c>
      <c r="L922" s="70" t="s">
        <v>77</v>
      </c>
      <c r="M922" s="70" t="s">
        <v>59</v>
      </c>
      <c r="N922" s="32" t="s">
        <v>3039</v>
      </c>
      <c r="O922" s="32" t="str">
        <f>IF(Q922=" _","NO","SI")</f>
        <v>NO</v>
      </c>
      <c r="P922" s="24" t="str">
        <f ca="1">IF(color_Celda(E922)=12106214,"ROSA",IF(color_Celda(E922)=65535,"AMARILLO",IF(color_Celda(E922)=5296274,"VERDE",IF(color_Celda(E922)=16777215,"BLANCO","NO SE"))))</f>
        <v>AMARILLO</v>
      </c>
      <c r="Q922" s="32" t="s">
        <v>108</v>
      </c>
      <c r="R922" s="32" t="str">
        <f>VLOOKUP($Q922,Resultados!$A$1:$B$49,2,FALSE)</f>
        <v xml:space="preserve"> _</v>
      </c>
      <c r="S922" s="32"/>
      <c r="T922" s="73"/>
      <c r="U922" s="37"/>
      <c r="V922" s="39"/>
      <c r="W922" s="39"/>
      <c r="X922" s="39"/>
      <c r="Y922" s="39"/>
      <c r="Z922" s="39"/>
      <c r="AA922" s="39"/>
      <c r="AB922" s="39"/>
      <c r="AC922" s="39"/>
      <c r="AD922" s="39"/>
      <c r="AE922" s="110"/>
      <c r="AF922" s="39"/>
      <c r="AG922" s="39"/>
      <c r="AH922" s="39"/>
      <c r="AI922" s="39"/>
      <c r="AJ922" s="101" t="s">
        <v>408</v>
      </c>
      <c r="AK922" s="39"/>
      <c r="AL922" s="155" t="s">
        <v>1627</v>
      </c>
      <c r="AM922" s="431" t="str">
        <f>VLOOKUP($Q922,Resultados!$A$1:$C$49,3,FALSE)</f>
        <v>TRAMITE</v>
      </c>
    </row>
    <row r="923" spans="1:39" ht="39.950000000000003" customHeight="1">
      <c r="A923" s="364">
        <v>918</v>
      </c>
      <c r="B923" s="38">
        <v>45394</v>
      </c>
      <c r="C923" s="331" t="s">
        <v>3029</v>
      </c>
      <c r="D923" s="39" t="s">
        <v>3030</v>
      </c>
      <c r="E923" s="297" t="s">
        <v>3031</v>
      </c>
      <c r="F923" s="39">
        <v>6</v>
      </c>
      <c r="G923" s="32" t="s">
        <v>2876</v>
      </c>
      <c r="H923" s="38"/>
      <c r="I923" s="38"/>
      <c r="J923" s="38"/>
      <c r="K923" s="39" t="s">
        <v>1480</v>
      </c>
      <c r="L923" s="70" t="s">
        <v>2173</v>
      </c>
      <c r="M923" s="70" t="s">
        <v>47</v>
      </c>
      <c r="N923" s="32" t="s">
        <v>3057</v>
      </c>
      <c r="O923" s="32" t="str">
        <f>IF(Q923=" _","NO","SI")</f>
        <v>NO</v>
      </c>
      <c r="P923" s="24" t="str">
        <f ca="1">IF(color_Celda(E923)=12106214,"ROSA",IF(color_Celda(E923)=65535,"AMARILLO",IF(color_Celda(E923)=5296274,"VERDE",IF(color_Celda(E923)=16777215,"BLANCO","NO SE"))))</f>
        <v>AMARILLO</v>
      </c>
      <c r="Q923" s="32" t="s">
        <v>108</v>
      </c>
      <c r="R923" s="32" t="str">
        <f>VLOOKUP($Q923,Resultados!$A$1:$B$49,2,FALSE)</f>
        <v xml:space="preserve"> _</v>
      </c>
      <c r="S923" s="32"/>
      <c r="T923" s="73"/>
      <c r="U923" s="37"/>
      <c r="V923" s="39"/>
      <c r="W923" s="39"/>
      <c r="X923" s="39"/>
      <c r="Y923" s="39"/>
      <c r="Z923" s="39"/>
      <c r="AA923" s="39"/>
      <c r="AB923" s="39"/>
      <c r="AC923" s="39"/>
      <c r="AD923" s="39"/>
      <c r="AE923" s="110"/>
      <c r="AF923" s="39"/>
      <c r="AG923" s="39"/>
      <c r="AH923" s="39"/>
      <c r="AI923" s="39"/>
      <c r="AJ923" s="101" t="s">
        <v>988</v>
      </c>
      <c r="AK923" s="39"/>
      <c r="AL923" s="155" t="s">
        <v>1627</v>
      </c>
      <c r="AM923" s="431" t="str">
        <f>VLOOKUP($Q923,Resultados!$A$1:$C$49,3,FALSE)</f>
        <v>TRAMITE</v>
      </c>
    </row>
    <row r="924" spans="1:39" ht="39.950000000000003" customHeight="1">
      <c r="A924" s="364">
        <v>919</v>
      </c>
      <c r="B924" s="38">
        <v>45394</v>
      </c>
      <c r="C924" s="331" t="s">
        <v>12</v>
      </c>
      <c r="D924" s="39" t="s">
        <v>3032</v>
      </c>
      <c r="E924" s="297" t="s">
        <v>3033</v>
      </c>
      <c r="F924" s="39">
        <v>6</v>
      </c>
      <c r="G924" s="32" t="s">
        <v>2876</v>
      </c>
      <c r="H924" s="38"/>
      <c r="I924" s="38"/>
      <c r="J924" s="38"/>
      <c r="K924" s="39" t="s">
        <v>1480</v>
      </c>
      <c r="L924" s="70" t="s">
        <v>74</v>
      </c>
      <c r="M924" s="70" t="s">
        <v>3045</v>
      </c>
      <c r="N924" s="32" t="s">
        <v>3046</v>
      </c>
      <c r="O924" s="32" t="str">
        <f>IF(Q924=" _","NO","SI")</f>
        <v>NO</v>
      </c>
      <c r="P924" s="24" t="str">
        <f ca="1">IF(color_Celda(E924)=12106214,"ROSA",IF(color_Celda(E924)=65535,"AMARILLO",IF(color_Celda(E924)=5296274,"VERDE",IF(color_Celda(E924)=16777215,"BLANCO","NO SE"))))</f>
        <v>AMARILLO</v>
      </c>
      <c r="Q924" s="32" t="s">
        <v>108</v>
      </c>
      <c r="R924" s="32" t="str">
        <f>VLOOKUP($Q924,Resultados!$A$1:$B$49,2,FALSE)</f>
        <v xml:space="preserve"> _</v>
      </c>
      <c r="S924" s="32"/>
      <c r="T924" s="73"/>
      <c r="U924" s="37"/>
      <c r="V924" s="39"/>
      <c r="W924" s="39"/>
      <c r="X924" s="39"/>
      <c r="Y924" s="39"/>
      <c r="Z924" s="39"/>
      <c r="AA924" s="39"/>
      <c r="AB924" s="39"/>
      <c r="AC924" s="39"/>
      <c r="AD924" s="39"/>
      <c r="AE924" s="110"/>
      <c r="AF924" s="39"/>
      <c r="AG924" s="39"/>
      <c r="AH924" s="39"/>
      <c r="AI924" s="39"/>
      <c r="AJ924" s="101" t="s">
        <v>988</v>
      </c>
      <c r="AK924" s="39"/>
      <c r="AL924" s="155" t="s">
        <v>1627</v>
      </c>
      <c r="AM924" s="431" t="str">
        <f>VLOOKUP($Q924,Resultados!$A$1:$C$49,3,FALSE)</f>
        <v>TRAMITE</v>
      </c>
    </row>
    <row r="925" spans="1:39" ht="39.950000000000003" customHeight="1">
      <c r="A925" s="374">
        <v>920</v>
      </c>
      <c r="B925" s="347">
        <v>45394</v>
      </c>
      <c r="C925" s="429" t="s">
        <v>12</v>
      </c>
      <c r="D925" s="350" t="s">
        <v>3034</v>
      </c>
      <c r="E925" s="297" t="s">
        <v>3035</v>
      </c>
      <c r="F925" s="350">
        <v>1</v>
      </c>
      <c r="G925" s="349" t="s">
        <v>2876</v>
      </c>
      <c r="H925" s="347"/>
      <c r="I925" s="347"/>
      <c r="J925" s="347"/>
      <c r="K925" s="350" t="s">
        <v>1480</v>
      </c>
      <c r="L925" s="265" t="s">
        <v>74</v>
      </c>
      <c r="M925" s="265" t="s">
        <v>61</v>
      </c>
      <c r="N925" s="349" t="s">
        <v>3302</v>
      </c>
      <c r="O925" s="349" t="str">
        <f>IF(Q925=" _","NO","SI")</f>
        <v>SI</v>
      </c>
      <c r="P925" s="266" t="str">
        <f ca="1">IF(color_Celda(E925)=12106214,"ROSA",IF(color_Celda(E925)=65535,"AMARILLO",IF(color_Celda(E925)=5296274,"VERDE",IF(color_Celda(E925)=16777215,"BLANCO","NO SE"))))</f>
        <v>AMARILLO</v>
      </c>
      <c r="Q925" s="349" t="s">
        <v>3112</v>
      </c>
      <c r="R925" s="349" t="str">
        <f>VLOOKUP($Q925,Resultados!$A$1:$B$49,2,FALSE)</f>
        <v>CON PROYECTO DE ELEVACION AL JUZGADO DE ORIGEN</v>
      </c>
      <c r="S925" s="349"/>
      <c r="T925" s="346">
        <v>45405</v>
      </c>
      <c r="U925" s="351"/>
      <c r="V925" s="350"/>
      <c r="W925" s="350"/>
      <c r="X925" s="349" t="s">
        <v>3301</v>
      </c>
      <c r="Y925" s="350"/>
      <c r="Z925" s="350"/>
      <c r="AA925" s="350"/>
      <c r="AB925" s="350"/>
      <c r="AC925" s="350"/>
      <c r="AD925" s="350"/>
      <c r="AE925" s="430"/>
      <c r="AF925" s="350"/>
      <c r="AG925" s="350"/>
      <c r="AH925" s="350"/>
      <c r="AI925" s="350"/>
      <c r="AJ925" s="420" t="s">
        <v>988</v>
      </c>
      <c r="AK925" s="350"/>
      <c r="AL925" s="345" t="s">
        <v>1627</v>
      </c>
      <c r="AM925" s="431" t="str">
        <f>VLOOKUP($Q925,Resultados!$A$1:$C$49,3,FALSE)</f>
        <v>PROYECTO</v>
      </c>
    </row>
    <row r="926" spans="1:39" ht="39.950000000000003" customHeight="1">
      <c r="A926" s="364">
        <v>923</v>
      </c>
      <c r="B926" s="38">
        <v>45397</v>
      </c>
      <c r="C926" s="337" t="s">
        <v>12</v>
      </c>
      <c r="D926" s="32" t="s">
        <v>3043</v>
      </c>
      <c r="E926" s="40" t="s">
        <v>3044</v>
      </c>
      <c r="F926" s="39">
        <v>6</v>
      </c>
      <c r="G926" s="32" t="s">
        <v>2876</v>
      </c>
      <c r="H926" s="38"/>
      <c r="I926" s="38"/>
      <c r="J926" s="38"/>
      <c r="K926" s="39" t="s">
        <v>1480</v>
      </c>
      <c r="L926" s="70" t="s">
        <v>87</v>
      </c>
      <c r="M926" s="70" t="s">
        <v>44</v>
      </c>
      <c r="N926" s="32" t="s">
        <v>3049</v>
      </c>
      <c r="O926" s="32" t="str">
        <f>IF(Q926=" _","NO","SI")</f>
        <v>NO</v>
      </c>
      <c r="P926" s="24" t="str">
        <f ca="1">IF(color_Celda(E926)=12106214,"ROSA",IF(color_Celda(E926)=65535,"AMARILLO",IF(color_Celda(E926)=5296274,"VERDE",IF(color_Celda(E926)=16777215,"BLANCO","NO SE"))))</f>
        <v>AMARILLO</v>
      </c>
      <c r="Q926" s="32" t="s">
        <v>108</v>
      </c>
      <c r="R926" s="32" t="str">
        <f>VLOOKUP($Q926,Resultados!$A$1:$B$49,2,FALSE)</f>
        <v xml:space="preserve"> _</v>
      </c>
      <c r="S926" s="32"/>
      <c r="T926" s="73"/>
      <c r="U926" s="37"/>
      <c r="V926" s="39"/>
      <c r="W926" s="39"/>
      <c r="X926" s="39"/>
      <c r="Y926" s="39"/>
      <c r="Z926" s="39"/>
      <c r="AA926" s="39"/>
      <c r="AB926" s="39"/>
      <c r="AC926" s="39"/>
      <c r="AD926" s="39"/>
      <c r="AE926" s="110"/>
      <c r="AF926" s="39"/>
      <c r="AG926" s="39"/>
      <c r="AH926" s="39"/>
      <c r="AI926" s="39"/>
      <c r="AJ926" s="101" t="s">
        <v>988</v>
      </c>
      <c r="AK926" s="39"/>
      <c r="AL926" s="155" t="s">
        <v>1627</v>
      </c>
      <c r="AM926" s="431" t="str">
        <f>VLOOKUP($Q926,Resultados!$A$1:$C$49,3,FALSE)</f>
        <v>TRAMITE</v>
      </c>
    </row>
    <row r="927" spans="1:39" ht="39.950000000000003" customHeight="1">
      <c r="A927" s="364">
        <v>925</v>
      </c>
      <c r="B927" s="38">
        <v>45397</v>
      </c>
      <c r="C927" s="337" t="s">
        <v>34</v>
      </c>
      <c r="D927" s="32" t="s">
        <v>3052</v>
      </c>
      <c r="E927" s="40" t="s">
        <v>3053</v>
      </c>
      <c r="F927" s="39">
        <v>4</v>
      </c>
      <c r="G927" s="32" t="s">
        <v>325</v>
      </c>
      <c r="H927" s="38"/>
      <c r="I927" s="38"/>
      <c r="J927" s="38"/>
      <c r="K927" s="39" t="s">
        <v>1480</v>
      </c>
      <c r="L927" s="70" t="s">
        <v>73</v>
      </c>
      <c r="M927" s="70" t="s">
        <v>1156</v>
      </c>
      <c r="N927" s="32" t="s">
        <v>3054</v>
      </c>
      <c r="O927" s="32" t="str">
        <f>IF(Q927=" _","NO","SI")</f>
        <v>NO</v>
      </c>
      <c r="P927" s="24" t="str">
        <f ca="1">IF(color_Celda(E927)=12106214,"ROSA",IF(color_Celda(E927)=65535,"AMARILLO",IF(color_Celda(E927)=5296274,"VERDE",IF(color_Celda(E927)=16777215,"BLANCO","NO SE"))))</f>
        <v>AMARILLO</v>
      </c>
      <c r="Q927" s="32" t="s">
        <v>108</v>
      </c>
      <c r="R927" s="32" t="str">
        <f>VLOOKUP($Q927,Resultados!$A$1:$B$49,2,FALSE)</f>
        <v xml:space="preserve"> _</v>
      </c>
      <c r="S927" s="32"/>
      <c r="T927" s="73"/>
      <c r="U927" s="37"/>
      <c r="V927" s="39"/>
      <c r="W927" s="39"/>
      <c r="X927" s="39"/>
      <c r="Y927" s="39"/>
      <c r="Z927" s="39"/>
      <c r="AA927" s="39"/>
      <c r="AB927" s="39"/>
      <c r="AC927" s="39"/>
      <c r="AD927" s="39"/>
      <c r="AE927" s="110"/>
      <c r="AF927" s="39"/>
      <c r="AG927" s="39"/>
      <c r="AH927" s="39"/>
      <c r="AI927" s="39"/>
      <c r="AJ927" s="101" t="s">
        <v>988</v>
      </c>
      <c r="AK927" s="39"/>
      <c r="AL927" s="155" t="s">
        <v>1627</v>
      </c>
      <c r="AM927" s="431" t="str">
        <f>VLOOKUP($Q927,Resultados!$A$1:$C$49,3,FALSE)</f>
        <v>TRAMITE</v>
      </c>
    </row>
    <row r="928" spans="1:39" ht="39.950000000000003" customHeight="1">
      <c r="A928" s="364">
        <v>926</v>
      </c>
      <c r="B928" s="38">
        <v>45398</v>
      </c>
      <c r="C928" s="32" t="s">
        <v>1190</v>
      </c>
      <c r="D928" s="32" t="s">
        <v>3080</v>
      </c>
      <c r="E928" s="40" t="s">
        <v>3079</v>
      </c>
      <c r="F928" s="39">
        <v>2</v>
      </c>
      <c r="G928" s="32" t="s">
        <v>325</v>
      </c>
      <c r="H928" s="38"/>
      <c r="I928" s="38"/>
      <c r="J928" s="38"/>
      <c r="K928" s="39" t="s">
        <v>1480</v>
      </c>
      <c r="L928" s="70" t="s">
        <v>77</v>
      </c>
      <c r="M928" s="70" t="s">
        <v>44</v>
      </c>
      <c r="N928" s="32" t="s">
        <v>3083</v>
      </c>
      <c r="O928" s="32" t="str">
        <f>IF(Q928=" _","NO","SI")</f>
        <v>NO</v>
      </c>
      <c r="P928" s="24" t="str">
        <f ca="1">IF(color_Celda(E928)=12106214,"ROSA",IF(color_Celda(E928)=65535,"AMARILLO",IF(color_Celda(E928)=5296274,"VERDE",IF(color_Celda(E928)=16777215,"BLANCO","NO SE"))))</f>
        <v>AMARILLO</v>
      </c>
      <c r="Q928" s="32" t="s">
        <v>108</v>
      </c>
      <c r="R928" s="32" t="str">
        <f>VLOOKUP($Q928,Resultados!$A$1:$B$49,2,FALSE)</f>
        <v xml:space="preserve"> _</v>
      </c>
      <c r="S928" s="32"/>
      <c r="T928" s="73"/>
      <c r="U928" s="37"/>
      <c r="V928" s="39"/>
      <c r="W928" s="39"/>
      <c r="X928" s="39"/>
      <c r="Y928" s="39"/>
      <c r="Z928" s="39"/>
      <c r="AA928" s="39"/>
      <c r="AB928" s="39"/>
      <c r="AC928" s="39"/>
      <c r="AD928" s="39"/>
      <c r="AE928" s="110"/>
      <c r="AF928" s="39"/>
      <c r="AG928" s="39"/>
      <c r="AH928" s="39"/>
      <c r="AI928" s="39"/>
      <c r="AJ928" s="101" t="s">
        <v>988</v>
      </c>
      <c r="AK928" s="39"/>
      <c r="AL928" s="155" t="s">
        <v>1627</v>
      </c>
      <c r="AM928" s="431" t="str">
        <f>VLOOKUP($Q928,Resultados!$A$1:$C$49,3,FALSE)</f>
        <v>TRAMITE</v>
      </c>
    </row>
    <row r="929" spans="1:39" ht="39.950000000000003" customHeight="1">
      <c r="A929" s="364">
        <v>927</v>
      </c>
      <c r="B929" s="38">
        <v>45398</v>
      </c>
      <c r="C929" s="32" t="s">
        <v>2321</v>
      </c>
      <c r="D929" s="32" t="s">
        <v>3081</v>
      </c>
      <c r="E929" s="40" t="s">
        <v>3082</v>
      </c>
      <c r="F929" s="39">
        <v>2</v>
      </c>
      <c r="G929" s="32" t="s">
        <v>325</v>
      </c>
      <c r="H929" s="38"/>
      <c r="I929" s="38"/>
      <c r="J929" s="38"/>
      <c r="K929" s="39" t="s">
        <v>1480</v>
      </c>
      <c r="L929" s="70" t="s">
        <v>74</v>
      </c>
      <c r="M929" s="70" t="s">
        <v>59</v>
      </c>
      <c r="N929" s="32" t="s">
        <v>3083</v>
      </c>
      <c r="O929" s="32" t="str">
        <f>IF(Q929=" _","NO","SI")</f>
        <v>NO</v>
      </c>
      <c r="P929" s="24" t="str">
        <f ca="1">IF(color_Celda(E929)=12106214,"ROSA",IF(color_Celda(E929)=65535,"AMARILLO",IF(color_Celda(E929)=5296274,"VERDE",IF(color_Celda(E929)=16777215,"BLANCO","NO SE"))))</f>
        <v>AMARILLO</v>
      </c>
      <c r="Q929" s="32" t="s">
        <v>108</v>
      </c>
      <c r="R929" s="32" t="str">
        <f>VLOOKUP($Q929,Resultados!$A$1:$B$49,2,FALSE)</f>
        <v xml:space="preserve"> _</v>
      </c>
      <c r="S929" s="32"/>
      <c r="T929" s="73"/>
      <c r="U929" s="37"/>
      <c r="V929" s="39"/>
      <c r="W929" s="39"/>
      <c r="X929" s="39"/>
      <c r="Y929" s="39"/>
      <c r="Z929" s="39"/>
      <c r="AA929" s="39"/>
      <c r="AB929" s="39"/>
      <c r="AC929" s="39"/>
      <c r="AD929" s="39"/>
      <c r="AE929" s="110"/>
      <c r="AF929" s="39"/>
      <c r="AG929" s="39"/>
      <c r="AH929" s="39"/>
      <c r="AI929" s="39"/>
      <c r="AJ929" s="101" t="s">
        <v>988</v>
      </c>
      <c r="AK929" s="39"/>
      <c r="AL929" s="155" t="s">
        <v>1627</v>
      </c>
      <c r="AM929" s="431" t="str">
        <f>VLOOKUP($Q929,Resultados!$A$1:$C$49,3,FALSE)</f>
        <v>TRAMITE</v>
      </c>
    </row>
    <row r="930" spans="1:39" ht="39.950000000000003" customHeight="1">
      <c r="A930" s="364">
        <v>928</v>
      </c>
      <c r="B930" s="35">
        <v>45398</v>
      </c>
      <c r="C930" s="32" t="s">
        <v>3084</v>
      </c>
      <c r="D930" s="32" t="s">
        <v>3085</v>
      </c>
      <c r="E930" s="40" t="s">
        <v>3086</v>
      </c>
      <c r="F930" s="39">
        <v>3</v>
      </c>
      <c r="G930" s="32" t="s">
        <v>1750</v>
      </c>
      <c r="H930" s="38"/>
      <c r="I930" s="38"/>
      <c r="J930" s="38"/>
      <c r="K930" s="39" t="s">
        <v>1480</v>
      </c>
      <c r="L930" s="70" t="s">
        <v>2169</v>
      </c>
      <c r="M930" s="70" t="s">
        <v>1589</v>
      </c>
      <c r="N930" s="32" t="s">
        <v>3087</v>
      </c>
      <c r="O930" s="32" t="str">
        <f>IF(Q930=" _","NO","SI")</f>
        <v>NO</v>
      </c>
      <c r="P930" s="24" t="str">
        <f ca="1">IF(color_Celda(E930)=12106214,"ROSA",IF(color_Celda(E930)=65535,"AMARILLO",IF(color_Celda(E930)=5296274,"VERDE",IF(color_Celda(E930)=16777215,"BLANCO","NO SE"))))</f>
        <v>AMARILLO</v>
      </c>
      <c r="Q930" s="32" t="s">
        <v>108</v>
      </c>
      <c r="R930" s="32" t="str">
        <f>VLOOKUP($Q930,Resultados!$A$1:$B$49,2,FALSE)</f>
        <v xml:space="preserve"> _</v>
      </c>
      <c r="S930" s="32"/>
      <c r="T930" s="73"/>
      <c r="U930" s="37"/>
      <c r="V930" s="39"/>
      <c r="W930" s="39"/>
      <c r="X930" s="39"/>
      <c r="Y930" s="39"/>
      <c r="Z930" s="39"/>
      <c r="AA930" s="39"/>
      <c r="AB930" s="39"/>
      <c r="AC930" s="39"/>
      <c r="AD930" s="39"/>
      <c r="AE930" s="110"/>
      <c r="AF930" s="39"/>
      <c r="AG930" s="39"/>
      <c r="AH930" s="39"/>
      <c r="AI930" s="39"/>
      <c r="AJ930" s="101" t="s">
        <v>988</v>
      </c>
      <c r="AK930" s="39"/>
      <c r="AL930" s="155" t="s">
        <v>1627</v>
      </c>
      <c r="AM930" s="431" t="str">
        <f>VLOOKUP($Q930,Resultados!$A$1:$C$49,3,FALSE)</f>
        <v>TRAMITE</v>
      </c>
    </row>
    <row r="931" spans="1:39" ht="39.950000000000003" customHeight="1">
      <c r="A931" s="364">
        <v>929</v>
      </c>
      <c r="B931" s="38">
        <v>45399</v>
      </c>
      <c r="C931" s="32" t="s">
        <v>3092</v>
      </c>
      <c r="D931" s="32" t="s">
        <v>3093</v>
      </c>
      <c r="E931" s="40" t="s">
        <v>3094</v>
      </c>
      <c r="F931" s="39">
        <v>2</v>
      </c>
      <c r="G931" s="32" t="s">
        <v>325</v>
      </c>
      <c r="H931" s="38"/>
      <c r="I931" s="38"/>
      <c r="J931" s="38"/>
      <c r="K931" s="39" t="s">
        <v>1480</v>
      </c>
      <c r="L931" s="70" t="s">
        <v>250</v>
      </c>
      <c r="M931" s="70" t="s">
        <v>44</v>
      </c>
      <c r="N931" s="32" t="s">
        <v>3145</v>
      </c>
      <c r="O931" s="32" t="str">
        <f>IF(Q931=" _","NO","SI")</f>
        <v>NO</v>
      </c>
      <c r="P931" s="24" t="str">
        <f ca="1">IF(color_Celda(E931)=12106214,"ROSA",IF(color_Celda(E931)=65535,"AMARILLO",IF(color_Celda(E931)=5296274,"VERDE",IF(color_Celda(E931)=16777215,"BLANCO","NO SE"))))</f>
        <v>AMARILLO</v>
      </c>
      <c r="Q931" s="32" t="s">
        <v>108</v>
      </c>
      <c r="R931" s="32" t="str">
        <f>VLOOKUP($Q931,Resultados!$A$1:$B$49,2,FALSE)</f>
        <v xml:space="preserve"> _</v>
      </c>
      <c r="S931" s="160">
        <v>45222</v>
      </c>
      <c r="T931" s="73"/>
      <c r="U931" s="37"/>
      <c r="V931" s="39"/>
      <c r="W931" s="39"/>
      <c r="X931" s="39"/>
      <c r="Y931" s="39"/>
      <c r="Z931" s="39"/>
      <c r="AA931" s="39"/>
      <c r="AB931" s="39"/>
      <c r="AC931" s="39"/>
      <c r="AD931" s="39"/>
      <c r="AE931" s="110"/>
      <c r="AF931" s="39"/>
      <c r="AG931" s="39"/>
      <c r="AH931" s="39"/>
      <c r="AI931" s="39"/>
      <c r="AJ931" s="101" t="s">
        <v>988</v>
      </c>
      <c r="AK931" s="39"/>
      <c r="AL931" s="155" t="s">
        <v>1627</v>
      </c>
      <c r="AM931" s="431" t="str">
        <f>VLOOKUP($Q931,Resultados!$A$1:$C$49,3,FALSE)</f>
        <v>TRAMITE</v>
      </c>
    </row>
    <row r="932" spans="1:39" ht="39.950000000000003" customHeight="1">
      <c r="A932" s="364">
        <v>930</v>
      </c>
      <c r="B932" s="38">
        <v>45399</v>
      </c>
      <c r="C932" s="32" t="s">
        <v>402</v>
      </c>
      <c r="D932" s="32" t="s">
        <v>3098</v>
      </c>
      <c r="E932" s="40" t="s">
        <v>3099</v>
      </c>
      <c r="F932" s="39">
        <v>5</v>
      </c>
      <c r="G932" s="32" t="s">
        <v>10</v>
      </c>
      <c r="H932" s="38"/>
      <c r="I932" s="38"/>
      <c r="J932" s="38"/>
      <c r="K932" s="39" t="s">
        <v>1480</v>
      </c>
      <c r="L932" s="70" t="s">
        <v>2170</v>
      </c>
      <c r="M932" s="70" t="s">
        <v>131</v>
      </c>
      <c r="N932" s="39"/>
      <c r="O932" s="32" t="str">
        <f>IF(Q932=" _","NO","SI")</f>
        <v>NO</v>
      </c>
      <c r="P932" s="24" t="str">
        <f ca="1">IF(color_Celda(E932)=12106214,"ROSA",IF(color_Celda(E932)=65535,"AMARILLO",IF(color_Celda(E932)=5296274,"VERDE",IF(color_Celda(E932)=16777215,"BLANCO","NO SE"))))</f>
        <v>AMARILLO</v>
      </c>
      <c r="Q932" s="32" t="s">
        <v>108</v>
      </c>
      <c r="R932" s="32" t="str">
        <f>VLOOKUP($Q932,Resultados!$A$1:$B$49,2,FALSE)</f>
        <v xml:space="preserve"> _</v>
      </c>
      <c r="S932" s="160">
        <v>44579</v>
      </c>
      <c r="T932" s="73"/>
      <c r="U932" s="37"/>
      <c r="V932" s="39"/>
      <c r="W932" s="39"/>
      <c r="X932" s="39"/>
      <c r="Y932" s="39"/>
      <c r="Z932" s="39"/>
      <c r="AA932" s="39"/>
      <c r="AB932" s="39"/>
      <c r="AC932" s="39"/>
      <c r="AD932" s="39"/>
      <c r="AE932" s="110"/>
      <c r="AF932" s="39"/>
      <c r="AG932" s="39"/>
      <c r="AH932" s="39"/>
      <c r="AI932" s="39"/>
      <c r="AJ932" s="101" t="s">
        <v>988</v>
      </c>
      <c r="AK932" s="39"/>
      <c r="AL932" s="155" t="s">
        <v>1627</v>
      </c>
      <c r="AM932" s="431" t="str">
        <f>VLOOKUP($Q932,Resultados!$A$1:$C$49,3,FALSE)</f>
        <v>TRAMITE</v>
      </c>
    </row>
    <row r="933" spans="1:39" ht="39.950000000000003" customHeight="1">
      <c r="A933" s="364">
        <v>931</v>
      </c>
      <c r="B933" s="38">
        <v>45399</v>
      </c>
      <c r="C933" s="32" t="s">
        <v>1643</v>
      </c>
      <c r="D933" s="32" t="s">
        <v>3100</v>
      </c>
      <c r="E933" s="40" t="s">
        <v>3101</v>
      </c>
      <c r="F933" s="39">
        <v>5</v>
      </c>
      <c r="G933" s="32" t="s">
        <v>10</v>
      </c>
      <c r="H933" s="38"/>
      <c r="I933" s="38"/>
      <c r="J933" s="38"/>
      <c r="K933" s="39" t="s">
        <v>1480</v>
      </c>
      <c r="L933" s="70" t="s">
        <v>87</v>
      </c>
      <c r="M933" s="70" t="s">
        <v>1156</v>
      </c>
      <c r="N933" s="32" t="s">
        <v>3128</v>
      </c>
      <c r="O933" s="32" t="str">
        <f>IF(Q933=" _","NO","SI")</f>
        <v>NO</v>
      </c>
      <c r="P933" s="24" t="str">
        <f ca="1">IF(color_Celda(E933)=12106214,"ROSA",IF(color_Celda(E933)=65535,"AMARILLO",IF(color_Celda(E933)=5296274,"VERDE",IF(color_Celda(E933)=16777215,"BLANCO","NO SE"))))</f>
        <v>AMARILLO</v>
      </c>
      <c r="Q933" s="32" t="s">
        <v>108</v>
      </c>
      <c r="R933" s="32" t="str">
        <f>VLOOKUP($Q933,Resultados!$A$1:$B$49,2,FALSE)</f>
        <v xml:space="preserve"> _</v>
      </c>
      <c r="S933" s="160">
        <v>45351</v>
      </c>
      <c r="T933" s="73"/>
      <c r="U933" s="37"/>
      <c r="V933" s="39"/>
      <c r="W933" s="39"/>
      <c r="X933" s="39"/>
      <c r="Y933" s="39"/>
      <c r="Z933" s="39"/>
      <c r="AA933" s="39"/>
      <c r="AB933" s="39"/>
      <c r="AC933" s="39"/>
      <c r="AD933" s="39"/>
      <c r="AE933" s="110"/>
      <c r="AF933" s="39"/>
      <c r="AG933" s="39"/>
      <c r="AH933" s="39"/>
      <c r="AI933" s="39"/>
      <c r="AJ933" s="101" t="s">
        <v>988</v>
      </c>
      <c r="AK933" s="39"/>
      <c r="AL933" s="155" t="s">
        <v>1627</v>
      </c>
      <c r="AM933" s="431" t="str">
        <f>VLOOKUP($Q933,Resultados!$A$1:$C$49,3,FALSE)</f>
        <v>TRAMITE</v>
      </c>
    </row>
    <row r="934" spans="1:39" ht="39.950000000000003" customHeight="1">
      <c r="A934" s="364">
        <v>932</v>
      </c>
      <c r="B934" s="38">
        <v>45399</v>
      </c>
      <c r="C934" s="32" t="s">
        <v>12</v>
      </c>
      <c r="D934" s="32" t="s">
        <v>3102</v>
      </c>
      <c r="E934" s="40" t="s">
        <v>3135</v>
      </c>
      <c r="F934" s="39">
        <v>7</v>
      </c>
      <c r="G934" s="32" t="s">
        <v>10</v>
      </c>
      <c r="H934" s="38"/>
      <c r="I934" s="38"/>
      <c r="J934" s="38"/>
      <c r="K934" s="39" t="s">
        <v>1480</v>
      </c>
      <c r="L934" s="70" t="s">
        <v>2173</v>
      </c>
      <c r="M934" s="70" t="s">
        <v>62</v>
      </c>
      <c r="N934" s="32" t="s">
        <v>3128</v>
      </c>
      <c r="O934" s="32" t="str">
        <f>IF(Q934=" _","NO","SI")</f>
        <v>NO</v>
      </c>
      <c r="P934" s="24" t="str">
        <f ca="1">IF(color_Celda(E934)=12106214,"ROSA",IF(color_Celda(E934)=65535,"AMARILLO",IF(color_Celda(E934)=5296274,"VERDE",IF(color_Celda(E934)=16777215,"BLANCO","NO SE"))))</f>
        <v>AMARILLO</v>
      </c>
      <c r="Q934" s="32" t="s">
        <v>108</v>
      </c>
      <c r="R934" s="32" t="str">
        <f>VLOOKUP($Q934,Resultados!$A$1:$B$49,2,FALSE)</f>
        <v xml:space="preserve"> _</v>
      </c>
      <c r="S934" s="160">
        <v>45175</v>
      </c>
      <c r="T934" s="73"/>
      <c r="U934" s="37"/>
      <c r="V934" s="39"/>
      <c r="W934" s="39"/>
      <c r="X934" s="39"/>
      <c r="Y934" s="39"/>
      <c r="Z934" s="39"/>
      <c r="AA934" s="39"/>
      <c r="AB934" s="39"/>
      <c r="AC934" s="39"/>
      <c r="AD934" s="39"/>
      <c r="AE934" s="110"/>
      <c r="AF934" s="39"/>
      <c r="AG934" s="39"/>
      <c r="AH934" s="39"/>
      <c r="AI934" s="39"/>
      <c r="AJ934" s="101" t="s">
        <v>988</v>
      </c>
      <c r="AK934" s="39"/>
      <c r="AL934" s="155" t="s">
        <v>1627</v>
      </c>
      <c r="AM934" s="431" t="str">
        <f>VLOOKUP($Q934,Resultados!$A$1:$C$49,3,FALSE)</f>
        <v>TRAMITE</v>
      </c>
    </row>
    <row r="935" spans="1:39" ht="39.950000000000003" customHeight="1">
      <c r="A935" s="364">
        <v>933</v>
      </c>
      <c r="B935" s="38">
        <v>45399</v>
      </c>
      <c r="C935" s="32" t="s">
        <v>12</v>
      </c>
      <c r="D935" s="32" t="s">
        <v>3103</v>
      </c>
      <c r="E935" s="40" t="s">
        <v>3104</v>
      </c>
      <c r="F935" s="39">
        <v>6</v>
      </c>
      <c r="G935" s="32" t="s">
        <v>2876</v>
      </c>
      <c r="H935" s="38"/>
      <c r="I935" s="38"/>
      <c r="J935" s="38"/>
      <c r="K935" s="39" t="s">
        <v>1480</v>
      </c>
      <c r="L935" s="70" t="s">
        <v>78</v>
      </c>
      <c r="M935" s="70" t="s">
        <v>270</v>
      </c>
      <c r="N935" s="32" t="s">
        <v>3134</v>
      </c>
      <c r="O935" s="32" t="str">
        <f>IF(Q935=" _","NO","SI")</f>
        <v>NO</v>
      </c>
      <c r="P935" s="24" t="str">
        <f ca="1">IF(color_Celda(E935)=12106214,"ROSA",IF(color_Celda(E935)=65535,"AMARILLO",IF(color_Celda(E935)=5296274,"VERDE",IF(color_Celda(E935)=16777215,"BLANCO","NO SE"))))</f>
        <v>AMARILLO</v>
      </c>
      <c r="Q935" s="32" t="s">
        <v>108</v>
      </c>
      <c r="R935" s="32" t="str">
        <f>VLOOKUP($Q935,Resultados!$A$1:$B$49,2,FALSE)</f>
        <v xml:space="preserve"> _</v>
      </c>
      <c r="S935" s="160">
        <v>45393</v>
      </c>
      <c r="T935" s="73"/>
      <c r="U935" s="37"/>
      <c r="V935" s="39"/>
      <c r="W935" s="39"/>
      <c r="X935" s="39"/>
      <c r="Y935" s="39"/>
      <c r="Z935" s="39"/>
      <c r="AA935" s="39"/>
      <c r="AB935" s="39"/>
      <c r="AC935" s="39"/>
      <c r="AD935" s="39"/>
      <c r="AE935" s="110"/>
      <c r="AF935" s="39"/>
      <c r="AG935" s="39"/>
      <c r="AH935" s="39"/>
      <c r="AI935" s="39"/>
      <c r="AJ935" s="101" t="s">
        <v>988</v>
      </c>
      <c r="AK935" s="39"/>
      <c r="AL935" s="155" t="s">
        <v>1627</v>
      </c>
      <c r="AM935" s="431" t="str">
        <f>VLOOKUP($Q935,Resultados!$A$1:$C$49,3,FALSE)</f>
        <v>TRAMITE</v>
      </c>
    </row>
    <row r="936" spans="1:39" ht="39.950000000000003" customHeight="1">
      <c r="A936" s="364">
        <v>934</v>
      </c>
      <c r="B936" s="38">
        <v>45399</v>
      </c>
      <c r="C936" s="32" t="s">
        <v>12</v>
      </c>
      <c r="D936" s="32" t="s">
        <v>3105</v>
      </c>
      <c r="E936" s="40" t="s">
        <v>3113</v>
      </c>
      <c r="F936" s="39">
        <v>6</v>
      </c>
      <c r="G936" s="32" t="s">
        <v>2876</v>
      </c>
      <c r="H936" s="38"/>
      <c r="I936" s="38"/>
      <c r="J936" s="38"/>
      <c r="K936" s="39" t="s">
        <v>1480</v>
      </c>
      <c r="L936" s="70" t="s">
        <v>250</v>
      </c>
      <c r="M936" s="70" t="s">
        <v>62</v>
      </c>
      <c r="N936" s="32" t="s">
        <v>3134</v>
      </c>
      <c r="O936" s="32" t="str">
        <f>IF(Q936=" _","NO","SI")</f>
        <v>NO</v>
      </c>
      <c r="P936" s="24" t="str">
        <f ca="1">IF(color_Celda(E936)=12106214,"ROSA",IF(color_Celda(E936)=65535,"AMARILLO",IF(color_Celda(E936)=5296274,"VERDE",IF(color_Celda(E936)=16777215,"BLANCO","NO SE"))))</f>
        <v>AMARILLO</v>
      </c>
      <c r="Q936" s="32" t="s">
        <v>108</v>
      </c>
      <c r="R936" s="32" t="str">
        <f>VLOOKUP($Q936,Resultados!$A$1:$B$49,2,FALSE)</f>
        <v xml:space="preserve"> _</v>
      </c>
      <c r="S936" s="160">
        <v>45230</v>
      </c>
      <c r="T936" s="73"/>
      <c r="U936" s="37"/>
      <c r="V936" s="39"/>
      <c r="W936" s="39"/>
      <c r="X936" s="39"/>
      <c r="Y936" s="39"/>
      <c r="Z936" s="39"/>
      <c r="AA936" s="39"/>
      <c r="AB936" s="39"/>
      <c r="AC936" s="39"/>
      <c r="AD936" s="39"/>
      <c r="AE936" s="110"/>
      <c r="AF936" s="39"/>
      <c r="AG936" s="39"/>
      <c r="AH936" s="39"/>
      <c r="AI936" s="39"/>
      <c r="AJ936" s="101" t="s">
        <v>988</v>
      </c>
      <c r="AK936" s="39"/>
      <c r="AL936" s="155" t="s">
        <v>1627</v>
      </c>
      <c r="AM936" s="431" t="str">
        <f>VLOOKUP($Q936,Resultados!$A$1:$C$49,3,FALSE)</f>
        <v>TRAMITE</v>
      </c>
    </row>
    <row r="937" spans="1:39" ht="39.950000000000003" customHeight="1">
      <c r="A937" s="364">
        <v>935</v>
      </c>
      <c r="B937" s="38">
        <v>45399</v>
      </c>
      <c r="C937" s="32" t="s">
        <v>12</v>
      </c>
      <c r="D937" s="32" t="s">
        <v>3106</v>
      </c>
      <c r="E937" s="40" t="s">
        <v>3107</v>
      </c>
      <c r="F937" s="39">
        <v>2</v>
      </c>
      <c r="G937" s="32" t="s">
        <v>325</v>
      </c>
      <c r="H937" s="38"/>
      <c r="I937" s="38"/>
      <c r="J937" s="38"/>
      <c r="K937" s="39" t="s">
        <v>1480</v>
      </c>
      <c r="L937" s="70" t="s">
        <v>72</v>
      </c>
      <c r="M937" s="70" t="s">
        <v>1156</v>
      </c>
      <c r="N937" s="32" t="s">
        <v>3083</v>
      </c>
      <c r="O937" s="32" t="str">
        <f>IF(Q937=" _","NO","SI")</f>
        <v>NO</v>
      </c>
      <c r="P937" s="24" t="str">
        <f ca="1">IF(color_Celda(E937)=12106214,"ROSA",IF(color_Celda(E937)=65535,"AMARILLO",IF(color_Celda(E937)=5296274,"VERDE",IF(color_Celda(E937)=16777215,"BLANCO","NO SE"))))</f>
        <v>AMARILLO</v>
      </c>
      <c r="Q937" s="32" t="s">
        <v>108</v>
      </c>
      <c r="R937" s="32" t="str">
        <f>VLOOKUP($Q937,Resultados!$A$1:$B$49,2,FALSE)</f>
        <v xml:space="preserve"> _</v>
      </c>
      <c r="S937" s="160">
        <v>45394</v>
      </c>
      <c r="T937" s="73"/>
      <c r="U937" s="37"/>
      <c r="V937" s="39"/>
      <c r="W937" s="39"/>
      <c r="X937" s="39"/>
      <c r="Y937" s="39"/>
      <c r="Z937" s="39"/>
      <c r="AA937" s="39"/>
      <c r="AB937" s="39"/>
      <c r="AC937" s="39"/>
      <c r="AD937" s="39"/>
      <c r="AE937" s="110"/>
      <c r="AF937" s="39"/>
      <c r="AG937" s="39"/>
      <c r="AH937" s="39"/>
      <c r="AI937" s="39"/>
      <c r="AJ937" s="101" t="s">
        <v>988</v>
      </c>
      <c r="AK937" s="39"/>
      <c r="AL937" s="155" t="s">
        <v>1627</v>
      </c>
      <c r="AM937" s="431" t="str">
        <f>VLOOKUP($Q937,Resultados!$A$1:$C$49,3,FALSE)</f>
        <v>TRAMITE</v>
      </c>
    </row>
    <row r="938" spans="1:39" ht="39.950000000000003" customHeight="1">
      <c r="A938" s="364">
        <v>936</v>
      </c>
      <c r="B938" s="38">
        <v>45399</v>
      </c>
      <c r="C938" s="32" t="s">
        <v>1680</v>
      </c>
      <c r="D938" s="32" t="s">
        <v>3108</v>
      </c>
      <c r="E938" s="40" t="s">
        <v>3109</v>
      </c>
      <c r="F938" s="39">
        <v>5</v>
      </c>
      <c r="G938" s="32" t="s">
        <v>10</v>
      </c>
      <c r="H938" s="38"/>
      <c r="I938" s="38"/>
      <c r="J938" s="38"/>
      <c r="K938" s="39" t="s">
        <v>1480</v>
      </c>
      <c r="L938" s="70" t="s">
        <v>72</v>
      </c>
      <c r="M938" s="70" t="s">
        <v>174</v>
      </c>
      <c r="N938" s="32" t="s">
        <v>3134</v>
      </c>
      <c r="O938" s="32" t="str">
        <f>IF(Q938=" _","NO","SI")</f>
        <v>NO</v>
      </c>
      <c r="P938" s="24" t="str">
        <f ca="1">IF(color_Celda(E938)=12106214,"ROSA",IF(color_Celda(E938)=65535,"AMARILLO",IF(color_Celda(E938)=5296274,"VERDE",IF(color_Celda(E938)=16777215,"BLANCO","NO SE"))))</f>
        <v>AMARILLO</v>
      </c>
      <c r="Q938" s="32" t="s">
        <v>108</v>
      </c>
      <c r="R938" s="32" t="str">
        <f>VLOOKUP($Q938,Resultados!$A$1:$B$49,2,FALSE)</f>
        <v xml:space="preserve"> _</v>
      </c>
      <c r="S938" s="160">
        <v>45156</v>
      </c>
      <c r="T938" s="73"/>
      <c r="U938" s="37"/>
      <c r="V938" s="39"/>
      <c r="W938" s="39"/>
      <c r="X938" s="39"/>
      <c r="Y938" s="39"/>
      <c r="Z938" s="39"/>
      <c r="AA938" s="39"/>
      <c r="AB938" s="39"/>
      <c r="AC938" s="39"/>
      <c r="AD938" s="39"/>
      <c r="AE938" s="110"/>
      <c r="AF938" s="39"/>
      <c r="AG938" s="39"/>
      <c r="AH938" s="39"/>
      <c r="AI938" s="39"/>
      <c r="AJ938" s="101" t="s">
        <v>988</v>
      </c>
      <c r="AK938" s="39"/>
      <c r="AL938" s="155" t="s">
        <v>1627</v>
      </c>
      <c r="AM938" s="431" t="str">
        <f>VLOOKUP($Q938,Resultados!$A$1:$C$49,3,FALSE)</f>
        <v>TRAMITE</v>
      </c>
    </row>
    <row r="939" spans="1:39" ht="39.950000000000003" customHeight="1">
      <c r="A939" s="364">
        <v>937</v>
      </c>
      <c r="B939" s="38">
        <v>45399</v>
      </c>
      <c r="C939" s="32" t="s">
        <v>1080</v>
      </c>
      <c r="D939" s="32" t="s">
        <v>3114</v>
      </c>
      <c r="E939" s="40" t="s">
        <v>3115</v>
      </c>
      <c r="F939" s="39">
        <v>5</v>
      </c>
      <c r="G939" s="32" t="s">
        <v>10</v>
      </c>
      <c r="H939" s="38"/>
      <c r="I939" s="38"/>
      <c r="J939" s="38"/>
      <c r="K939" s="39" t="s">
        <v>1480</v>
      </c>
      <c r="L939" s="70" t="s">
        <v>2167</v>
      </c>
      <c r="M939" s="70" t="s">
        <v>974</v>
      </c>
      <c r="N939" s="32" t="s">
        <v>3146</v>
      </c>
      <c r="O939" s="32" t="str">
        <f>IF(Q939=" _","NO","SI")</f>
        <v>NO</v>
      </c>
      <c r="P939" s="24" t="str">
        <f ca="1">IF(color_Celda(E939)=12106214,"ROSA",IF(color_Celda(E939)=65535,"AMARILLO",IF(color_Celda(E939)=5296274,"VERDE",IF(color_Celda(E939)=16777215,"BLANCO","NO SE"))))</f>
        <v>AMARILLO</v>
      </c>
      <c r="Q939" s="32" t="s">
        <v>108</v>
      </c>
      <c r="R939" s="32" t="str">
        <f>VLOOKUP($Q939,Resultados!$A$1:$B$49,2,FALSE)</f>
        <v xml:space="preserve"> _</v>
      </c>
      <c r="S939" s="160">
        <v>45050</v>
      </c>
      <c r="T939" s="73"/>
      <c r="U939" s="37"/>
      <c r="V939" s="39"/>
      <c r="W939" s="39"/>
      <c r="X939" s="39"/>
      <c r="Y939" s="39"/>
      <c r="Z939" s="39"/>
      <c r="AA939" s="39"/>
      <c r="AB939" s="39"/>
      <c r="AC939" s="39"/>
      <c r="AD939" s="39"/>
      <c r="AE939" s="110"/>
      <c r="AF939" s="39"/>
      <c r="AG939" s="39"/>
      <c r="AH939" s="39"/>
      <c r="AI939" s="39"/>
      <c r="AJ939" s="101" t="s">
        <v>988</v>
      </c>
      <c r="AK939" s="39"/>
      <c r="AL939" s="155" t="s">
        <v>1627</v>
      </c>
      <c r="AM939" s="431" t="str">
        <f>VLOOKUP($Q939,Resultados!$A$1:$C$49,3,FALSE)</f>
        <v>TRAMITE</v>
      </c>
    </row>
    <row r="940" spans="1:39" ht="39.950000000000003" customHeight="1">
      <c r="A940" s="364">
        <v>938</v>
      </c>
      <c r="B940" s="35">
        <v>45399</v>
      </c>
      <c r="C940" s="32" t="s">
        <v>913</v>
      </c>
      <c r="D940" s="32" t="s">
        <v>3116</v>
      </c>
      <c r="E940" s="40" t="s">
        <v>3117</v>
      </c>
      <c r="F940" s="39">
        <v>6</v>
      </c>
      <c r="G940" s="32" t="s">
        <v>2876</v>
      </c>
      <c r="H940" s="38"/>
      <c r="I940" s="38"/>
      <c r="J940" s="38"/>
      <c r="K940" s="39" t="s">
        <v>1480</v>
      </c>
      <c r="L940" s="70" t="s">
        <v>73</v>
      </c>
      <c r="M940" s="70" t="s">
        <v>260</v>
      </c>
      <c r="N940" s="32" t="s">
        <v>3128</v>
      </c>
      <c r="O940" s="32" t="str">
        <f>IF(Q940=" _","NO","SI")</f>
        <v>NO</v>
      </c>
      <c r="P940" s="24" t="str">
        <f ca="1">IF(color_Celda(E940)=12106214,"ROSA",IF(color_Celda(E940)=65535,"AMARILLO",IF(color_Celda(E940)=5296274,"VERDE",IF(color_Celda(E940)=16777215,"BLANCO","NO SE"))))</f>
        <v>AMARILLO</v>
      </c>
      <c r="Q940" s="32" t="s">
        <v>108</v>
      </c>
      <c r="R940" s="32" t="str">
        <f>VLOOKUP($Q940,Resultados!$A$1:$B$49,2,FALSE)</f>
        <v xml:space="preserve"> _</v>
      </c>
      <c r="S940" s="160">
        <v>45278</v>
      </c>
      <c r="T940" s="73"/>
      <c r="U940" s="37"/>
      <c r="V940" s="39"/>
      <c r="W940" s="39"/>
      <c r="X940" s="39"/>
      <c r="Y940" s="39"/>
      <c r="Z940" s="39"/>
      <c r="AA940" s="39"/>
      <c r="AB940" s="39"/>
      <c r="AC940" s="39"/>
      <c r="AD940" s="39"/>
      <c r="AE940" s="110"/>
      <c r="AF940" s="39"/>
      <c r="AG940" s="39"/>
      <c r="AH940" s="39"/>
      <c r="AI940" s="39"/>
      <c r="AJ940" s="101" t="s">
        <v>988</v>
      </c>
      <c r="AK940" s="39"/>
      <c r="AL940" s="155" t="s">
        <v>1627</v>
      </c>
      <c r="AM940" s="431" t="str">
        <f>VLOOKUP($Q940,Resultados!$A$1:$C$49,3,FALSE)</f>
        <v>TRAMITE</v>
      </c>
    </row>
    <row r="941" spans="1:39" ht="39.950000000000003" customHeight="1">
      <c r="A941" s="364">
        <v>939</v>
      </c>
      <c r="B941" s="38">
        <v>45399</v>
      </c>
      <c r="C941" s="32" t="s">
        <v>2225</v>
      </c>
      <c r="D941" s="32" t="s">
        <v>3121</v>
      </c>
      <c r="E941" s="41" t="s">
        <v>3125</v>
      </c>
      <c r="F941" s="39">
        <v>1</v>
      </c>
      <c r="G941" s="32" t="s">
        <v>1750</v>
      </c>
      <c r="H941" s="38"/>
      <c r="I941" s="38"/>
      <c r="J941" s="38"/>
      <c r="K941" s="39" t="s">
        <v>1480</v>
      </c>
      <c r="L941" s="70" t="s">
        <v>3122</v>
      </c>
      <c r="M941" s="70" t="s">
        <v>3126</v>
      </c>
      <c r="N941" s="32" t="s">
        <v>3127</v>
      </c>
      <c r="O941" s="32" t="str">
        <f>IF(Q941=" _","NO","SI")</f>
        <v>NO</v>
      </c>
      <c r="P941" s="24" t="str">
        <f ca="1">IF(color_Celda(E941)=12106214,"ROSA",IF(color_Celda(E941)=65535,"AMARILLO",IF(color_Celda(E941)=5296274,"VERDE",IF(color_Celda(E941)=16777215,"BLANCO","NO SE"))))</f>
        <v>AMARILLO</v>
      </c>
      <c r="Q941" s="32" t="s">
        <v>108</v>
      </c>
      <c r="R941" s="32" t="str">
        <f>VLOOKUP($Q941,Resultados!$A$1:$B$49,2,FALSE)</f>
        <v xml:space="preserve"> _</v>
      </c>
      <c r="S941" s="160">
        <v>45398</v>
      </c>
      <c r="T941" s="73"/>
      <c r="U941" s="37"/>
      <c r="V941" s="39"/>
      <c r="W941" s="39"/>
      <c r="X941" s="39"/>
      <c r="Y941" s="39"/>
      <c r="Z941" s="39"/>
      <c r="AA941" s="39"/>
      <c r="AB941" s="39"/>
      <c r="AC941" s="39"/>
      <c r="AD941" s="39"/>
      <c r="AE941" s="110"/>
      <c r="AF941" s="39"/>
      <c r="AG941" s="39"/>
      <c r="AH941" s="39"/>
      <c r="AI941" s="39"/>
      <c r="AJ941" s="101" t="s">
        <v>408</v>
      </c>
      <c r="AK941" s="39"/>
      <c r="AL941" s="155" t="s">
        <v>1627</v>
      </c>
      <c r="AM941" s="431" t="str">
        <f>VLOOKUP($Q941,Resultados!$A$1:$C$49,3,FALSE)</f>
        <v>TRAMITE</v>
      </c>
    </row>
    <row r="942" spans="1:39" ht="39.950000000000003" customHeight="1">
      <c r="A942" s="364">
        <v>940</v>
      </c>
      <c r="B942" s="38">
        <v>45399</v>
      </c>
      <c r="C942" s="32" t="s">
        <v>3129</v>
      </c>
      <c r="D942" s="32" t="s">
        <v>3130</v>
      </c>
      <c r="E942" s="40" t="s">
        <v>3131</v>
      </c>
      <c r="F942" s="32">
        <v>7</v>
      </c>
      <c r="G942" s="32" t="s">
        <v>10</v>
      </c>
      <c r="H942" s="38"/>
      <c r="I942" s="38"/>
      <c r="J942" s="38"/>
      <c r="K942" s="39" t="s">
        <v>1480</v>
      </c>
      <c r="L942" s="70" t="s">
        <v>72</v>
      </c>
      <c r="M942" s="70" t="s">
        <v>90</v>
      </c>
      <c r="N942" s="32" t="s">
        <v>3132</v>
      </c>
      <c r="O942" s="32" t="str">
        <f>IF(Q942=" _","NO","SI")</f>
        <v>NO</v>
      </c>
      <c r="P942" s="24" t="str">
        <f ca="1">IF(color_Celda(E942)=12106214,"ROSA",IF(color_Celda(E942)=65535,"AMARILLO",IF(color_Celda(E942)=5296274,"VERDE",IF(color_Celda(E942)=16777215,"BLANCO","NO SE"))))</f>
        <v>AMARILLO</v>
      </c>
      <c r="Q942" s="32" t="s">
        <v>108</v>
      </c>
      <c r="R942" s="32" t="str">
        <f>VLOOKUP($Q942,Resultados!$A$1:$B$49,2,FALSE)</f>
        <v xml:space="preserve"> _</v>
      </c>
      <c r="S942" s="160">
        <v>45351</v>
      </c>
      <c r="T942" s="73"/>
      <c r="U942" s="37"/>
      <c r="V942" s="39"/>
      <c r="W942" s="39"/>
      <c r="X942" s="39"/>
      <c r="Y942" s="39"/>
      <c r="Z942" s="39"/>
      <c r="AA942" s="39"/>
      <c r="AB942" s="39"/>
      <c r="AC942" s="39"/>
      <c r="AD942" s="39"/>
      <c r="AE942" s="110"/>
      <c r="AF942" s="39"/>
      <c r="AG942" s="39"/>
      <c r="AH942" s="39"/>
      <c r="AI942" s="39"/>
      <c r="AJ942" s="101" t="s">
        <v>988</v>
      </c>
      <c r="AK942" s="39"/>
      <c r="AL942" s="155" t="s">
        <v>1627</v>
      </c>
      <c r="AM942" s="431" t="str">
        <f>VLOOKUP($Q942,Resultados!$A$1:$C$49,3,FALSE)</f>
        <v>TRAMITE</v>
      </c>
    </row>
    <row r="943" spans="1:39" ht="39.950000000000003" customHeight="1">
      <c r="A943" s="364">
        <v>941</v>
      </c>
      <c r="B943" s="38">
        <v>45399</v>
      </c>
      <c r="C943" s="32" t="s">
        <v>1231</v>
      </c>
      <c r="D943" s="32" t="s">
        <v>3136</v>
      </c>
      <c r="E943" s="40" t="s">
        <v>3137</v>
      </c>
      <c r="F943" s="39">
        <v>6</v>
      </c>
      <c r="G943" s="32" t="s">
        <v>2876</v>
      </c>
      <c r="H943" s="38"/>
      <c r="I943" s="38"/>
      <c r="J943" s="38"/>
      <c r="K943" s="39" t="s">
        <v>1480</v>
      </c>
      <c r="L943" s="70" t="s">
        <v>74</v>
      </c>
      <c r="M943" s="70" t="s">
        <v>1156</v>
      </c>
      <c r="N943" s="32" t="s">
        <v>3128</v>
      </c>
      <c r="O943" s="32" t="str">
        <f>IF(Q943=" _","NO","SI")</f>
        <v>NO</v>
      </c>
      <c r="P943" s="24" t="str">
        <f ca="1">IF(color_Celda(E943)=12106214,"ROSA",IF(color_Celda(E943)=65535,"AMARILLO",IF(color_Celda(E943)=5296274,"VERDE",IF(color_Celda(E943)=16777215,"BLANCO","NO SE"))))</f>
        <v>AMARILLO</v>
      </c>
      <c r="Q943" s="32" t="s">
        <v>108</v>
      </c>
      <c r="R943" s="32" t="str">
        <f>VLOOKUP($Q943,Resultados!$A$1:$B$49,2,FALSE)</f>
        <v xml:space="preserve"> _</v>
      </c>
      <c r="S943" s="160">
        <v>45355</v>
      </c>
      <c r="T943" s="73"/>
      <c r="U943" s="37"/>
      <c r="V943" s="39"/>
      <c r="W943" s="39"/>
      <c r="X943" s="39"/>
      <c r="Y943" s="39"/>
      <c r="Z943" s="39"/>
      <c r="AA943" s="39"/>
      <c r="AB943" s="39"/>
      <c r="AC943" s="39"/>
      <c r="AD943" s="39"/>
      <c r="AE943" s="110"/>
      <c r="AF943" s="39"/>
      <c r="AG943" s="39"/>
      <c r="AH943" s="39"/>
      <c r="AI943" s="39"/>
      <c r="AJ943" s="101" t="s">
        <v>988</v>
      </c>
      <c r="AK943" s="39"/>
      <c r="AL943" s="155" t="s">
        <v>1627</v>
      </c>
      <c r="AM943" s="431" t="str">
        <f>VLOOKUP($Q943,Resultados!$A$1:$C$49,3,FALSE)</f>
        <v>TRAMITE</v>
      </c>
    </row>
    <row r="944" spans="1:39" ht="39.950000000000003" customHeight="1">
      <c r="A944" s="364">
        <v>942</v>
      </c>
      <c r="B944" s="38">
        <v>45399</v>
      </c>
      <c r="C944" s="32" t="s">
        <v>3139</v>
      </c>
      <c r="D944" s="32" t="s">
        <v>3140</v>
      </c>
      <c r="E944" s="40" t="s">
        <v>3141</v>
      </c>
      <c r="F944" s="39">
        <v>4</v>
      </c>
      <c r="G944" s="32" t="s">
        <v>325</v>
      </c>
      <c r="H944" s="38"/>
      <c r="I944" s="38"/>
      <c r="J944" s="38"/>
      <c r="K944" s="39" t="s">
        <v>1480</v>
      </c>
      <c r="L944" s="70" t="s">
        <v>82</v>
      </c>
      <c r="M944" s="70" t="s">
        <v>47</v>
      </c>
      <c r="N944" s="32" t="s">
        <v>3132</v>
      </c>
      <c r="O944" s="32" t="str">
        <f>IF(Q944=" _","NO","SI")</f>
        <v>NO</v>
      </c>
      <c r="P944" s="24" t="str">
        <f ca="1">IF(color_Celda(E944)=12106214,"ROSA",IF(color_Celda(E944)=65535,"AMARILLO",IF(color_Celda(E944)=5296274,"VERDE",IF(color_Celda(E944)=16777215,"BLANCO","NO SE"))))</f>
        <v>AMARILLO</v>
      </c>
      <c r="Q944" s="32" t="s">
        <v>108</v>
      </c>
      <c r="R944" s="32" t="str">
        <f>VLOOKUP($Q944,Resultados!$A$1:$B$49,2,FALSE)</f>
        <v xml:space="preserve"> _</v>
      </c>
      <c r="S944" s="160">
        <v>45397</v>
      </c>
      <c r="T944" s="73"/>
      <c r="U944" s="37"/>
      <c r="V944" s="39"/>
      <c r="W944" s="39"/>
      <c r="X944" s="39"/>
      <c r="Y944" s="39"/>
      <c r="Z944" s="39"/>
      <c r="AA944" s="39"/>
      <c r="AB944" s="39"/>
      <c r="AC944" s="39"/>
      <c r="AD944" s="39"/>
      <c r="AE944" s="110"/>
      <c r="AF944" s="39"/>
      <c r="AG944" s="39"/>
      <c r="AH944" s="39"/>
      <c r="AI944" s="39"/>
      <c r="AJ944" s="101" t="s">
        <v>988</v>
      </c>
      <c r="AK944" s="39"/>
      <c r="AL944" s="155" t="s">
        <v>1627</v>
      </c>
      <c r="AM944" s="431" t="str">
        <f>VLOOKUP($Q944,Resultados!$A$1:$C$49,3,FALSE)</f>
        <v>TRAMITE</v>
      </c>
    </row>
    <row r="945" spans="1:39" ht="39.950000000000003" customHeight="1">
      <c r="A945" s="364">
        <v>943</v>
      </c>
      <c r="B945" s="38">
        <v>45399</v>
      </c>
      <c r="C945" s="32" t="s">
        <v>371</v>
      </c>
      <c r="D945" s="32" t="s">
        <v>3142</v>
      </c>
      <c r="E945" s="40" t="s">
        <v>3143</v>
      </c>
      <c r="F945" s="39">
        <v>5</v>
      </c>
      <c r="G945" s="32" t="s">
        <v>10</v>
      </c>
      <c r="H945" s="38"/>
      <c r="I945" s="38"/>
      <c r="J945" s="38"/>
      <c r="K945" s="39" t="s">
        <v>1480</v>
      </c>
      <c r="L945" s="70" t="s">
        <v>127</v>
      </c>
      <c r="M945" s="70" t="s">
        <v>3144</v>
      </c>
      <c r="N945" s="32" t="s">
        <v>3145</v>
      </c>
      <c r="O945" s="32" t="str">
        <f>IF(Q945=" _","NO","SI")</f>
        <v>NO</v>
      </c>
      <c r="P945" s="24" t="str">
        <f ca="1">IF(color_Celda(E945)=12106214,"ROSA",IF(color_Celda(E945)=65535,"AMARILLO",IF(color_Celda(E945)=5296274,"VERDE",IF(color_Celda(E945)=16777215,"BLANCO","NO SE"))))</f>
        <v>AMARILLO</v>
      </c>
      <c r="Q945" s="32" t="s">
        <v>108</v>
      </c>
      <c r="R945" s="32" t="str">
        <f>VLOOKUP($Q945,Resultados!$A$1:$B$49,2,FALSE)</f>
        <v xml:space="preserve"> _</v>
      </c>
      <c r="S945" s="160">
        <v>43888</v>
      </c>
      <c r="T945" s="73"/>
      <c r="U945" s="37"/>
      <c r="V945" s="39"/>
      <c r="W945" s="39"/>
      <c r="X945" s="39"/>
      <c r="Y945" s="39"/>
      <c r="Z945" s="39"/>
      <c r="AA945" s="39"/>
      <c r="AB945" s="39"/>
      <c r="AC945" s="39"/>
      <c r="AD945" s="39"/>
      <c r="AE945" s="110"/>
      <c r="AF945" s="39"/>
      <c r="AG945" s="39"/>
      <c r="AH945" s="39"/>
      <c r="AI945" s="39"/>
      <c r="AJ945" s="101" t="s">
        <v>988</v>
      </c>
      <c r="AK945" s="39"/>
      <c r="AL945" s="155" t="s">
        <v>1627</v>
      </c>
      <c r="AM945" s="431" t="str">
        <f>VLOOKUP($Q945,Resultados!$A$1:$C$49,3,FALSE)</f>
        <v>TRAMITE</v>
      </c>
    </row>
    <row r="946" spans="1:39" ht="39.950000000000003" customHeight="1">
      <c r="A946" s="364">
        <v>944</v>
      </c>
      <c r="B946" s="38">
        <v>45400</v>
      </c>
      <c r="C946" s="32" t="s">
        <v>2242</v>
      </c>
      <c r="D946" s="32" t="s">
        <v>3154</v>
      </c>
      <c r="E946" s="40" t="s">
        <v>3155</v>
      </c>
      <c r="F946" s="39">
        <v>7</v>
      </c>
      <c r="G946" s="32" t="s">
        <v>10</v>
      </c>
      <c r="H946" s="38"/>
      <c r="I946" s="38"/>
      <c r="J946" s="38"/>
      <c r="K946" s="39" t="s">
        <v>1480</v>
      </c>
      <c r="L946" s="70" t="s">
        <v>78</v>
      </c>
      <c r="M946" s="70" t="s">
        <v>234</v>
      </c>
      <c r="N946" s="32" t="s">
        <v>3157</v>
      </c>
      <c r="O946" s="32" t="str">
        <f>IF(Q946=" _","NO","SI")</f>
        <v>NO</v>
      </c>
      <c r="P946" s="24" t="str">
        <f ca="1">IF(color_Celda(E946)=12106214,"ROSA",IF(color_Celda(E946)=65535,"AMARILLO",IF(color_Celda(E946)=5296274,"VERDE",IF(color_Celda(E946)=16777215,"BLANCO","NO SE"))))</f>
        <v>AMARILLO</v>
      </c>
      <c r="Q946" s="32" t="s">
        <v>108</v>
      </c>
      <c r="R946" s="32" t="str">
        <f>VLOOKUP($Q946,Resultados!$A$1:$B$49,2,FALSE)</f>
        <v xml:space="preserve"> _</v>
      </c>
      <c r="S946" s="160">
        <v>45394</v>
      </c>
      <c r="T946" s="73"/>
      <c r="U946" s="37"/>
      <c r="V946" s="39"/>
      <c r="W946" s="39"/>
      <c r="X946" s="39"/>
      <c r="Y946" s="39"/>
      <c r="Z946" s="39"/>
      <c r="AA946" s="39"/>
      <c r="AB946" s="39"/>
      <c r="AC946" s="39"/>
      <c r="AD946" s="39"/>
      <c r="AE946" s="110"/>
      <c r="AF946" s="39"/>
      <c r="AG946" s="39"/>
      <c r="AH946" s="39"/>
      <c r="AI946" s="39"/>
      <c r="AJ946" s="101" t="s">
        <v>988</v>
      </c>
      <c r="AK946" s="39"/>
      <c r="AL946" s="155" t="s">
        <v>1627</v>
      </c>
      <c r="AM946" s="431" t="str">
        <f>VLOOKUP($Q946,Resultados!$A$1:$C$49,3,FALSE)</f>
        <v>TRAMITE</v>
      </c>
    </row>
    <row r="947" spans="1:39" ht="39.950000000000003" customHeight="1">
      <c r="A947" s="364">
        <v>945</v>
      </c>
      <c r="B947" s="38">
        <v>45400</v>
      </c>
      <c r="C947" s="353">
        <v>0.53819444444444442</v>
      </c>
      <c r="D947" s="32" t="s">
        <v>3158</v>
      </c>
      <c r="E947" s="40" t="s">
        <v>3159</v>
      </c>
      <c r="F947" s="39">
        <v>6</v>
      </c>
      <c r="G947" s="32" t="s">
        <v>2876</v>
      </c>
      <c r="H947" s="38"/>
      <c r="I947" s="38"/>
      <c r="J947" s="38"/>
      <c r="K947" s="39" t="s">
        <v>1480</v>
      </c>
      <c r="L947" s="70" t="s">
        <v>87</v>
      </c>
      <c r="M947" s="70" t="s">
        <v>260</v>
      </c>
      <c r="N947" s="32" t="s">
        <v>3162</v>
      </c>
      <c r="O947" s="32" t="str">
        <f>IF(Q947=" _","NO","SI")</f>
        <v>NO</v>
      </c>
      <c r="P947" s="24" t="str">
        <f ca="1">IF(color_Celda(E947)=12106214,"ROSA",IF(color_Celda(E947)=65535,"AMARILLO",IF(color_Celda(E947)=5296274,"VERDE",IF(color_Celda(E947)=16777215,"BLANCO","NO SE"))))</f>
        <v>AMARILLO</v>
      </c>
      <c r="Q947" s="32" t="s">
        <v>108</v>
      </c>
      <c r="R947" s="32" t="str">
        <f>VLOOKUP($Q947,Resultados!$A$1:$B$49,2,FALSE)</f>
        <v xml:space="preserve"> _</v>
      </c>
      <c r="S947" s="160">
        <v>45330</v>
      </c>
      <c r="T947" s="73"/>
      <c r="U947" s="37"/>
      <c r="V947" s="39"/>
      <c r="W947" s="39"/>
      <c r="X947" s="39"/>
      <c r="Y947" s="39"/>
      <c r="Z947" s="39"/>
      <c r="AA947" s="39"/>
      <c r="AB947" s="39"/>
      <c r="AC947" s="39"/>
      <c r="AD947" s="39"/>
      <c r="AE947" s="110"/>
      <c r="AF947" s="39"/>
      <c r="AG947" s="39"/>
      <c r="AH947" s="39"/>
      <c r="AI947" s="39"/>
      <c r="AJ947" s="101" t="s">
        <v>988</v>
      </c>
      <c r="AK947" s="39"/>
      <c r="AL947" s="155" t="s">
        <v>1627</v>
      </c>
      <c r="AM947" s="431" t="str">
        <f>VLOOKUP($Q947,Resultados!$A$1:$C$49,3,FALSE)</f>
        <v>TRAMITE</v>
      </c>
    </row>
    <row r="948" spans="1:39" ht="39.950000000000003" customHeight="1">
      <c r="A948" s="364">
        <v>946</v>
      </c>
      <c r="B948" s="38">
        <v>45400</v>
      </c>
      <c r="C948" s="32" t="s">
        <v>2242</v>
      </c>
      <c r="D948" s="32" t="s">
        <v>3160</v>
      </c>
      <c r="E948" s="40" t="s">
        <v>3161</v>
      </c>
      <c r="F948" s="39">
        <v>7</v>
      </c>
      <c r="G948" s="32" t="s">
        <v>10</v>
      </c>
      <c r="H948" s="38"/>
      <c r="I948" s="38"/>
      <c r="J948" s="38"/>
      <c r="K948" s="39" t="s">
        <v>1480</v>
      </c>
      <c r="L948" s="70" t="s">
        <v>127</v>
      </c>
      <c r="M948" s="70" t="s">
        <v>226</v>
      </c>
      <c r="N948" s="32" t="s">
        <v>3156</v>
      </c>
      <c r="O948" s="32" t="str">
        <f>IF(Q948=" _","NO","SI")</f>
        <v>NO</v>
      </c>
      <c r="P948" s="24" t="str">
        <f ca="1">IF(color_Celda(E948)=12106214,"ROSA",IF(color_Celda(E948)=65535,"AMARILLO",IF(color_Celda(E948)=5296274,"VERDE",IF(color_Celda(E948)=16777215,"BLANCO","NO SE"))))</f>
        <v>AMARILLO</v>
      </c>
      <c r="Q948" s="32" t="s">
        <v>108</v>
      </c>
      <c r="R948" s="32" t="str">
        <f>VLOOKUP($Q948,Resultados!$A$1:$B$49,2,FALSE)</f>
        <v xml:space="preserve"> _</v>
      </c>
      <c r="S948" s="160">
        <v>45392</v>
      </c>
      <c r="T948" s="73"/>
      <c r="U948" s="37"/>
      <c r="V948" s="39"/>
      <c r="W948" s="39"/>
      <c r="X948" s="39"/>
      <c r="Y948" s="39"/>
      <c r="Z948" s="39"/>
      <c r="AA948" s="39"/>
      <c r="AB948" s="39"/>
      <c r="AC948" s="39"/>
      <c r="AD948" s="39"/>
      <c r="AE948" s="110"/>
      <c r="AF948" s="39"/>
      <c r="AG948" s="39"/>
      <c r="AH948" s="39"/>
      <c r="AI948" s="39"/>
      <c r="AJ948" s="101" t="s">
        <v>988</v>
      </c>
      <c r="AK948" s="39"/>
      <c r="AL948" s="155" t="s">
        <v>1627</v>
      </c>
      <c r="AM948" s="431" t="str">
        <f>VLOOKUP($Q948,Resultados!$A$1:$C$49,3,FALSE)</f>
        <v>TRAMITE</v>
      </c>
    </row>
    <row r="949" spans="1:39" ht="39.950000000000003" customHeight="1">
      <c r="A949" s="364">
        <v>947</v>
      </c>
      <c r="B949" s="38">
        <v>45400</v>
      </c>
      <c r="C949" s="32" t="s">
        <v>3163</v>
      </c>
      <c r="D949" s="32" t="s">
        <v>3164</v>
      </c>
      <c r="E949" s="40" t="s">
        <v>3165</v>
      </c>
      <c r="F949" s="39">
        <v>5</v>
      </c>
      <c r="G949" s="32" t="s">
        <v>10</v>
      </c>
      <c r="H949" s="38"/>
      <c r="I949" s="38"/>
      <c r="J949" s="38"/>
      <c r="K949" s="39" t="s">
        <v>1480</v>
      </c>
      <c r="L949" s="70" t="s">
        <v>87</v>
      </c>
      <c r="M949" s="70" t="s">
        <v>713</v>
      </c>
      <c r="N949" s="32" t="s">
        <v>3166</v>
      </c>
      <c r="O949" s="32" t="str">
        <f>IF(Q949=" _","NO","SI")</f>
        <v>NO</v>
      </c>
      <c r="P949" s="24" t="str">
        <f ca="1">IF(color_Celda(E949)=12106214,"ROSA",IF(color_Celda(E949)=65535,"AMARILLO",IF(color_Celda(E949)=5296274,"VERDE",IF(color_Celda(E949)=16777215,"BLANCO","NO SE"))))</f>
        <v>AMARILLO</v>
      </c>
      <c r="Q949" s="32" t="s">
        <v>108</v>
      </c>
      <c r="R949" s="32" t="str">
        <f>VLOOKUP($Q949,Resultados!$A$1:$B$49,2,FALSE)</f>
        <v xml:space="preserve"> _</v>
      </c>
      <c r="S949" s="160">
        <v>45007</v>
      </c>
      <c r="T949" s="73"/>
      <c r="U949" s="37"/>
      <c r="V949" s="39"/>
      <c r="W949" s="39"/>
      <c r="X949" s="39"/>
      <c r="Y949" s="39"/>
      <c r="Z949" s="39"/>
      <c r="AA949" s="39"/>
      <c r="AB949" s="39"/>
      <c r="AC949" s="39"/>
      <c r="AD949" s="39"/>
      <c r="AE949" s="110"/>
      <c r="AF949" s="39"/>
      <c r="AG949" s="39"/>
      <c r="AH949" s="39"/>
      <c r="AI949" s="39"/>
      <c r="AJ949" s="101" t="s">
        <v>988</v>
      </c>
      <c r="AK949" s="39"/>
      <c r="AL949" s="155" t="s">
        <v>1627</v>
      </c>
      <c r="AM949" s="431" t="str">
        <f>VLOOKUP($Q949,Resultados!$A$1:$C$49,3,FALSE)</f>
        <v>TRAMITE</v>
      </c>
    </row>
    <row r="950" spans="1:39" ht="39.950000000000003" customHeight="1">
      <c r="A950" s="364">
        <v>948</v>
      </c>
      <c r="B950" s="38">
        <v>45400</v>
      </c>
      <c r="C950" s="32" t="s">
        <v>3163</v>
      </c>
      <c r="D950" s="32" t="s">
        <v>3167</v>
      </c>
      <c r="E950" s="40" t="s">
        <v>3168</v>
      </c>
      <c r="F950" s="39">
        <v>5</v>
      </c>
      <c r="G950" s="32" t="s">
        <v>10</v>
      </c>
      <c r="H950" s="38"/>
      <c r="I950" s="38"/>
      <c r="J950" s="38"/>
      <c r="K950" s="39" t="s">
        <v>1480</v>
      </c>
      <c r="L950" s="70" t="s">
        <v>2172</v>
      </c>
      <c r="M950" s="70" t="s">
        <v>3169</v>
      </c>
      <c r="N950" s="32" t="s">
        <v>3170</v>
      </c>
      <c r="O950" s="32" t="str">
        <f>IF(Q950=" _","NO","SI")</f>
        <v>NO</v>
      </c>
      <c r="P950" s="24" t="str">
        <f ca="1">IF(color_Celda(E950)=12106214,"ROSA",IF(color_Celda(E950)=65535,"AMARILLO",IF(color_Celda(E950)=5296274,"VERDE",IF(color_Celda(E950)=16777215,"BLANCO","NO SE"))))</f>
        <v>AMARILLO</v>
      </c>
      <c r="Q950" s="32" t="s">
        <v>108</v>
      </c>
      <c r="R950" s="32" t="str">
        <f>VLOOKUP($Q950,Resultados!$A$1:$B$49,2,FALSE)</f>
        <v xml:space="preserve"> _</v>
      </c>
      <c r="S950" s="160">
        <v>45187</v>
      </c>
      <c r="T950" s="73"/>
      <c r="U950" s="37"/>
      <c r="V950" s="39"/>
      <c r="W950" s="39"/>
      <c r="X950" s="39"/>
      <c r="Y950" s="39"/>
      <c r="Z950" s="39"/>
      <c r="AA950" s="39"/>
      <c r="AB950" s="39"/>
      <c r="AC950" s="39"/>
      <c r="AD950" s="39"/>
      <c r="AE950" s="110"/>
      <c r="AF950" s="39"/>
      <c r="AG950" s="39"/>
      <c r="AH950" s="39"/>
      <c r="AI950" s="39"/>
      <c r="AJ950" s="101" t="s">
        <v>988</v>
      </c>
      <c r="AK950" s="39"/>
      <c r="AL950" s="155" t="s">
        <v>1627</v>
      </c>
      <c r="AM950" s="431" t="str">
        <f>VLOOKUP($Q950,Resultados!$A$1:$C$49,3,FALSE)</f>
        <v>TRAMITE</v>
      </c>
    </row>
    <row r="951" spans="1:39" ht="39.950000000000003" customHeight="1">
      <c r="A951" s="70">
        <v>949</v>
      </c>
      <c r="B951" s="38">
        <v>45400</v>
      </c>
      <c r="C951" s="32" t="s">
        <v>3175</v>
      </c>
      <c r="D951" s="32" t="s">
        <v>3171</v>
      </c>
      <c r="E951" s="40" t="s">
        <v>3172</v>
      </c>
      <c r="F951" s="39">
        <v>5</v>
      </c>
      <c r="G951" s="39"/>
      <c r="H951" s="38"/>
      <c r="I951" s="38"/>
      <c r="J951" s="38"/>
      <c r="K951" s="39" t="s">
        <v>1480</v>
      </c>
      <c r="L951" s="70" t="s">
        <v>73</v>
      </c>
      <c r="M951" s="70" t="s">
        <v>61</v>
      </c>
      <c r="N951" s="32" t="s">
        <v>3166</v>
      </c>
      <c r="O951" s="32" t="str">
        <f>IF(Q951=" _","NO","SI")</f>
        <v>NO</v>
      </c>
      <c r="P951" s="24" t="str">
        <f ca="1">IF(color_Celda(E951)=12106214,"ROSA",IF(color_Celda(E951)=65535,"AMARILLO",IF(color_Celda(E951)=5296274,"VERDE",IF(color_Celda(E951)=16777215,"BLANCO","NO SE"))))</f>
        <v>AMARILLO</v>
      </c>
      <c r="Q951" s="32" t="s">
        <v>108</v>
      </c>
      <c r="R951" s="32" t="str">
        <f>VLOOKUP($Q951,Resultados!$A$1:$B$49,2,FALSE)</f>
        <v xml:space="preserve"> _</v>
      </c>
      <c r="S951" s="160">
        <v>44967</v>
      </c>
      <c r="T951" s="73"/>
      <c r="U951" s="37"/>
      <c r="V951" s="39"/>
      <c r="W951" s="39"/>
      <c r="X951" s="39"/>
      <c r="Y951" s="39"/>
      <c r="Z951" s="39"/>
      <c r="AA951" s="39"/>
      <c r="AB951" s="39"/>
      <c r="AC951" s="39"/>
      <c r="AD951" s="39"/>
      <c r="AE951" s="110"/>
      <c r="AF951" s="39"/>
      <c r="AG951" s="39"/>
      <c r="AH951" s="39"/>
      <c r="AI951" s="39"/>
      <c r="AJ951" s="101" t="s">
        <v>988</v>
      </c>
      <c r="AK951" s="39"/>
      <c r="AL951" s="155" t="s">
        <v>1627</v>
      </c>
      <c r="AM951" s="431" t="str">
        <f>VLOOKUP($Q951,Resultados!$A$1:$C$49,3,FALSE)</f>
        <v>TRAMITE</v>
      </c>
    </row>
    <row r="952" spans="1:39" ht="39.950000000000003" customHeight="1">
      <c r="A952" s="70">
        <v>950</v>
      </c>
      <c r="B952" s="38">
        <v>45400</v>
      </c>
      <c r="C952" s="32" t="s">
        <v>2279</v>
      </c>
      <c r="D952" s="32" t="s">
        <v>3174</v>
      </c>
      <c r="E952" s="40" t="s">
        <v>3173</v>
      </c>
      <c r="F952" s="39">
        <v>5</v>
      </c>
      <c r="G952" s="32" t="s">
        <v>10</v>
      </c>
      <c r="H952" s="38"/>
      <c r="I952" s="38"/>
      <c r="J952" s="38"/>
      <c r="K952" s="39" t="s">
        <v>1480</v>
      </c>
      <c r="L952" s="70" t="s">
        <v>2168</v>
      </c>
      <c r="M952" s="70" t="s">
        <v>45</v>
      </c>
      <c r="N952" s="32" t="s">
        <v>3206</v>
      </c>
      <c r="O952" s="32" t="str">
        <f>IF(Q952=" _","NO","SI")</f>
        <v>NO</v>
      </c>
      <c r="P952" s="24" t="str">
        <f ca="1">IF(color_Celda(E952)=12106214,"ROSA",IF(color_Celda(E952)=65535,"AMARILLO",IF(color_Celda(E952)=5296274,"VERDE",IF(color_Celda(E952)=16777215,"BLANCO","NO SE"))))</f>
        <v>AMARILLO</v>
      </c>
      <c r="Q952" s="32" t="s">
        <v>108</v>
      </c>
      <c r="R952" s="32" t="str">
        <f>VLOOKUP($Q952,Resultados!$A$1:$B$49,2,FALSE)</f>
        <v xml:space="preserve"> _</v>
      </c>
      <c r="S952" s="160">
        <v>44974</v>
      </c>
      <c r="T952" s="73"/>
      <c r="U952" s="37"/>
      <c r="V952" s="39"/>
      <c r="W952" s="39"/>
      <c r="X952" s="39"/>
      <c r="Y952" s="39"/>
      <c r="Z952" s="39"/>
      <c r="AA952" s="39"/>
      <c r="AB952" s="39"/>
      <c r="AC952" s="39"/>
      <c r="AD952" s="39"/>
      <c r="AE952" s="110"/>
      <c r="AF952" s="39"/>
      <c r="AG952" s="39"/>
      <c r="AH952" s="39"/>
      <c r="AI952" s="39"/>
      <c r="AJ952" s="101" t="s">
        <v>988</v>
      </c>
      <c r="AK952" s="39"/>
      <c r="AL952" s="155" t="s">
        <v>1627</v>
      </c>
      <c r="AM952" s="431" t="str">
        <f>VLOOKUP($Q952,Resultados!$A$1:$C$49,3,FALSE)</f>
        <v>TRAMITE</v>
      </c>
    </row>
    <row r="953" spans="1:39" ht="39.950000000000003" customHeight="1">
      <c r="A953" s="39">
        <v>951</v>
      </c>
      <c r="B953" s="38">
        <v>45400</v>
      </c>
      <c r="C953" s="32" t="s">
        <v>461</v>
      </c>
      <c r="D953" s="32" t="s">
        <v>3176</v>
      </c>
      <c r="E953" s="40" t="s">
        <v>3177</v>
      </c>
      <c r="F953" s="39">
        <v>5</v>
      </c>
      <c r="G953" s="32" t="s">
        <v>10</v>
      </c>
      <c r="H953" s="38"/>
      <c r="I953" s="38"/>
      <c r="J953" s="38"/>
      <c r="K953" s="39" t="s">
        <v>1480</v>
      </c>
      <c r="L953" s="70" t="s">
        <v>78</v>
      </c>
      <c r="M953" s="70" t="s">
        <v>234</v>
      </c>
      <c r="N953" s="32" t="s">
        <v>3206</v>
      </c>
      <c r="O953" s="32" t="str">
        <f>IF(Q953=" _","NO","SI")</f>
        <v>NO</v>
      </c>
      <c r="P953" s="24" t="str">
        <f ca="1">IF(color_Celda(E953)=12106214,"ROSA",IF(color_Celda(E953)=65535,"AMARILLO",IF(color_Celda(E953)=5296274,"VERDE",IF(color_Celda(E953)=16777215,"BLANCO","NO SE"))))</f>
        <v>AMARILLO</v>
      </c>
      <c r="Q953" s="32" t="s">
        <v>108</v>
      </c>
      <c r="R953" s="32" t="str">
        <f>VLOOKUP($Q953,Resultados!$A$1:$B$49,2,FALSE)</f>
        <v xml:space="preserve"> _</v>
      </c>
      <c r="S953" s="160">
        <v>45392</v>
      </c>
      <c r="T953" s="73"/>
      <c r="U953" s="37"/>
      <c r="V953" s="39"/>
      <c r="W953" s="39"/>
      <c r="X953" s="39"/>
      <c r="Y953" s="39"/>
      <c r="Z953" s="39"/>
      <c r="AA953" s="39"/>
      <c r="AB953" s="39"/>
      <c r="AC953" s="39"/>
      <c r="AD953" s="39"/>
      <c r="AE953" s="110"/>
      <c r="AF953" s="39"/>
      <c r="AG953" s="39"/>
      <c r="AH953" s="39"/>
      <c r="AI953" s="39"/>
      <c r="AJ953" s="101" t="s">
        <v>988</v>
      </c>
      <c r="AK953" s="39"/>
      <c r="AL953" s="155" t="s">
        <v>1627</v>
      </c>
      <c r="AM953" s="431" t="str">
        <f>VLOOKUP($Q953,Resultados!$A$1:$C$49,3,FALSE)</f>
        <v>TRAMITE</v>
      </c>
    </row>
    <row r="954" spans="1:39" ht="39.950000000000003" customHeight="1">
      <c r="A954" s="39">
        <v>952</v>
      </c>
      <c r="B954" s="38">
        <v>45401</v>
      </c>
      <c r="C954" s="32" t="s">
        <v>12</v>
      </c>
      <c r="D954" s="32" t="s">
        <v>3179</v>
      </c>
      <c r="E954" s="41" t="s">
        <v>3254</v>
      </c>
      <c r="F954" s="39">
        <v>7</v>
      </c>
      <c r="G954" s="32" t="s">
        <v>1750</v>
      </c>
      <c r="H954" s="38"/>
      <c r="I954" s="38"/>
      <c r="J954" s="38"/>
      <c r="K954" s="39" t="s">
        <v>1480</v>
      </c>
      <c r="L954" s="70" t="s">
        <v>2167</v>
      </c>
      <c r="M954" s="70" t="s">
        <v>334</v>
      </c>
      <c r="N954" s="43" t="s">
        <v>3373</v>
      </c>
      <c r="O954" s="32" t="str">
        <f>IF(Q954=" _","NO","SI")</f>
        <v>NO</v>
      </c>
      <c r="P954" s="24" t="str">
        <f ca="1">IF(color_Celda(E954)=12106214,"ROSA",IF(color_Celda(E954)=65535,"AMARILLO",IF(color_Celda(E954)=5296274,"VERDE",IF(color_Celda(E954)=16777215,"BLANCO","NO SE"))))</f>
        <v>AMARILLO</v>
      </c>
      <c r="Q954" s="32" t="s">
        <v>108</v>
      </c>
      <c r="R954" s="32" t="str">
        <f>VLOOKUP($Q954,Resultados!$A$1:$B$49,2,FALSE)</f>
        <v xml:space="preserve"> _</v>
      </c>
      <c r="S954" s="32"/>
      <c r="T954" s="73"/>
      <c r="U954" s="37"/>
      <c r="V954" s="39"/>
      <c r="W954" s="39"/>
      <c r="X954" s="39"/>
      <c r="Y954" s="39"/>
      <c r="Z954" s="39"/>
      <c r="AA954" s="39"/>
      <c r="AB954" s="39"/>
      <c r="AC954" s="39"/>
      <c r="AD954" s="39"/>
      <c r="AE954" s="110"/>
      <c r="AF954" s="39"/>
      <c r="AG954" s="39"/>
      <c r="AH954" s="39"/>
      <c r="AI954" s="39"/>
      <c r="AJ954" s="101" t="s">
        <v>408</v>
      </c>
      <c r="AK954" s="39"/>
      <c r="AL954" s="155" t="s">
        <v>1627</v>
      </c>
      <c r="AM954" s="431" t="str">
        <f>VLOOKUP($Q954,Resultados!$A$1:$C$49,3,FALSE)</f>
        <v>TRAMITE</v>
      </c>
    </row>
    <row r="955" spans="1:39" ht="39.950000000000003" customHeight="1">
      <c r="A955" s="39">
        <v>953</v>
      </c>
      <c r="B955" s="38">
        <v>45401</v>
      </c>
      <c r="C955" s="39" t="s">
        <v>1400</v>
      </c>
      <c r="D955" s="39" t="s">
        <v>3180</v>
      </c>
      <c r="E955" s="297" t="s">
        <v>3181</v>
      </c>
      <c r="F955" s="39">
        <v>6</v>
      </c>
      <c r="G955" s="32" t="s">
        <v>2876</v>
      </c>
      <c r="H955" s="38"/>
      <c r="I955" s="38"/>
      <c r="J955" s="38"/>
      <c r="K955" s="39" t="s">
        <v>1480</v>
      </c>
      <c r="L955" s="70" t="s">
        <v>74</v>
      </c>
      <c r="M955" s="70" t="s">
        <v>61</v>
      </c>
      <c r="N955" s="32" t="s">
        <v>3206</v>
      </c>
      <c r="O955" s="32" t="str">
        <f>IF(Q955=" _","NO","SI")</f>
        <v>NO</v>
      </c>
      <c r="P955" s="24" t="str">
        <f ca="1">IF(color_Celda(E955)=12106214,"ROSA",IF(color_Celda(E955)=65535,"AMARILLO",IF(color_Celda(E955)=5296274,"VERDE",IF(color_Celda(E955)=16777215,"BLANCO","NO SE"))))</f>
        <v>AMARILLO</v>
      </c>
      <c r="Q955" s="32" t="s">
        <v>108</v>
      </c>
      <c r="R955" s="32" t="str">
        <f>VLOOKUP($Q955,Resultados!$A$1:$B$49,2,FALSE)</f>
        <v xml:space="preserve"> _</v>
      </c>
      <c r="S955" s="160">
        <v>45399</v>
      </c>
      <c r="T955" s="73"/>
      <c r="U955" s="37"/>
      <c r="V955" s="39"/>
      <c r="W955" s="39"/>
      <c r="X955" s="39"/>
      <c r="Y955" s="39"/>
      <c r="Z955" s="39"/>
      <c r="AA955" s="39"/>
      <c r="AB955" s="39"/>
      <c r="AC955" s="39"/>
      <c r="AD955" s="39"/>
      <c r="AE955" s="110"/>
      <c r="AF955" s="39"/>
      <c r="AG955" s="39"/>
      <c r="AH955" s="39"/>
      <c r="AI955" s="39"/>
      <c r="AJ955" s="101" t="s">
        <v>988</v>
      </c>
      <c r="AK955" s="39"/>
      <c r="AL955" s="155" t="s">
        <v>1627</v>
      </c>
      <c r="AM955" s="431" t="str">
        <f>VLOOKUP($Q955,Resultados!$A$1:$C$49,3,FALSE)</f>
        <v>TRAMITE</v>
      </c>
    </row>
    <row r="956" spans="1:39" ht="39.950000000000003" customHeight="1">
      <c r="A956" s="39">
        <v>954</v>
      </c>
      <c r="B956" s="38">
        <v>45401</v>
      </c>
      <c r="C956" s="32" t="s">
        <v>3182</v>
      </c>
      <c r="D956" s="32" t="s">
        <v>3183</v>
      </c>
      <c r="E956" s="40" t="s">
        <v>3184</v>
      </c>
      <c r="F956" s="39">
        <v>5</v>
      </c>
      <c r="G956" s="32" t="s">
        <v>10</v>
      </c>
      <c r="H956" s="38"/>
      <c r="I956" s="38"/>
      <c r="J956" s="38"/>
      <c r="K956" s="39" t="s">
        <v>1480</v>
      </c>
      <c r="L956" s="70" t="s">
        <v>77</v>
      </c>
      <c r="M956" s="70" t="s">
        <v>234</v>
      </c>
      <c r="N956" s="32" t="s">
        <v>3206</v>
      </c>
      <c r="O956" s="32" t="str">
        <f>IF(Q956=" _","NO","SI")</f>
        <v>NO</v>
      </c>
      <c r="P956" s="24" t="str">
        <f ca="1">IF(color_Celda(E956)=12106214,"ROSA",IF(color_Celda(E956)=65535,"AMARILLO",IF(color_Celda(E956)=5296274,"VERDE",IF(color_Celda(E956)=16777215,"BLANCO","NO SE"))))</f>
        <v>AMARILLO</v>
      </c>
      <c r="Q956" s="32" t="s">
        <v>108</v>
      </c>
      <c r="R956" s="32" t="str">
        <f>VLOOKUP($Q956,Resultados!$A$1:$B$49,2,FALSE)</f>
        <v xml:space="preserve"> _</v>
      </c>
      <c r="S956" s="160">
        <v>45279</v>
      </c>
      <c r="T956" s="73"/>
      <c r="U956" s="37"/>
      <c r="V956" s="39"/>
      <c r="W956" s="39"/>
      <c r="X956" s="39"/>
      <c r="Y956" s="39"/>
      <c r="Z956" s="39"/>
      <c r="AA956" s="39"/>
      <c r="AB956" s="39"/>
      <c r="AC956" s="39"/>
      <c r="AD956" s="39"/>
      <c r="AE956" s="110"/>
      <c r="AF956" s="39"/>
      <c r="AG956" s="39"/>
      <c r="AH956" s="39"/>
      <c r="AI956" s="39"/>
      <c r="AJ956" s="101" t="s">
        <v>988</v>
      </c>
      <c r="AK956" s="39"/>
      <c r="AL956" s="155" t="s">
        <v>1627</v>
      </c>
      <c r="AM956" s="431" t="str">
        <f>VLOOKUP($Q956,Resultados!$A$1:$C$49,3,FALSE)</f>
        <v>TRAMITE</v>
      </c>
    </row>
    <row r="957" spans="1:39" ht="39.950000000000003" customHeight="1">
      <c r="A957" s="39">
        <v>955</v>
      </c>
      <c r="B957" s="38">
        <v>45401</v>
      </c>
      <c r="C957" s="32" t="s">
        <v>3185</v>
      </c>
      <c r="D957" s="32" t="s">
        <v>3186</v>
      </c>
      <c r="E957" s="40" t="s">
        <v>3187</v>
      </c>
      <c r="F957" s="39">
        <v>3</v>
      </c>
      <c r="G957" s="32" t="s">
        <v>1750</v>
      </c>
      <c r="H957" s="38"/>
      <c r="I957" s="38"/>
      <c r="J957" s="38"/>
      <c r="K957" s="39" t="s">
        <v>1480</v>
      </c>
      <c r="L957" s="70" t="s">
        <v>2170</v>
      </c>
      <c r="M957" s="70" t="s">
        <v>46</v>
      </c>
      <c r="N957" s="32" t="s">
        <v>3206</v>
      </c>
      <c r="O957" s="32" t="str">
        <f>IF(Q957=" _","NO","SI")</f>
        <v>NO</v>
      </c>
      <c r="P957" s="24" t="str">
        <f ca="1">IF(color_Celda(E957)=12106214,"ROSA",IF(color_Celda(E957)=65535,"AMARILLO",IF(color_Celda(E957)=5296274,"VERDE",IF(color_Celda(E957)=16777215,"BLANCO","NO SE"))))</f>
        <v>AMARILLO</v>
      </c>
      <c r="Q957" s="32" t="s">
        <v>108</v>
      </c>
      <c r="R957" s="32" t="str">
        <f>VLOOKUP($Q957,Resultados!$A$1:$B$49,2,FALSE)</f>
        <v xml:space="preserve"> _</v>
      </c>
      <c r="S957" s="160">
        <v>45114</v>
      </c>
      <c r="T957" s="73"/>
      <c r="U957" s="37"/>
      <c r="V957" s="39"/>
      <c r="W957" s="39"/>
      <c r="X957" s="39"/>
      <c r="Y957" s="39"/>
      <c r="Z957" s="39"/>
      <c r="AA957" s="39"/>
      <c r="AB957" s="39"/>
      <c r="AC957" s="39"/>
      <c r="AD957" s="39"/>
      <c r="AE957" s="110"/>
      <c r="AF957" s="39"/>
      <c r="AG957" s="39"/>
      <c r="AH957" s="39"/>
      <c r="AI957" s="39"/>
      <c r="AJ957" s="101" t="s">
        <v>988</v>
      </c>
      <c r="AK957" s="39"/>
      <c r="AL957" s="155" t="s">
        <v>1627</v>
      </c>
      <c r="AM957" s="431" t="str">
        <f>VLOOKUP($Q957,Resultados!$A$1:$C$49,3,FALSE)</f>
        <v>TRAMITE</v>
      </c>
    </row>
    <row r="958" spans="1:39" ht="39.950000000000003" customHeight="1">
      <c r="A958" s="39">
        <v>957</v>
      </c>
      <c r="B958" s="38">
        <v>45401</v>
      </c>
      <c r="C958" s="32" t="s">
        <v>2507</v>
      </c>
      <c r="D958" s="32" t="s">
        <v>3189</v>
      </c>
      <c r="E958" s="40" t="s">
        <v>3190</v>
      </c>
      <c r="F958" s="39">
        <v>5</v>
      </c>
      <c r="G958" s="32" t="s">
        <v>10</v>
      </c>
      <c r="H958" s="38"/>
      <c r="I958" s="38"/>
      <c r="J958" s="38"/>
      <c r="K958" s="39" t="s">
        <v>1480</v>
      </c>
      <c r="L958" s="70" t="s">
        <v>78</v>
      </c>
      <c r="M958" s="70" t="s">
        <v>67</v>
      </c>
      <c r="N958" s="32" t="s">
        <v>3213</v>
      </c>
      <c r="O958" s="32" t="str">
        <f>IF(Q958=" _","NO","SI")</f>
        <v>NO</v>
      </c>
      <c r="P958" s="24" t="str">
        <f ca="1">IF(color_Celda(E958)=12106214,"ROSA",IF(color_Celda(E958)=65535,"AMARILLO",IF(color_Celda(E958)=5296274,"VERDE",IF(color_Celda(E958)=16777215,"BLANCO","NO SE"))))</f>
        <v>AMARILLO</v>
      </c>
      <c r="Q958" s="32" t="s">
        <v>108</v>
      </c>
      <c r="R958" s="32" t="str">
        <f>VLOOKUP($Q958,Resultados!$A$1:$B$49,2,FALSE)</f>
        <v xml:space="preserve"> _</v>
      </c>
      <c r="S958" s="160">
        <v>45131</v>
      </c>
      <c r="T958" s="73"/>
      <c r="U958" s="37"/>
      <c r="V958" s="39"/>
      <c r="W958" s="39"/>
      <c r="X958" s="39"/>
      <c r="Y958" s="39"/>
      <c r="Z958" s="39"/>
      <c r="AA958" s="39"/>
      <c r="AB958" s="39"/>
      <c r="AC958" s="39"/>
      <c r="AD958" s="39"/>
      <c r="AE958" s="110"/>
      <c r="AF958" s="39"/>
      <c r="AG958" s="39"/>
      <c r="AH958" s="39"/>
      <c r="AI958" s="39"/>
      <c r="AJ958" s="101" t="s">
        <v>988</v>
      </c>
      <c r="AK958" s="39"/>
      <c r="AL958" s="155" t="s">
        <v>1627</v>
      </c>
      <c r="AM958" s="431" t="str">
        <f>VLOOKUP($Q958,Resultados!$A$1:$C$49,3,FALSE)</f>
        <v>TRAMITE</v>
      </c>
    </row>
    <row r="959" spans="1:39" ht="39.950000000000003" customHeight="1">
      <c r="A959" s="115">
        <v>958</v>
      </c>
      <c r="B959" s="113">
        <v>45401</v>
      </c>
      <c r="C959" s="26" t="s">
        <v>2777</v>
      </c>
      <c r="D959" s="26" t="s">
        <v>3191</v>
      </c>
      <c r="E959" s="114" t="s">
        <v>3192</v>
      </c>
      <c r="F959" s="115">
        <v>7</v>
      </c>
      <c r="G959" s="115"/>
      <c r="H959" s="113"/>
      <c r="I959" s="113"/>
      <c r="J959" s="113"/>
      <c r="K959" s="115" t="s">
        <v>1480</v>
      </c>
      <c r="L959" s="96" t="s">
        <v>2170</v>
      </c>
      <c r="M959" s="96"/>
      <c r="N959" s="115"/>
      <c r="O959" s="26" t="str">
        <f>IF(Q959=" _","NO","SI")</f>
        <v>SI</v>
      </c>
      <c r="P959" s="24" t="str">
        <f ca="1">IF(color_Celda(E959)=12106214,"ROSA",IF(color_Celda(E959)=65535,"AMARILLO",IF(color_Celda(E959)=5296274,"VERDE",IF(color_Celda(E959)=16777215,"BLANCO","NO SE"))))</f>
        <v>VERDE</v>
      </c>
      <c r="Q959" s="96" t="s">
        <v>3313</v>
      </c>
      <c r="R959" s="26" t="str">
        <f>VLOOKUP($Q959,Resultados!$A$1:$B$49,2,FALSE)</f>
        <v>VERDE</v>
      </c>
      <c r="S959" s="26"/>
      <c r="T959" s="99"/>
      <c r="U959" s="116"/>
      <c r="V959" s="115"/>
      <c r="W959" s="115"/>
      <c r="X959" s="115"/>
      <c r="Y959" s="115"/>
      <c r="Z959" s="115"/>
      <c r="AA959" s="115"/>
      <c r="AB959" s="115"/>
      <c r="AC959" s="115"/>
      <c r="AD959" s="115"/>
      <c r="AE959" s="117"/>
      <c r="AF959" s="115"/>
      <c r="AG959" s="115"/>
      <c r="AH959" s="115"/>
      <c r="AI959" s="115"/>
      <c r="AJ959" s="245" t="s">
        <v>988</v>
      </c>
      <c r="AK959" s="115"/>
      <c r="AL959" s="157" t="s">
        <v>1627</v>
      </c>
      <c r="AM959" s="431" t="str">
        <f>VLOOKUP($Q959,Resultados!$A$1:$C$49,3,FALSE)</f>
        <v>NO LLEGO</v>
      </c>
    </row>
    <row r="960" spans="1:39" ht="39.950000000000003" customHeight="1">
      <c r="A960" s="39">
        <v>959</v>
      </c>
      <c r="B960" s="38">
        <v>45401</v>
      </c>
      <c r="C960" s="39" t="s">
        <v>1443</v>
      </c>
      <c r="D960" s="39" t="s">
        <v>3198</v>
      </c>
      <c r="E960" s="41" t="s">
        <v>3204</v>
      </c>
      <c r="F960" s="39">
        <v>3</v>
      </c>
      <c r="G960" s="32" t="s">
        <v>10</v>
      </c>
      <c r="H960" s="38"/>
      <c r="I960" s="38"/>
      <c r="J960" s="38"/>
      <c r="K960" s="39" t="s">
        <v>1480</v>
      </c>
      <c r="L960" s="70" t="s">
        <v>36</v>
      </c>
      <c r="M960" s="70" t="s">
        <v>361</v>
      </c>
      <c r="N960" s="32" t="s">
        <v>3199</v>
      </c>
      <c r="O960" s="32" t="str">
        <f>IF(Q960=" _","NO","SI")</f>
        <v>NO</v>
      </c>
      <c r="P960" s="24" t="str">
        <f ca="1">IF(color_Celda(E960)=12106214,"ROSA",IF(color_Celda(E960)=65535,"AMARILLO",IF(color_Celda(E960)=5296274,"VERDE",IF(color_Celda(E960)=16777215,"BLANCO","NO SE"))))</f>
        <v>AMARILLO</v>
      </c>
      <c r="Q960" s="32" t="s">
        <v>108</v>
      </c>
      <c r="R960" s="32" t="str">
        <f>VLOOKUP($Q960,Resultados!$A$1:$B$49,2,FALSE)</f>
        <v xml:space="preserve"> _</v>
      </c>
      <c r="S960" s="32"/>
      <c r="T960" s="73"/>
      <c r="U960" s="37"/>
      <c r="V960" s="39"/>
      <c r="W960" s="39"/>
      <c r="X960" s="39"/>
      <c r="Y960" s="39"/>
      <c r="Z960" s="39"/>
      <c r="AA960" s="39"/>
      <c r="AB960" s="39"/>
      <c r="AC960" s="39"/>
      <c r="AD960" s="39"/>
      <c r="AE960" s="110"/>
      <c r="AF960" s="39"/>
      <c r="AG960" s="39"/>
      <c r="AH960" s="39"/>
      <c r="AI960" s="39"/>
      <c r="AJ960" s="101" t="s">
        <v>408</v>
      </c>
      <c r="AK960" s="39"/>
      <c r="AL960" s="155" t="s">
        <v>1627</v>
      </c>
      <c r="AM960" s="431" t="str">
        <f>VLOOKUP($Q960,Resultados!$A$1:$C$49,3,FALSE)</f>
        <v>TRAMITE</v>
      </c>
    </row>
    <row r="961" spans="1:39" ht="39.950000000000003" customHeight="1">
      <c r="A961" s="39">
        <v>960</v>
      </c>
      <c r="B961" s="38">
        <v>45387</v>
      </c>
      <c r="C961" s="32" t="s">
        <v>923</v>
      </c>
      <c r="D961" s="32" t="s">
        <v>3202</v>
      </c>
      <c r="E961" s="41" t="s">
        <v>3205</v>
      </c>
      <c r="F961" s="39">
        <v>3</v>
      </c>
      <c r="G961" s="32" t="s">
        <v>10</v>
      </c>
      <c r="H961" s="38"/>
      <c r="I961" s="38"/>
      <c r="J961" s="38"/>
      <c r="K961" s="39" t="s">
        <v>1480</v>
      </c>
      <c r="L961" s="70" t="s">
        <v>36</v>
      </c>
      <c r="M961" s="70" t="s">
        <v>361</v>
      </c>
      <c r="N961" s="32" t="s">
        <v>3203</v>
      </c>
      <c r="O961" s="32" t="str">
        <f>IF(Q961=" _","NO","SI")</f>
        <v>NO</v>
      </c>
      <c r="P961" s="24" t="str">
        <f ca="1">IF(color_Celda(E961)=12106214,"ROSA",IF(color_Celda(E961)=65535,"AMARILLO",IF(color_Celda(E961)=5296274,"VERDE",IF(color_Celda(E961)=16777215,"BLANCO","NO SE"))))</f>
        <v>AMARILLO</v>
      </c>
      <c r="Q961" s="32" t="s">
        <v>108</v>
      </c>
      <c r="R961" s="32" t="str">
        <f>VLOOKUP($Q961,Resultados!$A$1:$B$49,2,FALSE)</f>
        <v xml:space="preserve"> _</v>
      </c>
      <c r="S961" s="32"/>
      <c r="T961" s="73"/>
      <c r="U961" s="37"/>
      <c r="V961" s="39"/>
      <c r="W961" s="39"/>
      <c r="X961" s="39"/>
      <c r="Y961" s="39"/>
      <c r="Z961" s="39"/>
      <c r="AA961" s="39"/>
      <c r="AB961" s="39"/>
      <c r="AC961" s="39"/>
      <c r="AD961" s="39"/>
      <c r="AE961" s="110"/>
      <c r="AF961" s="39"/>
      <c r="AG961" s="39"/>
      <c r="AH961" s="39"/>
      <c r="AI961" s="39"/>
      <c r="AJ961" s="101" t="s">
        <v>408</v>
      </c>
      <c r="AK961" s="39"/>
      <c r="AL961" s="155" t="s">
        <v>1627</v>
      </c>
      <c r="AM961" s="431" t="str">
        <f>VLOOKUP($Q961,Resultados!$A$1:$C$49,3,FALSE)</f>
        <v>TRAMITE</v>
      </c>
    </row>
    <row r="962" spans="1:39" ht="39.950000000000003" customHeight="1">
      <c r="A962" s="39">
        <v>961</v>
      </c>
      <c r="B962" s="38">
        <v>45401</v>
      </c>
      <c r="C962" s="32" t="s">
        <v>371</v>
      </c>
      <c r="D962" s="32" t="s">
        <v>3207</v>
      </c>
      <c r="E962" s="40" t="s">
        <v>3208</v>
      </c>
      <c r="F962" s="39">
        <v>4</v>
      </c>
      <c r="G962" s="32" t="s">
        <v>325</v>
      </c>
      <c r="H962" s="38"/>
      <c r="I962" s="38"/>
      <c r="J962" s="38"/>
      <c r="K962" s="39" t="s">
        <v>1480</v>
      </c>
      <c r="L962" s="70" t="s">
        <v>88</v>
      </c>
      <c r="M962" s="70" t="s">
        <v>47</v>
      </c>
      <c r="N962" s="32" t="s">
        <v>3206</v>
      </c>
      <c r="O962" s="32" t="str">
        <f>IF(Q962=" _","NO","SI")</f>
        <v>NO</v>
      </c>
      <c r="P962" s="24" t="str">
        <f ca="1">IF(color_Celda(E962)=12106214,"ROSA",IF(color_Celda(E962)=65535,"AMARILLO",IF(color_Celda(E962)=5296274,"VERDE",IF(color_Celda(E962)=16777215,"BLANCO","NO SE"))))</f>
        <v>AMARILLO</v>
      </c>
      <c r="Q962" s="32" t="s">
        <v>108</v>
      </c>
      <c r="R962" s="32" t="str">
        <f>VLOOKUP($Q962,Resultados!$A$1:$B$49,2,FALSE)</f>
        <v xml:space="preserve"> _</v>
      </c>
      <c r="S962" s="160">
        <v>45400</v>
      </c>
      <c r="T962" s="73"/>
      <c r="U962" s="37"/>
      <c r="V962" s="39"/>
      <c r="W962" s="39"/>
      <c r="X962" s="39"/>
      <c r="Y962" s="39"/>
      <c r="Z962" s="39"/>
      <c r="AA962" s="39"/>
      <c r="AB962" s="39"/>
      <c r="AC962" s="39"/>
      <c r="AD962" s="39"/>
      <c r="AE962" s="110"/>
      <c r="AF962" s="39"/>
      <c r="AG962" s="39"/>
      <c r="AH962" s="39"/>
      <c r="AI962" s="39"/>
      <c r="AJ962" s="101" t="s">
        <v>988</v>
      </c>
      <c r="AK962" s="39"/>
      <c r="AL962" s="155" t="s">
        <v>1627</v>
      </c>
      <c r="AM962" s="431" t="str">
        <f>VLOOKUP($Q962,Resultados!$A$1:$C$49,3,FALSE)</f>
        <v>TRAMITE</v>
      </c>
    </row>
    <row r="963" spans="1:39" ht="39.950000000000003" customHeight="1">
      <c r="A963" s="115">
        <v>962</v>
      </c>
      <c r="B963" s="113">
        <v>45401</v>
      </c>
      <c r="C963" s="26" t="s">
        <v>3075</v>
      </c>
      <c r="D963" s="26" t="s">
        <v>3209</v>
      </c>
      <c r="E963" s="114" t="s">
        <v>3210</v>
      </c>
      <c r="F963" s="115">
        <v>7</v>
      </c>
      <c r="G963" s="115"/>
      <c r="H963" s="113"/>
      <c r="I963" s="113"/>
      <c r="J963" s="113"/>
      <c r="K963" s="115" t="s">
        <v>1480</v>
      </c>
      <c r="L963" s="96" t="s">
        <v>2170</v>
      </c>
      <c r="M963" s="96"/>
      <c r="N963" s="115"/>
      <c r="O963" s="26" t="str">
        <f>IF(Q963=" _","NO","SI")</f>
        <v>SI</v>
      </c>
      <c r="P963" s="24" t="str">
        <f ca="1">IF(color_Celda(E963)=12106214,"ROSA",IF(color_Celda(E963)=65535,"AMARILLO",IF(color_Celda(E963)=5296274,"VERDE",IF(color_Celda(E963)=16777215,"BLANCO","NO SE"))))</f>
        <v>VERDE</v>
      </c>
      <c r="Q963" s="96" t="s">
        <v>3313</v>
      </c>
      <c r="R963" s="26" t="str">
        <f>VLOOKUP($Q963,Resultados!$A$1:$B$49,2,FALSE)</f>
        <v>VERDE</v>
      </c>
      <c r="S963" s="394">
        <v>45401</v>
      </c>
      <c r="T963" s="99"/>
      <c r="U963" s="116"/>
      <c r="V963" s="115"/>
      <c r="W963" s="115"/>
      <c r="X963" s="115"/>
      <c r="Y963" s="115"/>
      <c r="Z963" s="115"/>
      <c r="AA963" s="115"/>
      <c r="AB963" s="115"/>
      <c r="AC963" s="115"/>
      <c r="AD963" s="115"/>
      <c r="AE963" s="117"/>
      <c r="AF963" s="115"/>
      <c r="AG963" s="115"/>
      <c r="AH963" s="115"/>
      <c r="AI963" s="115"/>
      <c r="AJ963" s="245" t="s">
        <v>988</v>
      </c>
      <c r="AK963" s="115"/>
      <c r="AL963" s="157" t="s">
        <v>1627</v>
      </c>
      <c r="AM963" s="431" t="str">
        <f>VLOOKUP($Q963,Resultados!$A$1:$C$49,3,FALSE)</f>
        <v>NO LLEGO</v>
      </c>
    </row>
    <row r="964" spans="1:39" ht="39.950000000000003" customHeight="1">
      <c r="A964" s="39">
        <v>963</v>
      </c>
      <c r="B964" s="38">
        <v>45401</v>
      </c>
      <c r="C964" s="32" t="s">
        <v>1443</v>
      </c>
      <c r="D964" s="32" t="s">
        <v>3211</v>
      </c>
      <c r="E964" s="40" t="s">
        <v>3212</v>
      </c>
      <c r="F964" s="39">
        <v>3</v>
      </c>
      <c r="G964" s="32" t="s">
        <v>1750</v>
      </c>
      <c r="H964" s="38"/>
      <c r="I964" s="38"/>
      <c r="J964" s="38"/>
      <c r="K964" s="39" t="s">
        <v>1480</v>
      </c>
      <c r="L964" s="70" t="s">
        <v>83</v>
      </c>
      <c r="M964" s="70" t="s">
        <v>45</v>
      </c>
      <c r="N964" s="32" t="s">
        <v>3206</v>
      </c>
      <c r="O964" s="32" t="str">
        <f>IF(Q964=" _","NO","SI")</f>
        <v>NO</v>
      </c>
      <c r="P964" s="24" t="str">
        <f ca="1">IF(color_Celda(E964)=12106214,"ROSA",IF(color_Celda(E964)=65535,"AMARILLO",IF(color_Celda(E964)=5296274,"VERDE",IF(color_Celda(E964)=16777215,"BLANCO","NO SE"))))</f>
        <v>AMARILLO</v>
      </c>
      <c r="Q964" s="32" t="s">
        <v>108</v>
      </c>
      <c r="R964" s="32" t="str">
        <f>VLOOKUP($Q964,Resultados!$A$1:$B$49,2,FALSE)</f>
        <v xml:space="preserve"> _</v>
      </c>
      <c r="S964" s="160">
        <v>45349</v>
      </c>
      <c r="T964" s="73"/>
      <c r="U964" s="37"/>
      <c r="V964" s="39"/>
      <c r="W964" s="39"/>
      <c r="X964" s="39"/>
      <c r="Y964" s="39"/>
      <c r="Z964" s="39"/>
      <c r="AA964" s="39"/>
      <c r="AB964" s="39"/>
      <c r="AC964" s="39"/>
      <c r="AD964" s="39"/>
      <c r="AE964" s="110"/>
      <c r="AF964" s="39"/>
      <c r="AG964" s="39"/>
      <c r="AH964" s="39"/>
      <c r="AI964" s="39"/>
      <c r="AJ964" s="101" t="s">
        <v>988</v>
      </c>
      <c r="AK964" s="39"/>
      <c r="AL964" s="155" t="s">
        <v>1627</v>
      </c>
      <c r="AM964" s="431" t="str">
        <f>VLOOKUP($Q964,Resultados!$A$1:$C$49,3,FALSE)</f>
        <v>TRAMITE</v>
      </c>
    </row>
    <row r="965" spans="1:39" ht="39.950000000000003" customHeight="1">
      <c r="A965" s="39">
        <v>964</v>
      </c>
      <c r="B965" s="38">
        <v>45401</v>
      </c>
      <c r="C965" s="32" t="s">
        <v>3216</v>
      </c>
      <c r="D965" s="32" t="s">
        <v>3217</v>
      </c>
      <c r="E965" s="40" t="s">
        <v>3218</v>
      </c>
      <c r="F965" s="39">
        <v>8</v>
      </c>
      <c r="G965" s="32" t="s">
        <v>1750</v>
      </c>
      <c r="H965" s="38"/>
      <c r="I965" s="38"/>
      <c r="J965" s="38"/>
      <c r="K965" s="39" t="s">
        <v>1480</v>
      </c>
      <c r="L965" s="70" t="s">
        <v>74</v>
      </c>
      <c r="M965" s="70" t="s">
        <v>1289</v>
      </c>
      <c r="N965" s="32" t="s">
        <v>3255</v>
      </c>
      <c r="O965" s="32" t="str">
        <f>IF(Q965=" _","NO","SI")</f>
        <v>NO</v>
      </c>
      <c r="P965" s="24" t="str">
        <f ca="1">IF(color_Celda(E965)=12106214,"ROSA",IF(color_Celda(E965)=65535,"AMARILLO",IF(color_Celda(E965)=5296274,"VERDE",IF(color_Celda(E965)=16777215,"BLANCO","NO SE"))))</f>
        <v>AMARILLO</v>
      </c>
      <c r="Q965" s="32" t="s">
        <v>108</v>
      </c>
      <c r="R965" s="32" t="str">
        <f>VLOOKUP($Q965,Resultados!$A$1:$B$49,2,FALSE)</f>
        <v xml:space="preserve"> _</v>
      </c>
      <c r="S965" s="160">
        <v>44720</v>
      </c>
      <c r="T965" s="73"/>
      <c r="U965" s="37"/>
      <c r="V965" s="39"/>
      <c r="W965" s="39"/>
      <c r="X965" s="39"/>
      <c r="Y965" s="39"/>
      <c r="Z965" s="39"/>
      <c r="AA965" s="39"/>
      <c r="AB965" s="39"/>
      <c r="AC965" s="39"/>
      <c r="AD965" s="39"/>
      <c r="AE965" s="110"/>
      <c r="AF965" s="39"/>
      <c r="AG965" s="39"/>
      <c r="AH965" s="39"/>
      <c r="AI965" s="39"/>
      <c r="AJ965" s="101" t="s">
        <v>988</v>
      </c>
      <c r="AK965" s="39"/>
      <c r="AL965" s="155" t="s">
        <v>1627</v>
      </c>
      <c r="AM965" s="431" t="str">
        <f>VLOOKUP($Q965,Resultados!$A$1:$C$49,3,FALSE)</f>
        <v>TRAMITE</v>
      </c>
    </row>
    <row r="966" spans="1:39" ht="39.950000000000003" customHeight="1">
      <c r="A966" s="39">
        <v>965</v>
      </c>
      <c r="B966" s="38">
        <v>45404</v>
      </c>
      <c r="C966" s="32" t="s">
        <v>765</v>
      </c>
      <c r="D966" s="32" t="s">
        <v>3220</v>
      </c>
      <c r="E966" s="40" t="s">
        <v>3221</v>
      </c>
      <c r="F966" s="39">
        <v>5</v>
      </c>
      <c r="G966" s="32" t="s">
        <v>10</v>
      </c>
      <c r="H966" s="38"/>
      <c r="I966" s="38"/>
      <c r="J966" s="38"/>
      <c r="K966" s="39" t="s">
        <v>1480</v>
      </c>
      <c r="L966" s="70" t="s">
        <v>73</v>
      </c>
      <c r="M966" s="70" t="s">
        <v>47</v>
      </c>
      <c r="N966" s="32" t="s">
        <v>3286</v>
      </c>
      <c r="O966" s="32" t="str">
        <f>IF(Q966=" _","NO","SI")</f>
        <v>NO</v>
      </c>
      <c r="P966" s="24" t="str">
        <f ca="1">IF(color_Celda(E966)=12106214,"ROSA",IF(color_Celda(E966)=65535,"AMARILLO",IF(color_Celda(E966)=5296274,"VERDE",IF(color_Celda(E966)=16777215,"BLANCO","NO SE"))))</f>
        <v>AMARILLO</v>
      </c>
      <c r="Q966" s="32" t="s">
        <v>108</v>
      </c>
      <c r="R966" s="32" t="str">
        <f>VLOOKUP($Q966,Resultados!$A$1:$B$49,2,FALSE)</f>
        <v xml:space="preserve"> _</v>
      </c>
      <c r="S966" s="160">
        <v>45051</v>
      </c>
      <c r="T966" s="73"/>
      <c r="U966" s="37"/>
      <c r="V966" s="39"/>
      <c r="W966" s="39"/>
      <c r="X966" s="39"/>
      <c r="Y966" s="39"/>
      <c r="Z966" s="39"/>
      <c r="AA966" s="39"/>
      <c r="AB966" s="39"/>
      <c r="AC966" s="39"/>
      <c r="AD966" s="39"/>
      <c r="AE966" s="110"/>
      <c r="AF966" s="39"/>
      <c r="AG966" s="39"/>
      <c r="AH966" s="39"/>
      <c r="AI966" s="39"/>
      <c r="AJ966" s="101" t="s">
        <v>988</v>
      </c>
      <c r="AK966" s="39"/>
      <c r="AL966" s="155" t="s">
        <v>1627</v>
      </c>
      <c r="AM966" s="431" t="str">
        <f>VLOOKUP($Q966,Resultados!$A$1:$C$49,3,FALSE)</f>
        <v>TRAMITE</v>
      </c>
    </row>
    <row r="967" spans="1:39" ht="39.950000000000003" customHeight="1">
      <c r="A967" s="39">
        <v>966</v>
      </c>
      <c r="B967" s="38">
        <v>45388</v>
      </c>
      <c r="C967" s="32" t="s">
        <v>12</v>
      </c>
      <c r="D967" s="32" t="s">
        <v>3229</v>
      </c>
      <c r="E967" s="40" t="s">
        <v>3230</v>
      </c>
      <c r="F967" s="39">
        <v>4</v>
      </c>
      <c r="G967" s="32" t="s">
        <v>325</v>
      </c>
      <c r="H967" s="38"/>
      <c r="I967" s="38"/>
      <c r="J967" s="38"/>
      <c r="K967" s="39" t="s">
        <v>1480</v>
      </c>
      <c r="L967" s="70" t="s">
        <v>83</v>
      </c>
      <c r="M967" s="70" t="s">
        <v>1355</v>
      </c>
      <c r="N967" s="32" t="s">
        <v>1858</v>
      </c>
      <c r="O967" s="32" t="str">
        <f>IF(Q967=" _","NO","SI")</f>
        <v>NO</v>
      </c>
      <c r="P967" s="24" t="str">
        <f ca="1">IF(color_Celda(E967)=12106214,"ROSA",IF(color_Celda(E967)=65535,"AMARILLO",IF(color_Celda(E967)=5296274,"VERDE",IF(color_Celda(E967)=16777215,"BLANCO","NO SE"))))</f>
        <v>AMARILLO</v>
      </c>
      <c r="Q967" s="32" t="s">
        <v>108</v>
      </c>
      <c r="R967" s="32" t="str">
        <f>VLOOKUP($Q967,Resultados!$A$1:$B$49,2,FALSE)</f>
        <v xml:space="preserve"> _</v>
      </c>
      <c r="S967" s="32"/>
      <c r="T967" s="73"/>
      <c r="U967" s="37"/>
      <c r="V967" s="39"/>
      <c r="W967" s="39"/>
      <c r="X967" s="39"/>
      <c r="Y967" s="39"/>
      <c r="Z967" s="39"/>
      <c r="AA967" s="39"/>
      <c r="AB967" s="39"/>
      <c r="AC967" s="39"/>
      <c r="AD967" s="39"/>
      <c r="AE967" s="110"/>
      <c r="AF967" s="39"/>
      <c r="AG967" s="39"/>
      <c r="AH967" s="39"/>
      <c r="AI967" s="39"/>
      <c r="AJ967" s="101" t="s">
        <v>988</v>
      </c>
      <c r="AK967" s="39"/>
      <c r="AL967" s="155" t="s">
        <v>1627</v>
      </c>
      <c r="AM967" s="431" t="str">
        <f>VLOOKUP($Q967,Resultados!$A$1:$C$49,3,FALSE)</f>
        <v>TRAMITE</v>
      </c>
    </row>
    <row r="968" spans="1:39" ht="39.950000000000003" customHeight="1">
      <c r="A968" s="39">
        <v>967</v>
      </c>
      <c r="B968" s="38">
        <v>45388</v>
      </c>
      <c r="C968" s="32" t="s">
        <v>12</v>
      </c>
      <c r="D968" s="32" t="s">
        <v>3231</v>
      </c>
      <c r="E968" s="40" t="s">
        <v>3232</v>
      </c>
      <c r="F968" s="39">
        <v>4</v>
      </c>
      <c r="G968" s="32" t="s">
        <v>325</v>
      </c>
      <c r="H968" s="38"/>
      <c r="I968" s="38"/>
      <c r="J968" s="38"/>
      <c r="K968" s="39" t="s">
        <v>1480</v>
      </c>
      <c r="L968" s="70" t="s">
        <v>72</v>
      </c>
      <c r="M968" s="70"/>
      <c r="N968" s="32" t="s">
        <v>1858</v>
      </c>
      <c r="O968" s="32" t="str">
        <f>IF(Q968=" _","NO","SI")</f>
        <v>NO</v>
      </c>
      <c r="P968" s="24" t="str">
        <f ca="1">IF(color_Celda(E968)=12106214,"ROSA",IF(color_Celda(E968)=65535,"AMARILLO",IF(color_Celda(E968)=5296274,"VERDE",IF(color_Celda(E968)=16777215,"BLANCO","NO SE"))))</f>
        <v>AMARILLO</v>
      </c>
      <c r="Q968" s="32" t="s">
        <v>108</v>
      </c>
      <c r="R968" s="32" t="str">
        <f>VLOOKUP($Q968,Resultados!$A$1:$B$49,2,FALSE)</f>
        <v xml:space="preserve"> _</v>
      </c>
      <c r="S968" s="32"/>
      <c r="T968" s="73"/>
      <c r="U968" s="37"/>
      <c r="V968" s="39"/>
      <c r="W968" s="39"/>
      <c r="X968" s="39"/>
      <c r="Y968" s="39"/>
      <c r="Z968" s="39"/>
      <c r="AA968" s="39"/>
      <c r="AB968" s="39"/>
      <c r="AC968" s="39"/>
      <c r="AD968" s="39"/>
      <c r="AE968" s="110"/>
      <c r="AF968" s="39"/>
      <c r="AG968" s="39"/>
      <c r="AH968" s="39"/>
      <c r="AI968" s="39"/>
      <c r="AJ968" s="101" t="s">
        <v>988</v>
      </c>
      <c r="AK968" s="39"/>
      <c r="AL968" s="155" t="s">
        <v>1627</v>
      </c>
      <c r="AM968" s="431" t="str">
        <f>VLOOKUP($Q968,Resultados!$A$1:$C$49,3,FALSE)</f>
        <v>TRAMITE</v>
      </c>
    </row>
    <row r="969" spans="1:39" ht="39.950000000000003" customHeight="1">
      <c r="A969" s="39">
        <v>968</v>
      </c>
      <c r="B969" s="38">
        <v>45244</v>
      </c>
      <c r="C969" s="32" t="s">
        <v>15</v>
      </c>
      <c r="D969" s="32" t="s">
        <v>3237</v>
      </c>
      <c r="E969" s="40" t="s">
        <v>3238</v>
      </c>
      <c r="F969" s="39">
        <v>3</v>
      </c>
      <c r="G969" s="32" t="s">
        <v>1750</v>
      </c>
      <c r="H969" s="38"/>
      <c r="I969" s="38"/>
      <c r="J969" s="38"/>
      <c r="K969" s="39" t="s">
        <v>1480</v>
      </c>
      <c r="L969" s="70" t="s">
        <v>2172</v>
      </c>
      <c r="M969" s="70" t="s">
        <v>46</v>
      </c>
      <c r="N969" s="32" t="s">
        <v>1858</v>
      </c>
      <c r="O969" s="32" t="str">
        <f>IF(Q969=" _","NO","SI")</f>
        <v>NO</v>
      </c>
      <c r="P969" s="24" t="str">
        <f ca="1">IF(color_Celda(E969)=12106214,"ROSA",IF(color_Celda(E969)=65535,"AMARILLO",IF(color_Celda(E969)=5296274,"VERDE",IF(color_Celda(E969)=16777215,"BLANCO","NO SE"))))</f>
        <v>AMARILLO</v>
      </c>
      <c r="Q969" s="32" t="s">
        <v>108</v>
      </c>
      <c r="R969" s="32" t="str">
        <f>VLOOKUP($Q969,Resultados!$A$1:$B$49,2,FALSE)</f>
        <v xml:space="preserve"> _</v>
      </c>
      <c r="S969" s="32"/>
      <c r="T969" s="73"/>
      <c r="U969" s="37"/>
      <c r="V969" s="39"/>
      <c r="W969" s="39"/>
      <c r="X969" s="39"/>
      <c r="Y969" s="39"/>
      <c r="Z969" s="39"/>
      <c r="AA969" s="39"/>
      <c r="AB969" s="39"/>
      <c r="AC969" s="39"/>
      <c r="AD969" s="39"/>
      <c r="AE969" s="110"/>
      <c r="AF969" s="39"/>
      <c r="AG969" s="39"/>
      <c r="AH969" s="39"/>
      <c r="AI969" s="39"/>
      <c r="AJ969" s="101" t="s">
        <v>988</v>
      </c>
      <c r="AK969" s="39"/>
      <c r="AL969" s="155" t="s">
        <v>1627</v>
      </c>
      <c r="AM969" s="431" t="str">
        <f>VLOOKUP($Q969,Resultados!$A$1:$C$49,3,FALSE)</f>
        <v>TRAMITE</v>
      </c>
    </row>
    <row r="970" spans="1:39" ht="39.950000000000003" customHeight="1">
      <c r="A970" s="39">
        <v>969</v>
      </c>
      <c r="B970" s="38">
        <v>45404</v>
      </c>
      <c r="C970" s="32" t="s">
        <v>1891</v>
      </c>
      <c r="D970" s="32" t="s">
        <v>3239</v>
      </c>
      <c r="E970" s="40" t="s">
        <v>3240</v>
      </c>
      <c r="F970" s="39">
        <v>6</v>
      </c>
      <c r="G970" s="32" t="s">
        <v>2876</v>
      </c>
      <c r="H970" s="38"/>
      <c r="I970" s="38"/>
      <c r="J970" s="38"/>
      <c r="K970" s="39" t="s">
        <v>1480</v>
      </c>
      <c r="L970" s="70" t="s">
        <v>74</v>
      </c>
      <c r="M970" s="70" t="s">
        <v>234</v>
      </c>
      <c r="N970" s="32" t="s">
        <v>3253</v>
      </c>
      <c r="O970" s="32" t="str">
        <f>IF(Q970=" _","NO","SI")</f>
        <v>NO</v>
      </c>
      <c r="P970" s="24" t="str">
        <f ca="1">IF(color_Celda(E970)=12106214,"ROSA",IF(color_Celda(E970)=65535,"AMARILLO",IF(color_Celda(E970)=5296274,"VERDE",IF(color_Celda(E970)=16777215,"BLANCO","NO SE"))))</f>
        <v>AMARILLO</v>
      </c>
      <c r="Q970" s="32" t="s">
        <v>108</v>
      </c>
      <c r="R970" s="32" t="str">
        <f>VLOOKUP($Q970,Resultados!$A$1:$B$49,2,FALSE)</f>
        <v xml:space="preserve"> _</v>
      </c>
      <c r="S970" s="160">
        <v>45400</v>
      </c>
      <c r="T970" s="73"/>
      <c r="U970" s="37"/>
      <c r="V970" s="39"/>
      <c r="W970" s="39"/>
      <c r="X970" s="39"/>
      <c r="Y970" s="39"/>
      <c r="Z970" s="39"/>
      <c r="AA970" s="39"/>
      <c r="AB970" s="39"/>
      <c r="AC970" s="39"/>
      <c r="AD970" s="39"/>
      <c r="AE970" s="110"/>
      <c r="AF970" s="39"/>
      <c r="AG970" s="39"/>
      <c r="AH970" s="39"/>
      <c r="AI970" s="39"/>
      <c r="AJ970" s="101" t="s">
        <v>988</v>
      </c>
      <c r="AK970" s="39"/>
      <c r="AL970" s="155" t="s">
        <v>1627</v>
      </c>
      <c r="AM970" s="431" t="str">
        <f>VLOOKUP($Q970,Resultados!$A$1:$C$49,3,FALSE)</f>
        <v>TRAMITE</v>
      </c>
    </row>
    <row r="971" spans="1:39" ht="39.950000000000003" customHeight="1">
      <c r="A971" s="39">
        <v>970</v>
      </c>
      <c r="B971" s="38">
        <v>45404</v>
      </c>
      <c r="C971" s="32" t="s">
        <v>3216</v>
      </c>
      <c r="D971" s="32" t="s">
        <v>3241</v>
      </c>
      <c r="E971" s="40" t="s">
        <v>3242</v>
      </c>
      <c r="F971" s="39">
        <v>7</v>
      </c>
      <c r="G971" s="32" t="s">
        <v>10</v>
      </c>
      <c r="H971" s="38"/>
      <c r="I971" s="38"/>
      <c r="J971" s="38"/>
      <c r="K971" s="39" t="s">
        <v>1480</v>
      </c>
      <c r="L971" s="70" t="s">
        <v>73</v>
      </c>
      <c r="M971" s="70" t="s">
        <v>61</v>
      </c>
      <c r="N971" s="32" t="s">
        <v>3256</v>
      </c>
      <c r="O971" s="32" t="str">
        <f>IF(Q971=" _","NO","SI")</f>
        <v>NO</v>
      </c>
      <c r="P971" s="24" t="str">
        <f ca="1">IF(color_Celda(E971)=12106214,"ROSA",IF(color_Celda(E971)=65535,"AMARILLO",IF(color_Celda(E971)=5296274,"VERDE",IF(color_Celda(E971)=16777215,"BLANCO","NO SE"))))</f>
        <v>AMARILLO</v>
      </c>
      <c r="Q971" s="32" t="s">
        <v>108</v>
      </c>
      <c r="R971" s="32" t="str">
        <f>VLOOKUP($Q971,Resultados!$A$1:$B$49,2,FALSE)</f>
        <v xml:space="preserve"> _</v>
      </c>
      <c r="S971" s="160">
        <v>45370</v>
      </c>
      <c r="T971" s="73"/>
      <c r="U971" s="37"/>
      <c r="V971" s="39"/>
      <c r="W971" s="39"/>
      <c r="X971" s="39"/>
      <c r="Y971" s="39"/>
      <c r="Z971" s="39"/>
      <c r="AA971" s="39"/>
      <c r="AB971" s="39"/>
      <c r="AC971" s="39"/>
      <c r="AD971" s="39"/>
      <c r="AE971" s="110"/>
      <c r="AF971" s="39"/>
      <c r="AG971" s="39"/>
      <c r="AH971" s="39"/>
      <c r="AI971" s="39"/>
      <c r="AJ971" s="101" t="s">
        <v>988</v>
      </c>
      <c r="AK971" s="39"/>
      <c r="AL971" s="155" t="s">
        <v>1627</v>
      </c>
      <c r="AM971" s="431" t="str">
        <f>VLOOKUP($Q971,Resultados!$A$1:$C$49,3,FALSE)</f>
        <v>TRAMITE</v>
      </c>
    </row>
    <row r="972" spans="1:39" ht="39.950000000000003" customHeight="1">
      <c r="A972" s="39">
        <v>971</v>
      </c>
      <c r="B972" s="38">
        <v>45404</v>
      </c>
      <c r="C972" s="32" t="s">
        <v>3243</v>
      </c>
      <c r="D972" s="32" t="s">
        <v>3244</v>
      </c>
      <c r="E972" s="40" t="s">
        <v>3245</v>
      </c>
      <c r="F972" s="39">
        <v>2</v>
      </c>
      <c r="G972" s="32" t="s">
        <v>325</v>
      </c>
      <c r="H972" s="38"/>
      <c r="I972" s="38"/>
      <c r="J972" s="38"/>
      <c r="K972" s="39" t="s">
        <v>1480</v>
      </c>
      <c r="L972" s="70" t="s">
        <v>74</v>
      </c>
      <c r="M972" s="70" t="s">
        <v>1355</v>
      </c>
      <c r="N972" s="32" t="s">
        <v>3258</v>
      </c>
      <c r="O972" s="32" t="str">
        <f>IF(Q972=" _","NO","SI")</f>
        <v>NO</v>
      </c>
      <c r="P972" s="24" t="str">
        <f ca="1">IF(color_Celda(E972)=12106214,"ROSA",IF(color_Celda(E972)=65535,"AMARILLO",IF(color_Celda(E972)=5296274,"VERDE",IF(color_Celda(E972)=16777215,"BLANCO","NO SE"))))</f>
        <v>AMARILLO</v>
      </c>
      <c r="Q972" s="32" t="s">
        <v>108</v>
      </c>
      <c r="R972" s="32" t="str">
        <f>VLOOKUP($Q972,Resultados!$A$1:$B$49,2,FALSE)</f>
        <v xml:space="preserve"> _</v>
      </c>
      <c r="S972" s="160">
        <v>45386</v>
      </c>
      <c r="T972" s="73"/>
      <c r="U972" s="37"/>
      <c r="V972" s="39"/>
      <c r="W972" s="39"/>
      <c r="X972" s="39"/>
      <c r="Y972" s="39"/>
      <c r="Z972" s="39"/>
      <c r="AA972" s="39"/>
      <c r="AB972" s="39"/>
      <c r="AC972" s="39"/>
      <c r="AD972" s="39"/>
      <c r="AE972" s="110"/>
      <c r="AF972" s="39"/>
      <c r="AG972" s="39"/>
      <c r="AH972" s="39"/>
      <c r="AI972" s="39"/>
      <c r="AJ972" s="101" t="s">
        <v>988</v>
      </c>
      <c r="AK972" s="39"/>
      <c r="AL972" s="155" t="s">
        <v>1627</v>
      </c>
      <c r="AM972" s="431" t="str">
        <f>VLOOKUP($Q972,Resultados!$A$1:$C$49,3,FALSE)</f>
        <v>TRAMITE</v>
      </c>
    </row>
    <row r="973" spans="1:39" ht="39.950000000000003" customHeight="1">
      <c r="A973" s="115">
        <v>972</v>
      </c>
      <c r="B973" s="113">
        <v>45404</v>
      </c>
      <c r="C973" s="26" t="s">
        <v>787</v>
      </c>
      <c r="D973" s="26" t="s">
        <v>3251</v>
      </c>
      <c r="E973" s="114" t="s">
        <v>3246</v>
      </c>
      <c r="F973" s="115">
        <v>7</v>
      </c>
      <c r="G973" s="115"/>
      <c r="H973" s="113"/>
      <c r="I973" s="113"/>
      <c r="J973" s="113"/>
      <c r="K973" s="115" t="s">
        <v>1480</v>
      </c>
      <c r="L973" s="96" t="s">
        <v>74</v>
      </c>
      <c r="M973" s="96"/>
      <c r="N973" s="115"/>
      <c r="O973" s="26" t="str">
        <f>IF(Q973=" _","NO","SI")</f>
        <v>SI</v>
      </c>
      <c r="P973" s="24" t="str">
        <f ca="1">IF(color_Celda(E973)=12106214,"ROSA",IF(color_Celda(E973)=65535,"AMARILLO",IF(color_Celda(E973)=5296274,"VERDE",IF(color_Celda(E973)=16777215,"BLANCO","NO SE"))))</f>
        <v>VERDE</v>
      </c>
      <c r="Q973" s="96" t="s">
        <v>3313</v>
      </c>
      <c r="R973" s="26" t="str">
        <f>VLOOKUP($Q973,Resultados!$A$1:$B$49,2,FALSE)</f>
        <v>VERDE</v>
      </c>
      <c r="S973" s="394">
        <v>45336</v>
      </c>
      <c r="T973" s="99"/>
      <c r="U973" s="116"/>
      <c r="V973" s="115"/>
      <c r="W973" s="115"/>
      <c r="X973" s="115"/>
      <c r="Y973" s="115"/>
      <c r="Z973" s="115"/>
      <c r="AA973" s="115"/>
      <c r="AB973" s="115"/>
      <c r="AC973" s="115"/>
      <c r="AD973" s="115"/>
      <c r="AE973" s="117"/>
      <c r="AF973" s="115"/>
      <c r="AG973" s="115"/>
      <c r="AH973" s="115"/>
      <c r="AI973" s="115"/>
      <c r="AJ973" s="245" t="s">
        <v>988</v>
      </c>
      <c r="AK973" s="115"/>
      <c r="AL973" s="157" t="s">
        <v>1627</v>
      </c>
      <c r="AM973" s="431" t="str">
        <f>VLOOKUP($Q973,Resultados!$A$1:$C$49,3,FALSE)</f>
        <v>NO LLEGO</v>
      </c>
    </row>
    <row r="974" spans="1:39" ht="39.950000000000003" customHeight="1">
      <c r="A974" s="39">
        <v>973</v>
      </c>
      <c r="B974" s="38">
        <v>45404</v>
      </c>
      <c r="C974" s="32" t="s">
        <v>1256</v>
      </c>
      <c r="D974" s="32" t="s">
        <v>3247</v>
      </c>
      <c r="E974" s="40" t="s">
        <v>3248</v>
      </c>
      <c r="F974" s="39">
        <v>2</v>
      </c>
      <c r="G974" s="32" t="s">
        <v>325</v>
      </c>
      <c r="H974" s="38"/>
      <c r="I974" s="38"/>
      <c r="J974" s="38"/>
      <c r="K974" s="39" t="s">
        <v>1480</v>
      </c>
      <c r="L974" s="70" t="s">
        <v>78</v>
      </c>
      <c r="M974" s="70" t="s">
        <v>1289</v>
      </c>
      <c r="N974" s="32" t="s">
        <v>3259</v>
      </c>
      <c r="O974" s="32" t="str">
        <f>IF(Q974=" _","NO","SI")</f>
        <v>NO</v>
      </c>
      <c r="P974" s="24" t="str">
        <f ca="1">IF(color_Celda(E974)=12106214,"ROSA",IF(color_Celda(E974)=65535,"AMARILLO",IF(color_Celda(E974)=5296274,"VERDE",IF(color_Celda(E974)=16777215,"BLANCO","NO SE"))))</f>
        <v>AMARILLO</v>
      </c>
      <c r="Q974" s="32" t="s">
        <v>108</v>
      </c>
      <c r="R974" s="32" t="str">
        <f>VLOOKUP($Q974,Resultados!$A$1:$B$49,2,FALSE)</f>
        <v xml:space="preserve"> _</v>
      </c>
      <c r="S974" s="160">
        <v>45404</v>
      </c>
      <c r="T974" s="73"/>
      <c r="U974" s="37"/>
      <c r="V974" s="39"/>
      <c r="W974" s="39"/>
      <c r="X974" s="39"/>
      <c r="Y974" s="39"/>
      <c r="Z974" s="39"/>
      <c r="AA974" s="39"/>
      <c r="AB974" s="39"/>
      <c r="AC974" s="39"/>
      <c r="AD974" s="39"/>
      <c r="AE974" s="110"/>
      <c r="AF974" s="39"/>
      <c r="AG974" s="39"/>
      <c r="AH974" s="39"/>
      <c r="AI974" s="39"/>
      <c r="AJ974" s="101" t="s">
        <v>988</v>
      </c>
      <c r="AK974" s="39"/>
      <c r="AL974" s="155" t="s">
        <v>1627</v>
      </c>
      <c r="AM974" s="431" t="str">
        <f>VLOOKUP($Q974,Resultados!$A$1:$C$49,3,FALSE)</f>
        <v>TRAMITE</v>
      </c>
    </row>
    <row r="975" spans="1:39" ht="39.950000000000003" customHeight="1">
      <c r="A975" s="39">
        <v>974</v>
      </c>
      <c r="B975" s="38">
        <v>45404</v>
      </c>
      <c r="C975" s="32" t="s">
        <v>461</v>
      </c>
      <c r="D975" s="32" t="s">
        <v>3250</v>
      </c>
      <c r="E975" s="40" t="s">
        <v>3249</v>
      </c>
      <c r="F975" s="39">
        <v>6</v>
      </c>
      <c r="G975" s="32" t="s">
        <v>2876</v>
      </c>
      <c r="H975" s="38"/>
      <c r="I975" s="38"/>
      <c r="J975" s="38"/>
      <c r="K975" s="39" t="s">
        <v>1480</v>
      </c>
      <c r="L975" s="70" t="s">
        <v>2169</v>
      </c>
      <c r="M975" s="70" t="s">
        <v>67</v>
      </c>
      <c r="N975" s="32" t="s">
        <v>3257</v>
      </c>
      <c r="O975" s="32" t="str">
        <f>IF(Q975=" _","NO","SI")</f>
        <v>NO</v>
      </c>
      <c r="P975" s="24" t="str">
        <f ca="1">IF(color_Celda(E975)=12106214,"ROSA",IF(color_Celda(E975)=65535,"AMARILLO",IF(color_Celda(E975)=5296274,"VERDE",IF(color_Celda(E975)=16777215,"BLANCO","NO SE"))))</f>
        <v>AMARILLO</v>
      </c>
      <c r="Q975" s="32" t="s">
        <v>108</v>
      </c>
      <c r="R975" s="32" t="str">
        <f>VLOOKUP($Q975,Resultados!$A$1:$B$49,2,FALSE)</f>
        <v xml:space="preserve"> _</v>
      </c>
      <c r="S975" s="160">
        <v>45359</v>
      </c>
      <c r="T975" s="73"/>
      <c r="U975" s="37"/>
      <c r="V975" s="39"/>
      <c r="W975" s="39"/>
      <c r="X975" s="39"/>
      <c r="Y975" s="39"/>
      <c r="Z975" s="39"/>
      <c r="AA975" s="39"/>
      <c r="AB975" s="39"/>
      <c r="AC975" s="39"/>
      <c r="AD975" s="39"/>
      <c r="AE975" s="110"/>
      <c r="AF975" s="39"/>
      <c r="AG975" s="39"/>
      <c r="AH975" s="39"/>
      <c r="AI975" s="39"/>
      <c r="AJ975" s="101" t="s">
        <v>988</v>
      </c>
      <c r="AK975" s="39"/>
      <c r="AL975" s="155" t="s">
        <v>1627</v>
      </c>
      <c r="AM975" s="431" t="str">
        <f>VLOOKUP($Q975,Resultados!$A$1:$C$49,3,FALSE)</f>
        <v>TRAMITE</v>
      </c>
    </row>
    <row r="976" spans="1:39" ht="39.950000000000003" customHeight="1">
      <c r="A976" s="39">
        <v>975</v>
      </c>
      <c r="B976" s="38">
        <v>45405</v>
      </c>
      <c r="C976" s="32" t="s">
        <v>12</v>
      </c>
      <c r="D976" s="32" t="s">
        <v>3260</v>
      </c>
      <c r="E976" s="40" t="s">
        <v>3261</v>
      </c>
      <c r="F976" s="39">
        <v>6</v>
      </c>
      <c r="G976" s="32" t="s">
        <v>2876</v>
      </c>
      <c r="H976" s="38"/>
      <c r="I976" s="38"/>
      <c r="J976" s="38"/>
      <c r="K976" s="39" t="s">
        <v>1480</v>
      </c>
      <c r="L976" s="70" t="s">
        <v>75</v>
      </c>
      <c r="M976" s="70" t="s">
        <v>270</v>
      </c>
      <c r="N976" s="32" t="s">
        <v>3257</v>
      </c>
      <c r="O976" s="32" t="str">
        <f>IF(Q976=" _","NO","SI")</f>
        <v>NO</v>
      </c>
      <c r="P976" s="24" t="str">
        <f ca="1">IF(color_Celda(E976)=12106214,"ROSA",IF(color_Celda(E976)=65535,"AMARILLO",IF(color_Celda(E976)=5296274,"VERDE",IF(color_Celda(E976)=16777215,"BLANCO","NO SE"))))</f>
        <v>AMARILLO</v>
      </c>
      <c r="Q976" s="32" t="s">
        <v>108</v>
      </c>
      <c r="R976" s="32" t="str">
        <f>VLOOKUP($Q976,Resultados!$A$1:$B$49,2,FALSE)</f>
        <v xml:space="preserve"> _</v>
      </c>
      <c r="S976" s="160">
        <v>45211</v>
      </c>
      <c r="T976" s="73"/>
      <c r="U976" s="37"/>
      <c r="V976" s="39"/>
      <c r="W976" s="39"/>
      <c r="X976" s="39"/>
      <c r="Y976" s="39"/>
      <c r="Z976" s="39"/>
      <c r="AA976" s="39"/>
      <c r="AB976" s="39"/>
      <c r="AC976" s="39"/>
      <c r="AD976" s="39"/>
      <c r="AE976" s="110"/>
      <c r="AF976" s="39"/>
      <c r="AG976" s="39"/>
      <c r="AH976" s="39"/>
      <c r="AI976" s="39"/>
      <c r="AJ976" s="101" t="s">
        <v>988</v>
      </c>
      <c r="AK976" s="39"/>
      <c r="AL976" s="155" t="s">
        <v>1627</v>
      </c>
      <c r="AM976" s="431" t="str">
        <f>VLOOKUP($Q976,Resultados!$A$1:$C$49,3,FALSE)</f>
        <v>TRAMITE</v>
      </c>
    </row>
    <row r="977" spans="1:39" ht="39.950000000000003" customHeight="1">
      <c r="A977" s="39">
        <v>975</v>
      </c>
      <c r="B977" s="38">
        <v>45405</v>
      </c>
      <c r="C977" s="32" t="s">
        <v>12</v>
      </c>
      <c r="D977" s="32" t="s">
        <v>3262</v>
      </c>
      <c r="E977" s="40" t="s">
        <v>3263</v>
      </c>
      <c r="F977" s="39">
        <v>6</v>
      </c>
      <c r="G977" s="32" t="s">
        <v>2876</v>
      </c>
      <c r="H977" s="38"/>
      <c r="I977" s="38"/>
      <c r="J977" s="38"/>
      <c r="K977" s="39" t="s">
        <v>1480</v>
      </c>
      <c r="L977" s="70" t="s">
        <v>2169</v>
      </c>
      <c r="M977" s="70" t="s">
        <v>1156</v>
      </c>
      <c r="N977" s="32" t="s">
        <v>3284</v>
      </c>
      <c r="O977" s="32" t="str">
        <f>IF(Q977=" _","NO","SI")</f>
        <v>NO</v>
      </c>
      <c r="P977" s="24" t="str">
        <f ca="1">IF(color_Celda(E977)=12106214,"ROSA",IF(color_Celda(E977)=65535,"AMARILLO",IF(color_Celda(E977)=5296274,"VERDE",IF(color_Celda(E977)=16777215,"BLANCO","NO SE"))))</f>
        <v>AMARILLO</v>
      </c>
      <c r="Q977" s="32" t="s">
        <v>108</v>
      </c>
      <c r="R977" s="32" t="str">
        <f>VLOOKUP($Q977,Resultados!$A$1:$B$49,2,FALSE)</f>
        <v xml:space="preserve"> _</v>
      </c>
      <c r="S977" s="160">
        <v>45362</v>
      </c>
      <c r="T977" s="73"/>
      <c r="U977" s="37"/>
      <c r="V977" s="39"/>
      <c r="W977" s="39"/>
      <c r="X977" s="39"/>
      <c r="Y977" s="39"/>
      <c r="Z977" s="39"/>
      <c r="AA977" s="39"/>
      <c r="AB977" s="39"/>
      <c r="AC977" s="39"/>
      <c r="AD977" s="39"/>
      <c r="AE977" s="110"/>
      <c r="AF977" s="39"/>
      <c r="AG977" s="39"/>
      <c r="AH977" s="39"/>
      <c r="AI977" s="39"/>
      <c r="AJ977" s="101" t="s">
        <v>988</v>
      </c>
      <c r="AK977" s="39"/>
      <c r="AL977" s="155" t="s">
        <v>1627</v>
      </c>
      <c r="AM977" s="431" t="str">
        <f>VLOOKUP($Q977,Resultados!$A$1:$C$49,3,FALSE)</f>
        <v>TRAMITE</v>
      </c>
    </row>
    <row r="978" spans="1:39" ht="39.950000000000003" customHeight="1">
      <c r="A978" s="39">
        <v>976</v>
      </c>
      <c r="B978" s="38">
        <v>45405</v>
      </c>
      <c r="C978" s="32" t="s">
        <v>12</v>
      </c>
      <c r="D978" s="32" t="s">
        <v>3264</v>
      </c>
      <c r="E978" s="40" t="s">
        <v>3265</v>
      </c>
      <c r="F978" s="39">
        <v>6</v>
      </c>
      <c r="G978" s="32" t="s">
        <v>2876</v>
      </c>
      <c r="H978" s="38"/>
      <c r="I978" s="38"/>
      <c r="J978" s="38"/>
      <c r="K978" s="39" t="s">
        <v>1480</v>
      </c>
      <c r="L978" s="70" t="s">
        <v>82</v>
      </c>
      <c r="M978" s="70" t="s">
        <v>1156</v>
      </c>
      <c r="N978" s="32" t="s">
        <v>3292</v>
      </c>
      <c r="O978" s="32" t="str">
        <f>IF(Q978=" _","NO","SI")</f>
        <v>NO</v>
      </c>
      <c r="P978" s="24" t="str">
        <f ca="1">IF(color_Celda(E978)=12106214,"ROSA",IF(color_Celda(E978)=65535,"AMARILLO",IF(color_Celda(E978)=5296274,"VERDE",IF(color_Celda(E978)=16777215,"BLANCO","NO SE"))))</f>
        <v>AMARILLO</v>
      </c>
      <c r="Q978" s="32" t="s">
        <v>108</v>
      </c>
      <c r="R978" s="32" t="str">
        <f>VLOOKUP($Q978,Resultados!$A$1:$B$49,2,FALSE)</f>
        <v xml:space="preserve"> _</v>
      </c>
      <c r="S978" s="160">
        <v>45365</v>
      </c>
      <c r="T978" s="73"/>
      <c r="U978" s="37"/>
      <c r="V978" s="39"/>
      <c r="W978" s="39"/>
      <c r="X978" s="39"/>
      <c r="Y978" s="39"/>
      <c r="Z978" s="39"/>
      <c r="AA978" s="39"/>
      <c r="AB978" s="39"/>
      <c r="AC978" s="39"/>
      <c r="AD978" s="39"/>
      <c r="AE978" s="110"/>
      <c r="AF978" s="39"/>
      <c r="AG978" s="39"/>
      <c r="AH978" s="39"/>
      <c r="AI978" s="39"/>
      <c r="AJ978" s="101" t="s">
        <v>988</v>
      </c>
      <c r="AK978" s="39"/>
      <c r="AL978" s="155" t="s">
        <v>1627</v>
      </c>
      <c r="AM978" s="431" t="str">
        <f>VLOOKUP($Q978,Resultados!$A$1:$C$49,3,FALSE)</f>
        <v>TRAMITE</v>
      </c>
    </row>
    <row r="979" spans="1:39" ht="39.950000000000003" customHeight="1">
      <c r="A979" s="39">
        <v>977</v>
      </c>
      <c r="B979" s="38">
        <v>45405</v>
      </c>
      <c r="C979" s="32" t="s">
        <v>3266</v>
      </c>
      <c r="D979" s="32" t="s">
        <v>3267</v>
      </c>
      <c r="E979" s="40" t="s">
        <v>3268</v>
      </c>
      <c r="F979" s="39">
        <v>6</v>
      </c>
      <c r="G979" s="32" t="s">
        <v>2876</v>
      </c>
      <c r="H979" s="38"/>
      <c r="I979" s="38"/>
      <c r="J979" s="38"/>
      <c r="K979" s="39" t="s">
        <v>1480</v>
      </c>
      <c r="L979" s="70" t="s">
        <v>83</v>
      </c>
      <c r="M979" s="70" t="s">
        <v>260</v>
      </c>
      <c r="N979" s="32" t="s">
        <v>3284</v>
      </c>
      <c r="O979" s="32" t="str">
        <f>IF(Q979=" _","NO","SI")</f>
        <v>NO</v>
      </c>
      <c r="P979" s="24" t="str">
        <f ca="1">IF(color_Celda(E979)=12106214,"ROSA",IF(color_Celda(E979)=65535,"AMARILLO",IF(color_Celda(E979)=5296274,"VERDE",IF(color_Celda(E979)=16777215,"BLANCO","NO SE"))))</f>
        <v>AMARILLO</v>
      </c>
      <c r="Q979" s="32" t="s">
        <v>108</v>
      </c>
      <c r="R979" s="32" t="str">
        <f>VLOOKUP($Q979,Resultados!$A$1:$B$49,2,FALSE)</f>
        <v xml:space="preserve"> _</v>
      </c>
      <c r="S979" s="160">
        <v>45391</v>
      </c>
      <c r="T979" s="73"/>
      <c r="U979" s="37"/>
      <c r="V979" s="39"/>
      <c r="W979" s="39"/>
      <c r="X979" s="39"/>
      <c r="Y979" s="39"/>
      <c r="Z979" s="39"/>
      <c r="AA979" s="39"/>
      <c r="AB979" s="39"/>
      <c r="AC979" s="39"/>
      <c r="AD979" s="39"/>
      <c r="AE979" s="110"/>
      <c r="AF979" s="39"/>
      <c r="AG979" s="39"/>
      <c r="AH979" s="39"/>
      <c r="AI979" s="39"/>
      <c r="AJ979" s="101" t="s">
        <v>988</v>
      </c>
      <c r="AK979" s="39"/>
      <c r="AL979" s="155" t="s">
        <v>1627</v>
      </c>
      <c r="AM979" s="431" t="str">
        <f>VLOOKUP($Q979,Resultados!$A$1:$C$49,3,FALSE)</f>
        <v>TRAMITE</v>
      </c>
    </row>
    <row r="980" spans="1:39" ht="39.950000000000003" customHeight="1">
      <c r="A980" s="39">
        <v>978</v>
      </c>
      <c r="B980" s="38">
        <v>45405</v>
      </c>
      <c r="C980" s="32" t="s">
        <v>1091</v>
      </c>
      <c r="D980" s="32" t="s">
        <v>3269</v>
      </c>
      <c r="E980" s="40" t="s">
        <v>3270</v>
      </c>
      <c r="F980" s="39">
        <v>6</v>
      </c>
      <c r="G980" s="32" t="s">
        <v>2876</v>
      </c>
      <c r="H980" s="38"/>
      <c r="I980" s="38"/>
      <c r="J980" s="38"/>
      <c r="K980" s="39" t="s">
        <v>1480</v>
      </c>
      <c r="L980" s="70" t="s">
        <v>2169</v>
      </c>
      <c r="M980" s="70" t="s">
        <v>1156</v>
      </c>
      <c r="N980" s="32" t="s">
        <v>3284</v>
      </c>
      <c r="O980" s="32" t="str">
        <f>IF(Q980=" _","NO","SI")</f>
        <v>NO</v>
      </c>
      <c r="P980" s="24" t="str">
        <f ca="1">IF(color_Celda(E980)=12106214,"ROSA",IF(color_Celda(E980)=65535,"AMARILLO",IF(color_Celda(E980)=5296274,"VERDE",IF(color_Celda(E980)=16777215,"BLANCO","NO SE"))))</f>
        <v>AMARILLO</v>
      </c>
      <c r="Q980" s="32" t="s">
        <v>108</v>
      </c>
      <c r="R980" s="32" t="str">
        <f>VLOOKUP($Q980,Resultados!$A$1:$B$49,2,FALSE)</f>
        <v xml:space="preserve"> _</v>
      </c>
      <c r="S980" s="160">
        <v>45364</v>
      </c>
      <c r="T980" s="73"/>
      <c r="U980" s="37"/>
      <c r="V980" s="39"/>
      <c r="W980" s="39"/>
      <c r="X980" s="39"/>
      <c r="Y980" s="39"/>
      <c r="Z980" s="39"/>
      <c r="AA980" s="39"/>
      <c r="AB980" s="39"/>
      <c r="AC980" s="39"/>
      <c r="AD980" s="39"/>
      <c r="AE980" s="110"/>
      <c r="AF980" s="39"/>
      <c r="AG980" s="39"/>
      <c r="AH980" s="39"/>
      <c r="AI980" s="39"/>
      <c r="AJ980" s="101" t="s">
        <v>988</v>
      </c>
      <c r="AK980" s="39"/>
      <c r="AL980" s="155" t="s">
        <v>1627</v>
      </c>
      <c r="AM980" s="431" t="str">
        <f>VLOOKUP($Q980,Resultados!$A$1:$C$49,3,FALSE)</f>
        <v>TRAMITE</v>
      </c>
    </row>
    <row r="981" spans="1:39" ht="39.950000000000003" customHeight="1">
      <c r="A981" s="39">
        <v>979</v>
      </c>
      <c r="B981" s="38">
        <v>45405</v>
      </c>
      <c r="C981" s="32" t="s">
        <v>1256</v>
      </c>
      <c r="D981" s="32" t="s">
        <v>3271</v>
      </c>
      <c r="E981" s="40" t="s">
        <v>3272</v>
      </c>
      <c r="F981" s="39">
        <v>1</v>
      </c>
      <c r="G981" s="32" t="s">
        <v>2876</v>
      </c>
      <c r="H981" s="38"/>
      <c r="I981" s="38"/>
      <c r="J981" s="38"/>
      <c r="K981" s="39" t="s">
        <v>1480</v>
      </c>
      <c r="L981" s="70" t="s">
        <v>2171</v>
      </c>
      <c r="M981" s="70" t="s">
        <v>59</v>
      </c>
      <c r="N981" s="32" t="s">
        <v>3284</v>
      </c>
      <c r="O981" s="32" t="str">
        <f>IF(Q981=" _","NO","SI")</f>
        <v>NO</v>
      </c>
      <c r="P981" s="24" t="str">
        <f ca="1">IF(color_Celda(E981)=12106214,"ROSA",IF(color_Celda(E981)=65535,"AMARILLO",IF(color_Celda(E981)=5296274,"VERDE",IF(color_Celda(E981)=16777215,"BLANCO","NO SE"))))</f>
        <v>AMARILLO</v>
      </c>
      <c r="Q981" s="32" t="s">
        <v>108</v>
      </c>
      <c r="R981" s="32" t="str">
        <f>VLOOKUP($Q981,Resultados!$A$1:$B$49,2,FALSE)</f>
        <v xml:space="preserve"> _</v>
      </c>
      <c r="S981" s="32"/>
      <c r="T981" s="73"/>
      <c r="U981" s="37"/>
      <c r="V981" s="39"/>
      <c r="W981" s="39"/>
      <c r="X981" s="39"/>
      <c r="Y981" s="39"/>
      <c r="Z981" s="39"/>
      <c r="AA981" s="39"/>
      <c r="AB981" s="39"/>
      <c r="AC981" s="39"/>
      <c r="AD981" s="39"/>
      <c r="AE981" s="110"/>
      <c r="AF981" s="39"/>
      <c r="AG981" s="39"/>
      <c r="AH981" s="39"/>
      <c r="AI981" s="39"/>
      <c r="AJ981" s="101" t="s">
        <v>988</v>
      </c>
      <c r="AK981" s="39"/>
      <c r="AL981" s="155" t="s">
        <v>1627</v>
      </c>
      <c r="AM981" s="431" t="str">
        <f>VLOOKUP($Q981,Resultados!$A$1:$C$49,3,FALSE)</f>
        <v>TRAMITE</v>
      </c>
    </row>
    <row r="982" spans="1:39" ht="39.950000000000003" customHeight="1">
      <c r="A982" s="39">
        <v>980</v>
      </c>
      <c r="B982" s="38">
        <v>45405</v>
      </c>
      <c r="C982" s="32" t="s">
        <v>3273</v>
      </c>
      <c r="D982" s="32" t="s">
        <v>3274</v>
      </c>
      <c r="E982" s="41" t="s">
        <v>3288</v>
      </c>
      <c r="F982" s="39">
        <v>3</v>
      </c>
      <c r="G982" s="32" t="s">
        <v>325</v>
      </c>
      <c r="H982" s="38"/>
      <c r="I982" s="38"/>
      <c r="J982" s="38"/>
      <c r="K982" s="39" t="s">
        <v>1480</v>
      </c>
      <c r="L982" s="70" t="s">
        <v>35</v>
      </c>
      <c r="M982" s="70" t="s">
        <v>121</v>
      </c>
      <c r="N982" s="32" t="s">
        <v>3289</v>
      </c>
      <c r="O982" s="32" t="str">
        <f>IF(Q982=" _","NO","SI")</f>
        <v>NO</v>
      </c>
      <c r="P982" s="24" t="str">
        <f ca="1">IF(color_Celda(E982)=12106214,"ROSA",IF(color_Celda(E982)=65535,"AMARILLO",IF(color_Celda(E982)=5296274,"VERDE",IF(color_Celda(E982)=16777215,"BLANCO","NO SE"))))</f>
        <v>AMARILLO</v>
      </c>
      <c r="Q982" s="32" t="s">
        <v>108</v>
      </c>
      <c r="R982" s="32" t="str">
        <f>VLOOKUP($Q982,Resultados!$A$1:$B$49,2,FALSE)</f>
        <v xml:space="preserve"> _</v>
      </c>
      <c r="S982" s="32"/>
      <c r="T982" s="73"/>
      <c r="U982" s="37"/>
      <c r="V982" s="39"/>
      <c r="W982" s="39"/>
      <c r="X982" s="39"/>
      <c r="Y982" s="39"/>
      <c r="Z982" s="39"/>
      <c r="AA982" s="39"/>
      <c r="AB982" s="39"/>
      <c r="AC982" s="39"/>
      <c r="AD982" s="39"/>
      <c r="AE982" s="110"/>
      <c r="AF982" s="39"/>
      <c r="AG982" s="39"/>
      <c r="AH982" s="39"/>
      <c r="AI982" s="39"/>
      <c r="AJ982" s="101" t="s">
        <v>408</v>
      </c>
      <c r="AK982" s="39"/>
      <c r="AL982" s="155" t="s">
        <v>1627</v>
      </c>
      <c r="AM982" s="431" t="str">
        <f>VLOOKUP($Q982,Resultados!$A$1:$C$49,3,FALSE)</f>
        <v>TRAMITE</v>
      </c>
    </row>
    <row r="983" spans="1:39" ht="39.950000000000003" customHeight="1">
      <c r="A983" s="39">
        <v>981</v>
      </c>
      <c r="B983" s="38">
        <v>45405</v>
      </c>
      <c r="C983" s="32" t="s">
        <v>3275</v>
      </c>
      <c r="D983" s="32" t="s">
        <v>3276</v>
      </c>
      <c r="E983" s="40" t="s">
        <v>3277</v>
      </c>
      <c r="F983" s="39">
        <v>6</v>
      </c>
      <c r="G983" s="32" t="s">
        <v>2876</v>
      </c>
      <c r="H983" s="38"/>
      <c r="I983" s="38"/>
      <c r="J983" s="38"/>
      <c r="K983" s="39" t="s">
        <v>1480</v>
      </c>
      <c r="L983" s="70" t="s">
        <v>2173</v>
      </c>
      <c r="M983" s="70" t="s">
        <v>270</v>
      </c>
      <c r="N983" s="32" t="s">
        <v>3257</v>
      </c>
      <c r="O983" s="32" t="str">
        <f>IF(Q983=" _","NO","SI")</f>
        <v>NO</v>
      </c>
      <c r="P983" s="24" t="str">
        <f ca="1">IF(color_Celda(E983)=12106214,"ROSA",IF(color_Celda(E983)=65535,"AMARILLO",IF(color_Celda(E983)=5296274,"VERDE",IF(color_Celda(E983)=16777215,"BLANCO","NO SE"))))</f>
        <v>AMARILLO</v>
      </c>
      <c r="Q983" s="32" t="s">
        <v>108</v>
      </c>
      <c r="R983" s="32" t="str">
        <f>VLOOKUP($Q983,Resultados!$A$1:$B$49,2,FALSE)</f>
        <v xml:space="preserve"> _</v>
      </c>
      <c r="S983" s="160">
        <v>45400</v>
      </c>
      <c r="T983" s="73"/>
      <c r="U983" s="37"/>
      <c r="V983" s="39"/>
      <c r="W983" s="39"/>
      <c r="X983" s="39"/>
      <c r="Y983" s="39"/>
      <c r="Z983" s="39"/>
      <c r="AA983" s="39"/>
      <c r="AB983" s="39"/>
      <c r="AC983" s="39"/>
      <c r="AD983" s="39"/>
      <c r="AE983" s="110"/>
      <c r="AF983" s="39"/>
      <c r="AG983" s="39"/>
      <c r="AH983" s="39"/>
      <c r="AI983" s="39"/>
      <c r="AJ983" s="101" t="s">
        <v>988</v>
      </c>
      <c r="AK983" s="39"/>
      <c r="AL983" s="155" t="s">
        <v>1627</v>
      </c>
      <c r="AM983" s="431" t="str">
        <f>VLOOKUP($Q983,Resultados!$A$1:$C$49,3,FALSE)</f>
        <v>TRAMITE</v>
      </c>
    </row>
    <row r="984" spans="1:39" ht="39.950000000000003" customHeight="1">
      <c r="A984" s="39">
        <v>982</v>
      </c>
      <c r="B984" s="38">
        <v>45405</v>
      </c>
      <c r="C984" s="353">
        <v>0.4375</v>
      </c>
      <c r="D984" s="32" t="s">
        <v>3278</v>
      </c>
      <c r="E984" s="40" t="s">
        <v>3279</v>
      </c>
      <c r="F984" s="39">
        <v>7</v>
      </c>
      <c r="G984" s="32" t="s">
        <v>10</v>
      </c>
      <c r="H984" s="38"/>
      <c r="I984" s="38"/>
      <c r="J984" s="38"/>
      <c r="K984" s="39" t="s">
        <v>1480</v>
      </c>
      <c r="L984" s="70" t="s">
        <v>74</v>
      </c>
      <c r="M984" s="70" t="s">
        <v>61</v>
      </c>
      <c r="N984" s="32" t="s">
        <v>3256</v>
      </c>
      <c r="O984" s="32" t="str">
        <f>IF(Q984=" _","NO","SI")</f>
        <v>NO</v>
      </c>
      <c r="P984" s="24" t="str">
        <f ca="1">IF(color_Celda(E984)=12106214,"ROSA",IF(color_Celda(E984)=65535,"AMARILLO",IF(color_Celda(E984)=5296274,"VERDE",IF(color_Celda(E984)=16777215,"BLANCO","NO SE"))))</f>
        <v>AMARILLO</v>
      </c>
      <c r="Q984" s="32" t="s">
        <v>108</v>
      </c>
      <c r="R984" s="32" t="str">
        <f>VLOOKUP($Q984,Resultados!$A$1:$B$49,2,FALSE)</f>
        <v xml:space="preserve"> _</v>
      </c>
      <c r="S984" s="32"/>
      <c r="T984" s="73"/>
      <c r="U984" s="37"/>
      <c r="V984" s="39"/>
      <c r="W984" s="39"/>
      <c r="X984" s="39"/>
      <c r="Y984" s="39"/>
      <c r="Z984" s="39"/>
      <c r="AA984" s="39"/>
      <c r="AB984" s="39"/>
      <c r="AC984" s="39"/>
      <c r="AD984" s="39"/>
      <c r="AE984" s="110"/>
      <c r="AF984" s="39"/>
      <c r="AG984" s="39"/>
      <c r="AH984" s="39"/>
      <c r="AI984" s="39"/>
      <c r="AJ984" s="101" t="s">
        <v>988</v>
      </c>
      <c r="AK984" s="39"/>
      <c r="AL984" s="155" t="s">
        <v>1627</v>
      </c>
      <c r="AM984" s="431" t="str">
        <f>VLOOKUP($Q984,Resultados!$A$1:$C$49,3,FALSE)</f>
        <v>TRAMITE</v>
      </c>
    </row>
    <row r="985" spans="1:39" ht="39.950000000000003" customHeight="1">
      <c r="A985" s="39">
        <v>983</v>
      </c>
      <c r="B985" s="38">
        <v>45405</v>
      </c>
      <c r="C985" s="32" t="s">
        <v>34</v>
      </c>
      <c r="D985" s="32" t="s">
        <v>3280</v>
      </c>
      <c r="E985" s="40" t="s">
        <v>3281</v>
      </c>
      <c r="F985" s="39">
        <v>7</v>
      </c>
      <c r="G985" s="32" t="s">
        <v>10</v>
      </c>
      <c r="H985" s="38"/>
      <c r="I985" s="38"/>
      <c r="J985" s="38"/>
      <c r="K985" s="39" t="s">
        <v>1480</v>
      </c>
      <c r="L985" s="70" t="s">
        <v>77</v>
      </c>
      <c r="M985" s="70" t="s">
        <v>131</v>
      </c>
      <c r="N985" s="32" t="s">
        <v>3282</v>
      </c>
      <c r="O985" s="32" t="str">
        <f>IF(Q985=" _","NO","SI")</f>
        <v>NO</v>
      </c>
      <c r="P985" s="24" t="str">
        <f ca="1">IF(color_Celda(E985)=12106214,"ROSA",IF(color_Celda(E985)=65535,"AMARILLO",IF(color_Celda(E985)=5296274,"VERDE",IF(color_Celda(E985)=16777215,"BLANCO","NO SE"))))</f>
        <v>AMARILLO</v>
      </c>
      <c r="Q985" s="32" t="s">
        <v>108</v>
      </c>
      <c r="R985" s="32" t="str">
        <f>VLOOKUP($Q985,Resultados!$A$1:$B$49,2,FALSE)</f>
        <v xml:space="preserve"> _</v>
      </c>
      <c r="S985" s="32"/>
      <c r="T985" s="73"/>
      <c r="U985" s="37"/>
      <c r="V985" s="39"/>
      <c r="W985" s="39"/>
      <c r="X985" s="39"/>
      <c r="Y985" s="39"/>
      <c r="Z985" s="39"/>
      <c r="AA985" s="39"/>
      <c r="AB985" s="39"/>
      <c r="AC985" s="39"/>
      <c r="AD985" s="39"/>
      <c r="AE985" s="110"/>
      <c r="AF985" s="39"/>
      <c r="AG985" s="39"/>
      <c r="AH985" s="39"/>
      <c r="AI985" s="39"/>
      <c r="AJ985" s="101" t="s">
        <v>988</v>
      </c>
      <c r="AK985" s="39"/>
      <c r="AL985" s="155" t="s">
        <v>1627</v>
      </c>
      <c r="AM985" s="431" t="str">
        <f>VLOOKUP($Q985,Resultados!$A$1:$C$49,3,FALSE)</f>
        <v>TRAMITE</v>
      </c>
    </row>
    <row r="986" spans="1:39" ht="39.950000000000003" customHeight="1">
      <c r="A986" s="39">
        <v>984</v>
      </c>
      <c r="B986" s="38">
        <v>45405</v>
      </c>
      <c r="C986" s="32" t="s">
        <v>34</v>
      </c>
      <c r="D986" s="32" t="s">
        <v>3283</v>
      </c>
      <c r="E986" s="41" t="s">
        <v>3285</v>
      </c>
      <c r="F986" s="39">
        <v>7</v>
      </c>
      <c r="G986" s="32" t="s">
        <v>2876</v>
      </c>
      <c r="H986" s="38"/>
      <c r="I986" s="38"/>
      <c r="J986" s="38"/>
      <c r="K986" s="39" t="s">
        <v>1480</v>
      </c>
      <c r="L986" s="70" t="s">
        <v>87</v>
      </c>
      <c r="M986" s="70" t="s">
        <v>62</v>
      </c>
      <c r="N986" s="32" t="s">
        <v>3284</v>
      </c>
      <c r="O986" s="32" t="str">
        <f>IF(Q986=" _","NO","SI")</f>
        <v>NO</v>
      </c>
      <c r="P986" s="24" t="str">
        <f ca="1">IF(color_Celda(E986)=12106214,"ROSA",IF(color_Celda(E986)=65535,"AMARILLO",IF(color_Celda(E986)=5296274,"VERDE",IF(color_Celda(E986)=16777215,"BLANCO","NO SE"))))</f>
        <v>AMARILLO</v>
      </c>
      <c r="Q986" s="32" t="s">
        <v>108</v>
      </c>
      <c r="R986" s="32" t="str">
        <f>VLOOKUP($Q986,Resultados!$A$1:$B$49,2,FALSE)</f>
        <v xml:space="preserve"> _</v>
      </c>
      <c r="S986" s="32"/>
      <c r="T986" s="73"/>
      <c r="U986" s="37"/>
      <c r="V986" s="39"/>
      <c r="W986" s="39"/>
      <c r="X986" s="39"/>
      <c r="Y986" s="39"/>
      <c r="Z986" s="39"/>
      <c r="AA986" s="39"/>
      <c r="AB986" s="39"/>
      <c r="AC986" s="39"/>
      <c r="AD986" s="39"/>
      <c r="AE986" s="110"/>
      <c r="AF986" s="39"/>
      <c r="AG986" s="39"/>
      <c r="AH986" s="39"/>
      <c r="AI986" s="39"/>
      <c r="AJ986" s="101" t="s">
        <v>408</v>
      </c>
      <c r="AK986" s="39"/>
      <c r="AL986" s="155" t="s">
        <v>1627</v>
      </c>
      <c r="AM986" s="431" t="str">
        <f>VLOOKUP($Q986,Resultados!$A$1:$C$49,3,FALSE)</f>
        <v>TRAMITE</v>
      </c>
    </row>
    <row r="987" spans="1:39" ht="39.950000000000003" customHeight="1">
      <c r="A987" s="39">
        <v>985</v>
      </c>
      <c r="B987" s="38">
        <v>45405</v>
      </c>
      <c r="C987" s="32" t="s">
        <v>1841</v>
      </c>
      <c r="D987" s="32" t="s">
        <v>3290</v>
      </c>
      <c r="E987" s="40" t="s">
        <v>3291</v>
      </c>
      <c r="F987" s="39">
        <v>1</v>
      </c>
      <c r="G987" s="32" t="s">
        <v>2876</v>
      </c>
      <c r="H987" s="38"/>
      <c r="I987" s="38"/>
      <c r="J987" s="38"/>
      <c r="K987" s="39" t="s">
        <v>1480</v>
      </c>
      <c r="L987" s="70" t="s">
        <v>82</v>
      </c>
      <c r="M987" s="70" t="s">
        <v>3293</v>
      </c>
      <c r="N987" s="32" t="s">
        <v>3294</v>
      </c>
      <c r="O987" s="32" t="str">
        <f>IF(Q987=" _","NO","SI")</f>
        <v>NO</v>
      </c>
      <c r="P987" s="24" t="str">
        <f ca="1">IF(color_Celda(E987)=12106214,"ROSA",IF(color_Celda(E987)=65535,"AMARILLO",IF(color_Celda(E987)=5296274,"VERDE",IF(color_Celda(E987)=16777215,"BLANCO","NO SE"))))</f>
        <v>AMARILLO</v>
      </c>
      <c r="Q987" s="32" t="s">
        <v>108</v>
      </c>
      <c r="R987" s="32" t="str">
        <f>VLOOKUP($Q987,Resultados!$A$1:$B$49,2,FALSE)</f>
        <v xml:space="preserve"> _</v>
      </c>
      <c r="S987" s="32"/>
      <c r="T987" s="73"/>
      <c r="U987" s="37"/>
      <c r="V987" s="39"/>
      <c r="W987" s="39"/>
      <c r="X987" s="39"/>
      <c r="Y987" s="39"/>
      <c r="Z987" s="39"/>
      <c r="AA987" s="39"/>
      <c r="AB987" s="39"/>
      <c r="AC987" s="39"/>
      <c r="AD987" s="39"/>
      <c r="AE987" s="110"/>
      <c r="AF987" s="39"/>
      <c r="AG987" s="39"/>
      <c r="AH987" s="39"/>
      <c r="AI987" s="39"/>
      <c r="AJ987" s="101" t="s">
        <v>988</v>
      </c>
      <c r="AK987" s="39"/>
      <c r="AL987" s="155" t="s">
        <v>1627</v>
      </c>
      <c r="AM987" s="431" t="str">
        <f>VLOOKUP($Q987,Resultados!$A$1:$C$49,3,FALSE)</f>
        <v>TRAMITE</v>
      </c>
    </row>
    <row r="988" spans="1:39" ht="39.950000000000003" customHeight="1">
      <c r="A988" s="39">
        <v>986</v>
      </c>
      <c r="B988" s="38">
        <v>45406</v>
      </c>
      <c r="C988" s="32" t="s">
        <v>12</v>
      </c>
      <c r="D988" s="32" t="s">
        <v>3307</v>
      </c>
      <c r="E988" s="41" t="s">
        <v>3353</v>
      </c>
      <c r="F988" s="39">
        <v>6</v>
      </c>
      <c r="G988" s="32" t="s">
        <v>1750</v>
      </c>
      <c r="H988" s="38"/>
      <c r="I988" s="38"/>
      <c r="J988" s="38"/>
      <c r="K988" s="39" t="s">
        <v>1480</v>
      </c>
      <c r="L988" s="70" t="s">
        <v>85</v>
      </c>
      <c r="M988" s="70" t="s">
        <v>3354</v>
      </c>
      <c r="N988" s="32" t="s">
        <v>3351</v>
      </c>
      <c r="O988" s="32" t="str">
        <f>IF(Q988=" _","NO","SI")</f>
        <v>NO</v>
      </c>
      <c r="P988" s="32" t="str">
        <f ca="1">IF(color_Celda(E988)=12106214,"ROSA",IF(color_Celda(E988)=65535,"AMARILLO",IF(color_Celda(E988)=5296274,"VERDE",IF(color_Celda(E988)=16777215,"BLANCO","NO SE"))))</f>
        <v>AMARILLO</v>
      </c>
      <c r="Q988" s="32" t="s">
        <v>108</v>
      </c>
      <c r="R988" s="32" t="str">
        <f>VLOOKUP($Q988,Resultados!$A$1:$B$49,2,FALSE)</f>
        <v xml:space="preserve"> _</v>
      </c>
      <c r="S988" s="32"/>
      <c r="T988" s="73"/>
      <c r="U988" s="37"/>
      <c r="V988" s="39"/>
      <c r="W988" s="39"/>
      <c r="X988" s="39"/>
      <c r="Y988" s="39"/>
      <c r="Z988" s="39"/>
      <c r="AA988" s="39"/>
      <c r="AB988" s="39"/>
      <c r="AC988" s="39"/>
      <c r="AD988" s="39"/>
      <c r="AE988" s="110"/>
      <c r="AF988" s="39"/>
      <c r="AG988" s="39"/>
      <c r="AH988" s="39"/>
      <c r="AI988" s="39"/>
      <c r="AJ988" s="101" t="s">
        <v>408</v>
      </c>
      <c r="AK988" s="39"/>
      <c r="AL988" s="155" t="s">
        <v>1627</v>
      </c>
      <c r="AM988" s="431" t="str">
        <f>VLOOKUP($Q988,Resultados!$A$1:$C$49,3,FALSE)</f>
        <v>TRAMITE</v>
      </c>
    </row>
    <row r="989" spans="1:39" ht="39.950000000000003" customHeight="1">
      <c r="A989" s="115">
        <v>987</v>
      </c>
      <c r="B989" s="113">
        <v>45406</v>
      </c>
      <c r="C989" s="26" t="s">
        <v>12</v>
      </c>
      <c r="D989" s="26" t="s">
        <v>3308</v>
      </c>
      <c r="E989" s="114" t="s">
        <v>3309</v>
      </c>
      <c r="F989" s="115">
        <v>7</v>
      </c>
      <c r="G989" s="115"/>
      <c r="H989" s="113"/>
      <c r="I989" s="113"/>
      <c r="J989" s="113"/>
      <c r="K989" s="115" t="s">
        <v>1480</v>
      </c>
      <c r="L989" s="96" t="s">
        <v>72</v>
      </c>
      <c r="M989" s="96"/>
      <c r="N989" s="115"/>
      <c r="O989" s="26" t="str">
        <f>IF(Q989=" _","NO","SI")</f>
        <v>SI</v>
      </c>
      <c r="P989" s="26" t="str">
        <f ca="1">IF(color_Celda(E989)=12106214,"ROSA",IF(color_Celda(E989)=65535,"AMARILLO",IF(color_Celda(E989)=5296274,"VERDE",IF(color_Celda(E989)=16777215,"BLANCO","NO SE"))))</f>
        <v>VERDE</v>
      </c>
      <c r="Q989" s="26" t="s">
        <v>3313</v>
      </c>
      <c r="R989" s="26" t="str">
        <f>VLOOKUP($Q989,Resultados!$A$1:$B$49,2,FALSE)</f>
        <v>VERDE</v>
      </c>
      <c r="S989" s="26"/>
      <c r="T989" s="99"/>
      <c r="U989" s="116"/>
      <c r="V989" s="115"/>
      <c r="W989" s="115"/>
      <c r="X989" s="115"/>
      <c r="Y989" s="115"/>
      <c r="Z989" s="115"/>
      <c r="AA989" s="115"/>
      <c r="AB989" s="115"/>
      <c r="AC989" s="115"/>
      <c r="AD989" s="115"/>
      <c r="AE989" s="117"/>
      <c r="AF989" s="115"/>
      <c r="AG989" s="115"/>
      <c r="AH989" s="115"/>
      <c r="AI989" s="115"/>
      <c r="AJ989" s="245" t="s">
        <v>988</v>
      </c>
      <c r="AK989" s="115"/>
      <c r="AL989" s="157" t="s">
        <v>1627</v>
      </c>
      <c r="AM989" s="431" t="str">
        <f>VLOOKUP($Q989,Resultados!$A$1:$C$49,3,FALSE)</f>
        <v>NO LLEGO</v>
      </c>
    </row>
    <row r="990" spans="1:39" ht="39.950000000000003" customHeight="1">
      <c r="A990" s="39">
        <v>988</v>
      </c>
      <c r="B990" s="38">
        <v>45406</v>
      </c>
      <c r="C990" s="32" t="s">
        <v>12</v>
      </c>
      <c r="D990" s="32" t="s">
        <v>3310</v>
      </c>
      <c r="E990" s="41" t="s">
        <v>3352</v>
      </c>
      <c r="F990" s="39">
        <v>6</v>
      </c>
      <c r="G990" s="32" t="s">
        <v>2876</v>
      </c>
      <c r="H990" s="38"/>
      <c r="I990" s="38"/>
      <c r="J990" s="38"/>
      <c r="K990" s="39" t="s">
        <v>1480</v>
      </c>
      <c r="L990" s="70" t="s">
        <v>78</v>
      </c>
      <c r="M990" s="70" t="s">
        <v>3350</v>
      </c>
      <c r="N990" s="32" t="s">
        <v>3351</v>
      </c>
      <c r="O990" s="32" t="str">
        <f>IF(Q990=" _","NO","SI")</f>
        <v>NO</v>
      </c>
      <c r="P990" s="32" t="str">
        <f ca="1">IF(color_Celda(E990)=12106214,"ROSA",IF(color_Celda(E990)=65535,"AMARILLO",IF(color_Celda(E990)=5296274,"VERDE",IF(color_Celda(E990)=16777215,"BLANCO","NO SE"))))</f>
        <v>AMARILLO</v>
      </c>
      <c r="Q990" s="32" t="s">
        <v>108</v>
      </c>
      <c r="R990" s="32" t="str">
        <f>VLOOKUP($Q990,Resultados!$A$1:$B$49,2,FALSE)</f>
        <v xml:space="preserve"> _</v>
      </c>
      <c r="S990" s="32"/>
      <c r="T990" s="73"/>
      <c r="U990" s="37"/>
      <c r="V990" s="39"/>
      <c r="W990" s="39"/>
      <c r="X990" s="39"/>
      <c r="Y990" s="39"/>
      <c r="Z990" s="39"/>
      <c r="AA990" s="39"/>
      <c r="AB990" s="39"/>
      <c r="AC990" s="39"/>
      <c r="AD990" s="39"/>
      <c r="AE990" s="110"/>
      <c r="AF990" s="39"/>
      <c r="AG990" s="39"/>
      <c r="AH990" s="39"/>
      <c r="AI990" s="39"/>
      <c r="AJ990" s="101" t="s">
        <v>408</v>
      </c>
      <c r="AK990" s="39"/>
      <c r="AL990" s="155" t="s">
        <v>1627</v>
      </c>
      <c r="AM990" s="431" t="str">
        <f>VLOOKUP($Q990,Resultados!$A$1:$C$49,3,FALSE)</f>
        <v>TRAMITE</v>
      </c>
    </row>
    <row r="991" spans="1:39" ht="39.950000000000003" customHeight="1">
      <c r="A991" s="115">
        <v>989</v>
      </c>
      <c r="B991" s="113">
        <v>45406</v>
      </c>
      <c r="C991" s="115" t="s">
        <v>2138</v>
      </c>
      <c r="D991" s="115" t="s">
        <v>3331</v>
      </c>
      <c r="E991" s="114" t="s">
        <v>3332</v>
      </c>
      <c r="F991" s="115">
        <v>7</v>
      </c>
      <c r="G991" s="115"/>
      <c r="H991" s="113"/>
      <c r="I991" s="113"/>
      <c r="J991" s="113"/>
      <c r="K991" s="115" t="s">
        <v>1480</v>
      </c>
      <c r="L991" s="96" t="s">
        <v>82</v>
      </c>
      <c r="M991" s="96"/>
      <c r="N991" s="115"/>
      <c r="O991" s="26" t="str">
        <f>IF(Q991=" _","NO","SI")</f>
        <v>SI</v>
      </c>
      <c r="P991" s="26" t="str">
        <f ca="1">IF(color_Celda(E991)=12106214,"ROSA",IF(color_Celda(E991)=65535,"AMARILLO",IF(color_Celda(E991)=5296274,"VERDE",IF(color_Celda(E991)=16777215,"BLANCO","NO SE"))))</f>
        <v>VERDE</v>
      </c>
      <c r="Q991" s="26" t="s">
        <v>3313</v>
      </c>
      <c r="R991" s="26" t="str">
        <f>VLOOKUP($Q991,Resultados!$A$1:$B$49,2,FALSE)</f>
        <v>VERDE</v>
      </c>
      <c r="S991" s="26"/>
      <c r="T991" s="99"/>
      <c r="U991" s="116"/>
      <c r="V991" s="115"/>
      <c r="W991" s="115"/>
      <c r="X991" s="115"/>
      <c r="Y991" s="115"/>
      <c r="Z991" s="115"/>
      <c r="AA991" s="115"/>
      <c r="AB991" s="115"/>
      <c r="AC991" s="115"/>
      <c r="AD991" s="115"/>
      <c r="AE991" s="117"/>
      <c r="AF991" s="115"/>
      <c r="AG991" s="115"/>
      <c r="AH991" s="115"/>
      <c r="AI991" s="115"/>
      <c r="AJ991" s="245" t="s">
        <v>988</v>
      </c>
      <c r="AK991" s="115"/>
      <c r="AL991" s="157" t="s">
        <v>1627</v>
      </c>
      <c r="AM991" s="431" t="str">
        <f>VLOOKUP($Q991,Resultados!$A$1:$C$49,3,FALSE)</f>
        <v>NO LLEGO</v>
      </c>
    </row>
    <row r="992" spans="1:39" ht="39.950000000000003" customHeight="1">
      <c r="A992" s="115">
        <v>990</v>
      </c>
      <c r="B992" s="113">
        <v>45406</v>
      </c>
      <c r="C992" s="26" t="s">
        <v>12</v>
      </c>
      <c r="D992" s="26" t="s">
        <v>3334</v>
      </c>
      <c r="E992" s="114" t="s">
        <v>3335</v>
      </c>
      <c r="F992" s="115">
        <v>7</v>
      </c>
      <c r="G992" s="115"/>
      <c r="H992" s="113"/>
      <c r="I992" s="113"/>
      <c r="J992" s="113"/>
      <c r="K992" s="115" t="s">
        <v>1480</v>
      </c>
      <c r="L992" s="96" t="s">
        <v>83</v>
      </c>
      <c r="M992" s="96"/>
      <c r="N992" s="115"/>
      <c r="O992" s="26" t="str">
        <f>IF(Q992=" _","NO","SI")</f>
        <v>SI</v>
      </c>
      <c r="P992" s="26" t="str">
        <f ca="1">IF(color_Celda(E992)=12106214,"ROSA",IF(color_Celda(E992)=65535,"AMARILLO",IF(color_Celda(E992)=5296274,"VERDE",IF(color_Celda(E992)=16777215,"BLANCO","NO SE"))))</f>
        <v>VERDE</v>
      </c>
      <c r="Q992" s="26" t="s">
        <v>3313</v>
      </c>
      <c r="R992" s="26" t="str">
        <f>VLOOKUP($Q992,Resultados!$A$1:$B$49,2,FALSE)</f>
        <v>VERDE</v>
      </c>
      <c r="S992" s="26"/>
      <c r="T992" s="99"/>
      <c r="U992" s="116"/>
      <c r="V992" s="115"/>
      <c r="W992" s="115"/>
      <c r="X992" s="115"/>
      <c r="Y992" s="115"/>
      <c r="Z992" s="115"/>
      <c r="AA992" s="115"/>
      <c r="AB992" s="115"/>
      <c r="AC992" s="115"/>
      <c r="AD992" s="115"/>
      <c r="AE992" s="117"/>
      <c r="AF992" s="115"/>
      <c r="AG992" s="115"/>
      <c r="AH992" s="115"/>
      <c r="AI992" s="115"/>
      <c r="AJ992" s="245" t="s">
        <v>988</v>
      </c>
      <c r="AK992" s="115"/>
      <c r="AL992" s="157" t="s">
        <v>1627</v>
      </c>
      <c r="AM992" s="431" t="str">
        <f>VLOOKUP($Q992,Resultados!$A$1:$C$49,3,FALSE)</f>
        <v>NO LLEGO</v>
      </c>
    </row>
    <row r="993" spans="1:39" ht="39.950000000000003" customHeight="1">
      <c r="A993" s="115">
        <v>991</v>
      </c>
      <c r="B993" s="113">
        <v>45407</v>
      </c>
      <c r="C993" s="26" t="s">
        <v>65</v>
      </c>
      <c r="D993" s="26" t="s">
        <v>3336</v>
      </c>
      <c r="E993" s="114" t="s">
        <v>3337</v>
      </c>
      <c r="F993" s="115">
        <v>3</v>
      </c>
      <c r="G993" s="115"/>
      <c r="H993" s="113"/>
      <c r="I993" s="113"/>
      <c r="J993" s="113"/>
      <c r="K993" s="115" t="s">
        <v>1480</v>
      </c>
      <c r="L993" s="96" t="s">
        <v>87</v>
      </c>
      <c r="M993" s="96"/>
      <c r="N993" s="115"/>
      <c r="O993" s="26" t="str">
        <f>IF(Q993=" _","NO","SI")</f>
        <v>SI</v>
      </c>
      <c r="P993" s="26" t="str">
        <f ca="1">IF(color_Celda(E993)=12106214,"ROSA",IF(color_Celda(E993)=65535,"AMARILLO",IF(color_Celda(E993)=5296274,"VERDE",IF(color_Celda(E993)=16777215,"BLANCO","NO SE"))))</f>
        <v>VERDE</v>
      </c>
      <c r="Q993" s="26" t="s">
        <v>3313</v>
      </c>
      <c r="R993" s="26" t="str">
        <f>VLOOKUP($Q993,Resultados!$A$1:$B$49,2,FALSE)</f>
        <v>VERDE</v>
      </c>
      <c r="S993" s="26"/>
      <c r="T993" s="99"/>
      <c r="U993" s="116"/>
      <c r="V993" s="115"/>
      <c r="W993" s="115"/>
      <c r="X993" s="115"/>
      <c r="Y993" s="115"/>
      <c r="Z993" s="115"/>
      <c r="AA993" s="115"/>
      <c r="AB993" s="115"/>
      <c r="AC993" s="115"/>
      <c r="AD993" s="115"/>
      <c r="AE993" s="117"/>
      <c r="AF993" s="115"/>
      <c r="AG993" s="115"/>
      <c r="AH993" s="115"/>
      <c r="AI993" s="115"/>
      <c r="AJ993" s="245" t="s">
        <v>988</v>
      </c>
      <c r="AK993" s="115"/>
      <c r="AL993" s="157" t="s">
        <v>1627</v>
      </c>
      <c r="AM993" s="431" t="str">
        <f>VLOOKUP($Q993,Resultados!$A$1:$C$49,3,FALSE)</f>
        <v>NO LLEGO</v>
      </c>
    </row>
    <row r="994" spans="1:39" ht="39.950000000000003" customHeight="1">
      <c r="A994" s="39">
        <v>992</v>
      </c>
      <c r="B994" s="38">
        <v>45407</v>
      </c>
      <c r="C994" s="32" t="s">
        <v>1608</v>
      </c>
      <c r="D994" s="32" t="s">
        <v>3338</v>
      </c>
      <c r="E994" s="41" t="s">
        <v>3355</v>
      </c>
      <c r="F994" s="39">
        <v>5</v>
      </c>
      <c r="G994" s="32" t="s">
        <v>325</v>
      </c>
      <c r="H994" s="38"/>
      <c r="I994" s="38"/>
      <c r="J994" s="38"/>
      <c r="K994" s="39" t="s">
        <v>1480</v>
      </c>
      <c r="L994" s="70" t="s">
        <v>75</v>
      </c>
      <c r="M994" s="70" t="s">
        <v>226</v>
      </c>
      <c r="N994" s="32" t="s">
        <v>3356</v>
      </c>
      <c r="O994" s="32" t="str">
        <f>IF(Q994=" _","NO","SI")</f>
        <v>NO</v>
      </c>
      <c r="P994" s="32" t="str">
        <f ca="1">IF(color_Celda(E994)=12106214,"ROSA",IF(color_Celda(E994)=65535,"AMARILLO",IF(color_Celda(E994)=5296274,"VERDE",IF(color_Celda(E994)=16777215,"BLANCO","NO SE"))))</f>
        <v>AMARILLO</v>
      </c>
      <c r="Q994" s="32" t="s">
        <v>108</v>
      </c>
      <c r="R994" s="32" t="str">
        <f>VLOOKUP($Q994,Resultados!$A$1:$B$49,2,FALSE)</f>
        <v xml:space="preserve"> _</v>
      </c>
      <c r="S994" s="32"/>
      <c r="T994" s="73"/>
      <c r="U994" s="37"/>
      <c r="V994" s="39"/>
      <c r="W994" s="39"/>
      <c r="X994" s="39"/>
      <c r="Y994" s="39"/>
      <c r="Z994" s="39"/>
      <c r="AA994" s="39"/>
      <c r="AB994" s="39"/>
      <c r="AC994" s="39"/>
      <c r="AD994" s="39"/>
      <c r="AE994" s="110"/>
      <c r="AF994" s="39"/>
      <c r="AG994" s="39"/>
      <c r="AH994" s="39"/>
      <c r="AI994" s="39"/>
      <c r="AJ994" s="101" t="s">
        <v>408</v>
      </c>
      <c r="AK994" s="39"/>
      <c r="AL994" s="155" t="s">
        <v>1627</v>
      </c>
      <c r="AM994" s="431" t="str">
        <f>VLOOKUP($Q994,Resultados!$A$1:$C$49,3,FALSE)</f>
        <v>TRAMITE</v>
      </c>
    </row>
    <row r="995" spans="1:39" ht="39.950000000000003" customHeight="1">
      <c r="A995" s="115">
        <v>993</v>
      </c>
      <c r="B995" s="113">
        <v>45407</v>
      </c>
      <c r="C995" s="26" t="s">
        <v>1091</v>
      </c>
      <c r="D995" s="26" t="s">
        <v>3339</v>
      </c>
      <c r="E995" s="114" t="s">
        <v>3340</v>
      </c>
      <c r="F995" s="115">
        <v>5</v>
      </c>
      <c r="G995" s="115"/>
      <c r="H995" s="113"/>
      <c r="I995" s="113"/>
      <c r="J995" s="113"/>
      <c r="K995" s="115" t="s">
        <v>1480</v>
      </c>
      <c r="L995" s="96" t="s">
        <v>75</v>
      </c>
      <c r="M995" s="96"/>
      <c r="N995" s="115"/>
      <c r="O995" s="26" t="str">
        <f>IF(Q995=" _","NO","SI")</f>
        <v>SI</v>
      </c>
      <c r="P995" s="26" t="str">
        <f ca="1">IF(color_Celda(E995)=12106214,"ROSA",IF(color_Celda(E995)=65535,"AMARILLO",IF(color_Celda(E995)=5296274,"VERDE",IF(color_Celda(E995)=16777215,"BLANCO","NO SE"))))</f>
        <v>VERDE</v>
      </c>
      <c r="Q995" s="26" t="s">
        <v>3313</v>
      </c>
      <c r="R995" s="26" t="str">
        <f>VLOOKUP($Q995,Resultados!$A$1:$B$49,2,FALSE)</f>
        <v>VERDE</v>
      </c>
      <c r="S995" s="26"/>
      <c r="T995" s="99"/>
      <c r="U995" s="116"/>
      <c r="V995" s="115"/>
      <c r="W995" s="115"/>
      <c r="X995" s="115"/>
      <c r="Y995" s="115"/>
      <c r="Z995" s="115"/>
      <c r="AA995" s="115"/>
      <c r="AB995" s="115"/>
      <c r="AC995" s="115"/>
      <c r="AD995" s="115"/>
      <c r="AE995" s="117"/>
      <c r="AF995" s="115"/>
      <c r="AG995" s="115"/>
      <c r="AH995" s="115"/>
      <c r="AI995" s="115"/>
      <c r="AJ995" s="245" t="s">
        <v>988</v>
      </c>
      <c r="AK995" s="115"/>
      <c r="AL995" s="157" t="s">
        <v>1627</v>
      </c>
      <c r="AM995" s="431" t="str">
        <f>VLOOKUP($Q995,Resultados!$A$1:$C$49,3,FALSE)</f>
        <v>NO LLEGO</v>
      </c>
    </row>
    <row r="996" spans="1:39" ht="39.950000000000003" customHeight="1">
      <c r="A996" s="115">
        <v>994</v>
      </c>
      <c r="B996" s="113">
        <v>45407</v>
      </c>
      <c r="C996" s="26" t="s">
        <v>1565</v>
      </c>
      <c r="D996" s="26" t="s">
        <v>3341</v>
      </c>
      <c r="E996" s="114" t="s">
        <v>3342</v>
      </c>
      <c r="F996" s="115">
        <v>7</v>
      </c>
      <c r="G996" s="115"/>
      <c r="H996" s="113"/>
      <c r="I996" s="113"/>
      <c r="J996" s="113"/>
      <c r="K996" s="115" t="s">
        <v>1480</v>
      </c>
      <c r="L996" s="96" t="s">
        <v>250</v>
      </c>
      <c r="M996" s="96"/>
      <c r="N996" s="115"/>
      <c r="O996" s="26" t="str">
        <f>IF(Q996=" _","NO","SI")</f>
        <v>SI</v>
      </c>
      <c r="P996" s="26" t="str">
        <f ca="1">IF(color_Celda(E996)=12106214,"ROSA",IF(color_Celda(E996)=65535,"AMARILLO",IF(color_Celda(E996)=5296274,"VERDE",IF(color_Celda(E996)=16777215,"BLANCO","NO SE"))))</f>
        <v>VERDE</v>
      </c>
      <c r="Q996" s="26" t="s">
        <v>3313</v>
      </c>
      <c r="R996" s="26" t="str">
        <f>VLOOKUP($Q996,Resultados!$A$1:$B$49,2,FALSE)</f>
        <v>VERDE</v>
      </c>
      <c r="S996" s="26"/>
      <c r="T996" s="99"/>
      <c r="U996" s="116"/>
      <c r="V996" s="115"/>
      <c r="W996" s="115"/>
      <c r="X996" s="115"/>
      <c r="Y996" s="115"/>
      <c r="Z996" s="115"/>
      <c r="AA996" s="115"/>
      <c r="AB996" s="115"/>
      <c r="AC996" s="115"/>
      <c r="AD996" s="115"/>
      <c r="AE996" s="117"/>
      <c r="AF996" s="115"/>
      <c r="AG996" s="115"/>
      <c r="AH996" s="115"/>
      <c r="AI996" s="115"/>
      <c r="AJ996" s="245" t="s">
        <v>988</v>
      </c>
      <c r="AK996" s="115"/>
      <c r="AL996" s="157" t="s">
        <v>1627</v>
      </c>
      <c r="AM996" s="431" t="str">
        <f>VLOOKUP($Q996,Resultados!$A$1:$C$49,3,FALSE)</f>
        <v>NO LLEGO</v>
      </c>
    </row>
    <row r="997" spans="1:39" ht="39.950000000000003" customHeight="1">
      <c r="A997" s="115">
        <v>995</v>
      </c>
      <c r="B997" s="113">
        <v>45407</v>
      </c>
      <c r="C997" s="26" t="s">
        <v>1083</v>
      </c>
      <c r="D997" s="26" t="s">
        <v>3343</v>
      </c>
      <c r="E997" s="114" t="s">
        <v>3344</v>
      </c>
      <c r="F997" s="115">
        <v>5</v>
      </c>
      <c r="G997" s="115"/>
      <c r="H997" s="113"/>
      <c r="I997" s="113"/>
      <c r="J997" s="113"/>
      <c r="K997" s="115" t="s">
        <v>1480</v>
      </c>
      <c r="L997" s="96" t="s">
        <v>87</v>
      </c>
      <c r="M997" s="96"/>
      <c r="N997" s="115"/>
      <c r="O997" s="26" t="str">
        <f>IF(Q997=" _","NO","SI")</f>
        <v>SI</v>
      </c>
      <c r="P997" s="26" t="str">
        <f ca="1">IF(color_Celda(E997)=12106214,"ROSA",IF(color_Celda(E997)=65535,"AMARILLO",IF(color_Celda(E997)=5296274,"VERDE",IF(color_Celda(E997)=16777215,"BLANCO","NO SE"))))</f>
        <v>VERDE</v>
      </c>
      <c r="Q997" s="26" t="s">
        <v>3313</v>
      </c>
      <c r="R997" s="26" t="str">
        <f>VLOOKUP($Q997,Resultados!$A$1:$B$49,2,FALSE)</f>
        <v>VERDE</v>
      </c>
      <c r="S997" s="26"/>
      <c r="T997" s="99"/>
      <c r="U997" s="116"/>
      <c r="V997" s="115"/>
      <c r="W997" s="115"/>
      <c r="X997" s="115"/>
      <c r="Y997" s="115"/>
      <c r="Z997" s="115"/>
      <c r="AA997" s="115"/>
      <c r="AB997" s="115"/>
      <c r="AC997" s="115"/>
      <c r="AD997" s="115"/>
      <c r="AE997" s="117"/>
      <c r="AF997" s="115"/>
      <c r="AG997" s="115"/>
      <c r="AH997" s="115"/>
      <c r="AI997" s="115"/>
      <c r="AJ997" s="245" t="s">
        <v>988</v>
      </c>
      <c r="AK997" s="115"/>
      <c r="AL997" s="157" t="s">
        <v>1627</v>
      </c>
      <c r="AM997" s="431" t="str">
        <f>VLOOKUP($Q997,Resultados!$A$1:$C$49,3,FALSE)</f>
        <v>NO LLEGO</v>
      </c>
    </row>
    <row r="998" spans="1:39" ht="39.950000000000003" customHeight="1">
      <c r="A998" s="115">
        <v>996</v>
      </c>
      <c r="B998" s="113">
        <v>45407</v>
      </c>
      <c r="C998" s="26" t="s">
        <v>12</v>
      </c>
      <c r="D998" s="26" t="s">
        <v>3345</v>
      </c>
      <c r="E998" s="114" t="s">
        <v>3346</v>
      </c>
      <c r="F998" s="115">
        <v>6</v>
      </c>
      <c r="G998" s="115"/>
      <c r="H998" s="113"/>
      <c r="I998" s="113"/>
      <c r="J998" s="113"/>
      <c r="K998" s="115" t="s">
        <v>1480</v>
      </c>
      <c r="L998" s="96" t="s">
        <v>72</v>
      </c>
      <c r="M998" s="96"/>
      <c r="N998" s="115"/>
      <c r="O998" s="26" t="str">
        <f>IF(Q998=" _","NO","SI")</f>
        <v>SI</v>
      </c>
      <c r="P998" s="26" t="str">
        <f ca="1">IF(color_Celda(E998)=12106214,"ROSA",IF(color_Celda(E998)=65535,"AMARILLO",IF(color_Celda(E998)=5296274,"VERDE",IF(color_Celda(E998)=16777215,"BLANCO","NO SE"))))</f>
        <v>VERDE</v>
      </c>
      <c r="Q998" s="26" t="s">
        <v>3313</v>
      </c>
      <c r="R998" s="26" t="str">
        <f>VLOOKUP($Q998,Resultados!$A$1:$B$49,2,FALSE)</f>
        <v>VERDE</v>
      </c>
      <c r="S998" s="26"/>
      <c r="T998" s="99"/>
      <c r="U998" s="116"/>
      <c r="V998" s="115"/>
      <c r="W998" s="115"/>
      <c r="X998" s="115"/>
      <c r="Y998" s="115"/>
      <c r="Z998" s="115"/>
      <c r="AA998" s="115"/>
      <c r="AB998" s="115"/>
      <c r="AC998" s="115"/>
      <c r="AD998" s="115"/>
      <c r="AE998" s="117"/>
      <c r="AF998" s="115"/>
      <c r="AG998" s="115"/>
      <c r="AH998" s="115"/>
      <c r="AI998" s="115"/>
      <c r="AJ998" s="245" t="s">
        <v>988</v>
      </c>
      <c r="AK998" s="115"/>
      <c r="AL998" s="157" t="s">
        <v>1627</v>
      </c>
      <c r="AM998" s="431" t="str">
        <f>VLOOKUP($Q998,Resultados!$A$1:$C$49,3,FALSE)</f>
        <v>NO LLEGO</v>
      </c>
    </row>
    <row r="999" spans="1:39" ht="39.950000000000003" customHeight="1">
      <c r="A999" s="115">
        <v>997</v>
      </c>
      <c r="B999" s="113">
        <v>45407</v>
      </c>
      <c r="C999" s="26" t="s">
        <v>1462</v>
      </c>
      <c r="D999" s="26" t="s">
        <v>3347</v>
      </c>
      <c r="E999" s="114" t="s">
        <v>3348</v>
      </c>
      <c r="F999" s="115">
        <v>7</v>
      </c>
      <c r="G999" s="115"/>
      <c r="H999" s="113"/>
      <c r="I999" s="113"/>
      <c r="J999" s="113"/>
      <c r="K999" s="115" t="s">
        <v>1480</v>
      </c>
      <c r="L999" s="96" t="s">
        <v>73</v>
      </c>
      <c r="M999" s="96"/>
      <c r="N999" s="115"/>
      <c r="O999" s="26" t="str">
        <f>IF(Q999=" _","NO","SI")</f>
        <v>SI</v>
      </c>
      <c r="P999" s="26" t="str">
        <f ca="1">IF(color_Celda(E999)=12106214,"ROSA",IF(color_Celda(E999)=65535,"AMARILLO",IF(color_Celda(E999)=5296274,"VERDE",IF(color_Celda(E999)=16777215,"BLANCO","NO SE"))))</f>
        <v>VERDE</v>
      </c>
      <c r="Q999" s="26" t="s">
        <v>3313</v>
      </c>
      <c r="R999" s="26" t="str">
        <f>VLOOKUP($Q999,Resultados!$A$1:$B$49,2,FALSE)</f>
        <v>VERDE</v>
      </c>
      <c r="S999" s="26"/>
      <c r="T999" s="99"/>
      <c r="U999" s="116"/>
      <c r="V999" s="115"/>
      <c r="W999" s="115"/>
      <c r="X999" s="115"/>
      <c r="Y999" s="115"/>
      <c r="Z999" s="115"/>
      <c r="AA999" s="115"/>
      <c r="AB999" s="115"/>
      <c r="AC999" s="115"/>
      <c r="AD999" s="115"/>
      <c r="AE999" s="117"/>
      <c r="AF999" s="115"/>
      <c r="AG999" s="115"/>
      <c r="AH999" s="115"/>
      <c r="AI999" s="115"/>
      <c r="AJ999" s="245" t="s">
        <v>988</v>
      </c>
      <c r="AK999" s="115"/>
      <c r="AL999" s="157" t="s">
        <v>1627</v>
      </c>
      <c r="AM999" s="431" t="str">
        <f>VLOOKUP($Q999,Resultados!$A$1:$C$49,3,FALSE)</f>
        <v>NO LLEGO</v>
      </c>
    </row>
    <row r="1000" spans="1:39" ht="39.950000000000003" customHeight="1">
      <c r="A1000" s="39">
        <v>998</v>
      </c>
      <c r="B1000" s="38">
        <v>45408</v>
      </c>
      <c r="C1000" s="32" t="s">
        <v>143</v>
      </c>
      <c r="D1000" s="32" t="s">
        <v>3370</v>
      </c>
      <c r="E1000" s="41" t="s">
        <v>3372</v>
      </c>
      <c r="F1000" s="39">
        <v>4</v>
      </c>
      <c r="G1000" s="32" t="s">
        <v>10</v>
      </c>
      <c r="H1000" s="38"/>
      <c r="I1000" s="38"/>
      <c r="J1000" s="38"/>
      <c r="K1000" s="39" t="s">
        <v>1480</v>
      </c>
      <c r="L1000" s="70" t="s">
        <v>2171</v>
      </c>
      <c r="M1000" s="70" t="s">
        <v>47</v>
      </c>
      <c r="N1000" s="32" t="s">
        <v>3371</v>
      </c>
      <c r="O1000" s="32" t="str">
        <f>IF(Q1000=" _","NO","SI")</f>
        <v>NO</v>
      </c>
      <c r="P1000" s="32" t="str">
        <f ca="1">IF(color_Celda(E1000)=12106214,"ROSA",IF(color_Celda(E1000)=65535,"AMARILLO",IF(color_Celda(E1000)=5296274,"VERDE",IF(color_Celda(E1000)=16777215,"BLANCO","NO SE"))))</f>
        <v>AMARILLO</v>
      </c>
      <c r="Q1000" s="32" t="s">
        <v>108</v>
      </c>
      <c r="R1000" s="32" t="str">
        <f>VLOOKUP($Q1000,Resultados!$A$1:$B$49,2,FALSE)</f>
        <v xml:space="preserve"> _</v>
      </c>
      <c r="S1000" s="32"/>
      <c r="T1000" s="73"/>
      <c r="U1000" s="37"/>
      <c r="V1000" s="39"/>
      <c r="W1000" s="39"/>
      <c r="X1000" s="39"/>
      <c r="Y1000" s="39"/>
      <c r="Z1000" s="39"/>
      <c r="AA1000" s="39"/>
      <c r="AB1000" s="39"/>
      <c r="AC1000" s="39"/>
      <c r="AD1000" s="39"/>
      <c r="AE1000" s="110"/>
      <c r="AF1000" s="39"/>
      <c r="AG1000" s="39"/>
      <c r="AH1000" s="39"/>
      <c r="AI1000" s="39"/>
      <c r="AJ1000" s="101" t="s">
        <v>408</v>
      </c>
      <c r="AK1000" s="39"/>
      <c r="AL1000" s="155" t="s">
        <v>1627</v>
      </c>
      <c r="AM1000" s="1" t="str">
        <f>VLOOKUP($Q1000,Resultados!$A$1:$C$49,3,FALSE)</f>
        <v>TRAMITE</v>
      </c>
    </row>
    <row r="1001" spans="1:39" ht="39.950000000000003" customHeight="1">
      <c r="A1001" s="115">
        <v>999</v>
      </c>
      <c r="B1001" s="113">
        <v>45408</v>
      </c>
      <c r="C1001" s="26" t="s">
        <v>392</v>
      </c>
      <c r="D1001" s="26" t="s">
        <v>3374</v>
      </c>
      <c r="E1001" s="114" t="s">
        <v>3375</v>
      </c>
      <c r="F1001" s="115">
        <v>7</v>
      </c>
      <c r="G1001" s="115"/>
      <c r="H1001" s="113"/>
      <c r="I1001" s="113"/>
      <c r="J1001" s="113"/>
      <c r="K1001" s="115" t="s">
        <v>1480</v>
      </c>
      <c r="L1001" s="96" t="s">
        <v>77</v>
      </c>
      <c r="M1001" s="96"/>
      <c r="N1001" s="115"/>
      <c r="O1001" s="26" t="str">
        <f>IF(Q1001=" _","NO","SI")</f>
        <v>SI</v>
      </c>
      <c r="P1001" s="26" t="str">
        <f ca="1">IF(color_Celda(E1001)=12106214,"ROSA",IF(color_Celda(E1001)=65535,"AMARILLO",IF(color_Celda(E1001)=5296274,"VERDE",IF(color_Celda(E1001)=16777215,"BLANCO","NO SE"))))</f>
        <v>VERDE</v>
      </c>
      <c r="Q1001" s="26" t="s">
        <v>3313</v>
      </c>
      <c r="R1001" s="26" t="str">
        <f>VLOOKUP($Q1001,Resultados!$A$1:$B$49,2,FALSE)</f>
        <v>VERDE</v>
      </c>
      <c r="S1001" s="26"/>
      <c r="T1001" s="99"/>
      <c r="U1001" s="116"/>
      <c r="V1001" s="115"/>
      <c r="W1001" s="115"/>
      <c r="X1001" s="115"/>
      <c r="Y1001" s="115"/>
      <c r="Z1001" s="115"/>
      <c r="AA1001" s="115"/>
      <c r="AB1001" s="115"/>
      <c r="AC1001" s="115"/>
      <c r="AD1001" s="115"/>
      <c r="AE1001" s="117"/>
      <c r="AF1001" s="115"/>
      <c r="AG1001" s="115"/>
      <c r="AH1001" s="115"/>
      <c r="AI1001" s="115"/>
      <c r="AJ1001" s="245" t="s">
        <v>988</v>
      </c>
      <c r="AK1001" s="115"/>
      <c r="AL1001" s="157" t="s">
        <v>1627</v>
      </c>
      <c r="AM1001" s="1" t="str">
        <f>VLOOKUP($Q1001,Resultados!$A$1:$C$49,3,FALSE)</f>
        <v>NO LLEGO</v>
      </c>
    </row>
    <row r="1002" spans="1:39" ht="39.950000000000003" customHeight="1">
      <c r="A1002" s="115">
        <v>1000</v>
      </c>
      <c r="B1002" s="113">
        <v>45408</v>
      </c>
      <c r="C1002" s="26" t="s">
        <v>12</v>
      </c>
      <c r="D1002" s="26" t="s">
        <v>3380</v>
      </c>
      <c r="E1002" s="114" t="s">
        <v>3381</v>
      </c>
      <c r="F1002" s="115">
        <v>6</v>
      </c>
      <c r="G1002" s="115"/>
      <c r="H1002" s="113"/>
      <c r="I1002" s="113"/>
      <c r="J1002" s="113"/>
      <c r="K1002" s="115" t="s">
        <v>1480</v>
      </c>
      <c r="L1002" s="96" t="s">
        <v>75</v>
      </c>
      <c r="M1002" s="96"/>
      <c r="N1002" s="115"/>
      <c r="O1002" s="26" t="str">
        <f>IF(Q1002=" _","NO","SI")</f>
        <v>SI</v>
      </c>
      <c r="P1002" s="26" t="str">
        <f ca="1">IF(color_Celda(E1002)=12106214,"ROSA",IF(color_Celda(E1002)=65535,"AMARILLO",IF(color_Celda(E1002)=5296274,"VERDE",IF(color_Celda(E1002)=16777215,"BLANCO","NO SE"))))</f>
        <v>VERDE</v>
      </c>
      <c r="Q1002" s="26" t="s">
        <v>3313</v>
      </c>
      <c r="R1002" s="26" t="str">
        <f>VLOOKUP($Q1002,Resultados!$A$1:$B$49,2,FALSE)</f>
        <v>VERDE</v>
      </c>
      <c r="S1002" s="26"/>
      <c r="T1002" s="99"/>
      <c r="U1002" s="116"/>
      <c r="V1002" s="115"/>
      <c r="W1002" s="115"/>
      <c r="X1002" s="115"/>
      <c r="Y1002" s="115"/>
      <c r="Z1002" s="115"/>
      <c r="AA1002" s="115"/>
      <c r="AB1002" s="115"/>
      <c r="AC1002" s="115"/>
      <c r="AD1002" s="115"/>
      <c r="AE1002" s="117"/>
      <c r="AF1002" s="115"/>
      <c r="AG1002" s="115"/>
      <c r="AH1002" s="115"/>
      <c r="AI1002" s="115"/>
      <c r="AJ1002" s="245" t="s">
        <v>988</v>
      </c>
      <c r="AK1002" s="115"/>
      <c r="AL1002" s="157" t="s">
        <v>1627</v>
      </c>
      <c r="AM1002" s="1" t="str">
        <f>VLOOKUP($Q1002,Resultados!$A$1:$C$49,3,FALSE)</f>
        <v>NO LLEGO</v>
      </c>
    </row>
    <row r="1003" spans="1:39" ht="39.950000000000003" customHeight="1">
      <c r="A1003" s="115">
        <v>1001</v>
      </c>
      <c r="B1003" s="113">
        <v>45408</v>
      </c>
      <c r="C1003" s="26" t="s">
        <v>12</v>
      </c>
      <c r="D1003" s="26" t="s">
        <v>3382</v>
      </c>
      <c r="E1003" s="114" t="s">
        <v>3383</v>
      </c>
      <c r="F1003" s="115">
        <v>6</v>
      </c>
      <c r="G1003" s="115"/>
      <c r="H1003" s="113"/>
      <c r="I1003" s="113"/>
      <c r="J1003" s="113"/>
      <c r="K1003" s="115" t="s">
        <v>1480</v>
      </c>
      <c r="L1003" s="96" t="s">
        <v>82</v>
      </c>
      <c r="M1003" s="96"/>
      <c r="N1003" s="115"/>
      <c r="O1003" s="26" t="str">
        <f>IF(Q1003=" _","NO","SI")</f>
        <v>SI</v>
      </c>
      <c r="P1003" s="26" t="str">
        <f ca="1">IF(color_Celda(E1003)=12106214,"ROSA",IF(color_Celda(E1003)=65535,"AMARILLO",IF(color_Celda(E1003)=5296274,"VERDE",IF(color_Celda(E1003)=16777215,"BLANCO","NO SE"))))</f>
        <v>VERDE</v>
      </c>
      <c r="Q1003" s="26" t="s">
        <v>3313</v>
      </c>
      <c r="R1003" s="26" t="str">
        <f>VLOOKUP($Q1003,Resultados!$A$1:$B$49,2,FALSE)</f>
        <v>VERDE</v>
      </c>
      <c r="S1003" s="26"/>
      <c r="T1003" s="99"/>
      <c r="U1003" s="116"/>
      <c r="V1003" s="115"/>
      <c r="W1003" s="115"/>
      <c r="X1003" s="115"/>
      <c r="Y1003" s="115"/>
      <c r="Z1003" s="115"/>
      <c r="AA1003" s="115"/>
      <c r="AB1003" s="115"/>
      <c r="AC1003" s="115"/>
      <c r="AD1003" s="115"/>
      <c r="AE1003" s="117"/>
      <c r="AF1003" s="115"/>
      <c r="AG1003" s="115"/>
      <c r="AH1003" s="115"/>
      <c r="AI1003" s="115"/>
      <c r="AJ1003" s="245" t="s">
        <v>988</v>
      </c>
      <c r="AK1003" s="115"/>
      <c r="AL1003" s="157" t="s">
        <v>1627</v>
      </c>
      <c r="AM1003" s="1" t="str">
        <f>VLOOKUP($Q1003,Resultados!$A$1:$C$49,3,FALSE)</f>
        <v>NO LLEGO</v>
      </c>
    </row>
    <row r="1004" spans="1:39" ht="39.950000000000003" customHeight="1">
      <c r="A1004" s="115">
        <v>1002</v>
      </c>
      <c r="B1004" s="113">
        <v>45408</v>
      </c>
      <c r="C1004" s="26" t="s">
        <v>3384</v>
      </c>
      <c r="D1004" s="26" t="s">
        <v>3385</v>
      </c>
      <c r="E1004" s="298" t="s">
        <v>3389</v>
      </c>
      <c r="F1004" s="115">
        <v>3</v>
      </c>
      <c r="G1004" s="115"/>
      <c r="H1004" s="113"/>
      <c r="I1004" s="113"/>
      <c r="J1004" s="113"/>
      <c r="K1004" s="115" t="s">
        <v>1480</v>
      </c>
      <c r="L1004" s="96" t="s">
        <v>87</v>
      </c>
      <c r="M1004" s="96"/>
      <c r="N1004" s="115"/>
      <c r="O1004" s="26" t="str">
        <f>IF(Q1004=" _","NO","SI")</f>
        <v>SI</v>
      </c>
      <c r="P1004" s="26" t="str">
        <f ca="1">IF(color_Celda(E1004)=12106214,"ROSA",IF(color_Celda(E1004)=65535,"AMARILLO",IF(color_Celda(E1004)=5296274,"VERDE",IF(color_Celda(E1004)=16777215,"BLANCO","NO SE"))))</f>
        <v>VERDE</v>
      </c>
      <c r="Q1004" s="26" t="s">
        <v>3313</v>
      </c>
      <c r="R1004" s="26" t="str">
        <f>VLOOKUP($Q1004,Resultados!$A$1:$B$49,2,FALSE)</f>
        <v>VERDE</v>
      </c>
      <c r="S1004" s="26"/>
      <c r="T1004" s="99"/>
      <c r="U1004" s="116"/>
      <c r="V1004" s="115"/>
      <c r="W1004" s="115"/>
      <c r="X1004" s="115"/>
      <c r="Y1004" s="115"/>
      <c r="Z1004" s="115"/>
      <c r="AA1004" s="115"/>
      <c r="AB1004" s="115"/>
      <c r="AC1004" s="115"/>
      <c r="AD1004" s="115"/>
      <c r="AE1004" s="117"/>
      <c r="AF1004" s="115"/>
      <c r="AG1004" s="115"/>
      <c r="AH1004" s="115"/>
      <c r="AI1004" s="115"/>
      <c r="AJ1004" s="245" t="s">
        <v>408</v>
      </c>
      <c r="AK1004" s="115"/>
      <c r="AL1004" s="157" t="s">
        <v>1627</v>
      </c>
      <c r="AM1004" s="1" t="str">
        <f>VLOOKUP($Q1004,Resultados!$A$1:$C$49,3,FALSE)</f>
        <v>NO LLEGO</v>
      </c>
    </row>
    <row r="1005" spans="1:39" ht="39.950000000000003" customHeight="1">
      <c r="A1005" s="532">
        <v>1003</v>
      </c>
      <c r="B1005" s="533">
        <v>45408</v>
      </c>
      <c r="C1005" s="534" t="s">
        <v>3386</v>
      </c>
      <c r="D1005" s="534" t="s">
        <v>3387</v>
      </c>
      <c r="E1005" s="535" t="s">
        <v>3388</v>
      </c>
      <c r="F1005" s="532">
        <v>8</v>
      </c>
      <c r="G1005" s="532"/>
      <c r="H1005" s="533"/>
      <c r="I1005" s="533"/>
      <c r="J1005" s="533"/>
      <c r="K1005" s="532" t="s">
        <v>1480</v>
      </c>
      <c r="L1005" s="373" t="s">
        <v>2172</v>
      </c>
      <c r="M1005" s="373"/>
      <c r="N1005" s="532"/>
      <c r="O1005" s="534" t="str">
        <f>IF(Q1005=" _","NO","SI")</f>
        <v>SI</v>
      </c>
      <c r="P1005" s="534" t="str">
        <f ca="1">IF(color_Celda(E1005)=12106214,"ROSA",IF(color_Celda(E1005)=65535,"AMARILLO",IF(color_Celda(E1005)=5296274,"VERDE",IF(color_Celda(E1005)=16777215,"BLANCO","NO SE"))))</f>
        <v>VERDE</v>
      </c>
      <c r="Q1005" s="534" t="s">
        <v>3313</v>
      </c>
      <c r="R1005" s="534" t="str">
        <f>VLOOKUP($Q1005,Resultados!$A$1:$B$49,2,FALSE)</f>
        <v>VERDE</v>
      </c>
      <c r="S1005" s="534"/>
      <c r="T1005" s="536"/>
      <c r="U1005" s="537"/>
      <c r="V1005" s="532"/>
      <c r="W1005" s="532"/>
      <c r="X1005" s="532"/>
      <c r="Y1005" s="532"/>
      <c r="Z1005" s="532"/>
      <c r="AA1005" s="532"/>
      <c r="AB1005" s="532"/>
      <c r="AC1005" s="532"/>
      <c r="AD1005" s="532"/>
      <c r="AE1005" s="538"/>
      <c r="AF1005" s="532"/>
      <c r="AG1005" s="532"/>
      <c r="AH1005" s="532"/>
      <c r="AI1005" s="532"/>
      <c r="AJ1005" s="539" t="s">
        <v>988</v>
      </c>
      <c r="AK1005" s="532"/>
      <c r="AL1005" s="540" t="s">
        <v>1627</v>
      </c>
      <c r="AM1005" s="1" t="str">
        <f>VLOOKUP($Q1005,Resultados!$A$1:$C$49,3,FALSE)</f>
        <v>NO LLEGO</v>
      </c>
    </row>
  </sheetData>
  <sortState ref="A3:AL1000">
    <sortCondition ref="H3:H1000"/>
    <sortCondition ref="I3:I1000"/>
  </sortState>
  <dataConsolidate/>
  <customSheetViews>
    <customSheetView guid="{C7ED2F2C-4193-48B7-9502-9FB900CD50B3}" scale="85" hiddenColumns="1">
      <pane ySplit="2" topLeftCell="A754" activePane="bottomLeft" state="frozen"/>
      <selection pane="bottomLeft" activeCell="E756" sqref="E756"/>
      <pageMargins left="0.19685039370078741" right="0.19685039370078741" top="0.19685039370078741" bottom="0.19685039370078741" header="0" footer="0"/>
      <pageSetup paperSize="5" scale="65" orientation="landscape" blackAndWhite="1" r:id="rId1"/>
      <headerFooter alignWithMargins="0"/>
    </customSheetView>
    <customSheetView guid="{5BF16DBA-4BB4-4498-B7BF-4F2DDC074FBE}" scale="70" hiddenColumns="1">
      <pane ySplit="2" topLeftCell="A220" activePane="bottomLeft" state="frozen"/>
      <selection pane="bottomLeft" activeCell="A222" sqref="A222:Z222"/>
      <pageMargins left="0.19685039370078741" right="0.19685039370078741" top="0.19685039370078741" bottom="0.19685039370078741" header="0" footer="0"/>
      <pageSetup paperSize="5" scale="70" orientation="landscape" r:id="rId2"/>
      <headerFooter alignWithMargins="0"/>
    </customSheetView>
    <customSheetView guid="{34C07D15-334F-4678-BECB-58C99A205BB8}" scale="70" showPageBreaks="1" hiddenColumns="1" topLeftCell="B1">
      <pane ySplit="2" topLeftCell="A488" activePane="bottomLeft" state="frozen"/>
      <selection pane="bottomLeft" activeCell="G489" sqref="G489"/>
      <pageMargins left="0.19685039370078741" right="0.19685039370078741" top="0.19685039370078741" bottom="0.19685039370078741" header="0" footer="0"/>
      <pageSetup paperSize="5" scale="70" orientation="landscape" r:id="rId3"/>
      <headerFooter alignWithMargins="0"/>
    </customSheetView>
    <customSheetView guid="{0DE10425-8171-4A65-9B11-AACA328E7729}" showPageBreaks="1" showGridLines="0" showAutoFilter="1" hiddenColumns="1">
      <pane ySplit="2" topLeftCell="A536" activePane="bottomLeft" state="frozen"/>
      <selection pane="bottomLeft" activeCell="A534" sqref="A534:M540"/>
      <pageMargins left="0.19685039370078741" right="0.19685039370078741" top="0.19685039370078741" bottom="0.19685039370078741" header="0" footer="0"/>
      <pageSetup paperSize="5" scale="60" orientation="landscape" r:id="rId4"/>
      <headerFooter alignWithMargins="0"/>
      <autoFilter ref="A2:Z2"/>
    </customSheetView>
    <customSheetView guid="{DB4207DD-4199-49C8-82A0-9B1EB1C1B792}" scale="70" showGridLines="0" hiddenColumns="1">
      <pane ySplit="2" topLeftCell="A3" activePane="bottomLeft" state="frozen"/>
      <selection pane="bottomLeft" activeCell="A3" sqref="A3"/>
      <pageMargins left="0.19685039370078741" right="0.19685039370078741" top="0.19685039370078741" bottom="0.19685039370078741" header="0" footer="0"/>
      <pageSetup paperSize="5" scale="65" orientation="landscape" r:id="rId5"/>
      <headerFooter alignWithMargins="0"/>
    </customSheetView>
    <customSheetView guid="{0199CA3F-EFF7-4FF3-938A-24486AD9575F}" scale="85" showAutoFilter="1" hiddenColumns="1">
      <pane ySplit="2" topLeftCell="A747" activePane="bottomLeft" state="frozen"/>
      <selection pane="bottomLeft" activeCell="F752" sqref="F752"/>
      <pageMargins left="0.19685039370078741" right="0.19685039370078741" top="0.19685039370078741" bottom="0.19685039370078741" header="0" footer="0"/>
      <pageSetup paperSize="5" scale="65" orientation="landscape" blackAndWhite="1" r:id="rId6"/>
      <headerFooter alignWithMargins="0"/>
      <autoFilter ref="A2:AL2"/>
    </customSheetView>
    <customSheetView guid="{8889932B-014C-4A7A-B620-114840895FF5}" scale="55" showAutoFilter="1" hiddenRows="1" hiddenColumns="1" topLeftCell="B1">
      <pane ySplit="2" topLeftCell="A183" activePane="bottomLeft" state="frozen"/>
      <selection pane="bottomLeft" activeCell="J206" sqref="J206"/>
      <pageMargins left="0.19685039370078741" right="0.19685039370078741" top="0.19685039370078741" bottom="0.19685039370078741" header="0" footer="0"/>
      <pageSetup paperSize="5" scale="65" orientation="landscape" blackAndWhite="1" r:id="rId7"/>
      <headerFooter alignWithMargins="0"/>
      <autoFilter ref="A2:AL754">
        <filterColumn colId="35">
          <filters>
            <filter val="PRESO"/>
          </filters>
        </filterColumn>
      </autoFilter>
    </customSheetView>
  </customSheetViews>
  <phoneticPr fontId="1" type="noConversion"/>
  <conditionalFormatting sqref="AF3:AF1436">
    <cfRule type="expression" dxfId="9" priority="966">
      <formula>MAX($AC3,$AD3)&lt;1</formula>
    </cfRule>
  </conditionalFormatting>
  <conditionalFormatting sqref="AF13:AF16">
    <cfRule type="expression" dxfId="8" priority="964">
      <formula>MAX($AC13,$AD13)&lt;1</formula>
    </cfRule>
  </conditionalFormatting>
  <conditionalFormatting sqref="AF3">
    <cfRule type="expression" dxfId="7" priority="962">
      <formula>MAX($AC3,$AD3)&lt;1</formula>
    </cfRule>
  </conditionalFormatting>
  <conditionalFormatting sqref="AF4">
    <cfRule type="expression" dxfId="6" priority="961">
      <formula>MAX($AC4,$AD4)&lt;1</formula>
    </cfRule>
  </conditionalFormatting>
  <conditionalFormatting sqref="AF3">
    <cfRule type="expression" dxfId="5" priority="960">
      <formula>MAX($AC3,$AD3)&lt;1</formula>
    </cfRule>
  </conditionalFormatting>
  <conditionalFormatting sqref="AF1">
    <cfRule type="expression" dxfId="4" priority="542">
      <formula>MAX($AC1,$AD1)&lt;1</formula>
    </cfRule>
  </conditionalFormatting>
  <conditionalFormatting sqref="AF1">
    <cfRule type="expression" dxfId="3" priority="541">
      <formula>MAX($AC1,$AD1)&lt;1</formula>
    </cfRule>
  </conditionalFormatting>
  <conditionalFormatting sqref="AF1">
    <cfRule type="expression" dxfId="2" priority="540">
      <formula>MAX($AC1,$AD1)&lt;1</formula>
    </cfRule>
  </conditionalFormatting>
  <conditionalFormatting sqref="D3:D1005">
    <cfRule type="duplicateValues" dxfId="0" priority="1"/>
  </conditionalFormatting>
  <dataValidations count="18">
    <dataValidation type="list" allowBlank="1" showInputMessage="1" showErrorMessage="1" sqref="L704 L753:L1005 L487:L701 L435:L443 L446:L465 L470:L471 L311:L433 L467 L715:L741 L473:L485 L266:L307 L256:L257 L1 L3:L108 L110:L251">
      <formula1>'fiscalias penales'!$A$1:$A$136</formula1>
    </dataValidation>
    <dataValidation type="list" allowBlank="1" showInputMessage="1" showErrorMessage="1" sqref="J704 J487:J701 J435:J443 J446:J467 J473:J485 J471 J311:J433 J715:J741 J753:J1005 J266:J307 J3:J251">
      <formula1>Jueces!$A$1:$A$21</formula1>
    </dataValidation>
    <dataValidation type="list" allowBlank="1" showInputMessage="1" showErrorMessage="1" sqref="M704 M715:M741 M753:M1005 M3:M701">
      <formula1>defensores!$A$1:$A$318</formula1>
    </dataValidation>
    <dataValidation type="list" allowBlank="1" showInputMessage="1" showErrorMessage="1" sqref="AI471 AI311:AI467 AI473:AI683 AI266:AI307 AI1 AI49:AI251 AI3:AI26 AI32">
      <formula1>#REF!</formula1>
    </dataValidation>
    <dataValidation type="list" allowBlank="1" showInputMessage="1" showErrorMessage="1" sqref="AI308:AI310">
      <formula1>[1]OPO!$A$1:$A$2</formula1>
    </dataValidation>
    <dataValidation type="list" allowBlank="1" showInputMessage="1" showErrorMessage="1" sqref="L486 L434 L444:L445 L466">
      <formula1>'[2]fiscalias penales'!$A$1:$A$268</formula1>
    </dataValidation>
    <dataValidation type="list" allowBlank="1" showInputMessage="1" showErrorMessage="1" sqref="J486 J434 J444:J445">
      <formula1>[2]Jueces!$A$1:$A$22</formula1>
    </dataValidation>
    <dataValidation type="list" allowBlank="1" showInputMessage="1" showErrorMessage="1" sqref="J308:J310">
      <formula1>[1]Jueces!$A$1:$A$21</formula1>
    </dataValidation>
    <dataValidation type="list" allowBlank="1" showInputMessage="1" showErrorMessage="1" sqref="L308:L310">
      <formula1>'[1]fiscalias penales'!$A$1:$A$163</formula1>
    </dataValidation>
    <dataValidation type="list" allowBlank="1" showInputMessage="1" showErrorMessage="1" sqref="AI252:AI265">
      <formula1>[3]OPO!$A$1:$A$2</formula1>
    </dataValidation>
    <dataValidation type="list" allowBlank="1" showInputMessage="1" showErrorMessage="1" sqref="J252:J265">
      <formula1>[3]Jueces!$A$1:$A$21</formula1>
    </dataValidation>
    <dataValidation type="list" allowBlank="1" showInputMessage="1" showErrorMessage="1" sqref="L252:L255 L258:L265">
      <formula1>'[3]fiscalias penales'!$A$1:$A$163</formula1>
    </dataValidation>
    <dataValidation type="list" allowBlank="1" showInputMessage="1" showErrorMessage="1" sqref="L109">
      <formula1>'[2]fiscalias penales'!$A$1:$A$65</formula1>
    </dataValidation>
    <dataValidation type="list" allowBlank="1" showInputMessage="1" showErrorMessage="1" sqref="M1">
      <formula1>defensores!$A$1:$A$186</formula1>
    </dataValidation>
    <dataValidation type="list" allowBlank="1" showInputMessage="1" showErrorMessage="1" sqref="L2">
      <formula1>'fiscalias penales'!$A$1:$A$26</formula1>
    </dataValidation>
    <dataValidation type="list" allowBlank="1" showInputMessage="1" showErrorMessage="1" sqref="Q2">
      <formula1>Resultados!$A$1:$A$30</formula1>
    </dataValidation>
    <dataValidation type="list" allowBlank="1" showInputMessage="1" showErrorMessage="1" sqref="G3:G1005">
      <formula1>Internos!$A$1:$A$8</formula1>
    </dataValidation>
    <dataValidation type="list" allowBlank="1" showInputMessage="1" showErrorMessage="1" sqref="Q3:Q1001">
      <formula1>Resultados!$A$1:$A$26</formula1>
    </dataValidation>
  </dataValidations>
  <pageMargins left="0.19685039370078741" right="0.19685039370078741" top="0.94488188976377963" bottom="0.19685039370078741" header="0" footer="0"/>
  <pageSetup paperSize="5" scale="76" orientation="landscape" blackAndWhite="1" r:id="rId8"/>
  <headerFooter alignWithMargins="0">
    <oddHeader>&amp;CPRESOS EN TRAMITE 
DRA. LAMAS</oddHeader>
  </headerFooter>
  <drawing r:id="rId9"/>
  <legacyDrawing r:id="rId10"/>
</worksheet>
</file>

<file path=xl/worksheets/sheet2.xml><?xml version="1.0" encoding="utf-8"?>
<worksheet xmlns="http://schemas.openxmlformats.org/spreadsheetml/2006/main" xmlns:r="http://schemas.openxmlformats.org/officeDocument/2006/relationships">
  <sheetPr codeName="Hoja8">
    <tabColor rgb="FF00B0F0"/>
  </sheetPr>
  <dimension ref="A1:B32"/>
  <sheetViews>
    <sheetView topLeftCell="A7" workbookViewId="0">
      <selection activeCell="E7" sqref="E7"/>
    </sheetView>
  </sheetViews>
  <sheetFormatPr baseColWidth="10" defaultRowHeight="12.75"/>
  <cols>
    <col min="1" max="1" width="54.28515625" style="9" customWidth="1"/>
  </cols>
  <sheetData>
    <row r="1" spans="1:2" ht="20.100000000000001" customHeight="1">
      <c r="A1" s="6" t="s">
        <v>25</v>
      </c>
    </row>
    <row r="2" spans="1:2" ht="20.100000000000001" customHeight="1">
      <c r="A2" s="10" t="s">
        <v>31</v>
      </c>
    </row>
    <row r="3" spans="1:2" ht="20.100000000000001" customHeight="1">
      <c r="A3" s="7" t="s">
        <v>2170</v>
      </c>
    </row>
    <row r="4" spans="1:2" ht="20.100000000000001" customHeight="1">
      <c r="A4" s="7" t="s">
        <v>82</v>
      </c>
    </row>
    <row r="5" spans="1:2" ht="20.100000000000001" customHeight="1">
      <c r="A5" s="7" t="s">
        <v>83</v>
      </c>
    </row>
    <row r="6" spans="1:2" ht="20.100000000000001" customHeight="1">
      <c r="A6" s="7" t="s">
        <v>2171</v>
      </c>
    </row>
    <row r="7" spans="1:2" ht="20.100000000000001" customHeight="1">
      <c r="A7" s="7" t="s">
        <v>2172</v>
      </c>
    </row>
    <row r="8" spans="1:2" ht="20.100000000000001" customHeight="1">
      <c r="A8" s="7" t="s">
        <v>2173</v>
      </c>
    </row>
    <row r="9" spans="1:2" ht="20.100000000000001" customHeight="1">
      <c r="A9" s="10" t="s">
        <v>211</v>
      </c>
    </row>
    <row r="10" spans="1:2" ht="20.100000000000001" customHeight="1">
      <c r="A10" s="7" t="s">
        <v>89</v>
      </c>
    </row>
    <row r="11" spans="1:2" ht="20.100000000000001" customHeight="1">
      <c r="A11" s="7" t="s">
        <v>88</v>
      </c>
    </row>
    <row r="12" spans="1:2" ht="20.100000000000001" customHeight="1">
      <c r="A12" s="10" t="s">
        <v>252</v>
      </c>
      <c r="B12" s="5" t="s">
        <v>253</v>
      </c>
    </row>
    <row r="13" spans="1:2" ht="20.100000000000001" customHeight="1">
      <c r="A13" s="10" t="s">
        <v>71</v>
      </c>
    </row>
    <row r="14" spans="1:2" ht="20.100000000000001" customHeight="1">
      <c r="A14" s="6" t="s">
        <v>72</v>
      </c>
    </row>
    <row r="15" spans="1:2" ht="20.100000000000001" customHeight="1">
      <c r="A15" s="7" t="s">
        <v>73</v>
      </c>
    </row>
    <row r="16" spans="1:2" ht="20.100000000000001" customHeight="1">
      <c r="A16" s="6" t="s">
        <v>74</v>
      </c>
    </row>
    <row r="17" spans="1:2" ht="20.100000000000001" customHeight="1">
      <c r="A17" s="6" t="s">
        <v>75</v>
      </c>
    </row>
    <row r="18" spans="1:2" ht="20.100000000000001" customHeight="1">
      <c r="A18" s="7" t="s">
        <v>76</v>
      </c>
    </row>
    <row r="19" spans="1:2" ht="20.100000000000001" customHeight="1">
      <c r="A19" s="7" t="s">
        <v>250</v>
      </c>
      <c r="B19" s="5" t="s">
        <v>251</v>
      </c>
    </row>
    <row r="20" spans="1:2" ht="20.100000000000001" customHeight="1">
      <c r="A20" s="10" t="s">
        <v>3122</v>
      </c>
      <c r="B20" s="5" t="s">
        <v>3123</v>
      </c>
    </row>
    <row r="21" spans="1:2" ht="20.100000000000001" customHeight="1">
      <c r="A21" s="10" t="s">
        <v>85</v>
      </c>
    </row>
    <row r="22" spans="1:2" ht="20.100000000000001" customHeight="1">
      <c r="A22" s="7" t="s">
        <v>77</v>
      </c>
    </row>
    <row r="23" spans="1:2" ht="20.100000000000001" customHeight="1">
      <c r="A23" s="7" t="s">
        <v>78</v>
      </c>
    </row>
    <row r="24" spans="1:2" ht="20.100000000000001" customHeight="1">
      <c r="A24" s="7" t="s">
        <v>2169</v>
      </c>
    </row>
    <row r="25" spans="1:2" ht="20.100000000000001" customHeight="1">
      <c r="A25" s="7" t="s">
        <v>42</v>
      </c>
    </row>
    <row r="26" spans="1:2" ht="20.100000000000001" customHeight="1">
      <c r="A26" s="10" t="s">
        <v>248</v>
      </c>
      <c r="B26" s="5" t="s">
        <v>249</v>
      </c>
    </row>
    <row r="27" spans="1:2" ht="20.100000000000001" customHeight="1">
      <c r="A27" s="10" t="s">
        <v>87</v>
      </c>
    </row>
    <row r="28" spans="1:2" ht="20.100000000000001" customHeight="1">
      <c r="A28" s="7" t="s">
        <v>2167</v>
      </c>
    </row>
    <row r="29" spans="1:2" ht="20.100000000000001" customHeight="1">
      <c r="A29" s="7" t="s">
        <v>2168</v>
      </c>
      <c r="B29" s="5" t="s">
        <v>255</v>
      </c>
    </row>
    <row r="30" spans="1:2" ht="20.100000000000001" customHeight="1">
      <c r="A30" s="7" t="s">
        <v>127</v>
      </c>
    </row>
    <row r="31" spans="1:2" ht="20.100000000000001" customHeight="1">
      <c r="A31" s="9" t="s">
        <v>35</v>
      </c>
    </row>
    <row r="32" spans="1:2" ht="20.100000000000001" customHeight="1">
      <c r="A32" s="10" t="s">
        <v>36</v>
      </c>
    </row>
  </sheetData>
  <sortState ref="A3:B32">
    <sortCondition ref="A3"/>
  </sortState>
  <customSheetViews>
    <customSheetView guid="{C7ED2F2C-4193-48B7-9502-9FB900CD50B3}">
      <selection activeCell="E13" sqref="E13"/>
      <pageMargins left="0.7" right="0.7" top="0.75" bottom="0.75" header="0.3" footer="0.3"/>
    </customSheetView>
    <customSheetView guid="{5BF16DBA-4BB4-4498-B7BF-4F2DDC074FBE}" topLeftCell="A22">
      <selection activeCell="A35" sqref="A35"/>
      <pageMargins left="0.7" right="0.7" top="0.75" bottom="0.75" header="0.3" footer="0.3"/>
    </customSheetView>
    <customSheetView guid="{34C07D15-334F-4678-BECB-58C99A205BB8}" showPageBreaks="1">
      <selection activeCell="A8" sqref="A8"/>
      <pageMargins left="0.7" right="0.7" top="0.75" bottom="0.75" header="0.3" footer="0.3"/>
    </customSheetView>
    <customSheetView guid="{0DE10425-8171-4A65-9B11-AACA328E7729}" topLeftCell="A31">
      <selection activeCell="A54" sqref="A54"/>
      <pageMargins left="0.7" right="0.7" top="0.75" bottom="0.75" header="0.3" footer="0.3"/>
    </customSheetView>
    <customSheetView guid="{DB4207DD-4199-49C8-82A0-9B1EB1C1B792}" topLeftCell="A31">
      <selection activeCell="A54" sqref="A54"/>
      <pageMargins left="0.7" right="0.7" top="0.75" bottom="0.75" header="0.3" footer="0.3"/>
    </customSheetView>
    <customSheetView guid="{0199CA3F-EFF7-4FF3-938A-24486AD9575F}">
      <selection activeCell="E13" sqref="E13"/>
      <pageMargins left="0.7" right="0.7" top="0.75" bottom="0.75" header="0.3" footer="0.3"/>
    </customSheetView>
    <customSheetView guid="{8889932B-014C-4A7A-B620-114840895FF5}">
      <selection activeCell="E13" sqref="E13"/>
      <pageMargins left="0.7" right="0.7" top="0.75" bottom="0.75" header="0.3" footer="0.3"/>
    </customSheetView>
  </customSheetViews>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Hoja10">
    <tabColor rgb="FFFFC000"/>
  </sheetPr>
  <dimension ref="A1:B283"/>
  <sheetViews>
    <sheetView topLeftCell="A252" workbookViewId="0">
      <selection activeCell="A284" sqref="A284"/>
    </sheetView>
  </sheetViews>
  <sheetFormatPr baseColWidth="10" defaultRowHeight="12.75"/>
  <cols>
    <col min="1" max="1" width="43.85546875" style="8" bestFit="1" customWidth="1"/>
  </cols>
  <sheetData>
    <row r="1" spans="1:2" ht="20.100000000000001" customHeight="1">
      <c r="A1" s="14" t="s">
        <v>2008</v>
      </c>
    </row>
    <row r="2" spans="1:2" ht="20.100000000000001" customHeight="1">
      <c r="A2" s="13" t="s">
        <v>45</v>
      </c>
    </row>
    <row r="3" spans="1:2" ht="20.100000000000001" customHeight="1">
      <c r="A3" s="13" t="s">
        <v>46</v>
      </c>
    </row>
    <row r="4" spans="1:2" ht="20.100000000000001" customHeight="1">
      <c r="A4" s="13" t="s">
        <v>47</v>
      </c>
    </row>
    <row r="5" spans="1:2" ht="20.100000000000001" customHeight="1">
      <c r="A5" s="13" t="s">
        <v>1355</v>
      </c>
    </row>
    <row r="6" spans="1:2" ht="20.100000000000001" customHeight="1">
      <c r="A6" s="13" t="s">
        <v>226</v>
      </c>
    </row>
    <row r="7" spans="1:2" ht="20.100000000000001" customHeight="1">
      <c r="A7" s="14" t="s">
        <v>234</v>
      </c>
    </row>
    <row r="8" spans="1:2" ht="20.100000000000001" customHeight="1">
      <c r="A8" s="13" t="s">
        <v>260</v>
      </c>
    </row>
    <row r="9" spans="1:2" ht="20.100000000000001" customHeight="1">
      <c r="A9" s="13" t="s">
        <v>270</v>
      </c>
    </row>
    <row r="10" spans="1:2" ht="20.100000000000001" customHeight="1">
      <c r="A10" s="14" t="s">
        <v>62</v>
      </c>
    </row>
    <row r="11" spans="1:2" ht="20.100000000000001" customHeight="1">
      <c r="A11" s="14" t="s">
        <v>61</v>
      </c>
    </row>
    <row r="12" spans="1:2" ht="20.100000000000001" customHeight="1">
      <c r="A12" s="10" t="s">
        <v>67</v>
      </c>
    </row>
    <row r="13" spans="1:2" ht="20.100000000000001" customHeight="1">
      <c r="A13" s="14" t="s">
        <v>90</v>
      </c>
    </row>
    <row r="14" spans="1:2" ht="20.100000000000001" customHeight="1">
      <c r="A14" s="14" t="s">
        <v>131</v>
      </c>
    </row>
    <row r="15" spans="1:2" ht="20.100000000000001" customHeight="1">
      <c r="A15" s="13" t="s">
        <v>59</v>
      </c>
    </row>
    <row r="16" spans="1:2" ht="20.100000000000001" customHeight="1">
      <c r="A16" s="13" t="s">
        <v>1289</v>
      </c>
      <c r="B16" s="5"/>
    </row>
    <row r="17" spans="1:1" ht="20.100000000000001" customHeight="1">
      <c r="A17" s="13" t="s">
        <v>44</v>
      </c>
    </row>
    <row r="18" spans="1:1" ht="20.100000000000001" customHeight="1">
      <c r="A18" s="14" t="s">
        <v>276</v>
      </c>
    </row>
    <row r="19" spans="1:1" ht="20.100000000000001" customHeight="1">
      <c r="A19" s="14" t="s">
        <v>225</v>
      </c>
    </row>
    <row r="20" spans="1:1" ht="20.100000000000001" customHeight="1">
      <c r="A20" s="13" t="s">
        <v>48</v>
      </c>
    </row>
    <row r="21" spans="1:1" ht="20.100000000000001" customHeight="1">
      <c r="A21" s="14" t="s">
        <v>307</v>
      </c>
    </row>
    <row r="22" spans="1:1" ht="20.100000000000001" customHeight="1">
      <c r="A22" s="5" t="s">
        <v>222</v>
      </c>
    </row>
    <row r="23" spans="1:1" ht="20.100000000000001" customHeight="1">
      <c r="A23" s="14" t="s">
        <v>314</v>
      </c>
    </row>
    <row r="24" spans="1:1" ht="20.100000000000001" customHeight="1">
      <c r="A24" s="14" t="s">
        <v>125</v>
      </c>
    </row>
    <row r="25" spans="1:1" ht="20.100000000000001" customHeight="1">
      <c r="A25" s="14" t="s">
        <v>1356</v>
      </c>
    </row>
    <row r="26" spans="1:1" ht="20.100000000000001" customHeight="1">
      <c r="A26" s="14" t="s">
        <v>1158</v>
      </c>
    </row>
    <row r="27" spans="1:1" ht="20.100000000000001" customHeight="1">
      <c r="A27" s="13" t="s">
        <v>40</v>
      </c>
    </row>
    <row r="28" spans="1:1" ht="20.100000000000001" customHeight="1">
      <c r="A28" s="14" t="s">
        <v>243</v>
      </c>
    </row>
    <row r="29" spans="1:1" ht="20.100000000000001" customHeight="1">
      <c r="A29" s="14" t="s">
        <v>279</v>
      </c>
    </row>
    <row r="30" spans="1:1" ht="20.100000000000001" customHeight="1">
      <c r="A30" s="13" t="s">
        <v>24</v>
      </c>
    </row>
    <row r="31" spans="1:1" ht="20.100000000000001" customHeight="1">
      <c r="A31" s="14" t="s">
        <v>172</v>
      </c>
    </row>
    <row r="32" spans="1:1" ht="20.100000000000001" customHeight="1">
      <c r="A32" s="14" t="s">
        <v>2335</v>
      </c>
    </row>
    <row r="33" spans="1:1" ht="20.100000000000001" customHeight="1">
      <c r="A33" s="14" t="s">
        <v>110</v>
      </c>
    </row>
    <row r="34" spans="1:1" ht="20.100000000000001" customHeight="1">
      <c r="A34" s="14" t="s">
        <v>986</v>
      </c>
    </row>
    <row r="35" spans="1:1" ht="20.100000000000001" customHeight="1">
      <c r="A35" s="14" t="s">
        <v>330</v>
      </c>
    </row>
    <row r="36" spans="1:1" ht="20.100000000000001" customHeight="1">
      <c r="A36" s="14" t="s">
        <v>2240</v>
      </c>
    </row>
    <row r="37" spans="1:1" ht="20.100000000000001" customHeight="1">
      <c r="A37" s="14" t="s">
        <v>2210</v>
      </c>
    </row>
    <row r="38" spans="1:1" ht="20.100000000000001" customHeight="1">
      <c r="A38" s="14" t="s">
        <v>1873</v>
      </c>
    </row>
    <row r="39" spans="1:1" ht="20.100000000000001" customHeight="1">
      <c r="A39" s="13" t="s">
        <v>224</v>
      </c>
    </row>
    <row r="40" spans="1:1" ht="20.100000000000001" customHeight="1">
      <c r="A40" s="14" t="s">
        <v>357</v>
      </c>
    </row>
    <row r="41" spans="1:1" ht="20.100000000000001" customHeight="1">
      <c r="A41" s="14" t="s">
        <v>1436</v>
      </c>
    </row>
    <row r="42" spans="1:1" ht="20.100000000000001" customHeight="1">
      <c r="A42" s="14" t="s">
        <v>209</v>
      </c>
    </row>
    <row r="43" spans="1:1" ht="20.100000000000001" customHeight="1">
      <c r="A43" s="8" t="s">
        <v>246</v>
      </c>
    </row>
    <row r="44" spans="1:1" ht="20.100000000000001" customHeight="1">
      <c r="A44" s="14" t="s">
        <v>522</v>
      </c>
    </row>
    <row r="45" spans="1:1" ht="20.100000000000001" customHeight="1">
      <c r="A45" s="14" t="s">
        <v>121</v>
      </c>
    </row>
    <row r="46" spans="1:1" ht="20.100000000000001" customHeight="1">
      <c r="A46" s="14" t="s">
        <v>418</v>
      </c>
    </row>
    <row r="47" spans="1:1" ht="20.100000000000001" customHeight="1">
      <c r="A47" s="14" t="s">
        <v>235</v>
      </c>
    </row>
    <row r="48" spans="1:1" ht="20.100000000000001" customHeight="1">
      <c r="A48" s="14" t="s">
        <v>322</v>
      </c>
    </row>
    <row r="49" spans="1:1" ht="20.100000000000001" customHeight="1">
      <c r="A49" s="14" t="s">
        <v>3350</v>
      </c>
    </row>
    <row r="50" spans="1:1" ht="20.100000000000001" customHeight="1">
      <c r="A50" s="14" t="s">
        <v>1044</v>
      </c>
    </row>
    <row r="51" spans="1:1" ht="20.100000000000001" customHeight="1">
      <c r="A51" s="13" t="s">
        <v>49</v>
      </c>
    </row>
    <row r="52" spans="1:1" ht="20.100000000000001" customHeight="1">
      <c r="A52" s="14" t="s">
        <v>49</v>
      </c>
    </row>
    <row r="53" spans="1:1" ht="20.100000000000001" customHeight="1">
      <c r="A53" s="14" t="s">
        <v>697</v>
      </c>
    </row>
    <row r="54" spans="1:1" ht="20.100000000000001" customHeight="1">
      <c r="A54" s="14" t="s">
        <v>651</v>
      </c>
    </row>
    <row r="55" spans="1:1" ht="20.100000000000001" customHeight="1">
      <c r="A55" s="14" t="s">
        <v>256</v>
      </c>
    </row>
    <row r="56" spans="1:1" ht="20.100000000000001" customHeight="1">
      <c r="A56" s="13" t="s">
        <v>50</v>
      </c>
    </row>
    <row r="57" spans="1:1" ht="20.100000000000001" customHeight="1">
      <c r="A57" s="14" t="s">
        <v>221</v>
      </c>
    </row>
    <row r="58" spans="1:1" ht="20.100000000000001" customHeight="1">
      <c r="A58" s="14" t="s">
        <v>2395</v>
      </c>
    </row>
    <row r="59" spans="1:1" ht="20.100000000000001" customHeight="1">
      <c r="A59" s="14" t="s">
        <v>2105</v>
      </c>
    </row>
    <row r="60" spans="1:1" ht="20.100000000000001" customHeight="1">
      <c r="A60" s="14" t="s">
        <v>3045</v>
      </c>
    </row>
    <row r="61" spans="1:1" ht="20.100000000000001" customHeight="1">
      <c r="A61" s="14" t="s">
        <v>244</v>
      </c>
    </row>
    <row r="62" spans="1:1" ht="20.100000000000001" customHeight="1">
      <c r="A62" s="14" t="s">
        <v>284</v>
      </c>
    </row>
    <row r="63" spans="1:1" ht="20.100000000000001" customHeight="1">
      <c r="A63" s="14" t="s">
        <v>267</v>
      </c>
    </row>
    <row r="64" spans="1:1" ht="20.100000000000001" customHeight="1">
      <c r="A64" s="13" t="s">
        <v>51</v>
      </c>
    </row>
    <row r="65" spans="1:1" ht="20.100000000000001" customHeight="1">
      <c r="A65" s="14" t="s">
        <v>481</v>
      </c>
    </row>
    <row r="66" spans="1:1" ht="20.100000000000001" customHeight="1">
      <c r="A66" s="14" t="s">
        <v>1500</v>
      </c>
    </row>
    <row r="67" spans="1:1" ht="20.100000000000001" customHeight="1">
      <c r="A67" s="14" t="s">
        <v>2390</v>
      </c>
    </row>
    <row r="68" spans="1:1" ht="20.100000000000001" customHeight="1">
      <c r="A68" s="14" t="s">
        <v>182</v>
      </c>
    </row>
    <row r="69" spans="1:1" ht="20.100000000000001" customHeight="1">
      <c r="A69" s="14" t="s">
        <v>237</v>
      </c>
    </row>
    <row r="70" spans="1:1" ht="20.100000000000001" customHeight="1">
      <c r="A70" s="14" t="s">
        <v>2287</v>
      </c>
    </row>
    <row r="71" spans="1:1" ht="20.100000000000001" customHeight="1">
      <c r="A71" s="14" t="s">
        <v>2389</v>
      </c>
    </row>
    <row r="72" spans="1:1" ht="20.100000000000001" customHeight="1">
      <c r="A72" s="14" t="s">
        <v>2491</v>
      </c>
    </row>
    <row r="73" spans="1:1" ht="20.100000000000001" customHeight="1">
      <c r="A73" s="14" t="s">
        <v>1995</v>
      </c>
    </row>
    <row r="74" spans="1:1" ht="20.100000000000001" customHeight="1">
      <c r="A74" s="14" t="s">
        <v>2074</v>
      </c>
    </row>
    <row r="75" spans="1:1" ht="20.100000000000001" customHeight="1">
      <c r="A75" s="14" t="s">
        <v>261</v>
      </c>
    </row>
    <row r="76" spans="1:1" ht="20.100000000000001" customHeight="1">
      <c r="A76" s="14" t="s">
        <v>2536</v>
      </c>
    </row>
    <row r="77" spans="1:1" ht="20.100000000000001" customHeight="1">
      <c r="A77" s="14" t="s">
        <v>323</v>
      </c>
    </row>
    <row r="78" spans="1:1" ht="20.100000000000001" customHeight="1">
      <c r="A78" s="14" t="s">
        <v>2512</v>
      </c>
    </row>
    <row r="79" spans="1:1" ht="20.100000000000001" customHeight="1">
      <c r="A79" s="14" t="s">
        <v>2084</v>
      </c>
    </row>
    <row r="80" spans="1:1" ht="20.100000000000001" customHeight="1">
      <c r="A80" s="14" t="s">
        <v>3005</v>
      </c>
    </row>
    <row r="81" spans="1:1" ht="20.100000000000001" customHeight="1">
      <c r="A81" s="14" t="s">
        <v>208</v>
      </c>
    </row>
    <row r="82" spans="1:1" ht="20.100000000000001" customHeight="1">
      <c r="A82" s="14" t="s">
        <v>177</v>
      </c>
    </row>
    <row r="83" spans="1:1" ht="20.100000000000001" customHeight="1">
      <c r="A83" s="14" t="s">
        <v>189</v>
      </c>
    </row>
    <row r="84" spans="1:1" ht="20.100000000000001" customHeight="1">
      <c r="A84" s="14" t="s">
        <v>175</v>
      </c>
    </row>
    <row r="85" spans="1:1" ht="20.100000000000001" customHeight="1">
      <c r="A85" s="14" t="s">
        <v>1206</v>
      </c>
    </row>
    <row r="86" spans="1:1" ht="20.100000000000001" customHeight="1">
      <c r="A86" s="14" t="s">
        <v>584</v>
      </c>
    </row>
    <row r="87" spans="1:1" ht="20.100000000000001" customHeight="1">
      <c r="A87" s="14" t="s">
        <v>362</v>
      </c>
    </row>
    <row r="88" spans="1:1" ht="20.100000000000001" customHeight="1">
      <c r="A88" s="14" t="s">
        <v>961</v>
      </c>
    </row>
    <row r="89" spans="1:1" ht="20.100000000000001" customHeight="1">
      <c r="A89" s="14" t="s">
        <v>3056</v>
      </c>
    </row>
    <row r="90" spans="1:1" ht="20.100000000000001" customHeight="1">
      <c r="A90" s="14" t="s">
        <v>2504</v>
      </c>
    </row>
    <row r="91" spans="1:1" ht="20.100000000000001" customHeight="1">
      <c r="A91" s="14" t="s">
        <v>523</v>
      </c>
    </row>
    <row r="92" spans="1:1" ht="20.100000000000001" customHeight="1">
      <c r="A92" s="14" t="s">
        <v>762</v>
      </c>
    </row>
    <row r="93" spans="1:1" ht="20.100000000000001" customHeight="1">
      <c r="A93" s="14" t="s">
        <v>1632</v>
      </c>
    </row>
    <row r="94" spans="1:1" ht="20.100000000000001" customHeight="1">
      <c r="A94" s="14" t="s">
        <v>2587</v>
      </c>
    </row>
    <row r="95" spans="1:1" ht="20.100000000000001" customHeight="1">
      <c r="A95" s="14" t="s">
        <v>197</v>
      </c>
    </row>
    <row r="96" spans="1:1" ht="20.100000000000001" customHeight="1">
      <c r="A96" s="14" t="s">
        <v>501</v>
      </c>
    </row>
    <row r="97" spans="1:1" ht="20.100000000000001" customHeight="1">
      <c r="A97" s="14" t="s">
        <v>2804</v>
      </c>
    </row>
    <row r="98" spans="1:1" ht="20.100000000000001" customHeight="1">
      <c r="A98" s="14" t="s">
        <v>167</v>
      </c>
    </row>
    <row r="99" spans="1:1" ht="20.100000000000001" customHeight="1">
      <c r="A99" s="14" t="s">
        <v>2949</v>
      </c>
    </row>
    <row r="100" spans="1:1" ht="20.100000000000001" customHeight="1">
      <c r="A100" s="14" t="s">
        <v>3055</v>
      </c>
    </row>
    <row r="101" spans="1:1" ht="20.100000000000001" customHeight="1">
      <c r="A101" s="14" t="s">
        <v>1250</v>
      </c>
    </row>
    <row r="102" spans="1:1" ht="20.100000000000001" customHeight="1">
      <c r="A102" s="14" t="s">
        <v>520</v>
      </c>
    </row>
    <row r="103" spans="1:1" ht="20.100000000000001" customHeight="1">
      <c r="A103" s="14" t="s">
        <v>364</v>
      </c>
    </row>
    <row r="104" spans="1:1" ht="20.100000000000001" customHeight="1">
      <c r="A104" s="14" t="s">
        <v>446</v>
      </c>
    </row>
    <row r="105" spans="1:1" ht="20.100000000000001" customHeight="1">
      <c r="A105" s="14" t="s">
        <v>1294</v>
      </c>
    </row>
    <row r="106" spans="1:1" ht="20.100000000000001" customHeight="1">
      <c r="A106" s="14" t="s">
        <v>311</v>
      </c>
    </row>
    <row r="107" spans="1:1" ht="20.100000000000001" customHeight="1">
      <c r="A107" s="14" t="s">
        <v>2432</v>
      </c>
    </row>
    <row r="108" spans="1:1" ht="20.100000000000001" customHeight="1">
      <c r="A108" s="14" t="s">
        <v>2602</v>
      </c>
    </row>
    <row r="109" spans="1:1" ht="20.100000000000001" customHeight="1">
      <c r="A109" s="14" t="s">
        <v>2263</v>
      </c>
    </row>
    <row r="110" spans="1:1" ht="20.100000000000001" customHeight="1">
      <c r="A110" s="14" t="s">
        <v>1066</v>
      </c>
    </row>
    <row r="111" spans="1:1" ht="20.100000000000001" customHeight="1">
      <c r="A111" s="14" t="s">
        <v>1665</v>
      </c>
    </row>
    <row r="112" spans="1:1" ht="20.100000000000001" customHeight="1">
      <c r="A112" s="14" t="s">
        <v>345</v>
      </c>
    </row>
    <row r="113" spans="1:1" ht="20.100000000000001" customHeight="1">
      <c r="A113" s="14" t="s">
        <v>1634</v>
      </c>
    </row>
    <row r="114" spans="1:1" ht="20.100000000000001" customHeight="1">
      <c r="A114" s="13" t="s">
        <v>52</v>
      </c>
    </row>
    <row r="115" spans="1:1" ht="20.100000000000001" customHeight="1">
      <c r="A115" s="14" t="s">
        <v>1067</v>
      </c>
    </row>
    <row r="116" spans="1:1" ht="20.100000000000001" customHeight="1">
      <c r="A116" s="14" t="s">
        <v>1246</v>
      </c>
    </row>
    <row r="117" spans="1:1" ht="20.100000000000001" customHeight="1">
      <c r="A117" s="14" t="s">
        <v>1996</v>
      </c>
    </row>
    <row r="118" spans="1:1" ht="20.100000000000001" customHeight="1">
      <c r="A118" s="14" t="s">
        <v>355</v>
      </c>
    </row>
    <row r="119" spans="1:1" ht="20.100000000000001" customHeight="1">
      <c r="A119" s="14" t="s">
        <v>281</v>
      </c>
    </row>
    <row r="120" spans="1:1" ht="20.100000000000001" customHeight="1">
      <c r="A120" s="14" t="s">
        <v>242</v>
      </c>
    </row>
    <row r="121" spans="1:1" ht="20.100000000000001" customHeight="1">
      <c r="A121" s="14" t="s">
        <v>2336</v>
      </c>
    </row>
    <row r="122" spans="1:1" ht="20.100000000000001" customHeight="1">
      <c r="A122" s="14" t="s">
        <v>2513</v>
      </c>
    </row>
    <row r="123" spans="1:1" ht="20.100000000000001" customHeight="1">
      <c r="A123" s="13" t="s">
        <v>53</v>
      </c>
    </row>
    <row r="124" spans="1:1" ht="20.100000000000001" customHeight="1">
      <c r="A124" s="14" t="s">
        <v>1647</v>
      </c>
    </row>
    <row r="125" spans="1:1" ht="20.100000000000001" customHeight="1">
      <c r="A125" s="14" t="s">
        <v>2373</v>
      </c>
    </row>
    <row r="126" spans="1:1" ht="20.100000000000001" customHeight="1">
      <c r="A126" s="14" t="s">
        <v>238</v>
      </c>
    </row>
    <row r="127" spans="1:1" ht="20.100000000000001" customHeight="1">
      <c r="A127" s="14" t="s">
        <v>162</v>
      </c>
    </row>
    <row r="128" spans="1:1" ht="20.100000000000001" customHeight="1">
      <c r="A128" s="13" t="s">
        <v>69</v>
      </c>
    </row>
    <row r="129" spans="1:1" ht="20.100000000000001" customHeight="1">
      <c r="A129" s="14" t="s">
        <v>348</v>
      </c>
    </row>
    <row r="130" spans="1:1" ht="20.100000000000001" customHeight="1">
      <c r="A130" s="14" t="s">
        <v>2304</v>
      </c>
    </row>
    <row r="131" spans="1:1" ht="20.100000000000001" customHeight="1">
      <c r="A131" s="14" t="s">
        <v>291</v>
      </c>
    </row>
    <row r="132" spans="1:1" ht="20.100000000000001" customHeight="1">
      <c r="A132" s="14" t="s">
        <v>1261</v>
      </c>
    </row>
    <row r="133" spans="1:1" ht="20.100000000000001" customHeight="1">
      <c r="A133" s="14" t="s">
        <v>2798</v>
      </c>
    </row>
    <row r="134" spans="1:1" ht="20.100000000000001" customHeight="1">
      <c r="A134" s="14" t="s">
        <v>2635</v>
      </c>
    </row>
    <row r="135" spans="1:1" ht="20.100000000000001" customHeight="1">
      <c r="A135" s="14" t="s">
        <v>360</v>
      </c>
    </row>
    <row r="136" spans="1:1" ht="20.100000000000001" customHeight="1">
      <c r="A136" s="14" t="s">
        <v>1248</v>
      </c>
    </row>
    <row r="137" spans="1:1" ht="20.100000000000001" customHeight="1">
      <c r="A137" s="14" t="s">
        <v>228</v>
      </c>
    </row>
    <row r="138" spans="1:1" ht="20.100000000000001" customHeight="1">
      <c r="A138" s="14" t="s">
        <v>191</v>
      </c>
    </row>
    <row r="139" spans="1:1" ht="20.100000000000001" customHeight="1">
      <c r="A139" s="14" t="s">
        <v>2157</v>
      </c>
    </row>
    <row r="140" spans="1:1" ht="20.100000000000001" customHeight="1">
      <c r="A140" s="14" t="s">
        <v>176</v>
      </c>
    </row>
    <row r="141" spans="1:1" ht="20.100000000000001" customHeight="1">
      <c r="A141" s="14" t="s">
        <v>2825</v>
      </c>
    </row>
    <row r="142" spans="1:1" ht="20.100000000000001" customHeight="1">
      <c r="A142" s="14" t="s">
        <v>363</v>
      </c>
    </row>
    <row r="143" spans="1:1" ht="20.100000000000001" customHeight="1">
      <c r="A143" s="14" t="s">
        <v>1238</v>
      </c>
    </row>
    <row r="144" spans="1:1" ht="20.100000000000001" customHeight="1">
      <c r="A144" s="14" t="s">
        <v>1766</v>
      </c>
    </row>
    <row r="145" spans="1:1" ht="20.100000000000001" customHeight="1">
      <c r="A145" s="14" t="s">
        <v>133</v>
      </c>
    </row>
    <row r="146" spans="1:1" ht="20.100000000000001" customHeight="1">
      <c r="A146" s="14" t="s">
        <v>713</v>
      </c>
    </row>
    <row r="147" spans="1:1" ht="20.100000000000001" customHeight="1">
      <c r="A147" s="14" t="s">
        <v>519</v>
      </c>
    </row>
    <row r="148" spans="1:1" ht="20.100000000000001" customHeight="1">
      <c r="A148" s="14" t="s">
        <v>968</v>
      </c>
    </row>
    <row r="149" spans="1:1" ht="20.100000000000001" customHeight="1">
      <c r="A149" s="14" t="s">
        <v>327</v>
      </c>
    </row>
    <row r="150" spans="1:1" ht="20.100000000000001" customHeight="1">
      <c r="A150" s="14" t="s">
        <v>236</v>
      </c>
    </row>
    <row r="151" spans="1:1" ht="20.100000000000001" customHeight="1">
      <c r="A151" s="14" t="s">
        <v>2992</v>
      </c>
    </row>
    <row r="152" spans="1:1" ht="20.100000000000001" customHeight="1">
      <c r="A152" s="14" t="s">
        <v>2250</v>
      </c>
    </row>
    <row r="153" spans="1:1" ht="20.100000000000001" customHeight="1">
      <c r="A153" s="14" t="s">
        <v>1663</v>
      </c>
    </row>
    <row r="154" spans="1:1" ht="20.100000000000001" customHeight="1">
      <c r="A154" s="14" t="s">
        <v>2233</v>
      </c>
    </row>
    <row r="155" spans="1:1" ht="20.100000000000001" customHeight="1">
      <c r="A155" s="14" t="s">
        <v>119</v>
      </c>
    </row>
    <row r="156" spans="1:1" ht="20.100000000000001" customHeight="1">
      <c r="A156" s="14" t="s">
        <v>118</v>
      </c>
    </row>
    <row r="157" spans="1:1" ht="20.100000000000001" customHeight="1">
      <c r="A157" s="14" t="s">
        <v>347</v>
      </c>
    </row>
    <row r="158" spans="1:1" ht="20.100000000000001" customHeight="1">
      <c r="A158" s="14" t="s">
        <v>2887</v>
      </c>
    </row>
    <row r="159" spans="1:1" ht="20.100000000000001" customHeight="1">
      <c r="A159" s="14" t="s">
        <v>974</v>
      </c>
    </row>
    <row r="160" spans="1:1" ht="20.100000000000001" customHeight="1">
      <c r="A160" s="14" t="s">
        <v>120</v>
      </c>
    </row>
    <row r="161" spans="1:1" ht="20.100000000000001" customHeight="1">
      <c r="A161" s="14" t="s">
        <v>2269</v>
      </c>
    </row>
    <row r="162" spans="1:1" ht="20.100000000000001" customHeight="1">
      <c r="A162" s="13" t="s">
        <v>70</v>
      </c>
    </row>
    <row r="163" spans="1:1" ht="20.100000000000001" customHeight="1">
      <c r="A163" s="14" t="s">
        <v>361</v>
      </c>
    </row>
    <row r="164" spans="1:1" ht="20.100000000000001" customHeight="1">
      <c r="A164" s="14" t="s">
        <v>156</v>
      </c>
    </row>
    <row r="165" spans="1:1" ht="20.100000000000001" customHeight="1">
      <c r="A165" s="13" t="s">
        <v>27</v>
      </c>
    </row>
    <row r="166" spans="1:1" ht="20.100000000000001" customHeight="1">
      <c r="A166" s="14" t="s">
        <v>212</v>
      </c>
    </row>
    <row r="167" spans="1:1" ht="20.100000000000001" customHeight="1">
      <c r="A167" s="14" t="s">
        <v>343</v>
      </c>
    </row>
    <row r="168" spans="1:1" ht="20.100000000000001" customHeight="1">
      <c r="A168" s="14" t="s">
        <v>724</v>
      </c>
    </row>
    <row r="169" spans="1:1" ht="20.100000000000001" customHeight="1">
      <c r="A169" s="14" t="s">
        <v>1394</v>
      </c>
    </row>
    <row r="170" spans="1:1" ht="20.100000000000001" customHeight="1">
      <c r="A170" s="14" t="s">
        <v>1945</v>
      </c>
    </row>
    <row r="171" spans="1:1" ht="20.100000000000001" customHeight="1">
      <c r="A171" s="14" t="s">
        <v>2386</v>
      </c>
    </row>
    <row r="172" spans="1:1" ht="20.100000000000001" customHeight="1">
      <c r="A172" s="8" t="s">
        <v>216</v>
      </c>
    </row>
    <row r="173" spans="1:1" ht="20.100000000000001" customHeight="1">
      <c r="A173" s="14" t="s">
        <v>749</v>
      </c>
    </row>
    <row r="174" spans="1:1" ht="20.100000000000001" customHeight="1">
      <c r="A174" s="14" t="s">
        <v>201</v>
      </c>
    </row>
    <row r="175" spans="1:1" ht="20.100000000000001" customHeight="1">
      <c r="A175" s="14" t="s">
        <v>2468</v>
      </c>
    </row>
    <row r="176" spans="1:1" ht="20.100000000000001" customHeight="1">
      <c r="A176" s="14" t="s">
        <v>171</v>
      </c>
    </row>
    <row r="177" spans="1:1" ht="20.100000000000001" customHeight="1">
      <c r="A177" s="14" t="s">
        <v>257</v>
      </c>
    </row>
    <row r="178" spans="1:1" ht="20.100000000000001" customHeight="1">
      <c r="A178" s="14" t="s">
        <v>91</v>
      </c>
    </row>
    <row r="179" spans="1:1" ht="20.100000000000001" customHeight="1">
      <c r="A179" s="14" t="s">
        <v>315</v>
      </c>
    </row>
    <row r="180" spans="1:1" ht="20.100000000000001" customHeight="1">
      <c r="A180" s="14" t="s">
        <v>2475</v>
      </c>
    </row>
    <row r="181" spans="1:1" ht="20.100000000000001" customHeight="1">
      <c r="A181" s="14" t="s">
        <v>448</v>
      </c>
    </row>
    <row r="182" spans="1:1" ht="20.100000000000001" customHeight="1">
      <c r="A182" s="14" t="s">
        <v>272</v>
      </c>
    </row>
    <row r="183" spans="1:1" ht="20.100000000000001" customHeight="1">
      <c r="A183" s="14" t="s">
        <v>2920</v>
      </c>
    </row>
    <row r="184" spans="1:1" ht="20.100000000000001" customHeight="1">
      <c r="A184" s="14" t="s">
        <v>308</v>
      </c>
    </row>
    <row r="185" spans="1:1" ht="20.100000000000001" customHeight="1">
      <c r="A185" s="14" t="s">
        <v>2534</v>
      </c>
    </row>
    <row r="186" spans="1:1" ht="20.100000000000001" customHeight="1">
      <c r="A186" s="14" t="s">
        <v>354</v>
      </c>
    </row>
    <row r="187" spans="1:1" ht="20.100000000000001" customHeight="1">
      <c r="A187" s="14" t="s">
        <v>1900</v>
      </c>
    </row>
    <row r="188" spans="1:1" ht="20.100000000000001" customHeight="1">
      <c r="A188" s="14" t="s">
        <v>1869</v>
      </c>
    </row>
    <row r="189" spans="1:1" ht="20.100000000000001" customHeight="1">
      <c r="A189" s="14" t="s">
        <v>174</v>
      </c>
    </row>
    <row r="190" spans="1:1" ht="20.100000000000001" customHeight="1">
      <c r="A190" s="8" t="s">
        <v>359</v>
      </c>
    </row>
    <row r="191" spans="1:1" ht="20.100000000000001" customHeight="1">
      <c r="A191" s="14" t="s">
        <v>159</v>
      </c>
    </row>
    <row r="192" spans="1:1" ht="20.100000000000001" customHeight="1">
      <c r="A192" s="13" t="s">
        <v>54</v>
      </c>
    </row>
    <row r="193" spans="1:1" ht="20.100000000000001" customHeight="1">
      <c r="A193" s="14" t="s">
        <v>275</v>
      </c>
    </row>
    <row r="194" spans="1:1" ht="20.100000000000001" customHeight="1">
      <c r="A194" s="14" t="s">
        <v>334</v>
      </c>
    </row>
    <row r="195" spans="1:1" ht="20.100000000000001" customHeight="1">
      <c r="A195" s="14" t="s">
        <v>1761</v>
      </c>
    </row>
    <row r="196" spans="1:1" ht="20.100000000000001" customHeight="1">
      <c r="A196" s="14" t="s">
        <v>2852</v>
      </c>
    </row>
    <row r="197" spans="1:1" ht="20.100000000000001" customHeight="1">
      <c r="A197" s="14" t="s">
        <v>1393</v>
      </c>
    </row>
    <row r="198" spans="1:1" ht="20.100000000000001" customHeight="1">
      <c r="A198" s="14" t="s">
        <v>1494</v>
      </c>
    </row>
    <row r="199" spans="1:1" ht="20.100000000000001" customHeight="1">
      <c r="A199" s="14" t="s">
        <v>1896</v>
      </c>
    </row>
    <row r="200" spans="1:1" ht="20.100000000000001" customHeight="1">
      <c r="A200" s="14" t="s">
        <v>122</v>
      </c>
    </row>
    <row r="201" spans="1:1" ht="20.100000000000001" customHeight="1">
      <c r="A201" s="14" t="s">
        <v>306</v>
      </c>
    </row>
    <row r="202" spans="1:1" ht="20.100000000000001" customHeight="1">
      <c r="A202" s="27" t="s">
        <v>241</v>
      </c>
    </row>
    <row r="203" spans="1:1" ht="20.100000000000001" customHeight="1">
      <c r="A203" s="14" t="s">
        <v>692</v>
      </c>
    </row>
    <row r="204" spans="1:1" ht="20.100000000000001" customHeight="1">
      <c r="A204" s="14" t="s">
        <v>1453</v>
      </c>
    </row>
    <row r="205" spans="1:1" ht="20.100000000000001" customHeight="1">
      <c r="A205" s="14" t="s">
        <v>316</v>
      </c>
    </row>
    <row r="206" spans="1:1" ht="20.100000000000001" customHeight="1">
      <c r="A206" s="14" t="s">
        <v>356</v>
      </c>
    </row>
    <row r="207" spans="1:1" ht="20.100000000000001" customHeight="1">
      <c r="A207" s="14" t="s">
        <v>2835</v>
      </c>
    </row>
    <row r="208" spans="1:1" ht="20.100000000000001" customHeight="1">
      <c r="A208" s="14" t="s">
        <v>2629</v>
      </c>
    </row>
    <row r="209" spans="1:1" ht="20.100000000000001" customHeight="1">
      <c r="A209" s="14" t="s">
        <v>2328</v>
      </c>
    </row>
    <row r="210" spans="1:1" ht="20.100000000000001" customHeight="1">
      <c r="A210" s="14" t="s">
        <v>1961</v>
      </c>
    </row>
    <row r="211" spans="1:1" ht="20.100000000000001" customHeight="1">
      <c r="A211" s="14" t="s">
        <v>738</v>
      </c>
    </row>
    <row r="212" spans="1:1" ht="20.100000000000001" customHeight="1">
      <c r="A212" s="14" t="s">
        <v>734</v>
      </c>
    </row>
    <row r="213" spans="1:1" ht="20.100000000000001" customHeight="1">
      <c r="A213" s="14" t="s">
        <v>202</v>
      </c>
    </row>
    <row r="214" spans="1:1" ht="20.100000000000001" customHeight="1">
      <c r="A214" s="8" t="s">
        <v>3020</v>
      </c>
    </row>
    <row r="215" spans="1:1" ht="20.100000000000001" customHeight="1">
      <c r="A215" s="15" t="s">
        <v>55</v>
      </c>
    </row>
    <row r="216" spans="1:1" ht="20.100000000000001" customHeight="1">
      <c r="A216" s="14" t="s">
        <v>283</v>
      </c>
    </row>
    <row r="217" spans="1:1" ht="20.100000000000001" customHeight="1">
      <c r="A217" s="14" t="s">
        <v>303</v>
      </c>
    </row>
    <row r="218" spans="1:1" ht="20.100000000000001" customHeight="1">
      <c r="A218" s="8" t="s">
        <v>287</v>
      </c>
    </row>
    <row r="219" spans="1:1" ht="20.100000000000001" customHeight="1">
      <c r="A219" s="14" t="s">
        <v>163</v>
      </c>
    </row>
    <row r="220" spans="1:1" ht="20.100000000000001" customHeight="1">
      <c r="A220" s="14" t="s">
        <v>157</v>
      </c>
    </row>
    <row r="221" spans="1:1" ht="20.100000000000001" customHeight="1">
      <c r="A221" s="14" t="s">
        <v>686</v>
      </c>
    </row>
    <row r="222" spans="1:1" ht="20.100000000000001" customHeight="1">
      <c r="A222" s="14" t="s">
        <v>2207</v>
      </c>
    </row>
    <row r="223" spans="1:1" ht="20.100000000000001" customHeight="1">
      <c r="A223" s="14" t="s">
        <v>851</v>
      </c>
    </row>
    <row r="224" spans="1:1" ht="20.100000000000001" customHeight="1">
      <c r="A224" s="14" t="s">
        <v>1253</v>
      </c>
    </row>
    <row r="225" spans="1:1" ht="20.100000000000001" customHeight="1">
      <c r="A225" s="14" t="s">
        <v>169</v>
      </c>
    </row>
    <row r="226" spans="1:1" ht="20.100000000000001" customHeight="1">
      <c r="A226" s="14" t="s">
        <v>240</v>
      </c>
    </row>
    <row r="227" spans="1:1" ht="20.100000000000001" customHeight="1">
      <c r="A227" s="13" t="s">
        <v>56</v>
      </c>
    </row>
    <row r="228" spans="1:1" ht="20.100000000000001" customHeight="1">
      <c r="A228" s="14" t="s">
        <v>524</v>
      </c>
    </row>
    <row r="229" spans="1:1" ht="20.100000000000001" customHeight="1">
      <c r="A229" s="14" t="s">
        <v>805</v>
      </c>
    </row>
    <row r="230" spans="1:1" ht="20.100000000000001" customHeight="1">
      <c r="A230" s="14" t="s">
        <v>586</v>
      </c>
    </row>
    <row r="231" spans="1:1" ht="20.100000000000001" customHeight="1">
      <c r="A231" s="8" t="s">
        <v>349</v>
      </c>
    </row>
    <row r="232" spans="1:1" ht="20.100000000000001" customHeight="1">
      <c r="A232" s="14" t="s">
        <v>346</v>
      </c>
    </row>
    <row r="233" spans="1:1" ht="20.100000000000001" customHeight="1">
      <c r="A233" s="14" t="s">
        <v>358</v>
      </c>
    </row>
    <row r="234" spans="1:1" ht="20.100000000000001" customHeight="1">
      <c r="A234" s="14" t="s">
        <v>2387</v>
      </c>
    </row>
    <row r="235" spans="1:1" ht="20.100000000000001" customHeight="1">
      <c r="A235" s="14" t="s">
        <v>166</v>
      </c>
    </row>
    <row r="236" spans="1:1" ht="20.100000000000001" customHeight="1">
      <c r="A236" s="14" t="s">
        <v>2380</v>
      </c>
    </row>
    <row r="237" spans="1:1" ht="20.100000000000001" customHeight="1">
      <c r="A237" s="14" t="s">
        <v>2877</v>
      </c>
    </row>
    <row r="238" spans="1:1" ht="20.100000000000001" customHeight="1">
      <c r="A238" s="14" t="s">
        <v>2001</v>
      </c>
    </row>
    <row r="239" spans="1:1" ht="20.100000000000001" customHeight="1">
      <c r="A239" s="14" t="s">
        <v>160</v>
      </c>
    </row>
    <row r="240" spans="1:1" ht="20.100000000000001" customHeight="1">
      <c r="A240" s="14" t="s">
        <v>1528</v>
      </c>
    </row>
    <row r="241" spans="1:1" ht="20.100000000000001" customHeight="1">
      <c r="A241" s="14" t="s">
        <v>1660</v>
      </c>
    </row>
    <row r="242" spans="1:1" ht="20.100000000000001" customHeight="1">
      <c r="A242" s="14" t="s">
        <v>294</v>
      </c>
    </row>
    <row r="243" spans="1:1" ht="20.100000000000001" customHeight="1">
      <c r="A243" s="14" t="s">
        <v>2478</v>
      </c>
    </row>
    <row r="244" spans="1:1" ht="20.100000000000001" customHeight="1">
      <c r="A244" s="14" t="s">
        <v>1767</v>
      </c>
    </row>
    <row r="245" spans="1:1" ht="20.100000000000001" customHeight="1">
      <c r="A245" s="14" t="s">
        <v>1928</v>
      </c>
    </row>
    <row r="246" spans="1:1" ht="20.100000000000001" customHeight="1">
      <c r="A246" s="14" t="s">
        <v>344</v>
      </c>
    </row>
    <row r="247" spans="1:1" ht="20.100000000000001" customHeight="1">
      <c r="A247" s="14" t="s">
        <v>2245</v>
      </c>
    </row>
    <row r="248" spans="1:1" ht="20.100000000000001" customHeight="1">
      <c r="A248" s="14" t="s">
        <v>199</v>
      </c>
    </row>
    <row r="249" spans="1:1" ht="20.100000000000001" customHeight="1">
      <c r="A249" s="14" t="s">
        <v>2557</v>
      </c>
    </row>
    <row r="250" spans="1:1" ht="20.100000000000001" customHeight="1">
      <c r="A250" s="14" t="s">
        <v>2318</v>
      </c>
    </row>
    <row r="251" spans="1:1" ht="20.100000000000001" customHeight="1">
      <c r="A251" s="14" t="s">
        <v>1291</v>
      </c>
    </row>
    <row r="252" spans="1:1" ht="20.100000000000001" customHeight="1">
      <c r="A252" s="14" t="s">
        <v>195</v>
      </c>
    </row>
    <row r="253" spans="1:1" ht="20.100000000000001" customHeight="1">
      <c r="A253" s="14" t="s">
        <v>1540</v>
      </c>
    </row>
    <row r="254" spans="1:1" ht="20.100000000000001" customHeight="1">
      <c r="A254" s="14" t="s">
        <v>2314</v>
      </c>
    </row>
    <row r="255" spans="1:1" ht="20.100000000000001" customHeight="1">
      <c r="A255" s="14" t="s">
        <v>1901</v>
      </c>
    </row>
    <row r="256" spans="1:1" ht="20.100000000000001" customHeight="1">
      <c r="A256" s="14" t="s">
        <v>353</v>
      </c>
    </row>
    <row r="257" spans="1:1" ht="20.100000000000001" customHeight="1">
      <c r="A257" s="14" t="s">
        <v>2935</v>
      </c>
    </row>
    <row r="258" spans="1:1" ht="20.100000000000001" customHeight="1">
      <c r="A258" s="13" t="s">
        <v>57</v>
      </c>
    </row>
    <row r="259" spans="1:1" ht="20.100000000000001" customHeight="1">
      <c r="A259" s="14" t="s">
        <v>1664</v>
      </c>
    </row>
    <row r="260" spans="1:1" ht="20.100000000000001" customHeight="1">
      <c r="A260" s="14" t="s">
        <v>2540</v>
      </c>
    </row>
    <row r="261" spans="1:1" ht="20.100000000000001" customHeight="1">
      <c r="A261" s="14" t="s">
        <v>1744</v>
      </c>
    </row>
    <row r="262" spans="1:1" ht="20.100000000000001" customHeight="1">
      <c r="A262" s="15" t="s">
        <v>28</v>
      </c>
    </row>
    <row r="263" spans="1:1" ht="20.100000000000001" customHeight="1">
      <c r="A263" s="14" t="s">
        <v>336</v>
      </c>
    </row>
    <row r="264" spans="1:1" ht="20.100000000000001" customHeight="1">
      <c r="A264" s="14" t="s">
        <v>1589</v>
      </c>
    </row>
    <row r="265" spans="1:1" ht="20.100000000000001" customHeight="1">
      <c r="A265" s="14" t="s">
        <v>198</v>
      </c>
    </row>
    <row r="266" spans="1:1" ht="20.100000000000001" customHeight="1">
      <c r="A266" s="13" t="s">
        <v>58</v>
      </c>
    </row>
    <row r="267" spans="1:1" ht="20.100000000000001" customHeight="1">
      <c r="A267" s="14" t="s">
        <v>1993</v>
      </c>
    </row>
    <row r="268" spans="1:1" ht="20.100000000000001" customHeight="1">
      <c r="A268" s="14" t="s">
        <v>285</v>
      </c>
    </row>
    <row r="269" spans="1:1" ht="20.100000000000001" customHeight="1">
      <c r="A269" s="14" t="s">
        <v>1872</v>
      </c>
    </row>
    <row r="270" spans="1:1" ht="20.100000000000001" customHeight="1">
      <c r="A270" s="14" t="s">
        <v>2140</v>
      </c>
    </row>
    <row r="271" spans="1:1" ht="20.100000000000001" customHeight="1">
      <c r="A271" s="14" t="s">
        <v>2632</v>
      </c>
    </row>
    <row r="272" spans="1:1" ht="20.100000000000001" customHeight="1">
      <c r="A272" s="14" t="s">
        <v>1298</v>
      </c>
    </row>
    <row r="273" spans="1:1" ht="20.100000000000001" customHeight="1">
      <c r="A273" s="14" t="s">
        <v>1944</v>
      </c>
    </row>
    <row r="274" spans="1:1" ht="20.100000000000001" customHeight="1">
      <c r="A274" s="14" t="s">
        <v>2151</v>
      </c>
    </row>
    <row r="275" spans="1:1" ht="20.100000000000001" customHeight="1">
      <c r="A275" s="14" t="s">
        <v>2160</v>
      </c>
    </row>
    <row r="276" spans="1:1" ht="20.100000000000001" customHeight="1">
      <c r="A276" s="14" t="s">
        <v>318</v>
      </c>
    </row>
    <row r="277" spans="1:1" ht="20.100000000000001" customHeight="1">
      <c r="A277" s="14" t="s">
        <v>1156</v>
      </c>
    </row>
    <row r="278" spans="1:1" ht="20.100000000000001" customHeight="1">
      <c r="A278" s="14" t="s">
        <v>1758</v>
      </c>
    </row>
    <row r="279" spans="1:1">
      <c r="A279" s="14" t="s">
        <v>3126</v>
      </c>
    </row>
    <row r="280" spans="1:1">
      <c r="A280" s="14" t="s">
        <v>3144</v>
      </c>
    </row>
    <row r="281" spans="1:1">
      <c r="A281" s="14" t="s">
        <v>3169</v>
      </c>
    </row>
    <row r="282" spans="1:1">
      <c r="A282" s="14" t="s">
        <v>3293</v>
      </c>
    </row>
    <row r="283" spans="1:1">
      <c r="A283" s="14" t="s">
        <v>3354</v>
      </c>
    </row>
  </sheetData>
  <sortState ref="A18:A278">
    <sortCondition ref="A18"/>
  </sortState>
  <customSheetViews>
    <customSheetView guid="{C7ED2F2C-4193-48B7-9502-9FB900CD50B3}" topLeftCell="A202">
      <selection activeCell="A239" sqref="A239:XFD239"/>
      <pageMargins left="0.7" right="0.7" top="0.75" bottom="0.75" header="0.3" footer="0.3"/>
    </customSheetView>
    <customSheetView guid="{5BF16DBA-4BB4-4498-B7BF-4F2DDC074FBE}" topLeftCell="A28">
      <selection activeCell="D51" sqref="D51"/>
      <pageMargins left="0.7" right="0.7" top="0.75" bottom="0.75" header="0.3" footer="0.3"/>
    </customSheetView>
    <customSheetView guid="{34C07D15-334F-4678-BECB-58C99A205BB8}" showPageBreaks="1" topLeftCell="A85">
      <selection activeCell="A110" sqref="A110:XFD110"/>
      <pageMargins left="0.7" right="0.7" top="0.75" bottom="0.75" header="0.3" footer="0.3"/>
    </customSheetView>
    <customSheetView guid="{0DE10425-8171-4A65-9B11-AACA328E7729}" topLeftCell="A53">
      <selection activeCell="A68" sqref="A68"/>
      <pageMargins left="0.7" right="0.7" top="0.75" bottom="0.75" header="0.3" footer="0.3"/>
    </customSheetView>
    <customSheetView guid="{DB4207DD-4199-49C8-82A0-9B1EB1C1B792}" topLeftCell="A104">
      <selection activeCell="A126" sqref="A126"/>
      <pageMargins left="0.7" right="0.7" top="0.75" bottom="0.75" header="0.3" footer="0.3"/>
    </customSheetView>
    <customSheetView guid="{0199CA3F-EFF7-4FF3-938A-24486AD9575F}" topLeftCell="A233">
      <selection activeCell="A248" sqref="A248"/>
      <pageMargins left="0.7" right="0.7" top="0.75" bottom="0.75" header="0.3" footer="0.3"/>
    </customSheetView>
    <customSheetView guid="{8889932B-014C-4A7A-B620-114840895FF5}" topLeftCell="A108">
      <selection activeCell="A247" sqref="A247:XFD247"/>
      <pageMargins left="0.7" right="0.7" top="0.75" bottom="0.75" header="0.3" footer="0.3"/>
    </customSheetView>
  </customSheetViews>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Hoja13"/>
  <dimension ref="B2:P47"/>
  <sheetViews>
    <sheetView topLeftCell="A10" zoomScale="70" zoomScaleNormal="70" workbookViewId="0">
      <selection activeCell="G23" sqref="G23"/>
    </sheetView>
  </sheetViews>
  <sheetFormatPr baseColWidth="10" defaultRowHeight="12.75"/>
  <cols>
    <col min="5" max="5" width="16.42578125" bestFit="1" customWidth="1"/>
    <col min="6" max="6" width="13.5703125" bestFit="1" customWidth="1"/>
    <col min="7" max="7" width="14.85546875" bestFit="1" customWidth="1"/>
    <col min="8" max="8" width="16" bestFit="1" customWidth="1"/>
    <col min="9" max="9" width="19.140625" bestFit="1" customWidth="1"/>
    <col min="10" max="10" width="13" bestFit="1" customWidth="1"/>
    <col min="11" max="11" width="14.28515625" bestFit="1" customWidth="1"/>
    <col min="12" max="12" width="11" bestFit="1" customWidth="1"/>
  </cols>
  <sheetData>
    <row r="2" spans="2:12" ht="13.5" thickBot="1"/>
    <row r="3" spans="2:12" ht="16.5" thickBot="1">
      <c r="B3" s="470" t="s">
        <v>2407</v>
      </c>
      <c r="C3" s="471"/>
      <c r="D3" s="471"/>
      <c r="E3" s="471"/>
      <c r="F3" s="471"/>
      <c r="G3" s="471"/>
      <c r="H3" s="471"/>
      <c r="I3" s="471"/>
      <c r="J3" s="471"/>
      <c r="K3" s="471"/>
      <c r="L3" s="472"/>
    </row>
    <row r="4" spans="2:12" ht="16.5" thickBot="1">
      <c r="B4" s="440"/>
      <c r="C4" s="441"/>
      <c r="D4" s="441"/>
      <c r="E4" s="441"/>
      <c r="F4" s="441"/>
      <c r="G4" s="441"/>
      <c r="H4" s="473" t="s">
        <v>3315</v>
      </c>
      <c r="I4" s="474"/>
      <c r="J4" s="475"/>
      <c r="K4" s="441"/>
      <c r="L4" s="442"/>
    </row>
    <row r="5" spans="2:12" ht="39" thickBot="1">
      <c r="B5" s="476" t="s">
        <v>2406</v>
      </c>
      <c r="C5" s="476"/>
      <c r="D5" s="476"/>
      <c r="E5" s="436" t="s">
        <v>3320</v>
      </c>
      <c r="F5" s="437" t="s">
        <v>3321</v>
      </c>
      <c r="G5" s="438" t="s">
        <v>2402</v>
      </c>
      <c r="H5" s="439" t="s">
        <v>3318</v>
      </c>
      <c r="I5" s="439" t="s">
        <v>3316</v>
      </c>
      <c r="J5" s="439" t="s">
        <v>3317</v>
      </c>
      <c r="K5" s="439" t="s">
        <v>3319</v>
      </c>
      <c r="L5" s="438" t="s">
        <v>3194</v>
      </c>
    </row>
    <row r="6" spans="2:12" ht="21" thickBot="1">
      <c r="B6" s="254" t="s">
        <v>2403</v>
      </c>
      <c r="C6" s="188">
        <v>1</v>
      </c>
      <c r="D6" s="188"/>
      <c r="E6" s="255">
        <f>COUNTIFS(EXPEDIENTES!$F:$F,C6,EXPEDIENTES!$AJ:$AJ,"PRESO")</f>
        <v>41</v>
      </c>
      <c r="F6" s="256">
        <f>COUNTIFS(EXPEDIENTES!$AJ:$AJ,"PRESO",EXPEDIENTES!$AM:$AM,"ELEVADA",EXPEDIENTES!$F:$F,C6)</f>
        <v>28</v>
      </c>
      <c r="G6" s="278">
        <f>COUNTIFS(EXPEDIENTES!$AJ:$AJ,"PRESO",EXPEDIENTES!$AM:$AM,"RESUELTA",EXPEDIENTES!F:F,C6)</f>
        <v>8</v>
      </c>
      <c r="H6" s="278">
        <f>COUNTIFS(EXPEDIENTES!$AJ:$AJ,"PRESO",EXPEDIENTES!$R:$R,"DEVUELTA AL JUZGADO DE ORIGEN",EXPEDIENTES!$F:$F,C6)</f>
        <v>0</v>
      </c>
      <c r="I6" s="432">
        <f>COUNTIFS(EXPEDIENTES!$AJ:$AJ,"PRESO",EXPEDIENTES!$R:$R,"DEVUELTA POR PRESCRIPCION",EXPEDIENTES!$F:$F,C6)</f>
        <v>0</v>
      </c>
      <c r="J6" s="432">
        <f>COUNTIFS(EXPEDIENTES!$AJ:$AJ,"PRESO",EXPEDIENTES!$R:$R,"DEVUELTA CON REBELDIA",EXPEDIENTES!$F:$F,C6)</f>
        <v>0</v>
      </c>
      <c r="K6" s="383">
        <f>SUM(F6:J6)</f>
        <v>36</v>
      </c>
      <c r="L6" s="381">
        <f>E6-K6</f>
        <v>5</v>
      </c>
    </row>
    <row r="7" spans="2:12" ht="21" thickBot="1">
      <c r="B7" s="257" t="s">
        <v>2403</v>
      </c>
      <c r="C7" s="258">
        <v>2</v>
      </c>
      <c r="D7" s="258"/>
      <c r="E7" s="435">
        <f>COUNTIFS(EXPEDIENTES!$F:$F,C7,EXPEDIENTES!$AJ:$AJ,"PRESO")</f>
        <v>20</v>
      </c>
      <c r="F7" s="260">
        <f>COUNTIFS(EXPEDIENTES!$AJ:$AJ,"PRESO",EXPEDIENTES!$AM:$AM,"ELEVADA",EXPEDIENTES!$F:$F,C7)</f>
        <v>12</v>
      </c>
      <c r="G7" s="302">
        <f>COUNTIFS(EXPEDIENTES!$AJ:$AJ,"PRESO",EXPEDIENTES!$AM:$AM,"RESUELTA",EXPEDIENTES!F:F,C7)</f>
        <v>6</v>
      </c>
      <c r="H7" s="302">
        <f>COUNTIFS(EXPEDIENTES!$AJ:$AJ,"PRESO",EXPEDIENTES!$R:$R,"DEVUELTA AL JUZGADO DE ORIGEN",EXPEDIENTES!$F:$F,C7)</f>
        <v>0</v>
      </c>
      <c r="I7" s="433">
        <f>COUNTIFS(EXPEDIENTES!$AJ:$AJ,"PRESO",EXPEDIENTES!$R:$R,"DEVUELTA POR PRESCRIPCION",EXPEDIENTES!$F:$F,C7)</f>
        <v>0</v>
      </c>
      <c r="J7" s="433">
        <f>COUNTIFS(EXPEDIENTES!$AJ:$AJ,"PRESO",EXPEDIENTES!$R:$R,"DEVUELTA CON REBELDIA",EXPEDIENTES!$F:$F,C7)</f>
        <v>0</v>
      </c>
      <c r="K7" s="279">
        <f t="shared" ref="K7:K13" si="0">SUM(F7:J7)</f>
        <v>18</v>
      </c>
      <c r="L7" s="380">
        <f t="shared" ref="L7:L13" si="1">E7-K7</f>
        <v>2</v>
      </c>
    </row>
    <row r="8" spans="2:12" ht="21" thickBot="1">
      <c r="B8" s="254" t="s">
        <v>2403</v>
      </c>
      <c r="C8" s="188">
        <v>3</v>
      </c>
      <c r="D8" s="188"/>
      <c r="E8" s="255">
        <f>COUNTIFS(EXPEDIENTES!$F:$F,C8,EXPEDIENTES!$AJ:$AJ,"PRESO")</f>
        <v>37</v>
      </c>
      <c r="F8" s="256">
        <f>COUNTIFS(EXPEDIENTES!$AJ:$AJ,"PRESO",EXPEDIENTES!$AM:$AM,"ELEVADA",EXPEDIENTES!$F:$F,C8)</f>
        <v>19</v>
      </c>
      <c r="G8" s="278">
        <f>COUNTIFS(EXPEDIENTES!$AJ:$AJ,"PRESO",EXPEDIENTES!$AM:$AM,"RESUELTA",EXPEDIENTES!F:F,C8)</f>
        <v>8</v>
      </c>
      <c r="H8" s="278">
        <f>COUNTIFS(EXPEDIENTES!$AJ:$AJ,"PRESO",EXPEDIENTES!$R:$R,"DEVUELTA AL JUZGADO DE ORIGEN",EXPEDIENTES!$F:$F,C8)</f>
        <v>0</v>
      </c>
      <c r="I8" s="432">
        <f>COUNTIFS(EXPEDIENTES!$AJ:$AJ,"PRESO",EXPEDIENTES!$R:$R,"DEVUELTA POR PRESCRIPCION",EXPEDIENTES!$F:$F,C8)</f>
        <v>0</v>
      </c>
      <c r="J8" s="432">
        <f>COUNTIFS(EXPEDIENTES!$AJ:$AJ,"PRESO",EXPEDIENTES!$R:$R,"DEVUELTA CON REBELDIA",EXPEDIENTES!$F:$F,C8)</f>
        <v>0</v>
      </c>
      <c r="K8" s="383">
        <f t="shared" si="0"/>
        <v>27</v>
      </c>
      <c r="L8" s="381">
        <f t="shared" si="1"/>
        <v>10</v>
      </c>
    </row>
    <row r="9" spans="2:12" ht="21" thickBot="1">
      <c r="B9" s="257" t="s">
        <v>2403</v>
      </c>
      <c r="C9" s="258">
        <v>4</v>
      </c>
      <c r="D9" s="258"/>
      <c r="E9" s="435">
        <f>COUNTIFS(EXPEDIENTES!$F:$F,C9,EXPEDIENTES!$AJ:$AJ,"PRESO")</f>
        <v>32</v>
      </c>
      <c r="F9" s="260">
        <f>COUNTIFS(EXPEDIENTES!$AJ:$AJ,"PRESO",EXPEDIENTES!$AM:$AM,"ELEVADA",EXPEDIENTES!$F:$F,C9)</f>
        <v>20</v>
      </c>
      <c r="G9" s="302">
        <f>COUNTIFS(EXPEDIENTES!$AJ:$AJ,"PRESO",EXPEDIENTES!$AM:$AM,"RESUELTA",EXPEDIENTES!F:F,C9)</f>
        <v>5</v>
      </c>
      <c r="H9" s="302">
        <f>COUNTIFS(EXPEDIENTES!$AJ:$AJ,"PRESO",EXPEDIENTES!$R:$R,"DEVUELTA AL JUZGADO DE ORIGEN",EXPEDIENTES!$F:$F,C9)</f>
        <v>0</v>
      </c>
      <c r="I9" s="433">
        <f>COUNTIFS(EXPEDIENTES!$AJ:$AJ,"PRESO",EXPEDIENTES!$R:$R,"DEVUELTA POR PRESCRIPCION",EXPEDIENTES!$F:$F,C9)</f>
        <v>0</v>
      </c>
      <c r="J9" s="433">
        <f>COUNTIFS(EXPEDIENTES!$AJ:$AJ,"PRESO",EXPEDIENTES!$R:$R,"DEVUELTA CON REBELDIA",EXPEDIENTES!$F:$F,C9)</f>
        <v>0</v>
      </c>
      <c r="K9" s="279">
        <f t="shared" si="0"/>
        <v>25</v>
      </c>
      <c r="L9" s="380">
        <f t="shared" si="1"/>
        <v>7</v>
      </c>
    </row>
    <row r="10" spans="2:12" ht="21" thickBot="1">
      <c r="B10" s="254" t="s">
        <v>2403</v>
      </c>
      <c r="C10" s="188">
        <v>5</v>
      </c>
      <c r="D10" s="188"/>
      <c r="E10" s="255">
        <f>COUNTIFS(EXPEDIENTES!$F:$F,C10,EXPEDIENTES!$AJ:$AJ,"PRESO")</f>
        <v>27</v>
      </c>
      <c r="F10" s="256">
        <f>COUNTIFS(EXPEDIENTES!$AJ:$AJ,"PRESO",EXPEDIENTES!$AM:$AM,"ELEVADA",EXPEDIENTES!$F:$F,C10)</f>
        <v>17</v>
      </c>
      <c r="G10" s="278">
        <f>COUNTIFS(EXPEDIENTES!$AJ:$AJ,"PRESO",EXPEDIENTES!$AM:$AM,"RESUELTA",EXPEDIENTES!F:F,C10)</f>
        <v>3</v>
      </c>
      <c r="H10" s="278">
        <f>COUNTIFS(EXPEDIENTES!$AJ:$AJ,"PRESO",EXPEDIENTES!$R:$R,"DEVUELTA AL JUZGADO DE ORIGEN",EXPEDIENTES!$F:$F,C10)</f>
        <v>2</v>
      </c>
      <c r="I10" s="432">
        <f>COUNTIFS(EXPEDIENTES!$AJ:$AJ,"PRESO",EXPEDIENTES!$R:$R,"DEVUELTA POR PRESCRIPCION",EXPEDIENTES!$F:$F,C10)</f>
        <v>0</v>
      </c>
      <c r="J10" s="432">
        <f>COUNTIFS(EXPEDIENTES!$AJ:$AJ,"PRESO",EXPEDIENTES!$R:$R,"DEVUELTA CON REBELDIA",EXPEDIENTES!$F:$F,C10)</f>
        <v>0</v>
      </c>
      <c r="K10" s="383">
        <f t="shared" si="0"/>
        <v>22</v>
      </c>
      <c r="L10" s="381">
        <f t="shared" si="1"/>
        <v>5</v>
      </c>
    </row>
    <row r="11" spans="2:12" ht="21" thickBot="1">
      <c r="B11" s="257" t="s">
        <v>2403</v>
      </c>
      <c r="C11" s="258">
        <v>6</v>
      </c>
      <c r="D11" s="258"/>
      <c r="E11" s="435">
        <f>COUNTIFS(EXPEDIENTES!$F:$F,C11,EXPEDIENTES!$AJ:$AJ,"PRESO")</f>
        <v>27</v>
      </c>
      <c r="F11" s="260">
        <f>COUNTIFS(EXPEDIENTES!$AJ:$AJ,"PRESO",EXPEDIENTES!$AM:$AM,"ELEVADA",EXPEDIENTES!$F:$F,C11)</f>
        <v>17</v>
      </c>
      <c r="G11" s="302">
        <f>COUNTIFS(EXPEDIENTES!$AJ:$AJ,"PRESO",EXPEDIENTES!$AM:$AM,"RESUELTA",EXPEDIENTES!F:F,C11)</f>
        <v>5</v>
      </c>
      <c r="H11" s="302">
        <f>COUNTIFS(EXPEDIENTES!$AJ:$AJ,"PRESO",EXPEDIENTES!$R:$R,"DEVUELTA AL JUZGADO DE ORIGEN",EXPEDIENTES!$F:$F,C11)</f>
        <v>1</v>
      </c>
      <c r="I11" s="433">
        <f>COUNTIFS(EXPEDIENTES!$AJ:$AJ,"PRESO",EXPEDIENTES!$R:$R,"DEVUELTA POR PRESCRIPCION",EXPEDIENTES!$F:$F,C11)</f>
        <v>0</v>
      </c>
      <c r="J11" s="433">
        <f>COUNTIFS(EXPEDIENTES!$AJ:$AJ,"PRESO",EXPEDIENTES!$R:$R,"DEVUELTA CON REBELDIA",EXPEDIENTES!$F:$F,C11)</f>
        <v>0</v>
      </c>
      <c r="K11" s="279">
        <f t="shared" si="0"/>
        <v>23</v>
      </c>
      <c r="L11" s="380">
        <f t="shared" si="1"/>
        <v>4</v>
      </c>
    </row>
    <row r="12" spans="2:12" ht="21" thickBot="1">
      <c r="B12" s="254" t="s">
        <v>2403</v>
      </c>
      <c r="C12" s="188">
        <v>7</v>
      </c>
      <c r="D12" s="188"/>
      <c r="E12" s="255">
        <f>COUNTIFS(EXPEDIENTES!$F:$F,C12,EXPEDIENTES!$AJ:$AJ,"PRESO")</f>
        <v>36</v>
      </c>
      <c r="F12" s="256">
        <f>COUNTIFS(EXPEDIENTES!$AJ:$AJ,"PRESO",EXPEDIENTES!$AM:$AM,"ELEVADA",EXPEDIENTES!$F:$F,C12)</f>
        <v>25</v>
      </c>
      <c r="G12" s="278">
        <f>COUNTIFS(EXPEDIENTES!$AJ:$AJ,"PRESO",EXPEDIENTES!$AM:$AM,"RESUELTA",EXPEDIENTES!F:F,C12)</f>
        <v>3</v>
      </c>
      <c r="H12" s="278">
        <f>COUNTIFS(EXPEDIENTES!$AJ:$AJ,"PRESO",EXPEDIENTES!$R:$R,"DEVUELTA AL JUZGADO DE ORIGEN",EXPEDIENTES!$F:$F,C12)</f>
        <v>0</v>
      </c>
      <c r="I12" s="432">
        <f>COUNTIFS(EXPEDIENTES!$AJ:$AJ,"PRESO",EXPEDIENTES!$R:$R,"DEVUELTA POR PRESCRIPCION",EXPEDIENTES!$F:$F,C12)</f>
        <v>0</v>
      </c>
      <c r="J12" s="432">
        <f>COUNTIFS(EXPEDIENTES!$AJ:$AJ,"PRESO",EXPEDIENTES!$R:$R,"DEVUELTA CON REBELDIA",EXPEDIENTES!$F:$F,C12)</f>
        <v>0</v>
      </c>
      <c r="K12" s="383">
        <f t="shared" si="0"/>
        <v>28</v>
      </c>
      <c r="L12" s="381">
        <f t="shared" si="1"/>
        <v>8</v>
      </c>
    </row>
    <row r="13" spans="2:12" ht="21" thickBot="1">
      <c r="B13" s="257" t="s">
        <v>2403</v>
      </c>
      <c r="C13" s="258">
        <v>8</v>
      </c>
      <c r="D13" s="258"/>
      <c r="E13" s="435">
        <f>COUNTIFS(EXPEDIENTES!$F:$F,C13,EXPEDIENTES!$AJ:$AJ,"PRESO")</f>
        <v>3</v>
      </c>
      <c r="F13" s="260">
        <f>COUNTIFS(EXPEDIENTES!$AJ:$AJ,"PRESO",EXPEDIENTES!$AM:$AM,"ELEVADA",EXPEDIENTES!$F:$F,C13)</f>
        <v>1</v>
      </c>
      <c r="G13" s="302">
        <f>COUNTIFS(EXPEDIENTES!$AJ:$AJ,"PRESO",EXPEDIENTES!$AM:$AM,"RESUELTA",EXPEDIENTES!F:F,C13)</f>
        <v>0</v>
      </c>
      <c r="H13" s="302">
        <f>COUNTIFS(EXPEDIENTES!$AJ:$AJ,"PRESO",EXPEDIENTES!$R:$R,"DEVUELTA AL JUZGADO DE ORIGEN",EXPEDIENTES!$F:$F,C13)</f>
        <v>1</v>
      </c>
      <c r="I13" s="433">
        <f>COUNTIFS(EXPEDIENTES!$AJ:$AJ,"PRESO",EXPEDIENTES!$R:$R,"DEVUELTA POR PRESCRIPCION",EXPEDIENTES!$F:$F,C13)</f>
        <v>0</v>
      </c>
      <c r="J13" s="433">
        <f>COUNTIFS(EXPEDIENTES!$AJ:$AJ,"PRESO",EXPEDIENTES!$R:$R,"DEVUELTA CON REBELDIA",EXPEDIENTES!$F:$F,C13)</f>
        <v>0</v>
      </c>
      <c r="K13" s="279">
        <f t="shared" si="0"/>
        <v>2</v>
      </c>
      <c r="L13" s="380">
        <f t="shared" si="1"/>
        <v>1</v>
      </c>
    </row>
    <row r="14" spans="2:12" ht="20.25">
      <c r="B14" s="477" t="s">
        <v>2038</v>
      </c>
      <c r="C14" s="478"/>
      <c r="D14" s="479"/>
      <c r="E14" s="261">
        <f t="shared" ref="E14:L14" si="2">SUM(E6:E13)</f>
        <v>223</v>
      </c>
      <c r="F14" s="262">
        <f t="shared" si="2"/>
        <v>139</v>
      </c>
      <c r="G14" s="389">
        <f>SUM(G6:G13)</f>
        <v>38</v>
      </c>
      <c r="H14" s="389">
        <f>SUM(H6:H13)</f>
        <v>4</v>
      </c>
      <c r="I14" s="389">
        <f>SUM(I6:I13)</f>
        <v>0</v>
      </c>
      <c r="J14" s="389">
        <f>SUM(J6:J13)</f>
        <v>0</v>
      </c>
      <c r="K14" s="390">
        <f>SUM(K6:K13)</f>
        <v>181</v>
      </c>
      <c r="L14" s="389">
        <f t="shared" si="2"/>
        <v>42</v>
      </c>
    </row>
    <row r="16" spans="2:12" ht="13.5" thickBot="1"/>
    <row r="17" spans="2:12" ht="16.5" thickBot="1">
      <c r="B17" s="470" t="s">
        <v>2408</v>
      </c>
      <c r="C17" s="471"/>
      <c r="D17" s="471"/>
      <c r="E17" s="471"/>
      <c r="F17" s="471"/>
      <c r="G17" s="471"/>
      <c r="H17" s="471"/>
      <c r="I17" s="471"/>
      <c r="J17" s="471"/>
      <c r="K17" s="471"/>
      <c r="L17" s="472"/>
    </row>
    <row r="18" spans="2:12" ht="16.5" thickBot="1">
      <c r="B18" s="445"/>
      <c r="C18" s="446"/>
      <c r="D18" s="446"/>
      <c r="E18" s="446"/>
      <c r="F18" s="446"/>
      <c r="G18" s="446"/>
      <c r="H18" s="473" t="s">
        <v>3315</v>
      </c>
      <c r="I18" s="474"/>
      <c r="J18" s="475"/>
      <c r="K18" s="446"/>
      <c r="L18" s="447"/>
    </row>
    <row r="19" spans="2:12" ht="39" thickBot="1">
      <c r="B19" s="480" t="s">
        <v>2406</v>
      </c>
      <c r="C19" s="480"/>
      <c r="D19" s="480"/>
      <c r="E19" s="443" t="s">
        <v>3320</v>
      </c>
      <c r="F19" s="443" t="s">
        <v>3321</v>
      </c>
      <c r="G19" s="438" t="s">
        <v>2402</v>
      </c>
      <c r="H19" s="439" t="s">
        <v>3318</v>
      </c>
      <c r="I19" s="439" t="s">
        <v>3316</v>
      </c>
      <c r="J19" s="439" t="s">
        <v>3317</v>
      </c>
      <c r="K19" s="439" t="s">
        <v>3319</v>
      </c>
      <c r="L19" s="444" t="s">
        <v>3194</v>
      </c>
    </row>
    <row r="20" spans="2:12" ht="21" thickBot="1">
      <c r="B20" s="254" t="s">
        <v>2403</v>
      </c>
      <c r="C20" s="188">
        <v>1</v>
      </c>
      <c r="D20" s="188"/>
      <c r="E20" s="255">
        <f>COUNTIFS(EXPEDIENTES!$F:$F,C20,EXPEDIENTES!$AJ:$AJ,"SIN")</f>
        <v>23</v>
      </c>
      <c r="F20" s="256">
        <f>COUNTIFS(EXPEDIENTES!$AJ:$AJ,"SIN",EXPEDIENTES!$AM:$AM,"ELEVADA",EXPEDIENTES!$F:$F,C20)</f>
        <v>4</v>
      </c>
      <c r="G20" s="277">
        <f>COUNTIFS(EXPEDIENTES!$AJ:$AJ,"SIN",EXPEDIENTES!$AM:$AM,"RESUELTA",EXPEDIENTES!$F:$F,C20)</f>
        <v>0</v>
      </c>
      <c r="H20" s="277">
        <f>COUNTIFS(EXPEDIENTES!$AJ:$AJ,"SIN",EXPEDIENTES!$R:$R,"DEVUELTA AL JUZGADO DE ORIGEN",EXPEDIENTES!$F:$F,C20)</f>
        <v>0</v>
      </c>
      <c r="I20" s="277">
        <f>COUNTIFS(EXPEDIENTES!$AJ:$AJ,"SIN",EXPEDIENTES!$R:$R,"DEVUELTA POR PRESCRIPCION",EXPEDIENTES!$F:$F,C20)</f>
        <v>0</v>
      </c>
      <c r="J20" s="277">
        <f>COUNTIFS(EXPEDIENTES!$AJ:$AJ,"SIN",EXPEDIENTES!$R:$R,"DEVUELTA CON REBELDIA",EXPEDIENTES!$F:$F,C20)</f>
        <v>0</v>
      </c>
      <c r="K20" s="277">
        <f>SUM(F20:J20)</f>
        <v>4</v>
      </c>
      <c r="L20" s="277">
        <f>E20-K20</f>
        <v>19</v>
      </c>
    </row>
    <row r="21" spans="2:12" ht="21" thickBot="1">
      <c r="B21" s="257" t="s">
        <v>2403</v>
      </c>
      <c r="C21" s="258">
        <v>2</v>
      </c>
      <c r="D21" s="258"/>
      <c r="E21" s="434">
        <f>COUNTIFS(EXPEDIENTES!$F:$F,C21,EXPEDIENTES!$AJ:$AJ,"SIN")</f>
        <v>112</v>
      </c>
      <c r="F21" s="260">
        <f>COUNTIFS(EXPEDIENTES!$AJ:$AJ,"SIN",EXPEDIENTES!$AM:$AM,"ELEVADA",EXPEDIENTES!$F:$F,C21)</f>
        <v>15</v>
      </c>
      <c r="G21" s="302">
        <f>COUNTIFS(EXPEDIENTES!$AJ:$AJ,"SIN",EXPEDIENTES!$AM:$AM,"RESUELTA",EXPEDIENTES!$F:$F,C21)</f>
        <v>2</v>
      </c>
      <c r="H21" s="302">
        <f>COUNTIFS(EXPEDIENTES!$AJ:$AJ,"SIN",EXPEDIENTES!$R:$R,"DEVUELTA AL JUZGADO DE ORIGEN",EXPEDIENTES!$F:$F,C21)</f>
        <v>1</v>
      </c>
      <c r="I21" s="302">
        <f>COUNTIFS(EXPEDIENTES!$AJ:$AJ,"SIN",EXPEDIENTES!$R:$R,"DEVUELTA POR PRESCRIPCION",EXPEDIENTES!$F:$F,C21)</f>
        <v>0</v>
      </c>
      <c r="J21" s="302">
        <f>COUNTIFS(EXPEDIENTES!$AJ:$AJ,"SIN",EXPEDIENTES!$R:$R,"DEVUELTA CON REBELDIA",EXPEDIENTES!$F:$F,C21)</f>
        <v>0</v>
      </c>
      <c r="K21" s="302">
        <f t="shared" ref="K21:K27" si="3">SUM(F21:J21)</f>
        <v>18</v>
      </c>
      <c r="L21" s="279">
        <f t="shared" ref="L21:L27" si="4">E21-K21</f>
        <v>94</v>
      </c>
    </row>
    <row r="22" spans="2:12" ht="21" thickBot="1">
      <c r="B22" s="254" t="s">
        <v>2403</v>
      </c>
      <c r="C22" s="188">
        <v>3</v>
      </c>
      <c r="D22" s="188"/>
      <c r="E22" s="255">
        <f>COUNTIFS(EXPEDIENTES!$F:$F,C22,EXPEDIENTES!$AJ:$AJ,"SIN")</f>
        <v>139</v>
      </c>
      <c r="F22" s="256">
        <f>COUNTIFS(EXPEDIENTES!$AJ:$AJ,"SIN",EXPEDIENTES!$AM:$AM,"ELEVADA",EXPEDIENTES!$F:$F,C22)</f>
        <v>5</v>
      </c>
      <c r="G22" s="278">
        <f>COUNTIFS(EXPEDIENTES!$AJ:$AJ,"SIN",EXPEDIENTES!$AM:$AM,"RESUELTA",EXPEDIENTES!$F:$F,C22)</f>
        <v>1</v>
      </c>
      <c r="H22" s="278">
        <f>COUNTIFS(EXPEDIENTES!$AJ:$AJ,"SIN",EXPEDIENTES!$R:$R,"DEVUELTA AL JUZGADO DE ORIGEN",EXPEDIENTES!$F:$F,C22)</f>
        <v>4</v>
      </c>
      <c r="I22" s="278">
        <f>COUNTIFS(EXPEDIENTES!$AJ:$AJ,"SIN",EXPEDIENTES!$R:$R,"DEVUELTA POR PRESCRIPCION",EXPEDIENTES!$F:$F,C22)</f>
        <v>5</v>
      </c>
      <c r="J22" s="278">
        <f>COUNTIFS(EXPEDIENTES!$AJ:$AJ,"SIN",EXPEDIENTES!$R:$R,"DEVUELTA CON REBELDIA",EXPEDIENTES!$F:$F,C22)</f>
        <v>3</v>
      </c>
      <c r="K22" s="278">
        <f t="shared" si="3"/>
        <v>18</v>
      </c>
      <c r="L22" s="278">
        <f t="shared" si="4"/>
        <v>121</v>
      </c>
    </row>
    <row r="23" spans="2:12" ht="21" thickBot="1">
      <c r="B23" s="257" t="s">
        <v>2403</v>
      </c>
      <c r="C23" s="258">
        <v>4</v>
      </c>
      <c r="D23" s="258"/>
      <c r="E23" s="434">
        <f>COUNTIFS(EXPEDIENTES!$F:$F,C23,EXPEDIENTES!$AJ:$AJ,"SIN")</f>
        <v>176</v>
      </c>
      <c r="F23" s="260">
        <f>COUNTIFS(EXPEDIENTES!$AJ:$AJ,"SIN",EXPEDIENTES!$AM:$AM,"ELEVADA",EXPEDIENTES!$F:$F,C23)</f>
        <v>14</v>
      </c>
      <c r="G23" s="302">
        <f>COUNTIFS(EXPEDIENTES!$AJ:$AJ,"SIN",EXPEDIENTES!$AM:$AM,"RESUELTA",EXPEDIENTES!$F:$F,C23)</f>
        <v>1</v>
      </c>
      <c r="H23" s="302">
        <f>COUNTIFS(EXPEDIENTES!$AJ:$AJ,"SIN",EXPEDIENTES!$R:$R,"DEVUELTA AL JUZGADO DE ORIGEN",EXPEDIENTES!$F:$F,C23)</f>
        <v>0</v>
      </c>
      <c r="I23" s="302">
        <f>COUNTIFS(EXPEDIENTES!$AJ:$AJ,"SIN",EXPEDIENTES!$R:$R,"DEVUELTA POR PRESCRIPCION",EXPEDIENTES!$F:$F,C23)</f>
        <v>2</v>
      </c>
      <c r="J23" s="302">
        <f>COUNTIFS(EXPEDIENTES!$AJ:$AJ,"SIN",EXPEDIENTES!$R:$R,"DEVUELTA CON REBELDIA",EXPEDIENTES!$F:$F,C23)</f>
        <v>0</v>
      </c>
      <c r="K23" s="302">
        <f t="shared" si="3"/>
        <v>17</v>
      </c>
      <c r="L23" s="279">
        <f t="shared" si="4"/>
        <v>159</v>
      </c>
    </row>
    <row r="24" spans="2:12" ht="21" thickBot="1">
      <c r="B24" s="254" t="s">
        <v>2403</v>
      </c>
      <c r="C24" s="188">
        <v>5</v>
      </c>
      <c r="D24" s="188"/>
      <c r="E24" s="255">
        <f>COUNTIFS(EXPEDIENTES!$F:$F,C24,EXPEDIENTES!$AJ:$AJ,"SIN")</f>
        <v>79</v>
      </c>
      <c r="F24" s="256">
        <f>COUNTIFS(EXPEDIENTES!$AJ:$AJ,"SIN",EXPEDIENTES!$AM:$AM,"ELEVADA",EXPEDIENTES!$F:$F,C24)</f>
        <v>3</v>
      </c>
      <c r="G24" s="278">
        <f>COUNTIFS(EXPEDIENTES!$AJ:$AJ,"SIN",EXPEDIENTES!$AM:$AM,"RESUELTA",EXPEDIENTES!$F:$F,C24)</f>
        <v>0</v>
      </c>
      <c r="H24" s="278">
        <f>COUNTIFS(EXPEDIENTES!$AJ:$AJ,"SIN",EXPEDIENTES!$R:$R,"DEVUELTA AL JUZGADO DE ORIGEN",EXPEDIENTES!$F:$F,C24)</f>
        <v>0</v>
      </c>
      <c r="I24" s="278">
        <f>COUNTIFS(EXPEDIENTES!$AJ:$AJ,"SIN",EXPEDIENTES!$R:$R,"DEVUELTA POR PRESCRIPCION",EXPEDIENTES!$F:$F,C24)</f>
        <v>0</v>
      </c>
      <c r="J24" s="278">
        <f>COUNTIFS(EXPEDIENTES!$AJ:$AJ,"SIN",EXPEDIENTES!$R:$R,"DEVUELTA CON REBELDIA",EXPEDIENTES!$F:$F,C24)</f>
        <v>0</v>
      </c>
      <c r="K24" s="278">
        <f t="shared" si="3"/>
        <v>3</v>
      </c>
      <c r="L24" s="278">
        <f t="shared" si="4"/>
        <v>76</v>
      </c>
    </row>
    <row r="25" spans="2:12" ht="21" thickBot="1">
      <c r="B25" s="257" t="s">
        <v>2403</v>
      </c>
      <c r="C25" s="258">
        <v>6</v>
      </c>
      <c r="D25" s="258"/>
      <c r="E25" s="434">
        <f>COUNTIFS(EXPEDIENTES!$F:$F,C25,EXPEDIENTES!$AJ:$AJ,"SIN")</f>
        <v>161</v>
      </c>
      <c r="F25" s="260">
        <f>COUNTIFS(EXPEDIENTES!$AJ:$AJ,"SIN",EXPEDIENTES!$AM:$AM,"ELEVADA",EXPEDIENTES!$F:$F,C25)</f>
        <v>9</v>
      </c>
      <c r="G25" s="302">
        <f>COUNTIFS(EXPEDIENTES!$AJ:$AJ,"SIN",EXPEDIENTES!$AM:$AM,"RESUELTA",EXPEDIENTES!$F:$F,C25)</f>
        <v>0</v>
      </c>
      <c r="H25" s="302">
        <f>COUNTIFS(EXPEDIENTES!$AJ:$AJ,"SIN",EXPEDIENTES!$R:$R,"DEVUELTA AL JUZGADO DE ORIGEN",EXPEDIENTES!$F:$F,C25)</f>
        <v>6</v>
      </c>
      <c r="I25" s="302">
        <f>COUNTIFS(EXPEDIENTES!$AJ:$AJ,"SIN",EXPEDIENTES!$R:$R,"DEVUELTA POR PRESCRIPCION",EXPEDIENTES!$F:$F,C25)</f>
        <v>0</v>
      </c>
      <c r="J25" s="302">
        <f>COUNTIFS(EXPEDIENTES!$AJ:$AJ,"SIN",EXPEDIENTES!$R:$R,"DEVUELTA CON REBELDIA",EXPEDIENTES!$F:$F,C25)</f>
        <v>0</v>
      </c>
      <c r="K25" s="302">
        <f t="shared" si="3"/>
        <v>15</v>
      </c>
      <c r="L25" s="279">
        <f t="shared" si="4"/>
        <v>146</v>
      </c>
    </row>
    <row r="26" spans="2:12" ht="21" thickBot="1">
      <c r="B26" s="254" t="s">
        <v>2403</v>
      </c>
      <c r="C26" s="188">
        <v>7</v>
      </c>
      <c r="D26" s="188"/>
      <c r="E26" s="255">
        <f>COUNTIFS(EXPEDIENTES!$F:$F,C26,EXPEDIENTES!$AJ:$AJ,"SIN")</f>
        <v>85</v>
      </c>
      <c r="F26" s="256">
        <f>COUNTIFS(EXPEDIENTES!$AJ:$AJ,"SIN",EXPEDIENTES!$AM:$AM,"ELEVADA",EXPEDIENTES!$F:$F,C26)</f>
        <v>5</v>
      </c>
      <c r="G26" s="278">
        <f>COUNTIFS(EXPEDIENTES!$AJ:$AJ,"SIN",EXPEDIENTES!$AM:$AM,"RESUELTA",EXPEDIENTES!$F:$F,C26)</f>
        <v>0</v>
      </c>
      <c r="H26" s="278">
        <f>COUNTIFS(EXPEDIENTES!$AJ:$AJ,"SIN",EXPEDIENTES!$R:$R,"DEVUELTA AL JUZGADO DE ORIGEN",EXPEDIENTES!$F:$F,C26)</f>
        <v>2</v>
      </c>
      <c r="I26" s="278">
        <f>COUNTIFS(EXPEDIENTES!$AJ:$AJ,"SIN",EXPEDIENTES!$R:$R,"DEVUELTA POR PRESCRIPCION",EXPEDIENTES!$F:$F,C26)</f>
        <v>0</v>
      </c>
      <c r="J26" s="278">
        <f>COUNTIFS(EXPEDIENTES!$AJ:$AJ,"SIN",EXPEDIENTES!$R:$R,"DEVUELTA CON REBELDIA",EXPEDIENTES!$F:$F,C26)</f>
        <v>0</v>
      </c>
      <c r="K26" s="278">
        <f t="shared" si="3"/>
        <v>7</v>
      </c>
      <c r="L26" s="278">
        <f t="shared" si="4"/>
        <v>78</v>
      </c>
    </row>
    <row r="27" spans="2:12" ht="21" thickBot="1">
      <c r="B27" s="257" t="s">
        <v>2403</v>
      </c>
      <c r="C27" s="258">
        <v>8</v>
      </c>
      <c r="D27" s="258"/>
      <c r="E27" s="434">
        <f>COUNTIFS(EXPEDIENTES!$F:$F,C27,EXPEDIENTES!$AJ:$AJ,"SIN")</f>
        <v>5</v>
      </c>
      <c r="F27" s="260">
        <f>COUNTIFS(EXPEDIENTES!$AJ:$AJ,"SIN",EXPEDIENTES!$AM:$AM,"ELEVADA",EXPEDIENTES!$F:$F,C27)</f>
        <v>0</v>
      </c>
      <c r="G27" s="302">
        <f>COUNTIFS(EXPEDIENTES!$AJ:$AJ,"SIN",EXPEDIENTES!$AM:$AM,"RESUELTA",EXPEDIENTES!$F:$F,C27)</f>
        <v>0</v>
      </c>
      <c r="H27" s="302">
        <f>COUNTIFS(EXPEDIENTES!$AJ:$AJ,"SIN",EXPEDIENTES!$R:$R,"DEVUELTA AL JUZGADO DE ORIGEN",EXPEDIENTES!$F:$F,C27)</f>
        <v>1</v>
      </c>
      <c r="I27" s="302">
        <f>COUNTIFS(EXPEDIENTES!$AJ:$AJ,"SIN",EXPEDIENTES!$R:$R,"DEVUELTA POR PRESCRIPCION",EXPEDIENTES!$F:$F,C27)</f>
        <v>0</v>
      </c>
      <c r="J27" s="302">
        <f>COUNTIFS(EXPEDIENTES!$AJ:$AJ,"SIN",EXPEDIENTES!$R:$R,"DEVUELTA CON REBELDIA",EXPEDIENTES!$F:$F,C27)</f>
        <v>0</v>
      </c>
      <c r="K27" s="302">
        <f t="shared" si="3"/>
        <v>1</v>
      </c>
      <c r="L27" s="279">
        <f t="shared" si="4"/>
        <v>4</v>
      </c>
    </row>
    <row r="28" spans="2:12" ht="20.25">
      <c r="B28" s="477" t="s">
        <v>2038</v>
      </c>
      <c r="C28" s="478"/>
      <c r="D28" s="479"/>
      <c r="E28" s="261">
        <f t="shared" ref="E28:F28" si="5">SUM(E20:E27)</f>
        <v>780</v>
      </c>
      <c r="F28" s="262">
        <f t="shared" si="5"/>
        <v>55</v>
      </c>
      <c r="G28" s="512">
        <f t="shared" ref="G28:L28" si="6">SUM(G20:G27)</f>
        <v>4</v>
      </c>
      <c r="H28" s="513">
        <f t="shared" si="6"/>
        <v>14</v>
      </c>
      <c r="I28" s="513">
        <f t="shared" si="6"/>
        <v>7</v>
      </c>
      <c r="J28" s="513">
        <f t="shared" si="6"/>
        <v>3</v>
      </c>
      <c r="K28" s="513">
        <f t="shared" si="6"/>
        <v>83</v>
      </c>
      <c r="L28" s="513">
        <f t="shared" si="6"/>
        <v>697</v>
      </c>
    </row>
    <row r="29" spans="2:12" ht="13.5" thickBot="1">
      <c r="L29" s="5"/>
    </row>
    <row r="30" spans="2:12" ht="21.75" thickBot="1">
      <c r="B30" s="468" t="s">
        <v>3197</v>
      </c>
      <c r="C30" s="469"/>
      <c r="D30" s="469"/>
      <c r="E30" s="391">
        <f>E14+E28</f>
        <v>1003</v>
      </c>
      <c r="F30" s="391">
        <f t="shared" ref="F30:L30" si="7">F14+F28</f>
        <v>194</v>
      </c>
      <c r="G30" s="391">
        <f t="shared" si="7"/>
        <v>42</v>
      </c>
      <c r="H30" s="391">
        <f t="shared" si="7"/>
        <v>18</v>
      </c>
      <c r="I30" s="391">
        <f t="shared" si="7"/>
        <v>7</v>
      </c>
      <c r="J30" s="391">
        <f t="shared" si="7"/>
        <v>3</v>
      </c>
      <c r="K30" s="391">
        <f t="shared" si="7"/>
        <v>264</v>
      </c>
      <c r="L30" s="391">
        <f t="shared" si="7"/>
        <v>739</v>
      </c>
    </row>
    <row r="38" spans="2:16" ht="21">
      <c r="B38" s="481" t="s">
        <v>3322</v>
      </c>
      <c r="C38" s="482"/>
      <c r="D38" s="482"/>
      <c r="E38" s="482"/>
      <c r="F38" s="482"/>
      <c r="G38" s="483"/>
      <c r="H38" s="450">
        <f>$E$14</f>
        <v>223</v>
      </c>
      <c r="J38" s="481" t="s">
        <v>3328</v>
      </c>
      <c r="K38" s="482"/>
      <c r="L38" s="482"/>
      <c r="M38" s="482"/>
      <c r="N38" s="482"/>
      <c r="O38" s="483"/>
      <c r="P38" s="450">
        <f>$E$28</f>
        <v>780</v>
      </c>
    </row>
    <row r="39" spans="2:16" ht="21">
      <c r="B39" s="467"/>
      <c r="C39" s="467"/>
      <c r="D39" s="467"/>
      <c r="E39" s="467"/>
      <c r="F39" s="467"/>
      <c r="G39" s="467"/>
      <c r="H39" s="449"/>
      <c r="J39" s="467"/>
      <c r="K39" s="467"/>
      <c r="L39" s="467"/>
      <c r="M39" s="467"/>
      <c r="N39" s="467"/>
      <c r="O39" s="467"/>
      <c r="P39" s="449"/>
    </row>
    <row r="40" spans="2:16" ht="21">
      <c r="B40" s="467" t="s">
        <v>3326</v>
      </c>
      <c r="C40" s="467"/>
      <c r="D40" s="467"/>
      <c r="E40" s="467"/>
      <c r="F40" s="467"/>
      <c r="G40" s="467"/>
      <c r="H40" s="451">
        <f>COUNTIFS(EXPEDIENTES!$AJ:$AJ,"PRESO",EXPEDIENTES!$AM:$AM,"ELEVADA")</f>
        <v>139</v>
      </c>
      <c r="J40" s="467" t="s">
        <v>3326</v>
      </c>
      <c r="K40" s="467"/>
      <c r="L40" s="467"/>
      <c r="M40" s="467"/>
      <c r="N40" s="467"/>
      <c r="O40" s="467"/>
      <c r="P40" s="451">
        <f>COUNTIFS(EXPEDIENTES!$AJ:$AJ,"SIN",EXPEDIENTES!$AM:$AM,"ELEVADA")</f>
        <v>55</v>
      </c>
    </row>
    <row r="41" spans="2:16" ht="21">
      <c r="B41" s="467" t="s">
        <v>3323</v>
      </c>
      <c r="C41" s="467"/>
      <c r="D41" s="467"/>
      <c r="E41" s="467"/>
      <c r="F41" s="467"/>
      <c r="G41" s="467"/>
      <c r="H41" s="451">
        <f>COUNTIFS(EXPEDIENTES!$AJ:$AJ,"PRESO",EXPEDIENTES!$R:$R,"RESUELTA EN ETAPA DE PREVENTIVA")</f>
        <v>32</v>
      </c>
      <c r="J41" s="467" t="s">
        <v>3323</v>
      </c>
      <c r="K41" s="467"/>
      <c r="L41" s="467"/>
      <c r="M41" s="467"/>
      <c r="N41" s="467"/>
      <c r="O41" s="467"/>
      <c r="P41" s="451">
        <f>COUNTIFS(EXPEDIENTES!$AJ:$AJ,"SIN",EXPEDIENTES!$R:$R,"RESUELTA EN ETAPA DE PREVENTIVA")</f>
        <v>2</v>
      </c>
    </row>
    <row r="42" spans="2:16" ht="21">
      <c r="B42" s="467" t="s">
        <v>3324</v>
      </c>
      <c r="C42" s="467"/>
      <c r="D42" s="467"/>
      <c r="E42" s="467"/>
      <c r="F42" s="467"/>
      <c r="G42" s="467"/>
      <c r="H42" s="451">
        <f>COUNTIFS(EXPEDIENTES!$AJ:$AJ,"PRESO",EXPEDIENTES!$R:$R,"Juicio Abreviado")+COUNTIFS(EXPEDIENTES!$AJ:$AJ,"PRESO",EXPEDIENTES!$R:$R,"Conciliación")</f>
        <v>6</v>
      </c>
      <c r="J42" s="467" t="s">
        <v>3324</v>
      </c>
      <c r="K42" s="467"/>
      <c r="L42" s="467"/>
      <c r="M42" s="467"/>
      <c r="N42" s="467"/>
      <c r="O42" s="467"/>
      <c r="P42" s="451">
        <f>COUNTIFS(EXPEDIENTES!$AJ:$AJ,"SIN",EXPEDIENTES!$R:$R,"Juicio Abreviado")+COUNTIFS(EXPEDIENTES!$AJ:$AJ,"SIN",EXPEDIENTES!$R:$R,"Conciliación")+COUNTIFS(EXPEDIENTES!$AJ:$AJ,"SIN",EXPEDIENTES!$R:$R,"SOBRESEIMIENTO EN ACUSACION")</f>
        <v>2</v>
      </c>
    </row>
    <row r="43" spans="2:16" ht="21">
      <c r="B43" s="467" t="s">
        <v>2399</v>
      </c>
      <c r="C43" s="467"/>
      <c r="D43" s="467"/>
      <c r="E43" s="467"/>
      <c r="F43" s="467"/>
      <c r="G43" s="467"/>
      <c r="H43" s="451">
        <f>COUNTIFS(EXPEDIENTES!$AJ:$AJ,"PRESO",EXPEDIENTES!$AM:$AM,"NO LLEGO")</f>
        <v>1</v>
      </c>
      <c r="J43" s="467" t="s">
        <v>2399</v>
      </c>
      <c r="K43" s="467"/>
      <c r="L43" s="467"/>
      <c r="M43" s="467"/>
      <c r="N43" s="467"/>
      <c r="O43" s="467"/>
      <c r="P43" s="451">
        <f>COUNTIFS(EXPEDIENTES!$AJ:$AJ,"SIN",EXPEDIENTES!$AM:$AM,"NO LLEGO")</f>
        <v>38</v>
      </c>
    </row>
    <row r="44" spans="2:16" ht="21">
      <c r="B44" s="484" t="s">
        <v>1858</v>
      </c>
      <c r="C44" s="485"/>
      <c r="D44" s="485"/>
      <c r="E44" s="485"/>
      <c r="F44" s="485"/>
      <c r="G44" s="486"/>
      <c r="H44" s="451">
        <f>COUNTIFS(EXPEDIENTES!$AJ:$AJ,"PRESO",EXPEDIENTES!$AM:$AM,"TRAMITE")</f>
        <v>41</v>
      </c>
      <c r="J44" s="484" t="s">
        <v>1858</v>
      </c>
      <c r="K44" s="485"/>
      <c r="L44" s="485"/>
      <c r="M44" s="485"/>
      <c r="N44" s="485"/>
      <c r="O44" s="486"/>
      <c r="P44" s="451">
        <f>COUNTIFS(EXPEDIENTES!$AJ:$AJ,"SIN",EXPEDIENTES!$AM:$AM,"TRAMITE")</f>
        <v>657</v>
      </c>
    </row>
    <row r="45" spans="2:16" ht="21">
      <c r="B45" s="484" t="s">
        <v>3304</v>
      </c>
      <c r="C45" s="485"/>
      <c r="D45" s="485"/>
      <c r="E45" s="485"/>
      <c r="F45" s="485"/>
      <c r="G45" s="486"/>
      <c r="H45" s="451">
        <f>COUNTIFS(EXPEDIENTES!$AJ:$AJ,"PRESO",EXPEDIENTES!$AM:$AM,"DEVUELTA")</f>
        <v>4</v>
      </c>
      <c r="J45" s="484" t="s">
        <v>3304</v>
      </c>
      <c r="K45" s="485"/>
      <c r="L45" s="485"/>
      <c r="M45" s="485"/>
      <c r="N45" s="485"/>
      <c r="O45" s="486"/>
      <c r="P45" s="451">
        <f>COUNTIFS(EXPEDIENTES!$AJ:$AJ,"SIN",EXPEDIENTES!$AM:$AM,"DEVUELTA")</f>
        <v>24</v>
      </c>
    </row>
    <row r="46" spans="2:16" ht="21">
      <c r="B46" s="484" t="s">
        <v>3327</v>
      </c>
      <c r="C46" s="485"/>
      <c r="D46" s="485"/>
      <c r="E46" s="485"/>
      <c r="F46" s="485"/>
      <c r="G46" s="486"/>
      <c r="H46" s="451">
        <f>COUNTIFS(EXPEDIENTES!$AJ:$AJ,"PRESO",EXPEDIENTES!$AM:$AM,"PROYECTO")</f>
        <v>0</v>
      </c>
      <c r="J46" s="484" t="s">
        <v>3327</v>
      </c>
      <c r="K46" s="485"/>
      <c r="L46" s="485"/>
      <c r="M46" s="485"/>
      <c r="N46" s="485"/>
      <c r="O46" s="486"/>
      <c r="P46" s="451">
        <f>COUNTIFS(EXPEDIENTES!$AJ:$AJ,"SIN",EXPEDIENTES!$AM:$AM,"PROYECTO")</f>
        <v>2</v>
      </c>
    </row>
    <row r="47" spans="2:16" ht="21">
      <c r="B47" s="484" t="s">
        <v>29</v>
      </c>
      <c r="C47" s="485"/>
      <c r="D47" s="485"/>
      <c r="E47" s="485"/>
      <c r="F47" s="485"/>
      <c r="G47" s="486"/>
      <c r="H47" s="452">
        <f>SUM(H40:H46)</f>
        <v>223</v>
      </c>
      <c r="J47" s="484" t="s">
        <v>29</v>
      </c>
      <c r="K47" s="485"/>
      <c r="L47" s="485"/>
      <c r="M47" s="485"/>
      <c r="N47" s="485"/>
      <c r="O47" s="486"/>
      <c r="P47" s="452">
        <f>SUM(P40:P46)</f>
        <v>780</v>
      </c>
    </row>
  </sheetData>
  <mergeCells count="29">
    <mergeCell ref="B44:G44"/>
    <mergeCell ref="B45:G45"/>
    <mergeCell ref="B46:G46"/>
    <mergeCell ref="B47:G47"/>
    <mergeCell ref="J44:O44"/>
    <mergeCell ref="J45:O45"/>
    <mergeCell ref="J46:O46"/>
    <mergeCell ref="J47:O47"/>
    <mergeCell ref="J40:O40"/>
    <mergeCell ref="J41:O41"/>
    <mergeCell ref="J42:O42"/>
    <mergeCell ref="J43:O43"/>
    <mergeCell ref="H4:J4"/>
    <mergeCell ref="J38:O38"/>
    <mergeCell ref="B3:L3"/>
    <mergeCell ref="H18:J18"/>
    <mergeCell ref="B39:G39"/>
    <mergeCell ref="B5:D5"/>
    <mergeCell ref="B14:D14"/>
    <mergeCell ref="B17:L17"/>
    <mergeCell ref="B19:D19"/>
    <mergeCell ref="B28:D28"/>
    <mergeCell ref="J39:O39"/>
    <mergeCell ref="B38:G38"/>
    <mergeCell ref="B40:G40"/>
    <mergeCell ref="B41:G41"/>
    <mergeCell ref="B42:G42"/>
    <mergeCell ref="B43:G43"/>
    <mergeCell ref="B30:D30"/>
  </mergeCells>
  <pageMargins left="0.70866141732283472" right="0.70866141732283472" top="0.74803149606299213" bottom="0.74803149606299213" header="0.31496062992125984" footer="0.31496062992125984"/>
  <pageSetup paperSize="5" scale="70" orientation="landscape" horizontalDpi="4294967294" verticalDpi="4294967294" r:id="rId1"/>
  <drawing r:id="rId2"/>
</worksheet>
</file>

<file path=xl/worksheets/sheet5.xml><?xml version="1.0" encoding="utf-8"?>
<worksheet xmlns="http://schemas.openxmlformats.org/spreadsheetml/2006/main" xmlns:r="http://schemas.openxmlformats.org/officeDocument/2006/relationships">
  <sheetPr codeName="Hoja6"/>
  <dimension ref="A1:AB40"/>
  <sheetViews>
    <sheetView topLeftCell="B1" zoomScale="85" zoomScaleNormal="85" workbookViewId="0">
      <selection activeCell="C5" sqref="C5"/>
    </sheetView>
  </sheetViews>
  <sheetFormatPr baseColWidth="10" defaultRowHeight="12.75"/>
  <cols>
    <col min="1" max="1" width="6.140625" customWidth="1"/>
    <col min="2" max="2" width="80.28515625" customWidth="1"/>
    <col min="3" max="3" width="20" bestFit="1" customWidth="1"/>
    <col min="4" max="5" width="4.42578125" customWidth="1"/>
    <col min="6" max="6" width="8.7109375" customWidth="1"/>
    <col min="7" max="7" width="4" customWidth="1"/>
    <col min="8" max="8" width="17.42578125" bestFit="1" customWidth="1"/>
    <col min="9" max="9" width="13.7109375" customWidth="1"/>
    <col min="10" max="10" width="11.85546875" customWidth="1"/>
    <col min="11" max="13" width="19.140625" customWidth="1"/>
  </cols>
  <sheetData>
    <row r="1" spans="1:15" ht="34.5" customHeight="1" thickTop="1" thickBot="1">
      <c r="A1" s="183"/>
      <c r="B1" s="184"/>
      <c r="C1" s="184"/>
      <c r="D1" s="185"/>
      <c r="F1" s="487" t="s">
        <v>2407</v>
      </c>
      <c r="G1" s="487"/>
      <c r="H1" s="487"/>
      <c r="I1" s="487"/>
      <c r="J1" s="487"/>
      <c r="K1" s="487"/>
      <c r="L1" s="487"/>
      <c r="M1" s="487"/>
      <c r="N1" s="487"/>
    </row>
    <row r="2" spans="1:15" ht="30" customHeight="1" thickBot="1">
      <c r="A2" s="186"/>
      <c r="B2" s="492" t="s">
        <v>2035</v>
      </c>
      <c r="C2" s="492"/>
      <c r="D2" s="187"/>
      <c r="E2" s="181"/>
      <c r="F2" s="494" t="s">
        <v>2406</v>
      </c>
      <c r="G2" s="494"/>
      <c r="H2" s="494"/>
      <c r="I2" s="252" t="s">
        <v>2404</v>
      </c>
      <c r="J2" s="253" t="s">
        <v>2405</v>
      </c>
      <c r="K2" s="387" t="s">
        <v>2576</v>
      </c>
      <c r="L2" s="388" t="s">
        <v>3193</v>
      </c>
      <c r="M2" s="388" t="s">
        <v>3196</v>
      </c>
      <c r="N2" s="387" t="s">
        <v>3194</v>
      </c>
    </row>
    <row r="3" spans="1:15" ht="21" thickBot="1">
      <c r="A3" s="186"/>
      <c r="B3" s="188"/>
      <c r="C3" s="188"/>
      <c r="D3" s="189"/>
      <c r="E3" s="180"/>
      <c r="F3" s="254" t="s">
        <v>2403</v>
      </c>
      <c r="G3" s="188">
        <v>1</v>
      </c>
      <c r="H3" s="188"/>
      <c r="I3" s="255">
        <f>COUNTIFS(EXPEDIENTES!$F:$F,G3,EXPEDIENTES!$AJ:$AJ,"PRESO")</f>
        <v>41</v>
      </c>
      <c r="J3" s="256">
        <f>COUNTIFS(EXPEDIENTES!$AJ:$AJ,"PRESO",EXPEDIENTES!$Q:$Q,"ELEVADA A JUICIO",EXPEDIENTES!$F:$F,"1")</f>
        <v>28</v>
      </c>
      <c r="K3" s="278">
        <f>COUNTIFS(EXPEDIENTES!AJ:AJ,"PRESO",EXPEDIENTES!R:R,"RESUELTA EN ETAPA DE PREVENTIVA",EXPEDIENTES!F:F,"1")+COUNTIFS(EXPEDIENTES!AJ:AJ,"PRESO",EXPEDIENTES!R:R,"Juicio Abreviado",EXPEDIENTES!F:F,"1")+COUNTIFS(EXPEDIENTES!AJ:AJ,"PRESO",EXPEDIENTES!R:R,"Conciliación",EXPEDIENTES!F:F,"1")</f>
        <v>8</v>
      </c>
      <c r="L3" s="278">
        <f>COUNTIFS(EXPEDIENTES!AJ:AJ,"PRESO",EXPEDIENTES!Q:Q,"DEVUELTA AL JUZGADO DE ORIGEN",EXPEDIENTES!F:F,G3)</f>
        <v>0</v>
      </c>
      <c r="M3" s="383">
        <f>SUM(J3:L3)</f>
        <v>36</v>
      </c>
      <c r="N3" s="381">
        <f>I3-M3</f>
        <v>5</v>
      </c>
    </row>
    <row r="4" spans="1:15" ht="21.75" thickBot="1">
      <c r="A4" s="186"/>
      <c r="B4" s="491" t="s">
        <v>2036</v>
      </c>
      <c r="C4" s="491"/>
      <c r="D4" s="189"/>
      <c r="E4" s="180"/>
      <c r="F4" s="257" t="s">
        <v>2403</v>
      </c>
      <c r="G4" s="258">
        <v>2</v>
      </c>
      <c r="H4" s="258"/>
      <c r="I4" s="259">
        <f>COUNTIFS(EXPEDIENTES!$F:$F,G4,EXPEDIENTES!$AJ:$AJ,"PRESO")</f>
        <v>20</v>
      </c>
      <c r="J4" s="260">
        <f>COUNTIFS(EXPEDIENTES!$AJ:$AJ,"PRESO",EXPEDIENTES!$Q:$Q,"ELEVADA A JUICIO",EXPEDIENTES!$F:$F,"2")</f>
        <v>12</v>
      </c>
      <c r="K4" s="302">
        <f>COUNTIFS(EXPEDIENTES!AJ:AJ,"PRESO",EXPEDIENTES!R:R,"RESUELTA EN ETAPA DE PREVENTIVA",EXPEDIENTES!F:F,"2")+COUNTIFS(EXPEDIENTES!AJ:AJ,"PRESO",EXPEDIENTES!R:R,"Juicio Abreviado",EXPEDIENTES!F:F,"2")+COUNTIFS(EXPEDIENTES!AJ:AJ,"PRESO",EXPEDIENTES!R:R,"Conciliación",EXPEDIENTES!F:F,"2")</f>
        <v>6</v>
      </c>
      <c r="L4" s="302">
        <f>COUNTIFS(EXPEDIENTES!AJ:AJ,"PRESO",EXPEDIENTES!Q:Q,"DEVUELTA AL JUZGADO DE ORIGEN",EXPEDIENTES!F:F,G4)</f>
        <v>0</v>
      </c>
      <c r="M4" s="279">
        <f t="shared" ref="M4:M10" si="0">SUM(J4:L4)</f>
        <v>18</v>
      </c>
      <c r="N4" s="380">
        <f t="shared" ref="N4:N10" si="1">I4-M4</f>
        <v>2</v>
      </c>
    </row>
    <row r="5" spans="1:15" ht="21" thickBot="1">
      <c r="A5" s="186"/>
      <c r="B5" s="182" t="s">
        <v>2398</v>
      </c>
      <c r="C5" s="182">
        <f ca="1">COUNTIFS(EXPEDIENTES!AJ:AJ,"PRESO",EXPEDIENTES!P:P,"AMARILLO")</f>
        <v>40</v>
      </c>
      <c r="D5" s="189"/>
      <c r="F5" s="254" t="s">
        <v>2403</v>
      </c>
      <c r="G5" s="188">
        <v>3</v>
      </c>
      <c r="H5" s="188"/>
      <c r="I5" s="255">
        <f>COUNTIFS(EXPEDIENTES!$F:$F,G5,EXPEDIENTES!$AJ:$AJ,"PRESO")</f>
        <v>37</v>
      </c>
      <c r="J5" s="256">
        <f>COUNTIFS(EXPEDIENTES!$AJ:$AJ,"PRESO",EXPEDIENTES!$Q:$Q,"ELEVADA A JUICIO",EXPEDIENTES!$F:$F,"3")</f>
        <v>19</v>
      </c>
      <c r="K5" s="278">
        <f>COUNTIFS(EXPEDIENTES!AJ:AJ,"PRESO",EXPEDIENTES!R:R,"RESUELTA EN ETAPA DE PREVENTIVA",EXPEDIENTES!F:F,"3")+COUNTIFS(EXPEDIENTES!AJ:AJ,"PRESO",EXPEDIENTES!R:R,"Juicio Abreviado",EXPEDIENTES!F:F,"3")+COUNTIFS(EXPEDIENTES!AJ:AJ,"PRESO",EXPEDIENTES!R:R,"Conciliación",EXPEDIENTES!F:F,"3")</f>
        <v>8</v>
      </c>
      <c r="L5" s="278">
        <f>COUNTIFS(EXPEDIENTES!AJ:AJ,"PRESO",EXPEDIENTES!Q:Q,"DEVUELTA AL JUZGADO DE ORIGEN",EXPEDIENTES!F:F,G5)</f>
        <v>0</v>
      </c>
      <c r="M5" s="383">
        <f t="shared" si="0"/>
        <v>27</v>
      </c>
      <c r="N5" s="381">
        <f t="shared" si="1"/>
        <v>10</v>
      </c>
    </row>
    <row r="6" spans="1:15" ht="21" thickBot="1">
      <c r="A6" s="186"/>
      <c r="B6" s="182" t="s">
        <v>2401</v>
      </c>
      <c r="C6" s="182">
        <f>COUNTIFS(EXPEDIENTES!AJ:AJ,"PRESO",EXPEDIENTES!Q:Q,"ELEVADA A JUICIO")</f>
        <v>139</v>
      </c>
      <c r="D6" s="189"/>
      <c r="E6" s="180"/>
      <c r="F6" s="257" t="s">
        <v>2403</v>
      </c>
      <c r="G6" s="258">
        <v>4</v>
      </c>
      <c r="H6" s="258"/>
      <c r="I6" s="259">
        <f>COUNTIFS(EXPEDIENTES!$F:$F,G6,EXPEDIENTES!$AJ:$AJ,"PRESO")</f>
        <v>32</v>
      </c>
      <c r="J6" s="260">
        <f>COUNTIFS(EXPEDIENTES!$AJ:$AJ,"PRESO",EXPEDIENTES!$Q:$Q,"ELEVADA A JUICIO",EXPEDIENTES!$F:$F,"4")</f>
        <v>20</v>
      </c>
      <c r="K6" s="302">
        <f>COUNTIFS(EXPEDIENTES!AJ:AJ,"PRESO",EXPEDIENTES!R:R,"RESUELTA EN ETAPA DE PREVENTIVA",EXPEDIENTES!F:F,"4")+COUNTIFS(EXPEDIENTES!AJ:AJ,"PRESO",EXPEDIENTES!R:R,"Juicio Abreviado",EXPEDIENTES!F:F,"4")+COUNTIFS(EXPEDIENTES!AJ:AJ,"PRESO",EXPEDIENTES!R:R,"Conciliación",EXPEDIENTES!F:F,"4")</f>
        <v>5</v>
      </c>
      <c r="L6" s="302">
        <f>COUNTIFS(EXPEDIENTES!AJ:AJ,"PRESO",EXPEDIENTES!Q:Q,"DEVUELTA AL JUZGADO DE ORIGEN",EXPEDIENTES!F:F,G6)</f>
        <v>0</v>
      </c>
      <c r="M6" s="279">
        <f t="shared" si="0"/>
        <v>25</v>
      </c>
      <c r="N6" s="380">
        <f t="shared" si="1"/>
        <v>7</v>
      </c>
    </row>
    <row r="7" spans="1:15" ht="21" thickBot="1">
      <c r="A7" s="186"/>
      <c r="B7" s="220" t="s">
        <v>2442</v>
      </c>
      <c r="C7" s="182">
        <f>COUNTIFS(EXPEDIENTES!AJ:AJ,"PRESO",EXPEDIENTES!R:R,"RESUELTA EN ETAPA DE PREVENTIVA")</f>
        <v>32</v>
      </c>
      <c r="D7" s="189"/>
      <c r="E7" s="180"/>
      <c r="F7" s="254" t="s">
        <v>2403</v>
      </c>
      <c r="G7" s="188">
        <v>5</v>
      </c>
      <c r="H7" s="188"/>
      <c r="I7" s="255">
        <f>COUNTIFS(EXPEDIENTES!$F:$F,G7,EXPEDIENTES!$AJ:$AJ,"PRESO")</f>
        <v>27</v>
      </c>
      <c r="J7" s="256">
        <f>COUNTIFS(EXPEDIENTES!$AJ:$AJ,"PRESO",EXPEDIENTES!$Q:$Q,"ELEVADA A JUICIO",EXPEDIENTES!$F:$F,"5")</f>
        <v>17</v>
      </c>
      <c r="K7" s="278">
        <f>COUNTIFS(EXPEDIENTES!AJ:AJ,"PRESO",EXPEDIENTES!R:R,"RESUELTA EN ETAPA DE PREVENTIVA",EXPEDIENTES!F:F,"5")+COUNTIFS(EXPEDIENTES!AJ:AJ,"PRESO",EXPEDIENTES!R:R,"Juicio Abreviado",EXPEDIENTES!F:F,"5")+COUNTIFS(EXPEDIENTES!AJ:AJ,"PRESO",EXPEDIENTES!R:R,"Conciliación",EXPEDIENTES!F:F,"5")</f>
        <v>3</v>
      </c>
      <c r="L7" s="278">
        <f>COUNTIFS(EXPEDIENTES!AJ:AJ,"PRESO",EXPEDIENTES!Q:Q,"DEVUELTA AL JUZGADO DE ORIGEN",EXPEDIENTES!F:F,G7)</f>
        <v>2</v>
      </c>
      <c r="M7" s="383">
        <f t="shared" si="0"/>
        <v>22</v>
      </c>
      <c r="N7" s="381">
        <f t="shared" si="1"/>
        <v>5</v>
      </c>
    </row>
    <row r="8" spans="1:15" ht="21" thickBot="1">
      <c r="A8" s="186"/>
      <c r="B8" s="220" t="s">
        <v>2443</v>
      </c>
      <c r="C8" s="182">
        <f>COUNTIFS(EXPEDIENTES!AJ:AJ,"PRESO",EXPEDIENTES!R:R,"Juicio Abreviado")+COUNTIFS(EXPEDIENTES!AJ:AJ,"PRESO",EXPEDIENTES!R:R,"Conciliación")</f>
        <v>6</v>
      </c>
      <c r="D8" s="189"/>
      <c r="E8" s="180"/>
      <c r="F8" s="257" t="s">
        <v>2403</v>
      </c>
      <c r="G8" s="258">
        <v>6</v>
      </c>
      <c r="H8" s="258"/>
      <c r="I8" s="259">
        <f>COUNTIFS(EXPEDIENTES!$F:$F,G8,EXPEDIENTES!$AJ:$AJ,"PRESO")</f>
        <v>27</v>
      </c>
      <c r="J8" s="260">
        <f>COUNTIFS(EXPEDIENTES!$AJ:$AJ,"PRESO",EXPEDIENTES!$Q:$Q,"ELEVADA A JUICIO",EXPEDIENTES!$F:$F,"6")</f>
        <v>17</v>
      </c>
      <c r="K8" s="302">
        <f>COUNTIFS(EXPEDIENTES!AJ:AJ,"PRESO",EXPEDIENTES!R:R,"RESUELTA EN ETAPA DE PREVENTIVA",EXPEDIENTES!F:F,"6")+COUNTIFS(EXPEDIENTES!AJ:AJ,"PRESO",EXPEDIENTES!R:R,"Juicio Abreviado",EXPEDIENTES!F:F,"6")+COUNTIFS(EXPEDIENTES!AJ:AJ,"PRESO",EXPEDIENTES!R:R,"Conciliación",EXPEDIENTES!F:F,"6")</f>
        <v>5</v>
      </c>
      <c r="L8" s="302">
        <f>COUNTIFS(EXPEDIENTES!AJ:AJ,"PRESO",EXPEDIENTES!Q:Q,"DEVUELTA AL JUZGADO DE ORIGEN",EXPEDIENTES!F:F,G8)</f>
        <v>1</v>
      </c>
      <c r="M8" s="279">
        <f t="shared" si="0"/>
        <v>23</v>
      </c>
      <c r="N8" s="380">
        <f t="shared" si="1"/>
        <v>4</v>
      </c>
    </row>
    <row r="9" spans="1:15" ht="21" thickBot="1">
      <c r="A9" s="186"/>
      <c r="B9" s="220" t="s">
        <v>2397</v>
      </c>
      <c r="C9" s="182">
        <f ca="1">COUNTIFS(EXPEDIENTES!AJ:AJ,"PRESO",EXPEDIENTES!P:P,"VERDE")+COUNTIFS(EXPEDIENTES!AJ:AJ,"PRESO",EXPEDIENTES!Q:Q,"DEVUELTA AL JUZGADO DE ORIGEN")</f>
        <v>5</v>
      </c>
      <c r="D9" s="189"/>
      <c r="E9" s="180"/>
      <c r="F9" s="254" t="s">
        <v>2403</v>
      </c>
      <c r="G9" s="188">
        <v>7</v>
      </c>
      <c r="H9" s="188"/>
      <c r="I9" s="255">
        <f>COUNTIFS(EXPEDIENTES!$F:$F,G9,EXPEDIENTES!$AJ:$AJ,"PRESO")</f>
        <v>36</v>
      </c>
      <c r="J9" s="256">
        <f>COUNTIFS(EXPEDIENTES!$AJ:$AJ,"PRESO",EXPEDIENTES!$Q:$Q,"ELEVADA A JUICIO",EXPEDIENTES!$F:$F,"7")</f>
        <v>25</v>
      </c>
      <c r="K9" s="278">
        <f>COUNTIFS(EXPEDIENTES!AJ:AJ,"PRESO",EXPEDIENTES!R:R,"RESUELTA EN ETAPA DE PREVENTIVA",EXPEDIENTES!F:F,"7")+COUNTIFS(EXPEDIENTES!AJ:AJ,"PRESO",EXPEDIENTES!R:R,"Juicio Abreviado",EXPEDIENTES!F:F,"7")+COUNTIFS(EXPEDIENTES!AJ:AJ,"PRESO",EXPEDIENTES!R:R,"Conciliación",EXPEDIENTES!F:F,"7")</f>
        <v>3</v>
      </c>
      <c r="L9" s="278">
        <f>COUNTIFS(EXPEDIENTES!AJ:AJ,"PRESO",EXPEDIENTES!Q:Q,"DEVUELTA AL JUZGADO DE ORIGEN",EXPEDIENTES!F:F,G9)</f>
        <v>0</v>
      </c>
      <c r="M9" s="383">
        <f t="shared" si="0"/>
        <v>28</v>
      </c>
      <c r="N9" s="381">
        <f t="shared" si="1"/>
        <v>8</v>
      </c>
    </row>
    <row r="10" spans="1:15" ht="21" thickBot="1">
      <c r="A10" s="186"/>
      <c r="B10" s="182" t="s">
        <v>29</v>
      </c>
      <c r="C10" s="182">
        <f ca="1">SUM(C5:C9)</f>
        <v>222</v>
      </c>
      <c r="D10" s="189"/>
      <c r="E10" s="180"/>
      <c r="F10" s="257" t="s">
        <v>2403</v>
      </c>
      <c r="G10" s="258">
        <v>8</v>
      </c>
      <c r="H10" s="258"/>
      <c r="I10" s="259">
        <f>COUNTIFS(EXPEDIENTES!$F:$F,G10,EXPEDIENTES!$AJ:$AJ,"PRESO")</f>
        <v>3</v>
      </c>
      <c r="J10" s="260">
        <f>COUNTIFS(EXPEDIENTES!$AJ:$AJ,"PRESO",EXPEDIENTES!$Q:$Q,"ELEVADA A JUICIO",EXPEDIENTES!$F:$F,"8")</f>
        <v>1</v>
      </c>
      <c r="K10" s="384">
        <f>COUNTIFS(EXPEDIENTES!AJ:AJ,"PRESO",EXPEDIENTES!R:R,"RESUELTA EN ETAPA DE PREVENTIVA",EXPEDIENTES!F:F,"8")+COUNTIFS(EXPEDIENTES!AJ:AJ,"PRESO",EXPEDIENTES!R:R,"Juicio Abreviado",EXPEDIENTES!F:F,"8")+COUNTIFS(EXPEDIENTES!AJ:AJ,"PRESO",EXPEDIENTES!R:R,"Conciliación",EXPEDIENTES!F:F,"8")</f>
        <v>0</v>
      </c>
      <c r="L10" s="384">
        <f>COUNTIFS(EXPEDIENTES!AJ:AJ,"PRESO",EXPEDIENTES!Q:Q,"DEVUELTA AL JUZGADO DE ORIGEN",EXPEDIENTES!F:F,G10)</f>
        <v>1</v>
      </c>
      <c r="M10" s="385">
        <f t="shared" si="0"/>
        <v>2</v>
      </c>
      <c r="N10" s="386">
        <f t="shared" si="1"/>
        <v>1</v>
      </c>
      <c r="O10" s="377"/>
    </row>
    <row r="11" spans="1:15" ht="20.25">
      <c r="A11" s="186"/>
      <c r="D11" s="189"/>
      <c r="E11" s="180"/>
      <c r="F11" s="477" t="s">
        <v>2038</v>
      </c>
      <c r="G11" s="478"/>
      <c r="H11" s="479"/>
      <c r="I11" s="261">
        <f t="shared" ref="I11:N11" si="2">SUM(I3:I10)</f>
        <v>223</v>
      </c>
      <c r="J11" s="262">
        <f t="shared" si="2"/>
        <v>139</v>
      </c>
      <c r="K11" s="389">
        <f t="shared" si="2"/>
        <v>38</v>
      </c>
      <c r="L11" s="389">
        <f t="shared" si="2"/>
        <v>4</v>
      </c>
      <c r="M11" s="390">
        <f t="shared" si="2"/>
        <v>181</v>
      </c>
      <c r="N11" s="389">
        <f t="shared" si="2"/>
        <v>42</v>
      </c>
      <c r="O11" s="378"/>
    </row>
    <row r="12" spans="1:15" ht="21">
      <c r="A12" s="186"/>
      <c r="B12" s="221" t="s">
        <v>2037</v>
      </c>
      <c r="C12" s="222"/>
      <c r="D12" s="189"/>
      <c r="E12" s="180"/>
    </row>
    <row r="13" spans="1:15" ht="20.25">
      <c r="A13" s="186"/>
      <c r="B13" s="182" t="s">
        <v>2398</v>
      </c>
      <c r="C13" s="182">
        <f ca="1">COUNTIFS(EXPEDIENTES!AJ:AJ,"SIN",EXPEDIENTES!P:P,"AMARILLO")</f>
        <v>657</v>
      </c>
      <c r="D13" s="189"/>
      <c r="E13" s="180"/>
    </row>
    <row r="14" spans="1:15" ht="21" customHeight="1" thickBot="1">
      <c r="A14" s="186"/>
      <c r="B14" s="182" t="s">
        <v>2399</v>
      </c>
      <c r="C14" s="182">
        <f ca="1">COUNTIFS(EXPEDIENTES!AJ:AJ,"SIN",EXPEDIENTES!P:P,"VERDE")</f>
        <v>39</v>
      </c>
      <c r="D14" s="189"/>
      <c r="E14" s="180"/>
      <c r="F14" s="487" t="s">
        <v>2408</v>
      </c>
      <c r="G14" s="487"/>
      <c r="H14" s="487"/>
      <c r="I14" s="487"/>
      <c r="J14" s="487"/>
      <c r="K14" s="487"/>
      <c r="L14" s="487"/>
      <c r="M14" s="487"/>
      <c r="N14" s="487"/>
    </row>
    <row r="15" spans="1:15" ht="25.5">
      <c r="A15" s="186"/>
      <c r="B15" s="182" t="s">
        <v>2401</v>
      </c>
      <c r="C15" s="182">
        <f>COUNTIFS(EXPEDIENTES!AJ:AJ,"SIN",EXPEDIENTES!Q:Q,"ELEVADA A JUICIO")</f>
        <v>55</v>
      </c>
      <c r="D15" s="189"/>
      <c r="E15" s="180"/>
      <c r="F15" s="493" t="s">
        <v>2406</v>
      </c>
      <c r="G15" s="493"/>
      <c r="H15" s="493"/>
      <c r="I15" s="226" t="s">
        <v>2404</v>
      </c>
      <c r="J15" s="226" t="s">
        <v>2405</v>
      </c>
      <c r="K15" s="275" t="s">
        <v>2576</v>
      </c>
      <c r="L15" s="376" t="s">
        <v>3193</v>
      </c>
      <c r="M15" s="376" t="s">
        <v>3196</v>
      </c>
      <c r="N15" s="276" t="s">
        <v>3194</v>
      </c>
    </row>
    <row r="16" spans="1:15" ht="21" thickBot="1">
      <c r="A16" s="186"/>
      <c r="B16" s="182" t="s">
        <v>2402</v>
      </c>
      <c r="C16" s="182">
        <f>COUNTIFS(EXPEDIENTES!AJ:AJ,"SIN",EXPEDIENTES!R:R,"Juicio abreviado")+COUNTIFS(EXPEDIENTES!AJ:AJ,"SIN",EXPEDIENTES!R:R,"Suspensión de juicio a prueba")+COUNTIFS(EXPEDIENTES!AJ:AJ,"SIN",EXPEDIENTES!R:R,"Sobreseimiento")</f>
        <v>1</v>
      </c>
      <c r="D16" s="190"/>
      <c r="F16" s="254" t="s">
        <v>2403</v>
      </c>
      <c r="G16" s="188">
        <v>1</v>
      </c>
      <c r="H16" s="188"/>
      <c r="I16" s="255">
        <f>COUNTIFS(EXPEDIENTES!$F:$F,G16,EXPEDIENTES!$AJ:$AJ,"SIN")</f>
        <v>23</v>
      </c>
      <c r="J16" s="256">
        <f>COUNTIFS(EXPEDIENTES!$AJ:$AJ,"SIN",EXPEDIENTES!$Q:$Q,"ELEVADA A JUICIO",EXPEDIENTES!$F:$F,"1")</f>
        <v>4</v>
      </c>
      <c r="K16" s="277">
        <f>COUNTIFS(EXPEDIENTES!AJ:AJ,"SIN",EXPEDIENTES!R:R,"RESUELTA EN ETAPA DE PREVENTIVA",EXPEDIENTES!F:F,G16)+COUNTIFS(EXPEDIENTES!AJ:AJ,"SIN",EXPEDIENTES!R:R,"Juicio Abreviado",EXPEDIENTES!F:F,G16)+COUNTIFS(EXPEDIENTES!AJ:AJ,"SIN",EXPEDIENTES!R:R,"Conciliación",EXPEDIENTES!F:F,G16)+COUNTIFS(EXPEDIENTES!AJ:AJ,"SIN",EXPEDIENTES!R:R,"Juicio abreviado",EXPEDIENTES!F:F,G16)+COUNTIFS(EXPEDIENTES!AJ:AJ,"SIN",EXPEDIENTES!R:R,"Suspensión de juicio a prueba",EXPEDIENTES!F:F,G16)+COUNTIFS(EXPEDIENTES!AJ:AJ,"SIN",EXPEDIENTES!R:R,"Sobreseimiento",EXPEDIENTES!F:F,G16)</f>
        <v>0</v>
      </c>
      <c r="L16" s="277">
        <f>COUNTIFS(EXPEDIENTES!AJ:AJ,"SIN",EXPEDIENTES!Q:Q,"DEVUELTA AL JUZGADO DE ORIGEN",EXPEDIENTES!F:F,G16)</f>
        <v>0</v>
      </c>
      <c r="M16" s="277">
        <f>SUM(J16:L16)</f>
        <v>4</v>
      </c>
      <c r="N16" s="277">
        <f>I16-M16</f>
        <v>19</v>
      </c>
    </row>
    <row r="17" spans="1:28" ht="21" thickBot="1">
      <c r="A17" s="186"/>
      <c r="B17" s="182" t="s">
        <v>3091</v>
      </c>
      <c r="C17" s="182">
        <f>COUNTIFS(EXPEDIENTES!AJ:AJ,"SIN",EXPEDIENTES!Q:Q,"RESUELTA EN AUD FLEX Y MULTI PREVENTIVA")</f>
        <v>2</v>
      </c>
      <c r="D17" s="190"/>
      <c r="F17" s="257" t="s">
        <v>2403</v>
      </c>
      <c r="G17" s="258">
        <v>2</v>
      </c>
      <c r="H17" s="258"/>
      <c r="I17" s="300">
        <f>COUNTIFS(EXPEDIENTES!$F:$F,G17,EXPEDIENTES!$AJ:$AJ,"SIN")</f>
        <v>112</v>
      </c>
      <c r="J17" s="301">
        <f>COUNTIFS(EXPEDIENTES!$AJ:$AJ,"SIN",EXPEDIENTES!$Q:$Q,"ELEVADA A JUICIO",EXPEDIENTES!$F:$F,"2")</f>
        <v>15</v>
      </c>
      <c r="K17" s="382">
        <f>COUNTIFS(EXPEDIENTES!AJ:AJ,"SIN",EXPEDIENTES!R:R,"RESUELTA EN ETAPA DE PREVENTIVA",EXPEDIENTES!F:F,G17)+COUNTIFS(EXPEDIENTES!AJ:AJ,"SIN",EXPEDIENTES!R:R,"Juicio Abreviado",EXPEDIENTES!F:F,G17)+COUNTIFS(EXPEDIENTES!AJ:AJ,"SIN",EXPEDIENTES!R:R,"Conciliación",EXPEDIENTES!F:F,G17)+COUNTIFS(EXPEDIENTES!AJ:AJ,"SIN",EXPEDIENTES!R:R,"Juicio abreviado",EXPEDIENTES!F:F,G17)+COUNTIFS(EXPEDIENTES!AJ:AJ,"SIN",EXPEDIENTES!R:R,"Suspensión de juicio a prueba",EXPEDIENTES!F:F,G17)+COUNTIFS(EXPEDIENTES!AJ:AJ,"SIN",EXPEDIENTES!R:R,"Sobreseimiento",EXPEDIENTES!F:F,G17)</f>
        <v>3</v>
      </c>
      <c r="L17" s="302">
        <f>COUNTIFS(EXPEDIENTES!AJ:AJ,"SIN",EXPEDIENTES!Q:Q,"DEVUELTA AL JUZGADO DE ORIGEN",EXPEDIENTES!F:F,G17)</f>
        <v>1</v>
      </c>
      <c r="M17" s="302">
        <f t="shared" ref="M17:M23" si="3">SUM(J17:L17)</f>
        <v>19</v>
      </c>
      <c r="N17" s="279">
        <f t="shared" ref="N17:N23" si="4">I17-M17</f>
        <v>93</v>
      </c>
    </row>
    <row r="18" spans="1:28" ht="21" thickBot="1">
      <c r="A18" s="186"/>
      <c r="B18" s="182" t="s">
        <v>2944</v>
      </c>
      <c r="C18" s="182">
        <f>COUNTIFS(EXPEDIENTES!AJ:AJ,"SIN",EXPEDIENTES!Q:Q,"DEVUELTA AL JUZGADO DE ORIGEN")</f>
        <v>13</v>
      </c>
      <c r="D18" s="190"/>
      <c r="F18" s="254" t="s">
        <v>2403</v>
      </c>
      <c r="G18" s="188">
        <v>3</v>
      </c>
      <c r="H18" s="188"/>
      <c r="I18" s="255">
        <f>COUNTIFS(EXPEDIENTES!$F:$F,G18,EXPEDIENTES!$AJ:$AJ,"SIN")</f>
        <v>139</v>
      </c>
      <c r="J18" s="256">
        <f>COUNTIFS(EXPEDIENTES!$AJ:$AJ,"SIN",EXPEDIENTES!$Q:$Q,"ELEVADA A JUICIO",EXPEDIENTES!$F:$F,"3")</f>
        <v>5</v>
      </c>
      <c r="K18" s="278">
        <f>COUNTIFS(EXPEDIENTES!AJ:AJ,"SIN",EXPEDIENTES!R:R,"RESUELTA EN ETAPA DE PREVENTIVA",EXPEDIENTES!F:F,G18)+COUNTIFS(EXPEDIENTES!AJ:AJ,"SIN",EXPEDIENTES!R:R,"Juicio Abreviado",EXPEDIENTES!F:F,G18)+COUNTIFS(EXPEDIENTES!AJ:AJ,"SIN",EXPEDIENTES!R:R,"Conciliación",EXPEDIENTES!F:F,G18)+COUNTIFS(EXPEDIENTES!AJ:AJ,"SIN",EXPEDIENTES!R:R,"Juicio abreviado",EXPEDIENTES!F:F,G18)+COUNTIFS(EXPEDIENTES!AJ:AJ,"SIN",EXPEDIENTES!R:R,"Suspensión de juicio a prueba",EXPEDIENTES!F:F,G18)+COUNTIFS(EXPEDIENTES!AJ:AJ,"SIN",EXPEDIENTES!R:R,"Sobreseimiento",EXPEDIENTES!F:F,G18)</f>
        <v>1</v>
      </c>
      <c r="L18" s="278">
        <f>COUNTIFS(EXPEDIENTES!AJ:AJ,"SIN",EXPEDIENTES!Q:Q,"DEVUELTA AL JUZGADO DE ORIGEN",EXPEDIENTES!F:F,G18)</f>
        <v>3</v>
      </c>
      <c r="M18" s="278">
        <f t="shared" si="3"/>
        <v>9</v>
      </c>
      <c r="N18" s="278">
        <f t="shared" si="4"/>
        <v>130</v>
      </c>
    </row>
    <row r="19" spans="1:28" ht="21" thickBot="1">
      <c r="A19" s="186"/>
      <c r="B19" s="182" t="s">
        <v>29</v>
      </c>
      <c r="C19" s="182">
        <f ca="1">SUM(C13:C18)</f>
        <v>767</v>
      </c>
      <c r="D19" s="190"/>
      <c r="F19" s="257" t="s">
        <v>2403</v>
      </c>
      <c r="G19" s="258">
        <v>4</v>
      </c>
      <c r="H19" s="258"/>
      <c r="I19" s="300">
        <f>COUNTIFS(EXPEDIENTES!$F:$F,G19,EXPEDIENTES!$AJ:$AJ,"SIN")</f>
        <v>176</v>
      </c>
      <c r="J19" s="301">
        <f>COUNTIFS(EXPEDIENTES!$AJ:$AJ,"SIN",EXPEDIENTES!$Q:$Q,"ELEVADA A JUICIO",EXPEDIENTES!$F:$F,"4")</f>
        <v>14</v>
      </c>
      <c r="K19" s="382">
        <f>COUNTIFS(EXPEDIENTES!AJ:AJ,"SIN",EXPEDIENTES!R:R,"RESUELTA EN ETAPA DE PREVENTIVA",EXPEDIENTES!F:F,G19)+COUNTIFS(EXPEDIENTES!AJ:AJ,"SIN",EXPEDIENTES!R:R,"Juicio Abreviado",EXPEDIENTES!F:F,G19)+COUNTIFS(EXPEDIENTES!AJ:AJ,"SIN",EXPEDIENTES!R:R,"Conciliación",EXPEDIENTES!F:F,G19)+COUNTIFS(EXPEDIENTES!AJ:AJ,"SIN",EXPEDIENTES!R:R,"Juicio abreviado",EXPEDIENTES!F:F,G19)+COUNTIFS(EXPEDIENTES!AJ:AJ,"SIN",EXPEDIENTES!R:R,"Suspensión de juicio a prueba",EXPEDIENTES!F:F,G19)+COUNTIFS(EXPEDIENTES!AJ:AJ,"SIN",EXPEDIENTES!R:R,"Sobreseimiento",EXPEDIENTES!F:F,G19)</f>
        <v>0</v>
      </c>
      <c r="L19" s="302">
        <f>COUNTIFS(EXPEDIENTES!AJ:AJ,"SIN",EXPEDIENTES!Q:Q,"DEVUELTA AL JUZGADO DE ORIGEN",EXPEDIENTES!F:F,G19)</f>
        <v>0</v>
      </c>
      <c r="M19" s="302">
        <f t="shared" si="3"/>
        <v>14</v>
      </c>
      <c r="N19" s="279">
        <f t="shared" si="4"/>
        <v>162</v>
      </c>
    </row>
    <row r="20" spans="1:28" ht="21" thickBot="1">
      <c r="A20" s="191"/>
      <c r="B20" s="25"/>
      <c r="C20" s="25"/>
      <c r="D20" s="192"/>
      <c r="F20" s="254" t="s">
        <v>2403</v>
      </c>
      <c r="G20" s="188">
        <v>5</v>
      </c>
      <c r="H20" s="188"/>
      <c r="I20" s="255">
        <f>COUNTIFS(EXPEDIENTES!$F:$F,G20,EXPEDIENTES!$AJ:$AJ,"SIN")</f>
        <v>79</v>
      </c>
      <c r="J20" s="256">
        <f>COUNTIFS(EXPEDIENTES!$AJ:$AJ,"SIN",EXPEDIENTES!$Q:$Q,"ELEVADA A JUICIO",EXPEDIENTES!$F:$F,"5")</f>
        <v>3</v>
      </c>
      <c r="K20" s="278">
        <f>COUNTIFS(EXPEDIENTES!AJ:AJ,"SIN",EXPEDIENTES!R:R,"RESUELTA EN ETAPA DE PREVENTIVA",EXPEDIENTES!F:F,G20)+COUNTIFS(EXPEDIENTES!AJ:AJ,"SIN",EXPEDIENTES!R:R,"Juicio Abreviado",EXPEDIENTES!F:F,G20)+COUNTIFS(EXPEDIENTES!AJ:AJ,"SIN",EXPEDIENTES!R:R,"Conciliación",EXPEDIENTES!F:F,G20)+COUNTIFS(EXPEDIENTES!AJ:AJ,"SIN",EXPEDIENTES!R:R,"Juicio abreviado",EXPEDIENTES!F:F,G20)+COUNTIFS(EXPEDIENTES!AJ:AJ,"SIN",EXPEDIENTES!R:R,"Suspensión de juicio a prueba",EXPEDIENTES!F:F,G20)+COUNTIFS(EXPEDIENTES!AJ:AJ,"SIN",EXPEDIENTES!R:R,"Sobreseimiento",EXPEDIENTES!F:F,G20)</f>
        <v>0</v>
      </c>
      <c r="L20" s="278">
        <f>COUNTIFS(EXPEDIENTES!AJ:AJ,"SIN",EXPEDIENTES!Q:Q,"DEVUELTA AL JUZGADO DE ORIGEN",EXPEDIENTES!F:F,G20)</f>
        <v>0</v>
      </c>
      <c r="M20" s="278">
        <f t="shared" si="3"/>
        <v>3</v>
      </c>
      <c r="N20" s="278">
        <f t="shared" si="4"/>
        <v>76</v>
      </c>
    </row>
    <row r="21" spans="1:28" ht="21.75" thickTop="1" thickBot="1">
      <c r="B21" s="225" t="s">
        <v>2038</v>
      </c>
      <c r="C21" s="220">
        <f ca="1">SUM(C10,C19)</f>
        <v>989</v>
      </c>
      <c r="F21" s="257" t="s">
        <v>2403</v>
      </c>
      <c r="G21" s="258">
        <v>6</v>
      </c>
      <c r="H21" s="258"/>
      <c r="I21" s="300">
        <f>COUNTIFS(EXPEDIENTES!$F:$F,G21,EXPEDIENTES!$AJ:$AJ,"SIN")</f>
        <v>161</v>
      </c>
      <c r="J21" s="301">
        <f>COUNTIFS(EXPEDIENTES!$AJ:$AJ,"SIN",EXPEDIENTES!$Q:$Q,"ELEVADA A JUICIO",EXPEDIENTES!$F:$F,"6")</f>
        <v>9</v>
      </c>
      <c r="K21" s="382">
        <f>COUNTIFS(EXPEDIENTES!AJ:AJ,"SIN",EXPEDIENTES!R:R,"RESUELTA EN ETAPA DE PREVENTIVA",EXPEDIENTES!F:F,G21)+COUNTIFS(EXPEDIENTES!AJ:AJ,"SIN",EXPEDIENTES!R:R,"Juicio Abreviado",EXPEDIENTES!F:F,G21)+COUNTIFS(EXPEDIENTES!AJ:AJ,"SIN",EXPEDIENTES!R:R,"Conciliación",EXPEDIENTES!F:F,G21)+COUNTIFS(EXPEDIENTES!AJ:AJ,"SIN",EXPEDIENTES!R:R,"Juicio abreviado",EXPEDIENTES!F:F,G21)+COUNTIFS(EXPEDIENTES!AJ:AJ,"SIN",EXPEDIENTES!R:R,"Suspensión de juicio a prueba",EXPEDIENTES!F:F,G21)+COUNTIFS(EXPEDIENTES!AJ:AJ,"SIN",EXPEDIENTES!R:R,"Sobreseimiento",EXPEDIENTES!F:F,G21)</f>
        <v>0</v>
      </c>
      <c r="L21" s="302">
        <f>COUNTIFS(EXPEDIENTES!AJ:AJ,"SIN",EXPEDIENTES!Q:Q,"DEVUELTA AL JUZGADO DE ORIGEN",EXPEDIENTES!F:F,G21)</f>
        <v>6</v>
      </c>
      <c r="M21" s="302">
        <f t="shared" si="3"/>
        <v>15</v>
      </c>
      <c r="N21" s="279">
        <f t="shared" si="4"/>
        <v>146</v>
      </c>
    </row>
    <row r="22" spans="1:28" ht="21" thickBot="1">
      <c r="F22" s="254" t="s">
        <v>2403</v>
      </c>
      <c r="G22" s="188">
        <v>7</v>
      </c>
      <c r="H22" s="188"/>
      <c r="I22" s="255">
        <f>COUNTIFS(EXPEDIENTES!$F:$F,G22,EXPEDIENTES!$AJ:$AJ,"SIN")</f>
        <v>85</v>
      </c>
      <c r="J22" s="256">
        <f>COUNTIFS(EXPEDIENTES!$AJ:$AJ,"SIN",EXPEDIENTES!$Q:$Q,"ELEVADA A JUICIO",EXPEDIENTES!$F:$F,"7")</f>
        <v>5</v>
      </c>
      <c r="K22" s="278">
        <f>COUNTIFS(EXPEDIENTES!AJ:AJ,"SIN",EXPEDIENTES!R:R,"RESUELTA EN ETAPA DE PREVENTIVA",EXPEDIENTES!F:F,G22)+COUNTIFS(EXPEDIENTES!AJ:AJ,"SIN",EXPEDIENTES!R:R,"Juicio Abreviado",EXPEDIENTES!F:F,G22)+COUNTIFS(EXPEDIENTES!AJ:AJ,"SIN",EXPEDIENTES!R:R,"Conciliación",EXPEDIENTES!F:F,G22)+COUNTIFS(EXPEDIENTES!AJ:AJ,"SIN",EXPEDIENTES!R:R,"Juicio abreviado",EXPEDIENTES!F:F,G22)+COUNTIFS(EXPEDIENTES!AJ:AJ,"SIN",EXPEDIENTES!R:R,"Suspensión de juicio a prueba",EXPEDIENTES!F:F,G22)+COUNTIFS(EXPEDIENTES!AJ:AJ,"SIN",EXPEDIENTES!R:R,"Sobreseimiento",EXPEDIENTES!F:F,G22)</f>
        <v>0</v>
      </c>
      <c r="L22" s="278">
        <f>COUNTIFS(EXPEDIENTES!AJ:AJ,"SIN",EXPEDIENTES!Q:Q,"DEVUELTA AL JUZGADO DE ORIGEN",EXPEDIENTES!F:F,G22)</f>
        <v>2</v>
      </c>
      <c r="M22" s="278">
        <f t="shared" si="3"/>
        <v>7</v>
      </c>
      <c r="N22" s="278">
        <f t="shared" si="4"/>
        <v>78</v>
      </c>
    </row>
    <row r="23" spans="1:28" ht="21" thickBot="1">
      <c r="F23" s="257" t="s">
        <v>2403</v>
      </c>
      <c r="G23" s="258">
        <v>8</v>
      </c>
      <c r="H23" s="258"/>
      <c r="I23" s="300">
        <f>COUNTIFS(EXPEDIENTES!$F:$F,G23,EXPEDIENTES!$AJ:$AJ,"SIN")</f>
        <v>5</v>
      </c>
      <c r="J23" s="301">
        <f>COUNTIFS(EXPEDIENTES!$AJ:$AJ,"SIN",EXPEDIENTES!$Q:$Q,"ELEVADA A JUICIO",EXPEDIENTES!$F:$F,"8")</f>
        <v>0</v>
      </c>
      <c r="K23" s="382">
        <f>COUNTIFS(EXPEDIENTES!AJ:AJ,"SIN",EXPEDIENTES!R:R,"RESUELTA EN ETAPA DE PREVENTIVA",EXPEDIENTES!F:F,G23)+COUNTIFS(EXPEDIENTES!AJ:AJ,"SIN",EXPEDIENTES!R:R,"Juicio Abreviado",EXPEDIENTES!F:F,G23)+COUNTIFS(EXPEDIENTES!AJ:AJ,"SIN",EXPEDIENTES!R:R,"Conciliación",EXPEDIENTES!F:F,G23)+COUNTIFS(EXPEDIENTES!AJ:AJ,"SIN",EXPEDIENTES!R:R,"Juicio abreviado",EXPEDIENTES!F:F,G23)+COUNTIFS(EXPEDIENTES!AJ:AJ,"SIN",EXPEDIENTES!R:R,"Suspensión de juicio a prueba",EXPEDIENTES!F:F,G23)+COUNTIFS(EXPEDIENTES!AJ:AJ,"SIN",EXPEDIENTES!R:R,"Sobreseimiento",EXPEDIENTES!F:F,G23)</f>
        <v>0</v>
      </c>
      <c r="L23" s="302">
        <f>COUNTIFS(EXPEDIENTES!AJ:AJ,"SIN",EXPEDIENTES!Q:Q,"DEVUELTA AL JUZGADO DE ORIGEN",EXPEDIENTES!F:F,G23)</f>
        <v>1</v>
      </c>
      <c r="M23" s="302">
        <f t="shared" si="3"/>
        <v>1</v>
      </c>
      <c r="N23" s="279">
        <f t="shared" si="4"/>
        <v>4</v>
      </c>
      <c r="O23" s="379"/>
    </row>
    <row r="24" spans="1:28" ht="20.25">
      <c r="F24" s="477" t="s">
        <v>2038</v>
      </c>
      <c r="G24" s="478"/>
      <c r="H24" s="479"/>
      <c r="I24" s="261">
        <f t="shared" ref="I24:N24" si="5">SUM(I16:I23)</f>
        <v>780</v>
      </c>
      <c r="J24" s="262">
        <f t="shared" si="5"/>
        <v>55</v>
      </c>
      <c r="K24" s="280">
        <f t="shared" si="5"/>
        <v>4</v>
      </c>
      <c r="L24" s="375">
        <f t="shared" si="5"/>
        <v>13</v>
      </c>
      <c r="M24" s="375">
        <f t="shared" si="5"/>
        <v>72</v>
      </c>
      <c r="N24" s="375">
        <f t="shared" si="5"/>
        <v>708</v>
      </c>
      <c r="O24" s="378"/>
    </row>
    <row r="25" spans="1:28" ht="13.5" thickBot="1">
      <c r="N25" s="5"/>
    </row>
    <row r="26" spans="1:28" ht="36" customHeight="1" thickBot="1">
      <c r="F26" s="468" t="s">
        <v>3197</v>
      </c>
      <c r="G26" s="469"/>
      <c r="H26" s="469"/>
      <c r="I26" s="391">
        <f>I11+I24</f>
        <v>1003</v>
      </c>
      <c r="J26" s="391">
        <f t="shared" ref="J26:N26" si="6">J11+J24</f>
        <v>194</v>
      </c>
      <c r="K26" s="391">
        <f t="shared" si="6"/>
        <v>42</v>
      </c>
      <c r="L26" s="391">
        <f t="shared" si="6"/>
        <v>17</v>
      </c>
      <c r="M26" s="391">
        <f t="shared" si="6"/>
        <v>253</v>
      </c>
      <c r="N26" s="392">
        <f t="shared" si="6"/>
        <v>750</v>
      </c>
    </row>
    <row r="29" spans="1:28" ht="18">
      <c r="H29" s="488" t="s">
        <v>2409</v>
      </c>
      <c r="I29" s="489"/>
      <c r="J29" s="490"/>
    </row>
    <row r="30" spans="1:28">
      <c r="H30" s="237" t="s">
        <v>2427</v>
      </c>
      <c r="I30" s="237" t="s">
        <v>2419</v>
      </c>
      <c r="J30" s="237" t="s">
        <v>2420</v>
      </c>
      <c r="AB30">
        <f>I11+I24</f>
        <v>1003</v>
      </c>
    </row>
    <row r="31" spans="1:28" ht="18">
      <c r="H31" s="229" t="s">
        <v>2410</v>
      </c>
      <c r="I31" s="234">
        <f>COUNTIFS(EXPEDIENTES!$B:$B,"&gt;=01/10/2023",EXPEDIENTES!$B:$B,"&lt;=31/10/2023",EXPEDIENTES!$AJ:$AJ,"PRESO")</f>
        <v>50</v>
      </c>
      <c r="J31" s="234">
        <f>COUNTIFS(EXPEDIENTES!$B:$B,"&gt;=01/10/2023",EXPEDIENTES!$B:$B,"&lt;=31/10/2023",EXPEDIENTES!$AJ:$AJ,"SIN")</f>
        <v>37</v>
      </c>
    </row>
    <row r="32" spans="1:28" ht="18">
      <c r="H32" s="229" t="s">
        <v>2411</v>
      </c>
      <c r="I32" s="234">
        <f>COUNTIFS(EXPEDIENTES!$B:$B,"&gt;=01/11/2023",EXPEDIENTES!$B:$B,"&lt;=30/11/2023",EXPEDIENTES!$AJ:$AJ,"PRESO")</f>
        <v>36</v>
      </c>
      <c r="J32" s="234">
        <f>COUNTIFS(EXPEDIENTES!$B:$B,"&gt;=01/11/2023",EXPEDIENTES!$B:$B,"&lt;=30/11/2023",EXPEDIENTES!$AJ:$AJ,"SIN")</f>
        <v>256</v>
      </c>
    </row>
    <row r="33" spans="2:10" ht="18">
      <c r="H33" s="229" t="s">
        <v>2412</v>
      </c>
      <c r="I33" s="234">
        <f>COUNTIFS(EXPEDIENTES!$B:$B,"&gt;=01/12/2023",EXPEDIENTES!$B:$B,"&lt;=31/12/2023",EXPEDIENTES!$AJ:$AJ,"PRESO")</f>
        <v>41</v>
      </c>
      <c r="J33" s="234">
        <f>COUNTIFS(EXPEDIENTES!$B:$B,"&gt;=01/12/2023",EXPEDIENTES!$B:$B,"&lt;=31/12/2023",EXPEDIENTES!$AJ:$AJ,"SIN")</f>
        <v>117</v>
      </c>
    </row>
    <row r="34" spans="2:10" ht="18">
      <c r="H34" s="229" t="s">
        <v>2413</v>
      </c>
      <c r="I34" s="234">
        <f>COUNTIFS(EXPEDIENTES!$B:$B,"&gt;=01/01/2024",EXPEDIENTES!$B:$B,"&lt;=31/01/2024",EXPEDIENTES!$AJ:$AJ,"PRESO")</f>
        <v>15</v>
      </c>
      <c r="J34" s="234">
        <f>COUNTIFS(EXPEDIENTES!$B:$B,"&gt;=01/01/2024",EXPEDIENTES!$B:$B,"&lt;=31/01/2024",EXPEDIENTES!$AJ:$AJ,"SIN")</f>
        <v>2</v>
      </c>
    </row>
    <row r="35" spans="2:10" ht="18">
      <c r="H35" s="229" t="s">
        <v>2414</v>
      </c>
      <c r="I35" s="234">
        <f>COUNTIFS(EXPEDIENTES!$B:$B,"&gt;=01/02/2024",EXPEDIENTES!$B:$B,"&lt;=29/02/2024",EXPEDIENTES!$AJ:$AJ,"PRESO")</f>
        <v>32</v>
      </c>
      <c r="J35" s="234">
        <f>COUNTIFS(EXPEDIENTES!$B:$B,"&gt;=01/02/2024",EXPEDIENTES!$B:$B,"&lt;=29/02/2024",EXPEDIENTES!$AJ:$AJ,"SIN")</f>
        <v>141</v>
      </c>
    </row>
    <row r="36" spans="2:10" ht="18">
      <c r="H36" s="229" t="s">
        <v>2415</v>
      </c>
      <c r="I36" s="234">
        <f>COUNTIFS(EXPEDIENTES!$B:$B,"&gt;=01/03/2024",EXPEDIENTES!$B:$B,"&lt;=31/03/2024",EXPEDIENTES!$AJ:$AJ,"PRESO")</f>
        <v>21</v>
      </c>
      <c r="J36" s="234">
        <f>COUNTIFS(EXPEDIENTES!$B:$B,"&gt;=01/03/2024",EXPEDIENTES!$B:$B,"&lt;=31/03/2024",EXPEDIENTES!$AJ:$AJ,"SIN")</f>
        <v>118</v>
      </c>
    </row>
    <row r="37" spans="2:10" ht="21">
      <c r="B37" s="491" t="s">
        <v>2429</v>
      </c>
      <c r="C37" s="491"/>
      <c r="H37" s="229" t="s">
        <v>2946</v>
      </c>
      <c r="I37" s="234">
        <f>COUNTIFS(EXPEDIENTES!$B:$B,"&gt;=01/04/2024",EXPEDIENTES!$B:$B,"&lt;=30/04/2024",EXPEDIENTES!$AJ:$AJ,"PRESO")</f>
        <v>28</v>
      </c>
      <c r="J37" s="234">
        <f>COUNTIFS(EXPEDIENTES!$B:$B,"&gt;=01/04/2024",EXPEDIENTES!$B:$B,"&lt;=30/04/2024",EXPEDIENTES!$AJ:$AJ,"SIN")</f>
        <v>109</v>
      </c>
    </row>
    <row r="38" spans="2:10" ht="20.25">
      <c r="B38" s="182" t="s">
        <v>1858</v>
      </c>
      <c r="C38" s="182">
        <f ca="1">COUNTIFS(EXPEDIENTES!AJ:AJ,"PRESO",EXPEDIENTES!P:P,"AMARILLO")+COUNTIFS(EXPEDIENTES!AJ:AJ,"PRESO",EXPEDIENTES!P:P,"VERDE")</f>
        <v>41</v>
      </c>
      <c r="H38" s="235" t="s">
        <v>29</v>
      </c>
      <c r="I38" s="236">
        <f>SUM(I31:I37)</f>
        <v>223</v>
      </c>
      <c r="J38" s="236">
        <f>SUM(J31:J37)</f>
        <v>780</v>
      </c>
    </row>
    <row r="39" spans="2:10" ht="20.25">
      <c r="B39" s="182" t="s">
        <v>2428</v>
      </c>
      <c r="C39" s="182">
        <f>COUNTIFS(EXPEDIENTES!AJ:AJ,"PRESO",EXPEDIENTES!Q:Q,"ELEVADA A JUICIO")+COUNTIFS(EXPEDIENTES!AJ:AJ,"PRESO",EXPEDIENTES!R:R,"RESUELTA EN ETAPA DE PREVENTIVA")+COUNTIFS(EXPEDIENTES!AJ:AJ,"PRESO",EXPEDIENTES!R:R,"Juicio Abreviado")</f>
        <v>176</v>
      </c>
    </row>
    <row r="40" spans="2:10" ht="20.25">
      <c r="B40" s="182" t="s">
        <v>29</v>
      </c>
      <c r="C40" s="182">
        <f ca="1">SUM(C38:C39)</f>
        <v>217</v>
      </c>
    </row>
  </sheetData>
  <customSheetViews>
    <customSheetView guid="{C7ED2F2C-4193-48B7-9502-9FB900CD50B3}">
      <selection activeCell="C14" sqref="C14"/>
      <pageMargins left="0.7" right="0.7" top="0.75" bottom="0.75" header="0.3" footer="0.3"/>
      <pageSetup paperSize="9" orientation="portrait" horizontalDpi="4294967294" verticalDpi="4294967294" r:id="rId1"/>
    </customSheetView>
    <customSheetView guid="{0199CA3F-EFF7-4FF3-938A-24486AD9575F}">
      <selection activeCell="C10" sqref="C10"/>
      <pageMargins left="0.7" right="0.7" top="0.75" bottom="0.75" header="0.3" footer="0.3"/>
      <pageSetup paperSize="9" orientation="portrait" horizontalDpi="4294967294" verticalDpi="4294967294" r:id="rId2"/>
    </customSheetView>
    <customSheetView guid="{8889932B-014C-4A7A-B620-114840895FF5}" scale="85">
      <selection activeCell="N12" sqref="N12"/>
      <pageMargins left="0.7" right="0.7" top="0.75" bottom="0.75" header="0.3" footer="0.3"/>
      <pageSetup paperSize="9" orientation="portrait" horizontalDpi="4294967294" verticalDpi="4294967294" r:id="rId3"/>
    </customSheetView>
  </customSheetViews>
  <mergeCells count="11">
    <mergeCell ref="F1:N1"/>
    <mergeCell ref="H29:J29"/>
    <mergeCell ref="B37:C37"/>
    <mergeCell ref="B4:C4"/>
    <mergeCell ref="B2:C2"/>
    <mergeCell ref="F11:H11"/>
    <mergeCell ref="F24:H24"/>
    <mergeCell ref="F15:H15"/>
    <mergeCell ref="F2:H2"/>
    <mergeCell ref="F14:N14"/>
    <mergeCell ref="F26:H26"/>
  </mergeCells>
  <pageMargins left="0.27559055118110237" right="0.27559055118110237" top="0.74803149606299213" bottom="0.74803149606299213" header="0.31496062992125984" footer="0.31496062992125984"/>
  <pageSetup paperSize="5" scale="70" orientation="landscape" horizontalDpi="4294967294" verticalDpi="4294967294" r:id="rId4"/>
  <drawing r:id="rId5"/>
</worksheet>
</file>

<file path=xl/worksheets/sheet6.xml><?xml version="1.0" encoding="utf-8"?>
<worksheet xmlns="http://schemas.openxmlformats.org/spreadsheetml/2006/main" xmlns:r="http://schemas.openxmlformats.org/officeDocument/2006/relationships">
  <sheetPr codeName="Hoja9"/>
  <dimension ref="B3:J12"/>
  <sheetViews>
    <sheetView zoomScale="85" zoomScaleNormal="85" workbookViewId="0">
      <selection sqref="A1:L31"/>
    </sheetView>
  </sheetViews>
  <sheetFormatPr baseColWidth="10" defaultRowHeight="12.75"/>
  <cols>
    <col min="2" max="2" width="13.42578125" bestFit="1" customWidth="1"/>
    <col min="7" max="7" width="13.42578125" bestFit="1" customWidth="1"/>
    <col min="8" max="8" width="13.140625" bestFit="1" customWidth="1"/>
  </cols>
  <sheetData>
    <row r="3" spans="2:10" ht="18">
      <c r="B3" s="495" t="s">
        <v>2409</v>
      </c>
      <c r="C3" s="496"/>
      <c r="D3" s="497"/>
      <c r="G3" s="495" t="s">
        <v>3296</v>
      </c>
      <c r="H3" s="496"/>
      <c r="I3" s="497"/>
    </row>
    <row r="4" spans="2:10">
      <c r="B4" s="237" t="s">
        <v>2427</v>
      </c>
      <c r="C4" s="237" t="s">
        <v>2419</v>
      </c>
      <c r="D4" s="237" t="s">
        <v>2420</v>
      </c>
      <c r="E4" s="237" t="s">
        <v>2947</v>
      </c>
      <c r="G4" s="237" t="s">
        <v>2427</v>
      </c>
      <c r="H4" s="237" t="s">
        <v>2419</v>
      </c>
      <c r="I4" s="237" t="s">
        <v>2420</v>
      </c>
      <c r="J4" s="237" t="s">
        <v>2947</v>
      </c>
    </row>
    <row r="5" spans="2:10" ht="18">
      <c r="B5" s="229" t="s">
        <v>2410</v>
      </c>
      <c r="C5" s="234">
        <f>COUNTIFS(EXPEDIENTES!$B:$B,"&gt;=01/10/2023",EXPEDIENTES!$B:$B,"&lt;=31/10/2023",EXPEDIENTES!$AJ:$AJ,"PRESO")</f>
        <v>50</v>
      </c>
      <c r="D5" s="234">
        <f>COUNTIFS(EXPEDIENTES!$B:$B,"&gt;=01/10/2023",EXPEDIENTES!$B:$B,"&lt;=31/10/2023",EXPEDIENTES!$AJ:$AJ,"SIN")</f>
        <v>37</v>
      </c>
      <c r="E5" s="427">
        <f>SUM(C5:D5)</f>
        <v>87</v>
      </c>
      <c r="G5" s="229" t="s">
        <v>2410</v>
      </c>
      <c r="H5" s="234">
        <f>COUNTIFS(EXPEDIENTES!$H:$H,"&gt;=01/10/2023",EXPEDIENTES!$H:$H,"&lt;=31/10/2023",EXPEDIENTES!$AJ:$AJ,"PRESO",EXPEDIENTES!$Q:$Q,"ELEVADA A JUICIO")</f>
        <v>1</v>
      </c>
      <c r="I5" s="234">
        <f>COUNTIFS(EXPEDIENTES!$H:$H,"&gt;=01/10/2023",EXPEDIENTES!$H:$H,"&lt;=31/10/2023",EXPEDIENTES!$AJ:$AJ,"SIN",EXPEDIENTES!$Q:$Q,"ELEVADA A JUICIO")</f>
        <v>1</v>
      </c>
      <c r="J5" s="427">
        <f>SUM(H5:I5)</f>
        <v>2</v>
      </c>
    </row>
    <row r="6" spans="2:10" ht="18">
      <c r="B6" s="229" t="s">
        <v>2411</v>
      </c>
      <c r="C6" s="234">
        <f>COUNTIFS(EXPEDIENTES!$B:$B,"&gt;=01/11/2023",EXPEDIENTES!$B:$B,"&lt;=30/11/2023",EXPEDIENTES!$AJ:$AJ,"PRESO")</f>
        <v>36</v>
      </c>
      <c r="D6" s="234">
        <f>COUNTIFS(EXPEDIENTES!$B:$B,"&gt;=01/11/2023",EXPEDIENTES!$B:$B,"&lt;=30/11/2023",EXPEDIENTES!$AJ:$AJ,"SIN")</f>
        <v>256</v>
      </c>
      <c r="E6" s="427">
        <f t="shared" ref="E6:E11" si="0">SUM(C6:D6)</f>
        <v>292</v>
      </c>
      <c r="G6" s="229" t="s">
        <v>2411</v>
      </c>
      <c r="H6" s="234">
        <f>COUNTIFS(EXPEDIENTES!$H:$H,"&gt;=01/11/2023",EXPEDIENTES!$H:$H,"&lt;=30/11/2023",EXPEDIENTES!$AJ:$AJ,"PRESO",EXPEDIENTES!$AJ:$AJ,"PRESO",EXPEDIENTES!$Q:$Q,"ELEVADA A JUICIO")</f>
        <v>4</v>
      </c>
      <c r="I6" s="234">
        <f>COUNTIFS(EXPEDIENTES!$H:$H,"&gt;=01/11/2023",EXPEDIENTES!$H:$H,"&lt;=30/11/2023",EXPEDIENTES!$AJ:$AJ,"SIN",EXPEDIENTES!$Q:$Q,"ELEVADA A JUICIO")</f>
        <v>0</v>
      </c>
      <c r="J6" s="427">
        <f t="shared" ref="J6:J11" si="1">SUM(H6:I6)</f>
        <v>4</v>
      </c>
    </row>
    <row r="7" spans="2:10" ht="18">
      <c r="B7" s="229" t="s">
        <v>2412</v>
      </c>
      <c r="C7" s="234">
        <f>COUNTIFS(EXPEDIENTES!$B:$B,"&gt;=01/12/2023",EXPEDIENTES!$B:$B,"&lt;=31/12/2023",EXPEDIENTES!$AJ:$AJ,"PRESO")</f>
        <v>41</v>
      </c>
      <c r="D7" s="234">
        <f>COUNTIFS(EXPEDIENTES!$B:$B,"&gt;=01/12/2023",EXPEDIENTES!$B:$B,"&lt;=31/12/2023",EXPEDIENTES!$AJ:$AJ,"SIN")</f>
        <v>117</v>
      </c>
      <c r="E7" s="427">
        <f t="shared" si="0"/>
        <v>158</v>
      </c>
      <c r="G7" s="229" t="s">
        <v>2412</v>
      </c>
      <c r="H7" s="234">
        <f>COUNTIFS(EXPEDIENTES!$H:$H,"&gt;=01/12/2023",EXPEDIENTES!$H:$H,"&lt;=31/12/2023",EXPEDIENTES!$AJ:$AJ,"PRESO",EXPEDIENTES!$AJ:$AJ,"PRESO",EXPEDIENTES!$Q:$Q,"ELEVADA A JUICIO")</f>
        <v>64</v>
      </c>
      <c r="I7" s="234">
        <f>COUNTIFS(EXPEDIENTES!$H:$H,"&gt;=01/12/2023",EXPEDIENTES!$H:$H,"&lt;=31/12/2023",EXPEDIENTES!$AJ:$AJ,"SIN",EXPEDIENTES!$Q:$Q,"ELEVADA A JUICIO")</f>
        <v>6</v>
      </c>
      <c r="J7" s="427">
        <f t="shared" si="1"/>
        <v>70</v>
      </c>
    </row>
    <row r="8" spans="2:10" ht="18">
      <c r="B8" s="229" t="s">
        <v>2413</v>
      </c>
      <c r="C8" s="234">
        <f>COUNTIFS(EXPEDIENTES!$B:$B,"&gt;=01/01/2024",EXPEDIENTES!$B:$B,"&lt;=31/01/2024",EXPEDIENTES!$AJ:$AJ,"PRESO")</f>
        <v>15</v>
      </c>
      <c r="D8" s="234">
        <f>COUNTIFS(EXPEDIENTES!$B:$B,"&gt;=01/01/2024",EXPEDIENTES!$B:$B,"&lt;=31/01/2024",EXPEDIENTES!$AJ:$AJ,"SIN")</f>
        <v>2</v>
      </c>
      <c r="E8" s="427">
        <f t="shared" si="0"/>
        <v>17</v>
      </c>
      <c r="G8" s="229" t="s">
        <v>2413</v>
      </c>
      <c r="H8" s="234">
        <f>COUNTIFS(EXPEDIENTES!$H:$H,"&gt;=01/01/2024",EXPEDIENTES!$H:$H,"&lt;=31/01/2024",EXPEDIENTES!$AJ:$AJ,"PRESO",EXPEDIENTES!$AJ:$AJ,"PRESO",EXPEDIENTES!$Q:$Q,"ELEVADA A JUICIO")</f>
        <v>0</v>
      </c>
      <c r="I8" s="234">
        <f>COUNTIFS(EXPEDIENTES!$H:$H,"&gt;=01/01/2024",EXPEDIENTES!$H:$H,"&lt;=31/01/2024",EXPEDIENTES!$AJ:$AJ,"SIN",EXPEDIENTES!$Q:$Q,"ELEVADA A JUICIO")</f>
        <v>0</v>
      </c>
      <c r="J8" s="427">
        <f t="shared" si="1"/>
        <v>0</v>
      </c>
    </row>
    <row r="9" spans="2:10" ht="18">
      <c r="B9" s="229" t="s">
        <v>2414</v>
      </c>
      <c r="C9" s="234">
        <f>COUNTIFS(EXPEDIENTES!$B:$B,"&gt;=01/02/2024",EXPEDIENTES!$B:$B,"&lt;=29/02/2024",EXPEDIENTES!$AJ:$AJ,"PRESO")</f>
        <v>32</v>
      </c>
      <c r="D9" s="234">
        <f>COUNTIFS(EXPEDIENTES!$B:$B,"&gt;=01/02/2024",EXPEDIENTES!$B:$B,"&lt;=29/02/2024",EXPEDIENTES!$AJ:$AJ,"SIN")</f>
        <v>141</v>
      </c>
      <c r="E9" s="427">
        <f t="shared" si="0"/>
        <v>173</v>
      </c>
      <c r="G9" s="229" t="s">
        <v>2414</v>
      </c>
      <c r="H9" s="234">
        <f>COUNTIFS(EXPEDIENTES!$H:$H,"&gt;=01/02/2024",EXPEDIENTES!$H:$H,"&lt;=29/02/2024",EXPEDIENTES!$AJ:$AJ,"PRESO",EXPEDIENTES!$AJ:$AJ,"PRESO",EXPEDIENTES!$Q:$Q,"ELEVADA A JUICIO")</f>
        <v>17</v>
      </c>
      <c r="I9" s="234">
        <f>COUNTIFS(EXPEDIENTES!$H:$H,"&gt;=01/02/2024",EXPEDIENTES!$H:$H,"&lt;=29/02/2024",EXPEDIENTES!$AJ:$AJ,"SIN",EXPEDIENTES!$Q:$Q,"ELEVADA A JUICIO")</f>
        <v>6</v>
      </c>
      <c r="J9" s="427">
        <f t="shared" si="1"/>
        <v>23</v>
      </c>
    </row>
    <row r="10" spans="2:10" ht="18">
      <c r="B10" s="229" t="s">
        <v>2415</v>
      </c>
      <c r="C10" s="234">
        <f>COUNTIFS(EXPEDIENTES!$B:$B,"&gt;=01/03/2024",EXPEDIENTES!$B:$B,"&lt;=31/03/2024",EXPEDIENTES!$AJ:$AJ,"PRESO")</f>
        <v>21</v>
      </c>
      <c r="D10" s="234">
        <f>COUNTIFS(EXPEDIENTES!$B:$B,"&gt;=01/03/2024",EXPEDIENTES!$B:$B,"&lt;=31/03/2024",EXPEDIENTES!$AJ:$AJ,"SIN")</f>
        <v>118</v>
      </c>
      <c r="E10" s="427">
        <f t="shared" si="0"/>
        <v>139</v>
      </c>
      <c r="G10" s="229" t="s">
        <v>2415</v>
      </c>
      <c r="H10" s="234">
        <f>COUNTIFS(EXPEDIENTES!$H:$H,"&gt;=01/03/2024",EXPEDIENTES!$H:$H,"&lt;=31/03/2024",EXPEDIENTES!$AJ:$AJ,"PRESO",EXPEDIENTES!$AJ:$AJ,"PRESO",EXPEDIENTES!$Q:$Q,"ELEVADA A JUICIO")</f>
        <v>39</v>
      </c>
      <c r="I10" s="234">
        <f>COUNTIFS(EXPEDIENTES!$H:$H,"&gt;=01/03/2024",EXPEDIENTES!$H:$H,"&lt;=31/03/2024",EXPEDIENTES!$AJ:$AJ,"SIN",EXPEDIENTES!$Q:$Q,"ELEVADA A JUICIO")</f>
        <v>24</v>
      </c>
      <c r="J10" s="427">
        <f t="shared" si="1"/>
        <v>63</v>
      </c>
    </row>
    <row r="11" spans="2:10" ht="18">
      <c r="B11" s="229" t="s">
        <v>2946</v>
      </c>
      <c r="C11" s="234">
        <f>COUNTIFS(EXPEDIENTES!$B:$B,"&gt;=01/04/2024",EXPEDIENTES!$B:$B,"&lt;=30/04/2024",EXPEDIENTES!$AJ:$AJ,"PRESO")</f>
        <v>28</v>
      </c>
      <c r="D11" s="234">
        <f>COUNTIFS(EXPEDIENTES!$B:$B,"&gt;=01/04/2024",EXPEDIENTES!$B:$B,"&lt;=30/04/2024",EXPEDIENTES!$AJ:$AJ,"SIN")</f>
        <v>109</v>
      </c>
      <c r="E11" s="427">
        <f t="shared" si="0"/>
        <v>137</v>
      </c>
      <c r="G11" s="229" t="s">
        <v>2946</v>
      </c>
      <c r="H11" s="234">
        <f>COUNTIFS(EXPEDIENTES!$H:$H,"&gt;=01/04/2024",EXPEDIENTES!$B:$B,"&lt;=30/04/2024",EXPEDIENTES!$AJ:$AJ,"PRESO",EXPEDIENTES!$AJ:$AJ,"PRESO",EXPEDIENTES!$Q:$Q,"ELEVADA A JUICIO")</f>
        <v>14</v>
      </c>
      <c r="I11" s="234">
        <f>COUNTIFS(EXPEDIENTES!$H:$H,"&gt;=01/04/2024",EXPEDIENTES!$H:$H,"&lt;=30/04/2024",EXPEDIENTES!$AJ:$AJ,"SIN",EXPEDIENTES!$Q:$Q,"ELEVADA A JUICIO")</f>
        <v>18</v>
      </c>
      <c r="J11" s="427">
        <f t="shared" si="1"/>
        <v>32</v>
      </c>
    </row>
    <row r="12" spans="2:10" ht="18">
      <c r="B12" s="235" t="s">
        <v>29</v>
      </c>
      <c r="C12" s="236">
        <f>SUM(C5:C11)</f>
        <v>223</v>
      </c>
      <c r="D12" s="236">
        <f>SUM(D5:D11)</f>
        <v>780</v>
      </c>
      <c r="E12" s="428">
        <f>SUM(C12:D12)</f>
        <v>1003</v>
      </c>
      <c r="G12" s="235" t="s">
        <v>29</v>
      </c>
      <c r="H12" s="236">
        <f>SUM(H5:H11)</f>
        <v>139</v>
      </c>
      <c r="I12" s="236">
        <f>SUM(I5:I11)</f>
        <v>55</v>
      </c>
      <c r="J12" s="428">
        <f>SUM(H12:I12)</f>
        <v>194</v>
      </c>
    </row>
  </sheetData>
  <mergeCells count="2">
    <mergeCell ref="B3:D3"/>
    <mergeCell ref="G3:I3"/>
  </mergeCells>
  <pageMargins left="0.70866141732283472" right="0.70866141732283472" top="0.74803149606299213" bottom="0.74803149606299213" header="0.31496062992125984" footer="0.31496062992125984"/>
  <pageSetup paperSize="5" orientation="landscape" horizontalDpi="4294967294" verticalDpi="4294967294" r:id="rId1"/>
  <drawing r:id="rId2"/>
</worksheet>
</file>

<file path=xl/worksheets/sheet7.xml><?xml version="1.0" encoding="utf-8"?>
<worksheet xmlns="http://schemas.openxmlformats.org/spreadsheetml/2006/main" xmlns:r="http://schemas.openxmlformats.org/officeDocument/2006/relationships">
  <sheetPr codeName="Hoja2"/>
  <dimension ref="A1:E27"/>
  <sheetViews>
    <sheetView workbookViewId="0">
      <selection activeCell="B25" sqref="B25"/>
    </sheetView>
  </sheetViews>
  <sheetFormatPr baseColWidth="10" defaultRowHeight="12.75"/>
  <cols>
    <col min="1" max="1" width="36.5703125" style="20" customWidth="1"/>
    <col min="2" max="2" width="31" customWidth="1"/>
    <col min="3" max="3" width="35.42578125" customWidth="1"/>
    <col min="4" max="4" width="12.7109375" customWidth="1"/>
  </cols>
  <sheetData>
    <row r="1" spans="1:5" ht="20.100000000000001" customHeight="1">
      <c r="A1" s="19" t="s">
        <v>144</v>
      </c>
      <c r="B1" s="21">
        <v>1</v>
      </c>
    </row>
    <row r="2" spans="1:5" ht="20.100000000000001" customHeight="1">
      <c r="A2" s="18" t="s">
        <v>7</v>
      </c>
      <c r="B2" s="21">
        <v>2</v>
      </c>
    </row>
    <row r="3" spans="1:5" ht="20.100000000000001" customHeight="1">
      <c r="A3" s="18" t="s">
        <v>9</v>
      </c>
      <c r="B3" s="21">
        <v>3</v>
      </c>
    </row>
    <row r="4" spans="1:5" ht="20.100000000000001" customHeight="1">
      <c r="A4" s="18" t="s">
        <v>8</v>
      </c>
      <c r="B4" s="21">
        <v>4</v>
      </c>
    </row>
    <row r="5" spans="1:5" ht="20.100000000000001" customHeight="1">
      <c r="A5" s="18" t="s">
        <v>66</v>
      </c>
      <c r="B5" s="21">
        <v>5</v>
      </c>
    </row>
    <row r="6" spans="1:5" ht="20.100000000000001" customHeight="1">
      <c r="A6" s="19" t="s">
        <v>149</v>
      </c>
      <c r="B6" s="21">
        <v>6</v>
      </c>
    </row>
    <row r="7" spans="1:5" ht="20.100000000000001" customHeight="1">
      <c r="A7" s="19" t="s">
        <v>145</v>
      </c>
      <c r="B7" s="21">
        <v>7</v>
      </c>
    </row>
    <row r="8" spans="1:5" ht="20.100000000000001" customHeight="1">
      <c r="A8" s="18" t="s">
        <v>17</v>
      </c>
      <c r="B8" s="21">
        <v>8</v>
      </c>
    </row>
    <row r="9" spans="1:5" ht="20.100000000000001" customHeight="1">
      <c r="A9" s="19" t="s">
        <v>147</v>
      </c>
      <c r="B9" s="22" t="s">
        <v>158</v>
      </c>
      <c r="C9" s="5" t="s">
        <v>151</v>
      </c>
      <c r="E9" s="5" t="s">
        <v>232</v>
      </c>
    </row>
    <row r="10" spans="1:5" ht="20.100000000000001" customHeight="1">
      <c r="A10" s="19" t="s">
        <v>148</v>
      </c>
      <c r="B10" s="21">
        <v>10</v>
      </c>
      <c r="C10" s="5" t="s">
        <v>152</v>
      </c>
      <c r="E10" s="5" t="s">
        <v>188</v>
      </c>
    </row>
    <row r="11" spans="1:5" ht="20.100000000000001" customHeight="1">
      <c r="A11" s="19" t="s">
        <v>146</v>
      </c>
      <c r="B11" s="22">
        <v>11</v>
      </c>
      <c r="C11" s="5" t="s">
        <v>150</v>
      </c>
      <c r="E11" s="5" t="s">
        <v>184</v>
      </c>
    </row>
    <row r="12" spans="1:5" ht="20.100000000000001" customHeight="1">
      <c r="A12" s="23" t="s">
        <v>200</v>
      </c>
      <c r="B12" s="22" t="s">
        <v>185</v>
      </c>
      <c r="C12" s="5" t="s">
        <v>183</v>
      </c>
      <c r="E12" s="5" t="s">
        <v>184</v>
      </c>
    </row>
    <row r="13" spans="1:5" ht="20.100000000000001" customHeight="1">
      <c r="A13" s="23" t="s">
        <v>186</v>
      </c>
      <c r="B13" s="22">
        <v>13</v>
      </c>
      <c r="C13" s="5" t="s">
        <v>187</v>
      </c>
      <c r="E13" s="5" t="s">
        <v>188</v>
      </c>
    </row>
    <row r="14" spans="1:5" ht="20.100000000000001" customHeight="1">
      <c r="A14" s="23" t="s">
        <v>213</v>
      </c>
      <c r="B14" s="22">
        <v>14</v>
      </c>
      <c r="C14" s="5" t="s">
        <v>203</v>
      </c>
      <c r="E14" s="5" t="s">
        <v>188</v>
      </c>
    </row>
    <row r="15" spans="1:5" ht="20.100000000000001" customHeight="1">
      <c r="A15" s="23" t="s">
        <v>205</v>
      </c>
      <c r="B15" s="22">
        <v>15</v>
      </c>
      <c r="C15" s="5" t="s">
        <v>206</v>
      </c>
      <c r="E15" s="5" t="s">
        <v>207</v>
      </c>
    </row>
    <row r="16" spans="1:5" ht="20.100000000000001" customHeight="1">
      <c r="A16" s="23" t="s">
        <v>338</v>
      </c>
      <c r="B16" s="5" t="s">
        <v>339</v>
      </c>
    </row>
    <row r="17" spans="1:2" ht="20.100000000000001" customHeight="1">
      <c r="A17" s="23" t="s">
        <v>213</v>
      </c>
      <c r="B17" s="5" t="s">
        <v>340</v>
      </c>
    </row>
    <row r="18" spans="1:2" ht="20.100000000000001" customHeight="1">
      <c r="A18" s="23" t="s">
        <v>341</v>
      </c>
      <c r="B18" s="5" t="s">
        <v>342</v>
      </c>
    </row>
    <row r="19" spans="1:2" ht="20.100000000000001" customHeight="1"/>
    <row r="20" spans="1:2" ht="20.100000000000001" customHeight="1"/>
    <row r="21" spans="1:2" ht="20.100000000000001" customHeight="1"/>
    <row r="22" spans="1:2" ht="20.100000000000001" customHeight="1"/>
    <row r="23" spans="1:2" ht="20.100000000000001" customHeight="1"/>
    <row r="24" spans="1:2" ht="20.100000000000001" customHeight="1"/>
    <row r="25" spans="1:2" ht="20.100000000000001" customHeight="1"/>
    <row r="26" spans="1:2" ht="20.100000000000001" customHeight="1"/>
    <row r="27" spans="1:2" ht="20.100000000000001" customHeight="1"/>
  </sheetData>
  <customSheetViews>
    <customSheetView guid="{C7ED2F2C-4193-48B7-9502-9FB900CD50B3}">
      <selection activeCell="B25" sqref="B25"/>
      <pageMargins left="0.75" right="0.75" top="1" bottom="1" header="0" footer="0"/>
      <headerFooter alignWithMargins="0"/>
    </customSheetView>
    <customSheetView guid="{5BF16DBA-4BB4-4498-B7BF-4F2DDC074FBE}">
      <selection activeCell="B1" sqref="B1"/>
      <pageMargins left="0.75" right="0.75" top="1" bottom="1" header="0" footer="0"/>
      <headerFooter alignWithMargins="0"/>
    </customSheetView>
    <customSheetView guid="{34C07D15-334F-4678-BECB-58C99A205BB8}" showPageBreaks="1">
      <selection activeCell="A10" sqref="A10"/>
      <pageMargins left="0.75" right="0.75" top="1" bottom="1" header="0" footer="0"/>
      <headerFooter alignWithMargins="0"/>
    </customSheetView>
    <customSheetView guid="{0DE10425-8171-4A65-9B11-AACA328E7729}">
      <selection activeCell="A11" sqref="A11"/>
      <pageMargins left="0.75" right="0.75" top="1" bottom="1" header="0" footer="0"/>
      <headerFooter alignWithMargins="0"/>
    </customSheetView>
    <customSheetView guid="{DB4207DD-4199-49C8-82A0-9B1EB1C1B792}">
      <selection activeCell="A11" sqref="A11"/>
      <pageMargins left="0.75" right="0.75" top="1" bottom="1" header="0" footer="0"/>
      <headerFooter alignWithMargins="0"/>
    </customSheetView>
    <customSheetView guid="{0199CA3F-EFF7-4FF3-938A-24486AD9575F}">
      <selection activeCell="B25" sqref="B25"/>
      <pageMargins left="0.75" right="0.75" top="1" bottom="1" header="0" footer="0"/>
      <headerFooter alignWithMargins="0"/>
    </customSheetView>
    <customSheetView guid="{8889932B-014C-4A7A-B620-114840895FF5}">
      <selection activeCell="B25" sqref="B25"/>
      <pageMargins left="0.75" right="0.75" top="1" bottom="1" header="0" footer="0"/>
      <headerFooter alignWithMargins="0"/>
    </customSheetView>
  </customSheetViews>
  <phoneticPr fontId="1" type="noConversion"/>
  <pageMargins left="0.75" right="0.75" top="1" bottom="1" header="0" footer="0"/>
  <headerFooter alignWithMargins="0"/>
</worksheet>
</file>

<file path=xl/worksheets/sheet8.xml><?xml version="1.0" encoding="utf-8"?>
<worksheet xmlns="http://schemas.openxmlformats.org/spreadsheetml/2006/main" xmlns:r="http://schemas.openxmlformats.org/officeDocument/2006/relationships">
  <sheetPr codeName="Hoja3"/>
  <dimension ref="A1:J17"/>
  <sheetViews>
    <sheetView workbookViewId="0">
      <selection activeCell="G23" sqref="G23"/>
    </sheetView>
  </sheetViews>
  <sheetFormatPr baseColWidth="10" defaultRowHeight="12.75"/>
  <cols>
    <col min="1" max="1" width="23.28515625" bestFit="1" customWidth="1"/>
    <col min="3" max="3" width="16.5703125" customWidth="1"/>
    <col min="10" max="10" width="21.28515625" bestFit="1" customWidth="1"/>
  </cols>
  <sheetData>
    <row r="1" spans="1:10" ht="24.95" customHeight="1">
      <c r="A1" s="3" t="s">
        <v>10</v>
      </c>
      <c r="E1" s="5"/>
      <c r="I1" s="34"/>
      <c r="J1" s="3"/>
    </row>
    <row r="2" spans="1:10" ht="24.95" customHeight="1">
      <c r="A2" s="3" t="s">
        <v>5</v>
      </c>
      <c r="E2" s="3"/>
      <c r="I2" s="34"/>
      <c r="J2" s="3"/>
    </row>
    <row r="3" spans="1:10" ht="24.95" customHeight="1">
      <c r="A3" s="3" t="s">
        <v>325</v>
      </c>
      <c r="E3" s="3"/>
      <c r="I3" s="34"/>
      <c r="J3" s="3"/>
    </row>
    <row r="4" spans="1:10" ht="24.95" customHeight="1">
      <c r="A4" s="3" t="s">
        <v>326</v>
      </c>
      <c r="E4" s="3"/>
      <c r="I4" s="34"/>
      <c r="J4" s="3"/>
    </row>
    <row r="5" spans="1:10" ht="24.95" customHeight="1">
      <c r="A5" s="3" t="s">
        <v>1370</v>
      </c>
      <c r="E5" s="3"/>
      <c r="I5" s="34"/>
      <c r="J5" s="3"/>
    </row>
    <row r="6" spans="1:10" ht="24.95" customHeight="1">
      <c r="A6" s="3" t="s">
        <v>1750</v>
      </c>
      <c r="B6" s="5"/>
      <c r="I6" s="34"/>
      <c r="J6" s="3"/>
    </row>
    <row r="7" spans="1:10" ht="24.95" customHeight="1">
      <c r="A7" s="3" t="s">
        <v>2996</v>
      </c>
      <c r="I7" s="34"/>
      <c r="J7" s="3"/>
    </row>
    <row r="8" spans="1:10" ht="24.95" customHeight="1">
      <c r="A8" s="3" t="s">
        <v>2876</v>
      </c>
      <c r="I8" s="34"/>
      <c r="J8" s="3"/>
    </row>
    <row r="9" spans="1:10" ht="24.95" customHeight="1">
      <c r="A9" s="3"/>
      <c r="B9" s="5"/>
      <c r="C9" s="5"/>
      <c r="I9" s="34"/>
      <c r="J9" s="3"/>
    </row>
    <row r="10" spans="1:10" ht="24.95" customHeight="1">
      <c r="A10" s="3"/>
      <c r="B10" s="5"/>
      <c r="C10" s="5"/>
      <c r="I10" s="34"/>
      <c r="J10" s="3"/>
    </row>
    <row r="11" spans="1:10" ht="24.95" customHeight="1">
      <c r="I11" s="34"/>
      <c r="J11" s="33"/>
    </row>
    <row r="12" spans="1:10" ht="24.95" customHeight="1">
      <c r="A12" s="3"/>
      <c r="I12" s="34"/>
      <c r="J12" s="33"/>
    </row>
    <row r="13" spans="1:10" ht="24.95" customHeight="1"/>
    <row r="14" spans="1:10">
      <c r="A14" s="33"/>
    </row>
    <row r="15" spans="1:10" ht="24.95" customHeight="1">
      <c r="A15" s="33"/>
    </row>
    <row r="16" spans="1:10">
      <c r="A16" s="1"/>
    </row>
    <row r="17" spans="1:1">
      <c r="A17" s="1"/>
    </row>
  </sheetData>
  <customSheetViews>
    <customSheetView guid="{C7ED2F2C-4193-48B7-9502-9FB900CD50B3}">
      <selection sqref="A1:A6"/>
      <pageMargins left="0.75" right="0.75" top="1" bottom="1" header="0" footer="0"/>
      <pageSetup paperSize="5" orientation="portrait" r:id="rId1"/>
      <headerFooter alignWithMargins="0"/>
    </customSheetView>
    <customSheetView guid="{5BF16DBA-4BB4-4498-B7BF-4F2DDC074FBE}">
      <selection activeCell="A6" sqref="A6"/>
      <pageMargins left="0.75" right="0.75" top="1" bottom="1" header="0" footer="0"/>
      <pageSetup paperSize="5" orientation="portrait" r:id="rId2"/>
      <headerFooter alignWithMargins="0"/>
    </customSheetView>
    <customSheetView guid="{34C07D15-334F-4678-BECB-58C99A205BB8}" showPageBreaks="1">
      <selection activeCell="A11" sqref="A11"/>
      <pageMargins left="0.75" right="0.75" top="1" bottom="1" header="0" footer="0"/>
      <pageSetup paperSize="5" orientation="portrait" r:id="rId3"/>
      <headerFooter alignWithMargins="0"/>
    </customSheetView>
    <customSheetView guid="{0DE10425-8171-4A65-9B11-AACA328E7729}">
      <selection activeCell="A17" sqref="A17"/>
      <pageMargins left="0.75" right="0.75" top="1" bottom="1" header="0" footer="0"/>
      <pageSetup paperSize="5" orientation="portrait" r:id="rId4"/>
      <headerFooter alignWithMargins="0"/>
    </customSheetView>
    <customSheetView guid="{DB4207DD-4199-49C8-82A0-9B1EB1C1B792}">
      <selection activeCell="A17" sqref="A17"/>
      <pageMargins left="0.75" right="0.75" top="1" bottom="1" header="0" footer="0"/>
      <pageSetup paperSize="5" orientation="portrait" r:id="rId5"/>
      <headerFooter alignWithMargins="0"/>
    </customSheetView>
    <customSheetView guid="{0199CA3F-EFF7-4FF3-938A-24486AD9575F}">
      <pageMargins left="0.75" right="0.75" top="1" bottom="1" header="0" footer="0"/>
      <pageSetup paperSize="5" orientation="portrait" r:id="rId6"/>
      <headerFooter alignWithMargins="0"/>
    </customSheetView>
    <customSheetView guid="{8889932B-014C-4A7A-B620-114840895FF5}">
      <pageMargins left="0.75" right="0.75" top="1" bottom="1" header="0" footer="0"/>
      <pageSetup paperSize="5" orientation="portrait" r:id="rId7"/>
      <headerFooter alignWithMargins="0"/>
    </customSheetView>
  </customSheetViews>
  <phoneticPr fontId="1" type="noConversion"/>
  <pageMargins left="0.75" right="0.75" top="1" bottom="1" header="0" footer="0"/>
  <pageSetup paperSize="5" orientation="portrait" r:id="rId8"/>
  <headerFooter alignWithMargins="0"/>
</worksheet>
</file>

<file path=xl/worksheets/sheet9.xml><?xml version="1.0" encoding="utf-8"?>
<worksheet xmlns="http://schemas.openxmlformats.org/spreadsheetml/2006/main" xmlns:r="http://schemas.openxmlformats.org/officeDocument/2006/relationships">
  <sheetPr codeName="Hoja11"/>
  <dimension ref="A1:F33"/>
  <sheetViews>
    <sheetView workbookViewId="0">
      <selection activeCell="C27" sqref="C27"/>
    </sheetView>
  </sheetViews>
  <sheetFormatPr baseColWidth="10" defaultRowHeight="12.75"/>
  <cols>
    <col min="1" max="2" width="45.7109375" customWidth="1"/>
  </cols>
  <sheetData>
    <row r="1" spans="1:6">
      <c r="A1" s="11" t="s">
        <v>100</v>
      </c>
      <c r="B1" s="11" t="s">
        <v>100</v>
      </c>
    </row>
    <row r="2" spans="1:6">
      <c r="A2" s="11" t="s">
        <v>117</v>
      </c>
      <c r="B2" s="11" t="s">
        <v>97</v>
      </c>
      <c r="F2" s="5"/>
    </row>
    <row r="3" spans="1:6">
      <c r="A3" s="11" t="s">
        <v>96</v>
      </c>
      <c r="B3" s="11" t="s">
        <v>21</v>
      </c>
      <c r="C3" s="5" t="s">
        <v>3303</v>
      </c>
    </row>
    <row r="4" spans="1:6">
      <c r="A4" s="11" t="s">
        <v>95</v>
      </c>
      <c r="B4" s="11" t="s">
        <v>21</v>
      </c>
      <c r="C4" s="5" t="s">
        <v>3303</v>
      </c>
    </row>
    <row r="5" spans="1:6">
      <c r="A5" s="11" t="s">
        <v>98</v>
      </c>
      <c r="B5" s="11" t="s">
        <v>21</v>
      </c>
    </row>
    <row r="6" spans="1:6">
      <c r="A6" s="11" t="s">
        <v>93</v>
      </c>
      <c r="B6" s="11" t="s">
        <v>93</v>
      </c>
    </row>
    <row r="7" spans="1:6">
      <c r="A7" s="11" t="s">
        <v>92</v>
      </c>
      <c r="B7" s="11" t="s">
        <v>93</v>
      </c>
    </row>
    <row r="8" spans="1:6">
      <c r="A8" s="11" t="s">
        <v>103</v>
      </c>
      <c r="B8" s="11" t="s">
        <v>103</v>
      </c>
    </row>
    <row r="9" spans="1:6">
      <c r="A9" s="11" t="s">
        <v>109</v>
      </c>
      <c r="B9" s="11" t="s">
        <v>103</v>
      </c>
    </row>
    <row r="10" spans="1:6">
      <c r="A10" s="11" t="s">
        <v>22</v>
      </c>
      <c r="B10" s="11" t="s">
        <v>22</v>
      </c>
    </row>
    <row r="11" spans="1:6">
      <c r="A11" s="11" t="s">
        <v>94</v>
      </c>
      <c r="B11" s="11" t="s">
        <v>94</v>
      </c>
    </row>
    <row r="12" spans="1:6">
      <c r="A12" s="11" t="s">
        <v>102</v>
      </c>
      <c r="B12" s="11" t="s">
        <v>107</v>
      </c>
    </row>
    <row r="13" spans="1:6">
      <c r="A13" s="11" t="s">
        <v>101</v>
      </c>
      <c r="B13" s="11" t="s">
        <v>107</v>
      </c>
    </row>
    <row r="14" spans="1:6">
      <c r="A14" s="11" t="s">
        <v>99</v>
      </c>
      <c r="B14" s="11" t="s">
        <v>99</v>
      </c>
    </row>
    <row r="15" spans="1:6">
      <c r="A15" s="11" t="s">
        <v>114</v>
      </c>
      <c r="B15" s="11" t="s">
        <v>107</v>
      </c>
    </row>
    <row r="16" spans="1:6">
      <c r="A16" s="11" t="s">
        <v>190</v>
      </c>
      <c r="B16" s="11" t="s">
        <v>21</v>
      </c>
    </row>
    <row r="17" spans="1:3">
      <c r="A17" s="11" t="s">
        <v>229</v>
      </c>
      <c r="B17" s="11" t="s">
        <v>229</v>
      </c>
    </row>
    <row r="18" spans="1:3">
      <c r="A18" s="11" t="s">
        <v>1162</v>
      </c>
      <c r="B18" s="11" t="s">
        <v>1162</v>
      </c>
      <c r="C18" s="5" t="s">
        <v>1628</v>
      </c>
    </row>
    <row r="19" spans="1:3">
      <c r="A19" s="11" t="s">
        <v>1324</v>
      </c>
      <c r="B19" s="11" t="s">
        <v>1325</v>
      </c>
      <c r="C19" s="5" t="s">
        <v>3303</v>
      </c>
    </row>
    <row r="20" spans="1:3">
      <c r="A20" s="11" t="s">
        <v>2437</v>
      </c>
      <c r="B20" s="11" t="s">
        <v>2437</v>
      </c>
      <c r="C20" s="5" t="s">
        <v>3304</v>
      </c>
    </row>
    <row r="21" spans="1:3">
      <c r="A21" s="11" t="s">
        <v>2440</v>
      </c>
      <c r="B21" s="11" t="s">
        <v>2441</v>
      </c>
      <c r="C21" s="5" t="s">
        <v>3303</v>
      </c>
    </row>
    <row r="22" spans="1:3">
      <c r="A22" s="11" t="s">
        <v>3112</v>
      </c>
      <c r="B22" s="11" t="s">
        <v>3112</v>
      </c>
      <c r="C22" s="5" t="s">
        <v>3305</v>
      </c>
    </row>
    <row r="23" spans="1:3">
      <c r="A23" s="11" t="s">
        <v>2709</v>
      </c>
      <c r="B23" s="11" t="s">
        <v>2709</v>
      </c>
      <c r="C23" s="5" t="s">
        <v>3304</v>
      </c>
    </row>
    <row r="24" spans="1:3">
      <c r="A24" s="11" t="s">
        <v>3306</v>
      </c>
      <c r="B24" s="11" t="s">
        <v>3306</v>
      </c>
      <c r="C24" s="5" t="s">
        <v>3304</v>
      </c>
    </row>
    <row r="25" spans="1:3">
      <c r="A25" s="11" t="s">
        <v>3313</v>
      </c>
      <c r="B25" s="11" t="s">
        <v>3313</v>
      </c>
      <c r="C25" s="5" t="s">
        <v>3314</v>
      </c>
    </row>
    <row r="26" spans="1:3">
      <c r="A26" s="11" t="s">
        <v>3377</v>
      </c>
      <c r="B26" s="11" t="s">
        <v>3377</v>
      </c>
      <c r="C26" s="5" t="s">
        <v>3303</v>
      </c>
    </row>
    <row r="27" spans="1:3">
      <c r="A27" s="11" t="s">
        <v>108</v>
      </c>
      <c r="B27" s="11" t="s">
        <v>108</v>
      </c>
      <c r="C27" s="5" t="s">
        <v>3312</v>
      </c>
    </row>
    <row r="28" spans="1:3">
      <c r="A28" s="11" t="s">
        <v>108</v>
      </c>
      <c r="B28" s="11" t="s">
        <v>108</v>
      </c>
      <c r="C28" s="5" t="s">
        <v>3312</v>
      </c>
    </row>
    <row r="29" spans="1:3">
      <c r="A29" s="11" t="s">
        <v>108</v>
      </c>
      <c r="B29" s="11" t="s">
        <v>108</v>
      </c>
      <c r="C29" s="5" t="s">
        <v>3312</v>
      </c>
    </row>
    <row r="30" spans="1:3">
      <c r="A30" s="11" t="s">
        <v>108</v>
      </c>
      <c r="B30" s="11" t="s">
        <v>108</v>
      </c>
      <c r="C30" s="5" t="s">
        <v>3312</v>
      </c>
    </row>
    <row r="31" spans="1:3">
      <c r="A31" s="11"/>
    </row>
    <row r="32" spans="1:3">
      <c r="A32" s="11"/>
    </row>
    <row r="33" spans="1:1">
      <c r="A33" s="11"/>
    </row>
  </sheetData>
  <sortState ref="A1:A13">
    <sortCondition ref="A1:A13"/>
  </sortState>
  <customSheetViews>
    <customSheetView guid="{C7ED2F2C-4193-48B7-9502-9FB900CD50B3}">
      <selection activeCell="D42" sqref="D42"/>
      <pageMargins left="0.7" right="0.7" top="0.75" bottom="0.75" header="0.3" footer="0.3"/>
    </customSheetView>
    <customSheetView guid="{5BF16DBA-4BB4-4498-B7BF-4F2DDC074FBE}">
      <selection activeCell="A3" sqref="A3"/>
      <pageMargins left="0.7" right="0.7" top="0.75" bottom="0.75" header="0.3" footer="0.3"/>
    </customSheetView>
    <customSheetView guid="{34C07D15-334F-4678-BECB-58C99A205BB8}" showPageBreaks="1">
      <selection activeCell="A10" sqref="A10"/>
      <pageMargins left="0.7" right="0.7" top="0.75" bottom="0.75" header="0.3" footer="0.3"/>
    </customSheetView>
    <customSheetView guid="{0DE10425-8171-4A65-9B11-AACA328E7729}">
      <selection activeCell="A16" activeCellId="1" sqref="A3:A5 A16"/>
      <pageMargins left="0.7" right="0.7" top="0.75" bottom="0.75" header="0.3" footer="0.3"/>
    </customSheetView>
    <customSheetView guid="{DB4207DD-4199-49C8-82A0-9B1EB1C1B792}">
      <selection activeCell="A16" activeCellId="1" sqref="A3:A5 A16"/>
      <pageMargins left="0.7" right="0.7" top="0.75" bottom="0.75" header="0.3" footer="0.3"/>
    </customSheetView>
    <customSheetView guid="{0199CA3F-EFF7-4FF3-938A-24486AD9575F}">
      <selection activeCell="D42" sqref="D42"/>
      <pageMargins left="0.7" right="0.7" top="0.75" bottom="0.75" header="0.3" footer="0.3"/>
    </customSheetView>
    <customSheetView guid="{8889932B-014C-4A7A-B620-114840895FF5}">
      <selection activeCell="C21" sqref="C21"/>
      <pageMargins left="0.7" right="0.7" top="0.75" bottom="0.75" header="0.3" footer="0.3"/>
    </customSheetView>
  </customSheetViews>
  <pageMargins left="0.7" right="0.7" top="0.75" bottom="0.75" header="0.3" footer="0.3"/>
</worksheet>
</file>

<file path=xl/worksheets/sheet10.xml><?xml version="1.0" encoding="utf-8"?>
<worksheet xmlns="http://schemas.openxmlformats.org/spreadsheetml/2006/main" xmlns:r="http://schemas.openxmlformats.org/officeDocument/2006/relationships">
  <sheetPr codeName="Hoja4"/>
  <dimension ref="A1:M23"/>
  <sheetViews>
    <sheetView showGridLines="0" workbookViewId="0">
      <selection activeCell="T16" sqref="T16"/>
    </sheetView>
  </sheetViews>
  <sheetFormatPr baseColWidth="10" defaultRowHeight="12.75"/>
  <cols>
    <col min="10" max="10" width="12.28515625" bestFit="1" customWidth="1"/>
  </cols>
  <sheetData>
    <row r="1" spans="1:13">
      <c r="A1" s="250"/>
      <c r="B1" s="250"/>
      <c r="C1" s="250"/>
      <c r="D1" s="249"/>
      <c r="E1" s="249"/>
      <c r="F1" s="249"/>
      <c r="G1" s="249"/>
      <c r="H1" s="249"/>
      <c r="I1" s="249"/>
      <c r="J1" s="249"/>
      <c r="K1" s="249"/>
      <c r="L1" s="249"/>
      <c r="M1" s="249"/>
    </row>
    <row r="2" spans="1:13" ht="23.25">
      <c r="A2" s="250">
        <v>1</v>
      </c>
      <c r="B2" s="251" t="s">
        <v>2560</v>
      </c>
      <c r="C2" s="250"/>
      <c r="D2" s="249"/>
      <c r="E2" s="500" t="s">
        <v>2575</v>
      </c>
      <c r="F2" s="500"/>
      <c r="G2" s="500"/>
      <c r="H2" s="500"/>
      <c r="I2" s="500"/>
      <c r="J2" s="500"/>
      <c r="K2" s="500"/>
      <c r="L2" s="500"/>
      <c r="M2" s="249"/>
    </row>
    <row r="3" spans="1:13" ht="18">
      <c r="A3" s="250">
        <v>2</v>
      </c>
      <c r="B3" s="251" t="s">
        <v>2561</v>
      </c>
      <c r="C3" s="250"/>
      <c r="D3" s="249"/>
      <c r="E3" s="249"/>
      <c r="F3" s="249"/>
      <c r="G3" s="249"/>
      <c r="H3" s="249"/>
      <c r="I3" s="249"/>
      <c r="J3" s="249"/>
      <c r="K3" s="249"/>
      <c r="L3" s="249"/>
      <c r="M3" s="249"/>
    </row>
    <row r="4" spans="1:13" ht="18">
      <c r="A4" s="250">
        <v>3</v>
      </c>
      <c r="B4" s="251" t="s">
        <v>2562</v>
      </c>
      <c r="C4" s="250"/>
      <c r="D4" s="249"/>
      <c r="E4" s="249"/>
      <c r="F4" s="249"/>
      <c r="G4" s="249"/>
      <c r="H4" s="249"/>
      <c r="I4" s="249"/>
      <c r="J4" s="249"/>
      <c r="K4" s="249"/>
      <c r="L4" s="249"/>
      <c r="M4" s="249"/>
    </row>
    <row r="5" spans="1:13" ht="18">
      <c r="A5" s="250">
        <v>4</v>
      </c>
      <c r="B5" s="251" t="s">
        <v>2563</v>
      </c>
      <c r="C5" s="250"/>
      <c r="D5" s="249"/>
      <c r="E5" s="249"/>
      <c r="F5" s="249"/>
      <c r="G5" s="249"/>
      <c r="H5" s="249"/>
      <c r="I5" s="249"/>
      <c r="J5" s="249"/>
      <c r="K5" s="249"/>
      <c r="L5" s="249"/>
      <c r="M5" s="249"/>
    </row>
    <row r="6" spans="1:13" ht="18">
      <c r="A6" s="250">
        <v>5</v>
      </c>
      <c r="B6" s="251" t="s">
        <v>2564</v>
      </c>
      <c r="C6" s="250"/>
      <c r="D6" s="249"/>
      <c r="E6" s="498" t="str">
        <f>A23</f>
        <v>❤</v>
      </c>
      <c r="F6" s="498"/>
      <c r="G6" s="249"/>
      <c r="H6" s="498" t="str">
        <f>B23</f>
        <v>⛸</v>
      </c>
      <c r="I6" s="498"/>
      <c r="J6" s="249"/>
      <c r="K6" s="498" t="str">
        <f>C23</f>
        <v>☺</v>
      </c>
      <c r="L6" s="498"/>
      <c r="M6" s="249"/>
    </row>
    <row r="7" spans="1:13" ht="18">
      <c r="A7" s="250">
        <v>6</v>
      </c>
      <c r="B7" s="251" t="s">
        <v>2565</v>
      </c>
      <c r="C7" s="250"/>
      <c r="D7" s="249"/>
      <c r="E7" s="498"/>
      <c r="F7" s="498"/>
      <c r="G7" s="249"/>
      <c r="H7" s="498"/>
      <c r="I7" s="498"/>
      <c r="J7" s="249"/>
      <c r="K7" s="498"/>
      <c r="L7" s="498"/>
      <c r="M7" s="249"/>
    </row>
    <row r="8" spans="1:13" ht="18">
      <c r="A8" s="250">
        <v>7</v>
      </c>
      <c r="B8" s="251" t="s">
        <v>2566</v>
      </c>
      <c r="C8" s="250"/>
      <c r="D8" s="249"/>
      <c r="E8" s="498"/>
      <c r="F8" s="498"/>
      <c r="G8" s="249"/>
      <c r="H8" s="498"/>
      <c r="I8" s="498"/>
      <c r="J8" s="249"/>
      <c r="K8" s="498"/>
      <c r="L8" s="498"/>
      <c r="M8" s="249"/>
    </row>
    <row r="9" spans="1:13" ht="18">
      <c r="A9" s="250">
        <v>8</v>
      </c>
      <c r="B9" s="251" t="s">
        <v>2567</v>
      </c>
      <c r="C9" s="250"/>
      <c r="D9" s="249"/>
      <c r="E9" s="498"/>
      <c r="F9" s="498"/>
      <c r="G9" s="249"/>
      <c r="H9" s="498"/>
      <c r="I9" s="498"/>
      <c r="J9" s="249"/>
      <c r="K9" s="498"/>
      <c r="L9" s="498"/>
      <c r="M9" s="249"/>
    </row>
    <row r="10" spans="1:13" ht="18">
      <c r="A10" s="250">
        <v>9</v>
      </c>
      <c r="B10" s="251" t="s">
        <v>2568</v>
      </c>
      <c r="C10" s="250"/>
      <c r="D10" s="249"/>
      <c r="E10" s="498"/>
      <c r="F10" s="498"/>
      <c r="G10" s="249"/>
      <c r="H10" s="498"/>
      <c r="I10" s="498"/>
      <c r="J10" s="249"/>
      <c r="K10" s="498"/>
      <c r="L10" s="498"/>
      <c r="M10" s="249"/>
    </row>
    <row r="11" spans="1:13" ht="18">
      <c r="A11" s="250">
        <v>10</v>
      </c>
      <c r="B11" s="251" t="s">
        <v>2569</v>
      </c>
      <c r="C11" s="250"/>
      <c r="D11" s="249"/>
      <c r="E11" s="249"/>
      <c r="F11" s="249"/>
      <c r="G11" s="249"/>
      <c r="H11" s="249"/>
      <c r="I11" s="249"/>
      <c r="J11" s="249"/>
      <c r="K11" s="249"/>
      <c r="L11" s="249"/>
      <c r="M11" s="249"/>
    </row>
    <row r="12" spans="1:13">
      <c r="A12" s="250"/>
      <c r="B12" s="250"/>
      <c r="C12" s="250"/>
      <c r="D12" s="249"/>
      <c r="E12" s="249"/>
      <c r="F12" s="249"/>
      <c r="G12" s="249"/>
      <c r="H12" s="249"/>
      <c r="I12" s="249"/>
      <c r="J12" s="249"/>
      <c r="K12" s="249"/>
      <c r="L12" s="249"/>
      <c r="M12" s="249"/>
    </row>
    <row r="13" spans="1:13">
      <c r="A13" s="250"/>
      <c r="B13" s="250"/>
      <c r="C13" s="250"/>
      <c r="D13" s="249"/>
      <c r="E13" s="249"/>
      <c r="F13" s="249"/>
      <c r="G13" s="249"/>
      <c r="H13" s="249"/>
      <c r="I13" s="249"/>
      <c r="J13" s="249"/>
      <c r="K13" s="249"/>
      <c r="L13" s="249"/>
      <c r="M13" s="249"/>
    </row>
    <row r="14" spans="1:13">
      <c r="A14" s="250"/>
      <c r="B14" s="250"/>
      <c r="C14" s="250"/>
      <c r="D14" s="249"/>
      <c r="E14" s="249"/>
      <c r="F14" s="249"/>
      <c r="G14" s="249"/>
      <c r="H14" s="249"/>
      <c r="I14" s="249"/>
      <c r="J14" s="249"/>
      <c r="K14" s="249"/>
      <c r="L14" s="249"/>
      <c r="M14" s="249"/>
    </row>
    <row r="15" spans="1:13">
      <c r="A15" s="250"/>
      <c r="B15" s="250"/>
      <c r="C15" s="250"/>
      <c r="D15" s="249"/>
      <c r="E15" s="499" t="s">
        <v>2574</v>
      </c>
      <c r="F15" s="499"/>
      <c r="G15" s="499"/>
      <c r="H15" s="499"/>
      <c r="I15" s="499"/>
      <c r="J15" s="499"/>
      <c r="K15" s="499"/>
      <c r="L15" s="499"/>
      <c r="M15" s="249"/>
    </row>
    <row r="16" spans="1:13">
      <c r="A16" s="250"/>
      <c r="B16" s="250"/>
      <c r="C16" s="250"/>
      <c r="D16" s="249"/>
      <c r="E16" s="499"/>
      <c r="F16" s="499"/>
      <c r="G16" s="499"/>
      <c r="H16" s="499"/>
      <c r="I16" s="499"/>
      <c r="J16" s="499"/>
      <c r="K16" s="499"/>
      <c r="L16" s="499"/>
      <c r="M16" s="249"/>
    </row>
    <row r="17" spans="1:13">
      <c r="A17" s="250"/>
      <c r="B17" s="250"/>
      <c r="C17" s="250"/>
      <c r="D17" s="249"/>
      <c r="E17" s="499"/>
      <c r="F17" s="499"/>
      <c r="G17" s="499"/>
      <c r="H17" s="499"/>
      <c r="I17" s="499"/>
      <c r="J17" s="499"/>
      <c r="K17" s="499"/>
      <c r="L17" s="499"/>
      <c r="M17" s="249"/>
    </row>
    <row r="18" spans="1:13">
      <c r="A18" s="250"/>
      <c r="B18" s="250"/>
      <c r="C18" s="250"/>
      <c r="D18" s="249"/>
      <c r="E18" s="499"/>
      <c r="F18" s="499"/>
      <c r="G18" s="499"/>
      <c r="H18" s="499"/>
      <c r="I18" s="499"/>
      <c r="J18" s="499"/>
      <c r="K18" s="499"/>
      <c r="L18" s="499"/>
      <c r="M18" s="249"/>
    </row>
    <row r="19" spans="1:13">
      <c r="A19" s="250"/>
      <c r="B19" s="250"/>
      <c r="C19" s="250"/>
      <c r="D19" s="249"/>
      <c r="E19" s="249"/>
      <c r="F19" s="249"/>
      <c r="G19" s="249"/>
      <c r="H19" s="249"/>
      <c r="I19" s="249"/>
      <c r="J19" s="249"/>
      <c r="K19" s="249"/>
      <c r="L19" s="249"/>
      <c r="M19" s="249"/>
    </row>
    <row r="20" spans="1:13">
      <c r="A20" s="250"/>
      <c r="B20" s="250"/>
      <c r="C20" s="250"/>
    </row>
    <row r="21" spans="1:13">
      <c r="A21" s="250"/>
      <c r="B21" s="250"/>
      <c r="C21" s="250"/>
    </row>
    <row r="22" spans="1:13">
      <c r="A22" s="250">
        <v>1</v>
      </c>
      <c r="B22" s="250">
        <v>4</v>
      </c>
      <c r="C22" s="250">
        <v>3</v>
      </c>
    </row>
    <row r="23" spans="1:13">
      <c r="A23" s="250" t="str">
        <f>VLOOKUP(A22,$A$2:$B$11,2,FALSE)</f>
        <v>❤</v>
      </c>
      <c r="B23" s="250" t="str">
        <f t="shared" ref="B23:C23" si="0">VLOOKUP(B22,$A$2:$B$11,2,FALSE)</f>
        <v>⛸</v>
      </c>
      <c r="C23" s="250" t="str">
        <f t="shared" si="0"/>
        <v>☺</v>
      </c>
    </row>
  </sheetData>
  <mergeCells count="5">
    <mergeCell ref="E6:F10"/>
    <mergeCell ref="H6:I10"/>
    <mergeCell ref="K6:L10"/>
    <mergeCell ref="E15:L18"/>
    <mergeCell ref="E2:L2"/>
  </mergeCells>
  <pageMargins left="0.7" right="0.7" top="0.75" bottom="0.75" header="0.3" footer="0.3"/>
  <drawing r:id="rId1"/>
  <legacyDrawing r:id="rId2"/>
</worksheet>
</file>

<file path=xl/worksheets/sheet11.xml><?xml version="1.0" encoding="utf-8"?>
<worksheet xmlns="http://schemas.openxmlformats.org/spreadsheetml/2006/main" xmlns:r="http://schemas.openxmlformats.org/officeDocument/2006/relationships">
  <sheetPr codeName="Hoja5"/>
  <dimension ref="A1:Q30"/>
  <sheetViews>
    <sheetView showGridLines="0" topLeftCell="C1" workbookViewId="0">
      <selection activeCell="C3" sqref="C3:C12"/>
    </sheetView>
  </sheetViews>
  <sheetFormatPr baseColWidth="10" defaultRowHeight="12.75"/>
  <cols>
    <col min="4" max="4" width="12.28515625" bestFit="1" customWidth="1"/>
  </cols>
  <sheetData>
    <row r="1" spans="1:17">
      <c r="E1" s="247"/>
      <c r="F1" s="247"/>
      <c r="G1" s="247"/>
      <c r="H1" s="247"/>
      <c r="I1" s="247"/>
      <c r="J1" s="247"/>
      <c r="K1" s="247"/>
      <c r="L1" s="247"/>
      <c r="M1" s="247"/>
      <c r="N1" s="247"/>
      <c r="O1" s="247"/>
      <c r="P1" s="247"/>
      <c r="Q1" s="247"/>
    </row>
    <row r="2" spans="1:17">
      <c r="E2" s="247"/>
      <c r="F2" s="503" t="s">
        <v>2573</v>
      </c>
      <c r="G2" s="503"/>
      <c r="H2" s="503"/>
      <c r="I2" s="503"/>
      <c r="J2" s="503"/>
      <c r="K2" s="503"/>
      <c r="L2" s="503"/>
      <c r="M2" s="503"/>
      <c r="N2" s="503"/>
      <c r="O2" s="503"/>
      <c r="P2" s="503"/>
      <c r="Q2" s="247"/>
    </row>
    <row r="3" spans="1:17" ht="15">
      <c r="A3" s="248"/>
      <c r="B3" s="246">
        <v>1</v>
      </c>
      <c r="C3" s="246" t="s">
        <v>2560</v>
      </c>
      <c r="E3" s="247"/>
      <c r="F3" s="503"/>
      <c r="G3" s="503"/>
      <c r="H3" s="503"/>
      <c r="I3" s="503"/>
      <c r="J3" s="503"/>
      <c r="K3" s="503"/>
      <c r="L3" s="503"/>
      <c r="M3" s="503"/>
      <c r="N3" s="503"/>
      <c r="O3" s="503"/>
      <c r="P3" s="503"/>
      <c r="Q3" s="247"/>
    </row>
    <row r="4" spans="1:17" ht="15">
      <c r="A4" s="248"/>
      <c r="B4" s="246">
        <v>2</v>
      </c>
      <c r="C4" s="246" t="s">
        <v>2561</v>
      </c>
      <c r="E4" s="247"/>
      <c r="F4" s="247"/>
      <c r="G4" s="247"/>
      <c r="H4" s="247"/>
      <c r="I4" s="247"/>
      <c r="J4" s="247"/>
      <c r="K4" s="247"/>
      <c r="L4" s="247"/>
      <c r="M4" s="247"/>
      <c r="N4" s="247"/>
      <c r="O4" s="247"/>
      <c r="P4" s="247"/>
      <c r="Q4" s="247"/>
    </row>
    <row r="5" spans="1:17" ht="15">
      <c r="A5" s="248"/>
      <c r="B5" s="246">
        <v>3</v>
      </c>
      <c r="C5" s="246" t="s">
        <v>2562</v>
      </c>
      <c r="E5" s="247"/>
      <c r="F5" s="247"/>
      <c r="G5" s="247"/>
      <c r="H5" s="247"/>
      <c r="I5" s="247"/>
      <c r="J5" s="247"/>
      <c r="K5" s="247"/>
      <c r="L5" s="247"/>
      <c r="M5" s="247"/>
      <c r="N5" s="247"/>
      <c r="O5" s="247"/>
      <c r="P5" s="247"/>
      <c r="Q5" s="247"/>
    </row>
    <row r="6" spans="1:17" ht="15">
      <c r="A6" s="248"/>
      <c r="B6" s="246">
        <v>4</v>
      </c>
      <c r="C6" s="246" t="s">
        <v>2563</v>
      </c>
      <c r="E6" s="247"/>
      <c r="F6" s="501" t="str">
        <f ca="1">C17</f>
        <v>⚽</v>
      </c>
      <c r="G6" s="501"/>
      <c r="H6" s="501"/>
      <c r="I6" s="247"/>
      <c r="J6" s="501" t="str">
        <f ca="1">C18</f>
        <v>⚔</v>
      </c>
      <c r="K6" s="501"/>
      <c r="L6" s="501"/>
      <c r="M6" s="247"/>
      <c r="N6" s="501" t="str">
        <f ca="1">C19</f>
        <v>✂</v>
      </c>
      <c r="O6" s="501"/>
      <c r="P6" s="501"/>
      <c r="Q6" s="247"/>
    </row>
    <row r="7" spans="1:17" ht="15">
      <c r="A7" s="248"/>
      <c r="B7" s="246">
        <v>5</v>
      </c>
      <c r="C7" s="246" t="s">
        <v>2564</v>
      </c>
      <c r="E7" s="247"/>
      <c r="F7" s="501"/>
      <c r="G7" s="501"/>
      <c r="H7" s="501"/>
      <c r="I7" s="247"/>
      <c r="J7" s="501"/>
      <c r="K7" s="501"/>
      <c r="L7" s="501"/>
      <c r="M7" s="247"/>
      <c r="N7" s="501"/>
      <c r="O7" s="501"/>
      <c r="P7" s="501"/>
      <c r="Q7" s="247"/>
    </row>
    <row r="8" spans="1:17" ht="15">
      <c r="A8" s="248"/>
      <c r="B8" s="246">
        <v>6</v>
      </c>
      <c r="C8" s="246" t="s">
        <v>2565</v>
      </c>
      <c r="E8" s="247"/>
      <c r="F8" s="501"/>
      <c r="G8" s="501"/>
      <c r="H8" s="501"/>
      <c r="I8" s="247"/>
      <c r="J8" s="501"/>
      <c r="K8" s="501"/>
      <c r="L8" s="501"/>
      <c r="M8" s="247"/>
      <c r="N8" s="501"/>
      <c r="O8" s="501"/>
      <c r="P8" s="501"/>
      <c r="Q8" s="247"/>
    </row>
    <row r="9" spans="1:17" ht="15">
      <c r="A9" s="248"/>
      <c r="B9" s="246">
        <v>7</v>
      </c>
      <c r="C9" s="246" t="s">
        <v>2566</v>
      </c>
      <c r="E9" s="247"/>
      <c r="F9" s="501"/>
      <c r="G9" s="501"/>
      <c r="H9" s="501"/>
      <c r="I9" s="247"/>
      <c r="J9" s="501"/>
      <c r="K9" s="501"/>
      <c r="L9" s="501"/>
      <c r="M9" s="247"/>
      <c r="N9" s="501"/>
      <c r="O9" s="501"/>
      <c r="P9" s="501"/>
      <c r="Q9" s="247"/>
    </row>
    <row r="10" spans="1:17" ht="15">
      <c r="A10" s="248"/>
      <c r="B10" s="246">
        <v>8</v>
      </c>
      <c r="C10" s="246" t="s">
        <v>2567</v>
      </c>
      <c r="E10" s="247"/>
      <c r="F10" s="501"/>
      <c r="G10" s="501"/>
      <c r="H10" s="501"/>
      <c r="I10" s="247"/>
      <c r="J10" s="501"/>
      <c r="K10" s="501"/>
      <c r="L10" s="501"/>
      <c r="M10" s="247"/>
      <c r="N10" s="501"/>
      <c r="O10" s="501"/>
      <c r="P10" s="501"/>
      <c r="Q10" s="247"/>
    </row>
    <row r="11" spans="1:17" ht="15">
      <c r="A11" s="248"/>
      <c r="B11" s="246">
        <v>9</v>
      </c>
      <c r="C11" s="246" t="s">
        <v>2568</v>
      </c>
      <c r="E11" s="247"/>
      <c r="F11" s="501"/>
      <c r="G11" s="501"/>
      <c r="H11" s="501"/>
      <c r="I11" s="247"/>
      <c r="J11" s="501"/>
      <c r="K11" s="501"/>
      <c r="L11" s="501"/>
      <c r="M11" s="247"/>
      <c r="N11" s="501"/>
      <c r="O11" s="501"/>
      <c r="P11" s="501"/>
      <c r="Q11" s="247"/>
    </row>
    <row r="12" spans="1:17" ht="15">
      <c r="A12" s="248"/>
      <c r="B12" s="246">
        <v>10</v>
      </c>
      <c r="C12" s="246" t="s">
        <v>2569</v>
      </c>
      <c r="E12" s="247"/>
      <c r="F12" s="501"/>
      <c r="G12" s="501"/>
      <c r="H12" s="501"/>
      <c r="I12" s="247"/>
      <c r="J12" s="501"/>
      <c r="K12" s="501"/>
      <c r="L12" s="501"/>
      <c r="M12" s="247"/>
      <c r="N12" s="501"/>
      <c r="O12" s="501"/>
      <c r="P12" s="501"/>
      <c r="Q12" s="247"/>
    </row>
    <row r="13" spans="1:17">
      <c r="A13" s="248"/>
      <c r="B13" s="248"/>
      <c r="C13" s="248"/>
      <c r="E13" s="247"/>
      <c r="F13" s="501"/>
      <c r="G13" s="501"/>
      <c r="H13" s="501"/>
      <c r="I13" s="247"/>
      <c r="J13" s="501"/>
      <c r="K13" s="501"/>
      <c r="L13" s="501"/>
      <c r="M13" s="247"/>
      <c r="N13" s="501"/>
      <c r="O13" s="501"/>
      <c r="P13" s="501"/>
      <c r="Q13" s="247"/>
    </row>
    <row r="14" spans="1:17">
      <c r="A14" s="248"/>
      <c r="B14" s="248"/>
      <c r="C14" s="248"/>
      <c r="E14" s="247"/>
      <c r="F14" s="501"/>
      <c r="G14" s="501"/>
      <c r="H14" s="501"/>
      <c r="I14" s="247"/>
      <c r="J14" s="501"/>
      <c r="K14" s="501"/>
      <c r="L14" s="501"/>
      <c r="M14" s="247"/>
      <c r="N14" s="501"/>
      <c r="O14" s="501"/>
      <c r="P14" s="501"/>
      <c r="Q14" s="247"/>
    </row>
    <row r="15" spans="1:17">
      <c r="A15" s="248"/>
      <c r="B15" s="248"/>
      <c r="C15" s="248"/>
      <c r="E15" s="247"/>
      <c r="F15" s="501"/>
      <c r="G15" s="501"/>
      <c r="H15" s="501"/>
      <c r="I15" s="247"/>
      <c r="J15" s="501"/>
      <c r="K15" s="501"/>
      <c r="L15" s="501"/>
      <c r="M15" s="247"/>
      <c r="N15" s="501"/>
      <c r="O15" s="501"/>
      <c r="P15" s="501"/>
      <c r="Q15" s="247"/>
    </row>
    <row r="16" spans="1:17">
      <c r="A16" s="248"/>
      <c r="B16" s="248"/>
      <c r="C16" s="248"/>
      <c r="E16" s="247"/>
      <c r="F16" s="247"/>
      <c r="G16" s="247"/>
      <c r="H16" s="247"/>
      <c r="I16" s="247"/>
      <c r="J16" s="247"/>
      <c r="K16" s="247"/>
      <c r="L16" s="247"/>
      <c r="M16" s="247"/>
      <c r="N16" s="247"/>
      <c r="O16" s="247"/>
      <c r="P16" s="247"/>
      <c r="Q16" s="247"/>
    </row>
    <row r="17" spans="1:17">
      <c r="A17" s="248" t="s">
        <v>2570</v>
      </c>
      <c r="B17" s="248">
        <f ca="1">RANDBETWEEN(1,10)</f>
        <v>5</v>
      </c>
      <c r="C17" s="248" t="str">
        <f ca="1">VLOOKUP(B17,$B$3:$C$12,2,FALSE)</f>
        <v>⚽</v>
      </c>
      <c r="E17" s="247"/>
      <c r="F17" s="247"/>
      <c r="G17" s="247"/>
      <c r="H17" s="247"/>
      <c r="I17" s="247"/>
      <c r="J17" s="247"/>
      <c r="K17" s="247"/>
      <c r="L17" s="247"/>
      <c r="M17" s="247"/>
      <c r="N17" s="247"/>
      <c r="O17" s="247"/>
      <c r="P17" s="247"/>
      <c r="Q17" s="247"/>
    </row>
    <row r="18" spans="1:17">
      <c r="A18" s="248" t="s">
        <v>2571</v>
      </c>
      <c r="B18" s="248">
        <f t="shared" ref="B18:B19" ca="1" si="0">RANDBETWEEN(1,10)</f>
        <v>9</v>
      </c>
      <c r="C18" s="248" t="str">
        <f t="shared" ref="C18:C19" ca="1" si="1">VLOOKUP(B18,$B$3:$C$12,2,FALSE)</f>
        <v>⚔</v>
      </c>
      <c r="E18" s="247"/>
      <c r="F18" s="502" t="str">
        <f ca="1">IF(AND(F6=J6,J6=N6),"ERES UN GROSO… GANASTE!!!!","SIGUE PARTICIPANDO")</f>
        <v>SIGUE PARTICIPANDO</v>
      </c>
      <c r="G18" s="502"/>
      <c r="H18" s="502"/>
      <c r="I18" s="502"/>
      <c r="J18" s="502"/>
      <c r="K18" s="502"/>
      <c r="L18" s="502"/>
      <c r="M18" s="502"/>
      <c r="N18" s="502"/>
      <c r="O18" s="502"/>
      <c r="P18" s="502"/>
      <c r="Q18" s="247"/>
    </row>
    <row r="19" spans="1:17">
      <c r="A19" s="248" t="s">
        <v>2572</v>
      </c>
      <c r="B19" s="248">
        <f t="shared" ca="1" si="0"/>
        <v>10</v>
      </c>
      <c r="C19" s="248" t="str">
        <f t="shared" ca="1" si="1"/>
        <v>✂</v>
      </c>
      <c r="E19" s="247"/>
      <c r="F19" s="502"/>
      <c r="G19" s="502"/>
      <c r="H19" s="502"/>
      <c r="I19" s="502"/>
      <c r="J19" s="502"/>
      <c r="K19" s="502"/>
      <c r="L19" s="502"/>
      <c r="M19" s="502"/>
      <c r="N19" s="502"/>
      <c r="O19" s="502"/>
      <c r="P19" s="502"/>
      <c r="Q19" s="247"/>
    </row>
    <row r="20" spans="1:17">
      <c r="E20" s="247"/>
      <c r="F20" s="502"/>
      <c r="G20" s="502"/>
      <c r="H20" s="502"/>
      <c r="I20" s="502"/>
      <c r="J20" s="502"/>
      <c r="K20" s="502"/>
      <c r="L20" s="502"/>
      <c r="M20" s="502"/>
      <c r="N20" s="502"/>
      <c r="O20" s="502"/>
      <c r="P20" s="502"/>
      <c r="Q20" s="247"/>
    </row>
    <row r="21" spans="1:17">
      <c r="E21" s="247"/>
      <c r="F21" s="502"/>
      <c r="G21" s="502"/>
      <c r="H21" s="502"/>
      <c r="I21" s="502"/>
      <c r="J21" s="502"/>
      <c r="K21" s="502"/>
      <c r="L21" s="502"/>
      <c r="M21" s="502"/>
      <c r="N21" s="502"/>
      <c r="O21" s="502"/>
      <c r="P21" s="502"/>
      <c r="Q21" s="247"/>
    </row>
    <row r="22" spans="1:17">
      <c r="E22" s="247"/>
      <c r="F22" s="247"/>
      <c r="G22" s="247"/>
      <c r="H22" s="247"/>
      <c r="I22" s="247"/>
      <c r="J22" s="247"/>
      <c r="K22" s="247"/>
      <c r="L22" s="247"/>
      <c r="M22" s="247"/>
      <c r="N22" s="247"/>
      <c r="O22" s="247"/>
      <c r="P22" s="247"/>
      <c r="Q22" s="247"/>
    </row>
    <row r="23" spans="1:17">
      <c r="E23" s="247"/>
      <c r="F23" s="247"/>
      <c r="G23" s="247"/>
      <c r="H23" s="247"/>
      <c r="I23" s="247"/>
      <c r="J23" s="247"/>
      <c r="K23" s="247"/>
      <c r="L23" s="247"/>
      <c r="M23" s="247"/>
      <c r="N23" s="247"/>
      <c r="O23" s="247"/>
      <c r="P23" s="247"/>
      <c r="Q23" s="247"/>
    </row>
    <row r="24" spans="1:17">
      <c r="E24" s="247"/>
      <c r="F24" s="247"/>
      <c r="G24" s="247"/>
      <c r="H24" s="247"/>
      <c r="I24" s="247"/>
      <c r="J24" s="247"/>
      <c r="K24" s="247"/>
      <c r="L24" s="247"/>
      <c r="M24" s="247"/>
      <c r="N24" s="247"/>
      <c r="O24" s="247"/>
      <c r="P24" s="247"/>
      <c r="Q24" s="247"/>
    </row>
    <row r="25" spans="1:17">
      <c r="E25" s="247"/>
      <c r="Q25" s="247"/>
    </row>
    <row r="26" spans="1:17">
      <c r="E26" s="247"/>
      <c r="Q26" s="247"/>
    </row>
    <row r="27" spans="1:17">
      <c r="E27" s="247"/>
      <c r="Q27" s="247"/>
    </row>
    <row r="28" spans="1:17">
      <c r="E28" s="247"/>
      <c r="Q28" s="247"/>
    </row>
    <row r="29" spans="1:17">
      <c r="E29" s="247"/>
      <c r="Q29" s="247"/>
    </row>
    <row r="30" spans="1:17">
      <c r="E30" s="247"/>
      <c r="F30" s="247"/>
      <c r="G30" s="247"/>
      <c r="H30" s="247"/>
      <c r="I30" s="247"/>
      <c r="J30" s="247"/>
      <c r="K30" s="247"/>
      <c r="L30" s="247"/>
      <c r="M30" s="247"/>
      <c r="N30" s="247"/>
      <c r="O30" s="247"/>
      <c r="P30" s="247"/>
      <c r="Q30" s="247"/>
    </row>
  </sheetData>
  <mergeCells count="5">
    <mergeCell ref="F6:H15"/>
    <mergeCell ref="J6:L15"/>
    <mergeCell ref="N6:P15"/>
    <mergeCell ref="F18:P21"/>
    <mergeCell ref="F2:P3"/>
  </mergeCell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sheetPr codeName="Hoja7"/>
  <dimension ref="A3:AL3"/>
  <sheetViews>
    <sheetView workbookViewId="0">
      <selection activeCell="D8" sqref="D8"/>
    </sheetView>
  </sheetViews>
  <sheetFormatPr baseColWidth="10" defaultRowHeight="12.75"/>
  <cols>
    <col min="14" max="14" width="47.85546875" bestFit="1" customWidth="1"/>
  </cols>
  <sheetData>
    <row r="3" spans="1:38" s="1" customFormat="1" ht="39.950000000000003" customHeight="1">
      <c r="A3" s="115">
        <v>756</v>
      </c>
      <c r="B3" s="113">
        <v>45359</v>
      </c>
      <c r="C3" s="26" t="s">
        <v>388</v>
      </c>
      <c r="D3" s="26" t="s">
        <v>2467</v>
      </c>
      <c r="E3" s="298" t="s">
        <v>2470</v>
      </c>
      <c r="F3" s="115">
        <v>7</v>
      </c>
      <c r="G3" s="115"/>
      <c r="H3" s="113"/>
      <c r="I3" s="113"/>
      <c r="J3" s="113"/>
      <c r="K3" s="115" t="s">
        <v>1480</v>
      </c>
      <c r="L3" s="96" t="s">
        <v>2173</v>
      </c>
      <c r="M3" s="96"/>
      <c r="N3" s="26" t="s">
        <v>2951</v>
      </c>
      <c r="O3" s="26" t="str">
        <f>IF(Q3=" _","NO","SI")</f>
        <v>NO</v>
      </c>
      <c r="P3" s="304" t="e">
        <f>IF(color_Celda(E3)=12106214,"ROSA",IF(color_Celda(E3)=65535,"AMARILLO",IF(color_Celda(E3)=5296274,"VERDE",IF(color_Celda(E3)=16777215,"BLANCO","NO SE"))))</f>
        <v>#VALUE!</v>
      </c>
      <c r="Q3" s="26" t="s">
        <v>108</v>
      </c>
      <c r="R3" s="26" t="str">
        <f>VLOOKUP($Q3,Resultados!$A$1:$B$49,2,FALSE)</f>
        <v xml:space="preserve"> _</v>
      </c>
      <c r="S3" s="26"/>
      <c r="T3" s="99"/>
      <c r="U3" s="116"/>
      <c r="V3" s="115"/>
      <c r="W3" s="115"/>
      <c r="X3" s="115"/>
      <c r="Y3" s="115"/>
      <c r="Z3" s="115"/>
      <c r="AA3" s="115"/>
      <c r="AB3" s="115"/>
      <c r="AC3" s="115"/>
      <c r="AD3" s="115"/>
      <c r="AE3" s="117"/>
      <c r="AF3" s="115"/>
      <c r="AG3" s="115"/>
      <c r="AH3" s="115"/>
      <c r="AI3" s="115"/>
      <c r="AJ3" s="245" t="s">
        <v>408</v>
      </c>
      <c r="AK3" s="115"/>
      <c r="AL3" s="157" t="s">
        <v>1627</v>
      </c>
    </row>
  </sheetData>
  <conditionalFormatting sqref="AF3">
    <cfRule type="expression" dxfId="11" priority="2">
      <formula>MAX($AC3,$AD3)&lt;1</formula>
    </cfRule>
  </conditionalFormatting>
  <conditionalFormatting sqref="D3">
    <cfRule type="duplicateValues" dxfId="10" priority="1"/>
  </conditionalFormatting>
  <dataValidations count="4">
    <dataValidation type="list" allowBlank="1" showInputMessage="1" showErrorMessage="1" sqref="G3">
      <formula1>Internos!$A$1:$A$8</formula1>
    </dataValidation>
    <dataValidation type="list" allowBlank="1" showInputMessage="1" showErrorMessage="1" sqref="M3">
      <formula1>defensores!$A$1:$A$318</formula1>
    </dataValidation>
    <dataValidation type="list" allowBlank="1" showInputMessage="1" showErrorMessage="1" sqref="J3">
      <formula1>Jueces!$A$1:$A$21</formula1>
    </dataValidation>
    <dataValidation type="list" allowBlank="1" showInputMessage="1" showErrorMessage="1" sqref="L3">
      <formula1>'fiscalias penales'!$A$1:$A$136</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sheetPr codeName="Hoja12"/>
  <dimension ref="A1:M48"/>
  <sheetViews>
    <sheetView workbookViewId="0">
      <selection activeCell="M5" sqref="M5"/>
    </sheetView>
  </sheetViews>
  <sheetFormatPr baseColWidth="10" defaultRowHeight="12.75"/>
  <cols>
    <col min="1" max="1" width="18" customWidth="1"/>
    <col min="2" max="2" width="19.42578125" bestFit="1" customWidth="1"/>
    <col min="3" max="3" width="11.28515625" customWidth="1"/>
    <col min="4" max="4" width="14.85546875" customWidth="1"/>
    <col min="5" max="5" width="19.42578125" bestFit="1" customWidth="1"/>
  </cols>
  <sheetData>
    <row r="1" spans="1:13" ht="15">
      <c r="A1" s="504" t="s">
        <v>3019</v>
      </c>
      <c r="B1" s="504"/>
      <c r="C1" s="504"/>
      <c r="D1" s="504"/>
      <c r="E1" s="504"/>
    </row>
    <row r="2" spans="1:13" ht="13.5" thickBot="1"/>
    <row r="3" spans="1:13" s="317" customFormat="1">
      <c r="A3" s="318" t="s">
        <v>2403</v>
      </c>
      <c r="B3" s="319" t="s">
        <v>2846</v>
      </c>
      <c r="D3" s="318" t="s">
        <v>2403</v>
      </c>
      <c r="E3" s="319" t="s">
        <v>2846</v>
      </c>
    </row>
    <row r="4" spans="1:13" ht="20.100000000000001" customHeight="1">
      <c r="A4" s="320"/>
      <c r="B4" s="321" t="s">
        <v>3015</v>
      </c>
      <c r="C4" s="9"/>
      <c r="D4" s="322"/>
      <c r="E4" s="321" t="s">
        <v>3015</v>
      </c>
    </row>
    <row r="5" spans="1:13" ht="20.100000000000001" customHeight="1">
      <c r="A5" s="320"/>
      <c r="B5" s="321" t="s">
        <v>3016</v>
      </c>
      <c r="C5" s="9"/>
      <c r="D5" s="322"/>
      <c r="E5" s="321" t="s">
        <v>3016</v>
      </c>
      <c r="M5" s="5"/>
    </row>
    <row r="6" spans="1:13" ht="20.100000000000001" customHeight="1">
      <c r="A6" s="320"/>
      <c r="B6" s="321" t="s">
        <v>3017</v>
      </c>
      <c r="C6" s="9"/>
      <c r="D6" s="322"/>
      <c r="E6" s="321" t="s">
        <v>3017</v>
      </c>
      <c r="M6" s="5"/>
    </row>
    <row r="7" spans="1:13" ht="20.100000000000001" customHeight="1">
      <c r="A7" s="320"/>
      <c r="B7" s="321" t="s">
        <v>3018</v>
      </c>
      <c r="C7" s="9"/>
      <c r="D7" s="322"/>
      <c r="E7" s="321" t="s">
        <v>3018</v>
      </c>
    </row>
    <row r="8" spans="1:13" ht="20.100000000000001" customHeight="1">
      <c r="A8" s="320"/>
      <c r="B8" s="321" t="s">
        <v>3015</v>
      </c>
      <c r="C8" s="9"/>
      <c r="D8" s="322"/>
      <c r="E8" s="321" t="s">
        <v>3015</v>
      </c>
    </row>
    <row r="9" spans="1:13" ht="20.100000000000001" customHeight="1">
      <c r="A9" s="320"/>
      <c r="B9" s="321" t="s">
        <v>3016</v>
      </c>
      <c r="C9" s="9"/>
      <c r="D9" s="322"/>
      <c r="E9" s="321" t="s">
        <v>3016</v>
      </c>
    </row>
    <row r="10" spans="1:13" ht="20.100000000000001" customHeight="1">
      <c r="A10" s="320"/>
      <c r="B10" s="321" t="s">
        <v>3017</v>
      </c>
      <c r="C10" s="9"/>
      <c r="D10" s="322"/>
      <c r="E10" s="321" t="s">
        <v>3017</v>
      </c>
    </row>
    <row r="11" spans="1:13" ht="20.100000000000001" customHeight="1">
      <c r="A11" s="320"/>
      <c r="B11" s="321" t="s">
        <v>3018</v>
      </c>
      <c r="C11" s="9"/>
      <c r="D11" s="322"/>
      <c r="E11" s="321" t="s">
        <v>3018</v>
      </c>
    </row>
    <row r="12" spans="1:13" ht="20.100000000000001" customHeight="1">
      <c r="A12" s="320"/>
      <c r="B12" s="321" t="s">
        <v>3015</v>
      </c>
      <c r="C12" s="9"/>
      <c r="D12" s="322"/>
      <c r="E12" s="321" t="s">
        <v>3015</v>
      </c>
    </row>
    <row r="13" spans="1:13" ht="20.100000000000001" customHeight="1">
      <c r="A13" s="320"/>
      <c r="B13" s="321" t="s">
        <v>3016</v>
      </c>
      <c r="C13" s="9"/>
      <c r="D13" s="322"/>
      <c r="E13" s="321" t="s">
        <v>3016</v>
      </c>
    </row>
    <row r="14" spans="1:13" ht="20.100000000000001" customHeight="1">
      <c r="A14" s="320"/>
      <c r="B14" s="321" t="s">
        <v>3017</v>
      </c>
      <c r="C14" s="9"/>
      <c r="D14" s="322"/>
      <c r="E14" s="321" t="s">
        <v>3017</v>
      </c>
    </row>
    <row r="15" spans="1:13" ht="20.100000000000001" customHeight="1">
      <c r="A15" s="320"/>
      <c r="B15" s="321" t="s">
        <v>3018</v>
      </c>
      <c r="C15" s="9"/>
      <c r="D15" s="322"/>
      <c r="E15" s="321" t="s">
        <v>3018</v>
      </c>
    </row>
    <row r="16" spans="1:13" ht="20.100000000000001" customHeight="1">
      <c r="A16" s="320"/>
      <c r="B16" s="321" t="s">
        <v>3015</v>
      </c>
      <c r="C16" s="9"/>
      <c r="D16" s="322"/>
      <c r="E16" s="321" t="s">
        <v>3015</v>
      </c>
    </row>
    <row r="17" spans="1:5" ht="20.100000000000001" customHeight="1">
      <c r="A17" s="320"/>
      <c r="B17" s="321" t="s">
        <v>3016</v>
      </c>
      <c r="C17" s="9"/>
      <c r="D17" s="322"/>
      <c r="E17" s="321" t="s">
        <v>3016</v>
      </c>
    </row>
    <row r="18" spans="1:5" ht="20.100000000000001" customHeight="1">
      <c r="A18" s="320"/>
      <c r="B18" s="321" t="s">
        <v>3017</v>
      </c>
      <c r="C18" s="9"/>
      <c r="D18" s="322"/>
      <c r="E18" s="321" t="s">
        <v>3017</v>
      </c>
    </row>
    <row r="19" spans="1:5" ht="20.100000000000001" customHeight="1">
      <c r="A19" s="320"/>
      <c r="B19" s="321" t="s">
        <v>3018</v>
      </c>
      <c r="C19" s="9"/>
      <c r="D19" s="322"/>
      <c r="E19" s="321" t="s">
        <v>3018</v>
      </c>
    </row>
    <row r="20" spans="1:5" ht="20.100000000000001" customHeight="1">
      <c r="A20" s="320"/>
      <c r="B20" s="321" t="s">
        <v>3015</v>
      </c>
      <c r="C20" s="9"/>
      <c r="D20" s="322"/>
      <c r="E20" s="321" t="s">
        <v>3015</v>
      </c>
    </row>
    <row r="21" spans="1:5" ht="20.100000000000001" customHeight="1">
      <c r="A21" s="320"/>
      <c r="B21" s="321" t="s">
        <v>3016</v>
      </c>
      <c r="C21" s="9"/>
      <c r="D21" s="322"/>
      <c r="E21" s="321" t="s">
        <v>3016</v>
      </c>
    </row>
    <row r="22" spans="1:5" ht="20.100000000000001" customHeight="1">
      <c r="A22" s="320"/>
      <c r="B22" s="321" t="s">
        <v>3017</v>
      </c>
      <c r="C22" s="9"/>
      <c r="D22" s="322"/>
      <c r="E22" s="321" t="s">
        <v>3017</v>
      </c>
    </row>
    <row r="23" spans="1:5" ht="20.100000000000001" customHeight="1">
      <c r="A23" s="320"/>
      <c r="B23" s="321" t="s">
        <v>3018</v>
      </c>
      <c r="C23" s="9"/>
      <c r="D23" s="322"/>
      <c r="E23" s="321" t="s">
        <v>3018</v>
      </c>
    </row>
    <row r="24" spans="1:5" ht="20.100000000000001" customHeight="1">
      <c r="A24" s="320"/>
      <c r="B24" s="321" t="s">
        <v>3015</v>
      </c>
      <c r="C24" s="9"/>
      <c r="D24" s="322"/>
      <c r="E24" s="321" t="s">
        <v>3015</v>
      </c>
    </row>
    <row r="25" spans="1:5" ht="20.100000000000001" customHeight="1">
      <c r="A25" s="320"/>
      <c r="B25" s="321" t="s">
        <v>3016</v>
      </c>
      <c r="C25" s="9"/>
      <c r="D25" s="322"/>
      <c r="E25" s="321" t="s">
        <v>3016</v>
      </c>
    </row>
    <row r="26" spans="1:5" ht="20.100000000000001" customHeight="1">
      <c r="A26" s="320"/>
      <c r="B26" s="321" t="s">
        <v>3017</v>
      </c>
      <c r="C26" s="9"/>
      <c r="D26" s="322"/>
      <c r="E26" s="321" t="s">
        <v>3017</v>
      </c>
    </row>
    <row r="27" spans="1:5" ht="20.100000000000001" customHeight="1">
      <c r="A27" s="320"/>
      <c r="B27" s="321" t="s">
        <v>3018</v>
      </c>
      <c r="C27" s="9"/>
      <c r="D27" s="322"/>
      <c r="E27" s="321" t="s">
        <v>3018</v>
      </c>
    </row>
    <row r="28" spans="1:5" ht="20.100000000000001" customHeight="1">
      <c r="A28" s="320"/>
      <c r="B28" s="321" t="s">
        <v>3015</v>
      </c>
      <c r="C28" s="9"/>
      <c r="D28" s="322"/>
      <c r="E28" s="321" t="s">
        <v>3015</v>
      </c>
    </row>
    <row r="29" spans="1:5" ht="20.100000000000001" customHeight="1">
      <c r="A29" s="320"/>
      <c r="B29" s="321" t="s">
        <v>3016</v>
      </c>
      <c r="C29" s="9"/>
      <c r="D29" s="322"/>
      <c r="E29" s="321" t="s">
        <v>3016</v>
      </c>
    </row>
    <row r="30" spans="1:5" ht="20.100000000000001" customHeight="1">
      <c r="A30" s="320"/>
      <c r="B30" s="321" t="s">
        <v>3017</v>
      </c>
      <c r="C30" s="9"/>
      <c r="D30" s="322"/>
      <c r="E30" s="321" t="s">
        <v>3017</v>
      </c>
    </row>
    <row r="31" spans="1:5" ht="20.100000000000001" customHeight="1">
      <c r="A31" s="320"/>
      <c r="B31" s="321" t="s">
        <v>3018</v>
      </c>
      <c r="C31" s="9"/>
      <c r="D31" s="322"/>
      <c r="E31" s="321" t="s">
        <v>3018</v>
      </c>
    </row>
    <row r="32" spans="1:5" ht="20.100000000000001" customHeight="1">
      <c r="A32" s="320"/>
      <c r="B32" s="321" t="s">
        <v>3015</v>
      </c>
      <c r="C32" s="9"/>
      <c r="D32" s="322"/>
      <c r="E32" s="321" t="s">
        <v>3015</v>
      </c>
    </row>
    <row r="33" spans="1:5" ht="20.100000000000001" customHeight="1">
      <c r="A33" s="320"/>
      <c r="B33" s="321" t="s">
        <v>3016</v>
      </c>
      <c r="C33" s="9"/>
      <c r="D33" s="322"/>
      <c r="E33" s="321" t="s">
        <v>3016</v>
      </c>
    </row>
    <row r="34" spans="1:5" ht="20.100000000000001" customHeight="1">
      <c r="A34" s="320"/>
      <c r="B34" s="321" t="s">
        <v>3017</v>
      </c>
      <c r="C34" s="9"/>
      <c r="D34" s="322"/>
      <c r="E34" s="321" t="s">
        <v>3017</v>
      </c>
    </row>
    <row r="35" spans="1:5" ht="20.100000000000001" customHeight="1">
      <c r="A35" s="320"/>
      <c r="B35" s="321" t="s">
        <v>3018</v>
      </c>
      <c r="C35" s="9"/>
      <c r="D35" s="322"/>
      <c r="E35" s="321" t="s">
        <v>3018</v>
      </c>
    </row>
    <row r="36" spans="1:5" ht="20.100000000000001" customHeight="1">
      <c r="A36" s="320"/>
      <c r="B36" s="321" t="s">
        <v>3015</v>
      </c>
      <c r="C36" s="9"/>
      <c r="D36" s="322"/>
      <c r="E36" s="321" t="s">
        <v>3015</v>
      </c>
    </row>
    <row r="37" spans="1:5" ht="20.100000000000001" customHeight="1">
      <c r="A37" s="320"/>
      <c r="B37" s="321" t="s">
        <v>3016</v>
      </c>
      <c r="C37" s="9"/>
      <c r="D37" s="322"/>
      <c r="E37" s="321" t="s">
        <v>3016</v>
      </c>
    </row>
    <row r="38" spans="1:5" ht="20.100000000000001" customHeight="1">
      <c r="A38" s="320"/>
      <c r="B38" s="321" t="s">
        <v>3017</v>
      </c>
      <c r="C38" s="9"/>
      <c r="D38" s="322"/>
      <c r="E38" s="321" t="s">
        <v>3017</v>
      </c>
    </row>
    <row r="39" spans="1:5" ht="20.100000000000001" customHeight="1">
      <c r="A39" s="320"/>
      <c r="B39" s="321" t="s">
        <v>3018</v>
      </c>
      <c r="C39" s="9"/>
      <c r="D39" s="322"/>
      <c r="E39" s="321" t="s">
        <v>3018</v>
      </c>
    </row>
    <row r="40" spans="1:5" ht="20.100000000000001" customHeight="1">
      <c r="A40" s="320"/>
      <c r="B40" s="321" t="s">
        <v>3015</v>
      </c>
      <c r="C40" s="9"/>
      <c r="D40" s="322"/>
      <c r="E40" s="321" t="s">
        <v>3015</v>
      </c>
    </row>
    <row r="41" spans="1:5" ht="20.100000000000001" customHeight="1">
      <c r="A41" s="320"/>
      <c r="B41" s="321" t="s">
        <v>3016</v>
      </c>
      <c r="C41" s="9"/>
      <c r="D41" s="322"/>
      <c r="E41" s="321" t="s">
        <v>3016</v>
      </c>
    </row>
    <row r="42" spans="1:5" ht="20.100000000000001" customHeight="1">
      <c r="A42" s="320"/>
      <c r="B42" s="321" t="s">
        <v>3017</v>
      </c>
      <c r="C42" s="9"/>
      <c r="D42" s="322"/>
      <c r="E42" s="321" t="s">
        <v>3017</v>
      </c>
    </row>
    <row r="43" spans="1:5" ht="20.100000000000001" customHeight="1">
      <c r="A43" s="320"/>
      <c r="B43" s="321" t="s">
        <v>3018</v>
      </c>
      <c r="C43" s="9"/>
      <c r="D43" s="322"/>
      <c r="E43" s="321" t="s">
        <v>3018</v>
      </c>
    </row>
    <row r="44" spans="1:5" ht="20.100000000000001" customHeight="1">
      <c r="A44" s="320"/>
      <c r="B44" s="321" t="s">
        <v>3015</v>
      </c>
      <c r="C44" s="9"/>
      <c r="D44" s="322"/>
      <c r="E44" s="321" t="s">
        <v>3015</v>
      </c>
    </row>
    <row r="45" spans="1:5" ht="20.100000000000001" customHeight="1">
      <c r="A45" s="320"/>
      <c r="B45" s="321" t="s">
        <v>3016</v>
      </c>
      <c r="C45" s="9"/>
      <c r="D45" s="322"/>
      <c r="E45" s="321" t="s">
        <v>3016</v>
      </c>
    </row>
    <row r="46" spans="1:5" ht="20.100000000000001" customHeight="1">
      <c r="A46" s="320"/>
      <c r="B46" s="321" t="s">
        <v>3017</v>
      </c>
      <c r="C46" s="9"/>
      <c r="D46" s="322"/>
      <c r="E46" s="321" t="s">
        <v>3017</v>
      </c>
    </row>
    <row r="47" spans="1:5" ht="20.100000000000001" customHeight="1">
      <c r="A47" s="320"/>
      <c r="B47" s="321" t="s">
        <v>3018</v>
      </c>
      <c r="C47" s="9"/>
      <c r="D47" s="322"/>
      <c r="E47" s="321" t="s">
        <v>3018</v>
      </c>
    </row>
    <row r="48" spans="1:5" ht="20.100000000000001" customHeight="1"/>
  </sheetData>
  <mergeCells count="1">
    <mergeCell ref="A1:E1"/>
  </mergeCells>
  <pageMargins left="0.96" right="0.70866141732283472" top="0.74803149606299213" bottom="0.74803149606299213" header="0.31496062992125984" footer="0.31496062992125984"/>
  <pageSetup paperSize="5" orientation="portrait" horizontalDpi="4294967294" verticalDpi="4294967294"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13</vt:i4>
      </vt:variant>
      <vt:variant>
        <vt:lpstr>Rangos con nombre</vt:lpstr>
      </vt:variant>
      <vt:variant>
        <vt:i4>8</vt:i4>
      </vt:variant>
    </vt:vector>
  </HeadingPairs>
  <TitlesOfParts>
    <vt:vector size="21" baseType="lpstr">
      <vt:lpstr>EXPEDIENTES</vt:lpstr>
      <vt:lpstr>fiscalias penales</vt:lpstr>
      <vt:lpstr>defensores</vt:lpstr>
      <vt:lpstr>ESTA_DISTI_K</vt:lpstr>
      <vt:lpstr>ESTADISTICAS</vt:lpstr>
      <vt:lpstr>Informe de Gestión</vt:lpstr>
      <vt:lpstr>Jueces</vt:lpstr>
      <vt:lpstr>Internos</vt:lpstr>
      <vt:lpstr>Resultados</vt:lpstr>
      <vt:lpstr>Hoja1</vt:lpstr>
      <vt:lpstr>Hoja2</vt:lpstr>
      <vt:lpstr>NORECIBIDAS</vt:lpstr>
      <vt:lpstr>PLANILLA VACIA PRESOS</vt:lpstr>
      <vt:lpstr>A.I._Nº_2___Dr._Flores_Larsen</vt:lpstr>
      <vt:lpstr>Audiencia_cancelada___inimputabilidad</vt:lpstr>
      <vt:lpstr>DOP_1___Dr._Federico_Andres_Gutierrez</vt:lpstr>
      <vt:lpstr>Dr._Moreno</vt:lpstr>
      <vt:lpstr>Dra._Lamas</vt:lpstr>
      <vt:lpstr>Dra._Zunino</vt:lpstr>
      <vt:lpstr>Fisc._Delitos._Econ._Dra._Salinas</vt:lpstr>
      <vt:lpstr>INTERNOS</vt:lpstr>
    </vt:vector>
  </TitlesOfParts>
  <Company>Poder Judicial de Salta</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Julian Alejandro Nieva - Colaborador: Kevin Alancay</dc:creator>
  <cp:lastModifiedBy>OFIJUGAR - Lopez Luca, Jose Eduardo</cp:lastModifiedBy>
  <cp:lastPrinted>2024-04-26T15:46:33Z</cp:lastPrinted>
  <dcterms:created xsi:type="dcterms:W3CDTF">2023-02-23T14:47:20Z</dcterms:created>
  <dcterms:modified xsi:type="dcterms:W3CDTF">2024-04-26T17:36:51Z</dcterms:modified>
</cp:coreProperties>
</file>

<file path=userCustomization/customUI.xml><?xml version="1.0" encoding="utf-8"?>
<mso:customUI xmlns:doc="http://schemas.microsoft.com/office/2006/01/customui/currentDocument" xmlns:mso="http://schemas.microsoft.com/office/2006/01/customui">
  <mso:ribbon>
    <mso:qat>
      <mso:documentControls>
        <mso:button idQ="doc:VerFila1_1" visible="true" label="VerFila1" onAction="VerFila1" imageMso="ListMacros"/>
      </mso:documentControls>
    </mso:qat>
  </mso:ribbon>
</mso:customUI>
</file>