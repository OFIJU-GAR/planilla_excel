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externalLinks/externalLink8.xml" ContentType="application/vnd.openxmlformats-officedocument.spreadsheetml.externalLink+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 r:id="rId32"/>
  </externalReferences>
  <definedNames>
    <definedName name="_xlnm._FilterDatabase" localSheetId="0" hidden="1">EXPEDIENTES!$A$2:$AK$2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3"/>
    <pivotCache cacheId="1" r:id="rId34"/>
    <pivotCache cacheId="2" r:id="rId35"/>
    <pivotCache cacheId="3" r:id="rId36"/>
    <pivotCache cacheId="4" r:id="rId37"/>
    <pivotCache cacheId="5" r:id="rId38"/>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7" i="1"/>
  <c r="K287"/>
  <c r="O286" l="1"/>
  <c r="K286"/>
  <c r="O285"/>
  <c r="K285"/>
  <c r="O284" l="1"/>
  <c r="K284"/>
  <c r="O283" l="1"/>
  <c r="K283"/>
  <c r="AF282"/>
  <c r="AF281"/>
  <c r="AF280"/>
  <c r="AF279"/>
  <c r="AF278"/>
  <c r="AF277"/>
  <c r="AF276"/>
  <c r="AF275"/>
  <c r="AF274"/>
  <c r="AF273"/>
  <c r="AF272"/>
  <c r="AF271"/>
  <c r="AF270"/>
  <c r="AF269"/>
  <c r="AF268"/>
  <c r="AF267"/>
  <c r="AF266"/>
  <c r="AF265"/>
  <c r="AF264"/>
  <c r="AF263"/>
  <c r="AF262"/>
  <c r="AF261"/>
  <c r="AF260"/>
  <c r="AF259"/>
  <c r="AF258"/>
  <c r="AF257"/>
  <c r="AF256"/>
  <c r="AF255"/>
  <c r="AF254"/>
  <c r="AF253"/>
  <c r="AF252"/>
  <c r="AF251"/>
  <c r="AF250"/>
  <c r="AF249"/>
  <c r="AF248"/>
  <c r="AF247"/>
  <c r="AF246"/>
  <c r="AF245"/>
  <c r="AF244"/>
  <c r="AF243"/>
  <c r="AF242"/>
  <c r="AF241"/>
  <c r="AF240"/>
  <c r="AF239"/>
  <c r="AF238"/>
  <c r="AF237"/>
  <c r="AF236"/>
  <c r="AF235"/>
  <c r="AF234"/>
  <c r="AF233"/>
  <c r="AF232"/>
  <c r="AF231"/>
  <c r="AF230"/>
  <c r="AF229"/>
  <c r="AF228"/>
  <c r="AF227"/>
  <c r="AF226"/>
  <c r="AF225"/>
  <c r="AF224"/>
  <c r="AF223"/>
  <c r="AF222"/>
  <c r="AF221"/>
  <c r="AF220"/>
  <c r="AF219"/>
  <c r="AF218"/>
  <c r="AF217"/>
  <c r="AF216"/>
  <c r="AF215"/>
  <c r="AF214"/>
  <c r="AF213"/>
  <c r="AF212"/>
  <c r="AF211"/>
  <c r="AF210"/>
  <c r="AF209"/>
  <c r="AF208"/>
  <c r="AF207"/>
  <c r="AF206"/>
  <c r="AF205"/>
  <c r="AF204"/>
  <c r="AF203"/>
  <c r="AF202"/>
  <c r="AF201"/>
  <c r="AF200"/>
  <c r="AF199"/>
  <c r="AF198"/>
  <c r="AF197"/>
  <c r="AF196"/>
  <c r="AF195"/>
  <c r="AF194"/>
  <c r="AF193"/>
  <c r="AF192"/>
  <c r="AF191"/>
  <c r="AF190"/>
  <c r="AF189"/>
  <c r="AF188"/>
  <c r="AF187"/>
  <c r="AF186"/>
  <c r="AF185"/>
  <c r="AF184"/>
  <c r="AF183"/>
  <c r="AF182"/>
  <c r="AF181"/>
  <c r="AF180"/>
  <c r="AF179"/>
  <c r="AF178"/>
  <c r="AF177"/>
  <c r="AF176"/>
  <c r="AF175"/>
  <c r="AF174"/>
  <c r="AF173"/>
  <c r="AF172"/>
  <c r="AF171"/>
  <c r="AF170"/>
  <c r="AF169"/>
  <c r="AF168"/>
  <c r="AF167"/>
  <c r="AF166"/>
  <c r="AF165"/>
  <c r="AF164"/>
  <c r="AF163"/>
  <c r="AF162"/>
  <c r="AF161"/>
  <c r="AF160"/>
  <c r="AF159"/>
  <c r="AF158"/>
  <c r="AF157"/>
  <c r="AF156"/>
  <c r="AF155"/>
  <c r="AF154"/>
  <c r="AF153"/>
  <c r="AF152"/>
  <c r="AF151"/>
  <c r="AF150"/>
  <c r="AF149"/>
  <c r="AF148"/>
  <c r="AF147"/>
  <c r="AF146"/>
  <c r="AF145"/>
  <c r="AF144"/>
  <c r="AF143"/>
  <c r="AF142"/>
  <c r="AF141"/>
  <c r="AF140"/>
  <c r="AF139"/>
  <c r="AF138"/>
  <c r="AF137"/>
  <c r="AF136"/>
  <c r="AF135"/>
  <c r="AF134"/>
  <c r="AF133"/>
  <c r="AF132"/>
  <c r="AF131"/>
  <c r="AF130"/>
  <c r="AF129"/>
  <c r="AF128"/>
  <c r="AF127"/>
  <c r="AF126"/>
  <c r="AF125"/>
  <c r="AF124"/>
  <c r="AF123"/>
  <c r="AF122"/>
  <c r="AF121"/>
  <c r="AF120"/>
  <c r="AF119"/>
  <c r="AF118"/>
  <c r="AF117"/>
  <c r="AF116"/>
  <c r="AF115"/>
  <c r="AF114"/>
  <c r="AF113"/>
  <c r="AF112"/>
  <c r="AF111"/>
  <c r="AF110"/>
  <c r="AF109"/>
  <c r="AF108"/>
  <c r="AF107"/>
  <c r="AF106"/>
  <c r="AF105"/>
  <c r="AF104"/>
  <c r="AF103"/>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64"/>
  <c r="AF63"/>
  <c r="AF62"/>
  <c r="AF61"/>
  <c r="AF60"/>
  <c r="AF59"/>
  <c r="AF58"/>
  <c r="AF57"/>
  <c r="AF56"/>
  <c r="AF55"/>
  <c r="AF54"/>
  <c r="AF53"/>
  <c r="AF52"/>
  <c r="AF51"/>
  <c r="AF50"/>
  <c r="AF49"/>
  <c r="AF48"/>
  <c r="AF47"/>
  <c r="AF46"/>
  <c r="AF45"/>
  <c r="AF44"/>
  <c r="AF43"/>
  <c r="AF42"/>
  <c r="AF41"/>
  <c r="AF40"/>
  <c r="AF39"/>
  <c r="AF38"/>
  <c r="AF37"/>
  <c r="AF36"/>
  <c r="AF35"/>
  <c r="AF34"/>
  <c r="AF33"/>
  <c r="AF32"/>
  <c r="AF31"/>
  <c r="AF30"/>
  <c r="AF29"/>
  <c r="AF28"/>
  <c r="AF27"/>
  <c r="AF26"/>
  <c r="AF25"/>
  <c r="AF24"/>
  <c r="AF12"/>
  <c r="AF11"/>
  <c r="AF10"/>
  <c r="AF9"/>
  <c r="AF8"/>
  <c r="AF7"/>
  <c r="AF6"/>
  <c r="AF5"/>
  <c r="AF4"/>
  <c r="AF3"/>
  <c r="O282"/>
  <c r="K282"/>
  <c r="O281"/>
  <c r="K281"/>
  <c r="O280"/>
  <c r="K280"/>
  <c r="O279"/>
  <c r="K279"/>
  <c r="O278" l="1"/>
  <c r="K278"/>
  <c r="O277"/>
  <c r="K277"/>
  <c r="O276"/>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l="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9"/>
  <c r="AF18"/>
  <c r="AF17"/>
  <c r="AF16"/>
  <c r="AF15"/>
  <c r="AF14"/>
  <c r="AF13"/>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<sst xmlns="http://schemas.openxmlformats.org/spreadsheetml/2006/main" count="8683" uniqueCount="2838">
  <si>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</si>
  <si>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</si>
  <si>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</si>
  <si>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</si>
  <si>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</si>
  <si>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</si>
  <si>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</si>
  <si>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</si>
  <si>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</si>
  <si>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</si>
  <si>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</si>
  <si>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</si>
  <si>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</si>
  <si>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</si>
  <si>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</si>
  <si>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</si>
  <si>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</si>
  <si>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</si>
  <si>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</si>
  <si>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</si>
  <si>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</si>
  <si>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</si>
  <si>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</si>
  <si>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</si>
  <si>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</si>
  <si>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</si>
  <si>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</si>
  <si>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</si>
  <si>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</si>
  <si>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</si>
  <si>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</si>
  <si>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</si>
  <si>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</si>
  <si>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</si>
  <si>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</si>
  <si>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</si>
  <si>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</si>
  <si>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</si>
  <si>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</si>
  <si>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</si>
  <si>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</si>
  <si>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</si>
  <si>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</si>
  <si>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</si>
  <si>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</si>
  <si>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</si>
  <si>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</si>
  <si>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</si>
  <si>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</si>
  <si>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</si>
  <si>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</si>
  <si>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</si>
  <si>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</si>
  <si>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</si>
  <si>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</si>
  <si>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</si>
  <si>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</si>
  <si>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</si>
  <si>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</si>
  <si>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</si>
  <si>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</si>
  <si>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</si>
  <si>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</si>
  <si>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</si>
  <si>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</si>
  <si>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</si>
  <si>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</si>
  <si>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</si>
  <si>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</si>
  <si>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</si>
  <si>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</si>
  <si>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</si>
  <si>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</si>
  <si>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</si>
  <si>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</si>
  <si>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</si>
  <si>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</si>
  <si>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</si>
  <si>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</si>
  <si>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</si>
  <si>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</si>
  <si>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</si>
  <si>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</si>
  <si>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</si>
  <si>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</si>
  <si>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</si>
  <si>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</si>
  <si>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</si>
  <si>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</si>
  <si>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</si>
  <si>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</si>
  <si>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</si>
  <si>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</si>
  <si>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</si>
  <si>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</si>
  <si>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</si>
  <si>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</si>
  <si>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</si>
  <si>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</si>
  <si>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</si>
  <si>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</si>
  <si>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</si>
  <si>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</si>
  <si>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</si>
  <si>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</si>
  <si>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</si>
  <si>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</si>
  <si>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</si>
  <si>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</si>
  <si>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</si>
  <si>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</si>
  <si>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</si>
  <si>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</si>
  <si>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</si>
  <si>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</si>
  <si>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</si>
  <si>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</si>
  <si>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</si>
  <si>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</si>
  <si>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</si>
  <si>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</si>
  <si>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</si>
  <si>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</si>
  <si>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</si>
  <si>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</si>
  <si>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</si>
  <si>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</si>
  <si>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</si>
  <si>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</si>
  <si>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</si>
  <si>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</si>
  <si>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</si>
  <si>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</si>
  <si>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</si>
  <si>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</si>
  <si>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</si>
  <si>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</si>
  <si>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</si>
  <si>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</si>
  <si>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</si>
  <si>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</si>
  <si>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</si>
  <si>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</si>
  <si>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</si>
  <si>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</si>
  <si>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</si>
  <si>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</si>
  <si>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</si>
  <si>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</si>
  <si>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</si>
  <si>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</si>
  <si>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</si>
  <si>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</si>
  <si>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</si>
  <si>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</si>
  <si>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</si>
  <si>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</si>
  <si>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</si>
  <si>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</si>
  <si>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</si>
  <si>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</si>
  <si>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</si>
  <si>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</si>
  <si>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</si>
  <si>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</si>
  <si>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</si>
  <si>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</si>
  <si>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</si>
  <si>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</si>
  <si>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</si>
  <si>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</si>
  <si>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</si>
  <si>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</si>
  <si>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</si>
  <si>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</si>
  <si>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</si>
  <si>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</si>
  <si>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</si>
  <si>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</si>
  <si>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</si>
  <si>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</si>
  <si>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</si>
  <si>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</si>
  <si>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</si>
  <si>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</si>
  <si>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</si>
  <si>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</si>
  <si>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</si>
  <si>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</si>
  <si>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</si>
  <si>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</si>
  <si>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</si>
  <si>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</si>
  <si>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</si>
  <si>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</si>
  <si>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</si>
  <si>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</si>
  <si>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</si>
  <si>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</si>
  <si>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</si>
  <si>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</si>
  <si>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</si>
  <si>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</si>
  <si>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</si>
  <si>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</si>
  <si>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</si>
  <si>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</si>
  <si>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</si>
  <si>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</si>
  <si>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</si>
  <si>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</si>
  <si>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</si>
  <si>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</si>
  <si>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</si>
  <si>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</si>
  <si>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</si>
  <si>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</si>
  <si>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</si>
  <si>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</si>
  <si>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</si>
  <si>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</si>
  <si>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</si>
  <si>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</si>
  <si>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</si>
  <si>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</si>
  <si>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</si>
  <si>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</si>
  <si>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</si>
  <si>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</si>
  <si>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</si>
  <si>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</si>
  <si>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</si>
  <si>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</si>
  <si>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</si>
  <si>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</si>
  <si>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</si>
  <si>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</si>
  <si>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</si>
  <si>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</si>
  <si>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</si>
  <si>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</si>
  <si>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</si>
  <si>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</si>
  <si>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</si>
  <si>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</si>
  <si>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</si>
  <si>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</si>
  <si>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</si>
  <si>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</si>
  <si>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</si>
  <si>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</si>
  <si>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</si>
  <si>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</si>
  <si>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</si>
  <si>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</si>
  <si>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</si>
  <si>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</si>
  <si>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</si>
  <si>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</si>
  <si>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</si>
  <si>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</si>
  <si>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</si>
  <si>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</si>
  <si>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</si>
  <si>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</si>
  <si>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</si>
  <si>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</si>
  <si>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</si>
  <si>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</si>
  <si>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</si>
  <si>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</si>
  <si>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</si>
  <si>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</si>
  <si>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</si>
  <si>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</si>
  <si>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</si>
  <si>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</si>
  <si>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</si>
  <si>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</si>
  <si>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</si>
  <si>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</si>
  <si>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</si>
  <si>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</si>
  <si>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</si>
  <si>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</si>
  <si>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</si>
  <si>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</si>
  <si>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</si>
  <si>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</si>
  <si>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</si>
  <si>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</si>
  <si>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</si>
  <si>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</si>
  <si>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</si>
  <si>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</si>
  <si>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</si>
  <si>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</si>
  <si>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</si>
  <si>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</si>
  <si>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</si>
  <si>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</si>
  <si>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</si>
  <si>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</si>
  <si>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</si>
  <si>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</si>
  <si>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</si>
  <si>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</si>
  <si>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</si>
  <si>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</si>
  <si>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</si>
  <si>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</si>
  <si>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</si>
  <si>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</si>
  <si>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</si>
  <si>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</si>
  <si>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</si>
  <si>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</si>
  <si>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</si>
  <si>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</si>
  <si>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</si>
  <si>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</si>
  <si>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</si>
  <si>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</si>
  <si>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</si>
  <si>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</si>
  <si>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</si>
  <si>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</si>
  <si>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</si>
  <si>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</si>
  <si>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</si>
  <si>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</si>
  <si>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</si>
  <si>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</si>
  <si>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</si>
  <si>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</si>
  <si>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</si>
  <si>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</si>
  <si>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</si>
  <si>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</si>
  <si>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</si>
  <si>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</si>
  <si>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</si>
  <si>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</si>
  <si>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</si>
  <si>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</si>
  <si>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</si>
  <si>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</si>
  <si>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</si>
  <si>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</si>
  <si>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</si>
  <si>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</si>
  <si>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</si>
  <si>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</si>
  <si>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</si>
  <si>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</si>
  <si>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</si>
  <si>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</si>
  <si>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</si>
  <si>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</si>
  <si>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</si>
  <si>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</si>
  <si>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</si>
  <si>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</si>
  <si>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</si>
  <si>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</si>
  <si>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</si>
  <si>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</si>
  <si>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</si>
  <si>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</si>
  <si>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</si>
  <si>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</si>
  <si>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</si>
  <si>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</si>
  <si>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</si>
  <si>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</si>
  <si>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</si>
  <si>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</si>
  <si>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</si>
  <si>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</si>
  <si>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</si>
  <si>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</si>
  <si>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</si>
  <si>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</si>
  <si>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</si>
  <si>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</si>
  <si>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</si>
  <si>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</si>
  <si>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</si>
  <si>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</si>
  <si>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</si>
  <si>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</si>
  <si>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</si>
  <si>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</si>
  <si>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</si>
  <si>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</si>
  <si>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</si>
  <si>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</si>
  <si>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</si>
  <si>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</si>
  <si>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</si>
  <si>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</si>
  <si>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</si>
  <si>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</si>
  <si>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</si>
  <si>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</si>
  <si>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</si>
  <si>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</si>
  <si>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</si>
  <si>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</si>
  <si>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</si>
  <si>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</si>
  <si>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</si>
  <si>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</si>
  <si>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</si>
  <si>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</si>
  <si>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</si>
  <si>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</si>
  <si>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</si>
  <si>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</si>
  <si>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</si>
  <si>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</si>
  <si>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</si>
  <si>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</si>
  <si>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</si>
  <si>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</si>
  <si>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</si>
  <si>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</si>
  <si>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</si>
  <si>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</si>
  <si>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</si>
  <si>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</si>
  <si>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</si>
  <si>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</si>
  <si>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</si>
  <si>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</si>
  <si>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</si>
  <si>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</si>
  <si>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</si>
  <si>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</si>
  <si>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</si>
  <si>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</si>
  <si>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</si>
  <si>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</si>
  <si>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</si>
  <si>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</si>
  <si>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</si>
  <si>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</si>
  <si>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</si>
  <si>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</si>
  <si>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</si>
  <si>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</si>
  <si>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</si>
  <si>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</si>
  <si>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</si>
  <si>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</si>
  <si>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</si>
  <si>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</si>
  <si>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</si>
  <si>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</si>
  <si>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</si>
  <si>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</si>
  <si>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</si>
  <si>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</si>
  <si>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</si>
  <si>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</si>
  <si>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</si>
  <si>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</si>
  <si>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</si>
  <si>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</si>
  <si>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</si>
  <si>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</si>
  <si>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</si>
  <si>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</si>
  <si>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</si>
  <si>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</si>
  <si>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</si>
  <si>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</si>
  <si>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</si>
  <si>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</si>
  <si>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</si>
  <si>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</si>
  <si>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</si>
  <si>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</si>
  <si>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</si>
  <si>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</si>
  <si>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</si>
  <si>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</si>
  <si>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</si>
  <si>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</si>
  <si>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</si>
  <si>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</si>
  <si>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</si>
  <si>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</si>
  <si>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</si>
  <si>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</si>
  <si>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</si>
  <si>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</si>
  <si>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</si>
  <si>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</si>
  <si>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</si>
  <si>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</si>
  <si>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</si>
  <si>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</si>
  <si>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</si>
  <si>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</si>
  <si>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</si>
  <si>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</si>
  <si>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</si>
  <si>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</si>
  <si>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</si>
  <si>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</si>
  <si>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</si>
  <si>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</si>
  <si>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</si>
  <si>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</si>
  <si>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</si>
  <si>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</si>
  <si>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</si>
  <si>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</si>
  <si>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</si>
  <si>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</si>
  <si>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</si>
  <si>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</si>
  <si>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</si>
  <si>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</si>
  <si>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</si>
  <si>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</si>
  <si>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</si>
  <si>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</si>
  <si>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</si>
  <si>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</si>
  <si>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</si>
  <si>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</si>
  <si>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</si>
  <si>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</si>
  <si>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</si>
  <si>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</si>
  <si>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</si>
  <si>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</si>
  <si>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</si>
  <si>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</si>
  <si>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</si>
  <si>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</si>
  <si>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</si>
  <si>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</si>
  <si>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</si>
  <si>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</si>
  <si>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</si>
  <si>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</si>
  <si>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</si>
  <si>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</si>
  <si>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</si>
  <si>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</si>
  <si>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</si>
  <si>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</si>
  <si>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</si>
  <si>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</si>
  <si>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</si>
  <si>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</si>
  <si>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</si>
  <si>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</si>
  <si>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</si>
  <si>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</si>
  <si>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</si>
  <si>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</si>
  <si>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</si>
  <si>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</si>
  <si>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</si>
  <si>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</si>
  <si>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</si>
  <si>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</si>
  <si>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</si>
  <si>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</si>
  <si>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</si>
  <si>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</si>
  <si>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</si>
  <si>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</si>
  <si>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</si>
  <si>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</si>
  <si>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</si>
  <si>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</si>
  <si>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</si>
  <si>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</si>
  <si>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</si>
  <si>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</si>
  <si>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</si>
  <si>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</si>
  <si>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</si>
  <si>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</si>
  <si>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</si>
  <si>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</si>
  <si>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</si>
  <si>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</si>
  <si>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</si>
  <si>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</si>
  <si>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</si>
  <si>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</si>
  <si>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</si>
  <si>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</si>
  <si>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</si>
  <si>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</si>
  <si>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</si>
  <si>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</si>
  <si>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</si>
  <si>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</si>
  <si>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</si>
  <si>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</si>
  <si>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</si>
  <si>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</si>
  <si>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</si>
  <si>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</si>
  <si>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</si>
  <si>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</si>
  <si>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</si>
  <si>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</si>
  <si>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</si>
  <si>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</si>
  <si>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</si>
  <si>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</si>
  <si>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</si>
  <si>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</si>
  <si>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</si>
  <si>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</si>
  <si>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</si>
  <si>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</si>
  <si>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</si>
  <si>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</si>
  <si>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</si>
  <si>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</si>
  <si>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</si>
  <si>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</si>
  <si>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</si>
  <si>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</si>
  <si>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</si>
  <si>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</si>
  <si>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</si>
  <si>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</si>
  <si>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</si>
  <si>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</si>
  <si>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</si>
  <si>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</si>
  <si>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</si>
  <si>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</si>
  <si>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</si>
  <si>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</si>
  <si>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</si>
  <si>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</si>
  <si>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</si>
  <si>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</si>
  <si>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</si>
  <si>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</si>
  <si>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</si>
  <si>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</si>
  <si>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</si>
  <si>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</si>
  <si>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</si>
  <si>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</si>
  <si>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</si>
  <si>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</si>
  <si>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</si>
  <si>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</si>
  <si>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</si>
  <si>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</si>
  <si>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</si>
  <si>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</si>
  <si>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</si>
  <si>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</si>
  <si>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</si>
  <si>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</si>
  <si>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</si>
  <si>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</si>
  <si>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</si>
  <si>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</si>
  <si>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</si>
  <si>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</si>
  <si>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</si>
  <si>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</si>
  <si>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</si>
  <si>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</si>
  <si>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</si>
  <si>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</si>
  <si>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</si>
  <si>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</si>
  <si>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</si>
  <si>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</si>
  <si>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</si>
  <si>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</si>
  <si>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</si>
  <si>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</si>
  <si>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</si>
  <si>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</si>
  <si>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</si>
  <si>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</si>
  <si>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</si>
  <si>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</si>
  <si>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</si>
  <si>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</si>
  <si>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</si>
  <si>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</si>
  <si>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</si>
  <si>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</si>
  <si>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</si>
  <si>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</si>
  <si>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</si>
  <si>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</si>
  <si>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</si>
  <si>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</si>
  <si>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</si>
  <si>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</si>
  <si>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</si>
  <si>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</si>
  <si>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</si>
  <si>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</si>
  <si>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</si>
  <si>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</si>
  <si>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</si>
  <si>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</si>
  <si>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</si>
  <si>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</si>
  <si>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</si>
  <si>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</si>
  <si>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</si>
  <si>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</si>
  <si>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</si>
  <si>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</si>
  <si>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</si>
  <si>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</si>
  <si>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</si>
  <si>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</si>
  <si>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</si>
  <si>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</si>
  <si>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</si>
  <si>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</si>
  <si>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</si>
  <si>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</si>
  <si>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</si>
  <si>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</si>
  <si>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</si>
  <si>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</si>
  <si>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</si>
  <si>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</si>
  <si>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</si>
  <si>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</si>
  <si>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</si>
  <si>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</si>
  <si>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</si>
  <si>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</si>
  <si>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</si>
  <si>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</si>
  <si>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</si>
  <si>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</si>
  <si>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</si>
  <si>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</si>
  <si>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</si>
  <si>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</si>
  <si>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</si>
  <si>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</si>
  <si>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</si>
  <si>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</si>
  <si>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</si>
  <si>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</si>
  <si>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</si>
  <si>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</si>
  <si>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</si>
  <si>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</si>
  <si>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</si>
  <si>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</si>
  <si>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</si>
  <si>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</si>
  <si>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</si>
  <si>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</si>
  <si>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</si>
  <si>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</si>
  <si>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</si>
  <si>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</si>
  <si>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</si>
  <si>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</si>
  <si>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</si>
  <si>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</si>
  <si>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</si>
  <si>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</si>
  <si>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</si>
  <si>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</si>
  <si>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</si>
  <si>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</si>
  <si>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</si>
  <si>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</si>
  <si>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</si>
  <si>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</si>
  <si>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</si>
  <si>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</si>
  <si>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</si>
  <si>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</si>
  <si>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</si>
  <si>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</si>
  <si>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</si>
  <si>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</si>
  <si>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</si>
  <si>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</si>
  <si>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</si>
  <si>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</si>
  <si>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</si>
  <si>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</si>
  <si>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</si>
  <si>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</si>
  <si>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</si>
  <si>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</si>
  <si>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</si>
  <si>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</si>
  <si>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</si>
  <si>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</si>
  <si>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</si>
  <si>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</si>
  <si>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</si>
  <si>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</si>
  <si>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</si>
  <si>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</si>
  <si>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</si>
  <si>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</si>
  <si>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</si>
  <si>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</si>
  <si>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</si>
  <si>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</si>
  <si>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</si>
  <si>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</si>
  <si>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</si>
  <si>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</si>
  <si>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</si>
  <si>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</si>
  <si>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</si>
  <si>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</si>
  <si>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</si>
  <si>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</si>
  <si>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</si>
  <si>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</si>
  <si>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</si>
  <si>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</si>
  <si>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</si>
  <si>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</si>
  <si>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</si>
  <si>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</si>
  <si>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</si>
  <si>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</si>
  <si>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</si>
  <si>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</si>
  <si>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</si>
  <si>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</si>
  <si>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</si>
  <si>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</si>
  <si>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</si>
  <si>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</si>
  <si>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</si>
  <si>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</si>
  <si>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</si>
  <si>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</si>
  <si>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</si>
  <si>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</si>
  <si>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</si>
  <si>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</si>
  <si>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</si>
  <si>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</si>
  <si>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</si>
  <si>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</si>
  <si>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</si>
  <si>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</si>
  <si>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</si>
  <si>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</si>
  <si>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</si>
  <si>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</si>
  <si>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</si>
  <si>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</si>
  <si>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</si>
  <si>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</si>
  <si>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</si>
  <si>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</si>
  <si>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</si>
  <si>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</si>
  <si>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</si>
  <si>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</si>
  <si>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</si>
  <si>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</si>
  <si>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</si>
  <si>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</si>
  <si>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</si>
  <si>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</si>
  <si>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</si>
  <si>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</si>
  <si>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</si>
  <si>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</si>
  <si>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</si>
  <si>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</si>
  <si>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</si>
  <si>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</si>
  <si>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</si>
  <si>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</si>
  <si>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</si>
  <si>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</si>
  <si>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</si>
  <si>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</si>
  <si>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</si>
  <si>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</si>
  <si>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</si>
  <si>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</si>
  <si>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</si>
  <si>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</si>
  <si>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</si>
  <si>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</si>
  <si>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</si>
  <si>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</si>
  <si>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</si>
  <si>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</si>
  <si>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</si>
  <si>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</si>
  <si>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</si>
  <si>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</si>
  <si>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</si>
  <si>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</si>
  <si>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</si>
  <si>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</si>
  <si>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</si>
  <si>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</si>
  <si>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</si>
  <si>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</si>
  <si>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</si>
  <si>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</si>
  <si>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</si>
  <si>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</si>
  <si>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</si>
  <si>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</si>
  <si>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</si>
  <si>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</si>
  <si>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</si>
  <si>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</si>
  <si>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</si>
  <si>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</si>
  <si>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</si>
  <si>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</si>
  <si>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</si>
  <si>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</si>
  <si>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</si>
  <si>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</si>
  <si>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</si>
  <si>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</si>
  <si>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</si>
  <si>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</si>
  <si>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</si>
  <si>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</si>
  <si>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</si>
  <si>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</si>
  <si>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</si>
  <si>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</si>
  <si>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</si>
  <si>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</si>
  <si>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</si>
  <si>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</si>
  <si>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</si>
  <si>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</si>
  <si>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</si>
  <si>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</si>
  <si>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</si>
  <si>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</si>
  <si>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</si>
  <si>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</si>
  <si>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</si>
  <si>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</si>
  <si>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</si>
  <si>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</si>
  <si>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</si>
  <si>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</si>
  <si>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</si>
  <si>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</si>
  <si>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</si>
  <si>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</si>
  <si>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</si>
  <si>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</si>
  <si>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</si>
  <si>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</si>
  <si>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</si>
  <si>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</si>
  <si>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</si>
  <si>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</si>
  <si>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</si>
  <si>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</si>
  <si>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</si>
  <si>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</si>
  <si>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</si>
  <si>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</si>
  <si>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</si>
  <si>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</si>
  <si>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</si>
  <si>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</si>
  <si>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</si>
  <si>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</si>
  <si>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</si>
  <si>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</si>
  <si>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</si>
  <si>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</si>
  <si>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</si>
  <si>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</si>
  <si>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</si>
  <si>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</si>
  <si>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</si>
  <si>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</si>
  <si>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</si>
  <si>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</si>
  <si>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</si>
  <si>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</si>
  <si>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</si>
  <si>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</si>
  <si>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</si>
  <si>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</si>
  <si>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</si>
  <si>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</si>
  <si>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</si>
  <si>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</si>
  <si>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</si>
  <si>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</si>
  <si>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</si>
  <si>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</si>
  <si>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</si>
  <si>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</si>
  <si>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</si>
  <si>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</si>
  <si>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</si>
  <si>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</si>
  <si>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</si>
  <si>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</si>
  <si>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</si>
  <si>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</si>
  <si>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</si>
  <si>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</si>
  <si>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</si>
  <si>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</si>
  <si>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</si>
  <si>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</si>
  <si>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</si>
  <si>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</si>
  <si>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</si>
  <si>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</si>
  <si>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</si>
  <si>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</si>
  <si>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</si>
  <si>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</si>
  <si>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</si>
  <si>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</si>
  <si>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</si>
  <si>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</si>
  <si>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</si>
  <si>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</si>
  <si>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</si>
  <si>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</si>
  <si>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</si>
  <si>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</si>
  <si>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</si>
  <si>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</si>
  <si>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</si>
  <si>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</si>
  <si>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</si>
  <si>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</si>
  <si>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</si>
  <si>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</si>
  <si>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</si>
  <si>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</si>
  <si>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</si>
  <si>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</si>
  <si>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</si>
  <si>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</si>
  <si>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</si>
  <si>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</si>
  <si>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</si>
  <si>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</si>
  <si>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</si>
  <si>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</si>
  <si>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</si>
  <si>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</si>
  <si>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</si>
  <si>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</si>
  <si>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</si>
  <si>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</si>
  <si>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</si>
  <si>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</si>
  <si>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</si>
  <si>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</si>
  <si>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</si>
  <si>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</si>
  <si>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</si>
  <si>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</si>
  <si>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</si>
  <si>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</si>
  <si>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</si>
  <si>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</si>
  <si>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</si>
  <si>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</si>
  <si>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</si>
  <si>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</si>
  <si>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</si>
  <si>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</si>
  <si>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</si>
  <si>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</si>
  <si>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</si>
  <si>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</si>
  <si>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</si>
  <si>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</si>
  <si>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</si>
  <si>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</si>
  <si>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</si>
  <si>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</si>
  <si>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</si>
  <si>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</si>
  <si>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</si>
  <si>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</si>
  <si>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</si>
  <si>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</si>
  <si>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</si>
  <si>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</si>
  <si>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</si>
  <si>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</si>
  <si>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</si>
  <si>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</si>
  <si>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</si>
  <si>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</si>
  <si>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</si>
  <si>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</si>
  <si>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</si>
  <si>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</si>
  <si>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</si>
  <si>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</si>
  <si>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</si>
  <si>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</si>
  <si>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</si>
  <si>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</si>
  <si>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</si>
  <si>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</si>
  <si>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</si>
  <si>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</si>
  <si>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</si>
  <si>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</si>
  <si>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</si>
  <si>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</si>
  <si>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</si>
  <si>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</si>
  <si>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</si>
  <si>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</si>
  <si>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</si>
  <si>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</si>
  <si>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</si>
  <si>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</si>
  <si>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</si>
  <si>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</si>
  <si>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</si>
  <si>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</si>
  <si>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</si>
  <si>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</si>
  <si>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</si>
  <si>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</si>
  <si>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</si>
  <si>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</si>
  <si>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</si>
  <si>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</si>
  <si>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</si>
  <si>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</si>
  <si>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</si>
  <si>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</si>
  <si>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</si>
  <si>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</si>
  <si>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</si>
  <si>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</si>
  <si>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</si>
  <si>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</si>
  <si>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</si>
  <si>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</si>
  <si>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</si>
  <si>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</si>
  <si>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</si>
  <si>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</si>
  <si>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</si>
  <si>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</si>
  <si>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</si>
  <si>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</si>
  <si>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</si>
  <si>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</si>
  <si>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</si>
  <si>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</si>
  <si>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</si>
  <si>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</si>
  <si>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</si>
  <si>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</si>
  <si>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</si>
  <si>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</si>
  <si>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</si>
  <si>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</si>
  <si>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</si>
  <si>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</si>
  <si>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</si>
  <si>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</si>
  <si>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</si>
  <si>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</si>
  <si>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</si>
  <si>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</si>
  <si>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</si>
  <si>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</si>
  <si>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</si>
  <si>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</si>
  <si>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</si>
  <si>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</si>
  <si>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</si>
  <si>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</si>
  <si>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</si>
  <si>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</si>
  <si>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</si>
  <si>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</si>
  <si>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</si>
  <si>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</si>
  <si>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</si>
  <si>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</si>
  <si>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</si>
  <si>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</si>
  <si>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</si>
  <si>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</si>
  <si>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</si>
  <si>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</si>
  <si>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</si>
  <si>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</si>
  <si>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</si>
  <si>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</si>
  <si>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</si>
  <si>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</si>
  <si>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</si>
  <si>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</si>
  <si>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</si>
  <si>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</si>
  <si>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</si>
  <si>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</si>
  <si>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</si>
  <si>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</si>
  <si>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</si>
  <si>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</si>
  <si>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</si>
  <si>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</si>
  <si>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</si>
  <si>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</si>
  <si>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</si>
  <si>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</si>
  <si>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</si>
  <si>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</si>
  <si>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</si>
  <si>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</si>
  <si>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</si>
  <si>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</si>
  <si>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</si>
  <si>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</si>
  <si>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</si>
  <si>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</si>
  <si>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</si>
  <si>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</si>
  <si>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</si>
  <si>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</si>
  <si>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</si>
  <si>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</si>
  <si>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</si>
  <si>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</si>
  <si>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</si>
  <si>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</si>
  <si>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</si>
  <si>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</si>
  <si>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</si>
  <si>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</si>
  <si>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</si>
  <si>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</si>
  <si>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</si>
  <si>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</si>
  <si>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</si>
  <si>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</si>
  <si>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</si>
  <si>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</si>
  <si>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</si>
  <si>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</si>
  <si>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</si>
  <si>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</si>
  <si>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</si>
  <si>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</si>
  <si>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</si>
  <si>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</si>
  <si>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</si>
  <si>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</si>
  <si>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</si>
  <si>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</si>
  <si>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</si>
  <si>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</si>
  <si>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</si>
  <si>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</si>
  <si>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</si>
  <si>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</si>
  <si>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</si>
  <si>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</si>
  <si>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</si>
  <si>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</si>
  <si>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</si>
  <si>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</si>
  <si>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</si>
  <si>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</si>
  <si>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</si>
  <si>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</si>
  <si>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</si>
  <si>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</si>
  <si>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</si>
  <si>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</si>
  <si>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</si>
  <si>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</si>
  <si>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</si>
  <si>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</si>
  <si>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</si>
  <si>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</si>
  <si>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</si>
  <si>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</si>
  <si>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</si>
  <si>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</si>
  <si>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</si>
  <si>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</si>
  <si>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</si>
  <si>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</si>
  <si>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</si>
  <si>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</si>
  <si>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</si>
  <si>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</si>
  <si>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</si>
  <si>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</si>
  <si>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</si>
  <si>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</si>
  <si>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</si>
  <si>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</si>
  <si>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</si>
  <si>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</si>
  <si>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</si>
  <si>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</si>
  <si>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</si>
  <si>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</si>
  <si>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</si>
  <si>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</si>
  <si>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</si>
  <si>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</si>
  <si>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</si>
  <si>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</si>
  <si>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</si>
  <si>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</si>
  <si>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</si>
  <si>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</si>
  <si>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</si>
  <si>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</si>
  <si>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</si>
  <si>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</si>
  <si>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</si>
  <si>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</si>
  <si>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</si>
  <si>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</si>
  <si>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</si>
  <si>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</si>
  <si>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</si>
  <si>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</si>
  <si>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</si>
  <si>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</si>
  <si>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</si>
  <si>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</si>
  <si>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</si>
  <si>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</si>
  <si>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</si>
  <si>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</si>
  <si>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</si>
  <si>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</si>
  <si>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</si>
  <si>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</si>
  <si>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</si>
  <si>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</si>
  <si>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</si>
  <si>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</si>
  <si>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</si>
  <si>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</si>
  <si>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</si>
  <si>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</si>
  <si>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</si>
  <si>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</si>
  <si>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</si>
  <si>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</si>
  <si>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</si>
  <si>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</si>
  <si>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</si>
  <si>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</si>
  <si>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</si>
  <si>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</si>
  <si>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</si>
  <si>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</si>
  <si>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</si>
  <si>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</si>
  <si>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</si>
  <si>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</si>
  <si>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</si>
  <si>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</si>
  <si>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</si>
  <si>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</si>
  <si>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</si>
  <si>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</si>
  <si>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</si>
  <si>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</si>
  <si>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</si>
  <si>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</si>
  <si>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</si>
  <si>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</si>
  <si>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</si>
  <si>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</si>
  <si>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</si>
  <si>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</si>
  <si>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</si>
  <si>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</si>
  <si>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</si>
  <si>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</si>
  <si>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</si>
  <si>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</si>
  <si>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</si>
  <si>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</si>
  <si>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</si>
  <si>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</si>
  <si>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</si>
  <si>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</si>
  <si>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</si>
  <si>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</si>
  <si>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</si>
  <si>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</si>
  <si>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</si>
  <si>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</si>
  <si>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</si>
  <si>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</si>
  <si>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</si>
  <si>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</si>
  <si>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</si>
  <si>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</si>
  <si>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</si>
  <si>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</si>
  <si>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</si>
  <si>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</si>
  <si>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</si>
  <si>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</si>
  <si>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</si>
  <si>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</si>
  <si>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</si>
  <si>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</si>
  <si>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</si>
  <si>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</si>
  <si>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</si>
  <si>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</si>
  <si>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</si>
  <si>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</si>
  <si>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</si>
  <si>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</si>
  <si>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</si>
  <si>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</si>
  <si>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</si>
  <si>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</si>
  <si>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</si>
  <si>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</si>
  <si>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</si>
  <si>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</si>
  <si>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</si>
  <si>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</si>
  <si>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</si>
  <si>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</si>
  <si>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</si>
  <si>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</si>
  <si>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</si>
  <si>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</si>
  <si>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</si>
  <si>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</si>
  <si>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</si>
  <si>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</si>
  <si>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</si>
  <si>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</si>
  <si>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</si>
  <si>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</si>
  <si>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</si>
  <si>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</si>
  <si>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</si>
  <si>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</si>
  <si>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</si>
  <si>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</si>
  <si>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</si>
  <si>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</si>
  <si>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</si>
  <si>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</si>
  <si>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</si>
  <si>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</si>
  <si>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</si>
  <si>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</si>
  <si>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</si>
  <si>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</si>
  <si>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</si>
  <si>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</si>
  <si>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</si>
  <si>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</si>
  <si>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</si>
  <si>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</si>
  <si>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</si>
  <si>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</si>
  <si>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</si>
  <si>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</si>
  <si>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</si>
  <si>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</si>
  <si>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</si>
  <si>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</si>
  <si>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</si>
  <si>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</si>
  <si>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</si>
  <si>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</si>
  <si>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</si>
  <si>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</si>
  <si>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</si>
  <si>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</si>
  <si>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</si>
  <si>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</si>
  <si>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</si>
  <si>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</si>
  <si>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</si>
  <si>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</si>
  <si>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</si>
  <si>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</si>
  <si>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</si>
  <si>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</si>
  <si>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</si>
  <si>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</si>
  <si>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</si>
  <si>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</si>
  <si>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</si>
  <si>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</si>
  <si>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</si>
  <si>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</si>
  <si>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</si>
  <si>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</si>
  <si>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</si>
  <si>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</si>
  <si>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</si>
  <si>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</si>
  <si>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</si>
  <si>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</si>
  <si>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</si>
  <si>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</si>
  <si>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</si>
  <si>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</si>
  <si>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</si>
  <si>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</si>
  <si>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</si>
  <si>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</si>
  <si>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</si>
  <si>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</si>
  <si>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</si>
  <si>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</si>
  <si>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</si>
  <si>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</si>
  <si>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</si>
  <si>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</si>
  <si>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</si>
  <si>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</si>
  <si>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</si>
  <si>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</si>
  <si>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</si>
  <si>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</si>
  <si>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</si>
  <si>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</si>
  <si>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</si>
  <si>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</si>
  <si>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</si>
  <si>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</si>
  <si>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</si>
  <si>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</si>
  <si>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</si>
  <si>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</si>
  <si>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</si>
  <si>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</si>
  <si>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</si>
  <si>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</si>
  <si>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</si>
  <si>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</si>
  <si>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</si>
  <si>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</si>
  <si>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</si>
  <si>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</si>
  <si>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</si>
  <si>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</si>
  <si>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</si>
  <si>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</si>
  <si>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</si>
  <si>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</si>
  <si>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</si>
  <si>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</si>
  <si>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</si>
  <si>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</si>
  <si>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</si>
  <si>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</si>
  <si>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</si>
  <si>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</si>
  <si>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</si>
  <si>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</si>
  <si>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</si>
  <si>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</si>
  <si>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</si>
  <si>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</si>
  <si>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</si>
  <si>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</si>
  <si>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</si>
  <si>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</si>
  <si>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</si>
  <si>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</si>
  <si>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</si>
  <si>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</si>
  <si>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</si>
  <si>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</si>
  <si>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</si>
  <si>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</si>
  <si>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</si>
  <si>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</si>
  <si>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</si>
  <si>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</si>
  <si>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</si>
  <si>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</si>
  <si>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</si>
  <si>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</si>
  <si>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</si>
  <si>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</si>
  <si>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</si>
  <si>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</si>
  <si>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</si>
  <si>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</si>
  <si>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</si>
  <si>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</si>
  <si>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</si>
  <si>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</si>
  <si>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</si>
  <si>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</si>
  <si>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</si>
  <si>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</si>
  <si>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</si>
  <si>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</si>
  <si>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</si>
  <si>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</si>
  <si>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</si>
  <si>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</si>
  <si>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</si>
  <si>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</si>
  <si>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</si>
  <si>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</si>
  <si>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</si>
  <si>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</si>
  <si>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</si>
  <si>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</si>
  <si>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</si>
  <si>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</si>
  <si>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</si>
  <si>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</si>
  <si>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</si>
  <si>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</si>
  <si>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</si>
  <si>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</si>
  <si>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</si>
  <si>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</si>
  <si>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</si>
  <si>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</si>
  <si>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</si>
  <si>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</si>
  <si>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</si>
  <si>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</si>
  <si>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</si>
  <si>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</si>
  <si>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</si>
  <si>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</si>
  <si>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</si>
  <si>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</si>
  <si>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</si>
  <si>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</si>
  <si>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</si>
  <si>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</si>
  <si>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</si>
  <si>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</si>
  <si>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</si>
  <si>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</si>
  <si>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</si>
  <si>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</si>
  <si>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</si>
  <si>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</si>
  <si>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</si>
  <si>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</si>
  <si>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</si>
  <si>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</si>
  <si>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</si>
  <si>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</si>
  <si>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</si>
  <si>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</si>
  <si>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</si>
  <si>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</si>
  <si>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</si>
  <si>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</si>
  <si>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</si>
  <si>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</si>
  <si>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</si>
  <si>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</si>
  <si>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</si>
  <si>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</si>
  <si>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</si>
  <si>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</si>
  <si>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</si>
  <si>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</si>
  <si>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</si>
  <si>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</si>
  <si>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</si>
  <si>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</si>
  <si>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</si>
  <si>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</si>
  <si>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</si>
  <si>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</si>
  <si>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</si>
  <si>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</si>
  <si>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</si>
  <si>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</si>
  <si>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</si>
  <si>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</si>
  <si>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</si>
  <si>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</si>
  <si>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</si>
  <si>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</si>
  <si>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</si>
  <si>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</si>
  <si>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</si>
  <si>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</si>
  <si>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</si>
  <si>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</si>
  <si>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</si>
  <si>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</si>
  <si>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</si>
  <si>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</si>
  <si>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</si>
  <si>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</si>
  <si>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</si>
  <si>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</si>
  <si>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</si>
  <si>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</si>
  <si>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</si>
  <si>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</si>
  <si>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</si>
  <si>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</si>
  <si>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</si>
  <si>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</si>
  <si>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</si>
  <si>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</si>
  <si>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</si>
  <si>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</si>
  <si>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</si>
  <si>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</si>
  <si>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</si>
  <si>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</si>
  <si>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</si>
  <si>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</si>
  <si>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</si>
  <si>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</si>
  <si>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</si>
  <si>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</si>
  <si>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</si>
  <si>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</si>
  <si>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</si>
  <si>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</si>
  <si>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</si>
  <si>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</si>
  <si>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</si>
  <si>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</si>
  <si>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</si>
  <si>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</si>
  <si>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</si>
  <si>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</si>
  <si>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</si>
  <si>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</si>
  <si>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</si>
  <si>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</si>
  <si>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</si>
  <si>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</si>
  <si>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</si>
  <si>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</si>
  <si>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</si>
  <si>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</si>
  <si>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</si>
  <si>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</si>
  <si>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</si>
  <si>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</si>
  <si>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</si>
  <si>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</si>
  <si>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</si>
  <si>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</si>
  <si>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</si>
  <si>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</si>
  <si>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</si>
  <si>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</si>
  <si>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</si>
  <si>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</si>
  <si>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</si>
  <si>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</si>
  <si>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</si>
  <si>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</si>
  <si>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</si>
  <si>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</si>
  <si>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</si>
  <si>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</si>
  <si>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</si>
  <si>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</si>
  <si>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</si>
  <si>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</si>
  <si>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</si>
  <si>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</si>
  <si>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</si>
  <si>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</si>
  <si>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</si>
  <si>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</si>
  <si>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</si>
  <si>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</si>
  <si>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</si>
  <si>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</si>
  <si>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</si>
  <si>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</si>
  <si>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</si>
  <si>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</si>
  <si>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</si>
  <si>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</si>
  <si>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</si>
  <si>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</si>
  <si>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</si>
  <si>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</si>
  <si>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</si>
  <si>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</si>
  <si>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</si>
  <si>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</si>
  <si>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</si>
  <si>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</si>
  <si>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</si>
  <si>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</si>
  <si>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</si>
  <si>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</si>
  <si>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</si>
  <si>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</si>
  <si>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</si>
  <si>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</si>
  <si>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</si>
  <si>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</si>
  <si>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</si>
  <si>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</si>
  <si>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</si>
  <si>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</si>
  <si>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</si>
  <si>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</si>
  <si>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</si>
  <si>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</si>
  <si>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</si>
  <si>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</si>
  <si>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</si>
  <si>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</si>
  <si>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</si>
  <si>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</si>
  <si>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</si>
  <si>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</si>
  <si>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</si>
  <si>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</si>
  <si>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</si>
  <si>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</si>
  <si>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</si>
  <si>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</si>
  <si>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</si>
  <si>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</si>
  <si>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</si>
  <si>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</si>
  <si>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</si>
  <si>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</si>
  <si>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</si>
  <si>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</si>
  <si>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</si>
  <si>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</si>
  <si>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</si>
  <si>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</si>
  <si>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</si>
  <si>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</si>
  <si>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</si>
  <si>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</si>
  <si>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</si>
  <si>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</si>
  <si>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</si>
  <si>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</si>
  <si>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</si>
  <si>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</si>
  <si>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</si>
  <si>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</si>
  <si>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</si>
  <si>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</si>
  <si>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</si>
  <si>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</si>
  <si>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</si>
  <si>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</si>
  <si>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</si>
  <si>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</si>
  <si>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</si>
  <si>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</si>
  <si>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</si>
  <si>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</si>
  <si>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</si>
  <si>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</si>
  <si>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</si>
  <si>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</si>
  <si>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</si>
  <si>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</si>
  <si>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</si>
  <si>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</si>
  <si>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</si>
  <si>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</si>
  <si>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</si>
  <si>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</si>
  <si>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</si>
  <si>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</si>
  <si>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</si>
  <si>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</si>
  <si>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</si>
  <si>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</si>
  <si>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</si>
  <si>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</si>
  <si>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</si>
  <si>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</si>
  <si>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</si>
  <si>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</si>
  <si>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</si>
  <si>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</si>
  <si>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</si>
  <si>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</si>
  <si>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</si>
  <si>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</si>
  <si>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</si>
  <si>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</si>
  <si>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</si>
  <si>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</si>
  <si>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</si>
  <si>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</si>
  <si>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</si>
  <si>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</si>
  <si>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</si>
  <si>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</si>
  <si>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</si>
  <si>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</si>
  <si>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</si>
  <si>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</si>
  <si>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</si>
  <si>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</si>
  <si>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</si>
  <si>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</si>
  <si>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</si>
  <si>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</si>
  <si>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</si>
  <si>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</si>
  <si>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</si>
  <si>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</si>
  <si>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</si>
  <si>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</si>
  <si>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</si>
  <si>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</si>
  <si>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</si>
  <si>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</si>
  <si>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</si>
  <si>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</si>
  <si>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</si>
  <si>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</si>
  <si>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</si>
  <si>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</si>
  <si>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</si>
  <si>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</si>
  <si>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</si>
  <si>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</si>
  <si>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</si>
  <si>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</si>
  <si>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</si>
  <si>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</si>
  <si>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</si>
  <si>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</si>
  <si>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</si>
  <si>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</si>
  <si>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</si>
  <si>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</si>
  <si>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</si>
  <si>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</si>
  <si>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</si>
  <si>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</si>
  <si>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</si>
  <si>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</si>
  <si>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</si>
  <si>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</si>
  <si>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</si>
  <si>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</si>
  <si>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</si>
  <si>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</si>
  <si>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</si>
  <si>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</si>
  <si>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</si>
  <si>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</si>
  <si>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</si>
  <si>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</si>
  <si>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</si>
  <si>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</si>
  <si>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</si>
  <si>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</si>
  <si>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</si>
  <si>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</si>
  <si>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</si>
  <si>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</si>
  <si>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</si>
  <si>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</si>
  <si>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</si>
  <si>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</si>
  <si>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</si>
  <si>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</si>
  <si>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</si>
  <si>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</si>
  <si>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</si>
  <si>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</si>
  <si>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</si>
  <si>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</si>
  <si>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</si>
  <si>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</si>
  <si>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</si>
  <si>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</si>
  <si>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</si>
  <si>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</si>
  <si>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</si>
  <si>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</si>
  <si>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</si>
  <si>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</si>
  <si>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</si>
  <si>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</si>
  <si>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</si>
  <si>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</si>
  <si>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</si>
  <si>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</si>
  <si>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</si>
  <si>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</si>
  <si>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</si>
  <si>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</si>
  <si>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</si>
  <si>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</si>
  <si>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</si>
  <si>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</si>
  <si>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</si>
  <si>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</si>
  <si>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</si>
  <si>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</si>
  <si>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</si>
  <si>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</si>
  <si>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</si>
  <si>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</si>
  <si>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</si>
  <si>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</si>
  <si>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</si>
  <si>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</si>
  <si>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</si>
  <si>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</si>
  <si>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</si>
  <si>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</si>
  <si>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</si>
  <si>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</si>
  <si>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</si>
  <si>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</si>
  <si>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</si>
  <si>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</si>
  <si>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</si>
  <si>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</si>
  <si>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</si>
  <si>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</si>
  <si>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</si>
  <si>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</si>
  <si>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</si>
  <si>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</si>
  <si>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</si>
  <si>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</si>
  <si>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</si>
  <si>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</si>
  <si>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</si>
  <si>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</si>
  <si>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</si>
  <si>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</si>
  <si>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</si>
  <si>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</si>
  <si>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</si>
  <si>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</si>
  <si>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</si>
  <si>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</si>
  <si>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</si>
  <si>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</si>
  <si>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</si>
  <si>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</si>
  <si>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</si>
  <si>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</si>
  <si>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</si>
  <si>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</si>
  <si>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</si>
  <si>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</si>
  <si>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</si>
  <si>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</si>
  <si>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</si>
  <si>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</si>
  <si>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</si>
  <si>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</si>
  <si>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</si>
  <si>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</si>
  <si>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</si>
  <si>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</si>
  <si>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</si>
  <si>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</si>
  <si>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</si>
  <si>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</si>
  <si>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</si>
  <si>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</si>
  <si>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</si>
  <si>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</si>
  <si>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</si>
  <si>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</si>
  <si>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</si>
  <si>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</si>
  <si>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</si>
  <si>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</si>
  <si>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</si>
  <si>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</si>
  <si>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</si>
  <si>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</si>
  <si>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</si>
  <si>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</si>
  <si>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</si>
  <si>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</si>
  <si>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</si>
  <si>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</si>
  <si>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</si>
  <si>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</si>
  <si>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</si>
  <si>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</si>
  <si>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</si>
  <si>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</si>
  <si>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</si>
  <si>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</si>
  <si>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</si>
  <si>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</si>
  <si>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</si>
  <si>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</si>
  <si>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</si>
  <si>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</si>
  <si>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</si>
  <si>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</si>
  <si>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</si>
  <si>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</si>
  <si>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</si>
  <si>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</si>
  <si>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</si>
  <si>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</si>
  <si>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</si>
  <si>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</si>
  <si>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</si>
  <si>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</si>
  <si>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</si>
  <si>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</si>
  <si>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</si>
  <si>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</si>
  <si>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</si>
  <si>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</si>
  <si>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</si>
  <si>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</si>
  <si>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</si>
  <si>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</si>
  <si>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</si>
  <si>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</si>
  <si>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</si>
  <si>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</si>
  <si>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</si>
  <si>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</si>
  <si>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</si>
  <si>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</si>
  <si>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</si>
  <si>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</si>
  <si>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</si>
  <si>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</si>
  <si>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</si>
  <si>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</si>
  <si>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</si>
  <si>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</si>
  <si>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</si>
  <si>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</si>
  <si>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</si>
  <si>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</si>
  <si>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</si>
  <si>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</si>
  <si>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</si>
  <si>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</si>
  <si>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</si>
  <si>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</si>
  <si>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</si>
  <si>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</si>
  <si>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</si>
  <si>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</si>
  <si>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</si>
  <si>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</si>
  <si>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</si>
  <si>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</si>
  <si>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</si>
  <si>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</si>
  <si>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</si>
  <si>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</si>
  <si>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</si>
  <si>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</si>
  <si>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</si>
  <si>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</si>
  <si>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</si>
  <si>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</si>
  <si>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</si>
  <si>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</si>
  <si>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</si>
  <si>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</si>
  <si>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</si>
  <si>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</si>
  <si>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</si>
  <si>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</si>
  <si>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</si>
  <si>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</si>
  <si>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</si>
  <si>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</si>
  <si>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</si>
  <si>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</si>
  <si>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</si>
  <si>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</si>
  <si>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</si>
  <si>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</si>
  <si>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</si>
  <si>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</si>
  <si>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</si>
  <si>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</si>
  <si>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</si>
  <si>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</si>
  <si>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</si>
  <si>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</si>
  <si>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</si>
  <si>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</si>
  <si>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</si>
  <si>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</si>
  <si>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</si>
  <si>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</si>
  <si>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</si>
  <si>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</si>
  <si>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</si>
  <si>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</si>
  <si>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</si>
  <si>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</si>
  <si>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</si>
  <si>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</si>
  <si>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</si>
  <si>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</si>
  <si>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</si>
  <si>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</si>
  <si>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</si>
  <si>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</si>
  <si>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</si>
  <si>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</si>
  <si>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</si>
  <si>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</si>
  <si>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</si>
  <si>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</si>
  <si>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</si>
  <si>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</si>
  <si>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</si>
  <si>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</si>
  <si>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</si>
  <si>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</si>
  <si>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</si>
  <si>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</si>
  <si>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</si>
  <si>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</si>
  <si>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</si>
  <si>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</si>
  <si>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</si>
  <si>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</si>
  <si>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</si>
  <si>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</si>
  <si>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</si>
  <si>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</si>
  <si>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</si>
  <si>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</si>
  <si>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</si>
  <si>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</si>
  <si>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</si>
  <si>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</si>
  <si>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</si>
  <si>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</si>
  <si>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</si>
  <si>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</si>
  <si>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</si>
  <si>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</si>
  <si>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</si>
  <si>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</si>
  <si>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</si>
  <si>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</si>
  <si>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</si>
  <si>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</si>
  <si>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</si>
  <si>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</si>
  <si>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</si>
  <si>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</si>
  <si>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</si>
  <si>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</si>
  <si>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</si>
  <si>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</si>
  <si>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</si>
  <si>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</si>
  <si>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</si>
  <si>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</si>
  <si>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</si>
  <si>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</si>
  <si>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</si>
  <si>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</si>
  <si>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</si>
  <si>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</si>
  <si>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</si>
  <si>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</si>
  <si>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</si>
  <si>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</si>
  <si>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</si>
  <si>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</si>
  <si>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</si>
  <si>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</si>
  <si>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</si>
  <si>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</si>
  <si>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</si>
  <si>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</si>
  <si>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</si>
  <si>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</si>
  <si>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</si>
  <si>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</si>
  <si>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</si>
  <si>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</si>
  <si>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</si>
  <si>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</si>
  <si>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</si>
  <si>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</si>
  <si>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</si>
  <si>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</si>
  <si>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</si>
  <si>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</si>
  <si>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</si>
  <si>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</si>
  <si>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</si>
  <si>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</si>
  <si>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</si>
  <si>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</si>
  <si>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</si>
  <si>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</si>
  <si>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</si>
  <si>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</si>
  <si>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</si>
  <si>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</si>
  <si>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</si>
  <si>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</si>
  <si>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</si>
  <si>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</si>
  <si>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</si>
  <si>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</si>
  <si>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</si>
  <si>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</si>
  <si>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</si>
  <si>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</si>
  <si>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</si>
  <si>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</si>
  <si>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</si>
  <si>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</si>
  <si>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</si>
  <si>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</si>
  <si>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</si>
  <si>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</si>
  <si>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</si>
  <si>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</si>
  <si>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</si>
  <si>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</si>
  <si>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</si>
  <si>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</si>
  <si>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</si>
  <si>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</si>
  <si>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</si>
  <si>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</si>
  <si>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</si>
  <si>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</si>
  <si>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</si>
  <si>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</si>
  <si>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</si>
  <si>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</si>
  <si>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</si>
  <si>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</si>
  <si>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</si>
  <si>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</si>
  <si>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</si>
  <si>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</si>
  <si>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</si>
  <si>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</si>
  <si>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</si>
  <si>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</si>
  <si>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</si>
  <si>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</si>
  <si>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</si>
  <si>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</si>
  <si>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</si>
  <si>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</si>
  <si>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</si>
  <si>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</si>
  <si>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</si>
  <si>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</si>
  <si>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</si>
  <si>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</si>
  <si>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</si>
  <si>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</si>
  <si>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</si>
  <si>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</si>
  <si>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</si>
  <si>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</si>
  <si>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</si>
  <si>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</si>
  <si>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</si>
  <si>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</si>
  <si>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</si>
  <si>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</si>
  <si>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</si>
  <si>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</si>
  <si>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</si>
  <si>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</si>
  <si>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</si>
  <si>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</si>
  <si>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</si>
  <si>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</si>
  <si>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</si>
  <si>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</si>
  <si>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</si>
  <si>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</si>
  <si>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</si>
  <si>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</si>
  <si>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</si>
  <si>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</si>
  <si>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</si>
  <si>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</si>
  <si>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</si>
  <si>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</si>
  <si>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</si>
  <si>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</si>
  <si>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</si>
  <si>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</si>
  <si>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</si>
  <si>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</si>
  <si>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</si>
  <si>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</si>
  <si>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</si>
  <si>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</si>
  <si>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</si>
  <si>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</si>
  <si>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</si>
  <si>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</si>
  <si>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</si>
  <si>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</si>
  <si>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</si>
  <si>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</si>
  <si>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</si>
  <si>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</si>
  <si>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</si>
  <si>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</si>
  <si>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</si>
  <si>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</si>
  <si>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</si>
  <si>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</si>
  <si>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</si>
  <si>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</si>
  <si>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</si>
  <si>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</si>
  <si>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</si>
  <si>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</si>
  <si>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</si>
  <si>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</si>
  <si>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</si>
  <si>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</si>
  <si>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</si>
  <si>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</si>
  <si>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</si>
  <si>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</si>
  <si>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</si>
  <si>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</si>
  <si>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</si>
  <si>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</si>
  <si>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</si>
  <si>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</si>
  <si>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</si>
  <si>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</si>
  <si>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</si>
  <si>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</si>
  <si>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</si>
  <si>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</si>
  <si>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</si>
  <si>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</si>
  <si>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</si>
  <si>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</si>
  <si>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</si>
  <si>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</si>
  <si>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</si>
  <si>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</si>
  <si>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</si>
  <si>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</si>
  <si>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</si>
  <si>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</si>
  <si>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</si>
  <si>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</si>
  <si>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</si>
  <si>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</si>
  <si>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</si>
  <si>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</si>
  <si>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</si>
  <si>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</si>
  <si>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</si>
  <si>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</si>
  <si>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</si>
  <si>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</si>
  <si>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</si>
  <si>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</si>
  <si>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</si>
  <si>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</si>
  <si>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</si>
  <si>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</si>
  <si>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</si>
  <si>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</si>
  <si>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</si>
  <si>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</si>
  <si>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</si>
  <si>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</si>
  <si>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</si>
  <si>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</si>
  <si>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</si>
  <si>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</si>
  <si>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</si>
  <si>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</si>
  <si>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</si>
  <si>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</si>
  <si>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</si>
  <si>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</si>
  <si>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</si>
  <si>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</si>
  <si>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</si>
  <si>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</si>
  <si>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</si>
  <si>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</si>
  <si>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</si>
  <si>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</si>
  <si>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</si>
  <si>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</si>
  <si>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</si>
  <si>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</si>
  <si>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</si>
  <si>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</si>
  <si>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</si>
  <si>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</si>
  <si>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</si>
  <si>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</si>
  <si>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</si>
  <si>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</si>
  <si>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</si>
  <si>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</si>
  <si>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</si>
  <si>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</si>
  <si>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</si>
  <si>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</si>
  <si>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</si>
  <si>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</si>
  <si>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</si>
  <si>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</si>
  <si>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</si>
  <si>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</si>
  <si>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</si>
  <si>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</si>
  <si>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</si>
  <si>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</si>
  <si>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</si>
  <si>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</si>
  <si>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</si>
  <si>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</si>
  <si>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</si>
  <si>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</si>
  <si>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</si>
  <si>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</si>
  <si>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</si>
  <si>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</si>
  <si>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</si>
  <si>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</si>
  <si>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</si>
  <si>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</si>
  <si>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</si>
  <si>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</si>
  <si>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</si>
  <si>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</si>
  <si>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</si>
  <si>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</si>
  <si>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</si>
  <si>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</si>
  <si>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</si>
  <si>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</si>
  <si>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</si>
  <si>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</si>
  <si>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</si>
  <si>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</si>
  <si>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</si>
  <si>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</si>
  <si>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</si>
  <si>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</si>
  <si>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</si>
  <si>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</si>
  <si>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</si>
  <si>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</si>
  <si>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</si>
  <si>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</si>
  <si>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</si>
  <si>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</si>
  <si>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</si>
  <si>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</si>
  <si>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</si>
  <si>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</si>
  <si>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</si>
  <si>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</si>
  <si>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</si>
  <si>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</si>
  <si>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</si>
  <si>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</si>
  <si>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</si>
  <si>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</si>
  <si>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</si>
  <si>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</si>
  <si>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</si>
  <si>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</si>
  <si>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</si>
  <si>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</si>
  <si>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</si>
  <si>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</si>
  <si>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</si>
  <si>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</si>
  <si>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</si>
  <si>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</si>
  <si>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</si>
  <si>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</si>
  <si>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</si>
  <si>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</si>
  <si>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</si>
  <si>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</si>
  <si>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</si>
  <si>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</si>
  <si>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</si>
  <si>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</si>
  <si>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</si>
  <si>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</si>
  <si>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</si>
  <si>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</si>
  <si>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</si>
  <si>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</si>
  <si>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</si>
  <si>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</si>
  <si>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</si>
  <si>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</si>
  <si>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</si>
  <si>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</si>
  <si>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</si>
  <si>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</si>
  <si>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</si>
  <si>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</si>
  <si>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</si>
  <si>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</si>
  <si>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</si>
  <si>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</si>
  <si>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</si>
  <si>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</si>
  <si>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</si>
  <si>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</si>
  <si>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</si>
  <si>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</si>
  <si>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</si>
  <si>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</si>
  <si>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</si>
  <si>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</si>
  <si>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</si>
  <si>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</si>
  <si>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</si>
  <si>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</si>
  <si>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</si>
  <si>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</si>
  <si>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</si>
  <si>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</si>
  <si>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</si>
  <si>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</si>
  <si>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</si>
  <si>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</si>
  <si>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</si>
  <si>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</si>
  <si>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</si>
  <si>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</si>
  <si>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</si>
  <si>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</si>
  <si>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</si>
  <si>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</si>
  <si>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</si>
  <si>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</si>
  <si>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</si>
  <si>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</si>
  <si>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</si>
  <si>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</si>
  <si>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</si>
  <si>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</si>
  <si>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</si>
  <si>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</si>
  <si>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</si>
  <si>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</si>
  <si>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</si>
  <si>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</si>
  <si>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</si>
  <si>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</si>
  <si>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</si>
  <si>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</si>
  <si>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</si>
  <si>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</si>
  <si>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</si>
  <si>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</si>
  <si>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</si>
  <si>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</si>
  <si>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</si>
  <si>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</si>
  <si>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</si>
  <si>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</si>
  <si>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</si>
  <si>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</si>
  <si>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</si>
  <si>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</si>
  <si>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</si>
  <si>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</si>
  <si>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</si>
  <si>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</si>
  <si>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</si>
  <si>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</si>
  <si>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</si>
  <si>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</si>
  <si>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</si>
  <si>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</si>
  <si>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</si>
  <si>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</si>
  <si>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</si>
  <si>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</si>
  <si>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</si>
  <si>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t>ASESORIA DE INCAPACES 7</t>
  </si>
  <si>
    <r>
      <t>PRESO</t>
    </r>
    <r>
      <rPr>
        <sz val="10"/>
        <rFont val="Arial"/>
        <family val="2"/>
      </rPr>
      <t xml:space="preserve"> VIVERO Jose Antonio por ABUSO SEXUAL CON ACCESO CARNAL CONTINUADO AGRAVADO POR LA CONVIVENCIA en perj. De Celeste Emilia Marin</t>
    </r>
  </si>
  <si>
    <t>EN FECHA 24/11 SE REMITE AL JUZGADO DE ORIGEN POR ABREVIADO PRESENTADO EN EL MISMO</t>
  </si>
  <si>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</si>
  <si>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</si>
  <si>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</si>
  <si>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</si>
  <si>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</si>
  <si>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</si>
  <si>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</si>
  <si>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</si>
  <si>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</si>
  <si>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</si>
  <si>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</si>
  <si>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</si>
  <si>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</si>
  <si>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</si>
  <si>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</si>
  <si>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</si>
  <si>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</si>
  <si>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</si>
  <si>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</si>
  <si>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</si>
  <si>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</si>
  <si>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</si>
  <si>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</si>
  <si>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</si>
  <si>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</si>
  <si>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</si>
  <si>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</si>
  <si>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</si>
  <si>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</si>
  <si>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</si>
  <si>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</si>
  <si>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</si>
  <si>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</si>
  <si>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</si>
  <si>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</si>
  <si>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</si>
  <si>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</si>
  <si>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</si>
  <si>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</si>
  <si>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</si>
  <si>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</si>
  <si>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</si>
  <si>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</si>
  <si>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</si>
  <si>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</si>
  <si>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</si>
  <si>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</si>
  <si>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</si>
  <si>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</si>
  <si>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</si>
  <si>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</si>
  <si>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</si>
  <si>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</si>
  <si>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</si>
  <si>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</si>
  <si>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</si>
  <si>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</si>
  <si>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</si>
  <si>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</si>
  <si>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</si>
  <si>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</si>
  <si>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t>suspennsion de audiencia por planteos de la defensa</t>
  </si>
  <si>
    <r>
      <t>PRESO</t>
    </r>
    <r>
      <rPr>
        <sz val="10"/>
        <rFont val="Arial"/>
        <family val="2"/>
      </rPr>
      <t xml:space="preserve"> MAIDANA Eduardo Gabriel por Lesiones Agravadas y AMENAZAS en perj. De HERRERA Lucia Aldana - acum 174751/21</t>
    </r>
  </si>
  <si>
    <t>DEVULETA 23/11/2023 ----EN FECHA 09/11/2023 SE REMITE A GARANTIAS 4 PARA QUE TOME CONOCIMIENTO DE LA RESLUCION DE LA AUDIENCIA MULTIPROSITO. ASIMISMO DEBE DEVOLVERLA PARA DAR TRAMITE AL REQU. JUICIO</t>
  </si>
  <si>
    <t>Dr. Nicolas Vedia MP 3742</t>
  </si>
  <si>
    <t>Asesoria de Incapaces 6 - Dra. Ibarguren</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</si>
  <si>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</si>
  <si>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</si>
  <si>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</si>
  <si>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SUSPENDIDA. El imputado manifiesta que firmo poder al Dr. Francia. Que quiere ser representado por el mismo y no por la Defensa Oficial. Por ultimo el juez solicita que pasen los autos a despacho para resolver.</t>
  </si>
  <si>
    <t xml:space="preserve"> 11:36</t>
  </si>
  <si>
    <t xml:space="preserve"> 11:38</t>
  </si>
  <si>
    <t xml:space="preserve"> 09:37</t>
  </si>
  <si>
    <t xml:space="preserve"> 10:10</t>
  </si>
  <si>
    <t>SE DISPONE LA ELVEVACION A JUICIO -- ASESORIA Nº 5 - Dra. Berni</t>
  </si>
  <si>
    <t xml:space="preserve"> 09:35</t>
  </si>
  <si>
    <t>SE DISPONE LA ELVEVACION A JUICIO Y NO SE HACE LUGAR AL PEDIDO DE LIBERTAD</t>
  </si>
  <si>
    <t>186464/23</t>
  </si>
  <si>
    <r>
      <t>PRESO</t>
    </r>
    <r>
      <rPr>
        <sz val="10"/>
        <rFont val="Arial"/>
        <family val="2"/>
      </rPr>
      <t xml:space="preserve"> ELAL Angel Zeman por HURTO DESOBEDIENCIA JUDICIAL - VIOLACION DE DOMICILIO (4 HECHOS) en perj. De MOLINA Patricia Sandra </t>
    </r>
  </si>
  <si>
    <t>181713/22</t>
  </si>
  <si>
    <t>Querellante Dr. OVEJERO Jorge Javier y OLIVER Carlos Cayetano</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</si>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</sst>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3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 fontId="2" fillId="0" borderId="6" xfId="0" applyNumberFormat="1" applyFont="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2" fillId="11"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1"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0" xfId="0" applyFill="1" applyAlignment="1">
      <alignment horizontal="center" vertical="center" wrapText="1"/>
    </xf>
    <xf numFmtId="164" fontId="4" fillId="0" borderId="1" xfId="0" applyNumberFormat="1" applyFont="1" applyFill="1" applyBorder="1" applyAlignment="1">
      <alignment horizontal="center" vertical="center" wrapText="1"/>
    </xf>
    <xf numFmtId="0" fontId="0" fillId="4" borderId="2" xfId="0" applyFill="1" applyBorder="1" applyAlignment="1">
      <alignment horizontal="center" vertical="center" wrapText="1"/>
    </xf>
    <xf numFmtId="20" fontId="0" fillId="4" borderId="1" xfId="0" applyNumberFormat="1" applyFill="1" applyBorder="1" applyAlignment="1">
      <alignment horizontal="center" vertical="center" wrapText="1"/>
    </xf>
    <xf numFmtId="0" fontId="4" fillId="4" borderId="1" xfId="0" applyNumberFormat="1" applyFont="1" applyFill="1" applyBorder="1" applyAlignment="1">
      <alignment horizontal="left"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0" fontId="33" fillId="4" borderId="0" xfId="0" applyFont="1" applyFill="1" applyAlignment="1">
      <alignment horizontal="left" vertical="center" wrapText="1"/>
    </xf>
    <xf numFmtId="0" fontId="9" fillId="4" borderId="1" xfId="0" applyFont="1" applyFill="1" applyBorder="1" applyAlignment="1">
      <alignment horizontal="center" vertical="center" wrapText="1"/>
    </xf>
    <xf numFmtId="164" fontId="4" fillId="4" borderId="1" xfId="0" applyNumberFormat="1" applyFont="1" applyFill="1" applyBorder="1" applyAlignment="1">
      <alignment horizontal="center" vertical="center" wrapText="1"/>
    </xf>
    <xf numFmtId="0" fontId="0" fillId="4" borderId="0" xfId="0" applyFill="1" applyAlignment="1">
      <alignment horizontal="center"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4" fillId="4" borderId="2" xfId="0" applyNumberFormat="1" applyFont="1" applyFill="1" applyBorder="1" applyAlignment="1">
      <alignment horizontal="left" vertical="center" wrapText="1"/>
    </xf>
    <xf numFmtId="0" fontId="9" fillId="4" borderId="2" xfId="0" applyFont="1" applyFill="1" applyBorder="1" applyAlignment="1">
      <alignment horizontal="center" vertical="center" wrapText="1"/>
    </xf>
    <xf numFmtId="14" fontId="0" fillId="4" borderId="12" xfId="0" applyNumberFormat="1" applyFill="1" applyBorder="1" applyAlignment="1">
      <alignment horizontal="center" vertical="center" wrapText="1"/>
    </xf>
    <xf numFmtId="19" fontId="0" fillId="4" borderId="12" xfId="0" applyNumberFormat="1" applyFill="1" applyBorder="1" applyAlignment="1">
      <alignment horizontal="center" vertical="center" wrapText="1"/>
    </xf>
    <xf numFmtId="0" fontId="10" fillId="4" borderId="2" xfId="0" applyFont="1" applyFill="1" applyBorder="1" applyAlignment="1">
      <alignment horizontal="center" vertical="center" wrapText="1"/>
    </xf>
    <xf numFmtId="14" fontId="0" fillId="4" borderId="2" xfId="0" applyNumberFormat="1" applyFill="1" applyBorder="1" applyAlignment="1">
      <alignment horizontal="center" vertical="center" wrapText="1"/>
    </xf>
    <xf numFmtId="0" fontId="0" fillId="4" borderId="6" xfId="0" applyFill="1" applyBorder="1" applyAlignment="1">
      <alignment horizontal="center" vertical="center" wrapText="1"/>
    </xf>
    <xf numFmtId="0" fontId="2" fillId="0" borderId="6" xfId="0" applyFont="1" applyBorder="1" applyAlignment="1">
      <alignment horizontal="center" vertical="center" wrapText="1"/>
    </xf>
    <xf numFmtId="0" fontId="0" fillId="0" borderId="31" xfId="0" applyBorder="1" applyAlignment="1">
      <alignment horizontal="center" vertical="center" wrapText="1"/>
    </xf>
    <xf numFmtId="0" fontId="0" fillId="11" borderId="31" xfId="0" applyFill="1" applyBorder="1" applyAlignment="1">
      <alignment horizontal="center" vertical="center" wrapText="1"/>
    </xf>
    <xf numFmtId="0" fontId="0" fillId="13" borderId="31" xfId="0" applyFill="1" applyBorder="1" applyAlignment="1">
      <alignment horizontal="center" vertical="center" wrapText="1"/>
    </xf>
    <xf numFmtId="0" fontId="0" fillId="13" borderId="32" xfId="0" applyFill="1" applyBorder="1" applyAlignment="1">
      <alignment horizontal="center" vertical="center" wrapText="1"/>
    </xf>
    <xf numFmtId="0" fontId="0" fillId="10" borderId="32" xfId="0" applyFill="1" applyBorder="1" applyAlignment="1">
      <alignment horizontal="center" vertical="center" wrapText="1"/>
    </xf>
    <xf numFmtId="0" fontId="0" fillId="13" borderId="6" xfId="0" applyFill="1" applyBorder="1" applyAlignment="1">
      <alignment horizontal="center" vertical="center" wrapText="1"/>
    </xf>
    <xf numFmtId="0" fontId="4" fillId="0" borderId="2" xfId="0" applyFont="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cellXfs>
  <cellStyles count="3">
    <cellStyle name="Normal" xfId="0" builtinId="0"/>
    <cellStyle name="Normal 2" xfId="1"/>
    <cellStyle name="Porcentual" xfId="2" builtinId="5"/>
  </cellStyles>
  <dxfs count="655">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1.xml"/><Relationship Id="rId38"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pivotCacheDefinition" Target="pivotCache/pivotCacheDefinition5.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3.xml"/><Relationship Id="rId43"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527"/>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65648640"/>
        <c:axId val="165564416"/>
      </c:barChart>
      <c:catAx>
        <c:axId val="165648640"/>
        <c:scaling>
          <c:orientation val="minMax"/>
        </c:scaling>
        <c:axPos val="b"/>
        <c:majorTickMark val="none"/>
        <c:tickLblPos val="nextTo"/>
        <c:txPr>
          <a:bodyPr/>
          <a:lstStyle/>
          <a:p>
            <a:pPr>
              <a:defRPr lang="es-ES"/>
            </a:pPr>
            <a:endParaRPr lang="es-ES"/>
          </a:p>
        </c:txPr>
        <c:crossAx val="165564416"/>
        <c:crosses val="autoZero"/>
        <c:auto val="1"/>
        <c:lblAlgn val="ctr"/>
        <c:lblOffset val="100"/>
      </c:catAx>
      <c:valAx>
        <c:axId val="165564416"/>
        <c:scaling>
          <c:orientation val="minMax"/>
        </c:scaling>
        <c:axPos val="l"/>
        <c:majorGridlines/>
        <c:numFmt formatCode="General" sourceLinked="1"/>
        <c:majorTickMark val="none"/>
        <c:tickLblPos val="nextTo"/>
        <c:txPr>
          <a:bodyPr/>
          <a:lstStyle/>
          <a:p>
            <a:pPr>
              <a:defRPr lang="es-ES"/>
            </a:pPr>
            <a:endParaRPr lang="es-ES"/>
          </a:p>
        </c:txPr>
        <c:crossAx val="16564864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65603968"/>
        <c:axId val="166625664"/>
      </c:barChart>
      <c:catAx>
        <c:axId val="165603968"/>
        <c:scaling>
          <c:orientation val="minMax"/>
        </c:scaling>
        <c:axPos val="b"/>
        <c:majorTickMark val="none"/>
        <c:tickLblPos val="nextTo"/>
        <c:txPr>
          <a:bodyPr/>
          <a:lstStyle/>
          <a:p>
            <a:pPr>
              <a:defRPr lang="es-ES"/>
            </a:pPr>
            <a:endParaRPr lang="es-ES"/>
          </a:p>
        </c:txPr>
        <c:crossAx val="166625664"/>
        <c:crosses val="autoZero"/>
        <c:auto val="1"/>
        <c:lblAlgn val="ctr"/>
        <c:lblOffset val="100"/>
      </c:catAx>
      <c:valAx>
        <c:axId val="166625664"/>
        <c:scaling>
          <c:orientation val="minMax"/>
        </c:scaling>
        <c:axPos val="l"/>
        <c:majorGridlines/>
        <c:numFmt formatCode="General" sourceLinked="1"/>
        <c:majorTickMark val="none"/>
        <c:tickLblPos val="nextTo"/>
        <c:txPr>
          <a:bodyPr/>
          <a:lstStyle/>
          <a:p>
            <a:pPr>
              <a:defRPr lang="es-ES"/>
            </a:pPr>
            <a:endParaRPr lang="es-ES"/>
          </a:p>
        </c:txPr>
        <c:crossAx val="165603968"/>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66653312"/>
        <c:axId val="166745216"/>
      </c:barChart>
      <c:catAx>
        <c:axId val="166653312"/>
        <c:scaling>
          <c:orientation val="minMax"/>
        </c:scaling>
        <c:axPos val="b"/>
        <c:majorTickMark val="none"/>
        <c:tickLblPos val="nextTo"/>
        <c:txPr>
          <a:bodyPr/>
          <a:lstStyle/>
          <a:p>
            <a:pPr>
              <a:defRPr lang="es-ES"/>
            </a:pPr>
            <a:endParaRPr lang="es-ES"/>
          </a:p>
        </c:txPr>
        <c:crossAx val="166745216"/>
        <c:crosses val="autoZero"/>
        <c:auto val="1"/>
        <c:lblAlgn val="ctr"/>
        <c:lblOffset val="100"/>
      </c:catAx>
      <c:valAx>
        <c:axId val="16674521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665331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66764544"/>
        <c:axId val="166766080"/>
      </c:barChart>
      <c:catAx>
        <c:axId val="166764544"/>
        <c:scaling>
          <c:orientation val="minMax"/>
        </c:scaling>
        <c:axPos val="b"/>
        <c:majorTickMark val="none"/>
        <c:tickLblPos val="nextTo"/>
        <c:txPr>
          <a:bodyPr/>
          <a:lstStyle/>
          <a:p>
            <a:pPr>
              <a:defRPr lang="es-ES"/>
            </a:pPr>
            <a:endParaRPr lang="es-ES"/>
          </a:p>
        </c:txPr>
        <c:crossAx val="166766080"/>
        <c:crosses val="autoZero"/>
        <c:auto val="1"/>
        <c:lblAlgn val="ctr"/>
        <c:lblOffset val="100"/>
      </c:catAx>
      <c:valAx>
        <c:axId val="16676608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676454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89"/>
                  <c:y val="-0.13389714619230686"/>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963"/>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2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306"/>
                  <c:y val="-3.8029270993357775E-2"/>
                </c:manualLayout>
              </c:layout>
              <c:dLblPos val="bestFit"/>
              <c:showVal val="1"/>
              <c:showCatName val="1"/>
              <c:showPercent val="1"/>
            </c:dLbl>
            <c:dLbl>
              <c:idx val="8"/>
              <c:layout>
                <c:manualLayout>
                  <c:x val="0.29249880865527694"/>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786" footer="0.3149606299213078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587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77"/>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706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836"/>
                  <c:y val="0.35111261781951375"/>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803"/>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8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63"/>
                  <c:y val="-7.8406782442156903E-2"/>
                </c:manualLayout>
              </c:layout>
              <c:showVal val="1"/>
              <c:showCatName val="1"/>
              <c:showPercent val="1"/>
            </c:dLbl>
            <c:dLbl>
              <c:idx val="10"/>
              <c:layout>
                <c:manualLayout>
                  <c:x val="0.15381044618908801"/>
                  <c:y val="3.1547200269128446E-2"/>
                </c:manualLayout>
              </c:layout>
              <c:showVal val="1"/>
              <c:showCatName val="1"/>
              <c:showPercent val="1"/>
            </c:dLbl>
            <c:dLbl>
              <c:idx val="11"/>
              <c:layout>
                <c:manualLayout>
                  <c:x val="0.19633672921483838"/>
                  <c:y val="0.14931623446993153"/>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8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825"/>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9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67"/>
                  <c:y val="-7.8406782442156903E-2"/>
                </c:manualLayout>
              </c:layout>
              <c:showVal val="1"/>
              <c:showCatName val="1"/>
              <c:showPercent val="1"/>
            </c:dLbl>
            <c:dLbl>
              <c:idx val="10"/>
              <c:layout>
                <c:manualLayout>
                  <c:x val="0.15381044618908807"/>
                  <c:y val="3.1547200269128446E-2"/>
                </c:manualLayout>
              </c:layout>
              <c:showVal val="1"/>
              <c:showCatName val="1"/>
              <c:showPercent val="1"/>
            </c:dLbl>
            <c:dLbl>
              <c:idx val="11"/>
              <c:layout>
                <c:manualLayout>
                  <c:x val="0.19633672921483833"/>
                  <c:y val="0.1493162344699316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93"/>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Informe de Gestión"/>
      <sheetName val="Exp por Jueces"/>
      <sheetName val="Informe semana"/>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 val="PRESO"/>
      <sheetName val="Oposicion"/>
      <sheetName val="NoReal"/>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 val="PRESO"/>
      <sheetName val="Oposicion"/>
      <sheetName val="NoReal"/>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56">
      <pivotArea dataOnly="0" labelOnly="1" outline="0" fieldPosition="0">
        <references count="1">
          <reference field="4" count="1">
            <x v="88"/>
          </reference>
        </references>
      </pivotArea>
    </format>
    <format dxfId="55">
      <pivotArea dataOnly="0" labelOnly="1" outline="0" fieldPosition="0">
        <references count="1">
          <reference field="4" count="1">
            <x v="88"/>
          </reference>
        </references>
      </pivotArea>
    </format>
    <format dxfId="54">
      <pivotArea dataOnly="0" labelOnly="1" fieldPosition="0">
        <references count="1">
          <reference field="6" count="3">
            <x v="0"/>
            <x v="2"/>
            <x v="8"/>
          </reference>
        </references>
      </pivotArea>
    </format>
    <format dxfId="53">
      <pivotArea dataOnly="0" outline="0" fieldPosition="0">
        <references count="1">
          <reference field="4" count="1">
            <x v="92"/>
          </reference>
        </references>
      </pivotArea>
    </format>
    <format dxfId="52">
      <pivotArea dataOnly="0" labelOnly="1" outline="0" fieldPosition="0">
        <references count="1">
          <reference field="4" count="1">
            <x v="96"/>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101"/>
          </reference>
        </references>
      </pivotArea>
    </format>
    <format dxfId="4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64">
      <pivotArea dataOnly="0" labelOnly="1" outline="0" fieldPosition="0">
        <references count="1">
          <reference field="4" count="1">
            <x v="88"/>
          </reference>
        </references>
      </pivotArea>
    </format>
    <format dxfId="63">
      <pivotArea dataOnly="0" labelOnly="1" outline="0" fieldPosition="0">
        <references count="1">
          <reference field="4" count="1">
            <x v="88"/>
          </reference>
        </references>
      </pivotArea>
    </format>
    <format dxfId="62">
      <pivotArea dataOnly="0" labelOnly="1" fieldPosition="0">
        <references count="1">
          <reference field="6" count="3">
            <x v="0"/>
            <x v="2"/>
            <x v="8"/>
          </reference>
        </references>
      </pivotArea>
    </format>
    <format dxfId="61">
      <pivotArea dataOnly="0" outline="0" fieldPosition="0">
        <references count="1">
          <reference field="4" count="1">
            <x v="92"/>
          </reference>
        </references>
      </pivotArea>
    </format>
    <format dxfId="60">
      <pivotArea dataOnly="0" labelOnly="1" outline="0" fieldPosition="0">
        <references count="1">
          <reference field="4" count="1">
            <x v="96"/>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101"/>
          </reference>
        </references>
      </pivotArea>
    </format>
    <format dxfId="5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81">
      <pivotArea dataOnly="0" labelOnly="1" outline="0" fieldPosition="0">
        <references count="1">
          <reference field="4" count="1">
            <x v="85"/>
          </reference>
        </references>
      </pivotArea>
    </format>
    <format dxfId="80">
      <pivotArea type="all" dataOnly="0" outline="0" fieldPosition="0"/>
    </format>
    <format dxfId="79">
      <pivotArea dataOnly="0" labelOnly="1" outline="0" fieldPosition="0">
        <references count="1">
          <reference field="4" count="1">
            <x v="85"/>
          </reference>
        </references>
      </pivotArea>
    </format>
    <format dxfId="78">
      <pivotArea field="6" type="button" dataOnly="0" labelOnly="1" outline="0" axis="axisRow" fieldPosition="0"/>
    </format>
    <format dxfId="77">
      <pivotArea dataOnly="0" labelOnly="1" fieldPosition="0">
        <references count="1">
          <reference field="6" count="3">
            <x v="0"/>
            <x v="2"/>
            <x v="8"/>
          </reference>
        </references>
      </pivotArea>
    </format>
    <format dxfId="76">
      <pivotArea dataOnly="0" labelOnly="1" outline="0" fieldPosition="0">
        <references count="1">
          <reference field="4" count="1">
            <x v="90"/>
          </reference>
        </references>
      </pivotArea>
    </format>
    <format dxfId="75">
      <pivotArea dataOnly="0" labelOnly="1" outline="0" fieldPosition="0">
        <references count="1">
          <reference field="4" count="1">
            <x v="99"/>
          </reference>
        </references>
      </pivotArea>
    </format>
    <format dxfId="74">
      <pivotArea dataOnly="0" labelOnly="1" outline="0" fieldPosition="0">
        <references count="1">
          <reference field="4" count="1">
            <x v="99"/>
          </reference>
        </references>
      </pivotArea>
    </format>
    <format dxfId="73">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89">
      <pivotArea dataOnly="0" labelOnly="1" outline="0" fieldPosition="0">
        <references count="1">
          <reference field="4" count="1">
            <x v="86"/>
          </reference>
        </references>
      </pivotArea>
    </format>
    <format dxfId="88">
      <pivotArea dataOnly="0" labelOnly="1" outline="0" fieldPosition="0">
        <references count="1">
          <reference field="4" count="1">
            <x v="86"/>
          </reference>
        </references>
      </pivotArea>
    </format>
    <format dxfId="87">
      <pivotArea dataOnly="0" labelOnly="1" fieldPosition="0">
        <references count="1">
          <reference field="6" count="3">
            <x v="0"/>
            <x v="2"/>
            <x v="8"/>
          </reference>
        </references>
      </pivotArea>
    </format>
    <format dxfId="86">
      <pivotArea dataOnly="0" labelOnly="1" outline="0" fieldPosition="0">
        <references count="1">
          <reference field="4" count="1">
            <x v="91"/>
          </reference>
        </references>
      </pivotArea>
    </format>
    <format dxfId="85">
      <pivotArea dataOnly="0" labelOnly="1" outline="0" fieldPosition="0">
        <references count="1">
          <reference field="4" count="1">
            <x v="95"/>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100"/>
          </reference>
        </references>
      </pivotArea>
    </format>
    <format dxfId="82">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97">
      <pivotArea dataOnly="0" labelOnly="1" outline="0" fieldPosition="0">
        <references count="1">
          <reference field="4" count="1">
            <x v="88"/>
          </reference>
        </references>
      </pivotArea>
    </format>
    <format dxfId="96">
      <pivotArea dataOnly="0" labelOnly="1" outline="0" fieldPosition="0">
        <references count="1">
          <reference field="4" count="1">
            <x v="88"/>
          </reference>
        </references>
      </pivotArea>
    </format>
    <format dxfId="95">
      <pivotArea dataOnly="0" labelOnly="1" fieldPosition="0">
        <references count="1">
          <reference field="6" count="3">
            <x v="0"/>
            <x v="2"/>
            <x v="8"/>
          </reference>
        </references>
      </pivotArea>
    </format>
    <format dxfId="94">
      <pivotArea dataOnly="0" outline="0" fieldPosition="0">
        <references count="1">
          <reference field="4" count="1">
            <x v="92"/>
          </reference>
        </references>
      </pivotArea>
    </format>
    <format dxfId="93">
      <pivotArea dataOnly="0" labelOnly="1" outline="0" fieldPosition="0">
        <references count="1">
          <reference field="4" count="1">
            <x v="96"/>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101"/>
          </reference>
        </references>
      </pivotArea>
    </format>
    <format dxfId="9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K287"/>
  <sheetViews>
    <sheetView tabSelected="1" zoomScale="85" zoomScaleNormal="85" zoomScaleSheetLayoutView="55" workbookViewId="0">
      <pane ySplit="2" topLeftCell="A234" activePane="bottomLeft" state="frozen"/>
      <selection pane="bottomLeft" activeCell="F239" sqref="F239"/>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1" width="11.42578125" style="1" customWidth="1"/>
    <col min="32" max="32" width="13.140625" style="1" customWidth="1"/>
    <col min="33" max="34" width="11.42578125" style="1" customWidth="1"/>
    <col min="35" max="35" width="11.42578125" style="1"/>
    <col min="36" max="36" width="13.7109375" style="1" customWidth="1"/>
    <col min="37" max="16384" width="11.42578125" style="1"/>
  </cols>
  <sheetData>
    <row r="1" spans="1:37" s="84" customFormat="1" ht="180" customHeight="1">
      <c r="A1" s="208">
        <v>284</v>
      </c>
      <c r="B1" s="209" t="str">
        <f ca="1" xml:space="preserve"> COUNTIF(O:O,"NO") &amp;
"                                      -                          "                 &amp; COUNTIF(O:O,"LIMBO")</f>
        <v>2                                      -                          279</v>
      </c>
      <c r="C1" s="209">
        <f ca="1" xml:space="preserve"> COUNTIF(O:O,"SI")</f>
        <v>4</v>
      </c>
      <c r="D1" s="207" t="s">
        <v>2328</v>
      </c>
      <c r="E1" s="33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45253</v>
      </c>
      <c r="Q1" s="214">
        <v>45098</v>
      </c>
      <c r="R1" s="214">
        <v>45100</v>
      </c>
      <c r="S1" s="207"/>
      <c r="T1" s="88"/>
      <c r="U1" s="85"/>
      <c r="Y1" s="207"/>
      <c r="Z1" s="215"/>
    </row>
    <row r="2" spans="1:37"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0" t="s">
        <v>2162</v>
      </c>
      <c r="AI2" s="315" t="s">
        <v>2163</v>
      </c>
      <c r="AJ2" s="411" t="s">
        <v>2253</v>
      </c>
      <c r="AK2" s="44" t="s">
        <v>2161</v>
      </c>
    </row>
    <row r="3" spans="1:37" ht="114.75">
      <c r="A3" s="393">
        <v>30</v>
      </c>
      <c r="B3" s="402">
        <v>45219</v>
      </c>
      <c r="C3" s="403">
        <v>0.38541666666666669</v>
      </c>
      <c r="D3" s="55" t="s">
        <v>1516</v>
      </c>
      <c r="E3" s="404" t="s">
        <v>2683</v>
      </c>
      <c r="F3" s="393">
        <v>6</v>
      </c>
      <c r="G3" s="393" t="s">
        <v>32</v>
      </c>
      <c r="H3" s="402">
        <v>45252</v>
      </c>
      <c r="I3" s="57" t="s">
        <v>2680</v>
      </c>
      <c r="J3" s="402" t="s">
        <v>23</v>
      </c>
      <c r="K3" s="393">
        <f>IFERROR(VLOOKUP(J3,Jueces!$A$1:$B$11,2,FALSE),"")</f>
        <v>2</v>
      </c>
      <c r="L3" s="55" t="s">
        <v>591</v>
      </c>
      <c r="M3" s="55" t="s">
        <v>1476</v>
      </c>
      <c r="N3" s="6" t="s">
        <v>2822</v>
      </c>
      <c r="O3" s="55" t="str">
        <f t="shared" ref="O3:O66" ca="1" si="0">IF($H3&lt;&gt;"",IF($H3&lt;=TODAY(),"SI","NO"),"LIMBO")</f>
        <v>SI</v>
      </c>
      <c r="P3" s="55"/>
      <c r="Q3" s="55" t="s">
        <v>709</v>
      </c>
      <c r="R3" s="55"/>
      <c r="S3" s="55" t="s">
        <v>2823</v>
      </c>
      <c r="T3" s="405"/>
      <c r="U3" s="405"/>
      <c r="V3" s="393"/>
      <c r="W3" s="55" t="s">
        <v>2824</v>
      </c>
      <c r="X3" s="393"/>
      <c r="Y3" s="393"/>
      <c r="Z3" s="393"/>
      <c r="AA3" s="393"/>
      <c r="AB3" s="393"/>
      <c r="AC3" s="406">
        <v>45219</v>
      </c>
      <c r="AD3" s="406">
        <v>45219</v>
      </c>
      <c r="AE3" s="407">
        <v>0</v>
      </c>
      <c r="AF3" s="400">
        <f t="shared" ref="AF3:AF66" si="1">MAX($AC3,$AE3)+7</f>
        <v>45226</v>
      </c>
      <c r="AG3" s="401"/>
      <c r="AH3" s="401"/>
      <c r="AI3" s="396" t="s">
        <v>2251</v>
      </c>
      <c r="AJ3" s="410"/>
      <c r="AK3" s="244" t="s">
        <v>2161</v>
      </c>
    </row>
    <row r="4" spans="1:37" ht="89.25">
      <c r="A4" s="393">
        <v>107</v>
      </c>
      <c r="B4" s="402">
        <v>45232</v>
      </c>
      <c r="C4" s="403">
        <v>0.45069444444444445</v>
      </c>
      <c r="D4" s="55" t="s">
        <v>1783</v>
      </c>
      <c r="E4" s="404" t="s">
        <v>2392</v>
      </c>
      <c r="F4" s="393">
        <v>6</v>
      </c>
      <c r="G4" s="393" t="s">
        <v>1839</v>
      </c>
      <c r="H4" s="402">
        <v>45253</v>
      </c>
      <c r="I4" s="57" t="s">
        <v>864</v>
      </c>
      <c r="J4" s="402" t="s">
        <v>877</v>
      </c>
      <c r="K4" s="393">
        <f>IFERROR(VLOOKUP(J4,Jueces!$A$1:$B$11,2,FALSE),"")</f>
        <v>6</v>
      </c>
      <c r="L4" s="55" t="s">
        <v>575</v>
      </c>
      <c r="M4" s="55" t="s">
        <v>2391</v>
      </c>
      <c r="N4" s="55" t="s">
        <v>2829</v>
      </c>
      <c r="O4" s="55" t="str">
        <f t="shared" ca="1" si="0"/>
        <v>SI</v>
      </c>
      <c r="P4" s="55"/>
      <c r="Q4" s="55" t="s">
        <v>709</v>
      </c>
      <c r="R4" s="55"/>
      <c r="S4" s="55" t="s">
        <v>2828</v>
      </c>
      <c r="T4" s="405"/>
      <c r="U4" s="405"/>
      <c r="V4" s="393"/>
      <c r="W4" s="55" t="s">
        <v>450</v>
      </c>
      <c r="X4" s="393"/>
      <c r="Y4" s="393"/>
      <c r="Z4" s="408" t="s">
        <v>545</v>
      </c>
      <c r="AA4" s="393"/>
      <c r="AB4" s="393"/>
      <c r="AC4" s="393"/>
      <c r="AD4" s="393"/>
      <c r="AE4" s="393"/>
      <c r="AF4" s="400">
        <f t="shared" si="1"/>
        <v>7</v>
      </c>
      <c r="AG4" s="396"/>
      <c r="AH4" s="410"/>
      <c r="AI4" s="396" t="s">
        <v>2161</v>
      </c>
      <c r="AJ4" s="410"/>
      <c r="AK4" s="244" t="s">
        <v>2161</v>
      </c>
    </row>
    <row r="5" spans="1:37" ht="51">
      <c r="A5" s="393">
        <v>108</v>
      </c>
      <c r="B5" s="402"/>
      <c r="C5" s="393"/>
      <c r="D5" s="55" t="s">
        <v>2053</v>
      </c>
      <c r="E5" s="404" t="s">
        <v>2682</v>
      </c>
      <c r="F5" s="393">
        <v>4</v>
      </c>
      <c r="G5" s="393" t="s">
        <v>1841</v>
      </c>
      <c r="H5" s="402">
        <v>45253</v>
      </c>
      <c r="I5" s="57" t="s">
        <v>864</v>
      </c>
      <c r="J5" s="402" t="s">
        <v>25</v>
      </c>
      <c r="K5" s="393">
        <f>IFERROR(VLOOKUP(J5,Jueces!$A$1:$B$11,2,FALSE),"")</f>
        <v>4</v>
      </c>
      <c r="L5" s="55" t="s">
        <v>781</v>
      </c>
      <c r="M5" s="55" t="s">
        <v>2681</v>
      </c>
      <c r="N5" s="6" t="s">
        <v>2827</v>
      </c>
      <c r="O5" s="55" t="str">
        <f t="shared" ca="1" si="0"/>
        <v>SI</v>
      </c>
      <c r="P5" s="55"/>
      <c r="Q5" s="55" t="s">
        <v>709</v>
      </c>
      <c r="R5" s="55"/>
      <c r="S5" s="55" t="s">
        <v>2825</v>
      </c>
      <c r="T5" s="405"/>
      <c r="U5" s="405"/>
      <c r="V5" s="393"/>
      <c r="W5" s="55" t="s">
        <v>2826</v>
      </c>
      <c r="X5" s="393"/>
      <c r="Y5" s="393"/>
      <c r="Z5" s="408" t="s">
        <v>557</v>
      </c>
      <c r="AA5" s="393"/>
      <c r="AB5" s="393"/>
      <c r="AC5" s="409">
        <v>45219</v>
      </c>
      <c r="AD5" s="409">
        <v>45219</v>
      </c>
      <c r="AE5" s="393"/>
      <c r="AF5" s="400">
        <f t="shared" si="1"/>
        <v>45226</v>
      </c>
      <c r="AG5" s="401"/>
      <c r="AH5" s="401"/>
      <c r="AI5" s="401" t="s">
        <v>2161</v>
      </c>
      <c r="AJ5" s="401"/>
      <c r="AK5" s="244" t="s">
        <v>2161</v>
      </c>
    </row>
    <row r="6" spans="1:37" ht="63.75">
      <c r="A6" s="393">
        <v>19</v>
      </c>
      <c r="B6" s="17">
        <v>45217</v>
      </c>
      <c r="C6" s="394">
        <v>0.54999999999999993</v>
      </c>
      <c r="D6" s="6" t="s">
        <v>1712</v>
      </c>
      <c r="E6" s="395" t="s">
        <v>2679</v>
      </c>
      <c r="F6" s="396">
        <v>7</v>
      </c>
      <c r="G6" s="396" t="s">
        <v>1841</v>
      </c>
      <c r="H6" s="397">
        <v>45254</v>
      </c>
      <c r="I6" s="17" t="s">
        <v>450</v>
      </c>
      <c r="J6" s="397" t="s">
        <v>63</v>
      </c>
      <c r="K6" s="393">
        <f>IFERROR(VLOOKUP(J6,Jueces!$A$1:$B$11,2,FALSE),"")</f>
        <v>8</v>
      </c>
      <c r="L6" s="6" t="s">
        <v>586</v>
      </c>
      <c r="M6" s="6" t="s">
        <v>538</v>
      </c>
      <c r="N6" s="398" t="s">
        <v>2814</v>
      </c>
      <c r="O6" s="6" t="str">
        <f t="shared" ca="1" si="0"/>
        <v>SI</v>
      </c>
      <c r="P6" s="6"/>
      <c r="Q6" s="6" t="s">
        <v>709</v>
      </c>
      <c r="R6" s="6"/>
      <c r="S6" s="6"/>
      <c r="T6" s="399"/>
      <c r="U6" s="399"/>
      <c r="V6" s="396"/>
      <c r="W6" s="396"/>
      <c r="X6" s="396"/>
      <c r="Y6" s="396"/>
      <c r="Z6" s="396"/>
      <c r="AA6" s="396"/>
      <c r="AB6" s="396"/>
      <c r="AC6" s="396"/>
      <c r="AD6" s="396"/>
      <c r="AE6" s="396"/>
      <c r="AF6" s="400">
        <f t="shared" si="1"/>
        <v>7</v>
      </c>
      <c r="AG6" s="401"/>
      <c r="AH6" s="401"/>
      <c r="AI6" s="401" t="s">
        <v>2161</v>
      </c>
      <c r="AJ6" s="401"/>
      <c r="AK6" s="244" t="s">
        <v>2161</v>
      </c>
    </row>
    <row r="7" spans="1:37" s="84" customFormat="1" ht="39.950000000000003" customHeight="1">
      <c r="A7" s="64">
        <v>40</v>
      </c>
      <c r="B7" s="66">
        <v>45222</v>
      </c>
      <c r="C7" s="368">
        <v>0.52638888888888891</v>
      </c>
      <c r="D7" s="67" t="s">
        <v>1837</v>
      </c>
      <c r="E7" s="369" t="s">
        <v>2238</v>
      </c>
      <c r="F7" s="64">
        <v>8</v>
      </c>
      <c r="G7" s="64" t="s">
        <v>21</v>
      </c>
      <c r="H7" s="66">
        <v>45261</v>
      </c>
      <c r="I7" s="69" t="s">
        <v>450</v>
      </c>
      <c r="J7" s="66" t="s">
        <v>873</v>
      </c>
      <c r="K7" s="67" t="s">
        <v>936</v>
      </c>
      <c r="L7" s="67" t="s">
        <v>595</v>
      </c>
      <c r="M7" s="67" t="s">
        <v>554</v>
      </c>
      <c r="N7" s="67" t="s">
        <v>2221</v>
      </c>
      <c r="O7" s="67" t="str">
        <f t="shared" ca="1" si="0"/>
        <v>NO</v>
      </c>
      <c r="P7" s="67"/>
      <c r="Q7" s="67" t="s">
        <v>709</v>
      </c>
      <c r="R7" s="67"/>
      <c r="S7" s="67"/>
      <c r="T7" s="370"/>
      <c r="U7" s="370"/>
      <c r="V7" s="64"/>
      <c r="W7" s="64"/>
      <c r="X7" s="64"/>
      <c r="Y7" s="64"/>
      <c r="Z7" s="64"/>
      <c r="AA7" s="64"/>
      <c r="AB7" s="64"/>
      <c r="AC7" s="64"/>
      <c r="AD7" s="64"/>
      <c r="AE7" s="64"/>
      <c r="AF7" s="392">
        <f t="shared" si="1"/>
        <v>7</v>
      </c>
      <c r="AI7" s="84" t="s">
        <v>2161</v>
      </c>
      <c r="AK7" s="244" t="s">
        <v>2161</v>
      </c>
    </row>
    <row r="8" spans="1:37" s="84" customFormat="1" ht="39.950000000000003" customHeight="1">
      <c r="A8" s="64">
        <v>110</v>
      </c>
      <c r="B8" s="66">
        <v>45231</v>
      </c>
      <c r="C8" s="368">
        <v>0.375</v>
      </c>
      <c r="D8" s="67" t="s">
        <v>1643</v>
      </c>
      <c r="E8" s="369" t="s">
        <v>2749</v>
      </c>
      <c r="F8" s="64">
        <v>4</v>
      </c>
      <c r="G8" s="64" t="s">
        <v>32</v>
      </c>
      <c r="H8" s="66">
        <v>45264</v>
      </c>
      <c r="I8" s="69" t="s">
        <v>864</v>
      </c>
      <c r="J8" s="66" t="s">
        <v>25</v>
      </c>
      <c r="K8" s="64">
        <f>IFERROR(VLOOKUP(J8,Jueces!$A$1:$B$11,2,FALSE),"")</f>
        <v>4</v>
      </c>
      <c r="L8" s="67" t="s">
        <v>469</v>
      </c>
      <c r="M8" s="207"/>
      <c r="N8" s="67" t="s">
        <v>2394</v>
      </c>
      <c r="O8" s="67" t="str">
        <f t="shared" ca="1" si="0"/>
        <v>NO</v>
      </c>
      <c r="P8" s="67"/>
      <c r="Q8" s="67" t="s">
        <v>709</v>
      </c>
      <c r="R8" s="67"/>
      <c r="S8" s="67"/>
      <c r="T8" s="370"/>
      <c r="U8" s="370"/>
      <c r="V8" s="64"/>
      <c r="W8" s="64"/>
      <c r="X8" s="64"/>
      <c r="Y8" s="64"/>
      <c r="Z8" s="64"/>
      <c r="AA8" s="64"/>
      <c r="AB8" s="64"/>
      <c r="AC8" s="64"/>
      <c r="AD8" s="64"/>
      <c r="AE8" s="64"/>
      <c r="AF8" s="392">
        <f t="shared" si="1"/>
        <v>7</v>
      </c>
      <c r="AI8" s="84" t="s">
        <v>2161</v>
      </c>
      <c r="AK8" s="244" t="s">
        <v>2161</v>
      </c>
    </row>
    <row r="9" spans="1:37"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t="shared" ca="1" si="0"/>
        <v>LIMBO</v>
      </c>
      <c r="P9" s="340"/>
      <c r="Q9" s="340"/>
      <c r="R9" s="340"/>
      <c r="S9" s="340" t="s">
        <v>2111</v>
      </c>
      <c r="T9" s="345"/>
      <c r="U9" s="345"/>
      <c r="V9" s="340"/>
      <c r="W9" s="340"/>
      <c r="X9" s="340"/>
      <c r="Y9" s="340"/>
      <c r="Z9" s="345"/>
      <c r="AA9" s="345"/>
      <c r="AB9" s="345"/>
      <c r="AC9" s="347">
        <v>45255</v>
      </c>
      <c r="AD9" s="347">
        <v>45216</v>
      </c>
      <c r="AE9" s="347">
        <v>45224</v>
      </c>
      <c r="AF9" s="348">
        <f t="shared" si="1"/>
        <v>45262</v>
      </c>
      <c r="AG9" s="346" t="str">
        <f ca="1">IF(TEXT($AF10,"DD/MM/YYYY")=TEXT($C$1,"dd/mm/yyyy"),"DIASOL","DIANOSOL")</f>
        <v>DIANOSOL</v>
      </c>
      <c r="AH9" s="346"/>
      <c r="AI9" s="346" t="s">
        <v>2251</v>
      </c>
      <c r="AJ9" s="346"/>
      <c r="AK9" s="244" t="s">
        <v>2161</v>
      </c>
    </row>
    <row r="10" spans="1:37" s="84" customFormat="1" ht="39.950000000000003" customHeight="1">
      <c r="A10" s="340">
        <v>2</v>
      </c>
      <c r="B10" s="373">
        <v>45216</v>
      </c>
      <c r="C10" s="344"/>
      <c r="D10" s="344" t="s">
        <v>2109</v>
      </c>
      <c r="E10" s="387" t="s">
        <v>2230</v>
      </c>
      <c r="F10" s="344">
        <v>3</v>
      </c>
      <c r="G10" s="344" t="s">
        <v>32</v>
      </c>
      <c r="H10" s="373"/>
      <c r="I10" s="374"/>
      <c r="J10" s="373"/>
      <c r="K10" s="340" t="str">
        <f>IFERROR(VLOOKUP(J10,Jueces!$A$1:$B$11,2,FALSE),"")</f>
        <v/>
      </c>
      <c r="L10" s="344" t="s">
        <v>2110</v>
      </c>
      <c r="M10" s="344"/>
      <c r="N10" s="344"/>
      <c r="O10" s="344" t="str">
        <f t="shared" ca="1" si="0"/>
        <v>LIMBO</v>
      </c>
      <c r="P10" s="344"/>
      <c r="Q10" s="344"/>
      <c r="R10" s="344"/>
      <c r="S10" s="344" t="s">
        <v>2111</v>
      </c>
      <c r="T10" s="376"/>
      <c r="U10" s="376"/>
      <c r="V10" s="344"/>
      <c r="W10" s="344"/>
      <c r="X10" s="344"/>
      <c r="Y10" s="344"/>
      <c r="Z10" s="376"/>
      <c r="AA10" s="376"/>
      <c r="AB10" s="376"/>
      <c r="AC10" s="349">
        <v>45217</v>
      </c>
      <c r="AD10" s="349">
        <v>45218</v>
      </c>
      <c r="AE10" s="349">
        <v>45216</v>
      </c>
      <c r="AF10" s="348">
        <f t="shared" si="1"/>
        <v>45224</v>
      </c>
      <c r="AG10" s="381" t="str">
        <f ca="1">IF(TEXT($AF10,"DD/MM/YYYY")=TEXT($C$1,"dd/mm/yyyy"),"DIASOL","DIANOSOL")</f>
        <v>DIANOSOL</v>
      </c>
      <c r="AH10" s="382"/>
      <c r="AI10" s="384" t="s">
        <v>2252</v>
      </c>
      <c r="AJ10" s="346"/>
      <c r="AK10" s="244" t="s">
        <v>2836</v>
      </c>
    </row>
    <row r="11" spans="1:37" s="84" customFormat="1" ht="51">
      <c r="A11" s="340">
        <v>3</v>
      </c>
      <c r="B11" s="341">
        <v>45216</v>
      </c>
      <c r="C11" s="340"/>
      <c r="D11" s="340" t="s">
        <v>863</v>
      </c>
      <c r="E11" s="343" t="s">
        <v>2228</v>
      </c>
      <c r="F11" s="340">
        <v>4</v>
      </c>
      <c r="G11" s="340" t="s">
        <v>1839</v>
      </c>
      <c r="H11" s="341"/>
      <c r="I11" s="342"/>
      <c r="J11" s="341"/>
      <c r="K11" s="340" t="str">
        <f>IFERROR(VLOOKUP(J11,Jueces!$A$1:$B$11,2,FALSE),"")</f>
        <v/>
      </c>
      <c r="L11" s="340" t="s">
        <v>2121</v>
      </c>
      <c r="M11" s="340" t="s">
        <v>2105</v>
      </c>
      <c r="N11" s="340"/>
      <c r="O11" s="340" t="str">
        <f t="shared" ca="1" si="0"/>
        <v>LIMBO</v>
      </c>
      <c r="P11" s="340"/>
      <c r="Q11" s="340"/>
      <c r="R11" s="340"/>
      <c r="S11" s="340" t="s">
        <v>2111</v>
      </c>
      <c r="T11" s="345"/>
      <c r="U11" s="345"/>
      <c r="V11" s="340"/>
      <c r="W11" s="340"/>
      <c r="X11" s="340"/>
      <c r="Y11" s="340"/>
      <c r="Z11" s="345"/>
      <c r="AA11" s="345"/>
      <c r="AB11" s="345"/>
      <c r="AC11" s="341">
        <v>31705</v>
      </c>
      <c r="AD11" s="347">
        <v>25567</v>
      </c>
      <c r="AE11" s="347">
        <v>36818</v>
      </c>
      <c r="AF11" s="348">
        <f t="shared" si="1"/>
        <v>36825</v>
      </c>
      <c r="AG11" s="346" t="str">
        <f t="shared" ref="AG11:AG23" ca="1" si="2">IF(TEXT($AF12,"DD/MM/YYYY")=TEXT($C$1,"dd/mm/yyyy"),"DIASOL","DIANOSOL")</f>
        <v>DIANOSOL</v>
      </c>
      <c r="AH11" s="346"/>
      <c r="AI11" s="346" t="s">
        <v>2252</v>
      </c>
      <c r="AJ11" s="346"/>
      <c r="AK11" s="244" t="s">
        <v>2161</v>
      </c>
    </row>
    <row r="12" spans="1:37"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t="shared" ca="1" si="0"/>
        <v>LIMBO</v>
      </c>
      <c r="P12" s="216"/>
      <c r="Q12" s="216"/>
      <c r="R12" s="216"/>
      <c r="S12" s="216" t="s">
        <v>2111</v>
      </c>
      <c r="T12" s="317"/>
      <c r="U12" s="317"/>
      <c r="V12" s="216"/>
      <c r="W12" s="216"/>
      <c r="X12" s="216"/>
      <c r="Y12" s="216"/>
      <c r="Z12" s="317"/>
      <c r="AA12" s="317"/>
      <c r="AB12" s="317"/>
      <c r="AC12" s="319"/>
      <c r="AD12" s="319"/>
      <c r="AE12" s="319"/>
      <c r="AF12" s="327">
        <f t="shared" si="1"/>
        <v>7</v>
      </c>
      <c r="AG12" s="326" t="str">
        <f t="shared" ca="1" si="2"/>
        <v>DIANOSOL</v>
      </c>
      <c r="AH12" s="326"/>
      <c r="AI12" s="326" t="s">
        <v>2161</v>
      </c>
      <c r="AJ12" s="326"/>
      <c r="AK12" s="244" t="s">
        <v>2161</v>
      </c>
    </row>
    <row r="13" spans="1:37" s="84" customFormat="1" ht="39.950000000000003" customHeight="1">
      <c r="A13" s="216">
        <v>5</v>
      </c>
      <c r="B13" s="328">
        <v>45216</v>
      </c>
      <c r="C13" s="329">
        <v>0.44930555555555557</v>
      </c>
      <c r="D13" s="320" t="s">
        <v>1531</v>
      </c>
      <c r="E13" s="388" t="s">
        <v>2138</v>
      </c>
      <c r="F13" s="320">
        <v>8</v>
      </c>
      <c r="G13" s="320" t="s">
        <v>21</v>
      </c>
      <c r="H13" s="328"/>
      <c r="I13" s="329"/>
      <c r="J13" s="328"/>
      <c r="K13" s="216" t="str">
        <f>IFERROR(VLOOKUP(J13,Jueces!$A$1:$B$11,2,FALSE),"")</f>
        <v/>
      </c>
      <c r="L13" s="320" t="s">
        <v>781</v>
      </c>
      <c r="M13" s="320" t="s">
        <v>569</v>
      </c>
      <c r="N13" s="320" t="s">
        <v>2150</v>
      </c>
      <c r="O13" s="320" t="str">
        <f t="shared" ca="1" si="0"/>
        <v>LIMBO</v>
      </c>
      <c r="P13" s="320"/>
      <c r="Q13" s="320"/>
      <c r="R13" s="320"/>
      <c r="S13" s="320"/>
      <c r="T13" s="325"/>
      <c r="U13" s="325"/>
      <c r="V13" s="320"/>
      <c r="W13" s="320"/>
      <c r="X13" s="320"/>
      <c r="Y13" s="320"/>
      <c r="Z13" s="330"/>
      <c r="AA13" s="330"/>
      <c r="AB13" s="330"/>
      <c r="AC13" s="324"/>
      <c r="AD13" s="324"/>
      <c r="AE13" s="324"/>
      <c r="AF13" s="327">
        <f t="shared" si="1"/>
        <v>7</v>
      </c>
      <c r="AG13" s="326" t="str">
        <f t="shared" ca="1" si="2"/>
        <v>DIANOSOL</v>
      </c>
      <c r="AH13" s="371"/>
      <c r="AI13" s="371"/>
      <c r="AJ13" s="326"/>
      <c r="AK13" s="244" t="s">
        <v>2836</v>
      </c>
    </row>
    <row r="14" spans="1:37"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2" t="s">
        <v>794</v>
      </c>
      <c r="N14" s="216"/>
      <c r="O14" s="216" t="str">
        <f t="shared" ca="1" si="0"/>
        <v>LIMBO</v>
      </c>
      <c r="P14" s="216"/>
      <c r="Q14" s="216"/>
      <c r="R14" s="216"/>
      <c r="S14" s="316"/>
      <c r="T14" s="317"/>
      <c r="U14" s="317"/>
      <c r="V14" s="216"/>
      <c r="W14" s="316"/>
      <c r="X14" s="216"/>
      <c r="Y14" s="216"/>
      <c r="Z14" s="318"/>
      <c r="AA14" s="318"/>
      <c r="AB14" s="318"/>
      <c r="AC14" s="319"/>
      <c r="AD14" s="319"/>
      <c r="AE14" s="319"/>
      <c r="AF14" s="331">
        <f t="shared" si="1"/>
        <v>7</v>
      </c>
      <c r="AG14" s="326" t="str">
        <f t="shared" ca="1" si="2"/>
        <v>DIANOSOL</v>
      </c>
      <c r="AH14" s="326"/>
      <c r="AI14" s="326" t="s">
        <v>2161</v>
      </c>
      <c r="AJ14" s="326"/>
      <c r="AK14" s="244" t="s">
        <v>2161</v>
      </c>
    </row>
    <row r="15" spans="1:37"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t="shared" ca="1" si="0"/>
        <v>LIMBO</v>
      </c>
      <c r="P15" s="216"/>
      <c r="Q15" s="216"/>
      <c r="R15" s="216"/>
      <c r="S15" s="216"/>
      <c r="T15" s="317"/>
      <c r="U15" s="317"/>
      <c r="V15" s="216"/>
      <c r="W15" s="216"/>
      <c r="X15" s="216"/>
      <c r="Y15" s="216"/>
      <c r="Z15" s="318"/>
      <c r="AA15" s="318"/>
      <c r="AB15" s="318"/>
      <c r="AC15" s="319"/>
      <c r="AD15" s="319"/>
      <c r="AE15" s="319"/>
      <c r="AF15" s="331">
        <f t="shared" si="1"/>
        <v>7</v>
      </c>
      <c r="AG15" s="326" t="str">
        <f t="shared" ca="1" si="2"/>
        <v>DIANOSOL</v>
      </c>
      <c r="AH15" s="326"/>
      <c r="AI15" s="326" t="s">
        <v>2161</v>
      </c>
      <c r="AJ15" s="326"/>
      <c r="AK15" s="244" t="s">
        <v>2161</v>
      </c>
    </row>
    <row r="16" spans="1:37" s="84" customFormat="1" ht="39.950000000000003" customHeight="1">
      <c r="A16" s="152">
        <v>8</v>
      </c>
      <c r="B16" s="289">
        <v>45217</v>
      </c>
      <c r="C16" s="361" t="s">
        <v>2118</v>
      </c>
      <c r="D16" s="152" t="s">
        <v>2119</v>
      </c>
      <c r="E16" s="357" t="s">
        <v>2120</v>
      </c>
      <c r="F16" s="152">
        <v>1</v>
      </c>
      <c r="G16" s="152" t="s">
        <v>32</v>
      </c>
      <c r="H16" s="289"/>
      <c r="I16" s="361"/>
      <c r="J16" s="289"/>
      <c r="K16" s="152" t="str">
        <f>IFERROR(VLOOKUP(J16,Jueces!$A$1:$B$11,2,FALSE),"")</f>
        <v/>
      </c>
      <c r="L16" s="152" t="s">
        <v>592</v>
      </c>
      <c r="M16" s="152"/>
      <c r="N16" s="152"/>
      <c r="O16" s="152" t="str">
        <f t="shared" ca="1" si="0"/>
        <v>LIMBO</v>
      </c>
      <c r="P16" s="152"/>
      <c r="Q16" s="152"/>
      <c r="R16" s="152"/>
      <c r="S16" s="361"/>
      <c r="T16" s="358"/>
      <c r="U16" s="358"/>
      <c r="V16" s="152"/>
      <c r="W16" s="361"/>
      <c r="X16" s="152"/>
      <c r="Y16" s="152"/>
      <c r="Z16" s="377"/>
      <c r="AA16" s="377"/>
      <c r="AB16" s="377"/>
      <c r="AC16" s="355"/>
      <c r="AD16" s="355"/>
      <c r="AE16" s="355"/>
      <c r="AF16" s="380">
        <f t="shared" si="1"/>
        <v>7</v>
      </c>
      <c r="AG16" s="372" t="str">
        <f t="shared" ca="1" si="2"/>
        <v>DIANOSOL</v>
      </c>
      <c r="AH16" s="372"/>
      <c r="AI16" s="372"/>
      <c r="AJ16" s="372"/>
      <c r="AK16" s="244" t="s">
        <v>2836</v>
      </c>
    </row>
    <row r="17" spans="1:37"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t="shared" ca="1" si="0"/>
        <v>LIMBO</v>
      </c>
      <c r="P17" s="216"/>
      <c r="Q17" s="216"/>
      <c r="R17" s="216"/>
      <c r="S17" s="316"/>
      <c r="T17" s="317"/>
      <c r="U17" s="317"/>
      <c r="V17" s="216"/>
      <c r="W17" s="316"/>
      <c r="X17" s="216"/>
      <c r="Y17" s="216"/>
      <c r="Z17" s="318"/>
      <c r="AA17" s="318"/>
      <c r="AB17" s="318"/>
      <c r="AC17" s="319"/>
      <c r="AD17" s="324"/>
      <c r="AE17" s="324"/>
      <c r="AF17" s="327">
        <f t="shared" si="1"/>
        <v>7</v>
      </c>
      <c r="AG17" s="326" t="str">
        <f t="shared" ca="1" si="2"/>
        <v>DIANOSOL</v>
      </c>
      <c r="AH17" s="326"/>
      <c r="AI17" s="371" t="s">
        <v>2161</v>
      </c>
      <c r="AJ17" s="326"/>
      <c r="AK17" s="244" t="s">
        <v>2161</v>
      </c>
    </row>
    <row r="18" spans="1:37" ht="39.950000000000003" customHeight="1">
      <c r="A18" s="216">
        <v>10</v>
      </c>
      <c r="B18" s="288">
        <v>45217</v>
      </c>
      <c r="C18" s="316" t="s">
        <v>2125</v>
      </c>
      <c r="D18" s="216" t="s">
        <v>2126</v>
      </c>
      <c r="E18" s="335" t="s">
        <v>2196</v>
      </c>
      <c r="F18" s="216">
        <v>1</v>
      </c>
      <c r="G18" s="216" t="s">
        <v>1839</v>
      </c>
      <c r="H18" s="288"/>
      <c r="I18" s="316"/>
      <c r="J18" s="288"/>
      <c r="K18" s="216" t="str">
        <f>IFERROR(VLOOKUP(J18,Jueces!$A$1:$B$11,2,FALSE),"")</f>
        <v/>
      </c>
      <c r="L18" s="216" t="s">
        <v>2127</v>
      </c>
      <c r="M18" s="216" t="s">
        <v>569</v>
      </c>
      <c r="N18" s="320"/>
      <c r="O18" s="216" t="str">
        <f t="shared" ca="1" si="0"/>
        <v>LIMBO</v>
      </c>
      <c r="P18" s="216"/>
      <c r="Q18" s="216"/>
      <c r="R18" s="216"/>
      <c r="S18" s="216"/>
      <c r="T18" s="317"/>
      <c r="U18" s="317"/>
      <c r="V18" s="216"/>
      <c r="W18" s="216"/>
      <c r="X18" s="216"/>
      <c r="Y18" s="216"/>
      <c r="Z18" s="318"/>
      <c r="AA18" s="318"/>
      <c r="AB18" s="318"/>
      <c r="AC18" s="319"/>
      <c r="AD18" s="371"/>
      <c r="AE18" s="371"/>
      <c r="AF18" s="379">
        <f t="shared" si="1"/>
        <v>7</v>
      </c>
      <c r="AG18" s="326" t="str">
        <f t="shared" ca="1" si="2"/>
        <v>DIANOSOL</v>
      </c>
      <c r="AH18" s="326"/>
      <c r="AI18" s="326" t="s">
        <v>2161</v>
      </c>
      <c r="AJ18" s="326"/>
      <c r="AK18" s="244" t="s">
        <v>2161</v>
      </c>
    </row>
    <row r="19" spans="1:37" ht="39.950000000000003" customHeight="1">
      <c r="A19" s="216">
        <v>11</v>
      </c>
      <c r="B19" s="288">
        <v>45217</v>
      </c>
      <c r="C19" s="316">
        <v>0.46180555555555558</v>
      </c>
      <c r="D19" s="216" t="s">
        <v>951</v>
      </c>
      <c r="E19" s="335" t="s">
        <v>2200</v>
      </c>
      <c r="F19" s="216">
        <v>4</v>
      </c>
      <c r="G19" s="216" t="s">
        <v>1839</v>
      </c>
      <c r="H19" s="288"/>
      <c r="I19" s="316"/>
      <c r="J19" s="288"/>
      <c r="K19" s="216" t="str">
        <f>IFERROR(VLOOKUP(J19,Jueces!$A$1:$B$11,2,FALSE),"")</f>
        <v/>
      </c>
      <c r="L19" s="216" t="s">
        <v>2128</v>
      </c>
      <c r="M19" s="216" t="s">
        <v>2129</v>
      </c>
      <c r="N19" s="216" t="s">
        <v>2188</v>
      </c>
      <c r="O19" s="216" t="str">
        <f t="shared" ca="1" si="0"/>
        <v>LIMBO</v>
      </c>
      <c r="P19" s="216"/>
      <c r="Q19" s="216"/>
      <c r="R19" s="216"/>
      <c r="S19" s="316"/>
      <c r="T19" s="317"/>
      <c r="U19" s="317"/>
      <c r="V19" s="216"/>
      <c r="W19" s="316"/>
      <c r="X19" s="216"/>
      <c r="Y19" s="216"/>
      <c r="Z19" s="318"/>
      <c r="AA19" s="318"/>
      <c r="AB19" s="318"/>
      <c r="AC19" s="319"/>
      <c r="AD19" s="371"/>
      <c r="AE19" s="371"/>
      <c r="AF19" s="379">
        <f t="shared" si="1"/>
        <v>7</v>
      </c>
      <c r="AG19" s="326" t="str">
        <f t="shared" ca="1" si="2"/>
        <v>DIANOSOL</v>
      </c>
      <c r="AH19" s="326"/>
      <c r="AI19" s="326" t="s">
        <v>2161</v>
      </c>
      <c r="AJ19" s="326"/>
      <c r="AK19" s="244" t="s">
        <v>2161</v>
      </c>
    </row>
    <row r="20" spans="1:37"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t="shared" ca="1" si="0"/>
        <v>LIMBO</v>
      </c>
      <c r="P20" s="216"/>
      <c r="Q20" s="216"/>
      <c r="R20" s="216"/>
      <c r="S20" s="216"/>
      <c r="T20" s="317"/>
      <c r="U20" s="317"/>
      <c r="V20" s="216"/>
      <c r="W20" s="216"/>
      <c r="X20" s="216"/>
      <c r="Y20" s="216"/>
      <c r="Z20" s="318"/>
      <c r="AA20" s="318"/>
      <c r="AB20" s="318"/>
      <c r="AC20" s="319"/>
      <c r="AD20" s="371"/>
      <c r="AE20" s="371"/>
      <c r="AF20" s="379">
        <f t="shared" si="1"/>
        <v>7</v>
      </c>
      <c r="AG20" s="326" t="str">
        <f t="shared" ca="1" si="2"/>
        <v>DIANOSOL</v>
      </c>
      <c r="AH20" s="326"/>
      <c r="AI20" s="371" t="s">
        <v>2161</v>
      </c>
      <c r="AJ20" s="326"/>
      <c r="AK20" s="244" t="s">
        <v>2161</v>
      </c>
    </row>
    <row r="21" spans="1:37"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t="shared" ca="1" si="0"/>
        <v>LIMBO</v>
      </c>
      <c r="P21" s="216"/>
      <c r="Q21" s="216"/>
      <c r="R21" s="216"/>
      <c r="S21" s="316"/>
      <c r="T21" s="317"/>
      <c r="U21" s="317"/>
      <c r="V21" s="216"/>
      <c r="W21" s="316"/>
      <c r="X21" s="216"/>
      <c r="Y21" s="216"/>
      <c r="Z21" s="318"/>
      <c r="AA21" s="318"/>
      <c r="AB21" s="318"/>
      <c r="AC21" s="319"/>
      <c r="AD21" s="371"/>
      <c r="AE21" s="371"/>
      <c r="AF21" s="379">
        <f t="shared" si="1"/>
        <v>7</v>
      </c>
      <c r="AG21" s="326" t="str">
        <f t="shared" ca="1" si="2"/>
        <v>DIANOSOL</v>
      </c>
      <c r="AH21" s="326"/>
      <c r="AI21" s="326" t="s">
        <v>2161</v>
      </c>
      <c r="AJ21" s="326"/>
      <c r="AK21" s="244" t="s">
        <v>2161</v>
      </c>
    </row>
    <row r="22" spans="1:37"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t="shared" ca="1" si="0"/>
        <v>LIMBO</v>
      </c>
      <c r="P22" s="216"/>
      <c r="Q22" s="216"/>
      <c r="R22" s="216"/>
      <c r="S22" s="316"/>
      <c r="T22" s="317"/>
      <c r="U22" s="317"/>
      <c r="V22" s="216"/>
      <c r="W22" s="316"/>
      <c r="X22" s="216"/>
      <c r="Y22" s="216"/>
      <c r="Z22" s="318"/>
      <c r="AA22" s="318"/>
      <c r="AB22" s="318"/>
      <c r="AC22" s="319"/>
      <c r="AD22" s="371"/>
      <c r="AE22" s="371"/>
      <c r="AF22" s="379">
        <f t="shared" si="1"/>
        <v>7</v>
      </c>
      <c r="AG22" s="326" t="str">
        <f t="shared" ca="1" si="2"/>
        <v>DIANOSOL</v>
      </c>
      <c r="AH22" s="326"/>
      <c r="AI22" s="326" t="s">
        <v>2161</v>
      </c>
      <c r="AJ22" s="326"/>
      <c r="AK22" s="244" t="s">
        <v>2161</v>
      </c>
    </row>
    <row r="23" spans="1:37"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t="shared" ca="1" si="0"/>
        <v>LIMBO</v>
      </c>
      <c r="P23" s="216"/>
      <c r="Q23" s="216"/>
      <c r="R23" s="216"/>
      <c r="S23" s="216"/>
      <c r="T23" s="317"/>
      <c r="U23" s="317"/>
      <c r="V23" s="216"/>
      <c r="W23" s="216"/>
      <c r="X23" s="216" t="s">
        <v>2217</v>
      </c>
      <c r="Y23" s="216"/>
      <c r="Z23" s="318"/>
      <c r="AA23" s="318"/>
      <c r="AB23" s="318"/>
      <c r="AC23" s="319"/>
      <c r="AD23" s="371"/>
      <c r="AE23" s="371"/>
      <c r="AF23" s="379">
        <f t="shared" si="1"/>
        <v>7</v>
      </c>
      <c r="AG23" s="326" t="str">
        <f t="shared" ca="1" si="2"/>
        <v>DIANOSOL</v>
      </c>
      <c r="AH23" s="326"/>
      <c r="AI23" s="326" t="s">
        <v>2161</v>
      </c>
      <c r="AJ23" s="326"/>
      <c r="AK23" s="244" t="s">
        <v>2161</v>
      </c>
    </row>
    <row r="24" spans="1:37"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t="shared" ca="1" si="0"/>
        <v>LIMBO</v>
      </c>
      <c r="P24" s="216"/>
      <c r="Q24" s="216" t="s">
        <v>709</v>
      </c>
      <c r="R24" s="216"/>
      <c r="S24" s="216"/>
      <c r="T24" s="317"/>
      <c r="U24" s="317"/>
      <c r="V24" s="321"/>
      <c r="W24" s="321"/>
      <c r="X24" s="321"/>
      <c r="Y24" s="321"/>
      <c r="Z24" s="321"/>
      <c r="AA24" s="321"/>
      <c r="AB24" s="321"/>
      <c r="AC24" s="321"/>
      <c r="AD24" s="326"/>
      <c r="AE24" s="326"/>
      <c r="AF24" s="379">
        <f t="shared" si="1"/>
        <v>7</v>
      </c>
      <c r="AG24" s="326"/>
      <c r="AH24" s="326"/>
      <c r="AI24" s="326"/>
      <c r="AJ24" s="326"/>
      <c r="AK24" s="244" t="s">
        <v>2836</v>
      </c>
    </row>
    <row r="25" spans="1:37" ht="39.950000000000003" customHeight="1">
      <c r="A25" s="321">
        <v>17</v>
      </c>
      <c r="B25" s="319">
        <v>45217</v>
      </c>
      <c r="C25" s="322">
        <v>0.46458333333333335</v>
      </c>
      <c r="D25" s="216" t="s">
        <v>785</v>
      </c>
      <c r="E25" s="335" t="s">
        <v>2202</v>
      </c>
      <c r="F25" s="321">
        <v>4</v>
      </c>
      <c r="G25" s="321" t="s">
        <v>1839</v>
      </c>
      <c r="H25" s="319"/>
      <c r="I25" s="319"/>
      <c r="J25" s="319"/>
      <c r="K25" s="216" t="str">
        <f>IFERROR(VLOOKUP(J25,Jueces!$A$1:$B$11,2,FALSE),"")</f>
        <v/>
      </c>
      <c r="L25" s="216" t="s">
        <v>599</v>
      </c>
      <c r="M25" s="216" t="s">
        <v>519</v>
      </c>
      <c r="N25" s="216" t="s">
        <v>2155</v>
      </c>
      <c r="O25" s="216" t="str">
        <f t="shared" ca="1" si="0"/>
        <v>LIMBO</v>
      </c>
      <c r="P25" s="216"/>
      <c r="Q25" s="216" t="s">
        <v>709</v>
      </c>
      <c r="R25" s="216"/>
      <c r="S25" s="216"/>
      <c r="T25" s="317"/>
      <c r="U25" s="317"/>
      <c r="V25" s="321"/>
      <c r="W25" s="321"/>
      <c r="X25" s="321"/>
      <c r="Y25" s="321"/>
      <c r="Z25" s="321"/>
      <c r="AA25" s="321"/>
      <c r="AB25" s="321"/>
      <c r="AC25" s="321"/>
      <c r="AD25" s="326"/>
      <c r="AE25" s="326"/>
      <c r="AF25" s="379">
        <f t="shared" si="1"/>
        <v>7</v>
      </c>
      <c r="AG25" s="326"/>
      <c r="AH25" s="326"/>
      <c r="AI25" s="326" t="s">
        <v>2161</v>
      </c>
      <c r="AJ25" s="326"/>
      <c r="AK25" s="244" t="s">
        <v>2161</v>
      </c>
    </row>
    <row r="26" spans="1:37"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t="shared" ca="1" si="0"/>
        <v>LIMBO</v>
      </c>
      <c r="P26" s="216"/>
      <c r="Q26" s="216" t="s">
        <v>709</v>
      </c>
      <c r="R26" s="216"/>
      <c r="S26" s="216"/>
      <c r="T26" s="317"/>
      <c r="U26" s="317"/>
      <c r="V26" s="321"/>
      <c r="W26" s="321"/>
      <c r="X26" s="321"/>
      <c r="Y26" s="321"/>
      <c r="Z26" s="321"/>
      <c r="AA26" s="321"/>
      <c r="AB26" s="321"/>
      <c r="AC26" s="321"/>
      <c r="AD26" s="326"/>
      <c r="AE26" s="326"/>
      <c r="AF26" s="379">
        <f t="shared" si="1"/>
        <v>7</v>
      </c>
      <c r="AG26" s="326"/>
      <c r="AH26" s="326"/>
      <c r="AI26" s="326" t="s">
        <v>2161</v>
      </c>
      <c r="AJ26" s="326"/>
      <c r="AK26" s="244" t="s">
        <v>2161</v>
      </c>
    </row>
    <row r="27" spans="1:37"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t="shared" ca="1" si="0"/>
        <v>LIMBO</v>
      </c>
      <c r="P27" s="216"/>
      <c r="Q27" s="216" t="s">
        <v>709</v>
      </c>
      <c r="R27" s="216"/>
      <c r="S27" s="216"/>
      <c r="T27" s="317"/>
      <c r="U27" s="317"/>
      <c r="V27" s="321"/>
      <c r="W27" s="321"/>
      <c r="X27" s="321"/>
      <c r="Y27" s="321"/>
      <c r="Z27" s="321"/>
      <c r="AA27" s="321"/>
      <c r="AB27" s="321"/>
      <c r="AC27" s="321"/>
      <c r="AD27" s="326"/>
      <c r="AE27" s="326"/>
      <c r="AF27" s="379">
        <f t="shared" si="1"/>
        <v>7</v>
      </c>
      <c r="AG27" s="326"/>
      <c r="AH27" s="326"/>
      <c r="AI27" s="326" t="s">
        <v>2161</v>
      </c>
      <c r="AJ27" s="326"/>
      <c r="AK27" s="244" t="s">
        <v>2161</v>
      </c>
    </row>
    <row r="28" spans="1:37" ht="39.950000000000003" customHeight="1">
      <c r="A28" s="321">
        <v>21</v>
      </c>
      <c r="B28" s="319">
        <v>45217</v>
      </c>
      <c r="C28" s="322">
        <v>0.47569444444444442</v>
      </c>
      <c r="D28" s="216" t="s">
        <v>414</v>
      </c>
      <c r="E28" s="335" t="s">
        <v>2205</v>
      </c>
      <c r="F28" s="321">
        <v>4</v>
      </c>
      <c r="G28" s="321" t="s">
        <v>1839</v>
      </c>
      <c r="H28" s="319"/>
      <c r="I28" s="319"/>
      <c r="J28" s="319"/>
      <c r="K28" s="321" t="str">
        <f>IFERROR(VLOOKUP(J28,Jueces!$A$1:$B$11,2,FALSE),"")</f>
        <v/>
      </c>
      <c r="L28" s="216" t="s">
        <v>425</v>
      </c>
      <c r="M28" s="216" t="s">
        <v>511</v>
      </c>
      <c r="N28" s="216" t="s">
        <v>2158</v>
      </c>
      <c r="O28" s="216" t="str">
        <f t="shared" ca="1" si="0"/>
        <v>LIMBO</v>
      </c>
      <c r="P28" s="216"/>
      <c r="Q28" s="216" t="s">
        <v>709</v>
      </c>
      <c r="R28" s="216"/>
      <c r="S28" s="216"/>
      <c r="T28" s="317"/>
      <c r="U28" s="317"/>
      <c r="V28" s="321"/>
      <c r="W28" s="321"/>
      <c r="X28" s="321"/>
      <c r="Y28" s="321"/>
      <c r="Z28" s="321"/>
      <c r="AA28" s="321"/>
      <c r="AB28" s="321"/>
      <c r="AC28" s="321"/>
      <c r="AD28" s="326"/>
      <c r="AE28" s="326"/>
      <c r="AF28" s="379">
        <f t="shared" si="1"/>
        <v>7</v>
      </c>
      <c r="AG28" s="326"/>
      <c r="AH28" s="326"/>
      <c r="AI28" s="326" t="s">
        <v>2161</v>
      </c>
      <c r="AJ28" s="326"/>
      <c r="AK28" s="244" t="s">
        <v>2161</v>
      </c>
    </row>
    <row r="29" spans="1:37"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t="shared" ca="1" si="0"/>
        <v>LIMBO</v>
      </c>
      <c r="P29" s="216"/>
      <c r="Q29" s="216" t="s">
        <v>709</v>
      </c>
      <c r="R29" s="216"/>
      <c r="S29" s="216"/>
      <c r="T29" s="317"/>
      <c r="U29" s="317"/>
      <c r="V29" s="321"/>
      <c r="W29" s="321"/>
      <c r="X29" s="321"/>
      <c r="Y29" s="321"/>
      <c r="Z29" s="321"/>
      <c r="AA29" s="321"/>
      <c r="AB29" s="321"/>
      <c r="AC29" s="321"/>
      <c r="AD29" s="326"/>
      <c r="AE29" s="326"/>
      <c r="AF29" s="379">
        <f t="shared" si="1"/>
        <v>7</v>
      </c>
      <c r="AG29" s="326"/>
      <c r="AH29" s="326"/>
      <c r="AI29" s="326" t="s">
        <v>2161</v>
      </c>
      <c r="AJ29" s="326"/>
      <c r="AK29" s="244" t="s">
        <v>2161</v>
      </c>
    </row>
    <row r="30" spans="1:37"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t="shared" ca="1" si="0"/>
        <v>LIMBO</v>
      </c>
      <c r="P30" s="216"/>
      <c r="Q30" s="216" t="s">
        <v>709</v>
      </c>
      <c r="R30" s="216"/>
      <c r="S30" s="216"/>
      <c r="T30" s="317"/>
      <c r="U30" s="317"/>
      <c r="V30" s="321"/>
      <c r="W30" s="321"/>
      <c r="X30" s="321"/>
      <c r="Y30" s="321"/>
      <c r="Z30" s="321"/>
      <c r="AA30" s="321"/>
      <c r="AB30" s="321"/>
      <c r="AC30" s="321"/>
      <c r="AD30" s="321"/>
      <c r="AE30" s="321"/>
      <c r="AF30" s="379">
        <f t="shared" si="1"/>
        <v>7</v>
      </c>
      <c r="AG30" s="321"/>
      <c r="AH30" s="321"/>
      <c r="AI30" s="321" t="s">
        <v>2161</v>
      </c>
      <c r="AJ30" s="326"/>
      <c r="AK30" s="244" t="s">
        <v>2161</v>
      </c>
    </row>
    <row r="31" spans="1:37"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t="shared" ca="1" si="0"/>
        <v>LIMBO</v>
      </c>
      <c r="P31" s="216"/>
      <c r="Q31" s="216" t="s">
        <v>709</v>
      </c>
      <c r="R31" s="216"/>
      <c r="S31" s="216"/>
      <c r="T31" s="317"/>
      <c r="U31" s="317"/>
      <c r="V31" s="321"/>
      <c r="W31" s="321"/>
      <c r="X31" s="321"/>
      <c r="Y31" s="321"/>
      <c r="Z31" s="321"/>
      <c r="AA31" s="321"/>
      <c r="AB31" s="321"/>
      <c r="AC31" s="321"/>
      <c r="AD31" s="378"/>
      <c r="AE31" s="378"/>
      <c r="AF31" s="379">
        <f t="shared" si="1"/>
        <v>7</v>
      </c>
      <c r="AG31" s="378"/>
      <c r="AI31" s="383" t="s">
        <v>2161</v>
      </c>
      <c r="AK31" s="244" t="s">
        <v>2161</v>
      </c>
    </row>
    <row r="32" spans="1:37"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t="shared" ca="1" si="0"/>
        <v>LIMBO</v>
      </c>
      <c r="P32" s="216"/>
      <c r="Q32" s="216" t="s">
        <v>709</v>
      </c>
      <c r="R32" s="216"/>
      <c r="S32" s="216"/>
      <c r="T32" s="317"/>
      <c r="U32" s="317"/>
      <c r="V32" s="321"/>
      <c r="W32" s="321"/>
      <c r="X32" s="321"/>
      <c r="Y32" s="321"/>
      <c r="Z32" s="321"/>
      <c r="AA32" s="321"/>
      <c r="AB32" s="321"/>
      <c r="AC32" s="321"/>
      <c r="AD32" s="321"/>
      <c r="AE32" s="321"/>
      <c r="AF32" s="379">
        <f t="shared" si="1"/>
        <v>7</v>
      </c>
      <c r="AG32" s="321"/>
      <c r="AH32" s="326"/>
      <c r="AI32" s="321"/>
      <c r="AK32" s="244" t="s">
        <v>2836</v>
      </c>
    </row>
    <row r="33" spans="1:37" ht="39.950000000000003" customHeight="1">
      <c r="A33" s="363">
        <v>26</v>
      </c>
      <c r="B33" s="364">
        <v>45219</v>
      </c>
      <c r="C33" s="390">
        <v>0.42638888888888887</v>
      </c>
      <c r="D33" s="191" t="s">
        <v>2167</v>
      </c>
      <c r="E33" s="365" t="s">
        <v>2215</v>
      </c>
      <c r="F33" s="363">
        <v>1</v>
      </c>
      <c r="G33" s="363" t="s">
        <v>1839</v>
      </c>
      <c r="H33" s="364"/>
      <c r="I33" s="364"/>
      <c r="J33" s="364"/>
      <c r="K33" s="363" t="str">
        <f>IFERROR(VLOOKUP(J33,Jueces!$A$1:$B$11,2,FALSE),"")</f>
        <v/>
      </c>
      <c r="L33" s="191" t="s">
        <v>598</v>
      </c>
      <c r="M33" s="191" t="s">
        <v>2214</v>
      </c>
      <c r="N33" s="191" t="s">
        <v>2752</v>
      </c>
      <c r="O33" s="191" t="str">
        <f t="shared" ca="1" si="0"/>
        <v>LIMBO</v>
      </c>
      <c r="P33" s="191"/>
      <c r="Q33" s="191" t="s">
        <v>709</v>
      </c>
      <c r="R33" s="191"/>
      <c r="S33" s="191"/>
      <c r="T33" s="366"/>
      <c r="U33" s="366"/>
      <c r="V33" s="363"/>
      <c r="W33" s="363"/>
      <c r="X33" s="363"/>
      <c r="Y33" s="363"/>
      <c r="Z33" s="363"/>
      <c r="AA33" s="363"/>
      <c r="AB33" s="363"/>
      <c r="AC33" s="363"/>
      <c r="AD33" s="363"/>
      <c r="AE33" s="363"/>
      <c r="AF33" s="379">
        <f t="shared" si="1"/>
        <v>7</v>
      </c>
      <c r="AG33" s="363"/>
      <c r="AH33" s="391"/>
      <c r="AI33" s="363" t="s">
        <v>2161</v>
      </c>
      <c r="AJ33" s="391"/>
      <c r="AK33" s="244" t="s">
        <v>2161</v>
      </c>
    </row>
    <row r="34" spans="1:37"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t="shared" ca="1" si="0"/>
        <v>LIMBO</v>
      </c>
      <c r="P34" s="216"/>
      <c r="Q34" s="216" t="s">
        <v>709</v>
      </c>
      <c r="R34" s="216"/>
      <c r="S34" s="216"/>
      <c r="T34" s="317"/>
      <c r="U34" s="317"/>
      <c r="V34" s="321"/>
      <c r="W34" s="321"/>
      <c r="X34" s="321"/>
      <c r="Y34" s="321"/>
      <c r="Z34" s="321"/>
      <c r="AA34" s="321"/>
      <c r="AB34" s="321"/>
      <c r="AC34" s="321"/>
      <c r="AD34" s="378"/>
      <c r="AE34" s="378"/>
      <c r="AF34" s="379">
        <f t="shared" si="1"/>
        <v>7</v>
      </c>
      <c r="AG34" s="378"/>
      <c r="AI34" s="378" t="s">
        <v>2161</v>
      </c>
      <c r="AK34" s="244" t="s">
        <v>2161</v>
      </c>
    </row>
    <row r="35" spans="1:37"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t="shared" ca="1" si="0"/>
        <v>LIMBO</v>
      </c>
      <c r="P35" s="216"/>
      <c r="Q35" s="216" t="s">
        <v>709</v>
      </c>
      <c r="R35" s="216"/>
      <c r="S35" s="216"/>
      <c r="T35" s="317"/>
      <c r="U35" s="317"/>
      <c r="V35" s="321"/>
      <c r="W35" s="321"/>
      <c r="X35" s="321"/>
      <c r="Y35" s="321"/>
      <c r="Z35" s="321"/>
      <c r="AA35" s="321"/>
      <c r="AB35" s="321"/>
      <c r="AC35" s="321"/>
      <c r="AD35" s="321"/>
      <c r="AE35" s="321"/>
      <c r="AF35" s="379">
        <f t="shared" si="1"/>
        <v>7</v>
      </c>
      <c r="AG35" s="321"/>
      <c r="AH35" s="326"/>
      <c r="AI35" s="321"/>
      <c r="AK35" s="244" t="s">
        <v>2836</v>
      </c>
    </row>
    <row r="36" spans="1:37"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t="shared" ca="1" si="0"/>
        <v>LIMBO</v>
      </c>
      <c r="P36" s="216"/>
      <c r="Q36" s="216" t="s">
        <v>709</v>
      </c>
      <c r="R36" s="216"/>
      <c r="S36" s="216"/>
      <c r="T36" s="317"/>
      <c r="U36" s="317"/>
      <c r="V36" s="321"/>
      <c r="W36" s="321"/>
      <c r="X36" s="321"/>
      <c r="Y36" s="321"/>
      <c r="Z36" s="321"/>
      <c r="AA36" s="321"/>
      <c r="AB36" s="321"/>
      <c r="AC36" s="321"/>
      <c r="AD36" s="321"/>
      <c r="AE36" s="321"/>
      <c r="AF36" s="379">
        <f t="shared" si="1"/>
        <v>7</v>
      </c>
      <c r="AG36" s="321"/>
      <c r="AI36" s="321" t="s">
        <v>2161</v>
      </c>
      <c r="AK36" s="244" t="s">
        <v>2161</v>
      </c>
    </row>
    <row r="37" spans="1:37"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t="shared" ca="1" si="0"/>
        <v>LIMBO</v>
      </c>
      <c r="P37" s="216"/>
      <c r="Q37" s="216" t="s">
        <v>709</v>
      </c>
      <c r="R37" s="216"/>
      <c r="S37" s="216"/>
      <c r="T37" s="317"/>
      <c r="U37" s="317"/>
      <c r="V37" s="321"/>
      <c r="W37" s="321"/>
      <c r="X37" s="321"/>
      <c r="Y37" s="321"/>
      <c r="Z37" s="321"/>
      <c r="AA37" s="321"/>
      <c r="AB37" s="321"/>
      <c r="AC37" s="321"/>
      <c r="AD37" s="321"/>
      <c r="AE37" s="321"/>
      <c r="AF37" s="379">
        <f t="shared" si="1"/>
        <v>7</v>
      </c>
      <c r="AG37" s="321"/>
      <c r="AH37" s="378"/>
      <c r="AI37" s="321" t="s">
        <v>2161</v>
      </c>
      <c r="AK37" s="244" t="s">
        <v>2161</v>
      </c>
    </row>
    <row r="38" spans="1:37"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t="shared" ca="1" si="0"/>
        <v>LIMBO</v>
      </c>
      <c r="P38" s="216"/>
      <c r="Q38" s="216" t="s">
        <v>709</v>
      </c>
      <c r="R38" s="216"/>
      <c r="S38" s="216"/>
      <c r="T38" s="317"/>
      <c r="U38" s="317"/>
      <c r="V38" s="321"/>
      <c r="W38" s="321"/>
      <c r="X38" s="321"/>
      <c r="Y38" s="321"/>
      <c r="Z38" s="321"/>
      <c r="AA38" s="321"/>
      <c r="AB38" s="321"/>
      <c r="AC38" s="321"/>
      <c r="AD38" s="321"/>
      <c r="AE38" s="321"/>
      <c r="AF38" s="379">
        <f t="shared" si="1"/>
        <v>7</v>
      </c>
      <c r="AG38" s="321"/>
      <c r="AI38" s="321" t="s">
        <v>2161</v>
      </c>
      <c r="AK38" s="244" t="s">
        <v>2161</v>
      </c>
    </row>
    <row r="39" spans="1:37" ht="39.950000000000003" customHeight="1">
      <c r="A39" s="321">
        <v>33</v>
      </c>
      <c r="B39" s="319">
        <v>45219</v>
      </c>
      <c r="C39" s="321"/>
      <c r="D39" s="216" t="s">
        <v>991</v>
      </c>
      <c r="E39" s="335" t="s">
        <v>2211</v>
      </c>
      <c r="F39" s="321">
        <v>3</v>
      </c>
      <c r="G39" s="321" t="s">
        <v>1839</v>
      </c>
      <c r="H39" s="319"/>
      <c r="I39" s="319"/>
      <c r="J39" s="319"/>
      <c r="K39" s="321" t="str">
        <f>IFERROR(VLOOKUP(J39,Jueces!$A$1:$B$11,2,FALSE),"")</f>
        <v/>
      </c>
      <c r="L39" s="216" t="s">
        <v>598</v>
      </c>
      <c r="M39" s="216"/>
      <c r="N39" s="216" t="s">
        <v>2179</v>
      </c>
      <c r="O39" s="216" t="str">
        <f t="shared" ca="1" si="0"/>
        <v>LIMBO</v>
      </c>
      <c r="P39" s="216"/>
      <c r="Q39" s="216" t="s">
        <v>709</v>
      </c>
      <c r="R39" s="216"/>
      <c r="S39" s="216"/>
      <c r="T39" s="317"/>
      <c r="U39" s="317"/>
      <c r="V39" s="321"/>
      <c r="W39" s="321"/>
      <c r="X39" s="321"/>
      <c r="Y39" s="321"/>
      <c r="Z39" s="321"/>
      <c r="AA39" s="321"/>
      <c r="AB39" s="321"/>
      <c r="AC39" s="321"/>
      <c r="AD39" s="321"/>
      <c r="AE39" s="321"/>
      <c r="AF39" s="379">
        <f t="shared" si="1"/>
        <v>7</v>
      </c>
      <c r="AG39" s="321"/>
      <c r="AH39" s="378"/>
      <c r="AI39" s="321" t="s">
        <v>2161</v>
      </c>
      <c r="AK39" s="244" t="s">
        <v>2161</v>
      </c>
    </row>
    <row r="40" spans="1:37"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t="shared" ca="1" si="0"/>
        <v>LIMBO</v>
      </c>
      <c r="P40" s="216"/>
      <c r="Q40" s="216" t="s">
        <v>709</v>
      </c>
      <c r="R40" s="216"/>
      <c r="S40" s="216"/>
      <c r="T40" s="317"/>
      <c r="U40" s="317"/>
      <c r="V40" s="321"/>
      <c r="W40" s="321"/>
      <c r="X40" s="321"/>
      <c r="Y40" s="321"/>
      <c r="Z40" s="321"/>
      <c r="AA40" s="321"/>
      <c r="AB40" s="321"/>
      <c r="AC40" s="321"/>
      <c r="AD40" s="321"/>
      <c r="AE40" s="321"/>
      <c r="AF40" s="379">
        <f t="shared" si="1"/>
        <v>7</v>
      </c>
      <c r="AG40" s="321"/>
      <c r="AH40" s="378"/>
      <c r="AI40" s="321" t="s">
        <v>2161</v>
      </c>
      <c r="AK40" s="244" t="s">
        <v>2161</v>
      </c>
    </row>
    <row r="41" spans="1:37"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2263</v>
      </c>
      <c r="O41" s="216" t="str">
        <f t="shared" ca="1" si="0"/>
        <v>LIMBO</v>
      </c>
      <c r="P41" s="216"/>
      <c r="Q41" s="216" t="s">
        <v>709</v>
      </c>
      <c r="R41" s="216"/>
      <c r="S41" s="216"/>
      <c r="T41" s="317"/>
      <c r="U41" s="317"/>
      <c r="V41" s="321"/>
      <c r="W41" s="321"/>
      <c r="X41" s="321"/>
      <c r="Y41" s="321"/>
      <c r="Z41" s="321"/>
      <c r="AA41" s="321"/>
      <c r="AB41" s="321"/>
      <c r="AC41" s="321"/>
      <c r="AD41" s="321"/>
      <c r="AE41" s="321"/>
      <c r="AF41" s="379">
        <f t="shared" si="1"/>
        <v>7</v>
      </c>
      <c r="AG41" s="321"/>
      <c r="AH41" s="321"/>
      <c r="AI41" s="321"/>
      <c r="AK41" s="244" t="s">
        <v>2836</v>
      </c>
    </row>
    <row r="42" spans="1:37"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t="shared" ca="1" si="0"/>
        <v>LIMBO</v>
      </c>
      <c r="P42" s="216"/>
      <c r="Q42" s="216" t="s">
        <v>709</v>
      </c>
      <c r="R42" s="216"/>
      <c r="S42" s="216"/>
      <c r="T42" s="317"/>
      <c r="U42" s="317"/>
      <c r="V42" s="321"/>
      <c r="W42" s="321"/>
      <c r="X42" s="321"/>
      <c r="Y42" s="321"/>
      <c r="Z42" s="321"/>
      <c r="AA42" s="321"/>
      <c r="AB42" s="321"/>
      <c r="AC42" s="321"/>
      <c r="AD42" s="321"/>
      <c r="AE42" s="321"/>
      <c r="AF42" s="379">
        <f t="shared" si="1"/>
        <v>7</v>
      </c>
      <c r="AG42" s="321"/>
      <c r="AH42" s="378"/>
      <c r="AI42" s="321" t="s">
        <v>2161</v>
      </c>
      <c r="AK42" s="244" t="s">
        <v>2161</v>
      </c>
    </row>
    <row r="43" spans="1:37"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2274</v>
      </c>
      <c r="O43" s="216" t="str">
        <f t="shared" ca="1" si="0"/>
        <v>LIMBO</v>
      </c>
      <c r="P43" s="216"/>
      <c r="Q43" s="216" t="s">
        <v>709</v>
      </c>
      <c r="R43" s="216"/>
      <c r="S43" s="216"/>
      <c r="T43" s="317"/>
      <c r="U43" s="317"/>
      <c r="V43" s="321"/>
      <c r="W43" s="321"/>
      <c r="X43" s="321"/>
      <c r="Y43" s="321"/>
      <c r="Z43" s="321"/>
      <c r="AA43" s="321"/>
      <c r="AB43" s="321"/>
      <c r="AC43" s="321"/>
      <c r="AD43" s="321"/>
      <c r="AE43" s="321"/>
      <c r="AF43" s="379">
        <f t="shared" si="1"/>
        <v>7</v>
      </c>
      <c r="AG43" s="321"/>
      <c r="AH43" s="321"/>
      <c r="AI43" s="321" t="s">
        <v>2161</v>
      </c>
      <c r="AK43" s="244" t="s">
        <v>2161</v>
      </c>
    </row>
    <row r="44" spans="1:37"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t="shared" ca="1" si="0"/>
        <v>LIMBO</v>
      </c>
      <c r="P44" s="216"/>
      <c r="Q44" s="216" t="s">
        <v>709</v>
      </c>
      <c r="R44" s="216"/>
      <c r="S44" s="216"/>
      <c r="T44" s="317"/>
      <c r="U44" s="317"/>
      <c r="V44" s="321"/>
      <c r="W44" s="321"/>
      <c r="X44" s="321"/>
      <c r="Y44" s="321"/>
      <c r="Z44" s="321"/>
      <c r="AA44" s="321"/>
      <c r="AB44" s="321"/>
      <c r="AC44" s="321"/>
      <c r="AD44" s="321"/>
      <c r="AE44" s="321"/>
      <c r="AF44" s="379">
        <f t="shared" si="1"/>
        <v>7</v>
      </c>
      <c r="AG44" s="321"/>
      <c r="AH44" s="321"/>
      <c r="AI44" s="321" t="s">
        <v>2161</v>
      </c>
      <c r="AK44" s="244" t="s">
        <v>2161</v>
      </c>
    </row>
    <row r="45" spans="1:37"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t="shared" ca="1" si="0"/>
        <v>LIMBO</v>
      </c>
      <c r="P45" s="216"/>
      <c r="Q45" s="216" t="s">
        <v>709</v>
      </c>
      <c r="R45" s="216"/>
      <c r="S45" s="216"/>
      <c r="T45" s="317"/>
      <c r="U45" s="317"/>
      <c r="V45" s="321"/>
      <c r="W45" s="321"/>
      <c r="X45" s="321"/>
      <c r="Y45" s="321"/>
      <c r="Z45" s="321"/>
      <c r="AA45" s="321"/>
      <c r="AB45" s="321"/>
      <c r="AC45" s="321"/>
      <c r="AD45" s="321"/>
      <c r="AE45" s="321"/>
      <c r="AF45" s="379">
        <f t="shared" si="1"/>
        <v>7</v>
      </c>
      <c r="AG45" s="321"/>
      <c r="AH45" s="321"/>
      <c r="AI45" s="321"/>
      <c r="AK45" s="244" t="s">
        <v>2836</v>
      </c>
    </row>
    <row r="46" spans="1:37" ht="39.950000000000003" customHeight="1">
      <c r="A46" s="321">
        <v>41</v>
      </c>
      <c r="B46" s="319">
        <v>45222</v>
      </c>
      <c r="C46" s="322">
        <v>0.53888888888888886</v>
      </c>
      <c r="D46" s="216" t="s">
        <v>1234</v>
      </c>
      <c r="E46" s="335" t="s">
        <v>2223</v>
      </c>
      <c r="F46" s="321">
        <v>4</v>
      </c>
      <c r="G46" s="321" t="s">
        <v>1839</v>
      </c>
      <c r="H46" s="319"/>
      <c r="I46" s="319"/>
      <c r="J46" s="319"/>
      <c r="K46" s="321" t="str">
        <f>IFERROR(VLOOKUP(J46,Jueces!$A$1:$B$11,2,FALSE),"")</f>
        <v/>
      </c>
      <c r="L46" s="216" t="s">
        <v>588</v>
      </c>
      <c r="M46" s="216" t="s">
        <v>1241</v>
      </c>
      <c r="N46" s="216" t="s">
        <v>2222</v>
      </c>
      <c r="O46" s="216" t="str">
        <f t="shared" ca="1" si="0"/>
        <v>LIMBO</v>
      </c>
      <c r="P46" s="216"/>
      <c r="Q46" s="216" t="s">
        <v>709</v>
      </c>
      <c r="R46" s="216"/>
      <c r="S46" s="216"/>
      <c r="T46" s="317"/>
      <c r="U46" s="317"/>
      <c r="V46" s="321"/>
      <c r="W46" s="321"/>
      <c r="X46" s="321"/>
      <c r="Y46" s="321"/>
      <c r="Z46" s="321"/>
      <c r="AA46" s="321"/>
      <c r="AB46" s="321"/>
      <c r="AC46" s="321"/>
      <c r="AD46" s="321"/>
      <c r="AE46" s="321"/>
      <c r="AF46" s="379">
        <f t="shared" si="1"/>
        <v>7</v>
      </c>
      <c r="AG46" s="321"/>
      <c r="AH46" s="321"/>
      <c r="AI46" s="321" t="s">
        <v>2161</v>
      </c>
      <c r="AK46" s="244" t="s">
        <v>2161</v>
      </c>
    </row>
    <row r="47" spans="1:37"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389" t="s">
        <v>1422</v>
      </c>
      <c r="N47" s="216" t="s">
        <v>2231</v>
      </c>
      <c r="O47" s="216" t="str">
        <f t="shared" ca="1" si="0"/>
        <v>LIMBO</v>
      </c>
      <c r="P47" s="216"/>
      <c r="Q47" s="216" t="s">
        <v>709</v>
      </c>
      <c r="R47" s="216"/>
      <c r="S47" s="216"/>
      <c r="T47" s="317"/>
      <c r="U47" s="317"/>
      <c r="V47" s="321"/>
      <c r="W47" s="321"/>
      <c r="X47" s="321"/>
      <c r="Y47" s="321"/>
      <c r="Z47" s="321"/>
      <c r="AA47" s="321"/>
      <c r="AB47" s="321"/>
      <c r="AC47" s="321"/>
      <c r="AD47" s="321"/>
      <c r="AE47" s="321"/>
      <c r="AF47" s="379">
        <f t="shared" si="1"/>
        <v>7</v>
      </c>
      <c r="AG47" s="321"/>
      <c r="AH47" s="321"/>
      <c r="AI47" s="321" t="s">
        <v>2161</v>
      </c>
      <c r="AK47" s="244" t="s">
        <v>2161</v>
      </c>
    </row>
    <row r="48" spans="1:37" ht="39.950000000000003" customHeight="1">
      <c r="A48" s="321">
        <v>43</v>
      </c>
      <c r="B48" s="319">
        <v>45222</v>
      </c>
      <c r="C48" s="322">
        <v>0.53611111111111109</v>
      </c>
      <c r="D48" s="216" t="s">
        <v>2232</v>
      </c>
      <c r="E48" s="335" t="s">
        <v>2236</v>
      </c>
      <c r="F48" s="321">
        <v>7</v>
      </c>
      <c r="G48" s="321" t="s">
        <v>1841</v>
      </c>
      <c r="H48" s="319"/>
      <c r="I48" s="319"/>
      <c r="J48" s="319"/>
      <c r="K48" s="321" t="str">
        <f>IFERROR(VLOOKUP(J48,Jueces!$A$1:$B$11,2,FALSE),"")</f>
        <v/>
      </c>
      <c r="L48" s="216" t="s">
        <v>599</v>
      </c>
      <c r="M48" s="375" t="s">
        <v>1476</v>
      </c>
      <c r="N48" s="216" t="s">
        <v>2233</v>
      </c>
      <c r="O48" s="216" t="str">
        <f t="shared" ca="1" si="0"/>
        <v>LIMBO</v>
      </c>
      <c r="P48" s="216"/>
      <c r="Q48" s="216" t="s">
        <v>709</v>
      </c>
      <c r="R48" s="216"/>
      <c r="S48" s="216"/>
      <c r="T48" s="317"/>
      <c r="U48" s="317"/>
      <c r="V48" s="321"/>
      <c r="W48" s="321"/>
      <c r="X48" s="321"/>
      <c r="Y48" s="321"/>
      <c r="Z48" s="321"/>
      <c r="AA48" s="321"/>
      <c r="AB48" s="321"/>
      <c r="AC48" s="321"/>
      <c r="AD48" s="321"/>
      <c r="AE48" s="321"/>
      <c r="AF48" s="379">
        <f t="shared" si="1"/>
        <v>7</v>
      </c>
      <c r="AG48" s="321"/>
      <c r="AH48" s="321"/>
      <c r="AI48" s="321" t="s">
        <v>2161</v>
      </c>
      <c r="AK48" s="244" t="s">
        <v>2161</v>
      </c>
    </row>
    <row r="49" spans="1:37"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t="shared" ca="1" si="0"/>
        <v>LIMBO</v>
      </c>
      <c r="P49" s="216"/>
      <c r="Q49" s="216" t="s">
        <v>709</v>
      </c>
      <c r="R49" s="216"/>
      <c r="S49" s="216"/>
      <c r="T49" s="317"/>
      <c r="U49" s="317"/>
      <c r="V49" s="321"/>
      <c r="W49" s="321"/>
      <c r="X49" s="321"/>
      <c r="Y49" s="321"/>
      <c r="Z49" s="321"/>
      <c r="AA49" s="321"/>
      <c r="AB49" s="321"/>
      <c r="AC49" s="321"/>
      <c r="AD49" s="321"/>
      <c r="AE49" s="321"/>
      <c r="AF49" s="379">
        <f t="shared" si="1"/>
        <v>7</v>
      </c>
      <c r="AG49" s="321"/>
      <c r="AH49" s="321"/>
      <c r="AI49" s="321" t="s">
        <v>2161</v>
      </c>
      <c r="AJ49" s="412"/>
      <c r="AK49" s="244" t="s">
        <v>2161</v>
      </c>
    </row>
    <row r="50" spans="1:37" ht="39.950000000000003" customHeight="1">
      <c r="A50" s="321">
        <v>45</v>
      </c>
      <c r="B50" s="319">
        <v>45224</v>
      </c>
      <c r="C50" s="322">
        <v>0.38611111111111113</v>
      </c>
      <c r="D50" s="216" t="s">
        <v>1897</v>
      </c>
      <c r="E50" s="335" t="s">
        <v>2279</v>
      </c>
      <c r="F50" s="321">
        <v>1</v>
      </c>
      <c r="G50" s="321" t="s">
        <v>1841</v>
      </c>
      <c r="H50" s="319"/>
      <c r="I50" s="319"/>
      <c r="J50" s="319"/>
      <c r="K50" s="321" t="str">
        <f>IFERROR(VLOOKUP(J50,Jueces!$A$1:$B$11,2,FALSE),"")</f>
        <v/>
      </c>
      <c r="L50" s="216" t="s">
        <v>596</v>
      </c>
      <c r="M50" s="351" t="s">
        <v>2105</v>
      </c>
      <c r="N50" s="338" t="s">
        <v>2263</v>
      </c>
      <c r="O50" s="216" t="str">
        <f t="shared" ca="1" si="0"/>
        <v>LIMBO</v>
      </c>
      <c r="P50" s="216"/>
      <c r="Q50" s="216" t="s">
        <v>709</v>
      </c>
      <c r="R50" s="216"/>
      <c r="S50" s="216"/>
      <c r="T50" s="317"/>
      <c r="U50" s="317"/>
      <c r="V50" s="321"/>
      <c r="W50" s="321"/>
      <c r="X50" s="321"/>
      <c r="Y50" s="321"/>
      <c r="Z50" s="321"/>
      <c r="AA50" s="321"/>
      <c r="AB50" s="321"/>
      <c r="AC50" s="321"/>
      <c r="AD50" s="321"/>
      <c r="AE50" s="321"/>
      <c r="AF50" s="379">
        <f t="shared" si="1"/>
        <v>7</v>
      </c>
      <c r="AG50" s="321"/>
      <c r="AH50" s="321"/>
      <c r="AI50" s="321" t="s">
        <v>2161</v>
      </c>
      <c r="AJ50" s="412"/>
      <c r="AK50" s="244" t="s">
        <v>2161</v>
      </c>
    </row>
    <row r="51" spans="1:37"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3" t="s">
        <v>518</v>
      </c>
      <c r="N51" s="216" t="s">
        <v>2269</v>
      </c>
      <c r="O51" s="216" t="str">
        <f t="shared" ca="1" si="0"/>
        <v>LIMBO</v>
      </c>
      <c r="P51" s="216"/>
      <c r="Q51" s="216" t="s">
        <v>709</v>
      </c>
      <c r="R51" s="216"/>
      <c r="S51" s="216"/>
      <c r="T51" s="317"/>
      <c r="U51" s="317"/>
      <c r="V51" s="321"/>
      <c r="W51" s="321"/>
      <c r="X51" s="321"/>
      <c r="Y51" s="321"/>
      <c r="Z51" s="321"/>
      <c r="AA51" s="321"/>
      <c r="AB51" s="321"/>
      <c r="AC51" s="321"/>
      <c r="AD51" s="321"/>
      <c r="AE51" s="321"/>
      <c r="AF51" s="379">
        <f t="shared" si="1"/>
        <v>7</v>
      </c>
      <c r="AG51" s="321"/>
      <c r="AH51" s="321"/>
      <c r="AI51" s="321" t="s">
        <v>2161</v>
      </c>
      <c r="AJ51" s="412"/>
      <c r="AK51" s="244" t="s">
        <v>2161</v>
      </c>
    </row>
    <row r="52" spans="1:37"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t="shared" ca="1" si="0"/>
        <v>LIMBO</v>
      </c>
      <c r="P52" s="216"/>
      <c r="Q52" s="216" t="s">
        <v>709</v>
      </c>
      <c r="R52" s="216"/>
      <c r="S52" s="216"/>
      <c r="T52" s="317"/>
      <c r="U52" s="317"/>
      <c r="V52" s="321"/>
      <c r="W52" s="321"/>
      <c r="X52" s="321"/>
      <c r="Y52" s="321"/>
      <c r="Z52" s="321"/>
      <c r="AA52" s="321"/>
      <c r="AB52" s="321"/>
      <c r="AC52" s="321"/>
      <c r="AD52" s="321"/>
      <c r="AE52" s="321"/>
      <c r="AF52" s="379">
        <f t="shared" si="1"/>
        <v>7</v>
      </c>
      <c r="AG52" s="321"/>
      <c r="AH52" s="321"/>
      <c r="AI52" s="321" t="s">
        <v>2161</v>
      </c>
      <c r="AJ52" s="413"/>
      <c r="AK52" s="244" t="s">
        <v>2161</v>
      </c>
    </row>
    <row r="53" spans="1:37"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2" t="s">
        <v>515</v>
      </c>
      <c r="N53" s="321"/>
      <c r="O53" s="216" t="str">
        <f t="shared" ca="1" si="0"/>
        <v>LIMBO</v>
      </c>
      <c r="P53" s="216"/>
      <c r="Q53" s="216" t="s">
        <v>709</v>
      </c>
      <c r="R53" s="216"/>
      <c r="S53" s="216"/>
      <c r="T53" s="317"/>
      <c r="U53" s="317"/>
      <c r="V53" s="321"/>
      <c r="W53" s="321"/>
      <c r="X53" s="321"/>
      <c r="Y53" s="321"/>
      <c r="Z53" s="321"/>
      <c r="AA53" s="321"/>
      <c r="AB53" s="321"/>
      <c r="AC53" s="321"/>
      <c r="AD53" s="321"/>
      <c r="AE53" s="321"/>
      <c r="AF53" s="379">
        <f t="shared" si="1"/>
        <v>7</v>
      </c>
      <c r="AG53" s="321"/>
      <c r="AH53" s="321"/>
      <c r="AI53" s="321" t="s">
        <v>2161</v>
      </c>
      <c r="AJ53" s="413"/>
      <c r="AK53" s="244" t="s">
        <v>2161</v>
      </c>
    </row>
    <row r="54" spans="1:37"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t="shared" ca="1" si="0"/>
        <v>LIMBO</v>
      </c>
      <c r="P54" s="216"/>
      <c r="Q54" s="216" t="s">
        <v>709</v>
      </c>
      <c r="R54" s="216"/>
      <c r="S54" s="216"/>
      <c r="T54" s="317"/>
      <c r="U54" s="317"/>
      <c r="V54" s="321"/>
      <c r="W54" s="321"/>
      <c r="X54" s="321"/>
      <c r="Y54" s="321"/>
      <c r="Z54" s="321"/>
      <c r="AA54" s="321"/>
      <c r="AB54" s="321"/>
      <c r="AC54" s="321"/>
      <c r="AD54" s="321"/>
      <c r="AE54" s="321"/>
      <c r="AF54" s="379">
        <f t="shared" si="1"/>
        <v>7</v>
      </c>
      <c r="AG54" s="321"/>
      <c r="AH54" s="321"/>
      <c r="AI54" s="321" t="s">
        <v>2161</v>
      </c>
      <c r="AJ54" s="413"/>
      <c r="AK54" s="244" t="s">
        <v>2161</v>
      </c>
    </row>
    <row r="55" spans="1:37"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t="shared" ca="1" si="0"/>
        <v>LIMBO</v>
      </c>
      <c r="P55" s="216"/>
      <c r="Q55" s="216" t="s">
        <v>709</v>
      </c>
      <c r="R55" s="216"/>
      <c r="S55" s="216"/>
      <c r="T55" s="317"/>
      <c r="U55" s="317"/>
      <c r="V55" s="321"/>
      <c r="W55" s="321"/>
      <c r="X55" s="321"/>
      <c r="Y55" s="321"/>
      <c r="Z55" s="321"/>
      <c r="AA55" s="321"/>
      <c r="AB55" s="321"/>
      <c r="AC55" s="321"/>
      <c r="AD55" s="321"/>
      <c r="AE55" s="321"/>
      <c r="AF55" s="379">
        <f t="shared" si="1"/>
        <v>7</v>
      </c>
      <c r="AG55" s="321"/>
      <c r="AH55" s="321"/>
      <c r="AI55" s="321" t="s">
        <v>2251</v>
      </c>
      <c r="AJ55" s="413"/>
      <c r="AK55" s="244" t="s">
        <v>2836</v>
      </c>
    </row>
    <row r="56" spans="1:37"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t="shared" ca="1" si="0"/>
        <v>LIMBO</v>
      </c>
      <c r="P56" s="216"/>
      <c r="Q56" s="216" t="s">
        <v>709</v>
      </c>
      <c r="R56" s="216"/>
      <c r="S56" s="216"/>
      <c r="T56" s="317"/>
      <c r="U56" s="317"/>
      <c r="V56" s="321"/>
      <c r="W56" s="321"/>
      <c r="X56" s="321"/>
      <c r="Y56" s="321"/>
      <c r="Z56" s="321"/>
      <c r="AA56" s="321"/>
      <c r="AB56" s="321"/>
      <c r="AC56" s="321"/>
      <c r="AD56" s="321"/>
      <c r="AE56" s="321"/>
      <c r="AF56" s="379">
        <f t="shared" si="1"/>
        <v>7</v>
      </c>
      <c r="AG56" s="321"/>
      <c r="AH56" s="321"/>
      <c r="AI56" s="321" t="s">
        <v>2251</v>
      </c>
      <c r="AJ56" s="413"/>
      <c r="AK56" s="244" t="s">
        <v>2836</v>
      </c>
    </row>
    <row r="57" spans="1:37" ht="39.950000000000003" customHeight="1">
      <c r="A57" s="321">
        <v>52</v>
      </c>
      <c r="B57" s="319">
        <v>45225</v>
      </c>
      <c r="C57" s="322">
        <v>0.4458333333333333</v>
      </c>
      <c r="D57" s="216" t="s">
        <v>2260</v>
      </c>
      <c r="E57" s="334" t="s">
        <v>2265</v>
      </c>
      <c r="F57" s="321">
        <v>3</v>
      </c>
      <c r="G57" s="321" t="s">
        <v>1839</v>
      </c>
      <c r="H57" s="319"/>
      <c r="I57" s="319"/>
      <c r="J57" s="319"/>
      <c r="K57" s="321" t="str">
        <f>IFERROR(VLOOKUP(J57,Jueces!$A$1:$B$11,2,FALSE),"")</f>
        <v/>
      </c>
      <c r="L57" s="216" t="s">
        <v>587</v>
      </c>
      <c r="M57" s="352" t="s">
        <v>757</v>
      </c>
      <c r="N57" s="321"/>
      <c r="O57" s="216" t="str">
        <f t="shared" ca="1" si="0"/>
        <v>LIMBO</v>
      </c>
      <c r="P57" s="216"/>
      <c r="Q57" s="216" t="s">
        <v>709</v>
      </c>
      <c r="R57" s="216"/>
      <c r="S57" s="216"/>
      <c r="T57" s="317"/>
      <c r="U57" s="317"/>
      <c r="V57" s="321"/>
      <c r="W57" s="321"/>
      <c r="X57" s="321"/>
      <c r="Y57" s="321"/>
      <c r="Z57" s="321"/>
      <c r="AA57" s="321"/>
      <c r="AB57" s="321"/>
      <c r="AC57" s="321"/>
      <c r="AD57" s="321"/>
      <c r="AE57" s="321"/>
      <c r="AF57" s="379">
        <f t="shared" si="1"/>
        <v>7</v>
      </c>
      <c r="AG57" s="321"/>
      <c r="AH57" s="321"/>
      <c r="AI57" s="321" t="s">
        <v>2251</v>
      </c>
      <c r="AJ57" s="413"/>
      <c r="AK57" s="244" t="s">
        <v>2836</v>
      </c>
    </row>
    <row r="58" spans="1:37"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2271</v>
      </c>
      <c r="N58" s="216" t="s">
        <v>2272</v>
      </c>
      <c r="O58" s="216" t="str">
        <f t="shared" ca="1" si="0"/>
        <v>LIMBO</v>
      </c>
      <c r="P58" s="216"/>
      <c r="Q58" s="216" t="s">
        <v>709</v>
      </c>
      <c r="R58" s="216"/>
      <c r="S58" s="216"/>
      <c r="T58" s="317"/>
      <c r="U58" s="317"/>
      <c r="V58" s="321"/>
      <c r="W58" s="321"/>
      <c r="X58" s="321"/>
      <c r="Y58" s="321"/>
      <c r="Z58" s="321"/>
      <c r="AA58" s="321"/>
      <c r="AB58" s="321"/>
      <c r="AC58" s="321"/>
      <c r="AD58" s="321"/>
      <c r="AE58" s="321"/>
      <c r="AF58" s="379">
        <f t="shared" si="1"/>
        <v>7</v>
      </c>
      <c r="AG58" s="321"/>
      <c r="AH58" s="321"/>
      <c r="AI58" s="321" t="s">
        <v>2161</v>
      </c>
      <c r="AJ58" s="413"/>
      <c r="AK58" s="244" t="s">
        <v>2161</v>
      </c>
    </row>
    <row r="59" spans="1:37" ht="39.950000000000003" customHeight="1">
      <c r="A59" s="321">
        <v>54</v>
      </c>
      <c r="B59" s="319">
        <v>45226</v>
      </c>
      <c r="C59" s="322">
        <v>0.39374999999999999</v>
      </c>
      <c r="D59" s="216" t="s">
        <v>789</v>
      </c>
      <c r="E59" s="335" t="s">
        <v>2264</v>
      </c>
      <c r="F59" s="321">
        <v>2</v>
      </c>
      <c r="G59" s="321" t="s">
        <v>1839</v>
      </c>
      <c r="H59" s="319"/>
      <c r="I59" s="319"/>
      <c r="J59" s="319"/>
      <c r="K59" s="321" t="str">
        <f>IFERROR(VLOOKUP(J59,Jueces!$A$1:$B$11,2,FALSE),"")</f>
        <v/>
      </c>
      <c r="L59" s="216" t="s">
        <v>781</v>
      </c>
      <c r="M59" s="216" t="s">
        <v>529</v>
      </c>
      <c r="N59" s="216" t="s">
        <v>2278</v>
      </c>
      <c r="O59" s="216" t="str">
        <f t="shared" ca="1" si="0"/>
        <v>LIMBO</v>
      </c>
      <c r="P59" s="216"/>
      <c r="Q59" s="216" t="s">
        <v>709</v>
      </c>
      <c r="R59" s="216"/>
      <c r="S59" s="216"/>
      <c r="T59" s="317"/>
      <c r="U59" s="317"/>
      <c r="V59" s="321"/>
      <c r="W59" s="321"/>
      <c r="X59" s="321"/>
      <c r="Y59" s="321"/>
      <c r="Z59" s="321"/>
      <c r="AA59" s="321"/>
      <c r="AB59" s="321"/>
      <c r="AC59" s="321"/>
      <c r="AD59" s="321"/>
      <c r="AE59" s="321"/>
      <c r="AF59" s="379">
        <f t="shared" si="1"/>
        <v>7</v>
      </c>
      <c r="AG59" s="321"/>
      <c r="AH59" s="321"/>
      <c r="AI59" s="321" t="s">
        <v>2161</v>
      </c>
      <c r="AJ59" s="413"/>
      <c r="AK59" s="244" t="s">
        <v>2161</v>
      </c>
    </row>
    <row r="60" spans="1:37" ht="39.950000000000003" customHeight="1">
      <c r="A60" s="321">
        <v>55</v>
      </c>
      <c r="B60" s="319">
        <v>45225</v>
      </c>
      <c r="C60" s="322">
        <v>0.53125</v>
      </c>
      <c r="D60" s="216" t="s">
        <v>2266</v>
      </c>
      <c r="E60" s="335" t="s">
        <v>2268</v>
      </c>
      <c r="F60" s="321">
        <v>3</v>
      </c>
      <c r="G60" s="321" t="s">
        <v>32</v>
      </c>
      <c r="H60" s="319"/>
      <c r="I60" s="319"/>
      <c r="J60" s="319"/>
      <c r="K60" s="321" t="str">
        <f>IFERROR(VLOOKUP(J60,Jueces!$A$1:$B$11,2,FALSE),"")</f>
        <v/>
      </c>
      <c r="L60" s="216" t="s">
        <v>594</v>
      </c>
      <c r="M60" s="216" t="s">
        <v>513</v>
      </c>
      <c r="N60" s="216" t="s">
        <v>2267</v>
      </c>
      <c r="O60" s="216" t="str">
        <f t="shared" ca="1" si="0"/>
        <v>LIMBO</v>
      </c>
      <c r="P60" s="216"/>
      <c r="Q60" s="216" t="s">
        <v>709</v>
      </c>
      <c r="R60" s="216"/>
      <c r="S60" s="216"/>
      <c r="T60" s="317"/>
      <c r="U60" s="317"/>
      <c r="V60" s="321"/>
      <c r="W60" s="321"/>
      <c r="X60" s="321"/>
      <c r="Y60" s="321"/>
      <c r="Z60" s="321"/>
      <c r="AA60" s="321"/>
      <c r="AB60" s="321"/>
      <c r="AC60" s="321"/>
      <c r="AD60" s="321"/>
      <c r="AE60" s="321"/>
      <c r="AF60" s="379">
        <f t="shared" si="1"/>
        <v>7</v>
      </c>
      <c r="AG60" s="321"/>
      <c r="AH60" s="321"/>
      <c r="AI60" s="321" t="s">
        <v>2161</v>
      </c>
      <c r="AJ60" s="413"/>
      <c r="AK60" s="244" t="s">
        <v>2161</v>
      </c>
    </row>
    <row r="61" spans="1:37" ht="39.950000000000003" customHeight="1">
      <c r="A61" s="321">
        <v>56</v>
      </c>
      <c r="B61" s="319">
        <v>45224</v>
      </c>
      <c r="C61" s="322">
        <v>0.45833333333333331</v>
      </c>
      <c r="D61" s="216" t="s">
        <v>1768</v>
      </c>
      <c r="E61" s="335" t="s">
        <v>2270</v>
      </c>
      <c r="F61" s="321">
        <v>7</v>
      </c>
      <c r="G61" s="321" t="s">
        <v>1841</v>
      </c>
      <c r="H61" s="319"/>
      <c r="I61" s="319"/>
      <c r="J61" s="319"/>
      <c r="K61" s="321" t="str">
        <f>IFERROR(VLOOKUP(J61,Jueces!$A$1:$B$11,2,FALSE),"")</f>
        <v/>
      </c>
      <c r="L61" s="216" t="s">
        <v>596</v>
      </c>
      <c r="M61" s="352" t="s">
        <v>1494</v>
      </c>
      <c r="N61" s="321"/>
      <c r="O61" s="216" t="str">
        <f t="shared" ca="1" si="0"/>
        <v>LIMBO</v>
      </c>
      <c r="P61" s="216"/>
      <c r="Q61" s="216" t="s">
        <v>709</v>
      </c>
      <c r="R61" s="216"/>
      <c r="S61" s="216"/>
      <c r="T61" s="317"/>
      <c r="U61" s="317"/>
      <c r="V61" s="321"/>
      <c r="W61" s="321"/>
      <c r="X61" s="321"/>
      <c r="Y61" s="321"/>
      <c r="Z61" s="321"/>
      <c r="AA61" s="321"/>
      <c r="AB61" s="321"/>
      <c r="AC61" s="321"/>
      <c r="AD61" s="321"/>
      <c r="AE61" s="321"/>
      <c r="AF61" s="379">
        <f t="shared" si="1"/>
        <v>7</v>
      </c>
      <c r="AG61" s="321"/>
      <c r="AH61" s="321"/>
      <c r="AI61" s="321" t="s">
        <v>2161</v>
      </c>
      <c r="AJ61" s="413"/>
      <c r="AK61" s="244" t="s">
        <v>2161</v>
      </c>
    </row>
    <row r="62" spans="1:37" ht="39.950000000000003" customHeight="1">
      <c r="A62" s="321">
        <v>57</v>
      </c>
      <c r="B62" s="319">
        <v>45224</v>
      </c>
      <c r="C62" s="322">
        <v>0.45833333333333331</v>
      </c>
      <c r="D62" s="216" t="s">
        <v>1794</v>
      </c>
      <c r="E62" s="335" t="s">
        <v>2273</v>
      </c>
      <c r="F62" s="321">
        <v>7</v>
      </c>
      <c r="G62" s="321" t="s">
        <v>32</v>
      </c>
      <c r="H62" s="319"/>
      <c r="I62" s="319"/>
      <c r="J62" s="319"/>
      <c r="K62" s="321" t="str">
        <f>IFERROR(VLOOKUP(J62,Jueces!$A$1:$B$11,2,FALSE),"")</f>
        <v/>
      </c>
      <c r="L62" s="216" t="s">
        <v>284</v>
      </c>
      <c r="M62" s="353" t="s">
        <v>1522</v>
      </c>
      <c r="N62" s="338" t="s">
        <v>2263</v>
      </c>
      <c r="O62" s="216" t="str">
        <f t="shared" ca="1" si="0"/>
        <v>LIMBO</v>
      </c>
      <c r="P62" s="216"/>
      <c r="Q62" s="216" t="s">
        <v>709</v>
      </c>
      <c r="R62" s="216"/>
      <c r="S62" s="216"/>
      <c r="T62" s="317"/>
      <c r="U62" s="317"/>
      <c r="V62" s="321"/>
      <c r="W62" s="321"/>
      <c r="X62" s="321"/>
      <c r="Y62" s="321"/>
      <c r="Z62" s="321"/>
      <c r="AA62" s="321"/>
      <c r="AB62" s="321"/>
      <c r="AC62" s="321"/>
      <c r="AD62" s="321"/>
      <c r="AE62" s="321"/>
      <c r="AF62" s="379">
        <f t="shared" si="1"/>
        <v>7</v>
      </c>
      <c r="AG62" s="321"/>
      <c r="AH62" s="321"/>
      <c r="AI62" s="321" t="s">
        <v>2161</v>
      </c>
      <c r="AJ62" s="413"/>
      <c r="AK62" s="244" t="s">
        <v>2161</v>
      </c>
    </row>
    <row r="63" spans="1:37" ht="39.950000000000003" customHeight="1">
      <c r="A63" s="321">
        <v>58</v>
      </c>
      <c r="B63" s="319">
        <v>45224</v>
      </c>
      <c r="C63" s="322">
        <v>0.45833333333333331</v>
      </c>
      <c r="D63" s="216" t="s">
        <v>2275</v>
      </c>
      <c r="E63" s="334" t="s">
        <v>2276</v>
      </c>
      <c r="F63" s="321">
        <v>7</v>
      </c>
      <c r="G63" s="321" t="s">
        <v>32</v>
      </c>
      <c r="H63" s="319"/>
      <c r="I63" s="319"/>
      <c r="J63" s="319"/>
      <c r="K63" s="321" t="str">
        <f>IFERROR(VLOOKUP(J63,Jueces!$A$1:$B$11,2,FALSE),"")</f>
        <v/>
      </c>
      <c r="L63" s="216" t="s">
        <v>1384</v>
      </c>
      <c r="M63" s="353" t="s">
        <v>518</v>
      </c>
      <c r="N63" s="216" t="s">
        <v>2277</v>
      </c>
      <c r="O63" s="216" t="str">
        <f t="shared" ca="1" si="0"/>
        <v>LIMBO</v>
      </c>
      <c r="P63" s="216"/>
      <c r="Q63" s="216" t="s">
        <v>709</v>
      </c>
      <c r="R63" s="216"/>
      <c r="S63" s="216"/>
      <c r="T63" s="317"/>
      <c r="U63" s="317"/>
      <c r="V63" s="321"/>
      <c r="W63" s="321"/>
      <c r="X63" s="321"/>
      <c r="Y63" s="321"/>
      <c r="Z63" s="321"/>
      <c r="AA63" s="321"/>
      <c r="AB63" s="321"/>
      <c r="AC63" s="321"/>
      <c r="AD63" s="321"/>
      <c r="AE63" s="321"/>
      <c r="AF63" s="379">
        <f t="shared" si="1"/>
        <v>7</v>
      </c>
      <c r="AG63" s="321"/>
      <c r="AH63" s="321"/>
      <c r="AI63" s="321" t="s">
        <v>2251</v>
      </c>
      <c r="AJ63" s="413"/>
      <c r="AK63" s="244" t="s">
        <v>2836</v>
      </c>
    </row>
    <row r="64" spans="1:37" ht="39.950000000000003" customHeight="1">
      <c r="A64" s="321">
        <v>59</v>
      </c>
      <c r="B64" s="319">
        <v>45229</v>
      </c>
      <c r="C64" s="322">
        <v>0.39999999999999997</v>
      </c>
      <c r="D64" s="216" t="s">
        <v>2280</v>
      </c>
      <c r="E64" s="334" t="s">
        <v>2281</v>
      </c>
      <c r="F64" s="321">
        <v>5</v>
      </c>
      <c r="G64" s="321" t="s">
        <v>1841</v>
      </c>
      <c r="H64" s="319"/>
      <c r="I64" s="319"/>
      <c r="J64" s="319"/>
      <c r="K64" s="321" t="str">
        <f>IFERROR(VLOOKUP(J64,Jueces!$A$1:$B$11,2,FALSE),"")</f>
        <v/>
      </c>
      <c r="L64" s="216" t="s">
        <v>581</v>
      </c>
      <c r="M64" s="216" t="s">
        <v>1257</v>
      </c>
      <c r="N64" s="216" t="s">
        <v>2293</v>
      </c>
      <c r="O64" s="216" t="str">
        <f t="shared" ca="1" si="0"/>
        <v>LIMBO</v>
      </c>
      <c r="P64" s="216"/>
      <c r="Q64" s="216" t="s">
        <v>709</v>
      </c>
      <c r="R64" s="216"/>
      <c r="S64" s="216"/>
      <c r="T64" s="317"/>
      <c r="U64" s="317"/>
      <c r="V64" s="321"/>
      <c r="W64" s="321"/>
      <c r="X64" s="321"/>
      <c r="Y64" s="321"/>
      <c r="Z64" s="321"/>
      <c r="AA64" s="321"/>
      <c r="AB64" s="321"/>
      <c r="AC64" s="321"/>
      <c r="AD64" s="321"/>
      <c r="AE64" s="321"/>
      <c r="AF64" s="379">
        <f t="shared" si="1"/>
        <v>7</v>
      </c>
      <c r="AG64" s="321"/>
      <c r="AH64" s="321"/>
      <c r="AI64" s="321" t="s">
        <v>2251</v>
      </c>
      <c r="AJ64" s="413"/>
      <c r="AK64" s="244" t="s">
        <v>2836</v>
      </c>
    </row>
    <row r="65" spans="1:37" ht="39.950000000000003" customHeight="1">
      <c r="A65" s="321">
        <v>60</v>
      </c>
      <c r="B65" s="319">
        <v>45229</v>
      </c>
      <c r="C65" s="322">
        <v>0.3888888888888889</v>
      </c>
      <c r="D65" s="216" t="s">
        <v>2282</v>
      </c>
      <c r="E65" s="335" t="s">
        <v>2389</v>
      </c>
      <c r="F65" s="321">
        <v>1</v>
      </c>
      <c r="G65" s="321" t="s">
        <v>1839</v>
      </c>
      <c r="H65" s="319"/>
      <c r="I65" s="319"/>
      <c r="J65" s="319"/>
      <c r="K65" s="321" t="str">
        <f>IFERROR(VLOOKUP(J65,Jueces!$A$1:$B$11,2,FALSE),"")</f>
        <v/>
      </c>
      <c r="L65" s="216" t="s">
        <v>576</v>
      </c>
      <c r="M65" s="216" t="s">
        <v>794</v>
      </c>
      <c r="N65" s="321"/>
      <c r="O65" s="216" t="str">
        <f t="shared" ca="1" si="0"/>
        <v>LIMBO</v>
      </c>
      <c r="P65" s="216"/>
      <c r="Q65" s="216" t="s">
        <v>709</v>
      </c>
      <c r="R65" s="216"/>
      <c r="S65" s="216"/>
      <c r="T65" s="317"/>
      <c r="U65" s="317"/>
      <c r="V65" s="321"/>
      <c r="W65" s="321"/>
      <c r="X65" s="321"/>
      <c r="Y65" s="321"/>
      <c r="Z65" s="321"/>
      <c r="AA65" s="321"/>
      <c r="AB65" s="321"/>
      <c r="AC65" s="321"/>
      <c r="AD65" s="321"/>
      <c r="AE65" s="321"/>
      <c r="AF65" s="379">
        <f t="shared" si="1"/>
        <v>7</v>
      </c>
      <c r="AG65" s="321"/>
      <c r="AH65" s="321"/>
      <c r="AI65" s="321" t="s">
        <v>2161</v>
      </c>
      <c r="AJ65" s="414"/>
      <c r="AK65" s="244" t="s">
        <v>2161</v>
      </c>
    </row>
    <row r="66" spans="1:37" ht="39.950000000000003" customHeight="1">
      <c r="A66" s="321">
        <v>61</v>
      </c>
      <c r="B66" s="319">
        <v>45229</v>
      </c>
      <c r="C66" s="322">
        <v>0.41041666666666665</v>
      </c>
      <c r="D66" s="216" t="s">
        <v>2283</v>
      </c>
      <c r="E66" s="334" t="s">
        <v>2284</v>
      </c>
      <c r="F66" s="321">
        <v>2</v>
      </c>
      <c r="G66" s="321" t="s">
        <v>1839</v>
      </c>
      <c r="H66" s="319"/>
      <c r="I66" s="319"/>
      <c r="J66" s="319"/>
      <c r="K66" s="321" t="str">
        <f>IFERROR(VLOOKUP(J66,Jueces!$A$1:$B$11,2,FALSE),"")</f>
        <v/>
      </c>
      <c r="L66" s="216" t="s">
        <v>583</v>
      </c>
      <c r="M66" s="216" t="s">
        <v>794</v>
      </c>
      <c r="N66" s="321"/>
      <c r="O66" s="216" t="str">
        <f t="shared" ca="1" si="0"/>
        <v>LIMBO</v>
      </c>
      <c r="P66" s="216"/>
      <c r="Q66" s="216" t="s">
        <v>709</v>
      </c>
      <c r="R66" s="216"/>
      <c r="S66" s="216"/>
      <c r="T66" s="317"/>
      <c r="U66" s="317"/>
      <c r="V66" s="321"/>
      <c r="W66" s="321"/>
      <c r="X66" s="321"/>
      <c r="Y66" s="321"/>
      <c r="Z66" s="321"/>
      <c r="AA66" s="321"/>
      <c r="AB66" s="321"/>
      <c r="AC66" s="321"/>
      <c r="AD66" s="321"/>
      <c r="AE66" s="321"/>
      <c r="AF66" s="379">
        <f t="shared" si="1"/>
        <v>7</v>
      </c>
      <c r="AG66" s="321"/>
      <c r="AH66" s="321"/>
      <c r="AI66" s="321" t="s">
        <v>2251</v>
      </c>
      <c r="AJ66" s="413"/>
      <c r="AK66" s="244" t="s">
        <v>2836</v>
      </c>
    </row>
    <row r="67" spans="1:37" ht="39.950000000000003" customHeight="1">
      <c r="A67" s="321">
        <v>62</v>
      </c>
      <c r="B67" s="319">
        <v>45226</v>
      </c>
      <c r="C67" s="322">
        <v>0.45624999999999999</v>
      </c>
      <c r="D67" s="216" t="s">
        <v>2285</v>
      </c>
      <c r="E67" s="334" t="s">
        <v>2286</v>
      </c>
      <c r="F67" s="321">
        <v>6</v>
      </c>
      <c r="G67" s="321" t="s">
        <v>21</v>
      </c>
      <c r="H67" s="319"/>
      <c r="I67" s="319"/>
      <c r="J67" s="319"/>
      <c r="K67" s="321" t="str">
        <f>IFERROR(VLOOKUP(J67,Jueces!$A$1:$B$11,2,FALSE),"")</f>
        <v/>
      </c>
      <c r="L67" s="216" t="s">
        <v>1384</v>
      </c>
      <c r="M67" s="216" t="s">
        <v>1409</v>
      </c>
      <c r="N67" s="321"/>
      <c r="O67" s="216" t="str">
        <f t="shared" ref="O67:O130" ca="1" si="3">IF($H67&lt;&gt;"",IF($H67&lt;=TODAY(),"SI","NO"),"LIMBO")</f>
        <v>LIMBO</v>
      </c>
      <c r="P67" s="216"/>
      <c r="Q67" s="216" t="s">
        <v>709</v>
      </c>
      <c r="R67" s="216"/>
      <c r="S67" s="216"/>
      <c r="T67" s="317"/>
      <c r="U67" s="317"/>
      <c r="V67" s="321"/>
      <c r="W67" s="321"/>
      <c r="X67" s="321"/>
      <c r="Y67" s="321"/>
      <c r="Z67" s="321"/>
      <c r="AA67" s="321"/>
      <c r="AB67" s="321"/>
      <c r="AC67" s="321"/>
      <c r="AD67" s="321"/>
      <c r="AE67" s="321"/>
      <c r="AF67" s="379">
        <f t="shared" ref="AF67:AF130" si="4">MAX($AC67,$AE67)+7</f>
        <v>7</v>
      </c>
      <c r="AG67" s="321"/>
      <c r="AH67" s="321"/>
      <c r="AI67" s="321" t="s">
        <v>2251</v>
      </c>
      <c r="AJ67" s="414"/>
      <c r="AK67" s="244" t="s">
        <v>2836</v>
      </c>
    </row>
    <row r="68" spans="1:37" ht="39.950000000000003" customHeight="1">
      <c r="A68" s="321">
        <v>63</v>
      </c>
      <c r="B68" s="319">
        <v>45226</v>
      </c>
      <c r="C68" s="322">
        <v>0.46527777777777773</v>
      </c>
      <c r="D68" s="216" t="s">
        <v>2287</v>
      </c>
      <c r="E68" s="334" t="s">
        <v>2288</v>
      </c>
      <c r="F68" s="321">
        <v>6</v>
      </c>
      <c r="G68" s="321"/>
      <c r="H68" s="319"/>
      <c r="I68" s="319"/>
      <c r="J68" s="319"/>
      <c r="K68" s="321" t="str">
        <f>IFERROR(VLOOKUP(J68,Jueces!$A$1:$B$11,2,FALSE),"")</f>
        <v/>
      </c>
      <c r="L68" s="216" t="s">
        <v>597</v>
      </c>
      <c r="M68" s="216" t="s">
        <v>1409</v>
      </c>
      <c r="N68" s="321"/>
      <c r="O68" s="216" t="str">
        <f t="shared" ca="1" si="3"/>
        <v>LIMBO</v>
      </c>
      <c r="P68" s="216"/>
      <c r="Q68" s="216" t="s">
        <v>709</v>
      </c>
      <c r="R68" s="216"/>
      <c r="S68" s="216"/>
      <c r="T68" s="317"/>
      <c r="U68" s="317"/>
      <c r="V68" s="321"/>
      <c r="W68" s="321"/>
      <c r="X68" s="321"/>
      <c r="Y68" s="321"/>
      <c r="Z68" s="321"/>
      <c r="AA68" s="321"/>
      <c r="AB68" s="321"/>
      <c r="AC68" s="321"/>
      <c r="AD68" s="321"/>
      <c r="AE68" s="321"/>
      <c r="AF68" s="379">
        <f t="shared" si="4"/>
        <v>7</v>
      </c>
      <c r="AG68" s="321"/>
      <c r="AH68" s="321"/>
      <c r="AI68" s="321" t="s">
        <v>2251</v>
      </c>
      <c r="AJ68" s="414"/>
      <c r="AK68" s="244" t="s">
        <v>2836</v>
      </c>
    </row>
    <row r="69" spans="1:37" ht="39.950000000000003" customHeight="1">
      <c r="A69" s="321">
        <v>64</v>
      </c>
      <c r="B69" s="319">
        <v>45226</v>
      </c>
      <c r="C69" s="322">
        <v>0.43194444444444446</v>
      </c>
      <c r="D69" s="216" t="s">
        <v>1644</v>
      </c>
      <c r="E69" s="334" t="s">
        <v>2289</v>
      </c>
      <c r="F69" s="321">
        <v>6</v>
      </c>
      <c r="G69" s="321" t="s">
        <v>1839</v>
      </c>
      <c r="H69" s="319"/>
      <c r="I69" s="319"/>
      <c r="J69" s="319"/>
      <c r="K69" s="321" t="str">
        <f>IFERROR(VLOOKUP(J69,Jueces!$A$1:$B$11,2,FALSE),"")</f>
        <v/>
      </c>
      <c r="L69" s="216" t="s">
        <v>583</v>
      </c>
      <c r="M69" s="216" t="s">
        <v>514</v>
      </c>
      <c r="N69" s="321"/>
      <c r="O69" s="216" t="str">
        <f t="shared" ca="1" si="3"/>
        <v>LIMBO</v>
      </c>
      <c r="P69" s="216"/>
      <c r="Q69" s="216" t="s">
        <v>709</v>
      </c>
      <c r="R69" s="216"/>
      <c r="S69" s="216"/>
      <c r="T69" s="317"/>
      <c r="U69" s="317"/>
      <c r="V69" s="321"/>
      <c r="W69" s="321"/>
      <c r="X69" s="321"/>
      <c r="Y69" s="321"/>
      <c r="Z69" s="321"/>
      <c r="AA69" s="321"/>
      <c r="AB69" s="321"/>
      <c r="AC69" s="321"/>
      <c r="AD69" s="321"/>
      <c r="AE69" s="321"/>
      <c r="AF69" s="379">
        <f t="shared" si="4"/>
        <v>7</v>
      </c>
      <c r="AG69" s="321"/>
      <c r="AH69" s="321"/>
      <c r="AI69" s="321" t="s">
        <v>2251</v>
      </c>
      <c r="AJ69" s="413"/>
      <c r="AK69" s="244" t="s">
        <v>2836</v>
      </c>
    </row>
    <row r="70" spans="1:37" ht="39.950000000000003" customHeight="1">
      <c r="A70" s="321">
        <v>65</v>
      </c>
      <c r="B70" s="319">
        <v>45229</v>
      </c>
      <c r="C70" s="322">
        <v>0.4680555555555555</v>
      </c>
      <c r="D70" s="321" t="s">
        <v>2290</v>
      </c>
      <c r="E70" s="359" t="s">
        <v>2291</v>
      </c>
      <c r="F70" s="321">
        <v>6</v>
      </c>
      <c r="G70" s="321" t="s">
        <v>21</v>
      </c>
      <c r="H70" s="319"/>
      <c r="I70" s="319"/>
      <c r="J70" s="319"/>
      <c r="K70" s="321" t="str">
        <f>IFERROR(VLOOKUP(J70,Jueces!$A$1:$B$11,2,FALSE),"")</f>
        <v/>
      </c>
      <c r="L70" s="216" t="s">
        <v>1386</v>
      </c>
      <c r="M70" s="216" t="s">
        <v>538</v>
      </c>
      <c r="N70" s="216" t="s">
        <v>2294</v>
      </c>
      <c r="O70" s="216" t="str">
        <f t="shared" ca="1" si="3"/>
        <v>LIMBO</v>
      </c>
      <c r="P70" s="216"/>
      <c r="Q70" s="216" t="s">
        <v>709</v>
      </c>
      <c r="R70" s="216"/>
      <c r="S70" s="216"/>
      <c r="T70" s="317"/>
      <c r="U70" s="317"/>
      <c r="V70" s="321"/>
      <c r="W70" s="321"/>
      <c r="X70" s="321"/>
      <c r="Y70" s="321"/>
      <c r="Z70" s="321"/>
      <c r="AA70" s="321"/>
      <c r="AB70" s="321"/>
      <c r="AC70" s="321"/>
      <c r="AD70" s="321"/>
      <c r="AE70" s="321"/>
      <c r="AF70" s="379">
        <f t="shared" si="4"/>
        <v>7</v>
      </c>
      <c r="AG70" s="321"/>
      <c r="AH70" s="321"/>
      <c r="AI70" s="321" t="s">
        <v>2251</v>
      </c>
      <c r="AJ70" s="414"/>
      <c r="AK70" s="244" t="s">
        <v>2836</v>
      </c>
    </row>
    <row r="71" spans="1:37" ht="39.950000000000003" customHeight="1">
      <c r="A71" s="321">
        <v>66</v>
      </c>
      <c r="B71" s="319">
        <v>45229</v>
      </c>
      <c r="C71" s="322">
        <v>0.53055555555555556</v>
      </c>
      <c r="D71" s="216" t="s">
        <v>2292</v>
      </c>
      <c r="E71" s="335" t="s">
        <v>2312</v>
      </c>
      <c r="F71" s="321">
        <v>2</v>
      </c>
      <c r="G71" s="321" t="s">
        <v>1841</v>
      </c>
      <c r="H71" s="319"/>
      <c r="I71" s="319"/>
      <c r="J71" s="319"/>
      <c r="K71" s="321" t="str">
        <f>IFERROR(VLOOKUP(J71,Jueces!$A$1:$B$11,2,FALSE),"")</f>
        <v/>
      </c>
      <c r="L71" s="216" t="s">
        <v>167</v>
      </c>
      <c r="M71" s="216" t="s">
        <v>512</v>
      </c>
      <c r="N71" s="216" t="s">
        <v>2313</v>
      </c>
      <c r="O71" s="216" t="str">
        <f t="shared" ca="1" si="3"/>
        <v>LIMBO</v>
      </c>
      <c r="P71" s="216"/>
      <c r="Q71" s="216" t="s">
        <v>709</v>
      </c>
      <c r="R71" s="216"/>
      <c r="S71" s="216"/>
      <c r="T71" s="317"/>
      <c r="U71" s="317"/>
      <c r="V71" s="321"/>
      <c r="W71" s="321"/>
      <c r="X71" s="321"/>
      <c r="Y71" s="321"/>
      <c r="Z71" s="321"/>
      <c r="AA71" s="321"/>
      <c r="AB71" s="321"/>
      <c r="AC71" s="321"/>
      <c r="AD71" s="321"/>
      <c r="AE71" s="321"/>
      <c r="AF71" s="379">
        <f t="shared" si="4"/>
        <v>7</v>
      </c>
      <c r="AG71" s="321"/>
      <c r="AH71" s="321"/>
      <c r="AI71" s="321" t="s">
        <v>2161</v>
      </c>
      <c r="AJ71" s="413"/>
      <c r="AK71" s="244" t="s">
        <v>2161</v>
      </c>
    </row>
    <row r="72" spans="1:37" ht="39.950000000000003" customHeight="1">
      <c r="A72" s="321">
        <v>67</v>
      </c>
      <c r="B72" s="319">
        <v>45229</v>
      </c>
      <c r="C72" s="322">
        <v>0.49305555555555558</v>
      </c>
      <c r="D72" s="216" t="s">
        <v>137</v>
      </c>
      <c r="E72" s="334" t="s">
        <v>2295</v>
      </c>
      <c r="F72" s="321">
        <v>3</v>
      </c>
      <c r="G72" s="321" t="s">
        <v>32</v>
      </c>
      <c r="H72" s="319"/>
      <c r="I72" s="319"/>
      <c r="J72" s="319"/>
      <c r="K72" s="321" t="str">
        <f>IFERROR(VLOOKUP(J72,Jueces!$A$1:$B$11,2,FALSE),"")</f>
        <v/>
      </c>
      <c r="L72" s="216" t="s">
        <v>578</v>
      </c>
      <c r="M72" s="216" t="s">
        <v>2296</v>
      </c>
      <c r="N72" s="216" t="s">
        <v>2297</v>
      </c>
      <c r="O72" s="216" t="str">
        <f t="shared" ca="1" si="3"/>
        <v>LIMBO</v>
      </c>
      <c r="P72" s="216"/>
      <c r="Q72" s="216" t="s">
        <v>709</v>
      </c>
      <c r="R72" s="216"/>
      <c r="S72" s="216"/>
      <c r="T72" s="317"/>
      <c r="U72" s="317"/>
      <c r="V72" s="321"/>
      <c r="W72" s="321"/>
      <c r="X72" s="321"/>
      <c r="Y72" s="321"/>
      <c r="Z72" s="321"/>
      <c r="AA72" s="321"/>
      <c r="AB72" s="321"/>
      <c r="AC72" s="321"/>
      <c r="AD72" s="321"/>
      <c r="AE72" s="321"/>
      <c r="AF72" s="379">
        <f t="shared" si="4"/>
        <v>7</v>
      </c>
      <c r="AG72" s="321"/>
      <c r="AH72" s="321"/>
      <c r="AI72" s="321" t="s">
        <v>2251</v>
      </c>
      <c r="AJ72" s="413"/>
      <c r="AK72" s="244" t="s">
        <v>2836</v>
      </c>
    </row>
    <row r="73" spans="1:37" ht="39.950000000000003" customHeight="1">
      <c r="A73" s="321">
        <v>68</v>
      </c>
      <c r="B73" s="319">
        <v>45230</v>
      </c>
      <c r="C73" s="322">
        <v>0.33333333333333331</v>
      </c>
      <c r="D73" s="216" t="s">
        <v>2298</v>
      </c>
      <c r="E73" s="334" t="s">
        <v>2299</v>
      </c>
      <c r="F73" s="321">
        <v>2</v>
      </c>
      <c r="G73" s="321" t="s">
        <v>1841</v>
      </c>
      <c r="H73" s="319"/>
      <c r="I73" s="319"/>
      <c r="J73" s="319"/>
      <c r="K73" s="321" t="str">
        <f>IFERROR(VLOOKUP(J73,Jueces!$A$1:$B$11,2,FALSE),"")</f>
        <v/>
      </c>
      <c r="L73" s="216" t="s">
        <v>585</v>
      </c>
      <c r="M73" s="216" t="s">
        <v>538</v>
      </c>
      <c r="N73" s="216" t="s">
        <v>2329</v>
      </c>
      <c r="O73" s="216" t="str">
        <f t="shared" ca="1" si="3"/>
        <v>LIMBO</v>
      </c>
      <c r="P73" s="216"/>
      <c r="Q73" s="216" t="s">
        <v>709</v>
      </c>
      <c r="R73" s="216"/>
      <c r="S73" s="216"/>
      <c r="T73" s="317"/>
      <c r="U73" s="317"/>
      <c r="V73" s="321"/>
      <c r="W73" s="321"/>
      <c r="X73" s="321"/>
      <c r="Y73" s="321"/>
      <c r="Z73" s="321"/>
      <c r="AA73" s="321"/>
      <c r="AB73" s="321"/>
      <c r="AC73" s="321"/>
      <c r="AD73" s="321"/>
      <c r="AE73" s="321"/>
      <c r="AF73" s="379">
        <f t="shared" si="4"/>
        <v>7</v>
      </c>
      <c r="AG73" s="321"/>
      <c r="AH73" s="321"/>
      <c r="AI73" s="321" t="s">
        <v>2251</v>
      </c>
      <c r="AJ73" s="414"/>
      <c r="AK73" s="244" t="s">
        <v>2836</v>
      </c>
    </row>
    <row r="74" spans="1:37" ht="39.950000000000003" customHeight="1">
      <c r="A74" s="321">
        <v>69</v>
      </c>
      <c r="B74" s="319">
        <v>45230</v>
      </c>
      <c r="C74" s="322">
        <v>0.33333333333333331</v>
      </c>
      <c r="D74" s="216" t="s">
        <v>2301</v>
      </c>
      <c r="E74" s="334" t="s">
        <v>2300</v>
      </c>
      <c r="F74" s="321">
        <v>2</v>
      </c>
      <c r="G74" s="321" t="s">
        <v>32</v>
      </c>
      <c r="H74" s="319"/>
      <c r="I74" s="319"/>
      <c r="J74" s="319"/>
      <c r="K74" s="321" t="str">
        <f>IFERROR(VLOOKUP(J74,Jueces!$A$1:$B$11,2,FALSE),"")</f>
        <v/>
      </c>
      <c r="L74" s="216" t="s">
        <v>599</v>
      </c>
      <c r="M74" s="216" t="s">
        <v>2317</v>
      </c>
      <c r="N74" s="338" t="s">
        <v>2330</v>
      </c>
      <c r="O74" s="216" t="str">
        <f t="shared" ca="1" si="3"/>
        <v>LIMBO</v>
      </c>
      <c r="P74" s="216"/>
      <c r="Q74" s="216" t="s">
        <v>709</v>
      </c>
      <c r="R74" s="216"/>
      <c r="S74" s="216"/>
      <c r="T74" s="317"/>
      <c r="U74" s="317"/>
      <c r="V74" s="321"/>
      <c r="W74" s="321"/>
      <c r="X74" s="321"/>
      <c r="Y74" s="321"/>
      <c r="Z74" s="321"/>
      <c r="AA74" s="321"/>
      <c r="AB74" s="321"/>
      <c r="AC74" s="321"/>
      <c r="AD74" s="321"/>
      <c r="AE74" s="321"/>
      <c r="AF74" s="379">
        <f t="shared" si="4"/>
        <v>7</v>
      </c>
      <c r="AG74" s="321"/>
      <c r="AH74" s="321"/>
      <c r="AI74" s="321" t="s">
        <v>2251</v>
      </c>
      <c r="AJ74" s="414"/>
      <c r="AK74" s="244" t="s">
        <v>2836</v>
      </c>
    </row>
    <row r="75" spans="1:37" ht="39.950000000000003" customHeight="1">
      <c r="A75" s="321">
        <v>70</v>
      </c>
      <c r="B75" s="319">
        <v>45230</v>
      </c>
      <c r="C75" s="322">
        <v>0.33333333333333331</v>
      </c>
      <c r="D75" s="216" t="s">
        <v>2302</v>
      </c>
      <c r="E75" s="334" t="s">
        <v>2303</v>
      </c>
      <c r="F75" s="321">
        <v>3</v>
      </c>
      <c r="G75" s="321" t="s">
        <v>1839</v>
      </c>
      <c r="H75" s="319"/>
      <c r="I75" s="319"/>
      <c r="J75" s="319"/>
      <c r="K75" s="321" t="str">
        <f>IFERROR(VLOOKUP(J75,Jueces!$A$1:$B$11,2,FALSE),"")</f>
        <v/>
      </c>
      <c r="L75" s="216" t="s">
        <v>585</v>
      </c>
      <c r="M75" s="216" t="s">
        <v>2316</v>
      </c>
      <c r="N75" s="338" t="s">
        <v>2331</v>
      </c>
      <c r="O75" s="216" t="str">
        <f t="shared" ca="1" si="3"/>
        <v>LIMBO</v>
      </c>
      <c r="P75" s="216"/>
      <c r="Q75" s="216" t="s">
        <v>709</v>
      </c>
      <c r="R75" s="216"/>
      <c r="S75" s="216"/>
      <c r="T75" s="317"/>
      <c r="U75" s="317"/>
      <c r="V75" s="321"/>
      <c r="W75" s="321"/>
      <c r="X75" s="321"/>
      <c r="Y75" s="321"/>
      <c r="Z75" s="321"/>
      <c r="AA75" s="321"/>
      <c r="AB75" s="321"/>
      <c r="AC75" s="321"/>
      <c r="AD75" s="321"/>
      <c r="AE75" s="321"/>
      <c r="AF75" s="379">
        <f t="shared" si="4"/>
        <v>7</v>
      </c>
      <c r="AG75" s="321"/>
      <c r="AH75" s="321"/>
      <c r="AI75" s="321" t="s">
        <v>2251</v>
      </c>
      <c r="AJ75" s="414"/>
      <c r="AK75" s="244" t="s">
        <v>2836</v>
      </c>
    </row>
    <row r="76" spans="1:37" ht="39.950000000000003" customHeight="1">
      <c r="A76" s="321">
        <v>71</v>
      </c>
      <c r="B76" s="319">
        <v>45230</v>
      </c>
      <c r="C76" s="322">
        <v>0.33333333333333331</v>
      </c>
      <c r="D76" s="216" t="s">
        <v>2304</v>
      </c>
      <c r="E76" s="334" t="s">
        <v>2305</v>
      </c>
      <c r="F76" s="321">
        <v>2</v>
      </c>
      <c r="G76" s="321" t="s">
        <v>1841</v>
      </c>
      <c r="H76" s="319"/>
      <c r="I76" s="319"/>
      <c r="J76" s="319"/>
      <c r="K76" s="321" t="str">
        <f>IFERROR(VLOOKUP(J76,Jueces!$A$1:$B$11,2,FALSE),"")</f>
        <v/>
      </c>
      <c r="L76" s="216" t="s">
        <v>781</v>
      </c>
      <c r="M76" s="216" t="s">
        <v>513</v>
      </c>
      <c r="N76" s="338" t="s">
        <v>2322</v>
      </c>
      <c r="O76" s="216" t="str">
        <f t="shared" ca="1" si="3"/>
        <v>LIMBO</v>
      </c>
      <c r="P76" s="216"/>
      <c r="Q76" s="216" t="s">
        <v>709</v>
      </c>
      <c r="R76" s="216"/>
      <c r="S76" s="216"/>
      <c r="T76" s="317"/>
      <c r="U76" s="317"/>
      <c r="V76" s="321"/>
      <c r="W76" s="321"/>
      <c r="X76" s="321"/>
      <c r="Y76" s="321"/>
      <c r="Z76" s="321"/>
      <c r="AA76" s="321"/>
      <c r="AB76" s="321"/>
      <c r="AC76" s="321"/>
      <c r="AD76" s="321"/>
      <c r="AE76" s="321"/>
      <c r="AF76" s="379">
        <f t="shared" si="4"/>
        <v>7</v>
      </c>
      <c r="AG76" s="321"/>
      <c r="AH76" s="321"/>
      <c r="AI76" s="321" t="s">
        <v>2251</v>
      </c>
      <c r="AJ76" s="414"/>
      <c r="AK76" s="244" t="s">
        <v>2836</v>
      </c>
    </row>
    <row r="77" spans="1:37" ht="39.950000000000003" customHeight="1">
      <c r="A77" s="321">
        <v>72</v>
      </c>
      <c r="B77" s="319">
        <v>45230</v>
      </c>
      <c r="C77" s="322">
        <v>0.33333333333333331</v>
      </c>
      <c r="D77" s="216" t="s">
        <v>2306</v>
      </c>
      <c r="E77" s="334" t="s">
        <v>2307</v>
      </c>
      <c r="F77" s="321">
        <v>2</v>
      </c>
      <c r="G77" s="321" t="s">
        <v>1839</v>
      </c>
      <c r="H77" s="319"/>
      <c r="I77" s="319"/>
      <c r="J77" s="319"/>
      <c r="K77" s="321" t="str">
        <f>IFERROR(VLOOKUP(J77,Jueces!$A$1:$B$11,2,FALSE),"")</f>
        <v/>
      </c>
      <c r="L77" s="216" t="s">
        <v>592</v>
      </c>
      <c r="M77" s="216" t="s">
        <v>1406</v>
      </c>
      <c r="N77" s="321"/>
      <c r="O77" s="216" t="str">
        <f t="shared" ca="1" si="3"/>
        <v>LIMBO</v>
      </c>
      <c r="P77" s="216"/>
      <c r="Q77" s="216" t="s">
        <v>709</v>
      </c>
      <c r="R77" s="216"/>
      <c r="S77" s="216"/>
      <c r="T77" s="317"/>
      <c r="U77" s="317"/>
      <c r="V77" s="321"/>
      <c r="W77" s="321"/>
      <c r="X77" s="321"/>
      <c r="Y77" s="321"/>
      <c r="Z77" s="321"/>
      <c r="AA77" s="321"/>
      <c r="AB77" s="321"/>
      <c r="AC77" s="321"/>
      <c r="AD77" s="321"/>
      <c r="AE77" s="321"/>
      <c r="AF77" s="379">
        <f t="shared" si="4"/>
        <v>7</v>
      </c>
      <c r="AG77" s="321"/>
      <c r="AH77" s="321"/>
      <c r="AI77" s="321" t="s">
        <v>2251</v>
      </c>
      <c r="AJ77" s="414"/>
      <c r="AK77" s="244" t="s">
        <v>2836</v>
      </c>
    </row>
    <row r="78" spans="1:37" ht="39.950000000000003" customHeight="1">
      <c r="A78" s="321">
        <v>73</v>
      </c>
      <c r="B78" s="319">
        <v>45230</v>
      </c>
      <c r="C78" s="322">
        <v>0.33333333333333331</v>
      </c>
      <c r="D78" s="216" t="s">
        <v>2308</v>
      </c>
      <c r="E78" s="334" t="s">
        <v>2309</v>
      </c>
      <c r="F78" s="321">
        <v>7</v>
      </c>
      <c r="G78" s="321" t="s">
        <v>21</v>
      </c>
      <c r="H78" s="319"/>
      <c r="I78" s="319"/>
      <c r="J78" s="319"/>
      <c r="K78" s="321" t="str">
        <f>IFERROR(VLOOKUP(J78,Jueces!$A$1:$B$11,2,FALSE),"")</f>
        <v/>
      </c>
      <c r="L78" s="216" t="s">
        <v>598</v>
      </c>
      <c r="M78" s="216" t="s">
        <v>530</v>
      </c>
      <c r="N78" s="216" t="s">
        <v>2327</v>
      </c>
      <c r="O78" s="216" t="str">
        <f t="shared" ca="1" si="3"/>
        <v>LIMBO</v>
      </c>
      <c r="P78" s="216"/>
      <c r="Q78" s="216" t="s">
        <v>709</v>
      </c>
      <c r="R78" s="216"/>
      <c r="S78" s="216"/>
      <c r="T78" s="317"/>
      <c r="U78" s="317"/>
      <c r="V78" s="321"/>
      <c r="W78" s="321"/>
      <c r="X78" s="321"/>
      <c r="Y78" s="321"/>
      <c r="Z78" s="321"/>
      <c r="AA78" s="321"/>
      <c r="AB78" s="321"/>
      <c r="AC78" s="321"/>
      <c r="AD78" s="321"/>
      <c r="AE78" s="321"/>
      <c r="AF78" s="379">
        <f t="shared" si="4"/>
        <v>7</v>
      </c>
      <c r="AG78" s="321"/>
      <c r="AH78" s="321"/>
      <c r="AI78" s="321" t="s">
        <v>2251</v>
      </c>
      <c r="AJ78" s="414"/>
      <c r="AK78" s="244" t="s">
        <v>2836</v>
      </c>
    </row>
    <row r="79" spans="1:37" ht="39.950000000000003" customHeight="1">
      <c r="A79" s="321">
        <v>74</v>
      </c>
      <c r="B79" s="319">
        <v>45230</v>
      </c>
      <c r="C79" s="322">
        <v>0.33333333333333331</v>
      </c>
      <c r="D79" s="216" t="s">
        <v>2310</v>
      </c>
      <c r="E79" s="334" t="s">
        <v>2311</v>
      </c>
      <c r="F79" s="321">
        <v>3</v>
      </c>
      <c r="G79" s="321"/>
      <c r="H79" s="319"/>
      <c r="I79" s="319"/>
      <c r="J79" s="319"/>
      <c r="K79" s="321" t="str">
        <f>IFERROR(VLOOKUP(J79,Jueces!$A$1:$B$11,2,FALSE),"")</f>
        <v/>
      </c>
      <c r="L79" s="216" t="s">
        <v>595</v>
      </c>
      <c r="M79" s="216" t="s">
        <v>554</v>
      </c>
      <c r="N79" s="321"/>
      <c r="O79" s="216" t="str">
        <f t="shared" ca="1" si="3"/>
        <v>LIMBO</v>
      </c>
      <c r="P79" s="216"/>
      <c r="Q79" s="216" t="s">
        <v>709</v>
      </c>
      <c r="R79" s="216"/>
      <c r="S79" s="216"/>
      <c r="T79" s="317"/>
      <c r="U79" s="317"/>
      <c r="V79" s="321"/>
      <c r="W79" s="321"/>
      <c r="X79" s="321"/>
      <c r="Y79" s="321"/>
      <c r="Z79" s="321"/>
      <c r="AA79" s="321"/>
      <c r="AB79" s="321"/>
      <c r="AC79" s="321"/>
      <c r="AD79" s="321"/>
      <c r="AE79" s="321"/>
      <c r="AF79" s="379">
        <f t="shared" si="4"/>
        <v>7</v>
      </c>
      <c r="AG79" s="321"/>
      <c r="AH79" s="321"/>
      <c r="AI79" s="321" t="s">
        <v>2251</v>
      </c>
      <c r="AJ79" s="413"/>
      <c r="AK79" s="244" t="s">
        <v>2836</v>
      </c>
    </row>
    <row r="80" spans="1:37" ht="39.950000000000003" customHeight="1">
      <c r="A80" s="321">
        <v>75</v>
      </c>
      <c r="B80" s="319">
        <v>45230</v>
      </c>
      <c r="C80" s="322">
        <v>0.54166666666666663</v>
      </c>
      <c r="D80" s="216" t="s">
        <v>2314</v>
      </c>
      <c r="E80" s="334" t="s">
        <v>2315</v>
      </c>
      <c r="F80" s="321">
        <v>2</v>
      </c>
      <c r="G80" s="321" t="s">
        <v>1839</v>
      </c>
      <c r="H80" s="319"/>
      <c r="I80" s="319"/>
      <c r="J80" s="319"/>
      <c r="K80" s="321" t="str">
        <f>IFERROR(VLOOKUP(J80,Jueces!$A$1:$B$11,2,FALSE),"")</f>
        <v/>
      </c>
      <c r="L80" s="216" t="s">
        <v>583</v>
      </c>
      <c r="M80" s="216" t="s">
        <v>510</v>
      </c>
      <c r="N80" s="321"/>
      <c r="O80" s="216" t="str">
        <f t="shared" ca="1" si="3"/>
        <v>LIMBO</v>
      </c>
      <c r="P80" s="216"/>
      <c r="Q80" s="216" t="s">
        <v>709</v>
      </c>
      <c r="R80" s="216"/>
      <c r="S80" s="216"/>
      <c r="T80" s="317"/>
      <c r="U80" s="317"/>
      <c r="V80" s="321"/>
      <c r="W80" s="321"/>
      <c r="X80" s="321"/>
      <c r="Y80" s="321"/>
      <c r="Z80" s="321"/>
      <c r="AA80" s="321"/>
      <c r="AB80" s="321"/>
      <c r="AC80" s="321"/>
      <c r="AD80" s="321"/>
      <c r="AE80" s="321"/>
      <c r="AF80" s="379">
        <f t="shared" si="4"/>
        <v>7</v>
      </c>
      <c r="AG80" s="321"/>
      <c r="AH80" s="321"/>
      <c r="AI80" s="321" t="s">
        <v>2251</v>
      </c>
      <c r="AJ80" s="414"/>
      <c r="AK80" s="244" t="s">
        <v>2836</v>
      </c>
    </row>
    <row r="81" spans="1:37" ht="39.950000000000003" customHeight="1">
      <c r="A81" s="321">
        <v>76</v>
      </c>
      <c r="B81" s="319">
        <v>45230</v>
      </c>
      <c r="C81" s="322">
        <v>0.54166666666666663</v>
      </c>
      <c r="D81" s="216" t="s">
        <v>2318</v>
      </c>
      <c r="E81" s="335" t="s">
        <v>2325</v>
      </c>
      <c r="F81" s="321">
        <v>2</v>
      </c>
      <c r="G81" s="321" t="s">
        <v>1839</v>
      </c>
      <c r="H81" s="319"/>
      <c r="I81" s="319"/>
      <c r="J81" s="319"/>
      <c r="K81" s="321" t="str">
        <f>IFERROR(VLOOKUP(J81,Jueces!$A$1:$B$11,2,FALSE),"")</f>
        <v/>
      </c>
      <c r="L81" s="216" t="s">
        <v>574</v>
      </c>
      <c r="M81" s="216" t="s">
        <v>2320</v>
      </c>
      <c r="N81" s="216" t="s">
        <v>2326</v>
      </c>
      <c r="O81" s="216" t="str">
        <f t="shared" ca="1" si="3"/>
        <v>LIMBO</v>
      </c>
      <c r="P81" s="216"/>
      <c r="Q81" s="216" t="s">
        <v>709</v>
      </c>
      <c r="R81" s="216"/>
      <c r="S81" s="216"/>
      <c r="T81" s="317"/>
      <c r="U81" s="317"/>
      <c r="V81" s="321"/>
      <c r="W81" s="321"/>
      <c r="X81" s="321"/>
      <c r="Y81" s="321"/>
      <c r="Z81" s="321"/>
      <c r="AA81" s="321"/>
      <c r="AB81" s="321"/>
      <c r="AC81" s="321"/>
      <c r="AD81" s="321"/>
      <c r="AE81" s="321"/>
      <c r="AF81" s="379">
        <f t="shared" si="4"/>
        <v>7</v>
      </c>
      <c r="AG81" s="321"/>
      <c r="AH81" s="321"/>
      <c r="AI81" s="321" t="s">
        <v>2161</v>
      </c>
      <c r="AJ81" s="415"/>
      <c r="AK81" s="244" t="s">
        <v>2161</v>
      </c>
    </row>
    <row r="82" spans="1:37" ht="39.950000000000003" customHeight="1">
      <c r="A82" s="321">
        <v>77</v>
      </c>
      <c r="B82" s="319">
        <v>45230</v>
      </c>
      <c r="C82" s="322">
        <v>0.45833333333333331</v>
      </c>
      <c r="D82" s="216" t="s">
        <v>2055</v>
      </c>
      <c r="E82" s="335" t="s">
        <v>2323</v>
      </c>
      <c r="F82" s="321">
        <v>2</v>
      </c>
      <c r="G82" s="321" t="s">
        <v>32</v>
      </c>
      <c r="H82" s="319"/>
      <c r="I82" s="319"/>
      <c r="J82" s="319"/>
      <c r="K82" s="321" t="str">
        <f>IFERROR(VLOOKUP(J82,Jueces!$A$1:$B$11,2,FALSE),"")</f>
        <v/>
      </c>
      <c r="L82" s="216" t="s">
        <v>1386</v>
      </c>
      <c r="M82" s="216" t="s">
        <v>2321</v>
      </c>
      <c r="N82" s="216" t="s">
        <v>2324</v>
      </c>
      <c r="O82" s="216" t="str">
        <f t="shared" ca="1" si="3"/>
        <v>LIMBO</v>
      </c>
      <c r="P82" s="216"/>
      <c r="Q82" s="216" t="s">
        <v>709</v>
      </c>
      <c r="R82" s="216"/>
      <c r="S82" s="216"/>
      <c r="T82" s="317"/>
      <c r="U82" s="317"/>
      <c r="V82" s="321"/>
      <c r="W82" s="321"/>
      <c r="X82" s="321"/>
      <c r="Y82" s="321"/>
      <c r="Z82" s="321"/>
      <c r="AA82" s="321"/>
      <c r="AB82" s="321"/>
      <c r="AC82" s="321"/>
      <c r="AD82" s="321"/>
      <c r="AE82" s="321"/>
      <c r="AF82" s="379">
        <f t="shared" si="4"/>
        <v>7</v>
      </c>
      <c r="AG82" s="321"/>
      <c r="AH82" s="321"/>
      <c r="AI82" s="321" t="s">
        <v>2161</v>
      </c>
      <c r="AJ82" s="415"/>
      <c r="AK82" s="244" t="s">
        <v>2161</v>
      </c>
    </row>
    <row r="83" spans="1:37" ht="39.950000000000003" customHeight="1">
      <c r="A83" s="321">
        <v>78</v>
      </c>
      <c r="B83" s="319">
        <v>45231</v>
      </c>
      <c r="C83" s="322">
        <v>0.33333333333333331</v>
      </c>
      <c r="D83" s="216" t="s">
        <v>2332</v>
      </c>
      <c r="E83" s="334" t="s">
        <v>2333</v>
      </c>
      <c r="F83" s="321">
        <v>2</v>
      </c>
      <c r="G83" s="321" t="s">
        <v>1839</v>
      </c>
      <c r="H83" s="319"/>
      <c r="I83" s="319"/>
      <c r="J83" s="319"/>
      <c r="K83" s="321" t="str">
        <f>IFERROR(VLOOKUP(J83,Jueces!$A$1:$B$11,2,FALSE),"")</f>
        <v/>
      </c>
      <c r="L83" s="216" t="s">
        <v>1386</v>
      </c>
      <c r="M83" s="216" t="s">
        <v>538</v>
      </c>
      <c r="N83" s="321"/>
      <c r="O83" s="216" t="str">
        <f t="shared" ca="1" si="3"/>
        <v>LIMBO</v>
      </c>
      <c r="P83" s="216"/>
      <c r="Q83" s="216" t="s">
        <v>709</v>
      </c>
      <c r="R83" s="216"/>
      <c r="S83" s="216"/>
      <c r="T83" s="317"/>
      <c r="U83" s="317"/>
      <c r="V83" s="321"/>
      <c r="W83" s="321"/>
      <c r="X83" s="321"/>
      <c r="Y83" s="321"/>
      <c r="Z83" s="321"/>
      <c r="AA83" s="321"/>
      <c r="AB83" s="321"/>
      <c r="AC83" s="321"/>
      <c r="AD83" s="321"/>
      <c r="AE83" s="321"/>
      <c r="AF83" s="379">
        <f t="shared" si="4"/>
        <v>7</v>
      </c>
      <c r="AG83" s="321"/>
      <c r="AH83" s="321"/>
      <c r="AI83" s="321" t="s">
        <v>2251</v>
      </c>
      <c r="AJ83" s="415"/>
      <c r="AK83" s="244" t="s">
        <v>2836</v>
      </c>
    </row>
    <row r="84" spans="1:37" ht="39.950000000000003" customHeight="1">
      <c r="A84" s="321">
        <v>79</v>
      </c>
      <c r="B84" s="319">
        <v>45231</v>
      </c>
      <c r="C84" s="322">
        <v>0.33333333333333331</v>
      </c>
      <c r="D84" s="216" t="s">
        <v>2334</v>
      </c>
      <c r="E84" s="334" t="s">
        <v>2335</v>
      </c>
      <c r="F84" s="321">
        <v>2</v>
      </c>
      <c r="G84" s="321" t="s">
        <v>1839</v>
      </c>
      <c r="H84" s="319"/>
      <c r="I84" s="319"/>
      <c r="J84" s="319"/>
      <c r="K84" s="321" t="str">
        <f>IFERROR(VLOOKUP(J84,Jueces!$A$1:$B$11,2,FALSE),"")</f>
        <v/>
      </c>
      <c r="L84" s="216" t="s">
        <v>588</v>
      </c>
      <c r="M84" s="216" t="s">
        <v>2393</v>
      </c>
      <c r="N84" s="321"/>
      <c r="O84" s="216" t="str">
        <f t="shared" ca="1" si="3"/>
        <v>LIMBO</v>
      </c>
      <c r="P84" s="216"/>
      <c r="Q84" s="216" t="s">
        <v>709</v>
      </c>
      <c r="R84" s="216"/>
      <c r="S84" s="216"/>
      <c r="T84" s="317"/>
      <c r="U84" s="317"/>
      <c r="V84" s="321"/>
      <c r="W84" s="321"/>
      <c r="X84" s="321"/>
      <c r="Y84" s="321"/>
      <c r="Z84" s="321"/>
      <c r="AA84" s="321"/>
      <c r="AB84" s="321"/>
      <c r="AC84" s="321"/>
      <c r="AD84" s="321"/>
      <c r="AE84" s="321"/>
      <c r="AF84" s="379">
        <f t="shared" si="4"/>
        <v>7</v>
      </c>
      <c r="AG84" s="321"/>
      <c r="AH84" s="321"/>
      <c r="AI84" s="321" t="s">
        <v>2251</v>
      </c>
      <c r="AJ84" s="415"/>
      <c r="AK84" s="244" t="s">
        <v>2836</v>
      </c>
    </row>
    <row r="85" spans="1:37" ht="39.950000000000003" customHeight="1">
      <c r="A85" s="354">
        <v>80</v>
      </c>
      <c r="B85" s="355">
        <v>45231</v>
      </c>
      <c r="C85" s="356">
        <v>0.42777777777777781</v>
      </c>
      <c r="D85" s="152" t="s">
        <v>2336</v>
      </c>
      <c r="E85" s="357" t="s">
        <v>2337</v>
      </c>
      <c r="F85" s="354">
        <v>6</v>
      </c>
      <c r="G85" s="354"/>
      <c r="H85" s="355"/>
      <c r="I85" s="355"/>
      <c r="J85" s="355"/>
      <c r="K85" s="354" t="str">
        <f>IFERROR(VLOOKUP(J85,Jueces!$A$1:$B$11,2,FALSE),"")</f>
        <v/>
      </c>
      <c r="L85" s="152" t="s">
        <v>585</v>
      </c>
      <c r="M85" s="152"/>
      <c r="N85" s="354"/>
      <c r="O85" s="152" t="str">
        <f t="shared" ca="1" si="3"/>
        <v>LIMBO</v>
      </c>
      <c r="P85" s="152"/>
      <c r="Q85" s="152" t="s">
        <v>709</v>
      </c>
      <c r="R85" s="152"/>
      <c r="S85" s="152"/>
      <c r="T85" s="358"/>
      <c r="U85" s="358"/>
      <c r="V85" s="354"/>
      <c r="W85" s="354"/>
      <c r="X85" s="354"/>
      <c r="Y85" s="354"/>
      <c r="Z85" s="354"/>
      <c r="AA85" s="354"/>
      <c r="AB85" s="354"/>
      <c r="AC85" s="354"/>
      <c r="AD85" s="354"/>
      <c r="AE85" s="354"/>
      <c r="AF85" s="379">
        <f t="shared" si="4"/>
        <v>7</v>
      </c>
      <c r="AG85" s="354"/>
      <c r="AH85" s="354"/>
      <c r="AI85" s="354" t="s">
        <v>2251</v>
      </c>
      <c r="AJ85" s="416"/>
      <c r="AK85" s="244" t="s">
        <v>2836</v>
      </c>
    </row>
    <row r="86" spans="1:37" ht="39.950000000000003" customHeight="1">
      <c r="A86" s="354">
        <v>81</v>
      </c>
      <c r="B86" s="355">
        <v>45231</v>
      </c>
      <c r="C86" s="356">
        <v>0.43472222222222223</v>
      </c>
      <c r="D86" s="152" t="s">
        <v>2338</v>
      </c>
      <c r="E86" s="357" t="s">
        <v>2339</v>
      </c>
      <c r="F86" s="354">
        <v>6</v>
      </c>
      <c r="G86" s="354"/>
      <c r="H86" s="355"/>
      <c r="I86" s="355"/>
      <c r="J86" s="355"/>
      <c r="K86" s="354" t="str">
        <f>IFERROR(VLOOKUP(J86,Jueces!$A$1:$B$11,2,FALSE),"")</f>
        <v/>
      </c>
      <c r="L86" s="152" t="s">
        <v>576</v>
      </c>
      <c r="M86" s="152"/>
      <c r="N86" s="354"/>
      <c r="O86" s="152" t="str">
        <f t="shared" ca="1" si="3"/>
        <v>LIMBO</v>
      </c>
      <c r="P86" s="152"/>
      <c r="Q86" s="152" t="s">
        <v>709</v>
      </c>
      <c r="R86" s="152"/>
      <c r="S86" s="152"/>
      <c r="T86" s="358"/>
      <c r="U86" s="358"/>
      <c r="V86" s="354"/>
      <c r="W86" s="354"/>
      <c r="X86" s="354"/>
      <c r="Y86" s="354"/>
      <c r="Z86" s="354"/>
      <c r="AA86" s="354"/>
      <c r="AB86" s="354"/>
      <c r="AC86" s="354"/>
      <c r="AD86" s="354"/>
      <c r="AE86" s="354"/>
      <c r="AF86" s="379">
        <f t="shared" si="4"/>
        <v>7</v>
      </c>
      <c r="AG86" s="354"/>
      <c r="AH86" s="354"/>
      <c r="AI86" s="354" t="s">
        <v>2251</v>
      </c>
      <c r="AJ86" s="416"/>
      <c r="AK86" s="244" t="s">
        <v>2836</v>
      </c>
    </row>
    <row r="87" spans="1:37" ht="39.950000000000003" customHeight="1">
      <c r="A87" s="354">
        <v>82</v>
      </c>
      <c r="B87" s="355">
        <v>45231</v>
      </c>
      <c r="C87" s="356">
        <v>0.43055555555555558</v>
      </c>
      <c r="D87" s="152" t="s">
        <v>2340</v>
      </c>
      <c r="E87" s="357" t="s">
        <v>2341</v>
      </c>
      <c r="F87" s="354">
        <v>6</v>
      </c>
      <c r="G87" s="354"/>
      <c r="H87" s="355"/>
      <c r="I87" s="355"/>
      <c r="J87" s="355"/>
      <c r="K87" s="354" t="str">
        <f>IFERROR(VLOOKUP(J87,Jueces!$A$1:$B$11,2,FALSE),"")</f>
        <v/>
      </c>
      <c r="L87" s="152" t="s">
        <v>586</v>
      </c>
      <c r="M87" s="152"/>
      <c r="N87" s="354"/>
      <c r="O87" s="152" t="str">
        <f t="shared" ca="1" si="3"/>
        <v>LIMBO</v>
      </c>
      <c r="P87" s="152"/>
      <c r="Q87" s="152" t="s">
        <v>709</v>
      </c>
      <c r="R87" s="152"/>
      <c r="S87" s="152"/>
      <c r="T87" s="358"/>
      <c r="U87" s="358"/>
      <c r="V87" s="354"/>
      <c r="W87" s="354"/>
      <c r="X87" s="354"/>
      <c r="Y87" s="354"/>
      <c r="Z87" s="354"/>
      <c r="AA87" s="354"/>
      <c r="AB87" s="354"/>
      <c r="AC87" s="354"/>
      <c r="AD87" s="354"/>
      <c r="AE87" s="354"/>
      <c r="AF87" s="379">
        <f t="shared" si="4"/>
        <v>7</v>
      </c>
      <c r="AG87" s="354"/>
      <c r="AH87" s="354"/>
      <c r="AI87" s="354" t="s">
        <v>2251</v>
      </c>
      <c r="AJ87" s="416"/>
      <c r="AK87" s="244" t="s">
        <v>2836</v>
      </c>
    </row>
    <row r="88" spans="1:37" ht="39.950000000000003" customHeight="1">
      <c r="A88" s="354">
        <v>83</v>
      </c>
      <c r="B88" s="355">
        <v>45231</v>
      </c>
      <c r="C88" s="356">
        <v>0.4381944444444445</v>
      </c>
      <c r="D88" s="152" t="s">
        <v>2342</v>
      </c>
      <c r="E88" s="357" t="s">
        <v>2343</v>
      </c>
      <c r="F88" s="354">
        <v>6</v>
      </c>
      <c r="G88" s="354"/>
      <c r="H88" s="355"/>
      <c r="I88" s="355"/>
      <c r="J88" s="355"/>
      <c r="K88" s="354" t="str">
        <f>IFERROR(VLOOKUP(J88,Jueces!$A$1:$B$11,2,FALSE),"")</f>
        <v/>
      </c>
      <c r="L88" s="152" t="s">
        <v>573</v>
      </c>
      <c r="M88" s="152"/>
      <c r="N88" s="354"/>
      <c r="O88" s="152" t="str">
        <f t="shared" ca="1" si="3"/>
        <v>LIMBO</v>
      </c>
      <c r="P88" s="152"/>
      <c r="Q88" s="152" t="s">
        <v>709</v>
      </c>
      <c r="R88" s="152"/>
      <c r="S88" s="152"/>
      <c r="T88" s="358"/>
      <c r="U88" s="358"/>
      <c r="V88" s="354"/>
      <c r="W88" s="354"/>
      <c r="X88" s="354"/>
      <c r="Y88" s="354"/>
      <c r="Z88" s="354"/>
      <c r="AA88" s="354"/>
      <c r="AB88" s="354"/>
      <c r="AC88" s="354"/>
      <c r="AD88" s="354"/>
      <c r="AE88" s="354"/>
      <c r="AF88" s="379">
        <f t="shared" si="4"/>
        <v>7</v>
      </c>
      <c r="AG88" s="354"/>
      <c r="AH88" s="354"/>
      <c r="AI88" s="354" t="s">
        <v>2251</v>
      </c>
      <c r="AJ88" s="416"/>
      <c r="AK88" s="244" t="s">
        <v>2836</v>
      </c>
    </row>
    <row r="89" spans="1:37" ht="39.950000000000003" customHeight="1">
      <c r="A89" s="354">
        <v>84</v>
      </c>
      <c r="B89" s="355">
        <v>45231</v>
      </c>
      <c r="C89" s="356">
        <v>0.44236111111111115</v>
      </c>
      <c r="D89" s="152" t="s">
        <v>2344</v>
      </c>
      <c r="E89" s="357" t="s">
        <v>2345</v>
      </c>
      <c r="F89" s="354">
        <v>6</v>
      </c>
      <c r="G89" s="354"/>
      <c r="H89" s="355"/>
      <c r="I89" s="355"/>
      <c r="J89" s="355"/>
      <c r="K89" s="354" t="str">
        <f>IFERROR(VLOOKUP(J89,Jueces!$A$1:$B$11,2,FALSE),"")</f>
        <v/>
      </c>
      <c r="L89" s="152" t="s">
        <v>1386</v>
      </c>
      <c r="M89" s="152"/>
      <c r="N89" s="354"/>
      <c r="O89" s="152" t="str">
        <f t="shared" ca="1" si="3"/>
        <v>LIMBO</v>
      </c>
      <c r="P89" s="152"/>
      <c r="Q89" s="152" t="s">
        <v>709</v>
      </c>
      <c r="R89" s="152"/>
      <c r="S89" s="152"/>
      <c r="T89" s="358"/>
      <c r="U89" s="358"/>
      <c r="V89" s="354"/>
      <c r="W89" s="354"/>
      <c r="X89" s="354"/>
      <c r="Y89" s="354"/>
      <c r="Z89" s="354"/>
      <c r="AA89" s="354"/>
      <c r="AB89" s="354"/>
      <c r="AC89" s="354"/>
      <c r="AD89" s="354"/>
      <c r="AE89" s="354"/>
      <c r="AF89" s="379">
        <f t="shared" si="4"/>
        <v>7</v>
      </c>
      <c r="AG89" s="354"/>
      <c r="AH89" s="354"/>
      <c r="AI89" s="354" t="s">
        <v>2251</v>
      </c>
      <c r="AJ89" s="416"/>
      <c r="AK89" s="244" t="s">
        <v>2836</v>
      </c>
    </row>
    <row r="90" spans="1:37" ht="39.950000000000003" customHeight="1">
      <c r="A90" s="354">
        <v>85</v>
      </c>
      <c r="B90" s="355">
        <v>45231</v>
      </c>
      <c r="C90" s="356">
        <v>0.46736111111111112</v>
      </c>
      <c r="D90" s="152" t="s">
        <v>2346</v>
      </c>
      <c r="E90" s="357" t="s">
        <v>2347</v>
      </c>
      <c r="F90" s="354">
        <v>7</v>
      </c>
      <c r="G90" s="354"/>
      <c r="H90" s="355"/>
      <c r="I90" s="355"/>
      <c r="J90" s="355"/>
      <c r="K90" s="354" t="str">
        <f>IFERROR(VLOOKUP(J90,Jueces!$A$1:$B$11,2,FALSE),"")</f>
        <v/>
      </c>
      <c r="L90" s="152" t="s">
        <v>610</v>
      </c>
      <c r="M90" s="152"/>
      <c r="N90" s="354"/>
      <c r="O90" s="152" t="str">
        <f t="shared" ca="1" si="3"/>
        <v>LIMBO</v>
      </c>
      <c r="P90" s="152"/>
      <c r="Q90" s="152" t="s">
        <v>709</v>
      </c>
      <c r="R90" s="152"/>
      <c r="S90" s="152"/>
      <c r="T90" s="358"/>
      <c r="U90" s="358"/>
      <c r="V90" s="354"/>
      <c r="W90" s="354"/>
      <c r="X90" s="354"/>
      <c r="Y90" s="354"/>
      <c r="Z90" s="354"/>
      <c r="AA90" s="354"/>
      <c r="AB90" s="354"/>
      <c r="AC90" s="354"/>
      <c r="AD90" s="354"/>
      <c r="AE90" s="354"/>
      <c r="AF90" s="379">
        <f t="shared" si="4"/>
        <v>7</v>
      </c>
      <c r="AG90" s="354"/>
      <c r="AH90" s="354"/>
      <c r="AI90" s="354" t="s">
        <v>2251</v>
      </c>
      <c r="AJ90" s="416"/>
      <c r="AK90" s="244" t="s">
        <v>2836</v>
      </c>
    </row>
    <row r="91" spans="1:37" ht="39.950000000000003" customHeight="1">
      <c r="A91" s="354">
        <v>86</v>
      </c>
      <c r="B91" s="355">
        <v>45231</v>
      </c>
      <c r="C91" s="356">
        <v>0.48680555555555555</v>
      </c>
      <c r="D91" s="152" t="s">
        <v>2348</v>
      </c>
      <c r="E91" s="357" t="s">
        <v>2349</v>
      </c>
      <c r="F91" s="354">
        <v>3</v>
      </c>
      <c r="G91" s="354"/>
      <c r="H91" s="355"/>
      <c r="I91" s="355"/>
      <c r="J91" s="355"/>
      <c r="K91" s="354" t="str">
        <f>IFERROR(VLOOKUP(J91,Jueces!$A$1:$B$11,2,FALSE),"")</f>
        <v/>
      </c>
      <c r="L91" s="152" t="s">
        <v>585</v>
      </c>
      <c r="M91" s="152"/>
      <c r="N91" s="354"/>
      <c r="O91" s="152" t="str">
        <f t="shared" ca="1" si="3"/>
        <v>LIMBO</v>
      </c>
      <c r="P91" s="152"/>
      <c r="Q91" s="152" t="s">
        <v>709</v>
      </c>
      <c r="R91" s="152"/>
      <c r="S91" s="152"/>
      <c r="T91" s="358"/>
      <c r="U91" s="358"/>
      <c r="V91" s="354"/>
      <c r="W91" s="354"/>
      <c r="X91" s="354"/>
      <c r="Y91" s="354"/>
      <c r="Z91" s="354"/>
      <c r="AA91" s="354"/>
      <c r="AB91" s="354"/>
      <c r="AC91" s="354"/>
      <c r="AD91" s="354"/>
      <c r="AE91" s="354"/>
      <c r="AF91" s="379">
        <f t="shared" si="4"/>
        <v>7</v>
      </c>
      <c r="AG91" s="354"/>
      <c r="AH91" s="354"/>
      <c r="AI91" s="354" t="s">
        <v>2251</v>
      </c>
      <c r="AJ91" s="416"/>
      <c r="AK91" s="244" t="s">
        <v>2836</v>
      </c>
    </row>
    <row r="92" spans="1:37" ht="39.950000000000003" customHeight="1">
      <c r="A92" s="354">
        <v>87</v>
      </c>
      <c r="B92" s="355">
        <v>45231</v>
      </c>
      <c r="C92" s="356">
        <v>0.49791666666666662</v>
      </c>
      <c r="D92" s="152" t="s">
        <v>2350</v>
      </c>
      <c r="E92" s="357" t="s">
        <v>2351</v>
      </c>
      <c r="F92" s="354">
        <v>6</v>
      </c>
      <c r="G92" s="354"/>
      <c r="H92" s="355"/>
      <c r="I92" s="355"/>
      <c r="J92" s="355"/>
      <c r="K92" s="354" t="str">
        <f>IFERROR(VLOOKUP(J92,Jueces!$A$1:$B$11,2,FALSE),"")</f>
        <v/>
      </c>
      <c r="L92" s="152" t="s">
        <v>599</v>
      </c>
      <c r="M92" s="152"/>
      <c r="N92" s="354"/>
      <c r="O92" s="152" t="str">
        <f t="shared" ca="1" si="3"/>
        <v>LIMBO</v>
      </c>
      <c r="P92" s="152"/>
      <c r="Q92" s="152" t="s">
        <v>709</v>
      </c>
      <c r="R92" s="152"/>
      <c r="S92" s="152"/>
      <c r="T92" s="358"/>
      <c r="U92" s="358"/>
      <c r="V92" s="354"/>
      <c r="W92" s="354"/>
      <c r="X92" s="354"/>
      <c r="Y92" s="354"/>
      <c r="Z92" s="354"/>
      <c r="AA92" s="354"/>
      <c r="AB92" s="354"/>
      <c r="AC92" s="354"/>
      <c r="AD92" s="354"/>
      <c r="AE92" s="354"/>
      <c r="AF92" s="379">
        <f t="shared" si="4"/>
        <v>7</v>
      </c>
      <c r="AG92" s="354"/>
      <c r="AH92" s="354"/>
      <c r="AI92" s="354" t="s">
        <v>2251</v>
      </c>
      <c r="AJ92" s="416"/>
      <c r="AK92" s="244" t="s">
        <v>2836</v>
      </c>
    </row>
    <row r="93" spans="1:37" ht="39.950000000000003" customHeight="1">
      <c r="A93" s="354">
        <v>88</v>
      </c>
      <c r="B93" s="355">
        <v>45231</v>
      </c>
      <c r="C93" s="356">
        <v>0.4916666666666667</v>
      </c>
      <c r="D93" s="152" t="s">
        <v>2352</v>
      </c>
      <c r="E93" s="357" t="s">
        <v>2353</v>
      </c>
      <c r="F93" s="354">
        <v>3</v>
      </c>
      <c r="G93" s="354"/>
      <c r="H93" s="355"/>
      <c r="I93" s="355"/>
      <c r="J93" s="355"/>
      <c r="K93" s="354" t="str">
        <f>IFERROR(VLOOKUP(J93,Jueces!$A$1:$B$11,2,FALSE),"")</f>
        <v/>
      </c>
      <c r="L93" s="152" t="s">
        <v>583</v>
      </c>
      <c r="M93" s="152"/>
      <c r="N93" s="354"/>
      <c r="O93" s="152" t="str">
        <f t="shared" ca="1" si="3"/>
        <v>LIMBO</v>
      </c>
      <c r="P93" s="152"/>
      <c r="Q93" s="152" t="s">
        <v>709</v>
      </c>
      <c r="R93" s="152"/>
      <c r="S93" s="152"/>
      <c r="T93" s="358"/>
      <c r="U93" s="358"/>
      <c r="V93" s="354"/>
      <c r="W93" s="354"/>
      <c r="X93" s="354"/>
      <c r="Y93" s="354"/>
      <c r="Z93" s="354"/>
      <c r="AA93" s="354"/>
      <c r="AB93" s="354"/>
      <c r="AC93" s="354"/>
      <c r="AD93" s="354"/>
      <c r="AE93" s="354"/>
      <c r="AF93" s="379">
        <f t="shared" si="4"/>
        <v>7</v>
      </c>
      <c r="AG93" s="354"/>
      <c r="AH93" s="354"/>
      <c r="AI93" s="354" t="s">
        <v>2251</v>
      </c>
      <c r="AJ93" s="416"/>
      <c r="AK93" s="244" t="s">
        <v>2836</v>
      </c>
    </row>
    <row r="94" spans="1:37" ht="39.950000000000003" customHeight="1">
      <c r="A94" s="321">
        <v>89</v>
      </c>
      <c r="B94" s="319">
        <v>45232</v>
      </c>
      <c r="C94" s="322">
        <v>0.33333333333333331</v>
      </c>
      <c r="D94" s="216" t="s">
        <v>2388</v>
      </c>
      <c r="E94" s="334" t="s">
        <v>2354</v>
      </c>
      <c r="F94" s="321">
        <v>4</v>
      </c>
      <c r="G94" s="321"/>
      <c r="H94" s="319"/>
      <c r="I94" s="319"/>
      <c r="J94" s="319"/>
      <c r="K94" s="321" t="str">
        <f>IFERROR(VLOOKUP(J94,Jueces!$A$1:$B$11,2,FALSE),"")</f>
        <v/>
      </c>
      <c r="L94" s="216" t="s">
        <v>585</v>
      </c>
      <c r="M94" s="216"/>
      <c r="N94" s="321"/>
      <c r="O94" s="216" t="str">
        <f t="shared" ca="1" si="3"/>
        <v>LIMBO</v>
      </c>
      <c r="P94" s="216"/>
      <c r="Q94" s="216" t="s">
        <v>709</v>
      </c>
      <c r="R94" s="216"/>
      <c r="S94" s="216"/>
      <c r="T94" s="317"/>
      <c r="U94" s="317"/>
      <c r="V94" s="321"/>
      <c r="W94" s="321"/>
      <c r="X94" s="321"/>
      <c r="Y94" s="321"/>
      <c r="Z94" s="321"/>
      <c r="AA94" s="321"/>
      <c r="AB94" s="321"/>
      <c r="AC94" s="321"/>
      <c r="AD94" s="321"/>
      <c r="AE94" s="321"/>
      <c r="AF94" s="379">
        <f t="shared" si="4"/>
        <v>7</v>
      </c>
      <c r="AG94" s="321"/>
      <c r="AH94" s="321"/>
      <c r="AI94" s="321" t="s">
        <v>2251</v>
      </c>
      <c r="AJ94" s="415"/>
      <c r="AK94" s="244" t="s">
        <v>2836</v>
      </c>
    </row>
    <row r="95" spans="1:37" ht="39.950000000000003" customHeight="1">
      <c r="A95" s="321">
        <v>90</v>
      </c>
      <c r="B95" s="319">
        <v>45232</v>
      </c>
      <c r="C95" s="322">
        <v>0.33611111111111108</v>
      </c>
      <c r="D95" s="216" t="s">
        <v>2355</v>
      </c>
      <c r="E95" s="334" t="s">
        <v>2356</v>
      </c>
      <c r="F95" s="321">
        <v>4</v>
      </c>
      <c r="G95" s="321"/>
      <c r="H95" s="319"/>
      <c r="I95" s="319"/>
      <c r="J95" s="319"/>
      <c r="K95" s="321" t="str">
        <f>IFERROR(VLOOKUP(J95,Jueces!$A$1:$B$11,2,FALSE),"")</f>
        <v/>
      </c>
      <c r="L95" s="216" t="s">
        <v>781</v>
      </c>
      <c r="M95" s="216"/>
      <c r="N95" s="321"/>
      <c r="O95" s="216" t="str">
        <f t="shared" ca="1" si="3"/>
        <v>LIMBO</v>
      </c>
      <c r="P95" s="216"/>
      <c r="Q95" s="216" t="s">
        <v>709</v>
      </c>
      <c r="R95" s="216"/>
      <c r="S95" s="216"/>
      <c r="T95" s="317"/>
      <c r="U95" s="317"/>
      <c r="V95" s="321"/>
      <c r="W95" s="321"/>
      <c r="X95" s="321"/>
      <c r="Y95" s="321"/>
      <c r="Z95" s="321"/>
      <c r="AA95" s="321"/>
      <c r="AB95" s="321"/>
      <c r="AC95" s="321"/>
      <c r="AD95" s="321"/>
      <c r="AE95" s="321"/>
      <c r="AF95" s="379">
        <f t="shared" si="4"/>
        <v>7</v>
      </c>
      <c r="AG95" s="321"/>
      <c r="AH95" s="321"/>
      <c r="AI95" s="321" t="s">
        <v>2251</v>
      </c>
      <c r="AJ95" s="415"/>
      <c r="AK95" s="244" t="s">
        <v>2836</v>
      </c>
    </row>
    <row r="96" spans="1:37" ht="39.950000000000003" customHeight="1">
      <c r="A96" s="321">
        <v>91</v>
      </c>
      <c r="B96" s="319">
        <v>45232</v>
      </c>
      <c r="C96" s="322">
        <v>0.33333333333333331</v>
      </c>
      <c r="D96" s="216" t="s">
        <v>2357</v>
      </c>
      <c r="E96" s="334" t="s">
        <v>2358</v>
      </c>
      <c r="F96" s="321">
        <v>4</v>
      </c>
      <c r="G96" s="321"/>
      <c r="H96" s="319"/>
      <c r="I96" s="319"/>
      <c r="J96" s="319"/>
      <c r="K96" s="321" t="str">
        <f>IFERROR(VLOOKUP(J96,Jueces!$A$1:$B$11,2,FALSE),"")</f>
        <v/>
      </c>
      <c r="L96" s="216" t="s">
        <v>592</v>
      </c>
      <c r="M96" s="216"/>
      <c r="N96" s="321"/>
      <c r="O96" s="216" t="str">
        <f t="shared" ca="1" si="3"/>
        <v>LIMBO</v>
      </c>
      <c r="P96" s="216"/>
      <c r="Q96" s="216" t="s">
        <v>709</v>
      </c>
      <c r="R96" s="216"/>
      <c r="S96" s="216"/>
      <c r="T96" s="317"/>
      <c r="U96" s="317"/>
      <c r="V96" s="321"/>
      <c r="W96" s="321"/>
      <c r="X96" s="321"/>
      <c r="Y96" s="321"/>
      <c r="Z96" s="321"/>
      <c r="AA96" s="321"/>
      <c r="AB96" s="321"/>
      <c r="AC96" s="321"/>
      <c r="AD96" s="321"/>
      <c r="AE96" s="321"/>
      <c r="AF96" s="379">
        <f t="shared" si="4"/>
        <v>7</v>
      </c>
      <c r="AG96" s="321"/>
      <c r="AH96" s="321"/>
      <c r="AI96" s="321" t="s">
        <v>2251</v>
      </c>
      <c r="AJ96" s="415"/>
      <c r="AK96" s="244" t="s">
        <v>2836</v>
      </c>
    </row>
    <row r="97" spans="1:37" ht="39.950000000000003" customHeight="1">
      <c r="A97" s="321">
        <v>92</v>
      </c>
      <c r="B97" s="319">
        <v>45232</v>
      </c>
      <c r="C97" s="322">
        <v>0.33333333333333331</v>
      </c>
      <c r="D97" s="216" t="s">
        <v>2363</v>
      </c>
      <c r="E97" s="334" t="s">
        <v>2359</v>
      </c>
      <c r="F97" s="321">
        <v>4</v>
      </c>
      <c r="G97" s="321"/>
      <c r="H97" s="319"/>
      <c r="I97" s="319"/>
      <c r="J97" s="319"/>
      <c r="K97" s="321" t="str">
        <f>IFERROR(VLOOKUP(J97,Jueces!$A$1:$B$11,2,FALSE),"")</f>
        <v/>
      </c>
      <c r="L97" s="216" t="s">
        <v>583</v>
      </c>
      <c r="M97" s="216"/>
      <c r="N97" s="321"/>
      <c r="O97" s="216" t="str">
        <f t="shared" ca="1" si="3"/>
        <v>LIMBO</v>
      </c>
      <c r="P97" s="216"/>
      <c r="Q97" s="216" t="s">
        <v>709</v>
      </c>
      <c r="R97" s="216"/>
      <c r="S97" s="216"/>
      <c r="T97" s="317"/>
      <c r="U97" s="317"/>
      <c r="V97" s="321"/>
      <c r="W97" s="321"/>
      <c r="X97" s="321"/>
      <c r="Y97" s="321"/>
      <c r="Z97" s="321"/>
      <c r="AA97" s="321"/>
      <c r="AB97" s="321"/>
      <c r="AC97" s="321"/>
      <c r="AD97" s="321"/>
      <c r="AE97" s="321"/>
      <c r="AF97" s="379">
        <f t="shared" si="4"/>
        <v>7</v>
      </c>
      <c r="AG97" s="321"/>
      <c r="AH97" s="321"/>
      <c r="AI97" s="321" t="s">
        <v>2251</v>
      </c>
      <c r="AJ97" s="415"/>
      <c r="AK97" s="244" t="s">
        <v>2836</v>
      </c>
    </row>
    <row r="98" spans="1:37" ht="39.950000000000003" customHeight="1">
      <c r="A98" s="321">
        <v>93</v>
      </c>
      <c r="B98" s="319">
        <v>45232</v>
      </c>
      <c r="C98" s="322">
        <v>0.33333333333333331</v>
      </c>
      <c r="D98" s="216" t="s">
        <v>2360</v>
      </c>
      <c r="E98" s="334" t="s">
        <v>2361</v>
      </c>
      <c r="F98" s="321">
        <v>4</v>
      </c>
      <c r="G98" s="321"/>
      <c r="H98" s="319"/>
      <c r="I98" s="319"/>
      <c r="J98" s="319"/>
      <c r="K98" s="321" t="str">
        <f>IFERROR(VLOOKUP(J98,Jueces!$A$1:$B$11,2,FALSE),"")</f>
        <v/>
      </c>
      <c r="L98" s="216" t="s">
        <v>1386</v>
      </c>
      <c r="M98" s="216"/>
      <c r="N98" s="321"/>
      <c r="O98" s="216" t="str">
        <f t="shared" ca="1" si="3"/>
        <v>LIMBO</v>
      </c>
      <c r="P98" s="216"/>
      <c r="Q98" s="216" t="s">
        <v>709</v>
      </c>
      <c r="R98" s="216"/>
      <c r="S98" s="216"/>
      <c r="T98" s="317"/>
      <c r="U98" s="317"/>
      <c r="V98" s="321"/>
      <c r="W98" s="321"/>
      <c r="X98" s="321"/>
      <c r="Y98" s="321"/>
      <c r="Z98" s="321"/>
      <c r="AA98" s="321"/>
      <c r="AB98" s="321"/>
      <c r="AC98" s="321"/>
      <c r="AD98" s="321"/>
      <c r="AE98" s="321"/>
      <c r="AF98" s="379">
        <f t="shared" si="4"/>
        <v>7</v>
      </c>
      <c r="AG98" s="321"/>
      <c r="AH98" s="321"/>
      <c r="AI98" s="321" t="s">
        <v>2251</v>
      </c>
      <c r="AJ98" s="415"/>
      <c r="AK98" s="244" t="s">
        <v>2836</v>
      </c>
    </row>
    <row r="99" spans="1:37" ht="39.950000000000003" customHeight="1">
      <c r="A99" s="321">
        <v>94</v>
      </c>
      <c r="B99" s="319">
        <v>45232</v>
      </c>
      <c r="C99" s="322">
        <v>0.33333333333333331</v>
      </c>
      <c r="D99" s="216" t="s">
        <v>2362</v>
      </c>
      <c r="E99" s="334" t="s">
        <v>2364</v>
      </c>
      <c r="F99" s="321">
        <v>4</v>
      </c>
      <c r="G99" s="321"/>
      <c r="H99" s="319"/>
      <c r="I99" s="319"/>
      <c r="J99" s="319"/>
      <c r="K99" s="321" t="str">
        <f>IFERROR(VLOOKUP(J99,Jueces!$A$1:$B$11,2,FALSE),"")</f>
        <v/>
      </c>
      <c r="L99" s="216" t="s">
        <v>576</v>
      </c>
      <c r="M99" s="216"/>
      <c r="N99" s="321"/>
      <c r="O99" s="216" t="str">
        <f t="shared" ca="1" si="3"/>
        <v>LIMBO</v>
      </c>
      <c r="P99" s="216"/>
      <c r="Q99" s="216" t="s">
        <v>709</v>
      </c>
      <c r="R99" s="216"/>
      <c r="S99" s="216"/>
      <c r="T99" s="317"/>
      <c r="U99" s="317"/>
      <c r="V99" s="321"/>
      <c r="W99" s="321"/>
      <c r="X99" s="321"/>
      <c r="Y99" s="321"/>
      <c r="Z99" s="321"/>
      <c r="AA99" s="321"/>
      <c r="AB99" s="321"/>
      <c r="AC99" s="321"/>
      <c r="AD99" s="321"/>
      <c r="AE99" s="321"/>
      <c r="AF99" s="379">
        <f t="shared" si="4"/>
        <v>7</v>
      </c>
      <c r="AG99" s="321"/>
      <c r="AH99" s="321"/>
      <c r="AI99" s="321" t="s">
        <v>2251</v>
      </c>
      <c r="AJ99" s="415"/>
      <c r="AK99" s="244" t="s">
        <v>2836</v>
      </c>
    </row>
    <row r="100" spans="1:37" ht="39.950000000000003" customHeight="1">
      <c r="A100" s="354">
        <v>95</v>
      </c>
      <c r="B100" s="355">
        <v>45232</v>
      </c>
      <c r="C100" s="356">
        <v>0.33333333333333331</v>
      </c>
      <c r="D100" s="152" t="s">
        <v>2366</v>
      </c>
      <c r="E100" s="357" t="s">
        <v>2365</v>
      </c>
      <c r="F100" s="354">
        <v>4</v>
      </c>
      <c r="G100" s="354"/>
      <c r="H100" s="355"/>
      <c r="I100" s="355"/>
      <c r="J100" s="355"/>
      <c r="K100" s="354" t="str">
        <f>IFERROR(VLOOKUP(J100,Jueces!$A$1:$B$11,2,FALSE),"")</f>
        <v/>
      </c>
      <c r="L100" s="152" t="s">
        <v>576</v>
      </c>
      <c r="M100" s="152"/>
      <c r="N100" s="354"/>
      <c r="O100" s="152" t="str">
        <f t="shared" ca="1" si="3"/>
        <v>LIMBO</v>
      </c>
      <c r="P100" s="152"/>
      <c r="Q100" s="152" t="s">
        <v>709</v>
      </c>
      <c r="R100" s="152"/>
      <c r="S100" s="152"/>
      <c r="T100" s="358"/>
      <c r="U100" s="358"/>
      <c r="V100" s="354"/>
      <c r="W100" s="354"/>
      <c r="X100" s="354"/>
      <c r="Y100" s="354"/>
      <c r="Z100" s="354"/>
      <c r="AA100" s="354"/>
      <c r="AB100" s="354"/>
      <c r="AC100" s="354"/>
      <c r="AD100" s="354"/>
      <c r="AE100" s="354"/>
      <c r="AF100" s="379">
        <f t="shared" si="4"/>
        <v>7</v>
      </c>
      <c r="AG100" s="354"/>
      <c r="AH100" s="354"/>
      <c r="AI100" s="354" t="s">
        <v>2251</v>
      </c>
      <c r="AJ100" s="416"/>
      <c r="AK100" s="244" t="s">
        <v>2836</v>
      </c>
    </row>
    <row r="101" spans="1:37" ht="39.950000000000003" customHeight="1">
      <c r="A101" s="321">
        <v>96</v>
      </c>
      <c r="B101" s="319">
        <v>45232</v>
      </c>
      <c r="C101" s="322">
        <v>0.33333333333333331</v>
      </c>
      <c r="D101" s="216" t="s">
        <v>2367</v>
      </c>
      <c r="E101" s="334" t="s">
        <v>2368</v>
      </c>
      <c r="F101" s="321">
        <v>4</v>
      </c>
      <c r="G101" s="321"/>
      <c r="H101" s="319"/>
      <c r="I101" s="319"/>
      <c r="J101" s="319"/>
      <c r="K101" s="321" t="str">
        <f>IFERROR(VLOOKUP(J101,Jueces!$A$1:$B$11,2,FALSE),"")</f>
        <v/>
      </c>
      <c r="L101" s="216" t="s">
        <v>1177</v>
      </c>
      <c r="M101" s="216"/>
      <c r="N101" s="321"/>
      <c r="O101" s="216" t="str">
        <f t="shared" ca="1" si="3"/>
        <v>LIMBO</v>
      </c>
      <c r="P101" s="216"/>
      <c r="Q101" s="216" t="s">
        <v>709</v>
      </c>
      <c r="R101" s="216"/>
      <c r="S101" s="216"/>
      <c r="T101" s="317"/>
      <c r="U101" s="317"/>
      <c r="V101" s="321"/>
      <c r="W101" s="321"/>
      <c r="X101" s="321"/>
      <c r="Y101" s="321"/>
      <c r="Z101" s="321"/>
      <c r="AA101" s="321"/>
      <c r="AB101" s="321"/>
      <c r="AC101" s="321"/>
      <c r="AD101" s="321"/>
      <c r="AE101" s="321"/>
      <c r="AF101" s="379">
        <f t="shared" si="4"/>
        <v>7</v>
      </c>
      <c r="AG101" s="321"/>
      <c r="AH101" s="321"/>
      <c r="AI101" s="321" t="s">
        <v>2251</v>
      </c>
      <c r="AJ101" s="415"/>
      <c r="AK101" s="244" t="s">
        <v>2836</v>
      </c>
    </row>
    <row r="102" spans="1:37" ht="39.950000000000003" customHeight="1">
      <c r="A102" s="321">
        <v>97</v>
      </c>
      <c r="B102" s="319">
        <v>45232</v>
      </c>
      <c r="C102" s="322">
        <v>0.33333333333333331</v>
      </c>
      <c r="D102" s="216" t="s">
        <v>2369</v>
      </c>
      <c r="E102" s="334" t="s">
        <v>2370</v>
      </c>
      <c r="F102" s="321">
        <v>4</v>
      </c>
      <c r="G102" s="321"/>
      <c r="H102" s="319"/>
      <c r="I102" s="319"/>
      <c r="J102" s="319"/>
      <c r="K102" s="321" t="str">
        <f>IFERROR(VLOOKUP(J102,Jueces!$A$1:$B$11,2,FALSE),"")</f>
        <v/>
      </c>
      <c r="L102" s="216" t="s">
        <v>574</v>
      </c>
      <c r="M102" s="216"/>
      <c r="N102" s="321"/>
      <c r="O102" s="216" t="str">
        <f t="shared" ca="1" si="3"/>
        <v>LIMBO</v>
      </c>
      <c r="P102" s="216"/>
      <c r="Q102" s="216" t="s">
        <v>709</v>
      </c>
      <c r="R102" s="216"/>
      <c r="S102" s="216"/>
      <c r="T102" s="317"/>
      <c r="U102" s="317"/>
      <c r="V102" s="321"/>
      <c r="W102" s="321"/>
      <c r="X102" s="321"/>
      <c r="Y102" s="321"/>
      <c r="Z102" s="321"/>
      <c r="AA102" s="321"/>
      <c r="AB102" s="321"/>
      <c r="AC102" s="321"/>
      <c r="AD102" s="321"/>
      <c r="AE102" s="321"/>
      <c r="AF102" s="379">
        <f t="shared" si="4"/>
        <v>7</v>
      </c>
      <c r="AG102" s="321"/>
      <c r="AH102" s="321"/>
      <c r="AI102" s="321" t="s">
        <v>2251</v>
      </c>
      <c r="AJ102" s="415"/>
      <c r="AK102" s="244" t="s">
        <v>2836</v>
      </c>
    </row>
    <row r="103" spans="1:37" ht="39.950000000000003" customHeight="1">
      <c r="A103" s="321">
        <v>98</v>
      </c>
      <c r="B103" s="319">
        <v>45232</v>
      </c>
      <c r="C103" s="322">
        <v>0.33333333333333331</v>
      </c>
      <c r="D103" s="216" t="s">
        <v>433</v>
      </c>
      <c r="E103" s="334" t="s">
        <v>2371</v>
      </c>
      <c r="F103" s="321">
        <v>4</v>
      </c>
      <c r="G103" s="321"/>
      <c r="H103" s="319"/>
      <c r="I103" s="319"/>
      <c r="J103" s="319"/>
      <c r="K103" s="321" t="str">
        <f>IFERROR(VLOOKUP(J103,Jueces!$A$1:$B$11,2,FALSE),"")</f>
        <v/>
      </c>
      <c r="L103" s="216" t="s">
        <v>1386</v>
      </c>
      <c r="M103" s="216"/>
      <c r="N103" s="321"/>
      <c r="O103" s="216" t="str">
        <f t="shared" ca="1" si="3"/>
        <v>LIMBO</v>
      </c>
      <c r="P103" s="216"/>
      <c r="Q103" s="216" t="s">
        <v>709</v>
      </c>
      <c r="R103" s="216"/>
      <c r="S103" s="216"/>
      <c r="T103" s="317"/>
      <c r="U103" s="317"/>
      <c r="V103" s="321"/>
      <c r="W103" s="321"/>
      <c r="X103" s="321"/>
      <c r="Y103" s="321"/>
      <c r="Z103" s="321"/>
      <c r="AA103" s="321"/>
      <c r="AB103" s="321"/>
      <c r="AC103" s="321"/>
      <c r="AD103" s="321"/>
      <c r="AE103" s="321"/>
      <c r="AF103" s="379">
        <f t="shared" si="4"/>
        <v>7</v>
      </c>
      <c r="AG103" s="321"/>
      <c r="AH103" s="321"/>
      <c r="AI103" s="321" t="s">
        <v>2251</v>
      </c>
      <c r="AJ103" s="415"/>
      <c r="AK103" s="244" t="s">
        <v>2836</v>
      </c>
    </row>
    <row r="104" spans="1:37" ht="39.950000000000003" customHeight="1">
      <c r="A104" s="321">
        <v>99</v>
      </c>
      <c r="B104" s="319">
        <v>45232</v>
      </c>
      <c r="C104" s="322">
        <v>0.33333333333333331</v>
      </c>
      <c r="D104" s="216" t="s">
        <v>2372</v>
      </c>
      <c r="E104" s="334" t="s">
        <v>2373</v>
      </c>
      <c r="F104" s="321">
        <v>4</v>
      </c>
      <c r="G104" s="321"/>
      <c r="H104" s="319"/>
      <c r="I104" s="319"/>
      <c r="J104" s="319"/>
      <c r="K104" s="321" t="str">
        <f>IFERROR(VLOOKUP(J104,Jueces!$A$1:$B$11,2,FALSE),"")</f>
        <v/>
      </c>
      <c r="L104" s="216" t="s">
        <v>1386</v>
      </c>
      <c r="M104" s="216"/>
      <c r="N104" s="321"/>
      <c r="O104" s="216" t="str">
        <f t="shared" ca="1" si="3"/>
        <v>LIMBO</v>
      </c>
      <c r="P104" s="216"/>
      <c r="Q104" s="216" t="s">
        <v>709</v>
      </c>
      <c r="R104" s="216"/>
      <c r="S104" s="216"/>
      <c r="T104" s="317"/>
      <c r="U104" s="317"/>
      <c r="V104" s="321"/>
      <c r="W104" s="321"/>
      <c r="X104" s="321"/>
      <c r="Y104" s="321"/>
      <c r="Z104" s="321"/>
      <c r="AA104" s="321"/>
      <c r="AB104" s="321"/>
      <c r="AC104" s="321"/>
      <c r="AD104" s="321"/>
      <c r="AE104" s="321"/>
      <c r="AF104" s="379">
        <f t="shared" si="4"/>
        <v>7</v>
      </c>
      <c r="AG104" s="321"/>
      <c r="AH104" s="321"/>
      <c r="AI104" s="321" t="s">
        <v>2251</v>
      </c>
      <c r="AJ104" s="415"/>
      <c r="AK104" s="244" t="s">
        <v>2836</v>
      </c>
    </row>
    <row r="105" spans="1:37" ht="39.950000000000003" customHeight="1">
      <c r="A105" s="354">
        <v>100</v>
      </c>
      <c r="B105" s="355">
        <v>45232</v>
      </c>
      <c r="C105" s="356">
        <v>0.33333333333333331</v>
      </c>
      <c r="D105" s="152" t="s">
        <v>2374</v>
      </c>
      <c r="E105" s="357" t="s">
        <v>2375</v>
      </c>
      <c r="F105" s="354">
        <v>6</v>
      </c>
      <c r="G105" s="354"/>
      <c r="H105" s="355"/>
      <c r="I105" s="355"/>
      <c r="J105" s="355"/>
      <c r="K105" s="354" t="str">
        <f>IFERROR(VLOOKUP(J105,Jueces!$A$1:$B$11,2,FALSE),"")</f>
        <v/>
      </c>
      <c r="L105" s="152" t="s">
        <v>597</v>
      </c>
      <c r="M105" s="152"/>
      <c r="N105" s="354"/>
      <c r="O105" s="152" t="str">
        <f t="shared" ca="1" si="3"/>
        <v>LIMBO</v>
      </c>
      <c r="P105" s="152"/>
      <c r="Q105" s="152" t="s">
        <v>709</v>
      </c>
      <c r="R105" s="152"/>
      <c r="S105" s="152"/>
      <c r="T105" s="358"/>
      <c r="U105" s="358"/>
      <c r="V105" s="354"/>
      <c r="W105" s="354"/>
      <c r="X105" s="354"/>
      <c r="Y105" s="354"/>
      <c r="Z105" s="354"/>
      <c r="AA105" s="354"/>
      <c r="AB105" s="354"/>
      <c r="AC105" s="354"/>
      <c r="AD105" s="354"/>
      <c r="AE105" s="354"/>
      <c r="AF105" s="379">
        <f t="shared" si="4"/>
        <v>7</v>
      </c>
      <c r="AG105" s="354"/>
      <c r="AH105" s="354"/>
      <c r="AI105" s="354" t="s">
        <v>2251</v>
      </c>
      <c r="AJ105" s="416"/>
      <c r="AK105" s="244" t="s">
        <v>2836</v>
      </c>
    </row>
    <row r="106" spans="1:37" ht="39.950000000000003" customHeight="1">
      <c r="A106" s="354">
        <v>101</v>
      </c>
      <c r="B106" s="355">
        <v>45232</v>
      </c>
      <c r="C106" s="356">
        <v>0.33333333333333331</v>
      </c>
      <c r="D106" s="152" t="s">
        <v>2376</v>
      </c>
      <c r="E106" s="357" t="s">
        <v>2377</v>
      </c>
      <c r="F106" s="354">
        <v>6</v>
      </c>
      <c r="G106" s="354"/>
      <c r="H106" s="355"/>
      <c r="I106" s="355"/>
      <c r="J106" s="355"/>
      <c r="K106" s="354" t="str">
        <f>IFERROR(VLOOKUP(J106,Jueces!$A$1:$B$11,2,FALSE),"")</f>
        <v/>
      </c>
      <c r="L106" s="152" t="s">
        <v>506</v>
      </c>
      <c r="M106" s="152"/>
      <c r="N106" s="354"/>
      <c r="O106" s="152" t="str">
        <f t="shared" ca="1" si="3"/>
        <v>LIMBO</v>
      </c>
      <c r="P106" s="152"/>
      <c r="Q106" s="152" t="s">
        <v>709</v>
      </c>
      <c r="R106" s="152"/>
      <c r="S106" s="152"/>
      <c r="T106" s="358"/>
      <c r="U106" s="358"/>
      <c r="V106" s="354"/>
      <c r="W106" s="354"/>
      <c r="X106" s="354"/>
      <c r="Y106" s="354"/>
      <c r="Z106" s="354"/>
      <c r="AA106" s="354"/>
      <c r="AB106" s="354"/>
      <c r="AC106" s="354"/>
      <c r="AD106" s="354"/>
      <c r="AE106" s="354"/>
      <c r="AF106" s="379">
        <f t="shared" si="4"/>
        <v>7</v>
      </c>
      <c r="AG106" s="354"/>
      <c r="AH106" s="354"/>
      <c r="AI106" s="354" t="s">
        <v>2251</v>
      </c>
      <c r="AJ106" s="416"/>
      <c r="AK106" s="244" t="s">
        <v>2836</v>
      </c>
    </row>
    <row r="107" spans="1:37" ht="39.950000000000003" customHeight="1">
      <c r="A107" s="354">
        <v>102</v>
      </c>
      <c r="B107" s="355">
        <v>45231</v>
      </c>
      <c r="C107" s="356">
        <v>0.52986111111111112</v>
      </c>
      <c r="D107" s="152" t="s">
        <v>2378</v>
      </c>
      <c r="E107" s="357" t="s">
        <v>2379</v>
      </c>
      <c r="F107" s="354">
        <v>6</v>
      </c>
      <c r="G107" s="354"/>
      <c r="H107" s="355"/>
      <c r="I107" s="355"/>
      <c r="J107" s="355"/>
      <c r="K107" s="354" t="str">
        <f>IFERROR(VLOOKUP(J107,Jueces!$A$1:$B$11,2,FALSE),"")</f>
        <v/>
      </c>
      <c r="L107" s="152" t="s">
        <v>598</v>
      </c>
      <c r="M107" s="152"/>
      <c r="N107" s="354"/>
      <c r="O107" s="152" t="str">
        <f t="shared" ca="1" si="3"/>
        <v>LIMBO</v>
      </c>
      <c r="P107" s="152"/>
      <c r="Q107" s="152" t="s">
        <v>709</v>
      </c>
      <c r="R107" s="152"/>
      <c r="S107" s="152"/>
      <c r="T107" s="358"/>
      <c r="U107" s="358"/>
      <c r="V107" s="354"/>
      <c r="W107" s="354"/>
      <c r="X107" s="354"/>
      <c r="Y107" s="354"/>
      <c r="Z107" s="354"/>
      <c r="AA107" s="354"/>
      <c r="AB107" s="354"/>
      <c r="AC107" s="354"/>
      <c r="AD107" s="354"/>
      <c r="AE107" s="354"/>
      <c r="AF107" s="379">
        <f t="shared" si="4"/>
        <v>7</v>
      </c>
      <c r="AG107" s="354"/>
      <c r="AH107" s="354"/>
      <c r="AI107" s="354" t="s">
        <v>2251</v>
      </c>
      <c r="AJ107" s="416"/>
      <c r="AK107" s="244" t="s">
        <v>2836</v>
      </c>
    </row>
    <row r="108" spans="1:37" ht="39.950000000000003" customHeight="1">
      <c r="A108" s="354">
        <v>103</v>
      </c>
      <c r="B108" s="355">
        <v>45232</v>
      </c>
      <c r="C108" s="356">
        <v>0.4284722222222222</v>
      </c>
      <c r="D108" s="152" t="s">
        <v>2380</v>
      </c>
      <c r="E108" s="357" t="s">
        <v>2381</v>
      </c>
      <c r="F108" s="354">
        <v>6</v>
      </c>
      <c r="G108" s="354"/>
      <c r="H108" s="355"/>
      <c r="I108" s="355"/>
      <c r="J108" s="355"/>
      <c r="K108" s="354" t="str">
        <f>IFERROR(VLOOKUP(J108,Jueces!$A$1:$B$11,2,FALSE),"")</f>
        <v/>
      </c>
      <c r="L108" s="152" t="s">
        <v>598</v>
      </c>
      <c r="M108" s="152"/>
      <c r="N108" s="354"/>
      <c r="O108" s="152" t="str">
        <f t="shared" ca="1" si="3"/>
        <v>LIMBO</v>
      </c>
      <c r="P108" s="152"/>
      <c r="Q108" s="152" t="s">
        <v>709</v>
      </c>
      <c r="R108" s="152"/>
      <c r="S108" s="152"/>
      <c r="T108" s="358"/>
      <c r="U108" s="358"/>
      <c r="V108" s="354"/>
      <c r="W108" s="354"/>
      <c r="X108" s="354"/>
      <c r="Y108" s="354"/>
      <c r="Z108" s="354"/>
      <c r="AA108" s="354"/>
      <c r="AB108" s="354"/>
      <c r="AC108" s="354"/>
      <c r="AD108" s="354"/>
      <c r="AE108" s="354"/>
      <c r="AF108" s="379">
        <f t="shared" si="4"/>
        <v>7</v>
      </c>
      <c r="AG108" s="354"/>
      <c r="AH108" s="354"/>
      <c r="AI108" s="354" t="s">
        <v>2251</v>
      </c>
      <c r="AJ108" s="416"/>
      <c r="AK108" s="244" t="s">
        <v>2836</v>
      </c>
    </row>
    <row r="109" spans="1:37" ht="39.950000000000003" customHeight="1">
      <c r="A109" s="354">
        <v>104</v>
      </c>
      <c r="B109" s="355">
        <v>45232</v>
      </c>
      <c r="C109" s="356">
        <v>0.42777777777777781</v>
      </c>
      <c r="D109" s="152" t="s">
        <v>2382</v>
      </c>
      <c r="E109" s="357" t="s">
        <v>2383</v>
      </c>
      <c r="F109" s="354">
        <v>6</v>
      </c>
      <c r="G109" s="354"/>
      <c r="H109" s="355"/>
      <c r="I109" s="355"/>
      <c r="J109" s="355"/>
      <c r="K109" s="354" t="str">
        <f>IFERROR(VLOOKUP(J109,Jueces!$A$1:$B$11,2,FALSE),"")</f>
        <v/>
      </c>
      <c r="L109" s="152" t="s">
        <v>592</v>
      </c>
      <c r="M109" s="152"/>
      <c r="N109" s="354"/>
      <c r="O109" s="152" t="str">
        <f t="shared" ca="1" si="3"/>
        <v>LIMBO</v>
      </c>
      <c r="P109" s="152"/>
      <c r="Q109" s="152" t="s">
        <v>709</v>
      </c>
      <c r="R109" s="152"/>
      <c r="S109" s="152"/>
      <c r="T109" s="358"/>
      <c r="U109" s="358"/>
      <c r="V109" s="354"/>
      <c r="W109" s="354"/>
      <c r="X109" s="354"/>
      <c r="Y109" s="354"/>
      <c r="Z109" s="354"/>
      <c r="AA109" s="354"/>
      <c r="AB109" s="354"/>
      <c r="AC109" s="354"/>
      <c r="AD109" s="354"/>
      <c r="AE109" s="354"/>
      <c r="AF109" s="379">
        <f t="shared" si="4"/>
        <v>7</v>
      </c>
      <c r="AG109" s="354"/>
      <c r="AH109" s="354"/>
      <c r="AI109" s="354" t="s">
        <v>2251</v>
      </c>
      <c r="AJ109" s="416"/>
      <c r="AK109" s="244" t="s">
        <v>2836</v>
      </c>
    </row>
    <row r="110" spans="1:37" ht="39.950000000000003" customHeight="1">
      <c r="A110" s="354">
        <v>105</v>
      </c>
      <c r="B110" s="355">
        <v>45232</v>
      </c>
      <c r="C110" s="356">
        <v>0.43263888888888885</v>
      </c>
      <c r="D110" s="152" t="s">
        <v>2384</v>
      </c>
      <c r="E110" s="357" t="s">
        <v>2385</v>
      </c>
      <c r="F110" s="354">
        <v>6</v>
      </c>
      <c r="G110" s="354"/>
      <c r="H110" s="355"/>
      <c r="I110" s="355"/>
      <c r="J110" s="355"/>
      <c r="K110" s="354" t="str">
        <f>IFERROR(VLOOKUP(J110,Jueces!$A$1:$B$11,2,FALSE),"")</f>
        <v/>
      </c>
      <c r="L110" s="152" t="s">
        <v>583</v>
      </c>
      <c r="M110" s="152"/>
      <c r="N110" s="354"/>
      <c r="O110" s="152" t="str">
        <f t="shared" ca="1" si="3"/>
        <v>LIMBO</v>
      </c>
      <c r="P110" s="152"/>
      <c r="Q110" s="152" t="s">
        <v>709</v>
      </c>
      <c r="R110" s="152"/>
      <c r="S110" s="152"/>
      <c r="T110" s="358"/>
      <c r="U110" s="358"/>
      <c r="V110" s="354"/>
      <c r="W110" s="354"/>
      <c r="X110" s="354"/>
      <c r="Y110" s="354"/>
      <c r="Z110" s="354"/>
      <c r="AA110" s="354"/>
      <c r="AB110" s="354"/>
      <c r="AC110" s="354"/>
      <c r="AD110" s="354"/>
      <c r="AE110" s="354"/>
      <c r="AF110" s="379">
        <f t="shared" si="4"/>
        <v>7</v>
      </c>
      <c r="AG110" s="354"/>
      <c r="AH110" s="354"/>
      <c r="AI110" s="354" t="s">
        <v>2251</v>
      </c>
      <c r="AJ110" s="416"/>
      <c r="AK110" s="244" t="s">
        <v>2836</v>
      </c>
    </row>
    <row r="111" spans="1:37" ht="39.950000000000003" customHeight="1">
      <c r="A111" s="354">
        <v>106</v>
      </c>
      <c r="B111" s="355">
        <v>45232</v>
      </c>
      <c r="C111" s="356">
        <v>0.4381944444444445</v>
      </c>
      <c r="D111" s="152" t="s">
        <v>2386</v>
      </c>
      <c r="E111" s="357" t="s">
        <v>2387</v>
      </c>
      <c r="F111" s="354">
        <v>2</v>
      </c>
      <c r="G111" s="354"/>
      <c r="H111" s="355"/>
      <c r="I111" s="355"/>
      <c r="J111" s="355"/>
      <c r="K111" s="354" t="str">
        <f>IFERROR(VLOOKUP(J111,Jueces!$A$1:$B$11,2,FALSE),"")</f>
        <v/>
      </c>
      <c r="L111" s="152" t="s">
        <v>599</v>
      </c>
      <c r="M111" s="152"/>
      <c r="N111" s="354"/>
      <c r="O111" s="152" t="str">
        <f t="shared" ca="1" si="3"/>
        <v>LIMBO</v>
      </c>
      <c r="P111" s="152"/>
      <c r="Q111" s="152" t="s">
        <v>709</v>
      </c>
      <c r="R111" s="152"/>
      <c r="S111" s="152"/>
      <c r="T111" s="358"/>
      <c r="U111" s="358"/>
      <c r="V111" s="354"/>
      <c r="W111" s="354"/>
      <c r="X111" s="354"/>
      <c r="Y111" s="354"/>
      <c r="Z111" s="354"/>
      <c r="AA111" s="354"/>
      <c r="AB111" s="354"/>
      <c r="AC111" s="354"/>
      <c r="AD111" s="354"/>
      <c r="AE111" s="354"/>
      <c r="AF111" s="379">
        <f t="shared" si="4"/>
        <v>7</v>
      </c>
      <c r="AG111" s="354"/>
      <c r="AH111" s="354"/>
      <c r="AI111" s="354" t="s">
        <v>2251</v>
      </c>
      <c r="AJ111" s="416"/>
      <c r="AK111" s="244" t="s">
        <v>2836</v>
      </c>
    </row>
    <row r="112" spans="1:37" ht="39.950000000000003" customHeight="1">
      <c r="A112" s="321">
        <v>109</v>
      </c>
      <c r="B112" s="319"/>
      <c r="C112" s="321"/>
      <c r="D112" s="216" t="s">
        <v>2390</v>
      </c>
      <c r="E112" s="362" t="s">
        <v>2491</v>
      </c>
      <c r="F112" s="321">
        <v>3</v>
      </c>
      <c r="G112" s="321"/>
      <c r="H112" s="319"/>
      <c r="I112" s="319"/>
      <c r="J112" s="319"/>
      <c r="K112" s="321" t="str">
        <f>IFERROR(VLOOKUP(J112,Jueces!$A$1:$B$11,2,FALSE),"")</f>
        <v/>
      </c>
      <c r="L112" s="216" t="s">
        <v>596</v>
      </c>
      <c r="M112" s="216" t="s">
        <v>512</v>
      </c>
      <c r="N112" s="321"/>
      <c r="O112" s="216" t="str">
        <f t="shared" ca="1" si="3"/>
        <v>LIMBO</v>
      </c>
      <c r="P112" s="216"/>
      <c r="Q112" s="216" t="s">
        <v>709</v>
      </c>
      <c r="R112" s="216"/>
      <c r="S112" s="216"/>
      <c r="T112" s="317"/>
      <c r="U112" s="317"/>
      <c r="V112" s="321"/>
      <c r="W112" s="321"/>
      <c r="X112" s="321"/>
      <c r="Y112" s="321"/>
      <c r="Z112" s="321"/>
      <c r="AA112" s="321"/>
      <c r="AB112" s="321"/>
      <c r="AC112" s="321"/>
      <c r="AD112" s="321"/>
      <c r="AE112" s="321"/>
      <c r="AF112" s="379">
        <f t="shared" si="4"/>
        <v>7</v>
      </c>
      <c r="AG112" s="321"/>
      <c r="AH112" s="321"/>
      <c r="AI112" s="321" t="s">
        <v>2161</v>
      </c>
      <c r="AJ112" s="415"/>
      <c r="AK112" s="244" t="s">
        <v>2161</v>
      </c>
    </row>
    <row r="113" spans="1:37" ht="39.950000000000003" customHeight="1">
      <c r="A113" s="321">
        <v>111</v>
      </c>
      <c r="B113" s="319">
        <v>45232</v>
      </c>
      <c r="C113" s="322">
        <v>0.48194444444444445</v>
      </c>
      <c r="D113" s="216" t="s">
        <v>2395</v>
      </c>
      <c r="E113" s="335" t="s">
        <v>2451</v>
      </c>
      <c r="F113" s="321">
        <v>1</v>
      </c>
      <c r="G113" s="321" t="s">
        <v>21</v>
      </c>
      <c r="H113" s="319"/>
      <c r="I113" s="319"/>
      <c r="J113" s="319"/>
      <c r="K113" s="321" t="str">
        <f>IFERROR(VLOOKUP(J113,Jueces!$A$1:$B$11,2,FALSE),"")</f>
        <v/>
      </c>
      <c r="L113" s="216" t="s">
        <v>597</v>
      </c>
      <c r="M113" s="216" t="s">
        <v>530</v>
      </c>
      <c r="N113" s="216" t="s">
        <v>2444</v>
      </c>
      <c r="O113" s="216" t="str">
        <f t="shared" ca="1" si="3"/>
        <v>LIMBO</v>
      </c>
      <c r="P113" s="216"/>
      <c r="Q113" s="216" t="s">
        <v>709</v>
      </c>
      <c r="R113" s="216"/>
      <c r="S113" s="216"/>
      <c r="T113" s="317"/>
      <c r="U113" s="317"/>
      <c r="V113" s="321"/>
      <c r="W113" s="321"/>
      <c r="X113" s="321"/>
      <c r="Y113" s="321"/>
      <c r="Z113" s="321"/>
      <c r="AA113" s="321"/>
      <c r="AB113" s="321"/>
      <c r="AC113" s="321"/>
      <c r="AD113" s="321"/>
      <c r="AE113" s="321"/>
      <c r="AF113" s="379">
        <f t="shared" si="4"/>
        <v>7</v>
      </c>
      <c r="AG113" s="321"/>
      <c r="AH113" s="321"/>
      <c r="AI113" s="321" t="s">
        <v>2161</v>
      </c>
      <c r="AJ113" s="415"/>
      <c r="AK113" s="244" t="s">
        <v>2161</v>
      </c>
    </row>
    <row r="114" spans="1:37" ht="39.950000000000003" customHeight="1">
      <c r="A114" s="354">
        <v>112</v>
      </c>
      <c r="B114" s="355">
        <v>45232</v>
      </c>
      <c r="C114" s="356">
        <v>0.4777777777777778</v>
      </c>
      <c r="D114" s="152" t="s">
        <v>2396</v>
      </c>
      <c r="E114" s="360" t="s">
        <v>2452</v>
      </c>
      <c r="F114" s="354">
        <v>1</v>
      </c>
      <c r="G114" s="354"/>
      <c r="H114" s="355"/>
      <c r="I114" s="355"/>
      <c r="J114" s="355"/>
      <c r="K114" s="354" t="str">
        <f>IFERROR(VLOOKUP(J114,Jueces!$A$1:$B$11,2,FALSE),"")</f>
        <v/>
      </c>
      <c r="L114" s="152" t="s">
        <v>574</v>
      </c>
      <c r="M114" s="152"/>
      <c r="N114" s="354"/>
      <c r="O114" s="152" t="str">
        <f t="shared" ca="1" si="3"/>
        <v>LIMBO</v>
      </c>
      <c r="P114" s="152"/>
      <c r="Q114" s="152" t="s">
        <v>709</v>
      </c>
      <c r="R114" s="152"/>
      <c r="S114" s="152"/>
      <c r="T114" s="358"/>
      <c r="U114" s="358"/>
      <c r="V114" s="354"/>
      <c r="W114" s="354"/>
      <c r="X114" s="354"/>
      <c r="Y114" s="354"/>
      <c r="Z114" s="354"/>
      <c r="AA114" s="354"/>
      <c r="AB114" s="354"/>
      <c r="AC114" s="354"/>
      <c r="AD114" s="354"/>
      <c r="AE114" s="354"/>
      <c r="AF114" s="379">
        <f t="shared" si="4"/>
        <v>7</v>
      </c>
      <c r="AG114" s="354"/>
      <c r="AH114" s="354"/>
      <c r="AI114" s="354" t="s">
        <v>2161</v>
      </c>
      <c r="AJ114" s="416"/>
      <c r="AK114" s="244" t="s">
        <v>2161</v>
      </c>
    </row>
    <row r="115" spans="1:37" ht="39.950000000000003" customHeight="1">
      <c r="A115" s="354">
        <v>113</v>
      </c>
      <c r="B115" s="355">
        <v>45233</v>
      </c>
      <c r="C115" s="356">
        <v>0.39513888888888887</v>
      </c>
      <c r="D115" s="152" t="s">
        <v>2397</v>
      </c>
      <c r="E115" s="357" t="s">
        <v>2398</v>
      </c>
      <c r="F115" s="354">
        <v>2</v>
      </c>
      <c r="G115" s="354" t="s">
        <v>1839</v>
      </c>
      <c r="H115" s="355"/>
      <c r="I115" s="355"/>
      <c r="J115" s="355"/>
      <c r="K115" s="354" t="str">
        <f>IFERROR(VLOOKUP(J115,Jueces!$A$1:$B$11,2,FALSE),"")</f>
        <v/>
      </c>
      <c r="L115" s="152" t="s">
        <v>591</v>
      </c>
      <c r="M115" s="152"/>
      <c r="N115" s="354"/>
      <c r="O115" s="152" t="str">
        <f t="shared" ca="1" si="3"/>
        <v>LIMBO</v>
      </c>
      <c r="P115" s="152"/>
      <c r="Q115" s="152" t="s">
        <v>709</v>
      </c>
      <c r="R115" s="152"/>
      <c r="S115" s="152"/>
      <c r="T115" s="358"/>
      <c r="U115" s="358"/>
      <c r="V115" s="354"/>
      <c r="W115" s="354"/>
      <c r="X115" s="354"/>
      <c r="Y115" s="354"/>
      <c r="Z115" s="354"/>
      <c r="AA115" s="354"/>
      <c r="AB115" s="354"/>
      <c r="AC115" s="354"/>
      <c r="AD115" s="354"/>
      <c r="AE115" s="354"/>
      <c r="AF115" s="379">
        <f t="shared" si="4"/>
        <v>7</v>
      </c>
      <c r="AG115" s="354"/>
      <c r="AH115" s="354"/>
      <c r="AI115" s="354" t="s">
        <v>2251</v>
      </c>
      <c r="AJ115" s="416"/>
      <c r="AK115" s="244" t="s">
        <v>2836</v>
      </c>
    </row>
    <row r="116" spans="1:37" ht="39.950000000000003" customHeight="1">
      <c r="A116" s="354">
        <v>114</v>
      </c>
      <c r="B116" s="355">
        <v>45233</v>
      </c>
      <c r="C116" s="356">
        <v>0.3840277777777778</v>
      </c>
      <c r="D116" s="152" t="s">
        <v>2399</v>
      </c>
      <c r="E116" s="357" t="s">
        <v>2400</v>
      </c>
      <c r="F116" s="354">
        <v>2</v>
      </c>
      <c r="G116" s="354" t="s">
        <v>1839</v>
      </c>
      <c r="H116" s="355"/>
      <c r="I116" s="355"/>
      <c r="J116" s="355"/>
      <c r="K116" s="354" t="str">
        <f>IFERROR(VLOOKUP(J116,Jueces!$A$1:$B$11,2,FALSE),"")</f>
        <v/>
      </c>
      <c r="L116" s="152" t="s">
        <v>586</v>
      </c>
      <c r="M116" s="152"/>
      <c r="N116" s="354"/>
      <c r="O116" s="152" t="str">
        <f t="shared" ca="1" si="3"/>
        <v>LIMBO</v>
      </c>
      <c r="P116" s="152"/>
      <c r="Q116" s="152" t="s">
        <v>709</v>
      </c>
      <c r="R116" s="152"/>
      <c r="S116" s="152"/>
      <c r="T116" s="358"/>
      <c r="U116" s="358"/>
      <c r="V116" s="354"/>
      <c r="W116" s="354"/>
      <c r="X116" s="354"/>
      <c r="Y116" s="354"/>
      <c r="Z116" s="354"/>
      <c r="AA116" s="354"/>
      <c r="AB116" s="354"/>
      <c r="AC116" s="354"/>
      <c r="AD116" s="354"/>
      <c r="AE116" s="354"/>
      <c r="AF116" s="379">
        <f t="shared" si="4"/>
        <v>7</v>
      </c>
      <c r="AG116" s="354"/>
      <c r="AH116" s="354"/>
      <c r="AI116" s="354" t="s">
        <v>2251</v>
      </c>
      <c r="AJ116" s="416"/>
      <c r="AK116" s="244" t="s">
        <v>2836</v>
      </c>
    </row>
    <row r="117" spans="1:37" ht="39.950000000000003" customHeight="1">
      <c r="A117" s="354">
        <v>115</v>
      </c>
      <c r="B117" s="355">
        <v>45233</v>
      </c>
      <c r="C117" s="356">
        <v>0.375</v>
      </c>
      <c r="D117" s="152" t="s">
        <v>2401</v>
      </c>
      <c r="E117" s="357" t="s">
        <v>2402</v>
      </c>
      <c r="F117" s="354">
        <v>2</v>
      </c>
      <c r="G117" s="354" t="s">
        <v>1839</v>
      </c>
      <c r="H117" s="355"/>
      <c r="I117" s="355"/>
      <c r="J117" s="355"/>
      <c r="K117" s="354" t="str">
        <f>IFERROR(VLOOKUP(J117,Jueces!$A$1:$B$11,2,FALSE),"")</f>
        <v/>
      </c>
      <c r="L117" s="152" t="s">
        <v>1386</v>
      </c>
      <c r="M117" s="152"/>
      <c r="N117" s="354"/>
      <c r="O117" s="152" t="str">
        <f t="shared" ca="1" si="3"/>
        <v>LIMBO</v>
      </c>
      <c r="P117" s="152"/>
      <c r="Q117" s="152" t="s">
        <v>709</v>
      </c>
      <c r="R117" s="152"/>
      <c r="S117" s="152"/>
      <c r="T117" s="358"/>
      <c r="U117" s="358"/>
      <c r="V117" s="354"/>
      <c r="W117" s="354"/>
      <c r="X117" s="354"/>
      <c r="Y117" s="354"/>
      <c r="Z117" s="354"/>
      <c r="AA117" s="354"/>
      <c r="AB117" s="354"/>
      <c r="AC117" s="354"/>
      <c r="AD117" s="354"/>
      <c r="AE117" s="354"/>
      <c r="AF117" s="379">
        <f t="shared" si="4"/>
        <v>7</v>
      </c>
      <c r="AG117" s="354"/>
      <c r="AH117" s="354"/>
      <c r="AI117" s="354" t="s">
        <v>2251</v>
      </c>
      <c r="AJ117" s="416"/>
      <c r="AK117" s="244" t="s">
        <v>2836</v>
      </c>
    </row>
    <row r="118" spans="1:37" ht="39.950000000000003" customHeight="1">
      <c r="A118" s="354">
        <v>116</v>
      </c>
      <c r="B118" s="355">
        <v>45233</v>
      </c>
      <c r="C118" s="356">
        <v>0.3743055555555555</v>
      </c>
      <c r="D118" s="152" t="s">
        <v>2403</v>
      </c>
      <c r="E118" s="357" t="s">
        <v>2404</v>
      </c>
      <c r="F118" s="354">
        <v>2</v>
      </c>
      <c r="G118" s="354" t="s">
        <v>1839</v>
      </c>
      <c r="H118" s="355"/>
      <c r="I118" s="355"/>
      <c r="J118" s="355"/>
      <c r="K118" s="354" t="str">
        <f>IFERROR(VLOOKUP(J118,Jueces!$A$1:$B$11,2,FALSE),"")</f>
        <v/>
      </c>
      <c r="L118" s="152" t="s">
        <v>586</v>
      </c>
      <c r="M118" s="152"/>
      <c r="N118" s="354"/>
      <c r="O118" s="152" t="str">
        <f t="shared" ca="1" si="3"/>
        <v>LIMBO</v>
      </c>
      <c r="P118" s="152"/>
      <c r="Q118" s="152" t="s">
        <v>709</v>
      </c>
      <c r="R118" s="152"/>
      <c r="S118" s="152"/>
      <c r="T118" s="358"/>
      <c r="U118" s="358"/>
      <c r="V118" s="354"/>
      <c r="W118" s="354"/>
      <c r="X118" s="354"/>
      <c r="Y118" s="354"/>
      <c r="Z118" s="354"/>
      <c r="AA118" s="354"/>
      <c r="AB118" s="354"/>
      <c r="AC118" s="354"/>
      <c r="AD118" s="354"/>
      <c r="AE118" s="354"/>
      <c r="AF118" s="379">
        <f t="shared" si="4"/>
        <v>7</v>
      </c>
      <c r="AG118" s="354"/>
      <c r="AH118" s="354"/>
      <c r="AI118" s="354" t="s">
        <v>2251</v>
      </c>
      <c r="AJ118" s="416"/>
      <c r="AK118" s="244" t="s">
        <v>2836</v>
      </c>
    </row>
    <row r="119" spans="1:37" ht="39.950000000000003" customHeight="1">
      <c r="A119" s="321">
        <v>117</v>
      </c>
      <c r="B119" s="319">
        <v>45233</v>
      </c>
      <c r="C119" s="322">
        <v>0.37013888888888885</v>
      </c>
      <c r="D119" s="216" t="s">
        <v>1878</v>
      </c>
      <c r="E119" s="334" t="s">
        <v>2405</v>
      </c>
      <c r="F119" s="321">
        <v>7</v>
      </c>
      <c r="G119" s="321" t="s">
        <v>32</v>
      </c>
      <c r="H119" s="319"/>
      <c r="I119" s="319"/>
      <c r="J119" s="319"/>
      <c r="K119" s="321" t="str">
        <f>IFERROR(VLOOKUP(J119,Jueces!$A$1:$B$11,2,FALSE),"")</f>
        <v/>
      </c>
      <c r="L119" s="216" t="s">
        <v>585</v>
      </c>
      <c r="M119" s="216" t="s">
        <v>2445</v>
      </c>
      <c r="N119" s="321"/>
      <c r="O119" s="216" t="str">
        <f t="shared" ca="1" si="3"/>
        <v>LIMBO</v>
      </c>
      <c r="P119" s="216"/>
      <c r="Q119" s="216" t="s">
        <v>709</v>
      </c>
      <c r="R119" s="216"/>
      <c r="S119" s="216"/>
      <c r="T119" s="317"/>
      <c r="U119" s="317"/>
      <c r="V119" s="321"/>
      <c r="W119" s="321"/>
      <c r="X119" s="321"/>
      <c r="Y119" s="321"/>
      <c r="Z119" s="321"/>
      <c r="AA119" s="321"/>
      <c r="AB119" s="321"/>
      <c r="AC119" s="321"/>
      <c r="AD119" s="321"/>
      <c r="AE119" s="321"/>
      <c r="AF119" s="379">
        <f t="shared" si="4"/>
        <v>7</v>
      </c>
      <c r="AG119" s="321"/>
      <c r="AH119" s="321"/>
      <c r="AI119" s="321" t="s">
        <v>2251</v>
      </c>
      <c r="AJ119" s="415"/>
      <c r="AK119" s="244" t="s">
        <v>2836</v>
      </c>
    </row>
    <row r="120" spans="1:37" ht="39.950000000000003" customHeight="1">
      <c r="A120" s="354">
        <v>118</v>
      </c>
      <c r="B120" s="355">
        <v>45233</v>
      </c>
      <c r="C120" s="356">
        <v>0.34930555555555554</v>
      </c>
      <c r="D120" s="152" t="s">
        <v>2406</v>
      </c>
      <c r="E120" s="357" t="s">
        <v>2407</v>
      </c>
      <c r="F120" s="354">
        <v>2</v>
      </c>
      <c r="G120" s="354"/>
      <c r="H120" s="355"/>
      <c r="I120" s="355"/>
      <c r="J120" s="355"/>
      <c r="K120" s="354" t="str">
        <f>IFERROR(VLOOKUP(J120,Jueces!$A$1:$B$11,2,FALSE),"")</f>
        <v/>
      </c>
      <c r="L120" s="152" t="s">
        <v>167</v>
      </c>
      <c r="M120" s="152"/>
      <c r="N120" s="354"/>
      <c r="O120" s="152" t="str">
        <f t="shared" ca="1" si="3"/>
        <v>LIMBO</v>
      </c>
      <c r="P120" s="152"/>
      <c r="Q120" s="152" t="s">
        <v>709</v>
      </c>
      <c r="R120" s="152"/>
      <c r="S120" s="152"/>
      <c r="T120" s="358"/>
      <c r="U120" s="358"/>
      <c r="V120" s="354"/>
      <c r="W120" s="354"/>
      <c r="X120" s="354"/>
      <c r="Y120" s="354"/>
      <c r="Z120" s="354"/>
      <c r="AA120" s="354"/>
      <c r="AB120" s="354"/>
      <c r="AC120" s="354"/>
      <c r="AD120" s="354"/>
      <c r="AE120" s="354"/>
      <c r="AF120" s="379">
        <f t="shared" si="4"/>
        <v>7</v>
      </c>
      <c r="AG120" s="354"/>
      <c r="AH120" s="354"/>
      <c r="AI120" s="354" t="s">
        <v>2251</v>
      </c>
      <c r="AJ120" s="416"/>
      <c r="AK120" s="244" t="s">
        <v>2836</v>
      </c>
    </row>
    <row r="121" spans="1:37" ht="39.950000000000003" customHeight="1">
      <c r="A121" s="354">
        <v>119</v>
      </c>
      <c r="B121" s="355">
        <v>45233</v>
      </c>
      <c r="C121" s="356">
        <v>0.3347222222222222</v>
      </c>
      <c r="D121" s="152" t="s">
        <v>2408</v>
      </c>
      <c r="E121" s="357" t="s">
        <v>2409</v>
      </c>
      <c r="F121" s="354">
        <v>8</v>
      </c>
      <c r="G121" s="354"/>
      <c r="H121" s="355"/>
      <c r="I121" s="355"/>
      <c r="J121" s="355"/>
      <c r="K121" s="354" t="str">
        <f>IFERROR(VLOOKUP(J121,Jueces!$A$1:$B$11,2,FALSE),"")</f>
        <v/>
      </c>
      <c r="L121" s="152" t="s">
        <v>585</v>
      </c>
      <c r="M121" s="152"/>
      <c r="N121" s="354"/>
      <c r="O121" s="152" t="str">
        <f t="shared" ca="1" si="3"/>
        <v>LIMBO</v>
      </c>
      <c r="P121" s="152"/>
      <c r="Q121" s="152" t="s">
        <v>709</v>
      </c>
      <c r="R121" s="152"/>
      <c r="S121" s="152"/>
      <c r="T121" s="358"/>
      <c r="U121" s="358"/>
      <c r="V121" s="354"/>
      <c r="W121" s="354"/>
      <c r="X121" s="354"/>
      <c r="Y121" s="354"/>
      <c r="Z121" s="354"/>
      <c r="AA121" s="354"/>
      <c r="AB121" s="354"/>
      <c r="AC121" s="354"/>
      <c r="AD121" s="354"/>
      <c r="AE121" s="354"/>
      <c r="AF121" s="379">
        <f t="shared" si="4"/>
        <v>7</v>
      </c>
      <c r="AG121" s="354"/>
      <c r="AH121" s="354"/>
      <c r="AI121" s="354" t="s">
        <v>2251</v>
      </c>
      <c r="AJ121" s="416"/>
      <c r="AK121" s="244" t="s">
        <v>2836</v>
      </c>
    </row>
    <row r="122" spans="1:37" ht="39.950000000000003" customHeight="1">
      <c r="A122" s="354">
        <v>120</v>
      </c>
      <c r="B122" s="355">
        <v>45233</v>
      </c>
      <c r="C122" s="356">
        <v>0.33333333333333331</v>
      </c>
      <c r="D122" s="152" t="s">
        <v>2410</v>
      </c>
      <c r="E122" s="357" t="s">
        <v>2411</v>
      </c>
      <c r="F122" s="354">
        <v>3</v>
      </c>
      <c r="G122" s="354"/>
      <c r="H122" s="355"/>
      <c r="I122" s="355"/>
      <c r="J122" s="355"/>
      <c r="K122" s="354" t="str">
        <f>IFERROR(VLOOKUP(J122,Jueces!$A$1:$B$11,2,FALSE),"")</f>
        <v/>
      </c>
      <c r="L122" s="152" t="s">
        <v>576</v>
      </c>
      <c r="M122" s="152"/>
      <c r="N122" s="354"/>
      <c r="O122" s="152" t="str">
        <f t="shared" ca="1" si="3"/>
        <v>LIMBO</v>
      </c>
      <c r="P122" s="152"/>
      <c r="Q122" s="152" t="s">
        <v>709</v>
      </c>
      <c r="R122" s="152"/>
      <c r="S122" s="152"/>
      <c r="T122" s="358"/>
      <c r="U122" s="358"/>
      <c r="V122" s="354"/>
      <c r="W122" s="354"/>
      <c r="X122" s="354"/>
      <c r="Y122" s="354"/>
      <c r="Z122" s="354"/>
      <c r="AA122" s="354"/>
      <c r="AB122" s="354"/>
      <c r="AC122" s="354"/>
      <c r="AD122" s="354"/>
      <c r="AE122" s="354"/>
      <c r="AF122" s="379">
        <f t="shared" si="4"/>
        <v>7</v>
      </c>
      <c r="AG122" s="354"/>
      <c r="AH122" s="354"/>
      <c r="AI122" s="354" t="s">
        <v>2251</v>
      </c>
      <c r="AJ122" s="416"/>
      <c r="AK122" s="244" t="s">
        <v>2836</v>
      </c>
    </row>
    <row r="123" spans="1:37" ht="39.950000000000003" customHeight="1">
      <c r="A123" s="354">
        <v>121</v>
      </c>
      <c r="B123" s="355">
        <v>45233</v>
      </c>
      <c r="C123" s="356">
        <v>0.33333333333333331</v>
      </c>
      <c r="D123" s="152" t="s">
        <v>2412</v>
      </c>
      <c r="E123" s="357" t="s">
        <v>2413</v>
      </c>
      <c r="F123" s="354">
        <v>3</v>
      </c>
      <c r="G123" s="354"/>
      <c r="H123" s="355"/>
      <c r="I123" s="355"/>
      <c r="J123" s="355"/>
      <c r="K123" s="354" t="str">
        <f>IFERROR(VLOOKUP(J123,Jueces!$A$1:$B$11,2,FALSE),"")</f>
        <v/>
      </c>
      <c r="L123" s="152" t="s">
        <v>597</v>
      </c>
      <c r="M123" s="152"/>
      <c r="N123" s="354"/>
      <c r="O123" s="152" t="str">
        <f t="shared" ca="1" si="3"/>
        <v>LIMBO</v>
      </c>
      <c r="P123" s="152"/>
      <c r="Q123" s="152" t="s">
        <v>709</v>
      </c>
      <c r="R123" s="152"/>
      <c r="S123" s="152"/>
      <c r="T123" s="358"/>
      <c r="U123" s="358"/>
      <c r="V123" s="354"/>
      <c r="W123" s="354"/>
      <c r="X123" s="354"/>
      <c r="Y123" s="354"/>
      <c r="Z123" s="354"/>
      <c r="AA123" s="354"/>
      <c r="AB123" s="354"/>
      <c r="AC123" s="354"/>
      <c r="AD123" s="354"/>
      <c r="AE123" s="354"/>
      <c r="AF123" s="379">
        <f t="shared" si="4"/>
        <v>7</v>
      </c>
      <c r="AG123" s="354"/>
      <c r="AH123" s="354"/>
      <c r="AI123" s="354" t="s">
        <v>2251</v>
      </c>
      <c r="AJ123" s="416"/>
      <c r="AK123" s="244" t="s">
        <v>2836</v>
      </c>
    </row>
    <row r="124" spans="1:37" ht="39.950000000000003" customHeight="1">
      <c r="A124" s="354">
        <v>122</v>
      </c>
      <c r="B124" s="355">
        <v>45233</v>
      </c>
      <c r="C124" s="356">
        <v>0.40347222222222223</v>
      </c>
      <c r="D124" s="152" t="s">
        <v>2414</v>
      </c>
      <c r="E124" s="357" t="s">
        <v>2415</v>
      </c>
      <c r="F124" s="354">
        <v>2</v>
      </c>
      <c r="G124" s="354"/>
      <c r="H124" s="355"/>
      <c r="I124" s="355"/>
      <c r="J124" s="355"/>
      <c r="K124" s="354" t="str">
        <f>IFERROR(VLOOKUP(J124,Jueces!$A$1:$B$11,2,FALSE),"")</f>
        <v/>
      </c>
      <c r="L124" s="152" t="s">
        <v>574</v>
      </c>
      <c r="M124" s="152"/>
      <c r="N124" s="354"/>
      <c r="O124" s="152" t="str">
        <f t="shared" ca="1" si="3"/>
        <v>LIMBO</v>
      </c>
      <c r="P124" s="152"/>
      <c r="Q124" s="152" t="s">
        <v>709</v>
      </c>
      <c r="R124" s="152"/>
      <c r="S124" s="152"/>
      <c r="T124" s="358"/>
      <c r="U124" s="358"/>
      <c r="V124" s="354"/>
      <c r="W124" s="354"/>
      <c r="X124" s="354"/>
      <c r="Y124" s="354"/>
      <c r="Z124" s="354"/>
      <c r="AA124" s="354"/>
      <c r="AB124" s="354"/>
      <c r="AC124" s="354"/>
      <c r="AD124" s="354"/>
      <c r="AE124" s="354"/>
      <c r="AF124" s="379">
        <f t="shared" si="4"/>
        <v>7</v>
      </c>
      <c r="AG124" s="354"/>
      <c r="AH124" s="354"/>
      <c r="AI124" s="354" t="s">
        <v>2251</v>
      </c>
      <c r="AJ124" s="416"/>
      <c r="AK124" s="244" t="s">
        <v>2836</v>
      </c>
    </row>
    <row r="125" spans="1:37" ht="39.950000000000003" customHeight="1">
      <c r="A125" s="354">
        <v>123</v>
      </c>
      <c r="B125" s="355">
        <v>45233</v>
      </c>
      <c r="C125" s="356">
        <v>0.4680555555555555</v>
      </c>
      <c r="D125" s="152" t="s">
        <v>2416</v>
      </c>
      <c r="E125" s="357" t="s">
        <v>2417</v>
      </c>
      <c r="F125" s="354">
        <v>7</v>
      </c>
      <c r="G125" s="354"/>
      <c r="H125" s="355"/>
      <c r="I125" s="355"/>
      <c r="J125" s="355"/>
      <c r="K125" s="354" t="str">
        <f>IFERROR(VLOOKUP(J125,Jueces!$A$1:$B$11,2,FALSE),"")</f>
        <v/>
      </c>
      <c r="L125" s="152" t="s">
        <v>585</v>
      </c>
      <c r="M125" s="152"/>
      <c r="N125" s="354"/>
      <c r="O125" s="152" t="str">
        <f t="shared" ca="1" si="3"/>
        <v>LIMBO</v>
      </c>
      <c r="P125" s="152"/>
      <c r="Q125" s="152" t="s">
        <v>709</v>
      </c>
      <c r="R125" s="152"/>
      <c r="S125" s="152"/>
      <c r="T125" s="358"/>
      <c r="U125" s="358"/>
      <c r="V125" s="354"/>
      <c r="W125" s="354"/>
      <c r="X125" s="354"/>
      <c r="Y125" s="354"/>
      <c r="Z125" s="354"/>
      <c r="AA125" s="354"/>
      <c r="AB125" s="354"/>
      <c r="AC125" s="354"/>
      <c r="AD125" s="354"/>
      <c r="AE125" s="354"/>
      <c r="AF125" s="379">
        <f t="shared" si="4"/>
        <v>7</v>
      </c>
      <c r="AG125" s="354"/>
      <c r="AH125" s="354"/>
      <c r="AI125" s="354" t="s">
        <v>2251</v>
      </c>
      <c r="AJ125" s="416"/>
      <c r="AK125" s="244" t="s">
        <v>2836</v>
      </c>
    </row>
    <row r="126" spans="1:37" ht="39.950000000000003" customHeight="1">
      <c r="A126" s="354">
        <v>124</v>
      </c>
      <c r="B126" s="355">
        <v>45233</v>
      </c>
      <c r="C126" s="356">
        <v>0.4694444444444445</v>
      </c>
      <c r="D126" s="152" t="s">
        <v>2418</v>
      </c>
      <c r="E126" s="357" t="s">
        <v>2419</v>
      </c>
      <c r="F126" s="354">
        <v>2</v>
      </c>
      <c r="G126" s="354"/>
      <c r="H126" s="355"/>
      <c r="I126" s="355"/>
      <c r="J126" s="355"/>
      <c r="K126" s="354" t="str">
        <f>IFERROR(VLOOKUP(J126,Jueces!$A$1:$B$11,2,FALSE),"")</f>
        <v/>
      </c>
      <c r="L126" s="152" t="s">
        <v>1386</v>
      </c>
      <c r="M126" s="152"/>
      <c r="N126" s="354"/>
      <c r="O126" s="152" t="str">
        <f t="shared" ca="1" si="3"/>
        <v>LIMBO</v>
      </c>
      <c r="P126" s="152"/>
      <c r="Q126" s="152" t="s">
        <v>709</v>
      </c>
      <c r="R126" s="152"/>
      <c r="S126" s="152"/>
      <c r="T126" s="358"/>
      <c r="U126" s="358"/>
      <c r="V126" s="354"/>
      <c r="W126" s="354"/>
      <c r="X126" s="354"/>
      <c r="Y126" s="354"/>
      <c r="Z126" s="354"/>
      <c r="AA126" s="354"/>
      <c r="AB126" s="354"/>
      <c r="AC126" s="354"/>
      <c r="AD126" s="354"/>
      <c r="AE126" s="354"/>
      <c r="AF126" s="379">
        <f t="shared" si="4"/>
        <v>7</v>
      </c>
      <c r="AG126" s="354"/>
      <c r="AH126" s="354"/>
      <c r="AI126" s="354" t="s">
        <v>2251</v>
      </c>
      <c r="AJ126" s="416"/>
      <c r="AK126" s="244" t="s">
        <v>2836</v>
      </c>
    </row>
    <row r="127" spans="1:37" ht="39.950000000000003" customHeight="1">
      <c r="A127" s="354">
        <v>125</v>
      </c>
      <c r="B127" s="355">
        <v>45233</v>
      </c>
      <c r="C127" s="356">
        <v>0.46527777777777773</v>
      </c>
      <c r="D127" s="152" t="s">
        <v>2420</v>
      </c>
      <c r="E127" s="357" t="s">
        <v>2421</v>
      </c>
      <c r="F127" s="354">
        <v>2</v>
      </c>
      <c r="G127" s="354"/>
      <c r="H127" s="355"/>
      <c r="I127" s="355"/>
      <c r="J127" s="355"/>
      <c r="K127" s="354" t="str">
        <f>IFERROR(VLOOKUP(J127,Jueces!$A$1:$B$11,2,FALSE),"")</f>
        <v/>
      </c>
      <c r="L127" s="152" t="s">
        <v>167</v>
      </c>
      <c r="M127" s="152"/>
      <c r="N127" s="354"/>
      <c r="O127" s="152" t="str">
        <f t="shared" ca="1" si="3"/>
        <v>LIMBO</v>
      </c>
      <c r="P127" s="152"/>
      <c r="Q127" s="152" t="s">
        <v>709</v>
      </c>
      <c r="R127" s="152"/>
      <c r="S127" s="152"/>
      <c r="T127" s="358"/>
      <c r="U127" s="358"/>
      <c r="V127" s="354"/>
      <c r="W127" s="354"/>
      <c r="X127" s="354"/>
      <c r="Y127" s="354"/>
      <c r="Z127" s="354"/>
      <c r="AA127" s="354"/>
      <c r="AB127" s="354"/>
      <c r="AC127" s="354"/>
      <c r="AD127" s="354"/>
      <c r="AE127" s="354"/>
      <c r="AF127" s="379">
        <f t="shared" si="4"/>
        <v>7</v>
      </c>
      <c r="AG127" s="354"/>
      <c r="AH127" s="354"/>
      <c r="AI127" s="354" t="s">
        <v>2251</v>
      </c>
      <c r="AJ127" s="416"/>
      <c r="AK127" s="244" t="s">
        <v>2836</v>
      </c>
    </row>
    <row r="128" spans="1:37" ht="39.950000000000003" customHeight="1">
      <c r="A128" s="354">
        <v>126</v>
      </c>
      <c r="B128" s="355">
        <v>45233</v>
      </c>
      <c r="C128" s="356">
        <v>0.4861111111111111</v>
      </c>
      <c r="D128" s="152" t="s">
        <v>2422</v>
      </c>
      <c r="E128" s="357" t="s">
        <v>2423</v>
      </c>
      <c r="F128" s="354">
        <v>2</v>
      </c>
      <c r="G128" s="354"/>
      <c r="H128" s="355"/>
      <c r="I128" s="355"/>
      <c r="J128" s="355"/>
      <c r="K128" s="354" t="str">
        <f>IFERROR(VLOOKUP(J128,Jueces!$A$1:$B$11,2,FALSE),"")</f>
        <v/>
      </c>
      <c r="L128" s="152" t="s">
        <v>575</v>
      </c>
      <c r="M128" s="152"/>
      <c r="N128" s="354"/>
      <c r="O128" s="152" t="str">
        <f t="shared" ca="1" si="3"/>
        <v>LIMBO</v>
      </c>
      <c r="P128" s="152"/>
      <c r="Q128" s="152" t="s">
        <v>709</v>
      </c>
      <c r="R128" s="152"/>
      <c r="S128" s="152"/>
      <c r="T128" s="358"/>
      <c r="U128" s="358"/>
      <c r="V128" s="354"/>
      <c r="W128" s="354"/>
      <c r="X128" s="354"/>
      <c r="Y128" s="354"/>
      <c r="Z128" s="354"/>
      <c r="AA128" s="354"/>
      <c r="AB128" s="354"/>
      <c r="AC128" s="354"/>
      <c r="AD128" s="354"/>
      <c r="AE128" s="354"/>
      <c r="AF128" s="379">
        <f t="shared" si="4"/>
        <v>7</v>
      </c>
      <c r="AG128" s="354"/>
      <c r="AH128" s="354"/>
      <c r="AI128" s="354" t="s">
        <v>2251</v>
      </c>
      <c r="AJ128" s="416"/>
      <c r="AK128" s="244" t="s">
        <v>2836</v>
      </c>
    </row>
    <row r="129" spans="1:37" ht="39.950000000000003" customHeight="1">
      <c r="A129" s="354">
        <v>127</v>
      </c>
      <c r="B129" s="355">
        <v>45233</v>
      </c>
      <c r="C129" s="356">
        <v>0.48819444444444443</v>
      </c>
      <c r="D129" s="152" t="s">
        <v>2424</v>
      </c>
      <c r="E129" s="357" t="s">
        <v>2425</v>
      </c>
      <c r="F129" s="354">
        <v>3</v>
      </c>
      <c r="G129" s="354"/>
      <c r="H129" s="355"/>
      <c r="I129" s="355"/>
      <c r="J129" s="355"/>
      <c r="K129" s="354" t="str">
        <f>IFERROR(VLOOKUP(J129,Jueces!$A$1:$B$11,2,FALSE),"")</f>
        <v/>
      </c>
      <c r="L129" s="152" t="s">
        <v>583</v>
      </c>
      <c r="M129" s="152"/>
      <c r="N129" s="354"/>
      <c r="O129" s="152" t="str">
        <f t="shared" ca="1" si="3"/>
        <v>LIMBO</v>
      </c>
      <c r="P129" s="152"/>
      <c r="Q129" s="152" t="s">
        <v>709</v>
      </c>
      <c r="R129" s="152"/>
      <c r="S129" s="152"/>
      <c r="T129" s="358"/>
      <c r="U129" s="358"/>
      <c r="V129" s="354"/>
      <c r="W129" s="354"/>
      <c r="X129" s="354"/>
      <c r="Y129" s="354"/>
      <c r="Z129" s="354"/>
      <c r="AA129" s="354"/>
      <c r="AB129" s="354"/>
      <c r="AC129" s="354"/>
      <c r="AD129" s="354"/>
      <c r="AE129" s="354"/>
      <c r="AF129" s="379">
        <f t="shared" si="4"/>
        <v>7</v>
      </c>
      <c r="AG129" s="354"/>
      <c r="AH129" s="354"/>
      <c r="AI129" s="354" t="s">
        <v>2251</v>
      </c>
      <c r="AJ129" s="416"/>
      <c r="AK129" s="244" t="s">
        <v>2836</v>
      </c>
    </row>
    <row r="130" spans="1:37" ht="39.950000000000003" customHeight="1">
      <c r="A130" s="354">
        <v>128</v>
      </c>
      <c r="B130" s="355">
        <v>45233</v>
      </c>
      <c r="C130" s="356">
        <v>0.49236111111111108</v>
      </c>
      <c r="D130" s="152" t="s">
        <v>2426</v>
      </c>
      <c r="E130" s="357" t="s">
        <v>2427</v>
      </c>
      <c r="F130" s="354">
        <v>2</v>
      </c>
      <c r="G130" s="354"/>
      <c r="H130" s="355"/>
      <c r="I130" s="355"/>
      <c r="J130" s="355"/>
      <c r="K130" s="354" t="str">
        <f>IFERROR(VLOOKUP(J130,Jueces!$A$1:$B$11,2,FALSE),"")</f>
        <v/>
      </c>
      <c r="L130" s="152" t="s">
        <v>592</v>
      </c>
      <c r="M130" s="152"/>
      <c r="N130" s="354"/>
      <c r="O130" s="152" t="str">
        <f t="shared" ca="1" si="3"/>
        <v>LIMBO</v>
      </c>
      <c r="P130" s="152"/>
      <c r="Q130" s="152" t="s">
        <v>709</v>
      </c>
      <c r="R130" s="152"/>
      <c r="S130" s="152"/>
      <c r="T130" s="358"/>
      <c r="U130" s="358"/>
      <c r="V130" s="354"/>
      <c r="W130" s="354"/>
      <c r="X130" s="354"/>
      <c r="Y130" s="354"/>
      <c r="Z130" s="354"/>
      <c r="AA130" s="354"/>
      <c r="AB130" s="354"/>
      <c r="AC130" s="354"/>
      <c r="AD130" s="354"/>
      <c r="AE130" s="354"/>
      <c r="AF130" s="379">
        <f t="shared" si="4"/>
        <v>7</v>
      </c>
      <c r="AG130" s="354"/>
      <c r="AH130" s="354"/>
      <c r="AI130" s="354" t="s">
        <v>2251</v>
      </c>
      <c r="AJ130" s="416"/>
      <c r="AK130" s="244" t="s">
        <v>2836</v>
      </c>
    </row>
    <row r="131" spans="1:37" ht="39.950000000000003" customHeight="1">
      <c r="A131" s="354">
        <v>129</v>
      </c>
      <c r="B131" s="355">
        <v>45236</v>
      </c>
      <c r="C131" s="356">
        <v>0.33333333333333331</v>
      </c>
      <c r="D131" s="152" t="s">
        <v>2428</v>
      </c>
      <c r="E131" s="357" t="s">
        <v>2429</v>
      </c>
      <c r="F131" s="354">
        <v>2</v>
      </c>
      <c r="G131" s="354"/>
      <c r="H131" s="355"/>
      <c r="I131" s="355"/>
      <c r="J131" s="355"/>
      <c r="K131" s="354" t="str">
        <f>IFERROR(VLOOKUP(J131,Jueces!$A$1:$B$11,2,FALSE),"")</f>
        <v/>
      </c>
      <c r="L131" s="152" t="s">
        <v>574</v>
      </c>
      <c r="M131" s="152"/>
      <c r="N131" s="354"/>
      <c r="O131" s="152" t="str">
        <f t="shared" ref="O131:O194" ca="1" si="5">IF($H131&lt;&gt;"",IF($H131&lt;=TODAY(),"SI","NO"),"LIMBO")</f>
        <v>LIMBO</v>
      </c>
      <c r="P131" s="152"/>
      <c r="Q131" s="152" t="s">
        <v>709</v>
      </c>
      <c r="R131" s="152"/>
      <c r="S131" s="152"/>
      <c r="T131" s="358"/>
      <c r="U131" s="358"/>
      <c r="V131" s="354"/>
      <c r="W131" s="354"/>
      <c r="X131" s="354"/>
      <c r="Y131" s="354"/>
      <c r="Z131" s="354"/>
      <c r="AA131" s="354"/>
      <c r="AB131" s="354"/>
      <c r="AC131" s="354"/>
      <c r="AD131" s="354"/>
      <c r="AE131" s="354"/>
      <c r="AF131" s="379">
        <f t="shared" ref="AF131:AF194" si="6">MAX($AC131,$AE131)+7</f>
        <v>7</v>
      </c>
      <c r="AG131" s="354"/>
      <c r="AH131" s="354"/>
      <c r="AI131" s="354" t="s">
        <v>2251</v>
      </c>
      <c r="AJ131" s="416"/>
      <c r="AK131" s="244" t="s">
        <v>2836</v>
      </c>
    </row>
    <row r="132" spans="1:37" ht="39.950000000000003" customHeight="1">
      <c r="A132" s="354">
        <v>130</v>
      </c>
      <c r="B132" s="355">
        <v>45236</v>
      </c>
      <c r="C132" s="356">
        <v>0.33333333333333331</v>
      </c>
      <c r="D132" s="152" t="s">
        <v>2430</v>
      </c>
      <c r="E132" s="357" t="s">
        <v>2431</v>
      </c>
      <c r="F132" s="354">
        <v>7</v>
      </c>
      <c r="G132" s="354"/>
      <c r="H132" s="355"/>
      <c r="I132" s="355"/>
      <c r="J132" s="355"/>
      <c r="K132" s="354" t="str">
        <f>IFERROR(VLOOKUP(J132,Jueces!$A$1:$B$11,2,FALSE),"")</f>
        <v/>
      </c>
      <c r="L132" s="152" t="s">
        <v>599</v>
      </c>
      <c r="M132" s="152"/>
      <c r="N132" s="354"/>
      <c r="O132" s="152" t="str">
        <f t="shared" ca="1" si="5"/>
        <v>LIMBO</v>
      </c>
      <c r="P132" s="152"/>
      <c r="Q132" s="152" t="s">
        <v>709</v>
      </c>
      <c r="R132" s="152"/>
      <c r="S132" s="152"/>
      <c r="T132" s="358"/>
      <c r="U132" s="358"/>
      <c r="V132" s="354"/>
      <c r="W132" s="354"/>
      <c r="X132" s="354"/>
      <c r="Y132" s="354"/>
      <c r="Z132" s="354"/>
      <c r="AA132" s="354"/>
      <c r="AB132" s="354"/>
      <c r="AC132" s="354"/>
      <c r="AD132" s="354"/>
      <c r="AE132" s="354"/>
      <c r="AF132" s="379">
        <f t="shared" si="6"/>
        <v>7</v>
      </c>
      <c r="AG132" s="354"/>
      <c r="AH132" s="354"/>
      <c r="AI132" s="354" t="s">
        <v>2251</v>
      </c>
      <c r="AJ132" s="416"/>
      <c r="AK132" s="244" t="s">
        <v>2836</v>
      </c>
    </row>
    <row r="133" spans="1:37" ht="39.950000000000003" customHeight="1">
      <c r="A133" s="354">
        <v>131</v>
      </c>
      <c r="B133" s="355">
        <v>45236</v>
      </c>
      <c r="C133" s="361">
        <v>0.33333333333333331</v>
      </c>
      <c r="D133" s="152" t="s">
        <v>2432</v>
      </c>
      <c r="E133" s="357" t="s">
        <v>2433</v>
      </c>
      <c r="F133" s="354">
        <v>2</v>
      </c>
      <c r="G133" s="354"/>
      <c r="H133" s="355"/>
      <c r="I133" s="355"/>
      <c r="J133" s="355"/>
      <c r="K133" s="354" t="str">
        <f>IFERROR(VLOOKUP(J133,Jueces!$A$1:$B$11,2,FALSE),"")</f>
        <v/>
      </c>
      <c r="L133" s="152" t="s">
        <v>576</v>
      </c>
      <c r="M133" s="152"/>
      <c r="N133" s="354"/>
      <c r="O133" s="152" t="str">
        <f t="shared" ca="1" si="5"/>
        <v>LIMBO</v>
      </c>
      <c r="P133" s="152"/>
      <c r="Q133" s="152" t="s">
        <v>709</v>
      </c>
      <c r="R133" s="152"/>
      <c r="S133" s="152"/>
      <c r="T133" s="358"/>
      <c r="U133" s="358"/>
      <c r="V133" s="354"/>
      <c r="W133" s="354"/>
      <c r="X133" s="354"/>
      <c r="Y133" s="354"/>
      <c r="Z133" s="354"/>
      <c r="AA133" s="354"/>
      <c r="AB133" s="354"/>
      <c r="AC133" s="354"/>
      <c r="AD133" s="354"/>
      <c r="AE133" s="354"/>
      <c r="AF133" s="379">
        <f t="shared" si="6"/>
        <v>7</v>
      </c>
      <c r="AG133" s="354"/>
      <c r="AH133" s="354"/>
      <c r="AI133" s="354" t="s">
        <v>2251</v>
      </c>
      <c r="AJ133" s="416"/>
      <c r="AK133" s="244" t="s">
        <v>2836</v>
      </c>
    </row>
    <row r="134" spans="1:37" ht="39.950000000000003" customHeight="1">
      <c r="A134" s="354">
        <v>132</v>
      </c>
      <c r="B134" s="355">
        <v>45236</v>
      </c>
      <c r="C134" s="356">
        <v>0.33333333333333331</v>
      </c>
      <c r="D134" s="152" t="s">
        <v>2434</v>
      </c>
      <c r="E134" s="357" t="s">
        <v>2435</v>
      </c>
      <c r="F134" s="354">
        <v>2</v>
      </c>
      <c r="G134" s="354"/>
      <c r="H134" s="355"/>
      <c r="I134" s="355"/>
      <c r="J134" s="355"/>
      <c r="K134" s="354" t="str">
        <f>IFERROR(VLOOKUP(J134,Jueces!$A$1:$B$11,2,FALSE),"")</f>
        <v/>
      </c>
      <c r="L134" s="152" t="s">
        <v>596</v>
      </c>
      <c r="M134" s="152"/>
      <c r="N134" s="354"/>
      <c r="O134" s="152" t="str">
        <f t="shared" ca="1" si="5"/>
        <v>LIMBO</v>
      </c>
      <c r="P134" s="152"/>
      <c r="Q134" s="152" t="s">
        <v>709</v>
      </c>
      <c r="R134" s="152"/>
      <c r="S134" s="152"/>
      <c r="T134" s="358"/>
      <c r="U134" s="358"/>
      <c r="V134" s="354"/>
      <c r="W134" s="354"/>
      <c r="X134" s="354"/>
      <c r="Y134" s="354"/>
      <c r="Z134" s="354"/>
      <c r="AA134" s="354"/>
      <c r="AB134" s="354"/>
      <c r="AC134" s="354"/>
      <c r="AD134" s="354"/>
      <c r="AE134" s="354"/>
      <c r="AF134" s="379">
        <f t="shared" si="6"/>
        <v>7</v>
      </c>
      <c r="AG134" s="354"/>
      <c r="AH134" s="354"/>
      <c r="AI134" s="354" t="s">
        <v>2251</v>
      </c>
      <c r="AJ134" s="416"/>
      <c r="AK134" s="244" t="s">
        <v>2836</v>
      </c>
    </row>
    <row r="135" spans="1:37" ht="39.950000000000003" customHeight="1">
      <c r="A135" s="354">
        <v>133</v>
      </c>
      <c r="B135" s="355">
        <v>45236</v>
      </c>
      <c r="C135" s="356">
        <v>0.33333333333333331</v>
      </c>
      <c r="D135" s="152" t="s">
        <v>2436</v>
      </c>
      <c r="E135" s="357" t="s">
        <v>2437</v>
      </c>
      <c r="F135" s="354">
        <v>8</v>
      </c>
      <c r="G135" s="354"/>
      <c r="H135" s="355"/>
      <c r="I135" s="355"/>
      <c r="J135" s="355"/>
      <c r="K135" s="354" t="str">
        <f>IFERROR(VLOOKUP(J135,Jueces!$A$1:$B$11,2,FALSE),"")</f>
        <v/>
      </c>
      <c r="L135" s="152" t="s">
        <v>578</v>
      </c>
      <c r="M135" s="152"/>
      <c r="N135" s="354"/>
      <c r="O135" s="152" t="str">
        <f t="shared" ca="1" si="5"/>
        <v>LIMBO</v>
      </c>
      <c r="P135" s="152"/>
      <c r="Q135" s="152" t="s">
        <v>709</v>
      </c>
      <c r="R135" s="152"/>
      <c r="S135" s="152"/>
      <c r="T135" s="358"/>
      <c r="U135" s="358"/>
      <c r="V135" s="354"/>
      <c r="W135" s="354"/>
      <c r="X135" s="354"/>
      <c r="Y135" s="354"/>
      <c r="Z135" s="354"/>
      <c r="AA135" s="354"/>
      <c r="AB135" s="354"/>
      <c r="AC135" s="354"/>
      <c r="AD135" s="354"/>
      <c r="AE135" s="354"/>
      <c r="AF135" s="379">
        <f t="shared" si="6"/>
        <v>7</v>
      </c>
      <c r="AG135" s="354"/>
      <c r="AH135" s="354"/>
      <c r="AI135" s="354" t="s">
        <v>2251</v>
      </c>
      <c r="AJ135" s="416"/>
      <c r="AK135" s="244" t="s">
        <v>2836</v>
      </c>
    </row>
    <row r="136" spans="1:37" ht="39.950000000000003" customHeight="1">
      <c r="A136" s="354">
        <v>134</v>
      </c>
      <c r="B136" s="355">
        <v>45236</v>
      </c>
      <c r="C136" s="356">
        <v>0.33333333333333331</v>
      </c>
      <c r="D136" s="152" t="s">
        <v>2438</v>
      </c>
      <c r="E136" s="357" t="s">
        <v>2439</v>
      </c>
      <c r="F136" s="354">
        <v>2</v>
      </c>
      <c r="G136" s="354"/>
      <c r="H136" s="355"/>
      <c r="I136" s="355"/>
      <c r="J136" s="355"/>
      <c r="K136" s="354" t="str">
        <f>IFERROR(VLOOKUP(J136,Jueces!$A$1:$B$11,2,FALSE),"")</f>
        <v/>
      </c>
      <c r="L136" s="152" t="s">
        <v>592</v>
      </c>
      <c r="M136" s="152"/>
      <c r="N136" s="354"/>
      <c r="O136" s="152" t="str">
        <f t="shared" ca="1" si="5"/>
        <v>LIMBO</v>
      </c>
      <c r="P136" s="152"/>
      <c r="Q136" s="152" t="s">
        <v>709</v>
      </c>
      <c r="R136" s="152"/>
      <c r="S136" s="152"/>
      <c r="T136" s="358"/>
      <c r="U136" s="358"/>
      <c r="V136" s="354"/>
      <c r="W136" s="354"/>
      <c r="X136" s="354"/>
      <c r="Y136" s="354"/>
      <c r="Z136" s="354"/>
      <c r="AA136" s="354"/>
      <c r="AB136" s="354"/>
      <c r="AC136" s="354"/>
      <c r="AD136" s="354"/>
      <c r="AE136" s="354"/>
      <c r="AF136" s="379">
        <f t="shared" si="6"/>
        <v>7</v>
      </c>
      <c r="AG136" s="354"/>
      <c r="AH136" s="354"/>
      <c r="AI136" s="354" t="s">
        <v>2251</v>
      </c>
      <c r="AJ136" s="416"/>
      <c r="AK136" s="244" t="s">
        <v>2836</v>
      </c>
    </row>
    <row r="137" spans="1:37" ht="39.950000000000003" customHeight="1">
      <c r="A137" s="354">
        <v>135</v>
      </c>
      <c r="B137" s="355">
        <v>45236</v>
      </c>
      <c r="C137" s="356">
        <v>0.33333333333333331</v>
      </c>
      <c r="D137" s="152" t="s">
        <v>2440</v>
      </c>
      <c r="E137" s="357" t="s">
        <v>2441</v>
      </c>
      <c r="F137" s="354">
        <v>2</v>
      </c>
      <c r="G137" s="354"/>
      <c r="H137" s="355"/>
      <c r="I137" s="355"/>
      <c r="J137" s="355"/>
      <c r="K137" s="354" t="str">
        <f>IFERROR(VLOOKUP(J137,Jueces!$A$1:$B$11,2,FALSE),"")</f>
        <v/>
      </c>
      <c r="L137" s="152" t="s">
        <v>594</v>
      </c>
      <c r="M137" s="152"/>
      <c r="N137" s="354"/>
      <c r="O137" s="152" t="str">
        <f t="shared" ca="1" si="5"/>
        <v>LIMBO</v>
      </c>
      <c r="P137" s="152"/>
      <c r="Q137" s="152" t="s">
        <v>709</v>
      </c>
      <c r="R137" s="152"/>
      <c r="S137" s="152"/>
      <c r="T137" s="358"/>
      <c r="U137" s="358"/>
      <c r="V137" s="354"/>
      <c r="W137" s="354"/>
      <c r="X137" s="354"/>
      <c r="Y137" s="354"/>
      <c r="Z137" s="354"/>
      <c r="AA137" s="354"/>
      <c r="AB137" s="354"/>
      <c r="AC137" s="354"/>
      <c r="AD137" s="354"/>
      <c r="AE137" s="354"/>
      <c r="AF137" s="379">
        <f t="shared" si="6"/>
        <v>7</v>
      </c>
      <c r="AG137" s="354"/>
      <c r="AH137" s="354"/>
      <c r="AI137" s="354" t="s">
        <v>2251</v>
      </c>
      <c r="AJ137" s="416"/>
      <c r="AK137" s="244" t="s">
        <v>2836</v>
      </c>
    </row>
    <row r="138" spans="1:37" ht="39.950000000000003" customHeight="1">
      <c r="A138" s="354">
        <v>136</v>
      </c>
      <c r="B138" s="355">
        <v>45236</v>
      </c>
      <c r="C138" s="356">
        <v>0.33333333333333331</v>
      </c>
      <c r="D138" s="152" t="s">
        <v>2442</v>
      </c>
      <c r="E138" s="357" t="s">
        <v>2443</v>
      </c>
      <c r="F138" s="354">
        <v>2</v>
      </c>
      <c r="G138" s="354"/>
      <c r="H138" s="355"/>
      <c r="I138" s="355"/>
      <c r="J138" s="355"/>
      <c r="K138" s="354" t="str">
        <f>IFERROR(VLOOKUP(J138,Jueces!$A$1:$B$11,2,FALSE),"")</f>
        <v/>
      </c>
      <c r="L138" s="152" t="s">
        <v>1386</v>
      </c>
      <c r="M138" s="152"/>
      <c r="N138" s="354"/>
      <c r="O138" s="152" t="str">
        <f t="shared" ca="1" si="5"/>
        <v>LIMBO</v>
      </c>
      <c r="P138" s="152"/>
      <c r="Q138" s="152" t="s">
        <v>709</v>
      </c>
      <c r="R138" s="152"/>
      <c r="S138" s="152"/>
      <c r="T138" s="358"/>
      <c r="U138" s="358"/>
      <c r="V138" s="354"/>
      <c r="W138" s="354"/>
      <c r="X138" s="354"/>
      <c r="Y138" s="354"/>
      <c r="Z138" s="354"/>
      <c r="AA138" s="354"/>
      <c r="AB138" s="354"/>
      <c r="AC138" s="354"/>
      <c r="AD138" s="354"/>
      <c r="AE138" s="354"/>
      <c r="AF138" s="379">
        <f t="shared" si="6"/>
        <v>7</v>
      </c>
      <c r="AG138" s="354"/>
      <c r="AH138" s="354"/>
      <c r="AI138" s="354" t="s">
        <v>2251</v>
      </c>
      <c r="AJ138" s="416"/>
      <c r="AK138" s="244" t="s">
        <v>2836</v>
      </c>
    </row>
    <row r="139" spans="1:37" ht="39.950000000000003" customHeight="1">
      <c r="A139" s="354">
        <v>137</v>
      </c>
      <c r="B139" s="355">
        <v>45236</v>
      </c>
      <c r="C139" s="356">
        <v>0.40347222222222223</v>
      </c>
      <c r="D139" s="152" t="s">
        <v>1780</v>
      </c>
      <c r="E139" s="357" t="s">
        <v>2446</v>
      </c>
      <c r="F139" s="354">
        <v>6</v>
      </c>
      <c r="G139" s="354" t="s">
        <v>1841</v>
      </c>
      <c r="H139" s="355"/>
      <c r="I139" s="355"/>
      <c r="J139" s="355"/>
      <c r="K139" s="354" t="str">
        <f>IFERROR(VLOOKUP(J139,Jueces!$A$1:$B$11,2,FALSE),"")</f>
        <v/>
      </c>
      <c r="L139" s="152" t="s">
        <v>574</v>
      </c>
      <c r="M139" s="152"/>
      <c r="N139" s="354"/>
      <c r="O139" s="152" t="str">
        <f t="shared" ca="1" si="5"/>
        <v>LIMBO</v>
      </c>
      <c r="P139" s="152"/>
      <c r="Q139" s="152" t="s">
        <v>709</v>
      </c>
      <c r="R139" s="152"/>
      <c r="S139" s="152"/>
      <c r="T139" s="358"/>
      <c r="U139" s="358"/>
      <c r="V139" s="354"/>
      <c r="W139" s="354"/>
      <c r="X139" s="354"/>
      <c r="Y139" s="354"/>
      <c r="Z139" s="354"/>
      <c r="AA139" s="354"/>
      <c r="AB139" s="354"/>
      <c r="AC139" s="354"/>
      <c r="AD139" s="354"/>
      <c r="AE139" s="354"/>
      <c r="AF139" s="379">
        <f t="shared" si="6"/>
        <v>7</v>
      </c>
      <c r="AG139" s="354"/>
      <c r="AH139" s="354"/>
      <c r="AI139" s="354" t="s">
        <v>2251</v>
      </c>
      <c r="AJ139" s="416"/>
      <c r="AK139" s="244" t="s">
        <v>2836</v>
      </c>
    </row>
    <row r="140" spans="1:37" ht="39.950000000000003" customHeight="1">
      <c r="A140" s="354">
        <v>138</v>
      </c>
      <c r="B140" s="355">
        <v>45236</v>
      </c>
      <c r="C140" s="356">
        <v>0.41388888888888892</v>
      </c>
      <c r="D140" s="152" t="s">
        <v>2447</v>
      </c>
      <c r="E140" s="357" t="s">
        <v>2448</v>
      </c>
      <c r="F140" s="354">
        <v>6</v>
      </c>
      <c r="G140" s="354" t="s">
        <v>1841</v>
      </c>
      <c r="H140" s="355"/>
      <c r="I140" s="355"/>
      <c r="J140" s="355"/>
      <c r="K140" s="354" t="str">
        <f>IFERROR(VLOOKUP(J140,Jueces!$A$1:$B$11,2,FALSE),"")</f>
        <v/>
      </c>
      <c r="L140" s="152" t="s">
        <v>592</v>
      </c>
      <c r="M140" s="152"/>
      <c r="N140" s="354"/>
      <c r="O140" s="152" t="str">
        <f t="shared" ca="1" si="5"/>
        <v>LIMBO</v>
      </c>
      <c r="P140" s="152"/>
      <c r="Q140" s="152" t="s">
        <v>709</v>
      </c>
      <c r="R140" s="152"/>
      <c r="S140" s="152"/>
      <c r="T140" s="358"/>
      <c r="U140" s="358"/>
      <c r="V140" s="354"/>
      <c r="W140" s="354"/>
      <c r="X140" s="354"/>
      <c r="Y140" s="354"/>
      <c r="Z140" s="354"/>
      <c r="AA140" s="354"/>
      <c r="AB140" s="354"/>
      <c r="AC140" s="354"/>
      <c r="AD140" s="354"/>
      <c r="AE140" s="354"/>
      <c r="AF140" s="379">
        <f t="shared" si="6"/>
        <v>7</v>
      </c>
      <c r="AG140" s="354"/>
      <c r="AH140" s="354"/>
      <c r="AI140" s="354" t="s">
        <v>2251</v>
      </c>
      <c r="AJ140" s="416"/>
      <c r="AK140" s="244" t="s">
        <v>2836</v>
      </c>
    </row>
    <row r="141" spans="1:37" ht="39.950000000000003" customHeight="1">
      <c r="A141" s="354">
        <v>139</v>
      </c>
      <c r="B141" s="355">
        <v>45236</v>
      </c>
      <c r="C141" s="356">
        <v>0.41666666666666669</v>
      </c>
      <c r="D141" s="152" t="s">
        <v>2449</v>
      </c>
      <c r="E141" s="357" t="s">
        <v>2450</v>
      </c>
      <c r="F141" s="354">
        <v>6</v>
      </c>
      <c r="G141" s="354" t="s">
        <v>1841</v>
      </c>
      <c r="H141" s="355"/>
      <c r="I141" s="355"/>
      <c r="J141" s="355"/>
      <c r="K141" s="354" t="str">
        <f>IFERROR(VLOOKUP(J141,Jueces!$A$1:$B$11,2,FALSE),"")</f>
        <v/>
      </c>
      <c r="L141" s="152" t="s">
        <v>585</v>
      </c>
      <c r="M141" s="152"/>
      <c r="N141" s="354"/>
      <c r="O141" s="152" t="str">
        <f t="shared" ca="1" si="5"/>
        <v>LIMBO</v>
      </c>
      <c r="P141" s="152"/>
      <c r="Q141" s="152" t="s">
        <v>709</v>
      </c>
      <c r="R141" s="152"/>
      <c r="S141" s="152"/>
      <c r="T141" s="358"/>
      <c r="U141" s="358"/>
      <c r="V141" s="354"/>
      <c r="W141" s="354"/>
      <c r="X141" s="354"/>
      <c r="Y141" s="354"/>
      <c r="Z141" s="354"/>
      <c r="AA141" s="354"/>
      <c r="AB141" s="354"/>
      <c r="AC141" s="354"/>
      <c r="AD141" s="354"/>
      <c r="AE141" s="354"/>
      <c r="AF141" s="379">
        <f t="shared" si="6"/>
        <v>7</v>
      </c>
      <c r="AG141" s="354"/>
      <c r="AH141" s="354"/>
      <c r="AI141" s="354" t="s">
        <v>2251</v>
      </c>
      <c r="AJ141" s="416"/>
      <c r="AK141" s="244" t="s">
        <v>2836</v>
      </c>
    </row>
    <row r="142" spans="1:37" ht="39.950000000000003" customHeight="1">
      <c r="A142" s="321">
        <v>140</v>
      </c>
      <c r="B142" s="319">
        <v>45233</v>
      </c>
      <c r="C142" s="322">
        <v>0.44791666666666669</v>
      </c>
      <c r="D142" s="216" t="s">
        <v>1870</v>
      </c>
      <c r="E142" s="335" t="s">
        <v>2453</v>
      </c>
      <c r="F142" s="321">
        <v>4</v>
      </c>
      <c r="G142" s="321" t="s">
        <v>1841</v>
      </c>
      <c r="H142" s="319"/>
      <c r="I142" s="319"/>
      <c r="J142" s="319"/>
      <c r="K142" s="321" t="str">
        <f>IFERROR(VLOOKUP(J142,Jueces!$A$1:$B$11,2,FALSE),"")</f>
        <v/>
      </c>
      <c r="L142" s="216" t="s">
        <v>583</v>
      </c>
      <c r="M142" s="216" t="s">
        <v>657</v>
      </c>
      <c r="N142" s="321"/>
      <c r="O142" s="216" t="str">
        <f t="shared" ca="1" si="5"/>
        <v>LIMBO</v>
      </c>
      <c r="P142" s="216"/>
      <c r="Q142" s="216" t="s">
        <v>709</v>
      </c>
      <c r="R142" s="216"/>
      <c r="S142" s="216"/>
      <c r="T142" s="317"/>
      <c r="U142" s="317"/>
      <c r="V142" s="321"/>
      <c r="W142" s="321"/>
      <c r="X142" s="321"/>
      <c r="Y142" s="321"/>
      <c r="Z142" s="321"/>
      <c r="AA142" s="321"/>
      <c r="AB142" s="321"/>
      <c r="AC142" s="321"/>
      <c r="AD142" s="321"/>
      <c r="AE142" s="321"/>
      <c r="AF142" s="379">
        <f t="shared" si="6"/>
        <v>7</v>
      </c>
      <c r="AG142" s="321"/>
      <c r="AH142" s="321"/>
      <c r="AI142" s="321" t="s">
        <v>2161</v>
      </c>
      <c r="AJ142" s="415"/>
      <c r="AK142" s="244" t="s">
        <v>2161</v>
      </c>
    </row>
    <row r="143" spans="1:37" ht="39.950000000000003" customHeight="1">
      <c r="A143" s="354">
        <v>141</v>
      </c>
      <c r="B143" s="355">
        <v>45236</v>
      </c>
      <c r="C143" s="356">
        <v>0.43124999999999997</v>
      </c>
      <c r="D143" s="152" t="s">
        <v>2454</v>
      </c>
      <c r="E143" s="357" t="s">
        <v>2455</v>
      </c>
      <c r="F143" s="354">
        <v>6</v>
      </c>
      <c r="G143" s="354" t="s">
        <v>1841</v>
      </c>
      <c r="H143" s="355"/>
      <c r="I143" s="355"/>
      <c r="J143" s="355"/>
      <c r="K143" s="354" t="str">
        <f>IFERROR(VLOOKUP(J143,Jueces!$A$1:$B$11,2,FALSE),"")</f>
        <v/>
      </c>
      <c r="L143" s="152" t="s">
        <v>586</v>
      </c>
      <c r="M143" s="152"/>
      <c r="N143" s="354"/>
      <c r="O143" s="152" t="str">
        <f t="shared" ca="1" si="5"/>
        <v>LIMBO</v>
      </c>
      <c r="P143" s="152"/>
      <c r="Q143" s="152" t="s">
        <v>709</v>
      </c>
      <c r="R143" s="152"/>
      <c r="S143" s="152"/>
      <c r="T143" s="358"/>
      <c r="U143" s="358"/>
      <c r="V143" s="354"/>
      <c r="W143" s="354"/>
      <c r="X143" s="354"/>
      <c r="Y143" s="354"/>
      <c r="Z143" s="354"/>
      <c r="AA143" s="354"/>
      <c r="AB143" s="354"/>
      <c r="AC143" s="354"/>
      <c r="AD143" s="354"/>
      <c r="AE143" s="354"/>
      <c r="AF143" s="379">
        <f t="shared" si="6"/>
        <v>7</v>
      </c>
      <c r="AG143" s="354"/>
      <c r="AH143" s="354"/>
      <c r="AI143" s="354" t="s">
        <v>2251</v>
      </c>
      <c r="AJ143" s="416"/>
      <c r="AK143" s="244" t="s">
        <v>2836</v>
      </c>
    </row>
    <row r="144" spans="1:37" ht="39.950000000000003" customHeight="1">
      <c r="A144" s="354">
        <v>142</v>
      </c>
      <c r="B144" s="355">
        <v>45236</v>
      </c>
      <c r="C144" s="356">
        <v>0.47083333333333338</v>
      </c>
      <c r="D144" s="152" t="s">
        <v>2456</v>
      </c>
      <c r="E144" s="357" t="s">
        <v>2457</v>
      </c>
      <c r="F144" s="354">
        <v>6</v>
      </c>
      <c r="G144" s="354" t="s">
        <v>1841</v>
      </c>
      <c r="H144" s="355"/>
      <c r="I144" s="355"/>
      <c r="J144" s="355"/>
      <c r="K144" s="354" t="str">
        <f>IFERROR(VLOOKUP(J144,Jueces!$A$1:$B$11,2,FALSE),"")</f>
        <v/>
      </c>
      <c r="L144" s="152" t="s">
        <v>781</v>
      </c>
      <c r="M144" s="152"/>
      <c r="N144" s="354"/>
      <c r="O144" s="152" t="str">
        <f t="shared" ca="1" si="5"/>
        <v>LIMBO</v>
      </c>
      <c r="P144" s="152"/>
      <c r="Q144" s="152" t="s">
        <v>709</v>
      </c>
      <c r="R144" s="152"/>
      <c r="S144" s="152"/>
      <c r="T144" s="358"/>
      <c r="U144" s="358"/>
      <c r="V144" s="354"/>
      <c r="W144" s="354"/>
      <c r="X144" s="354"/>
      <c r="Y144" s="354"/>
      <c r="Z144" s="354"/>
      <c r="AA144" s="354"/>
      <c r="AB144" s="354"/>
      <c r="AC144" s="354"/>
      <c r="AD144" s="354"/>
      <c r="AE144" s="354"/>
      <c r="AF144" s="379">
        <f t="shared" si="6"/>
        <v>7</v>
      </c>
      <c r="AG144" s="354"/>
      <c r="AH144" s="354"/>
      <c r="AI144" s="354" t="s">
        <v>2251</v>
      </c>
      <c r="AJ144" s="416"/>
      <c r="AK144" s="244" t="s">
        <v>2836</v>
      </c>
    </row>
    <row r="145" spans="1:37" ht="39.950000000000003" customHeight="1">
      <c r="A145" s="354">
        <v>143</v>
      </c>
      <c r="B145" s="355">
        <v>45236</v>
      </c>
      <c r="C145" s="356">
        <v>0.42569444444444443</v>
      </c>
      <c r="D145" s="152" t="s">
        <v>2458</v>
      </c>
      <c r="E145" s="357" t="s">
        <v>2459</v>
      </c>
      <c r="F145" s="354">
        <v>6</v>
      </c>
      <c r="G145" s="354" t="s">
        <v>1841</v>
      </c>
      <c r="H145" s="355"/>
      <c r="I145" s="355"/>
      <c r="J145" s="355"/>
      <c r="K145" s="354" t="str">
        <f>IFERROR(VLOOKUP(J145,Jueces!$A$1:$B$11,2,FALSE),"")</f>
        <v/>
      </c>
      <c r="L145" s="152" t="s">
        <v>1386</v>
      </c>
      <c r="M145" s="152"/>
      <c r="N145" s="354"/>
      <c r="O145" s="152" t="str">
        <f t="shared" ca="1" si="5"/>
        <v>LIMBO</v>
      </c>
      <c r="P145" s="152"/>
      <c r="Q145" s="152" t="s">
        <v>709</v>
      </c>
      <c r="R145" s="152"/>
      <c r="S145" s="152"/>
      <c r="T145" s="358"/>
      <c r="U145" s="358"/>
      <c r="V145" s="354"/>
      <c r="W145" s="354"/>
      <c r="X145" s="354"/>
      <c r="Y145" s="354"/>
      <c r="Z145" s="354"/>
      <c r="AA145" s="354"/>
      <c r="AB145" s="354"/>
      <c r="AC145" s="354"/>
      <c r="AD145" s="354"/>
      <c r="AE145" s="354"/>
      <c r="AF145" s="379">
        <f t="shared" si="6"/>
        <v>7</v>
      </c>
      <c r="AG145" s="354"/>
      <c r="AH145" s="354"/>
      <c r="AI145" s="354" t="s">
        <v>2251</v>
      </c>
      <c r="AJ145" s="416"/>
      <c r="AK145" s="244" t="s">
        <v>2836</v>
      </c>
    </row>
    <row r="146" spans="1:37" ht="39.950000000000003" customHeight="1">
      <c r="A146" s="354">
        <v>144</v>
      </c>
      <c r="B146" s="355">
        <v>45236</v>
      </c>
      <c r="C146" s="356">
        <v>0.45555555555555555</v>
      </c>
      <c r="D146" s="152" t="s">
        <v>2460</v>
      </c>
      <c r="E146" s="357" t="s">
        <v>2461</v>
      </c>
      <c r="F146" s="354">
        <v>6</v>
      </c>
      <c r="G146" s="354" t="s">
        <v>1841</v>
      </c>
      <c r="H146" s="355"/>
      <c r="I146" s="355"/>
      <c r="J146" s="355"/>
      <c r="K146" s="354" t="str">
        <f>IFERROR(VLOOKUP(J146,Jueces!$A$1:$B$11,2,FALSE),"")</f>
        <v/>
      </c>
      <c r="L146" s="152" t="s">
        <v>1390</v>
      </c>
      <c r="M146" s="152"/>
      <c r="N146" s="354"/>
      <c r="O146" s="152" t="str">
        <f t="shared" ca="1" si="5"/>
        <v>LIMBO</v>
      </c>
      <c r="P146" s="152"/>
      <c r="Q146" s="152" t="s">
        <v>709</v>
      </c>
      <c r="R146" s="152"/>
      <c r="S146" s="152"/>
      <c r="T146" s="358"/>
      <c r="U146" s="358"/>
      <c r="V146" s="354"/>
      <c r="W146" s="354"/>
      <c r="X146" s="354"/>
      <c r="Y146" s="354"/>
      <c r="Z146" s="354"/>
      <c r="AA146" s="354"/>
      <c r="AB146" s="354"/>
      <c r="AC146" s="354"/>
      <c r="AD146" s="354"/>
      <c r="AE146" s="354"/>
      <c r="AF146" s="379">
        <f t="shared" si="6"/>
        <v>7</v>
      </c>
      <c r="AG146" s="354"/>
      <c r="AH146" s="354"/>
      <c r="AI146" s="354" t="s">
        <v>2251</v>
      </c>
      <c r="AJ146" s="416"/>
      <c r="AK146" s="244" t="s">
        <v>2836</v>
      </c>
    </row>
    <row r="147" spans="1:37" ht="39.950000000000003" customHeight="1">
      <c r="A147" s="354">
        <v>145</v>
      </c>
      <c r="B147" s="355">
        <v>45236</v>
      </c>
      <c r="C147" s="356">
        <v>0.46249999999999997</v>
      </c>
      <c r="D147" s="152" t="s">
        <v>2462</v>
      </c>
      <c r="E147" s="357" t="s">
        <v>2463</v>
      </c>
      <c r="F147" s="354">
        <v>6</v>
      </c>
      <c r="G147" s="354" t="s">
        <v>1841</v>
      </c>
      <c r="H147" s="355"/>
      <c r="I147" s="355"/>
      <c r="J147" s="355"/>
      <c r="K147" s="354" t="str">
        <f>IFERROR(VLOOKUP(J147,Jueces!$A$1:$B$11,2,FALSE),"")</f>
        <v/>
      </c>
      <c r="L147" s="152" t="s">
        <v>583</v>
      </c>
      <c r="M147" s="152"/>
      <c r="N147" s="354"/>
      <c r="O147" s="152" t="str">
        <f t="shared" ca="1" si="5"/>
        <v>LIMBO</v>
      </c>
      <c r="P147" s="152"/>
      <c r="Q147" s="152" t="s">
        <v>709</v>
      </c>
      <c r="R147" s="152"/>
      <c r="S147" s="152"/>
      <c r="T147" s="358"/>
      <c r="U147" s="358"/>
      <c r="V147" s="354"/>
      <c r="W147" s="354"/>
      <c r="X147" s="354"/>
      <c r="Y147" s="354"/>
      <c r="Z147" s="354"/>
      <c r="AA147" s="354"/>
      <c r="AB147" s="354"/>
      <c r="AC147" s="354"/>
      <c r="AD147" s="354"/>
      <c r="AE147" s="354"/>
      <c r="AF147" s="379">
        <f t="shared" si="6"/>
        <v>7</v>
      </c>
      <c r="AG147" s="354"/>
      <c r="AH147" s="354"/>
      <c r="AI147" s="354" t="s">
        <v>2251</v>
      </c>
      <c r="AJ147" s="416"/>
      <c r="AK147" s="244" t="s">
        <v>2836</v>
      </c>
    </row>
    <row r="148" spans="1:37" ht="39.950000000000003" customHeight="1">
      <c r="A148" s="354">
        <v>146</v>
      </c>
      <c r="B148" s="355">
        <v>45236</v>
      </c>
      <c r="C148" s="356">
        <v>0.42430555555555555</v>
      </c>
      <c r="D148" s="152" t="s">
        <v>2464</v>
      </c>
      <c r="E148" s="357" t="s">
        <v>2465</v>
      </c>
      <c r="F148" s="354">
        <v>6</v>
      </c>
      <c r="G148" s="354" t="s">
        <v>1841</v>
      </c>
      <c r="H148" s="355"/>
      <c r="I148" s="355"/>
      <c r="J148" s="355"/>
      <c r="K148" s="354" t="str">
        <f>IFERROR(VLOOKUP(J148,Jueces!$A$1:$B$11,2,FALSE),"")</f>
        <v/>
      </c>
      <c r="L148" s="152" t="s">
        <v>167</v>
      </c>
      <c r="M148" s="152"/>
      <c r="N148" s="354"/>
      <c r="O148" s="152" t="str">
        <f t="shared" ca="1" si="5"/>
        <v>LIMBO</v>
      </c>
      <c r="P148" s="152"/>
      <c r="Q148" s="152" t="s">
        <v>709</v>
      </c>
      <c r="R148" s="152"/>
      <c r="S148" s="152"/>
      <c r="T148" s="358"/>
      <c r="U148" s="358"/>
      <c r="V148" s="354"/>
      <c r="W148" s="354"/>
      <c r="X148" s="354"/>
      <c r="Y148" s="354"/>
      <c r="Z148" s="354"/>
      <c r="AA148" s="354"/>
      <c r="AB148" s="354"/>
      <c r="AC148" s="354"/>
      <c r="AD148" s="354"/>
      <c r="AE148" s="354"/>
      <c r="AF148" s="379">
        <f t="shared" si="6"/>
        <v>7</v>
      </c>
      <c r="AG148" s="354"/>
      <c r="AH148" s="354"/>
      <c r="AI148" s="354" t="s">
        <v>2251</v>
      </c>
      <c r="AJ148" s="416"/>
      <c r="AK148" s="244" t="s">
        <v>2836</v>
      </c>
    </row>
    <row r="149" spans="1:37" ht="39.950000000000003" customHeight="1">
      <c r="A149" s="354">
        <v>147</v>
      </c>
      <c r="B149" s="355">
        <v>45237</v>
      </c>
      <c r="C149" s="356">
        <v>0.33333333333333331</v>
      </c>
      <c r="D149" s="152" t="s">
        <v>2466</v>
      </c>
      <c r="E149" s="357" t="s">
        <v>2467</v>
      </c>
      <c r="F149" s="354">
        <v>6</v>
      </c>
      <c r="G149" s="354" t="s">
        <v>1841</v>
      </c>
      <c r="H149" s="355"/>
      <c r="I149" s="355"/>
      <c r="J149" s="355"/>
      <c r="K149" s="354" t="str">
        <f>IFERROR(VLOOKUP(J149,Jueces!$A$1:$B$11,2,FALSE),"")</f>
        <v/>
      </c>
      <c r="L149" s="152" t="s">
        <v>591</v>
      </c>
      <c r="M149" s="152"/>
      <c r="N149" s="354"/>
      <c r="O149" s="152" t="str">
        <f t="shared" ca="1" si="5"/>
        <v>LIMBO</v>
      </c>
      <c r="P149" s="152"/>
      <c r="Q149" s="152" t="s">
        <v>709</v>
      </c>
      <c r="R149" s="152"/>
      <c r="S149" s="152"/>
      <c r="T149" s="358"/>
      <c r="U149" s="358"/>
      <c r="V149" s="354"/>
      <c r="W149" s="354"/>
      <c r="X149" s="354"/>
      <c r="Y149" s="354"/>
      <c r="Z149" s="354"/>
      <c r="AA149" s="354"/>
      <c r="AB149" s="354"/>
      <c r="AC149" s="354"/>
      <c r="AD149" s="354"/>
      <c r="AE149" s="354"/>
      <c r="AF149" s="379">
        <f t="shared" si="6"/>
        <v>7</v>
      </c>
      <c r="AG149" s="354"/>
      <c r="AH149" s="354"/>
      <c r="AI149" s="354" t="s">
        <v>2251</v>
      </c>
      <c r="AJ149" s="416"/>
      <c r="AK149" s="244" t="s">
        <v>2836</v>
      </c>
    </row>
    <row r="150" spans="1:37" ht="39.950000000000003" customHeight="1">
      <c r="A150" s="321">
        <v>148</v>
      </c>
      <c r="B150" s="319">
        <v>45236</v>
      </c>
      <c r="C150" s="322">
        <v>0.45347222222222222</v>
      </c>
      <c r="D150" s="216" t="s">
        <v>2468</v>
      </c>
      <c r="E150" s="335" t="s">
        <v>2470</v>
      </c>
      <c r="F150" s="321">
        <v>3</v>
      </c>
      <c r="G150" s="321" t="s">
        <v>21</v>
      </c>
      <c r="H150" s="319"/>
      <c r="I150" s="319"/>
      <c r="J150" s="319"/>
      <c r="K150" s="321" t="str">
        <f>IFERROR(VLOOKUP(J150,Jueces!$A$1:$B$11,2,FALSE),"")</f>
        <v/>
      </c>
      <c r="L150" s="216" t="s">
        <v>1390</v>
      </c>
      <c r="M150" s="216" t="s">
        <v>2469</v>
      </c>
      <c r="N150" s="216" t="s">
        <v>2471</v>
      </c>
      <c r="O150" s="216" t="str">
        <f t="shared" ca="1" si="5"/>
        <v>LIMBO</v>
      </c>
      <c r="P150" s="216"/>
      <c r="Q150" s="216" t="s">
        <v>709</v>
      </c>
      <c r="R150" s="216"/>
      <c r="S150" s="216"/>
      <c r="T150" s="317"/>
      <c r="U150" s="317"/>
      <c r="V150" s="321"/>
      <c r="W150" s="321"/>
      <c r="X150" s="321"/>
      <c r="Y150" s="321"/>
      <c r="Z150" s="321"/>
      <c r="AA150" s="321"/>
      <c r="AB150" s="321"/>
      <c r="AC150" s="321"/>
      <c r="AD150" s="321"/>
      <c r="AE150" s="321"/>
      <c r="AF150" s="379">
        <f t="shared" si="6"/>
        <v>7</v>
      </c>
      <c r="AG150" s="321"/>
      <c r="AH150" s="321"/>
      <c r="AI150" s="321" t="s">
        <v>2161</v>
      </c>
      <c r="AJ150" s="415"/>
      <c r="AK150" s="244" t="s">
        <v>2161</v>
      </c>
    </row>
    <row r="151" spans="1:37" ht="39.950000000000003" customHeight="1">
      <c r="A151" s="321">
        <v>149</v>
      </c>
      <c r="B151" s="319">
        <v>45237</v>
      </c>
      <c r="C151" s="322">
        <v>0.45833333333333331</v>
      </c>
      <c r="D151" s="216" t="s">
        <v>1201</v>
      </c>
      <c r="E151" s="334" t="s">
        <v>2472</v>
      </c>
      <c r="F151" s="321">
        <v>4</v>
      </c>
      <c r="G151" s="321" t="s">
        <v>1839</v>
      </c>
      <c r="H151" s="319"/>
      <c r="I151" s="319"/>
      <c r="J151" s="319"/>
      <c r="K151" s="321" t="str">
        <f>IFERROR(VLOOKUP(J151,Jueces!$A$1:$B$11,2,FALSE),"")</f>
        <v/>
      </c>
      <c r="L151" s="216" t="s">
        <v>1386</v>
      </c>
      <c r="M151" s="216" t="s">
        <v>512</v>
      </c>
      <c r="N151" s="216" t="s">
        <v>2473</v>
      </c>
      <c r="O151" s="216" t="str">
        <f t="shared" ca="1" si="5"/>
        <v>LIMBO</v>
      </c>
      <c r="P151" s="216"/>
      <c r="Q151" s="216" t="s">
        <v>709</v>
      </c>
      <c r="R151" s="216"/>
      <c r="S151" s="216"/>
      <c r="T151" s="317"/>
      <c r="U151" s="317"/>
      <c r="V151" s="321"/>
      <c r="W151" s="321"/>
      <c r="X151" s="321"/>
      <c r="Y151" s="321"/>
      <c r="Z151" s="321"/>
      <c r="AA151" s="321"/>
      <c r="AB151" s="321"/>
      <c r="AC151" s="321"/>
      <c r="AD151" s="321"/>
      <c r="AE151" s="321"/>
      <c r="AF151" s="379">
        <f t="shared" si="6"/>
        <v>7</v>
      </c>
      <c r="AG151" s="321"/>
      <c r="AH151" s="321"/>
      <c r="AI151" s="321" t="s">
        <v>2251</v>
      </c>
      <c r="AJ151" s="415"/>
      <c r="AK151" s="244" t="s">
        <v>2836</v>
      </c>
    </row>
    <row r="152" spans="1:37" ht="39.950000000000003" customHeight="1">
      <c r="A152" s="354">
        <v>150</v>
      </c>
      <c r="B152" s="355">
        <v>45237</v>
      </c>
      <c r="C152" s="356">
        <v>0.47916666666666669</v>
      </c>
      <c r="D152" s="152" t="s">
        <v>2474</v>
      </c>
      <c r="E152" s="357" t="s">
        <v>2475</v>
      </c>
      <c r="F152" s="354">
        <v>1</v>
      </c>
      <c r="G152" s="354" t="s">
        <v>1841</v>
      </c>
      <c r="H152" s="355"/>
      <c r="I152" s="355"/>
      <c r="J152" s="355"/>
      <c r="K152" s="354" t="str">
        <f>IFERROR(VLOOKUP(J152,Jueces!$A$1:$B$11,2,FALSE),"")</f>
        <v/>
      </c>
      <c r="L152" s="152" t="s">
        <v>576</v>
      </c>
      <c r="M152" s="152"/>
      <c r="N152" s="354"/>
      <c r="O152" s="152" t="str">
        <f t="shared" ca="1" si="5"/>
        <v>LIMBO</v>
      </c>
      <c r="P152" s="152"/>
      <c r="Q152" s="152" t="s">
        <v>709</v>
      </c>
      <c r="R152" s="152"/>
      <c r="S152" s="152"/>
      <c r="T152" s="358"/>
      <c r="U152" s="358"/>
      <c r="V152" s="354"/>
      <c r="W152" s="354"/>
      <c r="X152" s="354"/>
      <c r="Y152" s="354"/>
      <c r="Z152" s="354"/>
      <c r="AA152" s="354"/>
      <c r="AB152" s="354"/>
      <c r="AC152" s="354"/>
      <c r="AD152" s="354"/>
      <c r="AE152" s="354"/>
      <c r="AF152" s="379">
        <f t="shared" si="6"/>
        <v>7</v>
      </c>
      <c r="AG152" s="354"/>
      <c r="AH152" s="354"/>
      <c r="AI152" s="354" t="s">
        <v>2251</v>
      </c>
      <c r="AJ152" s="416"/>
      <c r="AK152" s="244" t="s">
        <v>2836</v>
      </c>
    </row>
    <row r="153" spans="1:37" ht="39.950000000000003" customHeight="1">
      <c r="A153" s="354">
        <v>151</v>
      </c>
      <c r="B153" s="355">
        <v>45237</v>
      </c>
      <c r="C153" s="356">
        <v>0.45416666666666666</v>
      </c>
      <c r="D153" s="152" t="s">
        <v>2476</v>
      </c>
      <c r="E153" s="357" t="s">
        <v>2477</v>
      </c>
      <c r="F153" s="354">
        <v>2</v>
      </c>
      <c r="G153" s="354" t="s">
        <v>1839</v>
      </c>
      <c r="H153" s="355"/>
      <c r="I153" s="355"/>
      <c r="J153" s="355"/>
      <c r="K153" s="354" t="str">
        <f>IFERROR(VLOOKUP(J153,Jueces!$A$1:$B$11,2,FALSE),"")</f>
        <v/>
      </c>
      <c r="L153" s="152" t="s">
        <v>576</v>
      </c>
      <c r="M153" s="152"/>
      <c r="N153" s="354"/>
      <c r="O153" s="152" t="str">
        <f t="shared" ca="1" si="5"/>
        <v>LIMBO</v>
      </c>
      <c r="P153" s="152"/>
      <c r="Q153" s="152" t="s">
        <v>709</v>
      </c>
      <c r="R153" s="152"/>
      <c r="S153" s="152"/>
      <c r="T153" s="358"/>
      <c r="U153" s="358"/>
      <c r="V153" s="354"/>
      <c r="W153" s="354"/>
      <c r="X153" s="354"/>
      <c r="Y153" s="354"/>
      <c r="Z153" s="354"/>
      <c r="AA153" s="354"/>
      <c r="AB153" s="354"/>
      <c r="AC153" s="354"/>
      <c r="AD153" s="354"/>
      <c r="AE153" s="354"/>
      <c r="AF153" s="379">
        <f t="shared" si="6"/>
        <v>7</v>
      </c>
      <c r="AG153" s="354"/>
      <c r="AH153" s="354"/>
      <c r="AI153" s="354" t="s">
        <v>2251</v>
      </c>
      <c r="AJ153" s="416"/>
      <c r="AK153" s="244" t="s">
        <v>2836</v>
      </c>
    </row>
    <row r="154" spans="1:37" ht="39.950000000000003" customHeight="1">
      <c r="A154" s="354">
        <v>152</v>
      </c>
      <c r="B154" s="355">
        <v>45237</v>
      </c>
      <c r="C154" s="356">
        <v>0.47500000000000003</v>
      </c>
      <c r="D154" s="152" t="s">
        <v>2478</v>
      </c>
      <c r="E154" s="357" t="s">
        <v>2479</v>
      </c>
      <c r="F154" s="354">
        <v>2</v>
      </c>
      <c r="G154" s="354" t="s">
        <v>1839</v>
      </c>
      <c r="H154" s="355"/>
      <c r="I154" s="355"/>
      <c r="J154" s="355"/>
      <c r="K154" s="354" t="str">
        <f>IFERROR(VLOOKUP(J154,Jueces!$A$1:$B$11,2,FALSE),"")</f>
        <v/>
      </c>
      <c r="L154" s="152" t="s">
        <v>598</v>
      </c>
      <c r="M154" s="152"/>
      <c r="N154" s="354"/>
      <c r="O154" s="152" t="str">
        <f t="shared" ca="1" si="5"/>
        <v>LIMBO</v>
      </c>
      <c r="P154" s="152"/>
      <c r="Q154" s="152" t="s">
        <v>709</v>
      </c>
      <c r="R154" s="152"/>
      <c r="S154" s="152"/>
      <c r="T154" s="358"/>
      <c r="U154" s="358"/>
      <c r="V154" s="354"/>
      <c r="W154" s="354"/>
      <c r="X154" s="354"/>
      <c r="Y154" s="354"/>
      <c r="Z154" s="354"/>
      <c r="AA154" s="354"/>
      <c r="AB154" s="354"/>
      <c r="AC154" s="354"/>
      <c r="AD154" s="354"/>
      <c r="AE154" s="354"/>
      <c r="AF154" s="379">
        <f t="shared" si="6"/>
        <v>7</v>
      </c>
      <c r="AG154" s="354"/>
      <c r="AH154" s="354"/>
      <c r="AI154" s="354" t="s">
        <v>2251</v>
      </c>
      <c r="AJ154" s="416"/>
      <c r="AK154" s="244" t="s">
        <v>2836</v>
      </c>
    </row>
    <row r="155" spans="1:37" ht="39.950000000000003" customHeight="1">
      <c r="A155" s="354">
        <v>153</v>
      </c>
      <c r="B155" s="355">
        <v>45237</v>
      </c>
      <c r="C155" s="152" t="s">
        <v>2480</v>
      </c>
      <c r="D155" s="152" t="s">
        <v>2481</v>
      </c>
      <c r="E155" s="357" t="s">
        <v>2482</v>
      </c>
      <c r="F155" s="354">
        <v>2</v>
      </c>
      <c r="G155" s="354" t="s">
        <v>1839</v>
      </c>
      <c r="H155" s="355"/>
      <c r="I155" s="355"/>
      <c r="J155" s="355"/>
      <c r="K155" s="354" t="str">
        <f>IFERROR(VLOOKUP(J155,Jueces!$A$1:$B$11,2,FALSE),"")</f>
        <v/>
      </c>
      <c r="L155" s="152" t="s">
        <v>575</v>
      </c>
      <c r="M155" s="152"/>
      <c r="N155" s="354"/>
      <c r="O155" s="152" t="str">
        <f t="shared" ca="1" si="5"/>
        <v>LIMBO</v>
      </c>
      <c r="P155" s="152"/>
      <c r="Q155" s="152" t="s">
        <v>709</v>
      </c>
      <c r="R155" s="152"/>
      <c r="S155" s="152"/>
      <c r="T155" s="358"/>
      <c r="U155" s="358"/>
      <c r="V155" s="354"/>
      <c r="W155" s="354"/>
      <c r="X155" s="354"/>
      <c r="Y155" s="354"/>
      <c r="Z155" s="354"/>
      <c r="AA155" s="354"/>
      <c r="AB155" s="354"/>
      <c r="AC155" s="354"/>
      <c r="AD155" s="354"/>
      <c r="AE155" s="354"/>
      <c r="AF155" s="379">
        <f t="shared" si="6"/>
        <v>7</v>
      </c>
      <c r="AG155" s="354"/>
      <c r="AH155" s="354"/>
      <c r="AI155" s="354" t="s">
        <v>2251</v>
      </c>
      <c r="AJ155" s="416"/>
      <c r="AK155" s="244" t="s">
        <v>2836</v>
      </c>
    </row>
    <row r="156" spans="1:37" ht="39.950000000000003" customHeight="1">
      <c r="A156" s="354">
        <v>154</v>
      </c>
      <c r="B156" s="355">
        <v>45237</v>
      </c>
      <c r="C156" s="356">
        <v>0.47638888888888892</v>
      </c>
      <c r="D156" s="152" t="s">
        <v>2483</v>
      </c>
      <c r="E156" s="357" t="s">
        <v>2484</v>
      </c>
      <c r="F156" s="354">
        <v>2</v>
      </c>
      <c r="G156" s="354" t="s">
        <v>1839</v>
      </c>
      <c r="H156" s="355"/>
      <c r="I156" s="355"/>
      <c r="J156" s="355"/>
      <c r="K156" s="354" t="str">
        <f>IFERROR(VLOOKUP(J156,Jueces!$A$1:$B$11,2,FALSE),"")</f>
        <v/>
      </c>
      <c r="L156" s="152" t="s">
        <v>575</v>
      </c>
      <c r="M156" s="152"/>
      <c r="N156" s="354"/>
      <c r="O156" s="152" t="str">
        <f t="shared" ca="1" si="5"/>
        <v>LIMBO</v>
      </c>
      <c r="P156" s="152"/>
      <c r="Q156" s="152" t="s">
        <v>709</v>
      </c>
      <c r="R156" s="152"/>
      <c r="S156" s="152"/>
      <c r="T156" s="358"/>
      <c r="U156" s="358"/>
      <c r="V156" s="354"/>
      <c r="W156" s="354"/>
      <c r="X156" s="354"/>
      <c r="Y156" s="354"/>
      <c r="Z156" s="354"/>
      <c r="AA156" s="354"/>
      <c r="AB156" s="354"/>
      <c r="AC156" s="354"/>
      <c r="AD156" s="354"/>
      <c r="AE156" s="354"/>
      <c r="AF156" s="379">
        <f t="shared" si="6"/>
        <v>7</v>
      </c>
      <c r="AG156" s="354"/>
      <c r="AH156" s="354"/>
      <c r="AI156" s="354" t="s">
        <v>2251</v>
      </c>
      <c r="AJ156" s="416"/>
      <c r="AK156" s="244" t="s">
        <v>2836</v>
      </c>
    </row>
    <row r="157" spans="1:37" ht="39.950000000000003" customHeight="1">
      <c r="A157" s="354">
        <v>155</v>
      </c>
      <c r="B157" s="355">
        <v>45237</v>
      </c>
      <c r="C157" s="356">
        <v>0.4770833333333333</v>
      </c>
      <c r="D157" s="152" t="s">
        <v>2485</v>
      </c>
      <c r="E157" s="357" t="s">
        <v>2486</v>
      </c>
      <c r="F157" s="354">
        <v>2</v>
      </c>
      <c r="G157" s="354" t="s">
        <v>1839</v>
      </c>
      <c r="H157" s="355"/>
      <c r="I157" s="355"/>
      <c r="J157" s="355"/>
      <c r="K157" s="354" t="str">
        <f>IFERROR(VLOOKUP(J157,Jueces!$A$1:$B$11,2,FALSE),"")</f>
        <v/>
      </c>
      <c r="L157" s="152" t="s">
        <v>596</v>
      </c>
      <c r="M157" s="152"/>
      <c r="N157" s="354"/>
      <c r="O157" s="152" t="str">
        <f t="shared" ca="1" si="5"/>
        <v>LIMBO</v>
      </c>
      <c r="P157" s="152"/>
      <c r="Q157" s="152" t="s">
        <v>709</v>
      </c>
      <c r="R157" s="152"/>
      <c r="S157" s="152"/>
      <c r="T157" s="358"/>
      <c r="U157" s="358"/>
      <c r="V157" s="354"/>
      <c r="W157" s="354"/>
      <c r="X157" s="354"/>
      <c r="Y157" s="354"/>
      <c r="Z157" s="354"/>
      <c r="AA157" s="354"/>
      <c r="AB157" s="354"/>
      <c r="AC157" s="354"/>
      <c r="AD157" s="354"/>
      <c r="AE157" s="354"/>
      <c r="AF157" s="379">
        <f t="shared" si="6"/>
        <v>7</v>
      </c>
      <c r="AG157" s="354"/>
      <c r="AH157" s="354"/>
      <c r="AI157" s="354" t="s">
        <v>2251</v>
      </c>
      <c r="AJ157" s="416"/>
      <c r="AK157" s="244" t="s">
        <v>2836</v>
      </c>
    </row>
    <row r="158" spans="1:37" ht="39.950000000000003" customHeight="1">
      <c r="A158" s="354">
        <v>156</v>
      </c>
      <c r="B158" s="355">
        <v>45237</v>
      </c>
      <c r="C158" s="356">
        <v>0.4777777777777778</v>
      </c>
      <c r="D158" s="152" t="s">
        <v>2487</v>
      </c>
      <c r="E158" s="357" t="s">
        <v>2488</v>
      </c>
      <c r="F158" s="354">
        <v>2</v>
      </c>
      <c r="G158" s="354" t="s">
        <v>1839</v>
      </c>
      <c r="H158" s="355"/>
      <c r="I158" s="355"/>
      <c r="J158" s="355"/>
      <c r="K158" s="354" t="str">
        <f>IFERROR(VLOOKUP(J158,Jueces!$A$1:$B$11,2,FALSE),"")</f>
        <v/>
      </c>
      <c r="L158" s="152" t="s">
        <v>596</v>
      </c>
      <c r="M158" s="152"/>
      <c r="N158" s="354"/>
      <c r="O158" s="152" t="str">
        <f t="shared" ca="1" si="5"/>
        <v>LIMBO</v>
      </c>
      <c r="P158" s="152"/>
      <c r="Q158" s="152" t="s">
        <v>709</v>
      </c>
      <c r="R158" s="152"/>
      <c r="S158" s="152"/>
      <c r="T158" s="358"/>
      <c r="U158" s="358"/>
      <c r="V158" s="354"/>
      <c r="W158" s="354"/>
      <c r="X158" s="354"/>
      <c r="Y158" s="354"/>
      <c r="Z158" s="354"/>
      <c r="AA158" s="354"/>
      <c r="AB158" s="354"/>
      <c r="AC158" s="354"/>
      <c r="AD158" s="354"/>
      <c r="AE158" s="354"/>
      <c r="AF158" s="379">
        <f t="shared" si="6"/>
        <v>7</v>
      </c>
      <c r="AG158" s="354"/>
      <c r="AH158" s="354"/>
      <c r="AI158" s="354" t="s">
        <v>2251</v>
      </c>
      <c r="AJ158" s="416"/>
      <c r="AK158" s="244" t="s">
        <v>2836</v>
      </c>
    </row>
    <row r="159" spans="1:37" ht="39.950000000000003" customHeight="1">
      <c r="A159" s="354">
        <v>157</v>
      </c>
      <c r="B159" s="355">
        <v>45237</v>
      </c>
      <c r="C159" s="356">
        <v>0.47986111111111113</v>
      </c>
      <c r="D159" s="152" t="s">
        <v>2489</v>
      </c>
      <c r="E159" s="357" t="s">
        <v>2490</v>
      </c>
      <c r="F159" s="354">
        <v>2</v>
      </c>
      <c r="G159" s="354" t="s">
        <v>1839</v>
      </c>
      <c r="H159" s="355"/>
      <c r="I159" s="355"/>
      <c r="J159" s="355"/>
      <c r="K159" s="354" t="str">
        <f>IFERROR(VLOOKUP(J159,Jueces!$A$1:$B$11,2,FALSE),"")</f>
        <v/>
      </c>
      <c r="L159" s="152" t="s">
        <v>576</v>
      </c>
      <c r="M159" s="152"/>
      <c r="N159" s="354"/>
      <c r="O159" s="152" t="str">
        <f t="shared" ca="1" si="5"/>
        <v>LIMBO</v>
      </c>
      <c r="P159" s="152"/>
      <c r="Q159" s="152" t="s">
        <v>709</v>
      </c>
      <c r="R159" s="152"/>
      <c r="S159" s="152"/>
      <c r="T159" s="358"/>
      <c r="U159" s="358"/>
      <c r="V159" s="354"/>
      <c r="W159" s="354"/>
      <c r="X159" s="354"/>
      <c r="Y159" s="354"/>
      <c r="Z159" s="354"/>
      <c r="AA159" s="354"/>
      <c r="AB159" s="354"/>
      <c r="AC159" s="354"/>
      <c r="AD159" s="354"/>
      <c r="AE159" s="354"/>
      <c r="AF159" s="379">
        <f t="shared" si="6"/>
        <v>7</v>
      </c>
      <c r="AG159" s="354"/>
      <c r="AH159" s="354"/>
      <c r="AI159" s="354" t="s">
        <v>2251</v>
      </c>
      <c r="AJ159" s="416"/>
      <c r="AK159" s="244" t="s">
        <v>2836</v>
      </c>
    </row>
    <row r="160" spans="1:37" ht="39.950000000000003" customHeight="1">
      <c r="A160" s="354">
        <v>158</v>
      </c>
      <c r="B160" s="355">
        <v>45237</v>
      </c>
      <c r="C160" s="356">
        <v>0.37777777777777777</v>
      </c>
      <c r="D160" s="152" t="s">
        <v>2492</v>
      </c>
      <c r="E160" s="357" t="s">
        <v>2493</v>
      </c>
      <c r="F160" s="354">
        <v>7</v>
      </c>
      <c r="G160" s="354" t="s">
        <v>32</v>
      </c>
      <c r="H160" s="355"/>
      <c r="I160" s="355"/>
      <c r="J160" s="355"/>
      <c r="K160" s="354" t="str">
        <f>IFERROR(VLOOKUP(J160,Jueces!$A$1:$B$11,2,FALSE),"")</f>
        <v/>
      </c>
      <c r="L160" s="152" t="s">
        <v>506</v>
      </c>
      <c r="M160" s="152"/>
      <c r="N160" s="354"/>
      <c r="O160" s="152" t="str">
        <f t="shared" ca="1" si="5"/>
        <v>LIMBO</v>
      </c>
      <c r="P160" s="152"/>
      <c r="Q160" s="152" t="s">
        <v>709</v>
      </c>
      <c r="R160" s="152"/>
      <c r="S160" s="152"/>
      <c r="T160" s="358"/>
      <c r="U160" s="358"/>
      <c r="V160" s="354"/>
      <c r="W160" s="354"/>
      <c r="X160" s="354"/>
      <c r="Y160" s="354"/>
      <c r="Z160" s="354"/>
      <c r="AA160" s="354"/>
      <c r="AB160" s="354"/>
      <c r="AC160" s="354"/>
      <c r="AD160" s="354"/>
      <c r="AE160" s="354"/>
      <c r="AF160" s="379">
        <f t="shared" si="6"/>
        <v>7</v>
      </c>
      <c r="AG160" s="354"/>
      <c r="AH160" s="354"/>
      <c r="AI160" s="354" t="s">
        <v>2251</v>
      </c>
      <c r="AJ160" s="416"/>
      <c r="AK160" s="244" t="s">
        <v>2836</v>
      </c>
    </row>
    <row r="161" spans="1:37" ht="39.950000000000003" customHeight="1">
      <c r="A161" s="354">
        <v>159</v>
      </c>
      <c r="B161" s="355">
        <v>45237</v>
      </c>
      <c r="C161" s="356">
        <v>0.53333333333333333</v>
      </c>
      <c r="D161" s="152" t="s">
        <v>2494</v>
      </c>
      <c r="E161" s="357" t="s">
        <v>2495</v>
      </c>
      <c r="F161" s="354">
        <v>3</v>
      </c>
      <c r="G161" s="354" t="s">
        <v>21</v>
      </c>
      <c r="H161" s="355"/>
      <c r="I161" s="355"/>
      <c r="J161" s="355"/>
      <c r="K161" s="354" t="str">
        <f>IFERROR(VLOOKUP(J161,Jueces!$A$1:$B$11,2,FALSE),"")</f>
        <v/>
      </c>
      <c r="L161" s="152" t="s">
        <v>576</v>
      </c>
      <c r="M161" s="152" t="s">
        <v>530</v>
      </c>
      <c r="N161" s="354"/>
      <c r="O161" s="152" t="str">
        <f t="shared" ca="1" si="5"/>
        <v>LIMBO</v>
      </c>
      <c r="P161" s="152"/>
      <c r="Q161" s="152" t="s">
        <v>709</v>
      </c>
      <c r="R161" s="152"/>
      <c r="S161" s="152"/>
      <c r="T161" s="358"/>
      <c r="U161" s="358"/>
      <c r="V161" s="354"/>
      <c r="W161" s="354"/>
      <c r="X161" s="354"/>
      <c r="Y161" s="354"/>
      <c r="Z161" s="354"/>
      <c r="AA161" s="354"/>
      <c r="AB161" s="354"/>
      <c r="AC161" s="354"/>
      <c r="AD161" s="354"/>
      <c r="AE161" s="354"/>
      <c r="AF161" s="379">
        <f t="shared" si="6"/>
        <v>7</v>
      </c>
      <c r="AG161" s="354"/>
      <c r="AH161" s="354"/>
      <c r="AI161" s="354" t="s">
        <v>2251</v>
      </c>
      <c r="AJ161" s="416"/>
      <c r="AK161" s="244" t="s">
        <v>2836</v>
      </c>
    </row>
    <row r="162" spans="1:37" ht="39.950000000000003" customHeight="1">
      <c r="A162" s="354">
        <v>160</v>
      </c>
      <c r="B162" s="355">
        <v>45238</v>
      </c>
      <c r="C162" s="356">
        <v>0.33333333333333331</v>
      </c>
      <c r="D162" s="152" t="s">
        <v>2496</v>
      </c>
      <c r="E162" s="357" t="s">
        <v>2497</v>
      </c>
      <c r="F162" s="354">
        <v>6</v>
      </c>
      <c r="G162" s="354" t="s">
        <v>1841</v>
      </c>
      <c r="H162" s="355"/>
      <c r="I162" s="355"/>
      <c r="J162" s="355"/>
      <c r="K162" s="354" t="str">
        <f>IFERROR(VLOOKUP(J162,Jueces!$A$1:$B$11,2,FALSE),"")</f>
        <v/>
      </c>
      <c r="L162" s="152" t="s">
        <v>598</v>
      </c>
      <c r="M162" s="152" t="s">
        <v>1409</v>
      </c>
      <c r="N162" s="354"/>
      <c r="O162" s="152" t="str">
        <f t="shared" ca="1" si="5"/>
        <v>LIMBO</v>
      </c>
      <c r="P162" s="152"/>
      <c r="Q162" s="152" t="s">
        <v>709</v>
      </c>
      <c r="R162" s="152"/>
      <c r="S162" s="152"/>
      <c r="T162" s="358"/>
      <c r="U162" s="358"/>
      <c r="V162" s="354"/>
      <c r="W162" s="354"/>
      <c r="X162" s="354"/>
      <c r="Y162" s="354"/>
      <c r="Z162" s="354"/>
      <c r="AA162" s="354"/>
      <c r="AB162" s="354"/>
      <c r="AC162" s="354"/>
      <c r="AD162" s="354"/>
      <c r="AE162" s="354"/>
      <c r="AF162" s="379">
        <f t="shared" si="6"/>
        <v>7</v>
      </c>
      <c r="AG162" s="354"/>
      <c r="AH162" s="354"/>
      <c r="AI162" s="354" t="s">
        <v>2251</v>
      </c>
      <c r="AJ162" s="416"/>
      <c r="AK162" s="244" t="s">
        <v>2836</v>
      </c>
    </row>
    <row r="163" spans="1:37" ht="39.950000000000003" customHeight="1">
      <c r="A163" s="354">
        <v>161</v>
      </c>
      <c r="B163" s="355">
        <v>45238</v>
      </c>
      <c r="C163" s="152" t="s">
        <v>58</v>
      </c>
      <c r="D163" s="152" t="s">
        <v>2498</v>
      </c>
      <c r="E163" s="357" t="s">
        <v>2499</v>
      </c>
      <c r="F163" s="354">
        <v>3</v>
      </c>
      <c r="G163" s="354" t="s">
        <v>21</v>
      </c>
      <c r="H163" s="355"/>
      <c r="I163" s="355"/>
      <c r="J163" s="355"/>
      <c r="K163" s="354" t="str">
        <f>IFERROR(VLOOKUP(J163,Jueces!$A$1:$B$11,2,FALSE),"")</f>
        <v/>
      </c>
      <c r="L163" s="152" t="s">
        <v>576</v>
      </c>
      <c r="M163" s="152" t="s">
        <v>513</v>
      </c>
      <c r="N163" s="354"/>
      <c r="O163" s="152" t="str">
        <f t="shared" ca="1" si="5"/>
        <v>LIMBO</v>
      </c>
      <c r="P163" s="152"/>
      <c r="Q163" s="152" t="s">
        <v>709</v>
      </c>
      <c r="R163" s="152"/>
      <c r="S163" s="152"/>
      <c r="T163" s="358"/>
      <c r="U163" s="358"/>
      <c r="V163" s="354"/>
      <c r="W163" s="354"/>
      <c r="X163" s="354"/>
      <c r="Y163" s="354"/>
      <c r="Z163" s="354"/>
      <c r="AA163" s="354"/>
      <c r="AB163" s="354"/>
      <c r="AC163" s="354"/>
      <c r="AD163" s="354"/>
      <c r="AE163" s="354"/>
      <c r="AF163" s="379">
        <f t="shared" si="6"/>
        <v>7</v>
      </c>
      <c r="AG163" s="354"/>
      <c r="AH163" s="354"/>
      <c r="AI163" s="354" t="s">
        <v>2251</v>
      </c>
      <c r="AJ163" s="416"/>
      <c r="AK163" s="244" t="s">
        <v>2836</v>
      </c>
    </row>
    <row r="164" spans="1:37" ht="39.950000000000003" customHeight="1">
      <c r="A164" s="354">
        <v>162</v>
      </c>
      <c r="B164" s="355">
        <v>45238</v>
      </c>
      <c r="C164" s="152" t="s">
        <v>2500</v>
      </c>
      <c r="D164" s="152" t="s">
        <v>2501</v>
      </c>
      <c r="E164" s="357" t="s">
        <v>2502</v>
      </c>
      <c r="F164" s="354">
        <v>3</v>
      </c>
      <c r="G164" s="354" t="s">
        <v>21</v>
      </c>
      <c r="H164" s="355"/>
      <c r="I164" s="355"/>
      <c r="J164" s="355"/>
      <c r="K164" s="354" t="str">
        <f>IFERROR(VLOOKUP(J164,Jueces!$A$1:$B$11,2,FALSE),"")</f>
        <v/>
      </c>
      <c r="L164" s="152" t="s">
        <v>1177</v>
      </c>
      <c r="M164" s="152" t="s">
        <v>1785</v>
      </c>
      <c r="N164" s="354"/>
      <c r="O164" s="152" t="str">
        <f t="shared" ca="1" si="5"/>
        <v>LIMBO</v>
      </c>
      <c r="P164" s="152"/>
      <c r="Q164" s="152" t="s">
        <v>709</v>
      </c>
      <c r="R164" s="152"/>
      <c r="S164" s="152"/>
      <c r="T164" s="358"/>
      <c r="U164" s="358"/>
      <c r="V164" s="354"/>
      <c r="W164" s="354"/>
      <c r="X164" s="354"/>
      <c r="Y164" s="354"/>
      <c r="Z164" s="354"/>
      <c r="AA164" s="354"/>
      <c r="AB164" s="354"/>
      <c r="AC164" s="354"/>
      <c r="AD164" s="354"/>
      <c r="AE164" s="354"/>
      <c r="AF164" s="379">
        <f t="shared" si="6"/>
        <v>7</v>
      </c>
      <c r="AG164" s="354"/>
      <c r="AH164" s="354"/>
      <c r="AI164" s="354" t="s">
        <v>2251</v>
      </c>
      <c r="AJ164" s="416"/>
      <c r="AK164" s="244" t="s">
        <v>2836</v>
      </c>
    </row>
    <row r="165" spans="1:37" ht="39.950000000000003" customHeight="1">
      <c r="A165" s="354">
        <v>163</v>
      </c>
      <c r="B165" s="355">
        <v>45238</v>
      </c>
      <c r="C165" s="152" t="s">
        <v>58</v>
      </c>
      <c r="D165" s="152" t="s">
        <v>2503</v>
      </c>
      <c r="E165" s="357" t="s">
        <v>2504</v>
      </c>
      <c r="F165" s="354">
        <v>3</v>
      </c>
      <c r="G165" s="354" t="s">
        <v>21</v>
      </c>
      <c r="H165" s="355"/>
      <c r="I165" s="355"/>
      <c r="J165" s="355"/>
      <c r="K165" s="354" t="str">
        <f>IFERROR(VLOOKUP(J165,Jueces!$A$1:$B$11,2,FALSE),"")</f>
        <v/>
      </c>
      <c r="L165" s="152" t="s">
        <v>576</v>
      </c>
      <c r="M165" s="152" t="s">
        <v>2505</v>
      </c>
      <c r="N165" s="354"/>
      <c r="O165" s="152" t="str">
        <f t="shared" ca="1" si="5"/>
        <v>LIMBO</v>
      </c>
      <c r="P165" s="152"/>
      <c r="Q165" s="152" t="s">
        <v>709</v>
      </c>
      <c r="R165" s="152"/>
      <c r="S165" s="152"/>
      <c r="T165" s="358"/>
      <c r="U165" s="358"/>
      <c r="V165" s="354"/>
      <c r="W165" s="354"/>
      <c r="X165" s="354"/>
      <c r="Y165" s="354"/>
      <c r="Z165" s="354"/>
      <c r="AA165" s="354"/>
      <c r="AB165" s="354"/>
      <c r="AC165" s="354"/>
      <c r="AD165" s="354"/>
      <c r="AE165" s="354"/>
      <c r="AF165" s="379">
        <f t="shared" si="6"/>
        <v>7</v>
      </c>
      <c r="AG165" s="354"/>
      <c r="AH165" s="354"/>
      <c r="AI165" s="354" t="s">
        <v>2251</v>
      </c>
      <c r="AJ165" s="416"/>
      <c r="AK165" s="244" t="s">
        <v>2836</v>
      </c>
    </row>
    <row r="166" spans="1:37" ht="39.950000000000003" customHeight="1">
      <c r="A166" s="354">
        <v>164</v>
      </c>
      <c r="B166" s="355">
        <v>45237</v>
      </c>
      <c r="C166" s="152" t="s">
        <v>2506</v>
      </c>
      <c r="D166" s="152" t="s">
        <v>2507</v>
      </c>
      <c r="E166" s="357" t="s">
        <v>2508</v>
      </c>
      <c r="F166" s="354">
        <v>3</v>
      </c>
      <c r="G166" s="354" t="s">
        <v>21</v>
      </c>
      <c r="H166" s="355"/>
      <c r="I166" s="355"/>
      <c r="J166" s="355"/>
      <c r="K166" s="354" t="str">
        <f>IFERROR(VLOOKUP(J166,Jueces!$A$1:$B$11,2,FALSE),"")</f>
        <v/>
      </c>
      <c r="L166" s="152" t="s">
        <v>1386</v>
      </c>
      <c r="M166" s="152"/>
      <c r="N166" s="354"/>
      <c r="O166" s="152" t="str">
        <f t="shared" ca="1" si="5"/>
        <v>LIMBO</v>
      </c>
      <c r="P166" s="152"/>
      <c r="Q166" s="152" t="s">
        <v>709</v>
      </c>
      <c r="R166" s="152"/>
      <c r="S166" s="152"/>
      <c r="T166" s="358"/>
      <c r="U166" s="358"/>
      <c r="V166" s="354"/>
      <c r="W166" s="354"/>
      <c r="X166" s="354"/>
      <c r="Y166" s="354"/>
      <c r="Z166" s="354"/>
      <c r="AA166" s="354"/>
      <c r="AB166" s="354"/>
      <c r="AC166" s="354"/>
      <c r="AD166" s="354"/>
      <c r="AE166" s="354"/>
      <c r="AF166" s="379">
        <f t="shared" si="6"/>
        <v>7</v>
      </c>
      <c r="AG166" s="354"/>
      <c r="AH166" s="354"/>
      <c r="AI166" s="354" t="s">
        <v>2251</v>
      </c>
      <c r="AJ166" s="416"/>
      <c r="AK166" s="244" t="s">
        <v>2836</v>
      </c>
    </row>
    <row r="167" spans="1:37" ht="39.950000000000003" customHeight="1">
      <c r="A167" s="354">
        <v>165</v>
      </c>
      <c r="B167" s="355">
        <v>45238</v>
      </c>
      <c r="C167" s="152" t="s">
        <v>58</v>
      </c>
      <c r="D167" s="152" t="s">
        <v>2509</v>
      </c>
      <c r="E167" s="357" t="s">
        <v>2510</v>
      </c>
      <c r="F167" s="354">
        <v>6</v>
      </c>
      <c r="G167" s="354" t="s">
        <v>1841</v>
      </c>
      <c r="H167" s="355"/>
      <c r="I167" s="355"/>
      <c r="J167" s="355"/>
      <c r="K167" s="354" t="str">
        <f>IFERROR(VLOOKUP(J167,Jueces!$A$1:$B$11,2,FALSE),"")</f>
        <v/>
      </c>
      <c r="L167" s="152" t="s">
        <v>585</v>
      </c>
      <c r="M167" s="152" t="s">
        <v>2511</v>
      </c>
      <c r="N167" s="354"/>
      <c r="O167" s="152" t="str">
        <f t="shared" ca="1" si="5"/>
        <v>LIMBO</v>
      </c>
      <c r="P167" s="152"/>
      <c r="Q167" s="152" t="s">
        <v>709</v>
      </c>
      <c r="R167" s="152"/>
      <c r="S167" s="152"/>
      <c r="T167" s="358"/>
      <c r="U167" s="358"/>
      <c r="V167" s="354"/>
      <c r="W167" s="354"/>
      <c r="X167" s="354"/>
      <c r="Y167" s="354"/>
      <c r="Z167" s="354"/>
      <c r="AA167" s="354"/>
      <c r="AB167" s="354"/>
      <c r="AC167" s="354"/>
      <c r="AD167" s="354"/>
      <c r="AE167" s="354"/>
      <c r="AF167" s="379">
        <f t="shared" si="6"/>
        <v>7</v>
      </c>
      <c r="AG167" s="354"/>
      <c r="AH167" s="354"/>
      <c r="AI167" s="354" t="s">
        <v>2251</v>
      </c>
      <c r="AJ167" s="416"/>
      <c r="AK167" s="244" t="s">
        <v>2836</v>
      </c>
    </row>
    <row r="168" spans="1:37" ht="39.950000000000003" customHeight="1">
      <c r="A168" s="354">
        <v>166</v>
      </c>
      <c r="B168" s="355">
        <v>45238</v>
      </c>
      <c r="C168" s="152" t="s">
        <v>58</v>
      </c>
      <c r="D168" s="152" t="s">
        <v>2512</v>
      </c>
      <c r="E168" s="357" t="s">
        <v>2513</v>
      </c>
      <c r="F168" s="354">
        <v>6</v>
      </c>
      <c r="G168" s="354" t="s">
        <v>1841</v>
      </c>
      <c r="H168" s="355"/>
      <c r="I168" s="355"/>
      <c r="J168" s="355"/>
      <c r="K168" s="354" t="str">
        <f>IFERROR(VLOOKUP(J168,Jueces!$A$1:$B$11,2,FALSE),"")</f>
        <v/>
      </c>
      <c r="L168" s="152" t="s">
        <v>585</v>
      </c>
      <c r="M168" s="152" t="s">
        <v>554</v>
      </c>
      <c r="N168" s="354"/>
      <c r="O168" s="152" t="str">
        <f t="shared" ca="1" si="5"/>
        <v>LIMBO</v>
      </c>
      <c r="P168" s="152"/>
      <c r="Q168" s="152" t="s">
        <v>709</v>
      </c>
      <c r="R168" s="152"/>
      <c r="S168" s="152"/>
      <c r="T168" s="358"/>
      <c r="U168" s="358"/>
      <c r="V168" s="354"/>
      <c r="W168" s="354"/>
      <c r="X168" s="354"/>
      <c r="Y168" s="354"/>
      <c r="Z168" s="354"/>
      <c r="AA168" s="354"/>
      <c r="AB168" s="354"/>
      <c r="AC168" s="354"/>
      <c r="AD168" s="354"/>
      <c r="AE168" s="354"/>
      <c r="AF168" s="379">
        <f t="shared" si="6"/>
        <v>7</v>
      </c>
      <c r="AG168" s="354"/>
      <c r="AH168" s="354"/>
      <c r="AI168" s="354" t="s">
        <v>2251</v>
      </c>
      <c r="AJ168" s="416"/>
      <c r="AK168" s="244" t="s">
        <v>2836</v>
      </c>
    </row>
    <row r="169" spans="1:37" ht="39.950000000000003" customHeight="1">
      <c r="A169" s="354">
        <v>167</v>
      </c>
      <c r="B169" s="355">
        <v>45238</v>
      </c>
      <c r="C169" s="356">
        <v>0.33333333333333331</v>
      </c>
      <c r="D169" s="152" t="s">
        <v>2514</v>
      </c>
      <c r="E169" s="357" t="s">
        <v>2515</v>
      </c>
      <c r="F169" s="354">
        <v>6</v>
      </c>
      <c r="G169" s="354" t="s">
        <v>1841</v>
      </c>
      <c r="H169" s="355"/>
      <c r="I169" s="355"/>
      <c r="J169" s="355"/>
      <c r="K169" s="354" t="str">
        <f>IFERROR(VLOOKUP(J169,Jueces!$A$1:$B$11,2,FALSE),"")</f>
        <v/>
      </c>
      <c r="L169" s="152" t="s">
        <v>1386</v>
      </c>
      <c r="M169" s="152" t="s">
        <v>2516</v>
      </c>
      <c r="N169" s="354"/>
      <c r="O169" s="152" t="str">
        <f t="shared" ca="1" si="5"/>
        <v>LIMBO</v>
      </c>
      <c r="P169" s="152"/>
      <c r="Q169" s="152" t="s">
        <v>709</v>
      </c>
      <c r="R169" s="152"/>
      <c r="S169" s="152"/>
      <c r="T169" s="358"/>
      <c r="U169" s="358"/>
      <c r="V169" s="354"/>
      <c r="W169" s="354"/>
      <c r="X169" s="354"/>
      <c r="Y169" s="354"/>
      <c r="Z169" s="354"/>
      <c r="AA169" s="354"/>
      <c r="AB169" s="354"/>
      <c r="AC169" s="354"/>
      <c r="AD169" s="354"/>
      <c r="AE169" s="354"/>
      <c r="AF169" s="379">
        <f t="shared" si="6"/>
        <v>7</v>
      </c>
      <c r="AG169" s="354"/>
      <c r="AH169" s="354"/>
      <c r="AI169" s="354" t="s">
        <v>2251</v>
      </c>
      <c r="AJ169" s="416"/>
      <c r="AK169" s="244" t="s">
        <v>2836</v>
      </c>
    </row>
    <row r="170" spans="1:37" ht="39.950000000000003" customHeight="1">
      <c r="A170" s="354">
        <v>168</v>
      </c>
      <c r="B170" s="355">
        <v>45238</v>
      </c>
      <c r="C170" s="152" t="s">
        <v>2517</v>
      </c>
      <c r="D170" s="152" t="s">
        <v>2518</v>
      </c>
      <c r="E170" s="357" t="s">
        <v>2519</v>
      </c>
      <c r="F170" s="354">
        <v>2</v>
      </c>
      <c r="G170" s="354" t="s">
        <v>1839</v>
      </c>
      <c r="H170" s="355"/>
      <c r="I170" s="355"/>
      <c r="J170" s="355"/>
      <c r="K170" s="354" t="str">
        <f>IFERROR(VLOOKUP(J170,Jueces!$A$1:$B$11,2,FALSE),"")</f>
        <v/>
      </c>
      <c r="L170" s="152" t="s">
        <v>588</v>
      </c>
      <c r="M170" s="152"/>
      <c r="N170" s="354"/>
      <c r="O170" s="152" t="str">
        <f t="shared" ca="1" si="5"/>
        <v>LIMBO</v>
      </c>
      <c r="P170" s="152"/>
      <c r="Q170" s="152" t="s">
        <v>709</v>
      </c>
      <c r="R170" s="152"/>
      <c r="S170" s="152"/>
      <c r="T170" s="358"/>
      <c r="U170" s="358"/>
      <c r="V170" s="354"/>
      <c r="W170" s="354"/>
      <c r="X170" s="354"/>
      <c r="Y170" s="354"/>
      <c r="Z170" s="354"/>
      <c r="AA170" s="354"/>
      <c r="AB170" s="354"/>
      <c r="AC170" s="354"/>
      <c r="AD170" s="354"/>
      <c r="AE170" s="354"/>
      <c r="AF170" s="379">
        <f t="shared" si="6"/>
        <v>7</v>
      </c>
      <c r="AG170" s="354"/>
      <c r="AH170" s="354"/>
      <c r="AI170" s="354" t="s">
        <v>2251</v>
      </c>
      <c r="AJ170" s="416"/>
      <c r="AK170" s="244" t="s">
        <v>2836</v>
      </c>
    </row>
    <row r="171" spans="1:37" ht="39.950000000000003" customHeight="1">
      <c r="A171" s="321">
        <v>169</v>
      </c>
      <c r="B171" s="319">
        <v>45237</v>
      </c>
      <c r="C171" s="216" t="s">
        <v>2520</v>
      </c>
      <c r="D171" s="216" t="s">
        <v>1647</v>
      </c>
      <c r="E171" s="335" t="s">
        <v>2521</v>
      </c>
      <c r="F171" s="321">
        <v>4</v>
      </c>
      <c r="G171" s="321" t="s">
        <v>21</v>
      </c>
      <c r="H171" s="319"/>
      <c r="I171" s="319"/>
      <c r="J171" s="319"/>
      <c r="K171" s="321" t="str">
        <f>IFERROR(VLOOKUP(J171,Jueces!$A$1:$B$11,2,FALSE),"")</f>
        <v/>
      </c>
      <c r="L171" s="216" t="s">
        <v>583</v>
      </c>
      <c r="M171" s="216" t="s">
        <v>513</v>
      </c>
      <c r="N171" s="216" t="s">
        <v>2816</v>
      </c>
      <c r="O171" s="216" t="str">
        <f t="shared" ca="1" si="5"/>
        <v>LIMBO</v>
      </c>
      <c r="P171" s="216"/>
      <c r="Q171" s="216" t="s">
        <v>709</v>
      </c>
      <c r="R171" s="216"/>
      <c r="S171" s="216"/>
      <c r="T171" s="317"/>
      <c r="U171" s="317"/>
      <c r="V171" s="321"/>
      <c r="W171" s="321"/>
      <c r="X171" s="321"/>
      <c r="Y171" s="321"/>
      <c r="Z171" s="321"/>
      <c r="AA171" s="321"/>
      <c r="AB171" s="321"/>
      <c r="AC171" s="321"/>
      <c r="AD171" s="321"/>
      <c r="AE171" s="321"/>
      <c r="AF171" s="379">
        <f t="shared" si="6"/>
        <v>7</v>
      </c>
      <c r="AG171" s="321"/>
      <c r="AH171" s="321"/>
      <c r="AI171" s="321" t="s">
        <v>2161</v>
      </c>
      <c r="AJ171" s="415"/>
      <c r="AK171" s="244" t="s">
        <v>2161</v>
      </c>
    </row>
    <row r="172" spans="1:37" ht="39.950000000000003" customHeight="1">
      <c r="A172" s="321">
        <v>170</v>
      </c>
      <c r="B172" s="319">
        <v>45238</v>
      </c>
      <c r="C172" s="322">
        <v>0.42291666666666666</v>
      </c>
      <c r="D172" s="216" t="s">
        <v>1948</v>
      </c>
      <c r="E172" s="335" t="s">
        <v>2636</v>
      </c>
      <c r="F172" s="321">
        <v>1</v>
      </c>
      <c r="G172" s="321" t="s">
        <v>32</v>
      </c>
      <c r="H172" s="319"/>
      <c r="I172" s="319"/>
      <c r="J172" s="319"/>
      <c r="K172" s="321" t="str">
        <f>IFERROR(VLOOKUP(J172,Jueces!$A$1:$B$11,2,FALSE),"")</f>
        <v/>
      </c>
      <c r="L172" s="216" t="s">
        <v>284</v>
      </c>
      <c r="M172" s="216" t="s">
        <v>529</v>
      </c>
      <c r="N172" s="321"/>
      <c r="O172" s="216" t="str">
        <f t="shared" ca="1" si="5"/>
        <v>LIMBO</v>
      </c>
      <c r="P172" s="216"/>
      <c r="Q172" s="216" t="s">
        <v>709</v>
      </c>
      <c r="R172" s="216"/>
      <c r="S172" s="216"/>
      <c r="T172" s="317"/>
      <c r="U172" s="317"/>
      <c r="V172" s="321"/>
      <c r="W172" s="321"/>
      <c r="X172" s="321"/>
      <c r="Y172" s="321"/>
      <c r="Z172" s="321"/>
      <c r="AA172" s="321"/>
      <c r="AB172" s="321"/>
      <c r="AC172" s="321"/>
      <c r="AD172" s="321"/>
      <c r="AE172" s="321"/>
      <c r="AF172" s="379">
        <f t="shared" si="6"/>
        <v>7</v>
      </c>
      <c r="AG172" s="321"/>
      <c r="AH172" s="321"/>
      <c r="AI172" s="321" t="s">
        <v>2161</v>
      </c>
      <c r="AJ172" s="415"/>
      <c r="AK172" s="244" t="s">
        <v>2161</v>
      </c>
    </row>
    <row r="173" spans="1:37" ht="39.950000000000003" customHeight="1">
      <c r="A173" s="354">
        <v>171</v>
      </c>
      <c r="B173" s="355">
        <v>45239</v>
      </c>
      <c r="C173" s="152" t="s">
        <v>2522</v>
      </c>
      <c r="D173" s="152" t="s">
        <v>2523</v>
      </c>
      <c r="E173" s="357" t="s">
        <v>2524</v>
      </c>
      <c r="F173" s="354">
        <v>3</v>
      </c>
      <c r="G173" s="354" t="s">
        <v>21</v>
      </c>
      <c r="H173" s="355"/>
      <c r="I173" s="355"/>
      <c r="J173" s="355"/>
      <c r="K173" s="354" t="str">
        <f>IFERROR(VLOOKUP(J173,Jueces!$A$1:$B$11,2,FALSE),"")</f>
        <v/>
      </c>
      <c r="L173" s="152" t="s">
        <v>1386</v>
      </c>
      <c r="M173" s="152" t="s">
        <v>513</v>
      </c>
      <c r="N173" s="354"/>
      <c r="O173" s="152" t="str">
        <f t="shared" ca="1" si="5"/>
        <v>LIMBO</v>
      </c>
      <c r="P173" s="152"/>
      <c r="Q173" s="152" t="s">
        <v>709</v>
      </c>
      <c r="R173" s="152"/>
      <c r="S173" s="152"/>
      <c r="T173" s="358"/>
      <c r="U173" s="358"/>
      <c r="V173" s="354"/>
      <c r="W173" s="354"/>
      <c r="X173" s="354"/>
      <c r="Y173" s="354"/>
      <c r="Z173" s="354"/>
      <c r="AA173" s="354"/>
      <c r="AB173" s="354"/>
      <c r="AC173" s="354"/>
      <c r="AD173" s="354"/>
      <c r="AE173" s="354"/>
      <c r="AF173" s="379">
        <f t="shared" si="6"/>
        <v>7</v>
      </c>
      <c r="AG173" s="354"/>
      <c r="AH173" s="354"/>
      <c r="AI173" s="354" t="s">
        <v>2251</v>
      </c>
      <c r="AJ173" s="416"/>
      <c r="AK173" s="244" t="s">
        <v>2836</v>
      </c>
    </row>
    <row r="174" spans="1:37" ht="39.950000000000003" customHeight="1">
      <c r="A174" s="321">
        <v>172</v>
      </c>
      <c r="B174" s="319">
        <v>45239</v>
      </c>
      <c r="C174" s="216" t="s">
        <v>2525</v>
      </c>
      <c r="D174" s="216" t="s">
        <v>2526</v>
      </c>
      <c r="E174" s="335" t="s">
        <v>2533</v>
      </c>
      <c r="F174" s="321">
        <v>1</v>
      </c>
      <c r="G174" s="321" t="s">
        <v>1841</v>
      </c>
      <c r="H174" s="319"/>
      <c r="I174" s="319"/>
      <c r="J174" s="319"/>
      <c r="K174" s="321" t="str">
        <f>IFERROR(VLOOKUP(J174,Jueces!$A$1:$B$11,2,FALSE),"")</f>
        <v/>
      </c>
      <c r="L174" s="216" t="s">
        <v>781</v>
      </c>
      <c r="M174" s="216" t="s">
        <v>2532</v>
      </c>
      <c r="N174" s="216" t="s">
        <v>2629</v>
      </c>
      <c r="O174" s="216" t="str">
        <f t="shared" ca="1" si="5"/>
        <v>LIMBO</v>
      </c>
      <c r="P174" s="216"/>
      <c r="Q174" s="216" t="s">
        <v>709</v>
      </c>
      <c r="R174" s="216"/>
      <c r="S174" s="216"/>
      <c r="T174" s="317"/>
      <c r="U174" s="317"/>
      <c r="V174" s="321"/>
      <c r="W174" s="321"/>
      <c r="X174" s="321"/>
      <c r="Y174" s="321"/>
      <c r="Z174" s="321"/>
      <c r="AA174" s="321"/>
      <c r="AB174" s="321"/>
      <c r="AC174" s="321"/>
      <c r="AD174" s="321"/>
      <c r="AE174" s="321"/>
      <c r="AF174" s="379">
        <f t="shared" si="6"/>
        <v>7</v>
      </c>
      <c r="AG174" s="321"/>
      <c r="AH174" s="321"/>
      <c r="AI174" s="321" t="s">
        <v>2161</v>
      </c>
      <c r="AJ174" s="415"/>
      <c r="AK174" s="244" t="s">
        <v>2161</v>
      </c>
    </row>
    <row r="175" spans="1:37" ht="39.950000000000003" customHeight="1">
      <c r="A175" s="321">
        <v>173</v>
      </c>
      <c r="B175" s="319">
        <v>45239</v>
      </c>
      <c r="C175" s="322">
        <v>0.45624999999999999</v>
      </c>
      <c r="D175" s="216" t="s">
        <v>2527</v>
      </c>
      <c r="E175" s="335" t="s">
        <v>2534</v>
      </c>
      <c r="F175" s="321">
        <v>1</v>
      </c>
      <c r="G175" s="321" t="s">
        <v>1839</v>
      </c>
      <c r="H175" s="319"/>
      <c r="I175" s="319"/>
      <c r="J175" s="319"/>
      <c r="K175" s="321" t="str">
        <f>IFERROR(VLOOKUP(J175,Jueces!$A$1:$B$11,2,FALSE),"")</f>
        <v/>
      </c>
      <c r="L175" s="216" t="s">
        <v>578</v>
      </c>
      <c r="M175" s="216" t="s">
        <v>530</v>
      </c>
      <c r="N175" s="216" t="s">
        <v>2629</v>
      </c>
      <c r="O175" s="216" t="str">
        <f t="shared" ca="1" si="5"/>
        <v>LIMBO</v>
      </c>
      <c r="P175" s="216"/>
      <c r="Q175" s="216" t="s">
        <v>709</v>
      </c>
      <c r="R175" s="216"/>
      <c r="S175" s="216"/>
      <c r="T175" s="317"/>
      <c r="U175" s="317"/>
      <c r="V175" s="321"/>
      <c r="W175" s="321"/>
      <c r="X175" s="321"/>
      <c r="Y175" s="321"/>
      <c r="Z175" s="321"/>
      <c r="AA175" s="321"/>
      <c r="AB175" s="321"/>
      <c r="AC175" s="321"/>
      <c r="AD175" s="321"/>
      <c r="AE175" s="321"/>
      <c r="AF175" s="379">
        <f t="shared" si="6"/>
        <v>7</v>
      </c>
      <c r="AG175" s="321"/>
      <c r="AH175" s="321"/>
      <c r="AI175" s="321" t="s">
        <v>2161</v>
      </c>
      <c r="AJ175" s="415"/>
      <c r="AK175" s="244" t="s">
        <v>2161</v>
      </c>
    </row>
    <row r="176" spans="1:37" ht="39.950000000000003" customHeight="1">
      <c r="A176" s="354">
        <v>174</v>
      </c>
      <c r="B176" s="355">
        <v>45239</v>
      </c>
      <c r="C176" s="356">
        <v>0.41805555555555557</v>
      </c>
      <c r="D176" s="152" t="s">
        <v>2528</v>
      </c>
      <c r="E176" s="357" t="s">
        <v>2529</v>
      </c>
      <c r="F176" s="354">
        <v>6</v>
      </c>
      <c r="G176" s="354" t="s">
        <v>1841</v>
      </c>
      <c r="H176" s="355"/>
      <c r="I176" s="355"/>
      <c r="J176" s="355"/>
      <c r="K176" s="354" t="str">
        <f>IFERROR(VLOOKUP(J176,Jueces!$A$1:$B$11,2,FALSE),"")</f>
        <v/>
      </c>
      <c r="L176" s="152" t="s">
        <v>592</v>
      </c>
      <c r="M176" s="152" t="s">
        <v>1476</v>
      </c>
      <c r="N176" s="354"/>
      <c r="O176" s="152" t="str">
        <f t="shared" ca="1" si="5"/>
        <v>LIMBO</v>
      </c>
      <c r="P176" s="152"/>
      <c r="Q176" s="152" t="s">
        <v>709</v>
      </c>
      <c r="R176" s="152"/>
      <c r="S176" s="152"/>
      <c r="T176" s="358"/>
      <c r="U176" s="358"/>
      <c r="V176" s="354"/>
      <c r="W176" s="354"/>
      <c r="X176" s="354"/>
      <c r="Y176" s="354"/>
      <c r="Z176" s="354"/>
      <c r="AA176" s="354"/>
      <c r="AB176" s="354"/>
      <c r="AC176" s="354"/>
      <c r="AD176" s="354"/>
      <c r="AE176" s="354"/>
      <c r="AF176" s="379">
        <f t="shared" si="6"/>
        <v>7</v>
      </c>
      <c r="AG176" s="354"/>
      <c r="AH176" s="354"/>
      <c r="AI176" s="354" t="s">
        <v>2251</v>
      </c>
      <c r="AJ176" s="416"/>
      <c r="AK176" s="244" t="s">
        <v>2836</v>
      </c>
    </row>
    <row r="177" spans="1:37" ht="39.950000000000003" customHeight="1">
      <c r="A177" s="354">
        <v>175</v>
      </c>
      <c r="B177" s="355">
        <v>45239</v>
      </c>
      <c r="C177" s="356">
        <v>0.4236111111111111</v>
      </c>
      <c r="D177" s="152" t="s">
        <v>2530</v>
      </c>
      <c r="E177" s="357" t="s">
        <v>2531</v>
      </c>
      <c r="F177" s="354">
        <v>6</v>
      </c>
      <c r="G177" s="354" t="s">
        <v>1841</v>
      </c>
      <c r="H177" s="355"/>
      <c r="I177" s="355"/>
      <c r="J177" s="355"/>
      <c r="K177" s="354" t="str">
        <f>IFERROR(VLOOKUP(J177,Jueces!$A$1:$B$11,2,FALSE),"")</f>
        <v/>
      </c>
      <c r="L177" s="152" t="s">
        <v>591</v>
      </c>
      <c r="M177" s="152" t="s">
        <v>1476</v>
      </c>
      <c r="N177" s="354"/>
      <c r="O177" s="152" t="str">
        <f t="shared" ca="1" si="5"/>
        <v>LIMBO</v>
      </c>
      <c r="P177" s="152"/>
      <c r="Q177" s="152" t="s">
        <v>709</v>
      </c>
      <c r="R177" s="152"/>
      <c r="S177" s="152"/>
      <c r="T177" s="358"/>
      <c r="U177" s="358"/>
      <c r="V177" s="354"/>
      <c r="W177" s="354"/>
      <c r="X177" s="354"/>
      <c r="Y177" s="354"/>
      <c r="Z177" s="354"/>
      <c r="AA177" s="354"/>
      <c r="AB177" s="354"/>
      <c r="AC177" s="354"/>
      <c r="AD177" s="354"/>
      <c r="AE177" s="354"/>
      <c r="AF177" s="379">
        <f t="shared" si="6"/>
        <v>7</v>
      </c>
      <c r="AG177" s="354"/>
      <c r="AH177" s="354"/>
      <c r="AI177" s="354" t="s">
        <v>2251</v>
      </c>
      <c r="AJ177" s="416"/>
      <c r="AK177" s="244" t="s">
        <v>2836</v>
      </c>
    </row>
    <row r="178" spans="1:37" ht="39.950000000000003" customHeight="1">
      <c r="A178" s="321">
        <v>176</v>
      </c>
      <c r="B178" s="319">
        <v>45239</v>
      </c>
      <c r="C178" s="216" t="s">
        <v>2535</v>
      </c>
      <c r="D178" s="216" t="s">
        <v>2537</v>
      </c>
      <c r="E178" s="334" t="s">
        <v>2536</v>
      </c>
      <c r="F178" s="321">
        <v>4</v>
      </c>
      <c r="G178" s="321"/>
      <c r="H178" s="319"/>
      <c r="I178" s="319"/>
      <c r="J178" s="319"/>
      <c r="K178" s="321" t="str">
        <f>IFERROR(VLOOKUP(J178,Jueces!$A$1:$B$11,2,FALSE),"")</f>
        <v/>
      </c>
      <c r="L178" s="216" t="s">
        <v>596</v>
      </c>
      <c r="M178" s="216" t="s">
        <v>1241</v>
      </c>
      <c r="N178" s="338" t="s">
        <v>2538</v>
      </c>
      <c r="O178" s="216" t="str">
        <f t="shared" ca="1" si="5"/>
        <v>LIMBO</v>
      </c>
      <c r="P178" s="216"/>
      <c r="Q178" s="216" t="s">
        <v>709</v>
      </c>
      <c r="R178" s="216"/>
      <c r="S178" s="216"/>
      <c r="T178" s="317"/>
      <c r="U178" s="317"/>
      <c r="V178" s="321"/>
      <c r="W178" s="321"/>
      <c r="X178" s="321"/>
      <c r="Y178" s="321"/>
      <c r="Z178" s="321"/>
      <c r="AA178" s="321"/>
      <c r="AB178" s="321"/>
      <c r="AC178" s="321"/>
      <c r="AD178" s="321"/>
      <c r="AE178" s="321"/>
      <c r="AF178" s="379">
        <f t="shared" si="6"/>
        <v>7</v>
      </c>
      <c r="AG178" s="321"/>
      <c r="AH178" s="321"/>
      <c r="AI178" s="321" t="s">
        <v>2251</v>
      </c>
      <c r="AJ178" s="415"/>
      <c r="AK178" s="244" t="s">
        <v>2836</v>
      </c>
    </row>
    <row r="179" spans="1:37" ht="39.950000000000003" customHeight="1">
      <c r="A179" s="354">
        <v>177</v>
      </c>
      <c r="B179" s="355">
        <v>45240</v>
      </c>
      <c r="C179" s="356">
        <v>0.53611111111111109</v>
      </c>
      <c r="D179" s="152" t="s">
        <v>2539</v>
      </c>
      <c r="E179" s="360" t="s">
        <v>2540</v>
      </c>
      <c r="F179" s="354">
        <v>8</v>
      </c>
      <c r="G179" s="354"/>
      <c r="H179" s="355"/>
      <c r="I179" s="355"/>
      <c r="J179" s="355"/>
      <c r="K179" s="354" t="str">
        <f>IFERROR(VLOOKUP(J179,Jueces!$A$1:$B$11,2,FALSE),"")</f>
        <v/>
      </c>
      <c r="L179" s="152" t="s">
        <v>598</v>
      </c>
      <c r="M179" s="152" t="s">
        <v>794</v>
      </c>
      <c r="N179" s="354"/>
      <c r="O179" s="152" t="str">
        <f t="shared" ca="1" si="5"/>
        <v>LIMBO</v>
      </c>
      <c r="P179" s="152"/>
      <c r="Q179" s="152" t="s">
        <v>709</v>
      </c>
      <c r="R179" s="152"/>
      <c r="S179" s="152"/>
      <c r="T179" s="358"/>
      <c r="U179" s="358"/>
      <c r="V179" s="354"/>
      <c r="W179" s="354"/>
      <c r="X179" s="354"/>
      <c r="Y179" s="354"/>
      <c r="Z179" s="354"/>
      <c r="AA179" s="354"/>
      <c r="AB179" s="354"/>
      <c r="AC179" s="354"/>
      <c r="AD179" s="354"/>
      <c r="AE179" s="354"/>
      <c r="AF179" s="379">
        <f t="shared" si="6"/>
        <v>7</v>
      </c>
      <c r="AG179" s="354"/>
      <c r="AH179" s="354"/>
      <c r="AI179" s="354" t="s">
        <v>2161</v>
      </c>
      <c r="AJ179" s="416"/>
      <c r="AK179" s="244" t="s">
        <v>2161</v>
      </c>
    </row>
    <row r="180" spans="1:37" ht="39.950000000000003" customHeight="1">
      <c r="A180" s="354">
        <v>178</v>
      </c>
      <c r="B180" s="355">
        <v>45240</v>
      </c>
      <c r="C180" s="152" t="s">
        <v>2541</v>
      </c>
      <c r="D180" s="152" t="s">
        <v>2542</v>
      </c>
      <c r="E180" s="357" t="s">
        <v>2543</v>
      </c>
      <c r="F180" s="354">
        <v>6</v>
      </c>
      <c r="G180" s="354"/>
      <c r="H180" s="355"/>
      <c r="I180" s="355"/>
      <c r="J180" s="355"/>
      <c r="K180" s="354" t="str">
        <f>IFERROR(VLOOKUP(J180,Jueces!$A$1:$B$11,2,FALSE),"")</f>
        <v/>
      </c>
      <c r="L180" s="152" t="s">
        <v>167</v>
      </c>
      <c r="M180" s="152" t="s">
        <v>2544</v>
      </c>
      <c r="N180" s="354"/>
      <c r="O180" s="152" t="str">
        <f t="shared" ca="1" si="5"/>
        <v>LIMBO</v>
      </c>
      <c r="P180" s="152"/>
      <c r="Q180" s="152" t="s">
        <v>709</v>
      </c>
      <c r="R180" s="152"/>
      <c r="S180" s="152"/>
      <c r="T180" s="358"/>
      <c r="U180" s="358"/>
      <c r="V180" s="354"/>
      <c r="W180" s="354"/>
      <c r="X180" s="354"/>
      <c r="Y180" s="354"/>
      <c r="Z180" s="354"/>
      <c r="AA180" s="354"/>
      <c r="AB180" s="354"/>
      <c r="AC180" s="354"/>
      <c r="AD180" s="354"/>
      <c r="AE180" s="354"/>
      <c r="AF180" s="379">
        <f t="shared" si="6"/>
        <v>7</v>
      </c>
      <c r="AG180" s="354"/>
      <c r="AH180" s="354"/>
      <c r="AI180" s="354" t="s">
        <v>2251</v>
      </c>
      <c r="AJ180" s="416"/>
      <c r="AK180" s="244" t="s">
        <v>2836</v>
      </c>
    </row>
    <row r="181" spans="1:37" ht="39.950000000000003" customHeight="1">
      <c r="A181" s="354">
        <v>179</v>
      </c>
      <c r="B181" s="289">
        <v>45240</v>
      </c>
      <c r="C181" s="152" t="s">
        <v>2545</v>
      </c>
      <c r="D181" s="152" t="s">
        <v>2546</v>
      </c>
      <c r="E181" s="357" t="s">
        <v>2547</v>
      </c>
      <c r="F181" s="354">
        <v>6</v>
      </c>
      <c r="G181" s="354"/>
      <c r="H181" s="355"/>
      <c r="I181" s="355"/>
      <c r="J181" s="355"/>
      <c r="K181" s="354" t="str">
        <f>IFERROR(VLOOKUP(J181,Jueces!$A$1:$B$11,2,FALSE),"")</f>
        <v/>
      </c>
      <c r="L181" s="152" t="s">
        <v>576</v>
      </c>
      <c r="M181" s="152" t="s">
        <v>513</v>
      </c>
      <c r="N181" s="152" t="s">
        <v>2548</v>
      </c>
      <c r="O181" s="152" t="str">
        <f t="shared" ca="1" si="5"/>
        <v>LIMBO</v>
      </c>
      <c r="P181" s="152"/>
      <c r="Q181" s="152" t="s">
        <v>709</v>
      </c>
      <c r="R181" s="152"/>
      <c r="S181" s="152"/>
      <c r="T181" s="358"/>
      <c r="U181" s="358"/>
      <c r="V181" s="354"/>
      <c r="W181" s="354"/>
      <c r="X181" s="354"/>
      <c r="Y181" s="354"/>
      <c r="Z181" s="354"/>
      <c r="AA181" s="354"/>
      <c r="AB181" s="354"/>
      <c r="AC181" s="354"/>
      <c r="AD181" s="354"/>
      <c r="AE181" s="354"/>
      <c r="AF181" s="379">
        <f t="shared" si="6"/>
        <v>7</v>
      </c>
      <c r="AG181" s="354"/>
      <c r="AH181" s="354"/>
      <c r="AI181" s="354" t="s">
        <v>2251</v>
      </c>
      <c r="AJ181" s="416"/>
      <c r="AK181" s="244" t="s">
        <v>2836</v>
      </c>
    </row>
    <row r="182" spans="1:37" ht="39.950000000000003" customHeight="1">
      <c r="A182" s="321">
        <v>180</v>
      </c>
      <c r="B182" s="319">
        <v>45240</v>
      </c>
      <c r="C182" s="216" t="s">
        <v>2549</v>
      </c>
      <c r="D182" s="216" t="s">
        <v>1457</v>
      </c>
      <c r="E182" s="335" t="s">
        <v>2550</v>
      </c>
      <c r="F182" s="321">
        <v>6</v>
      </c>
      <c r="G182" s="321" t="s">
        <v>21</v>
      </c>
      <c r="H182" s="319"/>
      <c r="I182" s="319"/>
      <c r="J182" s="319"/>
      <c r="K182" s="321" t="str">
        <f>IFERROR(VLOOKUP(J182,Jueces!$A$1:$B$11,2,FALSE),"")</f>
        <v/>
      </c>
      <c r="L182" s="216" t="s">
        <v>1386</v>
      </c>
      <c r="M182" s="216" t="s">
        <v>756</v>
      </c>
      <c r="N182" s="321"/>
      <c r="O182" s="216" t="str">
        <f t="shared" ca="1" si="5"/>
        <v>LIMBO</v>
      </c>
      <c r="P182" s="216"/>
      <c r="Q182" s="216" t="s">
        <v>709</v>
      </c>
      <c r="R182" s="216"/>
      <c r="S182" s="216"/>
      <c r="T182" s="317"/>
      <c r="U182" s="317"/>
      <c r="V182" s="321"/>
      <c r="W182" s="321"/>
      <c r="X182" s="321"/>
      <c r="Y182" s="321"/>
      <c r="Z182" s="321"/>
      <c r="AA182" s="321"/>
      <c r="AB182" s="321"/>
      <c r="AC182" s="321"/>
      <c r="AD182" s="321"/>
      <c r="AE182" s="321"/>
      <c r="AF182" s="379">
        <f t="shared" si="6"/>
        <v>7</v>
      </c>
      <c r="AG182" s="321"/>
      <c r="AH182" s="321"/>
      <c r="AI182" s="321" t="s">
        <v>2161</v>
      </c>
      <c r="AJ182" s="415"/>
      <c r="AK182" s="244" t="s">
        <v>2161</v>
      </c>
    </row>
    <row r="183" spans="1:37" ht="39.950000000000003" customHeight="1">
      <c r="A183" s="354">
        <v>181</v>
      </c>
      <c r="B183" s="355">
        <v>45240</v>
      </c>
      <c r="C183" s="152" t="s">
        <v>2551</v>
      </c>
      <c r="D183" s="152" t="s">
        <v>2552</v>
      </c>
      <c r="E183" s="357" t="s">
        <v>2553</v>
      </c>
      <c r="F183" s="354">
        <v>6</v>
      </c>
      <c r="G183" s="354"/>
      <c r="H183" s="355"/>
      <c r="I183" s="355"/>
      <c r="J183" s="355"/>
      <c r="K183" s="354" t="str">
        <f>IFERROR(VLOOKUP(J183,Jueces!$A$1:$B$11,2,FALSE),"")</f>
        <v/>
      </c>
      <c r="L183" s="152" t="s">
        <v>1388</v>
      </c>
      <c r="M183" s="152" t="s">
        <v>2554</v>
      </c>
      <c r="N183" s="354"/>
      <c r="O183" s="152" t="str">
        <f t="shared" ca="1" si="5"/>
        <v>LIMBO</v>
      </c>
      <c r="P183" s="152"/>
      <c r="Q183" s="152" t="s">
        <v>709</v>
      </c>
      <c r="R183" s="152"/>
      <c r="S183" s="152"/>
      <c r="T183" s="358"/>
      <c r="U183" s="358"/>
      <c r="V183" s="354"/>
      <c r="W183" s="354"/>
      <c r="X183" s="354"/>
      <c r="Y183" s="354"/>
      <c r="Z183" s="354"/>
      <c r="AA183" s="354"/>
      <c r="AB183" s="354"/>
      <c r="AC183" s="354"/>
      <c r="AD183" s="354"/>
      <c r="AE183" s="354"/>
      <c r="AF183" s="379">
        <f t="shared" si="6"/>
        <v>7</v>
      </c>
      <c r="AG183" s="354"/>
      <c r="AH183" s="354"/>
      <c r="AI183" s="354" t="s">
        <v>2251</v>
      </c>
      <c r="AJ183" s="416"/>
      <c r="AK183" s="244" t="s">
        <v>2836</v>
      </c>
    </row>
    <row r="184" spans="1:37" ht="39.950000000000003" customHeight="1">
      <c r="A184" s="354">
        <v>182</v>
      </c>
      <c r="B184" s="355">
        <v>45240</v>
      </c>
      <c r="C184" s="152" t="s">
        <v>2555</v>
      </c>
      <c r="D184" s="152" t="s">
        <v>2556</v>
      </c>
      <c r="E184" s="357" t="s">
        <v>2557</v>
      </c>
      <c r="F184" s="354">
        <v>6</v>
      </c>
      <c r="G184" s="354"/>
      <c r="H184" s="355"/>
      <c r="I184" s="355"/>
      <c r="J184" s="355"/>
      <c r="K184" s="354" t="str">
        <f>IFERROR(VLOOKUP(J184,Jueces!$A$1:$B$11,2,FALSE),"")</f>
        <v/>
      </c>
      <c r="L184" s="152" t="s">
        <v>584</v>
      </c>
      <c r="M184" s="152" t="s">
        <v>2558</v>
      </c>
      <c r="N184" s="354"/>
      <c r="O184" s="152" t="str">
        <f t="shared" ca="1" si="5"/>
        <v>LIMBO</v>
      </c>
      <c r="P184" s="152"/>
      <c r="Q184" s="152" t="s">
        <v>709</v>
      </c>
      <c r="R184" s="152"/>
      <c r="S184" s="152"/>
      <c r="T184" s="358"/>
      <c r="U184" s="358"/>
      <c r="V184" s="354"/>
      <c r="W184" s="354"/>
      <c r="X184" s="354"/>
      <c r="Y184" s="354"/>
      <c r="Z184" s="354"/>
      <c r="AA184" s="354"/>
      <c r="AB184" s="354"/>
      <c r="AC184" s="354"/>
      <c r="AD184" s="354"/>
      <c r="AE184" s="354"/>
      <c r="AF184" s="379">
        <f t="shared" si="6"/>
        <v>7</v>
      </c>
      <c r="AG184" s="354"/>
      <c r="AH184" s="354"/>
      <c r="AI184" s="354" t="s">
        <v>2251</v>
      </c>
      <c r="AJ184" s="416"/>
      <c r="AK184" s="244" t="s">
        <v>2836</v>
      </c>
    </row>
    <row r="185" spans="1:37" ht="39.950000000000003" customHeight="1">
      <c r="A185" s="354">
        <v>183</v>
      </c>
      <c r="B185" s="355">
        <v>45240</v>
      </c>
      <c r="C185" s="152" t="s">
        <v>2559</v>
      </c>
      <c r="D185" s="152" t="s">
        <v>2560</v>
      </c>
      <c r="E185" s="357" t="s">
        <v>2561</v>
      </c>
      <c r="F185" s="354">
        <v>2</v>
      </c>
      <c r="G185" s="354"/>
      <c r="H185" s="355"/>
      <c r="I185" s="355"/>
      <c r="J185" s="355"/>
      <c r="K185" s="354" t="str">
        <f>IFERROR(VLOOKUP(J185,Jueces!$A$1:$B$11,2,FALSE),"")</f>
        <v/>
      </c>
      <c r="L185" s="152" t="s">
        <v>574</v>
      </c>
      <c r="M185" s="152" t="s">
        <v>529</v>
      </c>
      <c r="N185" s="354"/>
      <c r="O185" s="152" t="str">
        <f t="shared" ca="1" si="5"/>
        <v>LIMBO</v>
      </c>
      <c r="P185" s="152"/>
      <c r="Q185" s="152" t="s">
        <v>709</v>
      </c>
      <c r="R185" s="152"/>
      <c r="S185" s="152"/>
      <c r="T185" s="358"/>
      <c r="U185" s="358"/>
      <c r="V185" s="354"/>
      <c r="W185" s="354"/>
      <c r="X185" s="354"/>
      <c r="Y185" s="354"/>
      <c r="Z185" s="354"/>
      <c r="AA185" s="354"/>
      <c r="AB185" s="354"/>
      <c r="AC185" s="354"/>
      <c r="AD185" s="354"/>
      <c r="AE185" s="354"/>
      <c r="AF185" s="379">
        <f t="shared" si="6"/>
        <v>7</v>
      </c>
      <c r="AG185" s="354"/>
      <c r="AH185" s="354"/>
      <c r="AI185" s="354" t="s">
        <v>2251</v>
      </c>
      <c r="AJ185" s="416"/>
      <c r="AK185" s="244" t="s">
        <v>2836</v>
      </c>
    </row>
    <row r="186" spans="1:37" ht="39.950000000000003" customHeight="1">
      <c r="A186" s="321">
        <v>184</v>
      </c>
      <c r="B186" s="319">
        <v>45243</v>
      </c>
      <c r="C186" s="216" t="s">
        <v>2562</v>
      </c>
      <c r="D186" s="216" t="s">
        <v>2563</v>
      </c>
      <c r="E186" s="335" t="s">
        <v>2566</v>
      </c>
      <c r="F186" s="321">
        <v>3</v>
      </c>
      <c r="G186" s="321"/>
      <c r="H186" s="319"/>
      <c r="I186" s="319"/>
      <c r="J186" s="319"/>
      <c r="K186" s="321" t="str">
        <f>IFERROR(VLOOKUP(J186,Jueces!$A$1:$B$11,2,FALSE),"")</f>
        <v/>
      </c>
      <c r="L186" s="216" t="s">
        <v>592</v>
      </c>
      <c r="M186" s="216"/>
      <c r="N186" s="216" t="s">
        <v>2628</v>
      </c>
      <c r="O186" s="216" t="str">
        <f t="shared" ca="1" si="5"/>
        <v>LIMBO</v>
      </c>
      <c r="P186" s="216"/>
      <c r="Q186" s="216" t="s">
        <v>709</v>
      </c>
      <c r="R186" s="216"/>
      <c r="S186" s="216"/>
      <c r="T186" s="317"/>
      <c r="U186" s="317"/>
      <c r="V186" s="321"/>
      <c r="W186" s="321"/>
      <c r="X186" s="321"/>
      <c r="Y186" s="321"/>
      <c r="Z186" s="321"/>
      <c r="AA186" s="321"/>
      <c r="AB186" s="321"/>
      <c r="AC186" s="321"/>
      <c r="AD186" s="321"/>
      <c r="AE186" s="321"/>
      <c r="AF186" s="379">
        <f t="shared" si="6"/>
        <v>7</v>
      </c>
      <c r="AG186" s="321"/>
      <c r="AH186" s="321"/>
      <c r="AI186" s="321" t="s">
        <v>2161</v>
      </c>
      <c r="AJ186" s="415"/>
      <c r="AK186" s="244" t="s">
        <v>2161</v>
      </c>
    </row>
    <row r="187" spans="1:37" ht="39.950000000000003" customHeight="1">
      <c r="A187" s="321">
        <v>185</v>
      </c>
      <c r="B187" s="319">
        <v>45243</v>
      </c>
      <c r="C187" s="216" t="s">
        <v>2564</v>
      </c>
      <c r="D187" s="216" t="s">
        <v>2565</v>
      </c>
      <c r="E187" s="335" t="s">
        <v>2567</v>
      </c>
      <c r="F187" s="321">
        <v>4</v>
      </c>
      <c r="G187" s="321" t="s">
        <v>1839</v>
      </c>
      <c r="H187" s="319"/>
      <c r="I187" s="319"/>
      <c r="J187" s="319"/>
      <c r="K187" s="321" t="str">
        <f>IFERROR(VLOOKUP(J187,Jueces!$A$1:$B$11,2,FALSE),"")</f>
        <v/>
      </c>
      <c r="L187" s="216" t="s">
        <v>597</v>
      </c>
      <c r="M187" s="216"/>
      <c r="N187" s="216" t="s">
        <v>2627</v>
      </c>
      <c r="O187" s="216" t="str">
        <f t="shared" ca="1" si="5"/>
        <v>LIMBO</v>
      </c>
      <c r="P187" s="216"/>
      <c r="Q187" s="216" t="s">
        <v>709</v>
      </c>
      <c r="R187" s="216"/>
      <c r="S187" s="216"/>
      <c r="T187" s="317"/>
      <c r="U187" s="317"/>
      <c r="V187" s="321"/>
      <c r="W187" s="321"/>
      <c r="X187" s="321"/>
      <c r="Y187" s="321"/>
      <c r="Z187" s="321"/>
      <c r="AA187" s="321"/>
      <c r="AB187" s="321"/>
      <c r="AC187" s="321"/>
      <c r="AD187" s="321"/>
      <c r="AE187" s="321"/>
      <c r="AF187" s="379">
        <f t="shared" si="6"/>
        <v>7</v>
      </c>
      <c r="AG187" s="321"/>
      <c r="AH187" s="321"/>
      <c r="AI187" s="321" t="s">
        <v>2161</v>
      </c>
      <c r="AJ187" s="415"/>
      <c r="AK187" s="244" t="s">
        <v>2161</v>
      </c>
    </row>
    <row r="188" spans="1:37" ht="39.950000000000003" customHeight="1">
      <c r="A188" s="321">
        <v>186</v>
      </c>
      <c r="B188" s="319">
        <v>45243</v>
      </c>
      <c r="C188" s="216" t="s">
        <v>2568</v>
      </c>
      <c r="D188" s="216" t="s">
        <v>2569</v>
      </c>
      <c r="E188" s="335" t="s">
        <v>2572</v>
      </c>
      <c r="F188" s="321">
        <v>1</v>
      </c>
      <c r="G188" s="321" t="s">
        <v>1841</v>
      </c>
      <c r="H188" s="319"/>
      <c r="I188" s="319"/>
      <c r="J188" s="319"/>
      <c r="K188" s="321" t="str">
        <f>IFERROR(VLOOKUP(J188,Jueces!$A$1:$B$11,2,FALSE),"")</f>
        <v/>
      </c>
      <c r="L188" s="216" t="s">
        <v>1390</v>
      </c>
      <c r="M188" s="216" t="s">
        <v>2570</v>
      </c>
      <c r="N188" s="321"/>
      <c r="O188" s="216" t="str">
        <f t="shared" ca="1" si="5"/>
        <v>LIMBO</v>
      </c>
      <c r="P188" s="216"/>
      <c r="Q188" s="216" t="s">
        <v>709</v>
      </c>
      <c r="R188" s="216"/>
      <c r="S188" s="216"/>
      <c r="T188" s="317"/>
      <c r="U188" s="317"/>
      <c r="V188" s="321"/>
      <c r="W188" s="321"/>
      <c r="X188" s="321"/>
      <c r="Y188" s="321"/>
      <c r="Z188" s="321"/>
      <c r="AA188" s="321"/>
      <c r="AB188" s="321"/>
      <c r="AC188" s="321"/>
      <c r="AD188" s="321"/>
      <c r="AE188" s="321"/>
      <c r="AF188" s="379">
        <f t="shared" si="6"/>
        <v>7</v>
      </c>
      <c r="AG188" s="321"/>
      <c r="AH188" s="321"/>
      <c r="AI188" s="321" t="s">
        <v>2161</v>
      </c>
      <c r="AJ188" s="415"/>
      <c r="AK188" s="244" t="s">
        <v>2161</v>
      </c>
    </row>
    <row r="189" spans="1:37" ht="39.950000000000003" customHeight="1">
      <c r="A189" s="321">
        <v>187</v>
      </c>
      <c r="B189" s="319">
        <v>45243</v>
      </c>
      <c r="C189" s="322">
        <v>0.5083333333333333</v>
      </c>
      <c r="D189" s="216" t="s">
        <v>1893</v>
      </c>
      <c r="E189" s="335" t="s">
        <v>2571</v>
      </c>
      <c r="F189" s="321">
        <v>1</v>
      </c>
      <c r="G189" s="321" t="s">
        <v>21</v>
      </c>
      <c r="H189" s="319"/>
      <c r="I189" s="319"/>
      <c r="J189" s="319"/>
      <c r="K189" s="321" t="str">
        <f>IFERROR(VLOOKUP(J189,Jueces!$A$1:$B$11,2,FALSE),"")</f>
        <v/>
      </c>
      <c r="L189" s="216" t="s">
        <v>592</v>
      </c>
      <c r="M189" s="216" t="s">
        <v>529</v>
      </c>
      <c r="N189" s="321"/>
      <c r="O189" s="216" t="str">
        <f t="shared" ca="1" si="5"/>
        <v>LIMBO</v>
      </c>
      <c r="P189" s="216"/>
      <c r="Q189" s="216" t="s">
        <v>709</v>
      </c>
      <c r="R189" s="216"/>
      <c r="S189" s="216"/>
      <c r="T189" s="317"/>
      <c r="U189" s="317"/>
      <c r="V189" s="321"/>
      <c r="W189" s="321"/>
      <c r="X189" s="321"/>
      <c r="Y189" s="321"/>
      <c r="Z189" s="321"/>
      <c r="AA189" s="321"/>
      <c r="AB189" s="321"/>
      <c r="AC189" s="321"/>
      <c r="AD189" s="321"/>
      <c r="AE189" s="321"/>
      <c r="AF189" s="379">
        <f t="shared" si="6"/>
        <v>7</v>
      </c>
      <c r="AG189" s="321"/>
      <c r="AH189" s="321"/>
      <c r="AI189" s="321" t="s">
        <v>2161</v>
      </c>
      <c r="AJ189" s="415"/>
      <c r="AK189" s="244" t="s">
        <v>2161</v>
      </c>
    </row>
    <row r="190" spans="1:37" ht="39.950000000000003" customHeight="1">
      <c r="A190" s="321">
        <v>188</v>
      </c>
      <c r="B190" s="319">
        <v>45243</v>
      </c>
      <c r="C190" s="216" t="s">
        <v>2122</v>
      </c>
      <c r="D190" s="216" t="s">
        <v>2573</v>
      </c>
      <c r="E190" s="334" t="s">
        <v>2574</v>
      </c>
      <c r="F190" s="321">
        <v>2</v>
      </c>
      <c r="G190" s="321"/>
      <c r="H190" s="319"/>
      <c r="I190" s="319"/>
      <c r="J190" s="319"/>
      <c r="K190" s="321" t="str">
        <f>IFERROR(VLOOKUP(J190,Jueces!$A$1:$B$11,2,FALSE),"")</f>
        <v/>
      </c>
      <c r="L190" s="216" t="s">
        <v>583</v>
      </c>
      <c r="M190" s="216"/>
      <c r="N190" s="321"/>
      <c r="O190" s="216" t="str">
        <f t="shared" ca="1" si="5"/>
        <v>LIMBO</v>
      </c>
      <c r="P190" s="216"/>
      <c r="Q190" s="216" t="s">
        <v>709</v>
      </c>
      <c r="R190" s="216"/>
      <c r="S190" s="216"/>
      <c r="T190" s="317"/>
      <c r="U190" s="317"/>
      <c r="V190" s="321"/>
      <c r="W190" s="321"/>
      <c r="X190" s="321"/>
      <c r="Y190" s="321"/>
      <c r="Z190" s="321"/>
      <c r="AA190" s="321"/>
      <c r="AB190" s="321"/>
      <c r="AC190" s="321"/>
      <c r="AD190" s="321"/>
      <c r="AE190" s="321"/>
      <c r="AF190" s="379">
        <f t="shared" si="6"/>
        <v>7</v>
      </c>
      <c r="AG190" s="321"/>
      <c r="AH190" s="321"/>
      <c r="AI190" s="321" t="s">
        <v>2251</v>
      </c>
      <c r="AJ190" s="415"/>
      <c r="AK190" s="244" t="s">
        <v>2836</v>
      </c>
    </row>
    <row r="191" spans="1:37" ht="39.950000000000003" customHeight="1">
      <c r="A191" s="354">
        <v>189</v>
      </c>
      <c r="B191" s="355">
        <v>45243</v>
      </c>
      <c r="C191" s="152" t="s">
        <v>2575</v>
      </c>
      <c r="D191" s="152" t="s">
        <v>2576</v>
      </c>
      <c r="E191" s="357" t="s">
        <v>2577</v>
      </c>
      <c r="F191" s="354">
        <v>2</v>
      </c>
      <c r="G191" s="354"/>
      <c r="H191" s="355"/>
      <c r="I191" s="355"/>
      <c r="J191" s="355"/>
      <c r="K191" s="354" t="str">
        <f>IFERROR(VLOOKUP(J191,Jueces!$A$1:$B$11,2,FALSE),"")</f>
        <v/>
      </c>
      <c r="L191" s="152" t="s">
        <v>167</v>
      </c>
      <c r="M191" s="152"/>
      <c r="N191" s="354"/>
      <c r="O191" s="152" t="str">
        <f t="shared" ca="1" si="5"/>
        <v>LIMBO</v>
      </c>
      <c r="P191" s="152"/>
      <c r="Q191" s="152" t="s">
        <v>709</v>
      </c>
      <c r="R191" s="152"/>
      <c r="S191" s="152"/>
      <c r="T191" s="358"/>
      <c r="U191" s="358"/>
      <c r="V191" s="354"/>
      <c r="W191" s="354"/>
      <c r="X191" s="354"/>
      <c r="Y191" s="354"/>
      <c r="Z191" s="354"/>
      <c r="AA191" s="354"/>
      <c r="AB191" s="354"/>
      <c r="AC191" s="354"/>
      <c r="AD191" s="354"/>
      <c r="AE191" s="354"/>
      <c r="AF191" s="379">
        <f t="shared" si="6"/>
        <v>7</v>
      </c>
      <c r="AG191" s="354"/>
      <c r="AH191" s="354"/>
      <c r="AI191" s="354" t="s">
        <v>2251</v>
      </c>
      <c r="AJ191" s="416"/>
      <c r="AK191" s="244" t="s">
        <v>2836</v>
      </c>
    </row>
    <row r="192" spans="1:37" ht="39.950000000000003" customHeight="1">
      <c r="A192" s="354">
        <v>190</v>
      </c>
      <c r="B192" s="355">
        <v>45209</v>
      </c>
      <c r="C192" s="152" t="s">
        <v>2578</v>
      </c>
      <c r="D192" s="152" t="s">
        <v>2579</v>
      </c>
      <c r="E192" s="357" t="s">
        <v>2580</v>
      </c>
      <c r="F192" s="354">
        <v>2</v>
      </c>
      <c r="G192" s="354"/>
      <c r="H192" s="355"/>
      <c r="I192" s="355"/>
      <c r="J192" s="355"/>
      <c r="K192" s="354" t="str">
        <f>IFERROR(VLOOKUP(J192,Jueces!$A$1:$B$11,2,FALSE),"")</f>
        <v/>
      </c>
      <c r="L192" s="152" t="s">
        <v>1386</v>
      </c>
      <c r="M192" s="152"/>
      <c r="N192" s="354"/>
      <c r="O192" s="152" t="str">
        <f t="shared" ca="1" si="5"/>
        <v>LIMBO</v>
      </c>
      <c r="P192" s="152"/>
      <c r="Q192" s="152" t="s">
        <v>709</v>
      </c>
      <c r="R192" s="152"/>
      <c r="S192" s="152"/>
      <c r="T192" s="358"/>
      <c r="U192" s="358"/>
      <c r="V192" s="354"/>
      <c r="W192" s="354"/>
      <c r="X192" s="354"/>
      <c r="Y192" s="354"/>
      <c r="Z192" s="354"/>
      <c r="AA192" s="354"/>
      <c r="AB192" s="354"/>
      <c r="AC192" s="354"/>
      <c r="AD192" s="354"/>
      <c r="AE192" s="354"/>
      <c r="AF192" s="379">
        <f t="shared" si="6"/>
        <v>7</v>
      </c>
      <c r="AG192" s="354"/>
      <c r="AH192" s="354"/>
      <c r="AI192" s="354" t="s">
        <v>2251</v>
      </c>
      <c r="AJ192" s="416"/>
      <c r="AK192" s="244" t="s">
        <v>2836</v>
      </c>
    </row>
    <row r="193" spans="1:37" ht="39.950000000000003" customHeight="1">
      <c r="A193" s="354">
        <v>191</v>
      </c>
      <c r="B193" s="289" t="s">
        <v>2581</v>
      </c>
      <c r="C193" s="152" t="s">
        <v>2582</v>
      </c>
      <c r="D193" s="152" t="s">
        <v>2583</v>
      </c>
      <c r="E193" s="357" t="s">
        <v>2584</v>
      </c>
      <c r="F193" s="354">
        <v>2</v>
      </c>
      <c r="G193" s="354"/>
      <c r="H193" s="355"/>
      <c r="I193" s="355"/>
      <c r="J193" s="355"/>
      <c r="K193" s="354" t="str">
        <f>IFERROR(VLOOKUP(J193,Jueces!$A$1:$B$11,2,FALSE),"")</f>
        <v/>
      </c>
      <c r="L193" s="152" t="s">
        <v>576</v>
      </c>
      <c r="M193" s="152" t="s">
        <v>2585</v>
      </c>
      <c r="N193" s="354"/>
      <c r="O193" s="152" t="str">
        <f t="shared" ca="1" si="5"/>
        <v>LIMBO</v>
      </c>
      <c r="P193" s="152"/>
      <c r="Q193" s="152" t="s">
        <v>709</v>
      </c>
      <c r="R193" s="152"/>
      <c r="S193" s="152"/>
      <c r="T193" s="358"/>
      <c r="U193" s="358"/>
      <c r="V193" s="354"/>
      <c r="W193" s="354"/>
      <c r="X193" s="354"/>
      <c r="Y193" s="354"/>
      <c r="Z193" s="354"/>
      <c r="AA193" s="354"/>
      <c r="AB193" s="354"/>
      <c r="AC193" s="354"/>
      <c r="AD193" s="354"/>
      <c r="AE193" s="354"/>
      <c r="AF193" s="379">
        <f t="shared" si="6"/>
        <v>7</v>
      </c>
      <c r="AG193" s="354"/>
      <c r="AH193" s="354"/>
      <c r="AI193" s="354" t="s">
        <v>2251</v>
      </c>
      <c r="AJ193" s="416"/>
      <c r="AK193" s="244" t="s">
        <v>2836</v>
      </c>
    </row>
    <row r="194" spans="1:37" ht="39.950000000000003" customHeight="1">
      <c r="A194" s="354">
        <v>192</v>
      </c>
      <c r="B194" s="355">
        <v>45243</v>
      </c>
      <c r="C194" s="152" t="s">
        <v>61</v>
      </c>
      <c r="D194" s="152" t="s">
        <v>2586</v>
      </c>
      <c r="E194" s="357" t="s">
        <v>2587</v>
      </c>
      <c r="F194" s="354">
        <v>3</v>
      </c>
      <c r="G194" s="354"/>
      <c r="H194" s="355"/>
      <c r="I194" s="355"/>
      <c r="J194" s="355"/>
      <c r="K194" s="354" t="str">
        <f>IFERROR(VLOOKUP(J194,Jueces!$A$1:$B$11,2,FALSE),"")</f>
        <v/>
      </c>
      <c r="L194" s="152" t="s">
        <v>596</v>
      </c>
      <c r="M194" s="152"/>
      <c r="N194" s="354"/>
      <c r="O194" s="152" t="str">
        <f t="shared" ca="1" si="5"/>
        <v>LIMBO</v>
      </c>
      <c r="P194" s="152"/>
      <c r="Q194" s="152" t="s">
        <v>709</v>
      </c>
      <c r="R194" s="152"/>
      <c r="S194" s="152"/>
      <c r="T194" s="358"/>
      <c r="U194" s="358"/>
      <c r="V194" s="354"/>
      <c r="W194" s="354"/>
      <c r="X194" s="354"/>
      <c r="Y194" s="354"/>
      <c r="Z194" s="354"/>
      <c r="AA194" s="354"/>
      <c r="AB194" s="354"/>
      <c r="AC194" s="354"/>
      <c r="AD194" s="354"/>
      <c r="AE194" s="354"/>
      <c r="AF194" s="379">
        <f t="shared" si="6"/>
        <v>7</v>
      </c>
      <c r="AG194" s="354"/>
      <c r="AH194" s="354"/>
      <c r="AI194" s="354" t="s">
        <v>2251</v>
      </c>
      <c r="AJ194" s="416"/>
      <c r="AK194" s="244" t="s">
        <v>2836</v>
      </c>
    </row>
    <row r="195" spans="1:37" ht="39.950000000000003" customHeight="1">
      <c r="A195" s="354">
        <v>193</v>
      </c>
      <c r="B195" s="355">
        <v>45243</v>
      </c>
      <c r="C195" s="152" t="s">
        <v>2588</v>
      </c>
      <c r="D195" s="152" t="s">
        <v>2589</v>
      </c>
      <c r="E195" s="357" t="s">
        <v>2590</v>
      </c>
      <c r="F195" s="354">
        <v>3</v>
      </c>
      <c r="G195" s="354"/>
      <c r="H195" s="355"/>
      <c r="I195" s="355"/>
      <c r="J195" s="355"/>
      <c r="K195" s="354" t="str">
        <f>IFERROR(VLOOKUP(J195,Jueces!$A$1:$B$11,2,FALSE),"")</f>
        <v/>
      </c>
      <c r="L195" s="152" t="s">
        <v>591</v>
      </c>
      <c r="M195" s="152"/>
      <c r="N195" s="354"/>
      <c r="O195" s="152" t="str">
        <f t="shared" ref="O195:O258" ca="1" si="7">IF($H195&lt;&gt;"",IF($H195&lt;=TODAY(),"SI","NO"),"LIMBO")</f>
        <v>LIMBO</v>
      </c>
      <c r="P195" s="152"/>
      <c r="Q195" s="152" t="s">
        <v>709</v>
      </c>
      <c r="R195" s="152"/>
      <c r="S195" s="152"/>
      <c r="T195" s="358"/>
      <c r="U195" s="358"/>
      <c r="V195" s="354"/>
      <c r="W195" s="354"/>
      <c r="X195" s="354"/>
      <c r="Y195" s="354"/>
      <c r="Z195" s="354"/>
      <c r="AA195" s="354"/>
      <c r="AB195" s="354"/>
      <c r="AC195" s="354"/>
      <c r="AD195" s="354"/>
      <c r="AE195" s="354"/>
      <c r="AF195" s="379">
        <f t="shared" ref="AF195:AF258" si="8">MAX($AC195,$AE195)+7</f>
        <v>7</v>
      </c>
      <c r="AG195" s="354"/>
      <c r="AH195" s="354"/>
      <c r="AI195" s="354" t="s">
        <v>2251</v>
      </c>
      <c r="AJ195" s="416"/>
      <c r="AK195" s="244" t="s">
        <v>2836</v>
      </c>
    </row>
    <row r="196" spans="1:37" ht="39.950000000000003" customHeight="1">
      <c r="A196" s="354">
        <v>194</v>
      </c>
      <c r="B196" s="355">
        <v>45243</v>
      </c>
      <c r="C196" s="152" t="s">
        <v>2591</v>
      </c>
      <c r="D196" s="152" t="s">
        <v>2592</v>
      </c>
      <c r="E196" s="357" t="s">
        <v>2593</v>
      </c>
      <c r="F196" s="354">
        <v>3</v>
      </c>
      <c r="G196" s="354"/>
      <c r="H196" s="355"/>
      <c r="I196" s="355"/>
      <c r="J196" s="355"/>
      <c r="K196" s="354" t="str">
        <f>IFERROR(VLOOKUP(J196,Jueces!$A$1:$B$11,2,FALSE),"")</f>
        <v/>
      </c>
      <c r="L196" s="152" t="s">
        <v>584</v>
      </c>
      <c r="M196" s="152"/>
      <c r="N196" s="354"/>
      <c r="O196" s="152" t="str">
        <f t="shared" ca="1" si="7"/>
        <v>LIMBO</v>
      </c>
      <c r="P196" s="152"/>
      <c r="Q196" s="152" t="s">
        <v>709</v>
      </c>
      <c r="R196" s="152"/>
      <c r="S196" s="152"/>
      <c r="T196" s="358"/>
      <c r="U196" s="358"/>
      <c r="V196" s="354"/>
      <c r="W196" s="354"/>
      <c r="X196" s="354"/>
      <c r="Y196" s="354"/>
      <c r="Z196" s="354"/>
      <c r="AA196" s="354"/>
      <c r="AB196" s="354"/>
      <c r="AC196" s="354"/>
      <c r="AD196" s="354"/>
      <c r="AE196" s="354"/>
      <c r="AF196" s="379">
        <f t="shared" si="8"/>
        <v>7</v>
      </c>
      <c r="AG196" s="354"/>
      <c r="AH196" s="354"/>
      <c r="AI196" s="354" t="s">
        <v>2251</v>
      </c>
      <c r="AJ196" s="416"/>
      <c r="AK196" s="244" t="s">
        <v>2836</v>
      </c>
    </row>
    <row r="197" spans="1:37" ht="39.950000000000003" customHeight="1">
      <c r="A197" s="354">
        <v>195</v>
      </c>
      <c r="B197" s="355">
        <v>45243</v>
      </c>
      <c r="C197" s="152" t="s">
        <v>2594</v>
      </c>
      <c r="D197" s="152" t="s">
        <v>2595</v>
      </c>
      <c r="E197" s="357" t="s">
        <v>2596</v>
      </c>
      <c r="F197" s="354">
        <v>3</v>
      </c>
      <c r="G197" s="354"/>
      <c r="H197" s="355"/>
      <c r="I197" s="355"/>
      <c r="J197" s="355"/>
      <c r="K197" s="354" t="str">
        <f>IFERROR(VLOOKUP(J197,Jueces!$A$1:$B$11,2,FALSE),"")</f>
        <v/>
      </c>
      <c r="L197" s="152" t="s">
        <v>585</v>
      </c>
      <c r="M197" s="152"/>
      <c r="N197" s="354"/>
      <c r="O197" s="152" t="str">
        <f t="shared" ca="1" si="7"/>
        <v>LIMBO</v>
      </c>
      <c r="P197" s="152"/>
      <c r="Q197" s="152" t="s">
        <v>709</v>
      </c>
      <c r="R197" s="152"/>
      <c r="S197" s="152"/>
      <c r="T197" s="358"/>
      <c r="U197" s="358"/>
      <c r="V197" s="354"/>
      <c r="W197" s="354"/>
      <c r="X197" s="354"/>
      <c r="Y197" s="354"/>
      <c r="Z197" s="354"/>
      <c r="AA197" s="354"/>
      <c r="AB197" s="354"/>
      <c r="AC197" s="354"/>
      <c r="AD197" s="354"/>
      <c r="AE197" s="354"/>
      <c r="AF197" s="379">
        <f t="shared" si="8"/>
        <v>7</v>
      </c>
      <c r="AG197" s="354"/>
      <c r="AH197" s="354"/>
      <c r="AI197" s="354" t="s">
        <v>2251</v>
      </c>
      <c r="AJ197" s="416"/>
      <c r="AK197" s="244" t="s">
        <v>2836</v>
      </c>
    </row>
    <row r="198" spans="1:37" ht="39.950000000000003" customHeight="1">
      <c r="A198" s="354">
        <v>196</v>
      </c>
      <c r="B198" s="355">
        <v>45243</v>
      </c>
      <c r="C198" s="356">
        <v>0.41597222222222219</v>
      </c>
      <c r="D198" s="152" t="s">
        <v>2597</v>
      </c>
      <c r="E198" s="357" t="s">
        <v>2598</v>
      </c>
      <c r="F198" s="354">
        <v>3</v>
      </c>
      <c r="G198" s="354"/>
      <c r="H198" s="355"/>
      <c r="I198" s="355"/>
      <c r="J198" s="355"/>
      <c r="K198" s="354" t="str">
        <f>IFERROR(VLOOKUP(J198,Jueces!$A$1:$B$11,2,FALSE),"")</f>
        <v/>
      </c>
      <c r="L198" s="152" t="s">
        <v>576</v>
      </c>
      <c r="M198" s="152"/>
      <c r="N198" s="354"/>
      <c r="O198" s="152" t="str">
        <f t="shared" ca="1" si="7"/>
        <v>LIMBO</v>
      </c>
      <c r="P198" s="152"/>
      <c r="Q198" s="152" t="s">
        <v>709</v>
      </c>
      <c r="R198" s="152"/>
      <c r="S198" s="152"/>
      <c r="T198" s="358"/>
      <c r="U198" s="358"/>
      <c r="V198" s="354"/>
      <c r="W198" s="354"/>
      <c r="X198" s="354"/>
      <c r="Y198" s="354"/>
      <c r="Z198" s="354"/>
      <c r="AA198" s="354"/>
      <c r="AB198" s="354"/>
      <c r="AC198" s="354"/>
      <c r="AD198" s="354"/>
      <c r="AE198" s="354"/>
      <c r="AF198" s="379">
        <f t="shared" si="8"/>
        <v>7</v>
      </c>
      <c r="AG198" s="354"/>
      <c r="AH198" s="354"/>
      <c r="AI198" s="354" t="s">
        <v>2251</v>
      </c>
      <c r="AJ198" s="416"/>
      <c r="AK198" s="244" t="s">
        <v>2836</v>
      </c>
    </row>
    <row r="199" spans="1:37" ht="39.950000000000003" customHeight="1">
      <c r="A199" s="354">
        <v>197</v>
      </c>
      <c r="B199" s="355">
        <v>45243</v>
      </c>
      <c r="C199" s="152" t="s">
        <v>2599</v>
      </c>
      <c r="D199" s="152" t="s">
        <v>2600</v>
      </c>
      <c r="E199" s="357" t="s">
        <v>2601</v>
      </c>
      <c r="F199" s="354">
        <v>3</v>
      </c>
      <c r="G199" s="354"/>
      <c r="H199" s="355"/>
      <c r="I199" s="355"/>
      <c r="J199" s="355"/>
      <c r="K199" s="354" t="str">
        <f>IFERROR(VLOOKUP(J199,Jueces!$A$1:$B$11,2,FALSE),"")</f>
        <v/>
      </c>
      <c r="L199" s="152" t="s">
        <v>576</v>
      </c>
      <c r="M199" s="152"/>
      <c r="N199" s="354"/>
      <c r="O199" s="152" t="str">
        <f t="shared" ca="1" si="7"/>
        <v>LIMBO</v>
      </c>
      <c r="P199" s="152"/>
      <c r="Q199" s="152" t="s">
        <v>709</v>
      </c>
      <c r="R199" s="152"/>
      <c r="S199" s="152"/>
      <c r="T199" s="358"/>
      <c r="U199" s="358"/>
      <c r="V199" s="354"/>
      <c r="W199" s="354"/>
      <c r="X199" s="354"/>
      <c r="Y199" s="354"/>
      <c r="Z199" s="354"/>
      <c r="AA199" s="354"/>
      <c r="AB199" s="354"/>
      <c r="AC199" s="354"/>
      <c r="AD199" s="354"/>
      <c r="AE199" s="354"/>
      <c r="AF199" s="379">
        <f t="shared" si="8"/>
        <v>7</v>
      </c>
      <c r="AG199" s="354"/>
      <c r="AH199" s="354"/>
      <c r="AI199" s="354" t="s">
        <v>2251</v>
      </c>
      <c r="AJ199" s="416"/>
      <c r="AK199" s="244" t="s">
        <v>2836</v>
      </c>
    </row>
    <row r="200" spans="1:37" ht="39.950000000000003" customHeight="1">
      <c r="A200" s="354">
        <v>198</v>
      </c>
      <c r="B200" s="355">
        <v>45243</v>
      </c>
      <c r="C200" s="356">
        <v>0.43194444444444446</v>
      </c>
      <c r="D200" s="152" t="s">
        <v>2602</v>
      </c>
      <c r="E200" s="357" t="s">
        <v>2603</v>
      </c>
      <c r="F200" s="354">
        <v>3</v>
      </c>
      <c r="G200" s="354"/>
      <c r="H200" s="355"/>
      <c r="I200" s="355"/>
      <c r="J200" s="355"/>
      <c r="K200" s="354" t="str">
        <f>IFERROR(VLOOKUP(J200,Jueces!$A$1:$B$11,2,FALSE),"")</f>
        <v/>
      </c>
      <c r="L200" s="152" t="s">
        <v>583</v>
      </c>
      <c r="M200" s="152"/>
      <c r="N200" s="354"/>
      <c r="O200" s="152" t="str">
        <f t="shared" ca="1" si="7"/>
        <v>LIMBO</v>
      </c>
      <c r="P200" s="152"/>
      <c r="Q200" s="152" t="s">
        <v>709</v>
      </c>
      <c r="R200" s="152"/>
      <c r="S200" s="152"/>
      <c r="T200" s="358"/>
      <c r="U200" s="358"/>
      <c r="V200" s="354"/>
      <c r="W200" s="354"/>
      <c r="X200" s="354"/>
      <c r="Y200" s="354"/>
      <c r="Z200" s="354"/>
      <c r="AA200" s="354"/>
      <c r="AB200" s="354"/>
      <c r="AC200" s="354"/>
      <c r="AD200" s="354"/>
      <c r="AE200" s="354"/>
      <c r="AF200" s="379">
        <f t="shared" si="8"/>
        <v>7</v>
      </c>
      <c r="AG200" s="354"/>
      <c r="AH200" s="354"/>
      <c r="AI200" s="354" t="s">
        <v>2251</v>
      </c>
      <c r="AJ200" s="416"/>
      <c r="AK200" s="244" t="s">
        <v>2836</v>
      </c>
    </row>
    <row r="201" spans="1:37" ht="39.950000000000003" customHeight="1">
      <c r="A201" s="354">
        <v>199</v>
      </c>
      <c r="B201" s="355">
        <v>45240</v>
      </c>
      <c r="C201" s="152" t="s">
        <v>2604</v>
      </c>
      <c r="D201" s="152" t="s">
        <v>2605</v>
      </c>
      <c r="E201" s="357" t="s">
        <v>2606</v>
      </c>
      <c r="F201" s="354">
        <v>7</v>
      </c>
      <c r="G201" s="354"/>
      <c r="H201" s="355"/>
      <c r="I201" s="355"/>
      <c r="J201" s="355"/>
      <c r="K201" s="354" t="str">
        <f>IFERROR(VLOOKUP(J201,Jueces!$A$1:$B$11,2,FALSE),"")</f>
        <v/>
      </c>
      <c r="L201" s="152" t="s">
        <v>1386</v>
      </c>
      <c r="M201" s="152"/>
      <c r="N201" s="354"/>
      <c r="O201" s="152" t="str">
        <f t="shared" ca="1" si="7"/>
        <v>LIMBO</v>
      </c>
      <c r="P201" s="152"/>
      <c r="Q201" s="152" t="s">
        <v>709</v>
      </c>
      <c r="R201" s="152"/>
      <c r="S201" s="152"/>
      <c r="T201" s="358"/>
      <c r="U201" s="358"/>
      <c r="V201" s="354"/>
      <c r="W201" s="354"/>
      <c r="X201" s="354"/>
      <c r="Y201" s="354"/>
      <c r="Z201" s="354"/>
      <c r="AA201" s="354"/>
      <c r="AB201" s="354"/>
      <c r="AC201" s="354"/>
      <c r="AD201" s="354"/>
      <c r="AE201" s="354"/>
      <c r="AF201" s="379">
        <f t="shared" si="8"/>
        <v>7</v>
      </c>
      <c r="AG201" s="354"/>
      <c r="AH201" s="354"/>
      <c r="AI201" s="354" t="s">
        <v>2251</v>
      </c>
      <c r="AJ201" s="416"/>
      <c r="AK201" s="244" t="s">
        <v>2836</v>
      </c>
    </row>
    <row r="202" spans="1:37" ht="39.950000000000003" customHeight="1">
      <c r="A202" s="354">
        <v>200</v>
      </c>
      <c r="B202" s="355">
        <v>45240</v>
      </c>
      <c r="C202" s="152" t="s">
        <v>2607</v>
      </c>
      <c r="D202" s="152" t="s">
        <v>2608</v>
      </c>
      <c r="E202" s="357" t="s">
        <v>2609</v>
      </c>
      <c r="F202" s="354">
        <v>7</v>
      </c>
      <c r="G202" s="354"/>
      <c r="H202" s="355"/>
      <c r="I202" s="355"/>
      <c r="J202" s="355"/>
      <c r="K202" s="354" t="str">
        <f>IFERROR(VLOOKUP(J202,Jueces!$A$1:$B$11,2,FALSE),"")</f>
        <v/>
      </c>
      <c r="L202" s="152" t="s">
        <v>1386</v>
      </c>
      <c r="M202" s="152"/>
      <c r="N202" s="354"/>
      <c r="O202" s="152" t="str">
        <f t="shared" ca="1" si="7"/>
        <v>LIMBO</v>
      </c>
      <c r="P202" s="152"/>
      <c r="Q202" s="152" t="s">
        <v>709</v>
      </c>
      <c r="R202" s="152"/>
      <c r="S202" s="152"/>
      <c r="T202" s="358"/>
      <c r="U202" s="358"/>
      <c r="V202" s="354"/>
      <c r="W202" s="354"/>
      <c r="X202" s="354"/>
      <c r="Y202" s="354"/>
      <c r="Z202" s="354"/>
      <c r="AA202" s="354"/>
      <c r="AB202" s="354"/>
      <c r="AC202" s="354"/>
      <c r="AD202" s="354"/>
      <c r="AE202" s="354"/>
      <c r="AF202" s="379">
        <f t="shared" si="8"/>
        <v>7</v>
      </c>
      <c r="AG202" s="354"/>
      <c r="AH202" s="354"/>
      <c r="AI202" s="354" t="s">
        <v>2251</v>
      </c>
      <c r="AJ202" s="416"/>
      <c r="AK202" s="244" t="s">
        <v>2836</v>
      </c>
    </row>
    <row r="203" spans="1:37" ht="39.950000000000003" customHeight="1">
      <c r="A203" s="354">
        <v>201</v>
      </c>
      <c r="B203" s="289" t="s">
        <v>2581</v>
      </c>
      <c r="C203" s="152" t="s">
        <v>2610</v>
      </c>
      <c r="D203" s="152" t="s">
        <v>2611</v>
      </c>
      <c r="E203" s="357" t="s">
        <v>2612</v>
      </c>
      <c r="F203" s="354">
        <v>7</v>
      </c>
      <c r="G203" s="354"/>
      <c r="H203" s="355"/>
      <c r="I203" s="355"/>
      <c r="J203" s="355"/>
      <c r="K203" s="354" t="str">
        <f>IFERROR(VLOOKUP(J203,Jueces!$A$1:$B$11,2,FALSE),"")</f>
        <v/>
      </c>
      <c r="L203" s="152" t="s">
        <v>599</v>
      </c>
      <c r="M203" s="152"/>
      <c r="N203" s="354"/>
      <c r="O203" s="152" t="str">
        <f t="shared" ca="1" si="7"/>
        <v>LIMBO</v>
      </c>
      <c r="P203" s="152"/>
      <c r="Q203" s="152" t="s">
        <v>709</v>
      </c>
      <c r="R203" s="152"/>
      <c r="S203" s="152"/>
      <c r="T203" s="358"/>
      <c r="U203" s="358"/>
      <c r="V203" s="354"/>
      <c r="W203" s="354"/>
      <c r="X203" s="354"/>
      <c r="Y203" s="354"/>
      <c r="Z203" s="354"/>
      <c r="AA203" s="354"/>
      <c r="AB203" s="354"/>
      <c r="AC203" s="354"/>
      <c r="AD203" s="354"/>
      <c r="AE203" s="354"/>
      <c r="AF203" s="379">
        <f t="shared" si="8"/>
        <v>7</v>
      </c>
      <c r="AG203" s="354"/>
      <c r="AH203" s="354"/>
      <c r="AI203" s="354" t="s">
        <v>2251</v>
      </c>
      <c r="AJ203" s="416"/>
      <c r="AK203" s="244" t="s">
        <v>2836</v>
      </c>
    </row>
    <row r="204" spans="1:37" ht="39.950000000000003" customHeight="1">
      <c r="A204" s="354">
        <v>202</v>
      </c>
      <c r="B204" s="355">
        <v>45243</v>
      </c>
      <c r="C204" s="152" t="s">
        <v>2613</v>
      </c>
      <c r="D204" s="152" t="s">
        <v>2614</v>
      </c>
      <c r="E204" s="357" t="s">
        <v>2615</v>
      </c>
      <c r="F204" s="354">
        <v>3</v>
      </c>
      <c r="G204" s="354"/>
      <c r="H204" s="355"/>
      <c r="I204" s="355"/>
      <c r="J204" s="355"/>
      <c r="K204" s="354" t="str">
        <f>IFERROR(VLOOKUP(J204,Jueces!$A$1:$B$11,2,FALSE),"")</f>
        <v/>
      </c>
      <c r="L204" s="152" t="s">
        <v>167</v>
      </c>
      <c r="M204" s="152"/>
      <c r="N204" s="354"/>
      <c r="O204" s="152" t="str">
        <f t="shared" ca="1" si="7"/>
        <v>LIMBO</v>
      </c>
      <c r="P204" s="152"/>
      <c r="Q204" s="152" t="s">
        <v>709</v>
      </c>
      <c r="R204" s="152"/>
      <c r="S204" s="152"/>
      <c r="T204" s="358"/>
      <c r="U204" s="358"/>
      <c r="V204" s="354"/>
      <c r="W204" s="354"/>
      <c r="X204" s="354"/>
      <c r="Y204" s="354"/>
      <c r="Z204" s="354"/>
      <c r="AA204" s="354"/>
      <c r="AB204" s="354"/>
      <c r="AC204" s="354"/>
      <c r="AD204" s="354"/>
      <c r="AE204" s="354"/>
      <c r="AF204" s="379">
        <f t="shared" si="8"/>
        <v>7</v>
      </c>
      <c r="AG204" s="354"/>
      <c r="AH204" s="354"/>
      <c r="AI204" s="354" t="s">
        <v>2251</v>
      </c>
      <c r="AJ204" s="416"/>
      <c r="AK204" s="244" t="s">
        <v>2836</v>
      </c>
    </row>
    <row r="205" spans="1:37" ht="39.950000000000003" customHeight="1">
      <c r="A205" s="354">
        <v>203</v>
      </c>
      <c r="B205" s="355">
        <v>45243</v>
      </c>
      <c r="C205" s="152" t="s">
        <v>2616</v>
      </c>
      <c r="D205" s="152" t="s">
        <v>2617</v>
      </c>
      <c r="E205" s="357" t="s">
        <v>2618</v>
      </c>
      <c r="F205" s="354">
        <v>3</v>
      </c>
      <c r="G205" s="354"/>
      <c r="H205" s="355"/>
      <c r="I205" s="355"/>
      <c r="J205" s="355"/>
      <c r="K205" s="354" t="str">
        <f>IFERROR(VLOOKUP(J205,Jueces!$A$1:$B$11,2,FALSE),"")</f>
        <v/>
      </c>
      <c r="L205" s="152" t="s">
        <v>586</v>
      </c>
      <c r="M205" s="152"/>
      <c r="N205" s="354"/>
      <c r="O205" s="152" t="str">
        <f t="shared" ca="1" si="7"/>
        <v>LIMBO</v>
      </c>
      <c r="P205" s="152"/>
      <c r="Q205" s="152" t="s">
        <v>709</v>
      </c>
      <c r="R205" s="152"/>
      <c r="S205" s="152"/>
      <c r="T205" s="358"/>
      <c r="U205" s="358"/>
      <c r="V205" s="354"/>
      <c r="W205" s="354"/>
      <c r="X205" s="354"/>
      <c r="Y205" s="354"/>
      <c r="Z205" s="354"/>
      <c r="AA205" s="354"/>
      <c r="AB205" s="354"/>
      <c r="AC205" s="354"/>
      <c r="AD205" s="354"/>
      <c r="AE205" s="354"/>
      <c r="AF205" s="379">
        <f t="shared" si="8"/>
        <v>7</v>
      </c>
      <c r="AG205" s="354"/>
      <c r="AH205" s="354"/>
      <c r="AI205" s="354" t="s">
        <v>2251</v>
      </c>
      <c r="AJ205" s="416"/>
      <c r="AK205" s="244" t="s">
        <v>2836</v>
      </c>
    </row>
    <row r="206" spans="1:37" ht="39.950000000000003" customHeight="1">
      <c r="A206" s="354">
        <v>204</v>
      </c>
      <c r="B206" s="289" t="s">
        <v>2619</v>
      </c>
      <c r="C206" s="356">
        <v>0.51111111111111118</v>
      </c>
      <c r="D206" s="152" t="s">
        <v>2620</v>
      </c>
      <c r="E206" s="357" t="s">
        <v>2621</v>
      </c>
      <c r="F206" s="354">
        <v>3</v>
      </c>
      <c r="G206" s="354"/>
      <c r="H206" s="355"/>
      <c r="I206" s="355"/>
      <c r="J206" s="355"/>
      <c r="K206" s="354" t="str">
        <f>IFERROR(VLOOKUP(J206,Jueces!$A$1:$B$11,2,FALSE),"")</f>
        <v/>
      </c>
      <c r="L206" s="152" t="s">
        <v>1386</v>
      </c>
      <c r="M206" s="152"/>
      <c r="N206" s="354"/>
      <c r="O206" s="152" t="str">
        <f t="shared" ca="1" si="7"/>
        <v>LIMBO</v>
      </c>
      <c r="P206" s="152"/>
      <c r="Q206" s="152" t="s">
        <v>709</v>
      </c>
      <c r="R206" s="152"/>
      <c r="S206" s="152"/>
      <c r="T206" s="358"/>
      <c r="U206" s="358"/>
      <c r="V206" s="354"/>
      <c r="W206" s="354"/>
      <c r="X206" s="354"/>
      <c r="Y206" s="354"/>
      <c r="Z206" s="354"/>
      <c r="AA206" s="354"/>
      <c r="AB206" s="354"/>
      <c r="AC206" s="354"/>
      <c r="AD206" s="354"/>
      <c r="AE206" s="354"/>
      <c r="AF206" s="379">
        <f t="shared" si="8"/>
        <v>7</v>
      </c>
      <c r="AG206" s="354"/>
      <c r="AH206" s="354"/>
      <c r="AI206" s="354" t="s">
        <v>2251</v>
      </c>
      <c r="AJ206" s="416"/>
      <c r="AK206" s="244" t="s">
        <v>2836</v>
      </c>
    </row>
    <row r="207" spans="1:37" ht="39.950000000000003" customHeight="1">
      <c r="A207" s="354">
        <v>205</v>
      </c>
      <c r="B207" s="355">
        <v>45243</v>
      </c>
      <c r="C207" s="152" t="s">
        <v>2622</v>
      </c>
      <c r="D207" s="152" t="s">
        <v>2623</v>
      </c>
      <c r="E207" s="357" t="s">
        <v>2624</v>
      </c>
      <c r="F207" s="354">
        <v>3</v>
      </c>
      <c r="G207" s="354"/>
      <c r="H207" s="355"/>
      <c r="I207" s="355"/>
      <c r="J207" s="355"/>
      <c r="K207" s="354" t="str">
        <f>IFERROR(VLOOKUP(J207,Jueces!$A$1:$B$11,2,FALSE),"")</f>
        <v/>
      </c>
      <c r="L207" s="152" t="s">
        <v>594</v>
      </c>
      <c r="M207" s="152"/>
      <c r="N207" s="354"/>
      <c r="O207" s="152" t="str">
        <f t="shared" ca="1" si="7"/>
        <v>LIMBO</v>
      </c>
      <c r="P207" s="152"/>
      <c r="Q207" s="152" t="s">
        <v>709</v>
      </c>
      <c r="R207" s="152"/>
      <c r="S207" s="152"/>
      <c r="T207" s="358"/>
      <c r="U207" s="358"/>
      <c r="V207" s="354"/>
      <c r="W207" s="354"/>
      <c r="X207" s="354"/>
      <c r="Y207" s="354"/>
      <c r="Z207" s="354"/>
      <c r="AA207" s="354"/>
      <c r="AB207" s="354"/>
      <c r="AC207" s="354"/>
      <c r="AD207" s="354"/>
      <c r="AE207" s="354"/>
      <c r="AF207" s="379">
        <f t="shared" si="8"/>
        <v>7</v>
      </c>
      <c r="AG207" s="354"/>
      <c r="AH207" s="354"/>
      <c r="AI207" s="354" t="s">
        <v>2251</v>
      </c>
      <c r="AJ207" s="416"/>
      <c r="AK207" s="244" t="s">
        <v>2836</v>
      </c>
    </row>
    <row r="208" spans="1:37" ht="39.950000000000003" customHeight="1">
      <c r="A208" s="354">
        <v>206</v>
      </c>
      <c r="B208" s="355">
        <v>45243</v>
      </c>
      <c r="C208" s="152" t="s">
        <v>2247</v>
      </c>
      <c r="D208" s="152" t="s">
        <v>2625</v>
      </c>
      <c r="E208" s="357" t="s">
        <v>2626</v>
      </c>
      <c r="F208" s="354">
        <v>7</v>
      </c>
      <c r="G208" s="354"/>
      <c r="H208" s="355"/>
      <c r="I208" s="355"/>
      <c r="J208" s="355"/>
      <c r="K208" s="354" t="str">
        <f>IFERROR(VLOOKUP(J208,Jueces!$A$1:$B$11,2,FALSE),"")</f>
        <v/>
      </c>
      <c r="L208" s="152" t="s">
        <v>585</v>
      </c>
      <c r="M208" s="152"/>
      <c r="N208" s="354"/>
      <c r="O208" s="152" t="str">
        <f t="shared" ca="1" si="7"/>
        <v>LIMBO</v>
      </c>
      <c r="P208" s="152"/>
      <c r="Q208" s="152" t="s">
        <v>709</v>
      </c>
      <c r="R208" s="152"/>
      <c r="S208" s="152"/>
      <c r="T208" s="358"/>
      <c r="U208" s="358"/>
      <c r="V208" s="354"/>
      <c r="W208" s="354"/>
      <c r="X208" s="354"/>
      <c r="Y208" s="354"/>
      <c r="Z208" s="354"/>
      <c r="AA208" s="354"/>
      <c r="AB208" s="354"/>
      <c r="AC208" s="354"/>
      <c r="AD208" s="354"/>
      <c r="AE208" s="354"/>
      <c r="AF208" s="379">
        <f t="shared" si="8"/>
        <v>7</v>
      </c>
      <c r="AG208" s="354"/>
      <c r="AH208" s="354"/>
      <c r="AI208" s="354" t="s">
        <v>2251</v>
      </c>
      <c r="AJ208" s="416"/>
      <c r="AK208" s="244" t="s">
        <v>2836</v>
      </c>
    </row>
    <row r="209" spans="1:37" ht="39.950000000000003" customHeight="1">
      <c r="A209" s="321">
        <v>207</v>
      </c>
      <c r="B209" s="319">
        <v>45243</v>
      </c>
      <c r="C209" s="216" t="s">
        <v>2630</v>
      </c>
      <c r="D209" s="216" t="s">
        <v>2631</v>
      </c>
      <c r="E209" s="335" t="s">
        <v>2634</v>
      </c>
      <c r="F209" s="321">
        <v>7</v>
      </c>
      <c r="G209" s="321" t="s">
        <v>32</v>
      </c>
      <c r="H209" s="319"/>
      <c r="I209" s="319"/>
      <c r="J209" s="319"/>
      <c r="K209" s="321" t="str">
        <f>IFERROR(VLOOKUP(J209,Jueces!$A$1:$B$11,2,FALSE),"")</f>
        <v/>
      </c>
      <c r="L209" s="216" t="s">
        <v>1386</v>
      </c>
      <c r="M209" s="216" t="s">
        <v>2633</v>
      </c>
      <c r="N209" s="216" t="s">
        <v>2632</v>
      </c>
      <c r="O209" s="216" t="str">
        <f t="shared" ca="1" si="7"/>
        <v>LIMBO</v>
      </c>
      <c r="P209" s="216"/>
      <c r="Q209" s="216" t="s">
        <v>709</v>
      </c>
      <c r="R209" s="216"/>
      <c r="S209" s="216"/>
      <c r="T209" s="317"/>
      <c r="U209" s="317"/>
      <c r="V209" s="321"/>
      <c r="W209" s="321"/>
      <c r="X209" s="321"/>
      <c r="Y209" s="321"/>
      <c r="Z209" s="321"/>
      <c r="AA209" s="321"/>
      <c r="AB209" s="321"/>
      <c r="AC209" s="321"/>
      <c r="AD209" s="321"/>
      <c r="AE209" s="321"/>
      <c r="AF209" s="379">
        <f t="shared" si="8"/>
        <v>7</v>
      </c>
      <c r="AG209" s="321"/>
      <c r="AH209" s="321"/>
      <c r="AI209" s="321" t="s">
        <v>2161</v>
      </c>
      <c r="AJ209" s="415"/>
      <c r="AK209" s="244" t="s">
        <v>2161</v>
      </c>
    </row>
    <row r="210" spans="1:37" ht="39.950000000000003" customHeight="1">
      <c r="A210" s="321">
        <v>208</v>
      </c>
      <c r="B210" s="319">
        <v>45240</v>
      </c>
      <c r="C210" s="216" t="s">
        <v>2635</v>
      </c>
      <c r="D210" s="216" t="s">
        <v>1813</v>
      </c>
      <c r="E210" s="335" t="s">
        <v>2638</v>
      </c>
      <c r="F210" s="321">
        <v>5</v>
      </c>
      <c r="G210" s="321" t="s">
        <v>1839</v>
      </c>
      <c r="H210" s="319"/>
      <c r="I210" s="319"/>
      <c r="J210" s="319"/>
      <c r="K210" s="321" t="str">
        <f>IFERROR(VLOOKUP(J210,Jueces!$A$1:$B$11,2,FALSE),"")</f>
        <v/>
      </c>
      <c r="L210" s="216" t="s">
        <v>610</v>
      </c>
      <c r="M210" s="216" t="s">
        <v>768</v>
      </c>
      <c r="N210" s="216" t="s">
        <v>2637</v>
      </c>
      <c r="O210" s="216" t="str">
        <f t="shared" ca="1" si="7"/>
        <v>LIMBO</v>
      </c>
      <c r="P210" s="216"/>
      <c r="Q210" s="216" t="s">
        <v>709</v>
      </c>
      <c r="R210" s="216"/>
      <c r="S210" s="216"/>
      <c r="T210" s="317"/>
      <c r="U210" s="317"/>
      <c r="V210" s="321"/>
      <c r="W210" s="321"/>
      <c r="X210" s="321"/>
      <c r="Y210" s="321"/>
      <c r="Z210" s="321"/>
      <c r="AA210" s="321"/>
      <c r="AB210" s="321"/>
      <c r="AC210" s="321"/>
      <c r="AD210" s="321"/>
      <c r="AE210" s="321"/>
      <c r="AF210" s="379">
        <f t="shared" si="8"/>
        <v>7</v>
      </c>
      <c r="AG210" s="321"/>
      <c r="AH210" s="321"/>
      <c r="AI210" s="321" t="s">
        <v>2161</v>
      </c>
      <c r="AJ210" s="415"/>
      <c r="AK210" s="244" t="s">
        <v>2161</v>
      </c>
    </row>
    <row r="211" spans="1:37" ht="39.950000000000003" customHeight="1">
      <c r="A211" s="321">
        <v>209</v>
      </c>
      <c r="B211" s="319">
        <v>45240</v>
      </c>
      <c r="C211" s="322">
        <v>0.46527777777777773</v>
      </c>
      <c r="D211" s="216" t="s">
        <v>1661</v>
      </c>
      <c r="E211" s="335" t="s">
        <v>2641</v>
      </c>
      <c r="F211" s="321">
        <v>7</v>
      </c>
      <c r="G211" s="321" t="s">
        <v>32</v>
      </c>
      <c r="H211" s="319"/>
      <c r="I211" s="319"/>
      <c r="J211" s="319"/>
      <c r="K211" s="321" t="str">
        <f>IFERROR(VLOOKUP(J211,Jueces!$A$1:$B$11,2,FALSE),"")</f>
        <v/>
      </c>
      <c r="L211" s="216" t="s">
        <v>597</v>
      </c>
      <c r="M211" s="216" t="s">
        <v>536</v>
      </c>
      <c r="N211" s="321"/>
      <c r="O211" s="216" t="str">
        <f t="shared" ca="1" si="7"/>
        <v>LIMBO</v>
      </c>
      <c r="P211" s="216"/>
      <c r="Q211" s="216" t="s">
        <v>709</v>
      </c>
      <c r="R211" s="216"/>
      <c r="S211" s="216"/>
      <c r="T211" s="317"/>
      <c r="U211" s="317"/>
      <c r="V211" s="321"/>
      <c r="W211" s="321"/>
      <c r="X211" s="321"/>
      <c r="Y211" s="321"/>
      <c r="Z211" s="321"/>
      <c r="AA211" s="321"/>
      <c r="AB211" s="321"/>
      <c r="AC211" s="321"/>
      <c r="AD211" s="321"/>
      <c r="AE211" s="321"/>
      <c r="AF211" s="379">
        <f t="shared" si="8"/>
        <v>7</v>
      </c>
      <c r="AG211" s="321"/>
      <c r="AH211" s="321"/>
      <c r="AI211" s="321" t="s">
        <v>2161</v>
      </c>
      <c r="AJ211" s="415"/>
      <c r="AK211" s="244" t="s">
        <v>2161</v>
      </c>
    </row>
    <row r="212" spans="1:37" ht="39.950000000000003" customHeight="1">
      <c r="A212" s="321">
        <v>210</v>
      </c>
      <c r="B212" s="319">
        <v>45243</v>
      </c>
      <c r="C212" s="216" t="s">
        <v>2639</v>
      </c>
      <c r="D212" s="216" t="s">
        <v>1958</v>
      </c>
      <c r="E212" s="335" t="s">
        <v>2640</v>
      </c>
      <c r="F212" s="321">
        <v>1</v>
      </c>
      <c r="G212" s="321" t="s">
        <v>1841</v>
      </c>
      <c r="H212" s="319"/>
      <c r="I212" s="319"/>
      <c r="J212" s="319"/>
      <c r="K212" s="321" t="str">
        <f>IFERROR(VLOOKUP(J212,Jueces!$A$1:$B$11,2,FALSE),"")</f>
        <v/>
      </c>
      <c r="L212" s="216" t="s">
        <v>598</v>
      </c>
      <c r="M212" s="216" t="s">
        <v>529</v>
      </c>
      <c r="N212" s="216" t="s">
        <v>2629</v>
      </c>
      <c r="O212" s="216" t="str">
        <f t="shared" ca="1" si="7"/>
        <v>LIMBO</v>
      </c>
      <c r="P212" s="216"/>
      <c r="Q212" s="216" t="s">
        <v>709</v>
      </c>
      <c r="R212" s="216"/>
      <c r="S212" s="216"/>
      <c r="T212" s="317"/>
      <c r="U212" s="317"/>
      <c r="V212" s="321"/>
      <c r="W212" s="321"/>
      <c r="X212" s="321"/>
      <c r="Y212" s="321"/>
      <c r="Z212" s="321"/>
      <c r="AA212" s="321"/>
      <c r="AB212" s="321"/>
      <c r="AC212" s="321"/>
      <c r="AD212" s="321"/>
      <c r="AE212" s="321"/>
      <c r="AF212" s="379">
        <f t="shared" si="8"/>
        <v>7</v>
      </c>
      <c r="AG212" s="321"/>
      <c r="AH212" s="321"/>
      <c r="AI212" s="321" t="s">
        <v>2161</v>
      </c>
      <c r="AJ212" s="415"/>
      <c r="AK212" s="244" t="s">
        <v>2161</v>
      </c>
    </row>
    <row r="213" spans="1:37" ht="39.950000000000003" customHeight="1">
      <c r="A213" s="354">
        <v>211</v>
      </c>
      <c r="B213" s="355">
        <v>45245</v>
      </c>
      <c r="C213" s="356">
        <v>0.33333333333333331</v>
      </c>
      <c r="D213" s="152" t="s">
        <v>2642</v>
      </c>
      <c r="E213" s="357" t="s">
        <v>2643</v>
      </c>
      <c r="F213" s="354">
        <v>3</v>
      </c>
      <c r="G213" s="354"/>
      <c r="H213" s="355"/>
      <c r="I213" s="355"/>
      <c r="J213" s="355"/>
      <c r="K213" s="354" t="str">
        <f>IFERROR(VLOOKUP(J213,Jueces!$A$1:$B$11,2,FALSE),"")</f>
        <v/>
      </c>
      <c r="L213" s="152" t="s">
        <v>597</v>
      </c>
      <c r="M213" s="152"/>
      <c r="N213" s="354"/>
      <c r="O213" s="152" t="str">
        <f t="shared" ca="1" si="7"/>
        <v>LIMBO</v>
      </c>
      <c r="P213" s="152"/>
      <c r="Q213" s="152" t="s">
        <v>709</v>
      </c>
      <c r="R213" s="152"/>
      <c r="S213" s="152"/>
      <c r="T213" s="358"/>
      <c r="U213" s="358"/>
      <c r="V213" s="354"/>
      <c r="W213" s="354"/>
      <c r="X213" s="354"/>
      <c r="Y213" s="354"/>
      <c r="Z213" s="354"/>
      <c r="AA213" s="354"/>
      <c r="AB213" s="354"/>
      <c r="AC213" s="354"/>
      <c r="AD213" s="354"/>
      <c r="AE213" s="354"/>
      <c r="AF213" s="379">
        <f t="shared" si="8"/>
        <v>7</v>
      </c>
      <c r="AG213" s="354"/>
      <c r="AH213" s="354"/>
      <c r="AI213" s="354" t="s">
        <v>2251</v>
      </c>
      <c r="AJ213" s="416"/>
      <c r="AK213" s="244" t="s">
        <v>2836</v>
      </c>
    </row>
    <row r="214" spans="1:37" ht="39.950000000000003" customHeight="1">
      <c r="A214" s="354">
        <v>212</v>
      </c>
      <c r="B214" s="355">
        <v>45245</v>
      </c>
      <c r="C214" s="356">
        <v>0.33333333333333331</v>
      </c>
      <c r="D214" s="152" t="s">
        <v>2644</v>
      </c>
      <c r="E214" s="357" t="s">
        <v>2645</v>
      </c>
      <c r="F214" s="354">
        <v>2</v>
      </c>
      <c r="G214" s="354"/>
      <c r="H214" s="355"/>
      <c r="I214" s="355"/>
      <c r="J214" s="355"/>
      <c r="K214" s="354" t="str">
        <f>IFERROR(VLOOKUP(J214,Jueces!$A$1:$B$11,2,FALSE),"")</f>
        <v/>
      </c>
      <c r="L214" s="152" t="s">
        <v>592</v>
      </c>
      <c r="M214" s="152"/>
      <c r="N214" s="354"/>
      <c r="O214" s="152" t="str">
        <f t="shared" ca="1" si="7"/>
        <v>LIMBO</v>
      </c>
      <c r="P214" s="152"/>
      <c r="Q214" s="152" t="s">
        <v>709</v>
      </c>
      <c r="R214" s="152"/>
      <c r="S214" s="152"/>
      <c r="T214" s="358"/>
      <c r="U214" s="358"/>
      <c r="V214" s="354"/>
      <c r="W214" s="354"/>
      <c r="X214" s="354"/>
      <c r="Y214" s="354"/>
      <c r="Z214" s="354"/>
      <c r="AA214" s="354"/>
      <c r="AB214" s="354"/>
      <c r="AC214" s="354"/>
      <c r="AD214" s="354"/>
      <c r="AE214" s="354"/>
      <c r="AF214" s="379">
        <f t="shared" si="8"/>
        <v>7</v>
      </c>
      <c r="AG214" s="354"/>
      <c r="AH214" s="354"/>
      <c r="AI214" s="354" t="s">
        <v>2251</v>
      </c>
      <c r="AJ214" s="416"/>
      <c r="AK214" s="244" t="s">
        <v>2836</v>
      </c>
    </row>
    <row r="215" spans="1:37" ht="39.950000000000003" customHeight="1">
      <c r="A215" s="354">
        <v>213</v>
      </c>
      <c r="B215" s="355">
        <v>45245</v>
      </c>
      <c r="C215" s="356">
        <v>0.33333333333333331</v>
      </c>
      <c r="D215" s="152" t="s">
        <v>2646</v>
      </c>
      <c r="E215" s="357" t="s">
        <v>2647</v>
      </c>
      <c r="F215" s="354">
        <v>6</v>
      </c>
      <c r="G215" s="354"/>
      <c r="H215" s="355"/>
      <c r="I215" s="355"/>
      <c r="J215" s="355"/>
      <c r="K215" s="354" t="str">
        <f>IFERROR(VLOOKUP(J215,Jueces!$A$1:$B$11,2,FALSE),"")</f>
        <v/>
      </c>
      <c r="L215" s="152" t="s">
        <v>583</v>
      </c>
      <c r="M215" s="152"/>
      <c r="N215" s="354"/>
      <c r="O215" s="152" t="str">
        <f t="shared" ca="1" si="7"/>
        <v>LIMBO</v>
      </c>
      <c r="P215" s="152"/>
      <c r="Q215" s="152" t="s">
        <v>709</v>
      </c>
      <c r="R215" s="152"/>
      <c r="S215" s="152"/>
      <c r="T215" s="358"/>
      <c r="U215" s="358"/>
      <c r="V215" s="354"/>
      <c r="W215" s="354"/>
      <c r="X215" s="354"/>
      <c r="Y215" s="354"/>
      <c r="Z215" s="354"/>
      <c r="AA215" s="354"/>
      <c r="AB215" s="354"/>
      <c r="AC215" s="354"/>
      <c r="AD215" s="354"/>
      <c r="AE215" s="354"/>
      <c r="AF215" s="379">
        <f t="shared" si="8"/>
        <v>7</v>
      </c>
      <c r="AG215" s="354"/>
      <c r="AH215" s="354"/>
      <c r="AI215" s="354" t="s">
        <v>2251</v>
      </c>
      <c r="AJ215" s="416"/>
      <c r="AK215" s="244" t="s">
        <v>2836</v>
      </c>
    </row>
    <row r="216" spans="1:37" ht="39.950000000000003" customHeight="1">
      <c r="A216" s="354">
        <v>214</v>
      </c>
      <c r="B216" s="355">
        <v>45245</v>
      </c>
      <c r="C216" s="356">
        <v>0.33333333333333331</v>
      </c>
      <c r="D216" s="152" t="s">
        <v>2648</v>
      </c>
      <c r="E216" s="357" t="s">
        <v>2649</v>
      </c>
      <c r="F216" s="354">
        <v>3</v>
      </c>
      <c r="G216" s="354"/>
      <c r="H216" s="355"/>
      <c r="I216" s="355"/>
      <c r="J216" s="355"/>
      <c r="K216" s="354" t="str">
        <f>IFERROR(VLOOKUP(J216,Jueces!$A$1:$B$11,2,FALSE),"")</f>
        <v/>
      </c>
      <c r="L216" s="152" t="s">
        <v>1386</v>
      </c>
      <c r="M216" s="152"/>
      <c r="N216" s="354"/>
      <c r="O216" s="152" t="str">
        <f t="shared" ca="1" si="7"/>
        <v>LIMBO</v>
      </c>
      <c r="P216" s="152"/>
      <c r="Q216" s="152" t="s">
        <v>709</v>
      </c>
      <c r="R216" s="152"/>
      <c r="S216" s="152"/>
      <c r="T216" s="358"/>
      <c r="U216" s="358"/>
      <c r="V216" s="354"/>
      <c r="W216" s="354"/>
      <c r="X216" s="354"/>
      <c r="Y216" s="354"/>
      <c r="Z216" s="354"/>
      <c r="AA216" s="354"/>
      <c r="AB216" s="354"/>
      <c r="AC216" s="354"/>
      <c r="AD216" s="354"/>
      <c r="AE216" s="354"/>
      <c r="AF216" s="379">
        <f t="shared" si="8"/>
        <v>7</v>
      </c>
      <c r="AG216" s="354"/>
      <c r="AH216" s="354"/>
      <c r="AI216" s="354" t="s">
        <v>2251</v>
      </c>
      <c r="AJ216" s="416"/>
      <c r="AK216" s="244" t="s">
        <v>2836</v>
      </c>
    </row>
    <row r="217" spans="1:37" ht="39.950000000000003" customHeight="1">
      <c r="A217" s="354">
        <v>215</v>
      </c>
      <c r="B217" s="355">
        <v>45245</v>
      </c>
      <c r="C217" s="356">
        <v>0.33333333333333331</v>
      </c>
      <c r="D217" s="152" t="s">
        <v>2650</v>
      </c>
      <c r="E217" s="357" t="s">
        <v>2651</v>
      </c>
      <c r="F217" s="354">
        <v>6</v>
      </c>
      <c r="G217" s="354"/>
      <c r="H217" s="355"/>
      <c r="I217" s="355"/>
      <c r="J217" s="355"/>
      <c r="K217" s="354" t="str">
        <f>IFERROR(VLOOKUP(J217,Jueces!$A$1:$B$11,2,FALSE),"")</f>
        <v/>
      </c>
      <c r="L217" s="152" t="s">
        <v>596</v>
      </c>
      <c r="M217" s="152"/>
      <c r="N217" s="354"/>
      <c r="O217" s="152" t="str">
        <f t="shared" ca="1" si="7"/>
        <v>LIMBO</v>
      </c>
      <c r="P217" s="152"/>
      <c r="Q217" s="152" t="s">
        <v>709</v>
      </c>
      <c r="R217" s="152"/>
      <c r="S217" s="152"/>
      <c r="T217" s="358"/>
      <c r="U217" s="358"/>
      <c r="V217" s="354"/>
      <c r="W217" s="354"/>
      <c r="X217" s="354"/>
      <c r="Y217" s="354"/>
      <c r="Z217" s="354"/>
      <c r="AA217" s="354"/>
      <c r="AB217" s="354"/>
      <c r="AC217" s="354"/>
      <c r="AD217" s="354"/>
      <c r="AE217" s="354"/>
      <c r="AF217" s="379">
        <f t="shared" si="8"/>
        <v>7</v>
      </c>
      <c r="AG217" s="354"/>
      <c r="AH217" s="354"/>
      <c r="AI217" s="354" t="s">
        <v>2251</v>
      </c>
      <c r="AJ217" s="416"/>
      <c r="AK217" s="244" t="s">
        <v>2836</v>
      </c>
    </row>
    <row r="218" spans="1:37" ht="39.950000000000003" customHeight="1">
      <c r="A218" s="354">
        <v>216</v>
      </c>
      <c r="B218" s="355">
        <v>45245</v>
      </c>
      <c r="C218" s="356">
        <v>0.33333333333333331</v>
      </c>
      <c r="D218" s="152" t="s">
        <v>2652</v>
      </c>
      <c r="E218" s="357" t="s">
        <v>2653</v>
      </c>
      <c r="F218" s="354">
        <v>6</v>
      </c>
      <c r="G218" s="354"/>
      <c r="H218" s="355"/>
      <c r="I218" s="355"/>
      <c r="J218" s="355"/>
      <c r="K218" s="354" t="str">
        <f>IFERROR(VLOOKUP(J218,Jueces!$A$1:$B$11,2,FALSE),"")</f>
        <v/>
      </c>
      <c r="L218" s="152" t="s">
        <v>1390</v>
      </c>
      <c r="M218" s="152"/>
      <c r="N218" s="354"/>
      <c r="O218" s="152" t="str">
        <f t="shared" ca="1" si="7"/>
        <v>LIMBO</v>
      </c>
      <c r="P218" s="152"/>
      <c r="Q218" s="152" t="s">
        <v>709</v>
      </c>
      <c r="R218" s="152"/>
      <c r="S218" s="152"/>
      <c r="T218" s="358"/>
      <c r="U218" s="358"/>
      <c r="V218" s="354"/>
      <c r="W218" s="354"/>
      <c r="X218" s="354"/>
      <c r="Y218" s="354"/>
      <c r="Z218" s="354"/>
      <c r="AA218" s="354"/>
      <c r="AB218" s="354"/>
      <c r="AC218" s="354"/>
      <c r="AD218" s="354"/>
      <c r="AE218" s="354"/>
      <c r="AF218" s="379">
        <f t="shared" si="8"/>
        <v>7</v>
      </c>
      <c r="AG218" s="354"/>
      <c r="AH218" s="354"/>
      <c r="AI218" s="354" t="s">
        <v>2251</v>
      </c>
      <c r="AJ218" s="416"/>
      <c r="AK218" s="244" t="s">
        <v>2836</v>
      </c>
    </row>
    <row r="219" spans="1:37" ht="39.950000000000003" customHeight="1">
      <c r="A219" s="354">
        <v>217</v>
      </c>
      <c r="B219" s="355">
        <v>45245</v>
      </c>
      <c r="C219" s="356">
        <v>0.33333333333333331</v>
      </c>
      <c r="D219" s="152" t="s">
        <v>2654</v>
      </c>
      <c r="E219" s="357" t="s">
        <v>2655</v>
      </c>
      <c r="F219" s="354">
        <v>6</v>
      </c>
      <c r="G219" s="354"/>
      <c r="H219" s="355"/>
      <c r="I219" s="355"/>
      <c r="J219" s="355"/>
      <c r="K219" s="354" t="str">
        <f>IFERROR(VLOOKUP(J219,Jueces!$A$1:$B$11,2,FALSE),"")</f>
        <v/>
      </c>
      <c r="L219" s="152" t="s">
        <v>599</v>
      </c>
      <c r="M219" s="152"/>
      <c r="N219" s="354"/>
      <c r="O219" s="152" t="str">
        <f t="shared" ca="1" si="7"/>
        <v>LIMBO</v>
      </c>
      <c r="P219" s="152"/>
      <c r="Q219" s="152" t="s">
        <v>709</v>
      </c>
      <c r="R219" s="152"/>
      <c r="S219" s="152"/>
      <c r="T219" s="358"/>
      <c r="U219" s="358"/>
      <c r="V219" s="354"/>
      <c r="W219" s="354"/>
      <c r="X219" s="354"/>
      <c r="Y219" s="354"/>
      <c r="Z219" s="354"/>
      <c r="AA219" s="354"/>
      <c r="AB219" s="354"/>
      <c r="AC219" s="354"/>
      <c r="AD219" s="354"/>
      <c r="AE219" s="354"/>
      <c r="AF219" s="379">
        <f t="shared" si="8"/>
        <v>7</v>
      </c>
      <c r="AG219" s="354"/>
      <c r="AH219" s="354"/>
      <c r="AI219" s="354" t="s">
        <v>2251</v>
      </c>
      <c r="AJ219" s="416"/>
      <c r="AK219" s="244" t="s">
        <v>2836</v>
      </c>
    </row>
    <row r="220" spans="1:37" ht="39.950000000000003" customHeight="1">
      <c r="A220" s="354">
        <v>218</v>
      </c>
      <c r="B220" s="355">
        <v>45245</v>
      </c>
      <c r="C220" s="356">
        <v>0.33333333333333331</v>
      </c>
      <c r="D220" s="152" t="s">
        <v>1603</v>
      </c>
      <c r="E220" s="357" t="s">
        <v>2656</v>
      </c>
      <c r="F220" s="354">
        <v>7</v>
      </c>
      <c r="G220" s="354"/>
      <c r="H220" s="355"/>
      <c r="I220" s="355"/>
      <c r="J220" s="355"/>
      <c r="K220" s="354" t="str">
        <f>IFERROR(VLOOKUP(J220,Jueces!$A$1:$B$11,2,FALSE),"")</f>
        <v/>
      </c>
      <c r="L220" s="152" t="s">
        <v>598</v>
      </c>
      <c r="M220" s="152"/>
      <c r="N220" s="354"/>
      <c r="O220" s="152" t="str">
        <f t="shared" ca="1" si="7"/>
        <v>LIMBO</v>
      </c>
      <c r="P220" s="152"/>
      <c r="Q220" s="152" t="s">
        <v>709</v>
      </c>
      <c r="R220" s="152"/>
      <c r="S220" s="152"/>
      <c r="T220" s="358"/>
      <c r="U220" s="358"/>
      <c r="V220" s="354"/>
      <c r="W220" s="354"/>
      <c r="X220" s="354"/>
      <c r="Y220" s="354"/>
      <c r="Z220" s="354"/>
      <c r="AA220" s="354"/>
      <c r="AB220" s="354"/>
      <c r="AC220" s="354"/>
      <c r="AD220" s="354"/>
      <c r="AE220" s="354"/>
      <c r="AF220" s="379">
        <f t="shared" si="8"/>
        <v>7</v>
      </c>
      <c r="AG220" s="354"/>
      <c r="AH220" s="354"/>
      <c r="AI220" s="354" t="s">
        <v>2251</v>
      </c>
      <c r="AJ220" s="416"/>
      <c r="AK220" s="244" t="s">
        <v>2836</v>
      </c>
    </row>
    <row r="221" spans="1:37" ht="39.950000000000003" customHeight="1">
      <c r="A221" s="354">
        <v>219</v>
      </c>
      <c r="B221" s="355">
        <v>45245</v>
      </c>
      <c r="C221" s="356">
        <v>0.33333333333333331</v>
      </c>
      <c r="D221" s="152" t="s">
        <v>2657</v>
      </c>
      <c r="E221" s="357" t="s">
        <v>2658</v>
      </c>
      <c r="F221" s="354">
        <v>3</v>
      </c>
      <c r="G221" s="354"/>
      <c r="H221" s="355"/>
      <c r="I221" s="355"/>
      <c r="J221" s="355"/>
      <c r="K221" s="354" t="str">
        <f>IFERROR(VLOOKUP(J221,Jueces!$A$1:$B$11,2,FALSE),"")</f>
        <v/>
      </c>
      <c r="L221" s="152" t="s">
        <v>583</v>
      </c>
      <c r="M221" s="152"/>
      <c r="N221" s="354"/>
      <c r="O221" s="152" t="str">
        <f t="shared" ca="1" si="7"/>
        <v>LIMBO</v>
      </c>
      <c r="P221" s="152"/>
      <c r="Q221" s="152" t="s">
        <v>709</v>
      </c>
      <c r="R221" s="152"/>
      <c r="S221" s="152"/>
      <c r="T221" s="358"/>
      <c r="U221" s="358"/>
      <c r="V221" s="354"/>
      <c r="W221" s="354"/>
      <c r="X221" s="354"/>
      <c r="Y221" s="354"/>
      <c r="Z221" s="354"/>
      <c r="AA221" s="354"/>
      <c r="AB221" s="354"/>
      <c r="AC221" s="354"/>
      <c r="AD221" s="354"/>
      <c r="AE221" s="354"/>
      <c r="AF221" s="379">
        <f t="shared" si="8"/>
        <v>7</v>
      </c>
      <c r="AG221" s="354"/>
      <c r="AH221" s="354"/>
      <c r="AI221" s="354" t="s">
        <v>2251</v>
      </c>
      <c r="AJ221" s="416"/>
      <c r="AK221" s="244" t="s">
        <v>2836</v>
      </c>
    </row>
    <row r="222" spans="1:37" ht="39.950000000000003" customHeight="1">
      <c r="A222" s="354">
        <v>220</v>
      </c>
      <c r="B222" s="355">
        <v>45245</v>
      </c>
      <c r="C222" s="356">
        <v>0.33333333333333331</v>
      </c>
      <c r="D222" s="152" t="s">
        <v>2659</v>
      </c>
      <c r="E222" s="357" t="s">
        <v>2660</v>
      </c>
      <c r="F222" s="354">
        <v>3</v>
      </c>
      <c r="G222" s="354"/>
      <c r="H222" s="355"/>
      <c r="I222" s="355"/>
      <c r="J222" s="355"/>
      <c r="K222" s="354" t="str">
        <f>IFERROR(VLOOKUP(J222,Jueces!$A$1:$B$11,2,FALSE),"")</f>
        <v/>
      </c>
      <c r="L222" s="152" t="s">
        <v>585</v>
      </c>
      <c r="M222" s="152"/>
      <c r="N222" s="354"/>
      <c r="O222" s="152" t="str">
        <f t="shared" ca="1" si="7"/>
        <v>LIMBO</v>
      </c>
      <c r="P222" s="152"/>
      <c r="Q222" s="152" t="s">
        <v>709</v>
      </c>
      <c r="R222" s="152"/>
      <c r="S222" s="152"/>
      <c r="T222" s="358"/>
      <c r="U222" s="358"/>
      <c r="V222" s="354"/>
      <c r="W222" s="354"/>
      <c r="X222" s="354"/>
      <c r="Y222" s="354"/>
      <c r="Z222" s="354"/>
      <c r="AA222" s="354"/>
      <c r="AB222" s="354"/>
      <c r="AC222" s="354"/>
      <c r="AD222" s="354"/>
      <c r="AE222" s="354"/>
      <c r="AF222" s="379">
        <f t="shared" si="8"/>
        <v>7</v>
      </c>
      <c r="AG222" s="354"/>
      <c r="AH222" s="354"/>
      <c r="AI222" s="354" t="s">
        <v>2251</v>
      </c>
      <c r="AJ222" s="416"/>
      <c r="AK222" s="244" t="s">
        <v>2836</v>
      </c>
    </row>
    <row r="223" spans="1:37" ht="39.950000000000003" customHeight="1">
      <c r="A223" s="354">
        <v>221</v>
      </c>
      <c r="B223" s="355">
        <v>45245</v>
      </c>
      <c r="C223" s="356">
        <v>0.33333333333333331</v>
      </c>
      <c r="D223" s="152" t="s">
        <v>2661</v>
      </c>
      <c r="E223" s="357" t="s">
        <v>2662</v>
      </c>
      <c r="F223" s="354">
        <v>3</v>
      </c>
      <c r="G223" s="354"/>
      <c r="H223" s="355"/>
      <c r="I223" s="355"/>
      <c r="J223" s="355"/>
      <c r="K223" s="354" t="str">
        <f>IFERROR(VLOOKUP(J223,Jueces!$A$1:$B$11,2,FALSE),"")</f>
        <v/>
      </c>
      <c r="L223" s="152" t="s">
        <v>1388</v>
      </c>
      <c r="M223" s="152"/>
      <c r="N223" s="354"/>
      <c r="O223" s="152" t="str">
        <f t="shared" ca="1" si="7"/>
        <v>LIMBO</v>
      </c>
      <c r="P223" s="152"/>
      <c r="Q223" s="152" t="s">
        <v>709</v>
      </c>
      <c r="R223" s="152"/>
      <c r="S223" s="152"/>
      <c r="T223" s="358"/>
      <c r="U223" s="358"/>
      <c r="V223" s="354"/>
      <c r="W223" s="354"/>
      <c r="X223" s="354"/>
      <c r="Y223" s="354"/>
      <c r="Z223" s="354"/>
      <c r="AA223" s="354"/>
      <c r="AB223" s="354"/>
      <c r="AC223" s="354"/>
      <c r="AD223" s="354"/>
      <c r="AE223" s="354"/>
      <c r="AF223" s="379">
        <f t="shared" si="8"/>
        <v>7</v>
      </c>
      <c r="AG223" s="354"/>
      <c r="AH223" s="354"/>
      <c r="AI223" s="354" t="s">
        <v>2251</v>
      </c>
      <c r="AJ223" s="416"/>
      <c r="AK223" s="244" t="s">
        <v>2836</v>
      </c>
    </row>
    <row r="224" spans="1:37" ht="39.950000000000003" customHeight="1">
      <c r="A224" s="354">
        <v>222</v>
      </c>
      <c r="B224" s="355">
        <v>45245</v>
      </c>
      <c r="C224" s="356">
        <v>0.33333333333333331</v>
      </c>
      <c r="D224" s="354" t="s">
        <v>2663</v>
      </c>
      <c r="E224" s="367" t="s">
        <v>2664</v>
      </c>
      <c r="F224" s="354">
        <v>8</v>
      </c>
      <c r="G224" s="354"/>
      <c r="H224" s="355"/>
      <c r="I224" s="355"/>
      <c r="J224" s="355"/>
      <c r="K224" s="354" t="str">
        <f>IFERROR(VLOOKUP(J224,Jueces!$A$1:$B$11,2,FALSE),"")</f>
        <v/>
      </c>
      <c r="L224" s="152" t="s">
        <v>585</v>
      </c>
      <c r="M224" s="152"/>
      <c r="N224" s="354"/>
      <c r="O224" s="152" t="str">
        <f t="shared" ca="1" si="7"/>
        <v>LIMBO</v>
      </c>
      <c r="P224" s="152"/>
      <c r="Q224" s="152" t="s">
        <v>709</v>
      </c>
      <c r="R224" s="152"/>
      <c r="S224" s="152"/>
      <c r="T224" s="358"/>
      <c r="U224" s="358"/>
      <c r="V224" s="354"/>
      <c r="W224" s="354"/>
      <c r="X224" s="354"/>
      <c r="Y224" s="354"/>
      <c r="Z224" s="354"/>
      <c r="AA224" s="354"/>
      <c r="AB224" s="354"/>
      <c r="AC224" s="354"/>
      <c r="AD224" s="354"/>
      <c r="AE224" s="354"/>
      <c r="AF224" s="379">
        <f t="shared" si="8"/>
        <v>7</v>
      </c>
      <c r="AG224" s="354"/>
      <c r="AH224" s="354"/>
      <c r="AI224" s="354" t="s">
        <v>2251</v>
      </c>
      <c r="AJ224" s="416"/>
      <c r="AK224" s="244" t="s">
        <v>2836</v>
      </c>
    </row>
    <row r="225" spans="1:37" ht="39.950000000000003" customHeight="1">
      <c r="A225" s="354">
        <v>223</v>
      </c>
      <c r="B225" s="355">
        <v>45245</v>
      </c>
      <c r="C225" s="356">
        <v>0.33333333333333331</v>
      </c>
      <c r="D225" s="354" t="s">
        <v>2665</v>
      </c>
      <c r="E225" s="367" t="s">
        <v>2666</v>
      </c>
      <c r="F225" s="354">
        <v>3</v>
      </c>
      <c r="G225" s="354"/>
      <c r="H225" s="355"/>
      <c r="I225" s="355"/>
      <c r="J225" s="355"/>
      <c r="K225" s="354" t="str">
        <f>IFERROR(VLOOKUP(J225,Jueces!$A$1:$B$11,2,FALSE),"")</f>
        <v/>
      </c>
      <c r="L225" s="152" t="s">
        <v>1386</v>
      </c>
      <c r="M225" s="152"/>
      <c r="N225" s="354"/>
      <c r="O225" s="152" t="str">
        <f t="shared" ca="1" si="7"/>
        <v>LIMBO</v>
      </c>
      <c r="P225" s="152"/>
      <c r="Q225" s="152" t="s">
        <v>709</v>
      </c>
      <c r="R225" s="152"/>
      <c r="S225" s="152"/>
      <c r="T225" s="358"/>
      <c r="U225" s="358"/>
      <c r="V225" s="354"/>
      <c r="W225" s="354"/>
      <c r="X225" s="354"/>
      <c r="Y225" s="354"/>
      <c r="Z225" s="354"/>
      <c r="AA225" s="354"/>
      <c r="AB225" s="354"/>
      <c r="AC225" s="354"/>
      <c r="AD225" s="354"/>
      <c r="AE225" s="354"/>
      <c r="AF225" s="379">
        <f t="shared" si="8"/>
        <v>7</v>
      </c>
      <c r="AG225" s="354"/>
      <c r="AH225" s="354"/>
      <c r="AI225" s="354" t="s">
        <v>2251</v>
      </c>
      <c r="AJ225" s="416"/>
      <c r="AK225" s="244" t="s">
        <v>2836</v>
      </c>
    </row>
    <row r="226" spans="1:37" ht="39.950000000000003" customHeight="1">
      <c r="A226" s="354">
        <v>224</v>
      </c>
      <c r="B226" s="355">
        <v>45245</v>
      </c>
      <c r="C226" s="356">
        <v>0.33333333333333331</v>
      </c>
      <c r="D226" s="354" t="s">
        <v>2667</v>
      </c>
      <c r="E226" s="367" t="s">
        <v>2668</v>
      </c>
      <c r="F226" s="354">
        <v>3</v>
      </c>
      <c r="G226" s="354"/>
      <c r="H226" s="355"/>
      <c r="I226" s="355"/>
      <c r="J226" s="355"/>
      <c r="K226" s="354" t="str">
        <f>IFERROR(VLOOKUP(J226,Jueces!$A$1:$B$11,2,FALSE),"")</f>
        <v/>
      </c>
      <c r="L226" s="152" t="s">
        <v>584</v>
      </c>
      <c r="M226" s="152"/>
      <c r="N226" s="354"/>
      <c r="O226" s="152" t="str">
        <f t="shared" ca="1" si="7"/>
        <v>LIMBO</v>
      </c>
      <c r="P226" s="152"/>
      <c r="Q226" s="152" t="s">
        <v>709</v>
      </c>
      <c r="R226" s="152"/>
      <c r="S226" s="152"/>
      <c r="T226" s="358"/>
      <c r="U226" s="358"/>
      <c r="V226" s="354"/>
      <c r="W226" s="354"/>
      <c r="X226" s="354"/>
      <c r="Y226" s="354"/>
      <c r="Z226" s="354"/>
      <c r="AA226" s="354"/>
      <c r="AB226" s="354"/>
      <c r="AC226" s="354"/>
      <c r="AD226" s="354"/>
      <c r="AE226" s="354"/>
      <c r="AF226" s="379">
        <f t="shared" si="8"/>
        <v>7</v>
      </c>
      <c r="AG226" s="354"/>
      <c r="AH226" s="354"/>
      <c r="AI226" s="354" t="s">
        <v>2251</v>
      </c>
      <c r="AJ226" s="416"/>
      <c r="AK226" s="244" t="s">
        <v>2836</v>
      </c>
    </row>
    <row r="227" spans="1:37" ht="39.950000000000003" customHeight="1">
      <c r="A227" s="354">
        <v>225</v>
      </c>
      <c r="B227" s="355">
        <v>45245</v>
      </c>
      <c r="C227" s="356">
        <v>0.33333333333333331</v>
      </c>
      <c r="D227" s="354" t="s">
        <v>2669</v>
      </c>
      <c r="E227" s="367" t="s">
        <v>2670</v>
      </c>
      <c r="F227" s="354">
        <v>3</v>
      </c>
      <c r="G227" s="354"/>
      <c r="H227" s="355"/>
      <c r="I227" s="355"/>
      <c r="J227" s="355"/>
      <c r="K227" s="354" t="str">
        <f>IFERROR(VLOOKUP(J227,Jueces!$A$1:$B$11,2,FALSE),"")</f>
        <v/>
      </c>
      <c r="L227" s="152" t="s">
        <v>585</v>
      </c>
      <c r="M227" s="152"/>
      <c r="N227" s="354"/>
      <c r="O227" s="152" t="str">
        <f t="shared" ca="1" si="7"/>
        <v>LIMBO</v>
      </c>
      <c r="P227" s="152"/>
      <c r="Q227" s="152" t="s">
        <v>709</v>
      </c>
      <c r="R227" s="152"/>
      <c r="S227" s="152"/>
      <c r="T227" s="358"/>
      <c r="U227" s="358"/>
      <c r="V227" s="354"/>
      <c r="W227" s="354"/>
      <c r="X227" s="354"/>
      <c r="Y227" s="354"/>
      <c r="Z227" s="354"/>
      <c r="AA227" s="354"/>
      <c r="AB227" s="354"/>
      <c r="AC227" s="354"/>
      <c r="AD227" s="354"/>
      <c r="AE227" s="354"/>
      <c r="AF227" s="379">
        <f t="shared" si="8"/>
        <v>7</v>
      </c>
      <c r="AG227" s="354"/>
      <c r="AH227" s="354"/>
      <c r="AI227" s="354" t="s">
        <v>2251</v>
      </c>
      <c r="AJ227" s="416"/>
      <c r="AK227" s="244" t="s">
        <v>2836</v>
      </c>
    </row>
    <row r="228" spans="1:37" ht="39.950000000000003" customHeight="1">
      <c r="A228" s="354">
        <v>226</v>
      </c>
      <c r="B228" s="355">
        <v>45245</v>
      </c>
      <c r="C228" s="356">
        <v>0.33333333333333331</v>
      </c>
      <c r="D228" s="354" t="s">
        <v>2671</v>
      </c>
      <c r="E228" s="367" t="s">
        <v>2672</v>
      </c>
      <c r="F228" s="354">
        <v>3</v>
      </c>
      <c r="G228" s="354"/>
      <c r="H228" s="355"/>
      <c r="I228" s="355"/>
      <c r="J228" s="355"/>
      <c r="K228" s="354" t="str">
        <f>IFERROR(VLOOKUP(J228,Jueces!$A$1:$B$11,2,FALSE),"")</f>
        <v/>
      </c>
      <c r="L228" s="152" t="s">
        <v>578</v>
      </c>
      <c r="M228" s="152"/>
      <c r="N228" s="354"/>
      <c r="O228" s="152" t="str">
        <f t="shared" ca="1" si="7"/>
        <v>LIMBO</v>
      </c>
      <c r="P228" s="152"/>
      <c r="Q228" s="152" t="s">
        <v>709</v>
      </c>
      <c r="R228" s="152"/>
      <c r="S228" s="152"/>
      <c r="T228" s="358"/>
      <c r="U228" s="358"/>
      <c r="V228" s="354"/>
      <c r="W228" s="354"/>
      <c r="X228" s="354"/>
      <c r="Y228" s="354"/>
      <c r="Z228" s="354"/>
      <c r="AA228" s="354"/>
      <c r="AB228" s="354"/>
      <c r="AC228" s="354"/>
      <c r="AD228" s="354"/>
      <c r="AE228" s="354"/>
      <c r="AF228" s="379">
        <f t="shared" si="8"/>
        <v>7</v>
      </c>
      <c r="AG228" s="354"/>
      <c r="AH228" s="354"/>
      <c r="AI228" s="354" t="s">
        <v>2251</v>
      </c>
      <c r="AJ228" s="416"/>
      <c r="AK228" s="244" t="s">
        <v>2836</v>
      </c>
    </row>
    <row r="229" spans="1:37" ht="39.950000000000003" customHeight="1">
      <c r="A229" s="354">
        <v>227</v>
      </c>
      <c r="B229" s="355">
        <v>45245</v>
      </c>
      <c r="C229" s="356">
        <v>0.33333333333333331</v>
      </c>
      <c r="D229" s="354" t="s">
        <v>2673</v>
      </c>
      <c r="E229" s="367" t="s">
        <v>2674</v>
      </c>
      <c r="F229" s="354">
        <v>3</v>
      </c>
      <c r="G229" s="354"/>
      <c r="H229" s="355"/>
      <c r="I229" s="355"/>
      <c r="J229" s="355"/>
      <c r="K229" s="354" t="str">
        <f>IFERROR(VLOOKUP(J229,Jueces!$A$1:$B$11,2,FALSE),"")</f>
        <v/>
      </c>
      <c r="L229" s="152" t="s">
        <v>591</v>
      </c>
      <c r="M229" s="152"/>
      <c r="N229" s="354"/>
      <c r="O229" s="152" t="str">
        <f t="shared" ca="1" si="7"/>
        <v>LIMBO</v>
      </c>
      <c r="P229" s="152"/>
      <c r="Q229" s="152" t="s">
        <v>709</v>
      </c>
      <c r="R229" s="152"/>
      <c r="S229" s="152"/>
      <c r="T229" s="358"/>
      <c r="U229" s="358"/>
      <c r="V229" s="354"/>
      <c r="W229" s="354"/>
      <c r="X229" s="354"/>
      <c r="Y229" s="354"/>
      <c r="Z229" s="354"/>
      <c r="AA229" s="354"/>
      <c r="AB229" s="354"/>
      <c r="AC229" s="354"/>
      <c r="AD229" s="354"/>
      <c r="AE229" s="354"/>
      <c r="AF229" s="379">
        <f t="shared" si="8"/>
        <v>7</v>
      </c>
      <c r="AG229" s="354"/>
      <c r="AH229" s="354"/>
      <c r="AI229" s="354" t="s">
        <v>2251</v>
      </c>
      <c r="AJ229" s="416"/>
      <c r="AK229" s="244" t="s">
        <v>2836</v>
      </c>
    </row>
    <row r="230" spans="1:37" ht="39.950000000000003" customHeight="1">
      <c r="A230" s="354">
        <v>228</v>
      </c>
      <c r="B230" s="355">
        <v>45245</v>
      </c>
      <c r="C230" s="356">
        <v>0.33333333333333331</v>
      </c>
      <c r="D230" s="354" t="s">
        <v>2675</v>
      </c>
      <c r="E230" s="367" t="s">
        <v>2676</v>
      </c>
      <c r="F230" s="354">
        <v>3</v>
      </c>
      <c r="G230" s="354"/>
      <c r="H230" s="355"/>
      <c r="I230" s="355"/>
      <c r="J230" s="355"/>
      <c r="K230" s="354" t="str">
        <f>IFERROR(VLOOKUP(J230,Jueces!$A$1:$B$11,2,FALSE),"")</f>
        <v/>
      </c>
      <c r="L230" s="152" t="s">
        <v>585</v>
      </c>
      <c r="M230" s="152"/>
      <c r="N230" s="354"/>
      <c r="O230" s="152" t="str">
        <f t="shared" ca="1" si="7"/>
        <v>LIMBO</v>
      </c>
      <c r="P230" s="152"/>
      <c r="Q230" s="152" t="s">
        <v>709</v>
      </c>
      <c r="R230" s="152"/>
      <c r="S230" s="152"/>
      <c r="T230" s="358"/>
      <c r="U230" s="358"/>
      <c r="V230" s="354"/>
      <c r="W230" s="354"/>
      <c r="X230" s="354"/>
      <c r="Y230" s="354"/>
      <c r="Z230" s="354"/>
      <c r="AA230" s="354"/>
      <c r="AB230" s="354"/>
      <c r="AC230" s="354"/>
      <c r="AD230" s="354"/>
      <c r="AE230" s="354"/>
      <c r="AF230" s="379">
        <f t="shared" si="8"/>
        <v>7</v>
      </c>
      <c r="AG230" s="354"/>
      <c r="AH230" s="354"/>
      <c r="AI230" s="354" t="s">
        <v>2251</v>
      </c>
      <c r="AJ230" s="416"/>
      <c r="AK230" s="244" t="s">
        <v>2836</v>
      </c>
    </row>
    <row r="231" spans="1:37" ht="39.950000000000003" customHeight="1">
      <c r="A231" s="354">
        <v>229</v>
      </c>
      <c r="B231" s="355">
        <v>45245</v>
      </c>
      <c r="C231" s="356">
        <v>0.33333333333333331</v>
      </c>
      <c r="D231" s="354" t="s">
        <v>2677</v>
      </c>
      <c r="E231" s="367" t="s">
        <v>2678</v>
      </c>
      <c r="F231" s="354">
        <v>3</v>
      </c>
      <c r="G231" s="354"/>
      <c r="H231" s="355"/>
      <c r="I231" s="355"/>
      <c r="J231" s="355"/>
      <c r="K231" s="354" t="str">
        <f>IFERROR(VLOOKUP(J231,Jueces!$A$1:$B$11,2,FALSE),"")</f>
        <v/>
      </c>
      <c r="L231" s="152" t="s">
        <v>576</v>
      </c>
      <c r="M231" s="152"/>
      <c r="N231" s="354"/>
      <c r="O231" s="152" t="str">
        <f t="shared" ca="1" si="7"/>
        <v>LIMBO</v>
      </c>
      <c r="P231" s="152"/>
      <c r="Q231" s="152" t="s">
        <v>709</v>
      </c>
      <c r="R231" s="152"/>
      <c r="S231" s="152"/>
      <c r="T231" s="358"/>
      <c r="U231" s="358"/>
      <c r="V231" s="354"/>
      <c r="W231" s="354"/>
      <c r="X231" s="354"/>
      <c r="Y231" s="354"/>
      <c r="Z231" s="354"/>
      <c r="AA231" s="354"/>
      <c r="AB231" s="354"/>
      <c r="AC231" s="354"/>
      <c r="AD231" s="354"/>
      <c r="AE231" s="354"/>
      <c r="AF231" s="379">
        <f t="shared" si="8"/>
        <v>7</v>
      </c>
      <c r="AG231" s="354"/>
      <c r="AH231" s="354"/>
      <c r="AI231" s="354" t="s">
        <v>2251</v>
      </c>
      <c r="AJ231" s="416"/>
      <c r="AK231" s="244" t="s">
        <v>2836</v>
      </c>
    </row>
    <row r="232" spans="1:37" ht="39.950000000000003" customHeight="1">
      <c r="A232" s="321">
        <v>230</v>
      </c>
      <c r="B232" s="319">
        <v>45245</v>
      </c>
      <c r="C232" s="216" t="s">
        <v>2684</v>
      </c>
      <c r="D232" s="216" t="s">
        <v>2685</v>
      </c>
      <c r="E232" s="335" t="s">
        <v>2686</v>
      </c>
      <c r="F232" s="321">
        <v>3</v>
      </c>
      <c r="G232" s="321" t="s">
        <v>1841</v>
      </c>
      <c r="H232" s="319"/>
      <c r="I232" s="319"/>
      <c r="J232" s="319"/>
      <c r="K232" s="321" t="str">
        <f>IFERROR(VLOOKUP(J232,Jueces!$A$1:$B$11,2,FALSE),"")</f>
        <v/>
      </c>
      <c r="L232" s="216" t="s">
        <v>592</v>
      </c>
      <c r="M232" s="216"/>
      <c r="N232" s="321"/>
      <c r="O232" s="216" t="str">
        <f t="shared" ca="1" si="7"/>
        <v>LIMBO</v>
      </c>
      <c r="P232" s="216"/>
      <c r="Q232" s="216" t="s">
        <v>709</v>
      </c>
      <c r="R232" s="216"/>
      <c r="S232" s="216"/>
      <c r="T232" s="317"/>
      <c r="U232" s="317"/>
      <c r="V232" s="321"/>
      <c r="W232" s="321"/>
      <c r="X232" s="321"/>
      <c r="Y232" s="321"/>
      <c r="Z232" s="321"/>
      <c r="AA232" s="321"/>
      <c r="AB232" s="321"/>
      <c r="AC232" s="321"/>
      <c r="AD232" s="321"/>
      <c r="AE232" s="321"/>
      <c r="AF232" s="379">
        <f t="shared" si="8"/>
        <v>7</v>
      </c>
      <c r="AG232" s="321"/>
      <c r="AH232" s="321"/>
      <c r="AI232" s="321" t="s">
        <v>2161</v>
      </c>
      <c r="AJ232" s="415"/>
      <c r="AK232" s="244" t="s">
        <v>2161</v>
      </c>
    </row>
    <row r="233" spans="1:37" ht="39.950000000000003" customHeight="1">
      <c r="A233" s="354">
        <v>231</v>
      </c>
      <c r="B233" s="355">
        <v>45245</v>
      </c>
      <c r="C233" s="152" t="s">
        <v>2687</v>
      </c>
      <c r="D233" s="152" t="s">
        <v>2688</v>
      </c>
      <c r="E233" s="357" t="s">
        <v>2689</v>
      </c>
      <c r="F233" s="354">
        <v>6</v>
      </c>
      <c r="G233" s="354"/>
      <c r="H233" s="355"/>
      <c r="I233" s="355"/>
      <c r="J233" s="355"/>
      <c r="K233" s="354" t="str">
        <f>IFERROR(VLOOKUP(J233,Jueces!$A$1:$B$11,2,FALSE),"")</f>
        <v/>
      </c>
      <c r="L233" s="152" t="s">
        <v>597</v>
      </c>
      <c r="M233" s="152"/>
      <c r="N233" s="354"/>
      <c r="O233" s="152" t="str">
        <f t="shared" ca="1" si="7"/>
        <v>LIMBO</v>
      </c>
      <c r="P233" s="152"/>
      <c r="Q233" s="152" t="s">
        <v>709</v>
      </c>
      <c r="R233" s="152"/>
      <c r="S233" s="152"/>
      <c r="T233" s="358"/>
      <c r="U233" s="358"/>
      <c r="V233" s="354"/>
      <c r="W233" s="354"/>
      <c r="X233" s="354"/>
      <c r="Y233" s="354"/>
      <c r="Z233" s="354"/>
      <c r="AA233" s="354"/>
      <c r="AB233" s="354"/>
      <c r="AC233" s="354"/>
      <c r="AD233" s="354"/>
      <c r="AE233" s="354"/>
      <c r="AF233" s="379">
        <f t="shared" si="8"/>
        <v>7</v>
      </c>
      <c r="AG233" s="354"/>
      <c r="AH233" s="354"/>
      <c r="AI233" s="354" t="s">
        <v>2161</v>
      </c>
      <c r="AJ233" s="416"/>
      <c r="AK233" s="244" t="s">
        <v>2836</v>
      </c>
    </row>
    <row r="234" spans="1:37" ht="39.950000000000003" customHeight="1">
      <c r="A234" s="321">
        <v>232</v>
      </c>
      <c r="B234" s="319">
        <v>45245</v>
      </c>
      <c r="C234" s="316" t="s">
        <v>2690</v>
      </c>
      <c r="D234" s="216" t="s">
        <v>489</v>
      </c>
      <c r="E234" s="334" t="s">
        <v>2691</v>
      </c>
      <c r="F234" s="321">
        <v>3</v>
      </c>
      <c r="G234" s="321" t="s">
        <v>32</v>
      </c>
      <c r="H234" s="319"/>
      <c r="I234" s="319"/>
      <c r="J234" s="319"/>
      <c r="K234" s="321" t="str">
        <f>IFERROR(VLOOKUP(J234,Jueces!$A$1:$B$11,2,FALSE),"")</f>
        <v/>
      </c>
      <c r="L234" s="216" t="s">
        <v>599</v>
      </c>
      <c r="M234" s="216" t="s">
        <v>518</v>
      </c>
      <c r="N234" s="216" t="s">
        <v>2724</v>
      </c>
      <c r="O234" s="216" t="str">
        <f t="shared" ca="1" si="7"/>
        <v>LIMBO</v>
      </c>
      <c r="P234" s="216"/>
      <c r="Q234" s="216" t="s">
        <v>709</v>
      </c>
      <c r="R234" s="216"/>
      <c r="S234" s="216"/>
      <c r="T234" s="317"/>
      <c r="U234" s="317"/>
      <c r="V234" s="321"/>
      <c r="W234" s="321"/>
      <c r="X234" s="321"/>
      <c r="Y234" s="321"/>
      <c r="Z234" s="321"/>
      <c r="AA234" s="321"/>
      <c r="AB234" s="321"/>
      <c r="AC234" s="321"/>
      <c r="AD234" s="321"/>
      <c r="AE234" s="321"/>
      <c r="AF234" s="379">
        <f t="shared" si="8"/>
        <v>7</v>
      </c>
      <c r="AG234" s="321"/>
      <c r="AH234" s="321"/>
      <c r="AI234" s="321" t="s">
        <v>2161</v>
      </c>
      <c r="AJ234" s="415"/>
      <c r="AK234" s="244" t="s">
        <v>2836</v>
      </c>
    </row>
    <row r="235" spans="1:37" ht="39.950000000000003" customHeight="1">
      <c r="A235" s="354">
        <v>233</v>
      </c>
      <c r="B235" s="355">
        <v>45245</v>
      </c>
      <c r="C235" s="356">
        <v>0.4368055555555555</v>
      </c>
      <c r="D235" s="152" t="s">
        <v>2692</v>
      </c>
      <c r="E235" s="357" t="s">
        <v>2693</v>
      </c>
      <c r="F235" s="354">
        <v>3</v>
      </c>
      <c r="G235" s="354"/>
      <c r="H235" s="355"/>
      <c r="I235" s="355"/>
      <c r="J235" s="355"/>
      <c r="K235" s="354" t="str">
        <f>IFERROR(VLOOKUP(J235,Jueces!$A$1:$B$11,2,FALSE),"")</f>
        <v/>
      </c>
      <c r="L235" s="152" t="s">
        <v>167</v>
      </c>
      <c r="M235" s="152"/>
      <c r="N235" s="354"/>
      <c r="O235" s="152" t="str">
        <f t="shared" ca="1" si="7"/>
        <v>LIMBO</v>
      </c>
      <c r="P235" s="152"/>
      <c r="Q235" s="152" t="s">
        <v>709</v>
      </c>
      <c r="R235" s="152"/>
      <c r="S235" s="152"/>
      <c r="T235" s="358"/>
      <c r="U235" s="358"/>
      <c r="V235" s="354"/>
      <c r="W235" s="354"/>
      <c r="X235" s="354"/>
      <c r="Y235" s="354"/>
      <c r="Z235" s="354"/>
      <c r="AA235" s="354"/>
      <c r="AB235" s="354"/>
      <c r="AC235" s="354"/>
      <c r="AD235" s="354"/>
      <c r="AE235" s="354"/>
      <c r="AF235" s="379">
        <f t="shared" si="8"/>
        <v>7</v>
      </c>
      <c r="AG235" s="354"/>
      <c r="AH235" s="354"/>
      <c r="AI235" s="354" t="s">
        <v>2161</v>
      </c>
      <c r="AJ235" s="416"/>
      <c r="AK235" s="244" t="s">
        <v>2836</v>
      </c>
    </row>
    <row r="236" spans="1:37" ht="39.950000000000003" customHeight="1">
      <c r="A236" s="354">
        <v>234</v>
      </c>
      <c r="B236" s="289">
        <v>45245</v>
      </c>
      <c r="C236" s="152" t="s">
        <v>450</v>
      </c>
      <c r="D236" s="152" t="s">
        <v>2694</v>
      </c>
      <c r="E236" s="357" t="s">
        <v>2695</v>
      </c>
      <c r="F236" s="354">
        <v>3</v>
      </c>
      <c r="G236" s="354"/>
      <c r="H236" s="355"/>
      <c r="I236" s="355"/>
      <c r="J236" s="355"/>
      <c r="K236" s="354" t="str">
        <f>IFERROR(VLOOKUP(J236,Jueces!$A$1:$B$11,2,FALSE),"")</f>
        <v/>
      </c>
      <c r="L236" s="152" t="s">
        <v>781</v>
      </c>
      <c r="M236" s="152"/>
      <c r="N236" s="354"/>
      <c r="O236" s="152" t="str">
        <f t="shared" ca="1" si="7"/>
        <v>LIMBO</v>
      </c>
      <c r="P236" s="152"/>
      <c r="Q236" s="152" t="s">
        <v>709</v>
      </c>
      <c r="R236" s="152"/>
      <c r="S236" s="152"/>
      <c r="T236" s="358"/>
      <c r="U236" s="358"/>
      <c r="V236" s="354"/>
      <c r="W236" s="354"/>
      <c r="X236" s="354"/>
      <c r="Y236" s="354"/>
      <c r="Z236" s="354"/>
      <c r="AA236" s="354"/>
      <c r="AB236" s="354"/>
      <c r="AC236" s="354"/>
      <c r="AD236" s="354"/>
      <c r="AE236" s="354"/>
      <c r="AF236" s="379">
        <f t="shared" si="8"/>
        <v>7</v>
      </c>
      <c r="AG236" s="354"/>
      <c r="AH236" s="354"/>
      <c r="AI236" s="354" t="s">
        <v>2161</v>
      </c>
      <c r="AJ236" s="416"/>
      <c r="AK236" s="244" t="s">
        <v>2836</v>
      </c>
    </row>
    <row r="237" spans="1:37" ht="39.950000000000003" customHeight="1">
      <c r="A237" s="354">
        <v>235</v>
      </c>
      <c r="B237" s="355">
        <v>45245</v>
      </c>
      <c r="C237" s="152" t="s">
        <v>2696</v>
      </c>
      <c r="D237" s="152" t="s">
        <v>2697</v>
      </c>
      <c r="E237" s="357" t="s">
        <v>2698</v>
      </c>
      <c r="F237" s="354">
        <v>6</v>
      </c>
      <c r="G237" s="354"/>
      <c r="H237" s="355"/>
      <c r="I237" s="355"/>
      <c r="J237" s="355"/>
      <c r="K237" s="354" t="str">
        <f>IFERROR(VLOOKUP(J237,Jueces!$A$1:$B$11,2,FALSE),"")</f>
        <v/>
      </c>
      <c r="L237" s="152" t="s">
        <v>588</v>
      </c>
      <c r="M237" s="152"/>
      <c r="N237" s="354"/>
      <c r="O237" s="152" t="str">
        <f t="shared" ca="1" si="7"/>
        <v>LIMBO</v>
      </c>
      <c r="P237" s="152"/>
      <c r="Q237" s="152" t="s">
        <v>709</v>
      </c>
      <c r="R237" s="152"/>
      <c r="S237" s="152"/>
      <c r="T237" s="358"/>
      <c r="U237" s="358"/>
      <c r="V237" s="354"/>
      <c r="W237" s="354"/>
      <c r="X237" s="354"/>
      <c r="Y237" s="354"/>
      <c r="Z237" s="354"/>
      <c r="AA237" s="354"/>
      <c r="AB237" s="354"/>
      <c r="AC237" s="354"/>
      <c r="AD237" s="354"/>
      <c r="AE237" s="354"/>
      <c r="AF237" s="379">
        <f t="shared" si="8"/>
        <v>7</v>
      </c>
      <c r="AG237" s="354"/>
      <c r="AH237" s="354"/>
      <c r="AI237" s="354" t="s">
        <v>2161</v>
      </c>
      <c r="AJ237" s="416"/>
      <c r="AK237" s="244" t="s">
        <v>2836</v>
      </c>
    </row>
    <row r="238" spans="1:37" ht="39.950000000000003" customHeight="1">
      <c r="A238" s="354">
        <v>236</v>
      </c>
      <c r="B238" s="355">
        <v>45245</v>
      </c>
      <c r="C238" s="152" t="s">
        <v>2699</v>
      </c>
      <c r="D238" s="152" t="s">
        <v>2700</v>
      </c>
      <c r="E238" s="357" t="s">
        <v>2701</v>
      </c>
      <c r="F238" s="354">
        <v>2</v>
      </c>
      <c r="G238" s="354"/>
      <c r="H238" s="355"/>
      <c r="I238" s="355"/>
      <c r="J238" s="355"/>
      <c r="K238" s="354" t="str">
        <f>IFERROR(VLOOKUP(J238,Jueces!$A$1:$B$11,2,FALSE),"")</f>
        <v/>
      </c>
      <c r="L238" s="152" t="s">
        <v>1386</v>
      </c>
      <c r="M238" s="152"/>
      <c r="N238" s="354"/>
      <c r="O238" s="152" t="str">
        <f t="shared" ca="1" si="7"/>
        <v>LIMBO</v>
      </c>
      <c r="P238" s="152"/>
      <c r="Q238" s="152" t="s">
        <v>709</v>
      </c>
      <c r="R238" s="152"/>
      <c r="S238" s="152"/>
      <c r="T238" s="358"/>
      <c r="U238" s="358"/>
      <c r="V238" s="354"/>
      <c r="W238" s="354"/>
      <c r="X238" s="354"/>
      <c r="Y238" s="354"/>
      <c r="Z238" s="354"/>
      <c r="AA238" s="354"/>
      <c r="AB238" s="354"/>
      <c r="AC238" s="354"/>
      <c r="AD238" s="354"/>
      <c r="AE238" s="354"/>
      <c r="AF238" s="379">
        <f t="shared" si="8"/>
        <v>7</v>
      </c>
      <c r="AG238" s="354"/>
      <c r="AH238" s="354"/>
      <c r="AI238" s="354" t="s">
        <v>2161</v>
      </c>
      <c r="AJ238" s="416"/>
      <c r="AK238" s="244" t="s">
        <v>2836</v>
      </c>
    </row>
    <row r="239" spans="1:37" ht="39.950000000000003" customHeight="1">
      <c r="A239" s="354">
        <v>237</v>
      </c>
      <c r="B239" s="355">
        <v>45245</v>
      </c>
      <c r="C239" s="356">
        <v>0.5</v>
      </c>
      <c r="D239" s="152" t="s">
        <v>2702</v>
      </c>
      <c r="E239" s="357" t="s">
        <v>2703</v>
      </c>
      <c r="F239" s="354">
        <v>6</v>
      </c>
      <c r="G239" s="354"/>
      <c r="H239" s="355"/>
      <c r="I239" s="355"/>
      <c r="J239" s="355"/>
      <c r="K239" s="354" t="str">
        <f>IFERROR(VLOOKUP(J239,Jueces!$A$1:$B$11,2,FALSE),"")</f>
        <v/>
      </c>
      <c r="L239" s="152" t="s">
        <v>469</v>
      </c>
      <c r="M239" s="152"/>
      <c r="N239" s="354"/>
      <c r="O239" s="152" t="str">
        <f t="shared" ca="1" si="7"/>
        <v>LIMBO</v>
      </c>
      <c r="P239" s="152"/>
      <c r="Q239" s="152" t="s">
        <v>709</v>
      </c>
      <c r="R239" s="152"/>
      <c r="S239" s="152"/>
      <c r="T239" s="358"/>
      <c r="U239" s="358"/>
      <c r="V239" s="354"/>
      <c r="W239" s="354"/>
      <c r="X239" s="354"/>
      <c r="Y239" s="354"/>
      <c r="Z239" s="354"/>
      <c r="AA239" s="354"/>
      <c r="AB239" s="354"/>
      <c r="AC239" s="354"/>
      <c r="AD239" s="354"/>
      <c r="AE239" s="354"/>
      <c r="AF239" s="379">
        <f t="shared" si="8"/>
        <v>7</v>
      </c>
      <c r="AG239" s="354"/>
      <c r="AH239" s="354"/>
      <c r="AI239" s="354" t="s">
        <v>2161</v>
      </c>
      <c r="AJ239" s="416"/>
      <c r="AK239" s="244" t="s">
        <v>2836</v>
      </c>
    </row>
    <row r="240" spans="1:37" ht="39.950000000000003" customHeight="1">
      <c r="A240" s="354">
        <v>238</v>
      </c>
      <c r="B240" s="355">
        <v>45246</v>
      </c>
      <c r="C240" s="152" t="s">
        <v>58</v>
      </c>
      <c r="D240" s="152" t="s">
        <v>2704</v>
      </c>
      <c r="E240" s="357" t="s">
        <v>2705</v>
      </c>
      <c r="F240" s="354">
        <v>3</v>
      </c>
      <c r="G240" s="354"/>
      <c r="H240" s="355"/>
      <c r="I240" s="355"/>
      <c r="J240" s="355"/>
      <c r="K240" s="354" t="str">
        <f>IFERROR(VLOOKUP(J240,Jueces!$A$1:$B$11,2,FALSE),"")</f>
        <v/>
      </c>
      <c r="L240" s="152" t="s">
        <v>585</v>
      </c>
      <c r="M240" s="152"/>
      <c r="N240" s="354"/>
      <c r="O240" s="152" t="str">
        <f t="shared" ca="1" si="7"/>
        <v>LIMBO</v>
      </c>
      <c r="P240" s="152"/>
      <c r="Q240" s="152" t="s">
        <v>709</v>
      </c>
      <c r="R240" s="152"/>
      <c r="S240" s="152"/>
      <c r="T240" s="358"/>
      <c r="U240" s="358"/>
      <c r="V240" s="354"/>
      <c r="W240" s="354"/>
      <c r="X240" s="354"/>
      <c r="Y240" s="354"/>
      <c r="Z240" s="354"/>
      <c r="AA240" s="354"/>
      <c r="AB240" s="354"/>
      <c r="AC240" s="354"/>
      <c r="AD240" s="354"/>
      <c r="AE240" s="354"/>
      <c r="AF240" s="379">
        <f t="shared" si="8"/>
        <v>7</v>
      </c>
      <c r="AG240" s="354"/>
      <c r="AH240" s="354"/>
      <c r="AI240" s="354" t="s">
        <v>2161</v>
      </c>
      <c r="AJ240" s="416"/>
      <c r="AK240" s="244" t="s">
        <v>2836</v>
      </c>
    </row>
    <row r="241" spans="1:37" ht="39.950000000000003" customHeight="1">
      <c r="A241" s="321">
        <v>239</v>
      </c>
      <c r="B241" s="288">
        <v>45246</v>
      </c>
      <c r="C241" s="216" t="s">
        <v>58</v>
      </c>
      <c r="D241" s="216" t="s">
        <v>2706</v>
      </c>
      <c r="E241" s="334" t="s">
        <v>2707</v>
      </c>
      <c r="F241" s="321">
        <v>3</v>
      </c>
      <c r="G241" s="321"/>
      <c r="H241" s="319"/>
      <c r="I241" s="319"/>
      <c r="J241" s="319"/>
      <c r="K241" s="321" t="str">
        <f>IFERROR(VLOOKUP(J241,Jueces!$A$1:$B$11,2,FALSE),"")</f>
        <v/>
      </c>
      <c r="L241" s="216" t="s">
        <v>596</v>
      </c>
      <c r="M241" s="216" t="s">
        <v>2742</v>
      </c>
      <c r="N241" s="321"/>
      <c r="O241" s="216" t="str">
        <f t="shared" ca="1" si="7"/>
        <v>LIMBO</v>
      </c>
      <c r="P241" s="216"/>
      <c r="Q241" s="216" t="s">
        <v>709</v>
      </c>
      <c r="R241" s="216"/>
      <c r="S241" s="216"/>
      <c r="T241" s="317"/>
      <c r="U241" s="317"/>
      <c r="V241" s="321"/>
      <c r="W241" s="321"/>
      <c r="X241" s="321"/>
      <c r="Y241" s="321"/>
      <c r="Z241" s="321"/>
      <c r="AA241" s="321"/>
      <c r="AB241" s="321"/>
      <c r="AC241" s="321"/>
      <c r="AD241" s="321"/>
      <c r="AE241" s="321"/>
      <c r="AF241" s="379">
        <f t="shared" si="8"/>
        <v>7</v>
      </c>
      <c r="AG241" s="321"/>
      <c r="AH241" s="321"/>
      <c r="AI241" s="321" t="s">
        <v>2161</v>
      </c>
      <c r="AJ241" s="415"/>
      <c r="AK241" s="244" t="s">
        <v>2836</v>
      </c>
    </row>
    <row r="242" spans="1:37" ht="39.950000000000003" customHeight="1">
      <c r="A242" s="354">
        <v>240</v>
      </c>
      <c r="B242" s="355">
        <v>45246</v>
      </c>
      <c r="C242" s="152" t="s">
        <v>58</v>
      </c>
      <c r="D242" s="152" t="s">
        <v>2708</v>
      </c>
      <c r="E242" s="357" t="s">
        <v>2709</v>
      </c>
      <c r="F242" s="354">
        <v>6</v>
      </c>
      <c r="G242" s="354"/>
      <c r="H242" s="355"/>
      <c r="I242" s="355"/>
      <c r="J242" s="355"/>
      <c r="K242" s="354" t="str">
        <f>IFERROR(VLOOKUP(J242,Jueces!$A$1:$B$11,2,FALSE),"")</f>
        <v/>
      </c>
      <c r="L242" s="152" t="s">
        <v>167</v>
      </c>
      <c r="M242" s="152"/>
      <c r="N242" s="354"/>
      <c r="O242" s="152" t="str">
        <f t="shared" ca="1" si="7"/>
        <v>LIMBO</v>
      </c>
      <c r="P242" s="152"/>
      <c r="Q242" s="152" t="s">
        <v>709</v>
      </c>
      <c r="R242" s="152"/>
      <c r="S242" s="152"/>
      <c r="T242" s="358"/>
      <c r="U242" s="358"/>
      <c r="V242" s="354"/>
      <c r="W242" s="354"/>
      <c r="X242" s="354"/>
      <c r="Y242" s="354"/>
      <c r="Z242" s="354"/>
      <c r="AA242" s="354"/>
      <c r="AB242" s="354"/>
      <c r="AC242" s="354"/>
      <c r="AD242" s="354"/>
      <c r="AE242" s="354"/>
      <c r="AF242" s="379">
        <f t="shared" si="8"/>
        <v>7</v>
      </c>
      <c r="AG242" s="354"/>
      <c r="AH242" s="354"/>
      <c r="AI242" s="354" t="s">
        <v>2161</v>
      </c>
      <c r="AJ242" s="416"/>
      <c r="AK242" s="244" t="s">
        <v>2836</v>
      </c>
    </row>
    <row r="243" spans="1:37" ht="39.950000000000003" customHeight="1">
      <c r="A243" s="354">
        <v>241</v>
      </c>
      <c r="B243" s="355">
        <v>45246</v>
      </c>
      <c r="C243" s="152" t="s">
        <v>58</v>
      </c>
      <c r="D243" s="152" t="s">
        <v>2710</v>
      </c>
      <c r="E243" s="357" t="s">
        <v>2711</v>
      </c>
      <c r="F243" s="152" t="s">
        <v>2732</v>
      </c>
      <c r="G243" s="354"/>
      <c r="H243" s="355"/>
      <c r="I243" s="355"/>
      <c r="J243" s="355"/>
      <c r="K243" s="354" t="str">
        <f>IFERROR(VLOOKUP(J243,Jueces!$A$1:$B$11,2,FALSE),"")</f>
        <v/>
      </c>
      <c r="L243" s="152" t="s">
        <v>574</v>
      </c>
      <c r="M243" s="152"/>
      <c r="N243" s="354"/>
      <c r="O243" s="152" t="str">
        <f t="shared" ca="1" si="7"/>
        <v>LIMBO</v>
      </c>
      <c r="P243" s="152"/>
      <c r="Q243" s="152" t="s">
        <v>709</v>
      </c>
      <c r="R243" s="152"/>
      <c r="S243" s="152"/>
      <c r="T243" s="358"/>
      <c r="U243" s="358"/>
      <c r="V243" s="354"/>
      <c r="W243" s="354"/>
      <c r="X243" s="354"/>
      <c r="Y243" s="354"/>
      <c r="Z243" s="354"/>
      <c r="AA243" s="354"/>
      <c r="AB243" s="354"/>
      <c r="AC243" s="354"/>
      <c r="AD243" s="354"/>
      <c r="AE243" s="354"/>
      <c r="AF243" s="379">
        <f t="shared" si="8"/>
        <v>7</v>
      </c>
      <c r="AG243" s="354"/>
      <c r="AH243" s="354"/>
      <c r="AI243" s="354" t="s">
        <v>2161</v>
      </c>
      <c r="AJ243" s="416"/>
      <c r="AK243" s="244" t="s">
        <v>2836</v>
      </c>
    </row>
    <row r="244" spans="1:37" ht="39.950000000000003" customHeight="1">
      <c r="A244" s="354">
        <v>242</v>
      </c>
      <c r="B244" s="355">
        <v>45245</v>
      </c>
      <c r="C244" s="152" t="s">
        <v>2712</v>
      </c>
      <c r="D244" s="354"/>
      <c r="E244" s="357" t="s">
        <v>2713</v>
      </c>
      <c r="F244" s="152" t="s">
        <v>2732</v>
      </c>
      <c r="G244" s="354"/>
      <c r="H244" s="355"/>
      <c r="I244" s="355"/>
      <c r="J244" s="355"/>
      <c r="K244" s="354" t="str">
        <f>IFERROR(VLOOKUP(J244,Jueces!$A$1:$B$11,2,FALSE),"")</f>
        <v/>
      </c>
      <c r="L244" s="152" t="s">
        <v>596</v>
      </c>
      <c r="M244" s="152"/>
      <c r="N244" s="354"/>
      <c r="O244" s="152" t="str">
        <f t="shared" ca="1" si="7"/>
        <v>LIMBO</v>
      </c>
      <c r="P244" s="152"/>
      <c r="Q244" s="152" t="s">
        <v>709</v>
      </c>
      <c r="R244" s="152"/>
      <c r="S244" s="152"/>
      <c r="T244" s="358"/>
      <c r="U244" s="358"/>
      <c r="V244" s="354"/>
      <c r="W244" s="354"/>
      <c r="X244" s="354"/>
      <c r="Y244" s="354"/>
      <c r="Z244" s="354"/>
      <c r="AA244" s="354"/>
      <c r="AB244" s="354"/>
      <c r="AC244" s="354"/>
      <c r="AD244" s="354"/>
      <c r="AE244" s="354"/>
      <c r="AF244" s="379">
        <f t="shared" si="8"/>
        <v>7</v>
      </c>
      <c r="AG244" s="354"/>
      <c r="AH244" s="354"/>
      <c r="AI244" s="354" t="s">
        <v>2161</v>
      </c>
      <c r="AJ244" s="416"/>
      <c r="AK244" s="244" t="s">
        <v>2836</v>
      </c>
    </row>
    <row r="245" spans="1:37" ht="39.950000000000003" customHeight="1">
      <c r="A245" s="354">
        <v>243</v>
      </c>
      <c r="B245" s="355">
        <v>45246</v>
      </c>
      <c r="C245" s="152" t="s">
        <v>58</v>
      </c>
      <c r="D245" s="152" t="s">
        <v>2714</v>
      </c>
      <c r="E245" s="357" t="s">
        <v>2715</v>
      </c>
      <c r="F245" s="354">
        <v>4</v>
      </c>
      <c r="G245" s="354"/>
      <c r="H245" s="355"/>
      <c r="I245" s="355"/>
      <c r="J245" s="355"/>
      <c r="K245" s="354" t="str">
        <f>IFERROR(VLOOKUP(J245,Jueces!$A$1:$B$11,2,FALSE),"")</f>
        <v/>
      </c>
      <c r="L245" s="152" t="s">
        <v>596</v>
      </c>
      <c r="M245" s="152"/>
      <c r="N245" s="354"/>
      <c r="O245" s="152" t="str">
        <f t="shared" ca="1" si="7"/>
        <v>LIMBO</v>
      </c>
      <c r="P245" s="152"/>
      <c r="Q245" s="152" t="s">
        <v>709</v>
      </c>
      <c r="R245" s="152"/>
      <c r="S245" s="152"/>
      <c r="T245" s="358"/>
      <c r="U245" s="358"/>
      <c r="V245" s="354"/>
      <c r="W245" s="354"/>
      <c r="X245" s="354"/>
      <c r="Y245" s="354"/>
      <c r="Z245" s="354"/>
      <c r="AA245" s="354"/>
      <c r="AB245" s="354"/>
      <c r="AC245" s="354"/>
      <c r="AD245" s="354"/>
      <c r="AE245" s="354"/>
      <c r="AF245" s="379">
        <f t="shared" si="8"/>
        <v>7</v>
      </c>
      <c r="AG245" s="354"/>
      <c r="AH245" s="354"/>
      <c r="AI245" s="354" t="s">
        <v>2161</v>
      </c>
      <c r="AJ245" s="416"/>
      <c r="AK245" s="244" t="s">
        <v>2836</v>
      </c>
    </row>
    <row r="246" spans="1:37" ht="39.950000000000003" customHeight="1">
      <c r="A246" s="321">
        <v>244</v>
      </c>
      <c r="B246" s="319">
        <v>45246</v>
      </c>
      <c r="C246" s="216" t="s">
        <v>2716</v>
      </c>
      <c r="D246" s="216" t="s">
        <v>2717</v>
      </c>
      <c r="E246" s="335" t="s">
        <v>2718</v>
      </c>
      <c r="F246" s="321">
        <v>2</v>
      </c>
      <c r="G246" s="321" t="s">
        <v>21</v>
      </c>
      <c r="H246" s="319"/>
      <c r="I246" s="319"/>
      <c r="J246" s="319"/>
      <c r="K246" s="321" t="str">
        <f>IFERROR(VLOOKUP(J246,Jueces!$A$1:$B$11,2,FALSE),"")</f>
        <v/>
      </c>
      <c r="L246" s="216" t="s">
        <v>583</v>
      </c>
      <c r="M246" s="216" t="s">
        <v>510</v>
      </c>
      <c r="N246" s="216" t="s">
        <v>2723</v>
      </c>
      <c r="O246" s="216" t="str">
        <f t="shared" ca="1" si="7"/>
        <v>LIMBO</v>
      </c>
      <c r="P246" s="216"/>
      <c r="Q246" s="216" t="s">
        <v>709</v>
      </c>
      <c r="R246" s="216"/>
      <c r="S246" s="216"/>
      <c r="T246" s="317"/>
      <c r="U246" s="317"/>
      <c r="V246" s="321"/>
      <c r="W246" s="321"/>
      <c r="X246" s="321"/>
      <c r="Y246" s="321"/>
      <c r="Z246" s="321"/>
      <c r="AA246" s="321"/>
      <c r="AB246" s="321"/>
      <c r="AC246" s="321"/>
      <c r="AD246" s="321"/>
      <c r="AE246" s="321"/>
      <c r="AF246" s="379">
        <f t="shared" si="8"/>
        <v>7</v>
      </c>
      <c r="AG246" s="321"/>
      <c r="AH246" s="321"/>
      <c r="AI246" s="321" t="s">
        <v>2161</v>
      </c>
      <c r="AJ246" s="415"/>
      <c r="AK246" s="244" t="s">
        <v>2161</v>
      </c>
    </row>
    <row r="247" spans="1:37" ht="39.950000000000003" customHeight="1">
      <c r="A247" s="321">
        <v>245</v>
      </c>
      <c r="B247" s="319">
        <v>45246</v>
      </c>
      <c r="C247" s="216" t="s">
        <v>2517</v>
      </c>
      <c r="D247" s="216" t="s">
        <v>1773</v>
      </c>
      <c r="E247" s="335" t="s">
        <v>2722</v>
      </c>
      <c r="F247" s="321">
        <v>7</v>
      </c>
      <c r="G247" s="321" t="s">
        <v>1839</v>
      </c>
      <c r="H247" s="319"/>
      <c r="I247" s="319"/>
      <c r="J247" s="319"/>
      <c r="K247" s="321" t="str">
        <f>IFERROR(VLOOKUP(J247,Jueces!$A$1:$B$11,2,FALSE),"")</f>
        <v/>
      </c>
      <c r="L247" s="216" t="s">
        <v>583</v>
      </c>
      <c r="M247" s="216" t="s">
        <v>536</v>
      </c>
      <c r="N247" s="321"/>
      <c r="O247" s="216" t="str">
        <f t="shared" ca="1" si="7"/>
        <v>LIMBO</v>
      </c>
      <c r="P247" s="216"/>
      <c r="Q247" s="216" t="s">
        <v>709</v>
      </c>
      <c r="R247" s="216"/>
      <c r="S247" s="216"/>
      <c r="T247" s="317"/>
      <c r="U247" s="317"/>
      <c r="V247" s="321"/>
      <c r="W247" s="321"/>
      <c r="X247" s="321"/>
      <c r="Y247" s="321"/>
      <c r="Z247" s="321"/>
      <c r="AA247" s="321"/>
      <c r="AB247" s="321"/>
      <c r="AC247" s="321"/>
      <c r="AD247" s="321"/>
      <c r="AE247" s="321"/>
      <c r="AF247" s="379">
        <f t="shared" si="8"/>
        <v>7</v>
      </c>
      <c r="AG247" s="321"/>
      <c r="AH247" s="321"/>
      <c r="AI247" s="321" t="s">
        <v>2161</v>
      </c>
      <c r="AJ247" s="415"/>
      <c r="AK247" s="244" t="s">
        <v>2161</v>
      </c>
    </row>
    <row r="248" spans="1:37" ht="39.950000000000003" customHeight="1">
      <c r="A248" s="354">
        <v>246</v>
      </c>
      <c r="B248" s="355">
        <v>45245</v>
      </c>
      <c r="C248" s="152" t="s">
        <v>2719</v>
      </c>
      <c r="D248" s="152" t="s">
        <v>2720</v>
      </c>
      <c r="E248" s="357" t="s">
        <v>2721</v>
      </c>
      <c r="F248" s="354">
        <v>3</v>
      </c>
      <c r="G248" s="354"/>
      <c r="H248" s="355"/>
      <c r="I248" s="355"/>
      <c r="J248" s="355"/>
      <c r="K248" s="354" t="str">
        <f>IFERROR(VLOOKUP(J248,Jueces!$A$1:$B$11,2,FALSE),"")</f>
        <v/>
      </c>
      <c r="L248" s="152" t="s">
        <v>574</v>
      </c>
      <c r="M248" s="152"/>
      <c r="N248" s="354"/>
      <c r="O248" s="152" t="str">
        <f t="shared" ca="1" si="7"/>
        <v>LIMBO</v>
      </c>
      <c r="P248" s="152"/>
      <c r="Q248" s="152" t="s">
        <v>709</v>
      </c>
      <c r="R248" s="152"/>
      <c r="S248" s="152"/>
      <c r="T248" s="358"/>
      <c r="U248" s="358"/>
      <c r="V248" s="354"/>
      <c r="W248" s="354"/>
      <c r="X248" s="354"/>
      <c r="Y248" s="354"/>
      <c r="Z248" s="354"/>
      <c r="AA248" s="354"/>
      <c r="AB248" s="354"/>
      <c r="AC248" s="354"/>
      <c r="AD248" s="354"/>
      <c r="AE248" s="354"/>
      <c r="AF248" s="379">
        <f t="shared" si="8"/>
        <v>7</v>
      </c>
      <c r="AG248" s="354"/>
      <c r="AH248" s="354"/>
      <c r="AI248" s="354" t="s">
        <v>2161</v>
      </c>
      <c r="AJ248" s="416"/>
      <c r="AK248" s="244" t="s">
        <v>2836</v>
      </c>
    </row>
    <row r="249" spans="1:37" ht="39.950000000000003" customHeight="1">
      <c r="A249" s="354">
        <v>247</v>
      </c>
      <c r="B249" s="355">
        <v>45246</v>
      </c>
      <c r="C249" s="152" t="s">
        <v>2725</v>
      </c>
      <c r="D249" s="152" t="s">
        <v>2726</v>
      </c>
      <c r="E249" s="357" t="s">
        <v>2727</v>
      </c>
      <c r="F249" s="354">
        <v>6</v>
      </c>
      <c r="G249" s="354"/>
      <c r="H249" s="355"/>
      <c r="I249" s="355"/>
      <c r="J249" s="355"/>
      <c r="K249" s="354" t="str">
        <f>IFERROR(VLOOKUP(J249,Jueces!$A$1:$B$11,2,FALSE),"")</f>
        <v/>
      </c>
      <c r="L249" s="152" t="s">
        <v>576</v>
      </c>
      <c r="M249" s="152"/>
      <c r="N249" s="354"/>
      <c r="O249" s="152" t="str">
        <f t="shared" ca="1" si="7"/>
        <v>LIMBO</v>
      </c>
      <c r="P249" s="152"/>
      <c r="Q249" s="152" t="s">
        <v>709</v>
      </c>
      <c r="R249" s="152"/>
      <c r="S249" s="152"/>
      <c r="T249" s="358"/>
      <c r="U249" s="358"/>
      <c r="V249" s="354"/>
      <c r="W249" s="354"/>
      <c r="X249" s="354"/>
      <c r="Y249" s="354"/>
      <c r="Z249" s="354"/>
      <c r="AA249" s="354"/>
      <c r="AB249" s="354"/>
      <c r="AC249" s="354"/>
      <c r="AD249" s="354"/>
      <c r="AE249" s="354"/>
      <c r="AF249" s="379">
        <f t="shared" si="8"/>
        <v>7</v>
      </c>
      <c r="AG249" s="354"/>
      <c r="AH249" s="354"/>
      <c r="AI249" s="354" t="s">
        <v>2161</v>
      </c>
      <c r="AJ249" s="416"/>
      <c r="AK249" s="244" t="s">
        <v>2836</v>
      </c>
    </row>
    <row r="250" spans="1:37" ht="39.950000000000003" customHeight="1">
      <c r="A250" s="354">
        <v>248</v>
      </c>
      <c r="B250" s="355">
        <v>45246</v>
      </c>
      <c r="C250" s="152" t="s">
        <v>2728</v>
      </c>
      <c r="D250" s="152" t="s">
        <v>2729</v>
      </c>
      <c r="E250" s="357" t="s">
        <v>2730</v>
      </c>
      <c r="F250" s="354"/>
      <c r="G250" s="354"/>
      <c r="H250" s="355"/>
      <c r="I250" s="355"/>
      <c r="J250" s="355"/>
      <c r="K250" s="354" t="str">
        <f>IFERROR(VLOOKUP(J250,Jueces!$A$1:$B$11,2,FALSE),"")</f>
        <v/>
      </c>
      <c r="L250" s="152" t="s">
        <v>576</v>
      </c>
      <c r="M250" s="152"/>
      <c r="N250" s="354"/>
      <c r="O250" s="152" t="str">
        <f t="shared" ca="1" si="7"/>
        <v>LIMBO</v>
      </c>
      <c r="P250" s="152"/>
      <c r="Q250" s="152" t="s">
        <v>709</v>
      </c>
      <c r="R250" s="152"/>
      <c r="S250" s="152"/>
      <c r="T250" s="358"/>
      <c r="U250" s="358"/>
      <c r="V250" s="354"/>
      <c r="W250" s="354"/>
      <c r="X250" s="354"/>
      <c r="Y250" s="354"/>
      <c r="Z250" s="354"/>
      <c r="AA250" s="354"/>
      <c r="AB250" s="354"/>
      <c r="AC250" s="354"/>
      <c r="AD250" s="354"/>
      <c r="AE250" s="354"/>
      <c r="AF250" s="379">
        <f t="shared" si="8"/>
        <v>7</v>
      </c>
      <c r="AG250" s="354"/>
      <c r="AH250" s="354"/>
      <c r="AI250" s="354" t="s">
        <v>2161</v>
      </c>
      <c r="AJ250" s="416"/>
      <c r="AK250" s="244" t="s">
        <v>2836</v>
      </c>
    </row>
    <row r="251" spans="1:37" ht="39.950000000000003" customHeight="1">
      <c r="A251" s="354">
        <v>249</v>
      </c>
      <c r="B251" s="355">
        <v>45251</v>
      </c>
      <c r="C251" s="152" t="s">
        <v>58</v>
      </c>
      <c r="D251" s="152" t="s">
        <v>2731</v>
      </c>
      <c r="E251" s="357" t="s">
        <v>2739</v>
      </c>
      <c r="F251" s="354">
        <v>6</v>
      </c>
      <c r="G251" s="354"/>
      <c r="H251" s="355"/>
      <c r="I251" s="355"/>
      <c r="J251" s="355"/>
      <c r="K251" s="354" t="str">
        <f>IFERROR(VLOOKUP(J251,Jueces!$A$1:$B$11,2,FALSE),"")</f>
        <v/>
      </c>
      <c r="L251" s="152" t="s">
        <v>591</v>
      </c>
      <c r="M251" s="152"/>
      <c r="N251" s="354"/>
      <c r="O251" s="152" t="str">
        <f t="shared" ca="1" si="7"/>
        <v>LIMBO</v>
      </c>
      <c r="P251" s="152"/>
      <c r="Q251" s="152" t="s">
        <v>709</v>
      </c>
      <c r="R251" s="152"/>
      <c r="S251" s="152"/>
      <c r="T251" s="358"/>
      <c r="U251" s="358"/>
      <c r="V251" s="354"/>
      <c r="W251" s="354"/>
      <c r="X251" s="354"/>
      <c r="Y251" s="354"/>
      <c r="Z251" s="354"/>
      <c r="AA251" s="354"/>
      <c r="AB251" s="354"/>
      <c r="AC251" s="354"/>
      <c r="AD251" s="354"/>
      <c r="AE251" s="354"/>
      <c r="AF251" s="379">
        <f t="shared" si="8"/>
        <v>7</v>
      </c>
      <c r="AG251" s="354"/>
      <c r="AH251" s="354"/>
      <c r="AI251" s="354" t="s">
        <v>2161</v>
      </c>
      <c r="AJ251" s="416"/>
      <c r="AK251" s="244" t="s">
        <v>2836</v>
      </c>
    </row>
    <row r="252" spans="1:37" ht="39.950000000000003" customHeight="1">
      <c r="A252" s="354">
        <v>250</v>
      </c>
      <c r="B252" s="355">
        <v>45251</v>
      </c>
      <c r="C252" s="152" t="s">
        <v>58</v>
      </c>
      <c r="D252" s="152" t="s">
        <v>2736</v>
      </c>
      <c r="E252" s="357" t="s">
        <v>2733</v>
      </c>
      <c r="F252" s="354">
        <v>2</v>
      </c>
      <c r="G252" s="354"/>
      <c r="H252" s="355"/>
      <c r="I252" s="355"/>
      <c r="J252" s="355"/>
      <c r="K252" s="354" t="str">
        <f>IFERROR(VLOOKUP(J252,Jueces!$A$1:$B$11,2,FALSE),"")</f>
        <v/>
      </c>
      <c r="L252" s="152" t="s">
        <v>576</v>
      </c>
      <c r="M252" s="152"/>
      <c r="N252" s="354"/>
      <c r="O252" s="152" t="str">
        <f t="shared" ca="1" si="7"/>
        <v>LIMBO</v>
      </c>
      <c r="P252" s="152"/>
      <c r="Q252" s="152" t="s">
        <v>709</v>
      </c>
      <c r="R252" s="152"/>
      <c r="S252" s="152"/>
      <c r="T252" s="358"/>
      <c r="U252" s="358"/>
      <c r="V252" s="354"/>
      <c r="W252" s="354"/>
      <c r="X252" s="354"/>
      <c r="Y252" s="354"/>
      <c r="Z252" s="354"/>
      <c r="AA252" s="354"/>
      <c r="AB252" s="354"/>
      <c r="AC252" s="354"/>
      <c r="AD252" s="354"/>
      <c r="AE252" s="354"/>
      <c r="AF252" s="379">
        <f t="shared" si="8"/>
        <v>7</v>
      </c>
      <c r="AG252" s="354"/>
      <c r="AH252" s="354"/>
      <c r="AI252" s="354" t="s">
        <v>2161</v>
      </c>
      <c r="AJ252" s="416"/>
      <c r="AK252" s="244" t="s">
        <v>2836</v>
      </c>
    </row>
    <row r="253" spans="1:37" ht="39.950000000000003" customHeight="1">
      <c r="A253" s="354">
        <v>251</v>
      </c>
      <c r="B253" s="355">
        <v>45251</v>
      </c>
      <c r="C253" s="152" t="s">
        <v>2734</v>
      </c>
      <c r="D253" s="152" t="s">
        <v>2737</v>
      </c>
      <c r="E253" s="357" t="s">
        <v>2735</v>
      </c>
      <c r="F253" s="354">
        <v>3</v>
      </c>
      <c r="G253" s="354"/>
      <c r="H253" s="355"/>
      <c r="I253" s="355"/>
      <c r="J253" s="355"/>
      <c r="K253" s="354" t="str">
        <f>IFERROR(VLOOKUP(J253,Jueces!$A$1:$B$11,2,FALSE),"")</f>
        <v/>
      </c>
      <c r="L253" s="152" t="s">
        <v>585</v>
      </c>
      <c r="M253" s="152"/>
      <c r="N253" s="354"/>
      <c r="O253" s="152" t="str">
        <f t="shared" ca="1" si="7"/>
        <v>LIMBO</v>
      </c>
      <c r="P253" s="152"/>
      <c r="Q253" s="152" t="s">
        <v>709</v>
      </c>
      <c r="R253" s="152"/>
      <c r="S253" s="152"/>
      <c r="T253" s="358"/>
      <c r="U253" s="358"/>
      <c r="V253" s="354"/>
      <c r="W253" s="354"/>
      <c r="X253" s="354"/>
      <c r="Y253" s="354"/>
      <c r="Z253" s="354"/>
      <c r="AA253" s="354"/>
      <c r="AB253" s="354"/>
      <c r="AC253" s="354"/>
      <c r="AD253" s="354"/>
      <c r="AE253" s="354"/>
      <c r="AF253" s="379">
        <f t="shared" si="8"/>
        <v>7</v>
      </c>
      <c r="AG253" s="354"/>
      <c r="AH253" s="354"/>
      <c r="AI253" s="354" t="s">
        <v>2161</v>
      </c>
      <c r="AJ253" s="416"/>
      <c r="AK253" s="244" t="s">
        <v>2836</v>
      </c>
    </row>
    <row r="254" spans="1:37" ht="39.950000000000003" customHeight="1">
      <c r="A254" s="354">
        <v>252</v>
      </c>
      <c r="B254" s="355">
        <v>45251</v>
      </c>
      <c r="C254" s="152" t="s">
        <v>2132</v>
      </c>
      <c r="D254" s="152" t="s">
        <v>2740</v>
      </c>
      <c r="E254" s="357" t="s">
        <v>2738</v>
      </c>
      <c r="F254" s="354">
        <v>3</v>
      </c>
      <c r="G254" s="354"/>
      <c r="H254" s="355"/>
      <c r="I254" s="355"/>
      <c r="J254" s="355"/>
      <c r="K254" s="354" t="str">
        <f>IFERROR(VLOOKUP(J254,Jueces!$A$1:$B$11,2,FALSE),"")</f>
        <v/>
      </c>
      <c r="L254" s="152" t="s">
        <v>1390</v>
      </c>
      <c r="M254" s="152" t="s">
        <v>1257</v>
      </c>
      <c r="N254" s="385" t="s">
        <v>2741</v>
      </c>
      <c r="O254" s="152" t="str">
        <f t="shared" ca="1" si="7"/>
        <v>LIMBO</v>
      </c>
      <c r="P254" s="152"/>
      <c r="Q254" s="152" t="s">
        <v>709</v>
      </c>
      <c r="R254" s="152"/>
      <c r="S254" s="152"/>
      <c r="T254" s="358"/>
      <c r="U254" s="358"/>
      <c r="V254" s="354"/>
      <c r="W254" s="354"/>
      <c r="X254" s="354"/>
      <c r="Y254" s="354"/>
      <c r="Z254" s="354"/>
      <c r="AA254" s="354"/>
      <c r="AB254" s="354"/>
      <c r="AC254" s="354"/>
      <c r="AD254" s="354"/>
      <c r="AE254" s="354"/>
      <c r="AF254" s="379">
        <f t="shared" si="8"/>
        <v>7</v>
      </c>
      <c r="AG254" s="354"/>
      <c r="AH254" s="354"/>
      <c r="AI254" s="354" t="s">
        <v>2161</v>
      </c>
      <c r="AJ254" s="416"/>
      <c r="AK254" s="244" t="s">
        <v>2836</v>
      </c>
    </row>
    <row r="255" spans="1:37" ht="39.950000000000003" customHeight="1">
      <c r="A255" s="354">
        <v>253</v>
      </c>
      <c r="B255" s="355">
        <v>45251</v>
      </c>
      <c r="C255" s="152" t="s">
        <v>2743</v>
      </c>
      <c r="D255" s="152" t="s">
        <v>2744</v>
      </c>
      <c r="E255" s="357" t="s">
        <v>2745</v>
      </c>
      <c r="F255" s="354">
        <v>7</v>
      </c>
      <c r="G255" s="354"/>
      <c r="H255" s="355"/>
      <c r="I255" s="355"/>
      <c r="J255" s="355"/>
      <c r="K255" s="354" t="str">
        <f>IFERROR(VLOOKUP(J255,Jueces!$A$1:$B$11,2,FALSE),"")</f>
        <v/>
      </c>
      <c r="L255" s="152" t="s">
        <v>578</v>
      </c>
      <c r="M255" s="152"/>
      <c r="N255" s="354"/>
      <c r="O255" s="152" t="str">
        <f t="shared" ca="1" si="7"/>
        <v>LIMBO</v>
      </c>
      <c r="P255" s="152"/>
      <c r="Q255" s="152" t="s">
        <v>709</v>
      </c>
      <c r="R255" s="152"/>
      <c r="S255" s="152"/>
      <c r="T255" s="358"/>
      <c r="U255" s="358"/>
      <c r="V255" s="354"/>
      <c r="W255" s="354"/>
      <c r="X255" s="354"/>
      <c r="Y255" s="354"/>
      <c r="Z255" s="354"/>
      <c r="AA255" s="354"/>
      <c r="AB255" s="354"/>
      <c r="AC255" s="354"/>
      <c r="AD255" s="354"/>
      <c r="AE255" s="354"/>
      <c r="AF255" s="379">
        <f t="shared" si="8"/>
        <v>7</v>
      </c>
      <c r="AG255" s="354"/>
      <c r="AH255" s="354"/>
      <c r="AI255" s="354" t="s">
        <v>2161</v>
      </c>
      <c r="AJ255" s="416"/>
      <c r="AK255" s="244" t="s">
        <v>2836</v>
      </c>
    </row>
    <row r="256" spans="1:37" ht="39.950000000000003" customHeight="1">
      <c r="A256" s="321">
        <v>254</v>
      </c>
      <c r="B256" s="319">
        <v>45251</v>
      </c>
      <c r="C256" s="322">
        <v>0.52152777777777781</v>
      </c>
      <c r="D256" s="216" t="s">
        <v>2746</v>
      </c>
      <c r="E256" s="335" t="s">
        <v>2751</v>
      </c>
      <c r="F256" s="321">
        <v>2</v>
      </c>
      <c r="G256" s="321" t="s">
        <v>1839</v>
      </c>
      <c r="H256" s="319"/>
      <c r="I256" s="319"/>
      <c r="J256" s="319"/>
      <c r="K256" s="321" t="str">
        <f>IFERROR(VLOOKUP(J256,Jueces!$A$1:$B$11,2,FALSE),"")</f>
        <v/>
      </c>
      <c r="L256" s="216" t="s">
        <v>1390</v>
      </c>
      <c r="M256" s="216" t="s">
        <v>538</v>
      </c>
      <c r="N256" s="216" t="s">
        <v>2750</v>
      </c>
      <c r="O256" s="216" t="str">
        <f t="shared" ca="1" si="7"/>
        <v>LIMBO</v>
      </c>
      <c r="P256" s="216"/>
      <c r="Q256" s="216" t="s">
        <v>709</v>
      </c>
      <c r="R256" s="216"/>
      <c r="S256" s="216"/>
      <c r="T256" s="317"/>
      <c r="U256" s="317"/>
      <c r="V256" s="321"/>
      <c r="W256" s="321"/>
      <c r="X256" s="321"/>
      <c r="Y256" s="321"/>
      <c r="Z256" s="321"/>
      <c r="AA256" s="321"/>
      <c r="AB256" s="321"/>
      <c r="AC256" s="321"/>
      <c r="AD256" s="321"/>
      <c r="AE256" s="321"/>
      <c r="AF256" s="379">
        <f t="shared" si="8"/>
        <v>7</v>
      </c>
      <c r="AG256" s="321"/>
      <c r="AH256" s="321"/>
      <c r="AI256" s="321" t="s">
        <v>2161</v>
      </c>
      <c r="AJ256" s="415"/>
      <c r="AK256" s="244" t="s">
        <v>2161</v>
      </c>
    </row>
    <row r="257" spans="1:37" ht="39.950000000000003" customHeight="1">
      <c r="A257" s="386">
        <v>255</v>
      </c>
      <c r="B257" s="324">
        <v>45245</v>
      </c>
      <c r="C257" s="320" t="s">
        <v>2562</v>
      </c>
      <c r="D257" s="320" t="s">
        <v>2747</v>
      </c>
      <c r="E257" s="336" t="s">
        <v>2748</v>
      </c>
      <c r="F257" s="386">
        <v>7</v>
      </c>
      <c r="G257" s="386"/>
      <c r="H257" s="324"/>
      <c r="I257" s="324"/>
      <c r="J257" s="324"/>
      <c r="K257" s="386" t="str">
        <f>IFERROR(VLOOKUP(J257,Jueces!$A$1:$B$11,2,FALSE),"")</f>
        <v/>
      </c>
      <c r="L257" s="320" t="s">
        <v>585</v>
      </c>
      <c r="M257" s="320" t="s">
        <v>1476</v>
      </c>
      <c r="N257" s="386"/>
      <c r="O257" s="320" t="str">
        <f t="shared" ca="1" si="7"/>
        <v>LIMBO</v>
      </c>
      <c r="P257" s="320"/>
      <c r="Q257" s="320" t="s">
        <v>709</v>
      </c>
      <c r="R257" s="320"/>
      <c r="S257" s="320"/>
      <c r="T257" s="325"/>
      <c r="U257" s="325"/>
      <c r="V257" s="386"/>
      <c r="W257" s="386"/>
      <c r="X257" s="386"/>
      <c r="Y257" s="386"/>
      <c r="Z257" s="386"/>
      <c r="AA257" s="386"/>
      <c r="AB257" s="386"/>
      <c r="AC257" s="386"/>
      <c r="AD257" s="386"/>
      <c r="AE257" s="386"/>
      <c r="AF257" s="379">
        <f t="shared" si="8"/>
        <v>7</v>
      </c>
      <c r="AG257" s="386"/>
      <c r="AH257" s="386"/>
      <c r="AI257" s="386" t="s">
        <v>2161</v>
      </c>
      <c r="AJ257" s="417"/>
      <c r="AK257" s="244" t="s">
        <v>2161</v>
      </c>
    </row>
    <row r="258" spans="1:37" ht="39.950000000000003" customHeight="1">
      <c r="A258" s="354">
        <v>256</v>
      </c>
      <c r="B258" s="355">
        <v>45252</v>
      </c>
      <c r="C258" s="152" t="s">
        <v>2753</v>
      </c>
      <c r="D258" s="152" t="s">
        <v>2754</v>
      </c>
      <c r="E258" s="357" t="s">
        <v>2755</v>
      </c>
      <c r="F258" s="354">
        <v>5</v>
      </c>
      <c r="G258" s="354"/>
      <c r="H258" s="355"/>
      <c r="I258" s="355"/>
      <c r="J258" s="355"/>
      <c r="K258" s="354" t="str">
        <f>IFERROR(VLOOKUP(J258,[3]Jueces!$A$1:$B$11,2,FALSE),"")</f>
        <v/>
      </c>
      <c r="L258" s="152" t="s">
        <v>592</v>
      </c>
      <c r="M258" s="152"/>
      <c r="N258" s="354"/>
      <c r="O258" s="152" t="str">
        <f t="shared" ca="1" si="7"/>
        <v>LIMBO</v>
      </c>
      <c r="P258" s="152"/>
      <c r="Q258" s="152" t="s">
        <v>709</v>
      </c>
      <c r="R258" s="152"/>
      <c r="S258" s="152"/>
      <c r="T258" s="358"/>
      <c r="U258" s="358"/>
      <c r="V258" s="354"/>
      <c r="W258" s="354"/>
      <c r="X258" s="354"/>
      <c r="Y258" s="354"/>
      <c r="Z258" s="354"/>
      <c r="AA258" s="354"/>
      <c r="AB258" s="354"/>
      <c r="AC258" s="354"/>
      <c r="AD258" s="354"/>
      <c r="AE258" s="354"/>
      <c r="AF258" s="379">
        <f t="shared" si="8"/>
        <v>7</v>
      </c>
      <c r="AG258" s="354"/>
      <c r="AH258" s="354"/>
      <c r="AI258" s="354" t="s">
        <v>2161</v>
      </c>
      <c r="AJ258" s="416"/>
      <c r="AK258" s="244" t="s">
        <v>2836</v>
      </c>
    </row>
    <row r="259" spans="1:37" ht="39.950000000000003" customHeight="1">
      <c r="A259" s="354">
        <v>257</v>
      </c>
      <c r="B259" s="355">
        <v>45252</v>
      </c>
      <c r="C259" s="152" t="s">
        <v>737</v>
      </c>
      <c r="D259" s="152" t="s">
        <v>2756</v>
      </c>
      <c r="E259" s="357" t="s">
        <v>2757</v>
      </c>
      <c r="F259" s="354">
        <v>4</v>
      </c>
      <c r="G259" s="354"/>
      <c r="H259" s="355"/>
      <c r="I259" s="355"/>
      <c r="J259" s="355"/>
      <c r="K259" s="354" t="str">
        <f>IFERROR(VLOOKUP(J259,[3]Jueces!$A$1:$B$11,2,FALSE),"")</f>
        <v/>
      </c>
      <c r="L259" s="152" t="s">
        <v>596</v>
      </c>
      <c r="M259" s="152"/>
      <c r="N259" s="354"/>
      <c r="O259" s="152" t="str">
        <f t="shared" ref="O259:O287" ca="1" si="9">IF($H259&lt;&gt;"",IF($H259&lt;=TODAY(),"SI","NO"),"LIMBO")</f>
        <v>LIMBO</v>
      </c>
      <c r="P259" s="152"/>
      <c r="Q259" s="152" t="s">
        <v>709</v>
      </c>
      <c r="R259" s="152"/>
      <c r="S259" s="152"/>
      <c r="T259" s="358"/>
      <c r="U259" s="358"/>
      <c r="V259" s="354"/>
      <c r="W259" s="354"/>
      <c r="X259" s="354"/>
      <c r="Y259" s="354"/>
      <c r="Z259" s="354"/>
      <c r="AA259" s="354"/>
      <c r="AB259" s="354"/>
      <c r="AC259" s="354"/>
      <c r="AD259" s="354"/>
      <c r="AE259" s="354"/>
      <c r="AF259" s="379">
        <f t="shared" ref="AF259:AF282" si="10">MAX($AC259,$AE259)+7</f>
        <v>7</v>
      </c>
      <c r="AG259" s="354"/>
      <c r="AH259" s="354"/>
      <c r="AI259" s="354" t="s">
        <v>2161</v>
      </c>
      <c r="AJ259" s="416"/>
      <c r="AK259" s="244" t="s">
        <v>2836</v>
      </c>
    </row>
    <row r="260" spans="1:37" ht="39.950000000000003" customHeight="1">
      <c r="A260" s="354">
        <v>258</v>
      </c>
      <c r="B260" s="355">
        <v>45252</v>
      </c>
      <c r="C260" s="152" t="s">
        <v>2758</v>
      </c>
      <c r="D260" s="152" t="s">
        <v>2759</v>
      </c>
      <c r="E260" s="357" t="s">
        <v>2760</v>
      </c>
      <c r="F260" s="354">
        <v>2</v>
      </c>
      <c r="G260" s="354"/>
      <c r="H260" s="355"/>
      <c r="I260" s="355"/>
      <c r="J260" s="355"/>
      <c r="K260" s="354" t="str">
        <f>IFERROR(VLOOKUP(J260,[3]Jueces!$A$1:$B$11,2,FALSE),"")</f>
        <v/>
      </c>
      <c r="L260" s="152" t="s">
        <v>597</v>
      </c>
      <c r="M260" s="152"/>
      <c r="N260" s="354"/>
      <c r="O260" s="152" t="str">
        <f t="shared" ca="1" si="9"/>
        <v>LIMBO</v>
      </c>
      <c r="P260" s="152"/>
      <c r="Q260" s="152" t="s">
        <v>709</v>
      </c>
      <c r="R260" s="152"/>
      <c r="S260" s="152"/>
      <c r="T260" s="358"/>
      <c r="U260" s="358"/>
      <c r="V260" s="354"/>
      <c r="W260" s="354"/>
      <c r="X260" s="354"/>
      <c r="Y260" s="354"/>
      <c r="Z260" s="354"/>
      <c r="AA260" s="354"/>
      <c r="AB260" s="354"/>
      <c r="AC260" s="354"/>
      <c r="AD260" s="354"/>
      <c r="AE260" s="354"/>
      <c r="AF260" s="379">
        <f t="shared" si="10"/>
        <v>7</v>
      </c>
      <c r="AG260" s="354"/>
      <c r="AH260" s="354"/>
      <c r="AI260" s="354" t="s">
        <v>2161</v>
      </c>
      <c r="AJ260" s="416"/>
      <c r="AK260" s="244" t="s">
        <v>2836</v>
      </c>
    </row>
    <row r="261" spans="1:37" ht="39.950000000000003" customHeight="1">
      <c r="A261" s="354">
        <v>259</v>
      </c>
      <c r="B261" s="355">
        <v>45252</v>
      </c>
      <c r="C261" s="152" t="s">
        <v>2639</v>
      </c>
      <c r="D261" s="152" t="s">
        <v>2761</v>
      </c>
      <c r="E261" s="357" t="s">
        <v>2762</v>
      </c>
      <c r="F261" s="354">
        <v>7</v>
      </c>
      <c r="G261" s="354"/>
      <c r="H261" s="355"/>
      <c r="I261" s="355"/>
      <c r="J261" s="355"/>
      <c r="K261" s="354" t="str">
        <f>IFERROR(VLOOKUP(J261,[3]Jueces!$A$1:$B$11,2,FALSE),"")</f>
        <v/>
      </c>
      <c r="L261" s="152" t="s">
        <v>587</v>
      </c>
      <c r="M261" s="152"/>
      <c r="N261" s="354"/>
      <c r="O261" s="152" t="str">
        <f t="shared" ca="1" si="9"/>
        <v>LIMBO</v>
      </c>
      <c r="P261" s="152"/>
      <c r="Q261" s="152" t="s">
        <v>709</v>
      </c>
      <c r="R261" s="152"/>
      <c r="S261" s="152"/>
      <c r="T261" s="358"/>
      <c r="U261" s="358"/>
      <c r="V261" s="354"/>
      <c r="W261" s="354"/>
      <c r="X261" s="354"/>
      <c r="Y261" s="354"/>
      <c r="Z261" s="354"/>
      <c r="AA261" s="354"/>
      <c r="AB261" s="354"/>
      <c r="AC261" s="354"/>
      <c r="AD261" s="354"/>
      <c r="AE261" s="354"/>
      <c r="AF261" s="379">
        <f t="shared" si="10"/>
        <v>7</v>
      </c>
      <c r="AG261" s="354"/>
      <c r="AH261" s="354"/>
      <c r="AI261" s="354" t="s">
        <v>2161</v>
      </c>
      <c r="AJ261" s="416"/>
      <c r="AK261" s="244" t="s">
        <v>2836</v>
      </c>
    </row>
    <row r="262" spans="1:37" ht="39.950000000000003" customHeight="1">
      <c r="A262" s="354">
        <v>260</v>
      </c>
      <c r="B262" s="355">
        <v>45252</v>
      </c>
      <c r="C262" s="152" t="s">
        <v>2763</v>
      </c>
      <c r="D262" s="152" t="s">
        <v>2764</v>
      </c>
      <c r="E262" s="357" t="s">
        <v>2765</v>
      </c>
      <c r="F262" s="354">
        <v>3</v>
      </c>
      <c r="G262" s="354"/>
      <c r="H262" s="355"/>
      <c r="I262" s="355"/>
      <c r="J262" s="355"/>
      <c r="K262" s="354" t="str">
        <f>IFERROR(VLOOKUP(J262,[3]Jueces!$A$1:$B$11,2,FALSE),"")</f>
        <v/>
      </c>
      <c r="L262" s="152" t="s">
        <v>576</v>
      </c>
      <c r="M262" s="152"/>
      <c r="N262" s="354"/>
      <c r="O262" s="152" t="str">
        <f t="shared" ca="1" si="9"/>
        <v>LIMBO</v>
      </c>
      <c r="P262" s="152"/>
      <c r="Q262" s="152" t="s">
        <v>709</v>
      </c>
      <c r="R262" s="152"/>
      <c r="S262" s="152"/>
      <c r="T262" s="358"/>
      <c r="U262" s="358"/>
      <c r="V262" s="354"/>
      <c r="W262" s="354"/>
      <c r="X262" s="354"/>
      <c r="Y262" s="354"/>
      <c r="Z262" s="354"/>
      <c r="AA262" s="354"/>
      <c r="AB262" s="354"/>
      <c r="AC262" s="354"/>
      <c r="AD262" s="354"/>
      <c r="AE262" s="354"/>
      <c r="AF262" s="379">
        <f t="shared" si="10"/>
        <v>7</v>
      </c>
      <c r="AG262" s="354"/>
      <c r="AH262" s="354"/>
      <c r="AI262" s="354" t="s">
        <v>2161</v>
      </c>
      <c r="AJ262" s="416"/>
      <c r="AK262" s="244" t="s">
        <v>2836</v>
      </c>
    </row>
    <row r="263" spans="1:37" ht="39.950000000000003" customHeight="1">
      <c r="A263" s="354">
        <v>261</v>
      </c>
      <c r="B263" s="355">
        <v>45252</v>
      </c>
      <c r="C263" s="152" t="s">
        <v>59</v>
      </c>
      <c r="D263" s="152" t="s">
        <v>2766</v>
      </c>
      <c r="E263" s="357" t="s">
        <v>2767</v>
      </c>
      <c r="F263" s="152" t="s">
        <v>2732</v>
      </c>
      <c r="G263" s="354"/>
      <c r="H263" s="355"/>
      <c r="I263" s="355"/>
      <c r="J263" s="355"/>
      <c r="K263" s="354" t="str">
        <f>IFERROR(VLOOKUP(J263,[3]Jueces!$A$1:$B$11,2,FALSE),"")</f>
        <v/>
      </c>
      <c r="L263" s="152" t="s">
        <v>578</v>
      </c>
      <c r="M263" s="152"/>
      <c r="N263" s="354"/>
      <c r="O263" s="152" t="str">
        <f t="shared" ca="1" si="9"/>
        <v>LIMBO</v>
      </c>
      <c r="P263" s="152"/>
      <c r="Q263" s="152" t="s">
        <v>709</v>
      </c>
      <c r="R263" s="152"/>
      <c r="S263" s="152"/>
      <c r="T263" s="358"/>
      <c r="U263" s="358"/>
      <c r="V263" s="354"/>
      <c r="W263" s="354"/>
      <c r="X263" s="354"/>
      <c r="Y263" s="354"/>
      <c r="Z263" s="354"/>
      <c r="AA263" s="354"/>
      <c r="AB263" s="354"/>
      <c r="AC263" s="354"/>
      <c r="AD263" s="354"/>
      <c r="AE263" s="354"/>
      <c r="AF263" s="379">
        <f t="shared" si="10"/>
        <v>7</v>
      </c>
      <c r="AG263" s="354"/>
      <c r="AH263" s="354"/>
      <c r="AI263" s="354" t="s">
        <v>2161</v>
      </c>
      <c r="AJ263" s="416"/>
      <c r="AK263" s="244" t="s">
        <v>2836</v>
      </c>
    </row>
    <row r="264" spans="1:37" ht="39.950000000000003" customHeight="1">
      <c r="A264" s="354">
        <v>262</v>
      </c>
      <c r="B264" s="355">
        <v>45252</v>
      </c>
      <c r="C264" s="152" t="s">
        <v>61</v>
      </c>
      <c r="D264" s="152" t="s">
        <v>2768</v>
      </c>
      <c r="E264" s="357" t="s">
        <v>2769</v>
      </c>
      <c r="F264" s="354">
        <v>7</v>
      </c>
      <c r="G264" s="354"/>
      <c r="H264" s="355"/>
      <c r="I264" s="355"/>
      <c r="J264" s="355"/>
      <c r="K264" s="354" t="str">
        <f>IFERROR(VLOOKUP(J264,[3]Jueces!$A$1:$B$11,2,FALSE),"")</f>
        <v/>
      </c>
      <c r="L264" s="152" t="s">
        <v>506</v>
      </c>
      <c r="M264" s="152"/>
      <c r="N264" s="354"/>
      <c r="O264" s="152" t="str">
        <f t="shared" ca="1" si="9"/>
        <v>LIMBO</v>
      </c>
      <c r="P264" s="152"/>
      <c r="Q264" s="152" t="s">
        <v>709</v>
      </c>
      <c r="R264" s="152"/>
      <c r="S264" s="152"/>
      <c r="T264" s="358"/>
      <c r="U264" s="358"/>
      <c r="V264" s="354"/>
      <c r="W264" s="354"/>
      <c r="X264" s="354"/>
      <c r="Y264" s="354"/>
      <c r="Z264" s="354"/>
      <c r="AA264" s="354"/>
      <c r="AB264" s="354"/>
      <c r="AC264" s="354"/>
      <c r="AD264" s="354"/>
      <c r="AE264" s="354"/>
      <c r="AF264" s="379">
        <f t="shared" si="10"/>
        <v>7</v>
      </c>
      <c r="AG264" s="354"/>
      <c r="AH264" s="354"/>
      <c r="AI264" s="354" t="s">
        <v>2161</v>
      </c>
      <c r="AJ264" s="416"/>
      <c r="AK264" s="244" t="s">
        <v>2836</v>
      </c>
    </row>
    <row r="265" spans="1:37" ht="39.950000000000003" customHeight="1">
      <c r="A265" s="354">
        <v>263</v>
      </c>
      <c r="B265" s="355">
        <v>45252</v>
      </c>
      <c r="C265" s="152" t="s">
        <v>58</v>
      </c>
      <c r="D265" s="152" t="s">
        <v>2770</v>
      </c>
      <c r="E265" s="357" t="s">
        <v>2771</v>
      </c>
      <c r="F265" s="152" t="s">
        <v>2732</v>
      </c>
      <c r="G265" s="354"/>
      <c r="H265" s="355"/>
      <c r="I265" s="355"/>
      <c r="J265" s="355"/>
      <c r="K265" s="354" t="str">
        <f>IFERROR(VLOOKUP(J265,[3]Jueces!$A$1:$B$11,2,FALSE),"")</f>
        <v/>
      </c>
      <c r="L265" s="152" t="s">
        <v>578</v>
      </c>
      <c r="M265" s="152"/>
      <c r="N265" s="354"/>
      <c r="O265" s="152" t="str">
        <f t="shared" ca="1" si="9"/>
        <v>LIMBO</v>
      </c>
      <c r="P265" s="152"/>
      <c r="Q265" s="152" t="s">
        <v>709</v>
      </c>
      <c r="R265" s="152"/>
      <c r="S265" s="152"/>
      <c r="T265" s="358"/>
      <c r="U265" s="358"/>
      <c r="V265" s="354"/>
      <c r="W265" s="354"/>
      <c r="X265" s="354"/>
      <c r="Y265" s="354"/>
      <c r="Z265" s="354"/>
      <c r="AA265" s="354"/>
      <c r="AB265" s="354"/>
      <c r="AC265" s="354"/>
      <c r="AD265" s="354"/>
      <c r="AE265" s="354"/>
      <c r="AF265" s="379">
        <f t="shared" si="10"/>
        <v>7</v>
      </c>
      <c r="AG265" s="354"/>
      <c r="AH265" s="354"/>
      <c r="AI265" s="354" t="s">
        <v>2161</v>
      </c>
      <c r="AJ265" s="416"/>
      <c r="AK265" s="244" t="s">
        <v>2836</v>
      </c>
    </row>
    <row r="266" spans="1:37" ht="39.950000000000003" customHeight="1">
      <c r="A266" s="354">
        <v>264</v>
      </c>
      <c r="B266" s="355">
        <v>45253</v>
      </c>
      <c r="C266" s="152" t="s">
        <v>2772</v>
      </c>
      <c r="D266" s="152" t="s">
        <v>2773</v>
      </c>
      <c r="E266" s="357" t="s">
        <v>2774</v>
      </c>
      <c r="F266" s="354">
        <v>2</v>
      </c>
      <c r="G266" s="354"/>
      <c r="H266" s="355"/>
      <c r="I266" s="355"/>
      <c r="J266" s="355"/>
      <c r="K266" s="354" t="str">
        <f>IFERROR(VLOOKUP(J266,[3]Jueces!$A$1:$B$11,2,FALSE),"")</f>
        <v/>
      </c>
      <c r="L266" s="152" t="s">
        <v>592</v>
      </c>
      <c r="M266" s="152"/>
      <c r="N266" s="354"/>
      <c r="O266" s="152" t="str">
        <f t="shared" ca="1" si="9"/>
        <v>LIMBO</v>
      </c>
      <c r="P266" s="152"/>
      <c r="Q266" s="152" t="s">
        <v>709</v>
      </c>
      <c r="R266" s="152"/>
      <c r="S266" s="152"/>
      <c r="T266" s="358"/>
      <c r="U266" s="358"/>
      <c r="V266" s="354"/>
      <c r="W266" s="354"/>
      <c r="X266" s="354"/>
      <c r="Y266" s="354"/>
      <c r="Z266" s="354"/>
      <c r="AA266" s="354"/>
      <c r="AB266" s="354"/>
      <c r="AC266" s="354"/>
      <c r="AD266" s="354"/>
      <c r="AE266" s="354"/>
      <c r="AF266" s="379">
        <f t="shared" si="10"/>
        <v>7</v>
      </c>
      <c r="AG266" s="354"/>
      <c r="AH266" s="354"/>
      <c r="AI266" s="354" t="s">
        <v>2161</v>
      </c>
      <c r="AJ266" s="416"/>
      <c r="AK266" s="244" t="s">
        <v>2836</v>
      </c>
    </row>
    <row r="267" spans="1:37" ht="39.950000000000003" customHeight="1">
      <c r="A267" s="354">
        <v>265</v>
      </c>
      <c r="B267" s="355">
        <v>45253</v>
      </c>
      <c r="C267" s="152" t="s">
        <v>2775</v>
      </c>
      <c r="D267" s="152" t="s">
        <v>2776</v>
      </c>
      <c r="E267" s="357" t="s">
        <v>2777</v>
      </c>
      <c r="F267" s="354">
        <v>2</v>
      </c>
      <c r="G267" s="354"/>
      <c r="H267" s="355"/>
      <c r="I267" s="355"/>
      <c r="J267" s="355"/>
      <c r="K267" s="354" t="str">
        <f>IFERROR(VLOOKUP(J267,[3]Jueces!$A$1:$B$11,2,FALSE),"")</f>
        <v/>
      </c>
      <c r="L267" s="152" t="s">
        <v>586</v>
      </c>
      <c r="M267" s="152"/>
      <c r="N267" s="354"/>
      <c r="O267" s="152" t="str">
        <f t="shared" ca="1" si="9"/>
        <v>LIMBO</v>
      </c>
      <c r="P267" s="152"/>
      <c r="Q267" s="152" t="s">
        <v>709</v>
      </c>
      <c r="R267" s="152"/>
      <c r="S267" s="152"/>
      <c r="T267" s="358"/>
      <c r="U267" s="358"/>
      <c r="V267" s="354"/>
      <c r="W267" s="354"/>
      <c r="X267" s="354"/>
      <c r="Y267" s="354"/>
      <c r="Z267" s="354"/>
      <c r="AA267" s="354"/>
      <c r="AB267" s="354"/>
      <c r="AC267" s="354"/>
      <c r="AD267" s="354"/>
      <c r="AE267" s="354"/>
      <c r="AF267" s="379">
        <f t="shared" si="10"/>
        <v>7</v>
      </c>
      <c r="AG267" s="354"/>
      <c r="AH267" s="354"/>
      <c r="AI267" s="354" t="s">
        <v>2161</v>
      </c>
      <c r="AJ267" s="416"/>
      <c r="AK267" s="244" t="s">
        <v>2836</v>
      </c>
    </row>
    <row r="268" spans="1:37" ht="39.950000000000003" customHeight="1">
      <c r="A268" s="354">
        <v>266</v>
      </c>
      <c r="B268" s="355">
        <v>45253</v>
      </c>
      <c r="C268" s="152" t="s">
        <v>58</v>
      </c>
      <c r="D268" s="152" t="s">
        <v>2778</v>
      </c>
      <c r="E268" s="357" t="s">
        <v>2779</v>
      </c>
      <c r="F268" s="354">
        <v>7</v>
      </c>
      <c r="G268" s="354"/>
      <c r="H268" s="355"/>
      <c r="I268" s="355"/>
      <c r="J268" s="355"/>
      <c r="K268" s="354" t="str">
        <f>IFERROR(VLOOKUP(J268,[3]Jueces!$A$1:$B$11,2,FALSE),"")</f>
        <v/>
      </c>
      <c r="L268" s="152" t="s">
        <v>585</v>
      </c>
      <c r="M268" s="152"/>
      <c r="N268" s="354"/>
      <c r="O268" s="152" t="str">
        <f t="shared" ca="1" si="9"/>
        <v>LIMBO</v>
      </c>
      <c r="P268" s="152"/>
      <c r="Q268" s="152" t="s">
        <v>709</v>
      </c>
      <c r="R268" s="152"/>
      <c r="S268" s="152"/>
      <c r="T268" s="358"/>
      <c r="U268" s="358"/>
      <c r="V268" s="354"/>
      <c r="W268" s="354"/>
      <c r="X268" s="354"/>
      <c r="Y268" s="354"/>
      <c r="Z268" s="354"/>
      <c r="AA268" s="354"/>
      <c r="AB268" s="354"/>
      <c r="AC268" s="354"/>
      <c r="AD268" s="354"/>
      <c r="AE268" s="354"/>
      <c r="AF268" s="379">
        <f t="shared" si="10"/>
        <v>7</v>
      </c>
      <c r="AG268" s="354"/>
      <c r="AH268" s="354"/>
      <c r="AI268" s="354" t="s">
        <v>2161</v>
      </c>
      <c r="AJ268" s="416"/>
      <c r="AK268" s="244" t="s">
        <v>2836</v>
      </c>
    </row>
    <row r="269" spans="1:37" ht="39.950000000000003" customHeight="1">
      <c r="A269" s="354">
        <v>267</v>
      </c>
      <c r="B269" s="355">
        <v>45253</v>
      </c>
      <c r="C269" s="152" t="s">
        <v>58</v>
      </c>
      <c r="D269" s="152" t="s">
        <v>2780</v>
      </c>
      <c r="E269" s="357" t="s">
        <v>2781</v>
      </c>
      <c r="F269" s="354">
        <v>7</v>
      </c>
      <c r="G269" s="354"/>
      <c r="H269" s="355"/>
      <c r="I269" s="355"/>
      <c r="J269" s="355"/>
      <c r="K269" s="354" t="str">
        <f>IFERROR(VLOOKUP(J269,[3]Jueces!$A$1:$B$11,2,FALSE),"")</f>
        <v/>
      </c>
      <c r="L269" s="152" t="s">
        <v>594</v>
      </c>
      <c r="M269" s="152"/>
      <c r="N269" s="354"/>
      <c r="O269" s="152" t="str">
        <f t="shared" ca="1" si="9"/>
        <v>LIMBO</v>
      </c>
      <c r="P269" s="152"/>
      <c r="Q269" s="152" t="s">
        <v>709</v>
      </c>
      <c r="R269" s="152"/>
      <c r="S269" s="152"/>
      <c r="T269" s="358"/>
      <c r="U269" s="358"/>
      <c r="V269" s="354"/>
      <c r="W269" s="354"/>
      <c r="X269" s="354"/>
      <c r="Y269" s="354"/>
      <c r="Z269" s="354"/>
      <c r="AA269" s="354"/>
      <c r="AB269" s="354"/>
      <c r="AC269" s="354"/>
      <c r="AD269" s="354"/>
      <c r="AE269" s="354"/>
      <c r="AF269" s="379">
        <f t="shared" si="10"/>
        <v>7</v>
      </c>
      <c r="AG269" s="354"/>
      <c r="AH269" s="354"/>
      <c r="AI269" s="354" t="s">
        <v>2161</v>
      </c>
      <c r="AJ269" s="416"/>
      <c r="AK269" s="244" t="s">
        <v>2836</v>
      </c>
    </row>
    <row r="270" spans="1:37" ht="39.950000000000003" customHeight="1">
      <c r="A270" s="354">
        <v>268</v>
      </c>
      <c r="B270" s="355">
        <v>45253</v>
      </c>
      <c r="C270" s="152" t="s">
        <v>58</v>
      </c>
      <c r="D270" s="152" t="s">
        <v>2782</v>
      </c>
      <c r="E270" s="357" t="s">
        <v>2783</v>
      </c>
      <c r="F270" s="354">
        <v>7</v>
      </c>
      <c r="G270" s="354"/>
      <c r="H270" s="355"/>
      <c r="I270" s="355"/>
      <c r="J270" s="355"/>
      <c r="K270" s="354" t="str">
        <f>IFERROR(VLOOKUP(J270,[3]Jueces!$A$1:$B$11,2,FALSE),"")</f>
        <v/>
      </c>
      <c r="L270" s="152" t="s">
        <v>576</v>
      </c>
      <c r="M270" s="152"/>
      <c r="N270" s="354"/>
      <c r="O270" s="152" t="str">
        <f t="shared" ca="1" si="9"/>
        <v>LIMBO</v>
      </c>
      <c r="P270" s="152"/>
      <c r="Q270" s="152" t="s">
        <v>709</v>
      </c>
      <c r="R270" s="152"/>
      <c r="S270" s="152"/>
      <c r="T270" s="358"/>
      <c r="U270" s="358"/>
      <c r="V270" s="354"/>
      <c r="W270" s="354"/>
      <c r="X270" s="354"/>
      <c r="Y270" s="354"/>
      <c r="Z270" s="354"/>
      <c r="AA270" s="354"/>
      <c r="AB270" s="354"/>
      <c r="AC270" s="354"/>
      <c r="AD270" s="354"/>
      <c r="AE270" s="354"/>
      <c r="AF270" s="379">
        <f t="shared" si="10"/>
        <v>7</v>
      </c>
      <c r="AG270" s="354"/>
      <c r="AH270" s="354"/>
      <c r="AI270" s="354" t="s">
        <v>2161</v>
      </c>
      <c r="AJ270" s="416"/>
      <c r="AK270" s="244" t="s">
        <v>2836</v>
      </c>
    </row>
    <row r="271" spans="1:37" ht="39.950000000000003" customHeight="1">
      <c r="A271" s="354">
        <v>269</v>
      </c>
      <c r="B271" s="355">
        <v>45253</v>
      </c>
      <c r="C271" s="152" t="s">
        <v>2784</v>
      </c>
      <c r="D271" s="152" t="s">
        <v>2785</v>
      </c>
      <c r="E271" s="357" t="s">
        <v>2786</v>
      </c>
      <c r="F271" s="354">
        <v>2</v>
      </c>
      <c r="G271" s="354"/>
      <c r="H271" s="355"/>
      <c r="I271" s="355"/>
      <c r="J271" s="355"/>
      <c r="K271" s="354" t="str">
        <f>IFERROR(VLOOKUP(J271,[3]Jueces!$A$1:$B$11,2,FALSE),"")</f>
        <v/>
      </c>
      <c r="L271" s="152" t="s">
        <v>598</v>
      </c>
      <c r="M271" s="152"/>
      <c r="N271" s="354"/>
      <c r="O271" s="152" t="str">
        <f t="shared" ca="1" si="9"/>
        <v>LIMBO</v>
      </c>
      <c r="P271" s="152"/>
      <c r="Q271" s="152" t="s">
        <v>709</v>
      </c>
      <c r="R271" s="152"/>
      <c r="S271" s="152"/>
      <c r="T271" s="358"/>
      <c r="U271" s="358"/>
      <c r="V271" s="354"/>
      <c r="W271" s="354"/>
      <c r="X271" s="354"/>
      <c r="Y271" s="354"/>
      <c r="Z271" s="354"/>
      <c r="AA271" s="354"/>
      <c r="AB271" s="354"/>
      <c r="AC271" s="354"/>
      <c r="AD271" s="354"/>
      <c r="AE271" s="354"/>
      <c r="AF271" s="379">
        <f t="shared" si="10"/>
        <v>7</v>
      </c>
      <c r="AG271" s="354"/>
      <c r="AH271" s="354"/>
      <c r="AI271" s="354" t="s">
        <v>2161</v>
      </c>
      <c r="AJ271" s="416"/>
      <c r="AK271" s="244" t="s">
        <v>2836</v>
      </c>
    </row>
    <row r="272" spans="1:37" ht="39.950000000000003" customHeight="1">
      <c r="A272" s="354">
        <v>270</v>
      </c>
      <c r="B272" s="355">
        <v>45254</v>
      </c>
      <c r="C272" s="152" t="s">
        <v>58</v>
      </c>
      <c r="D272" s="152" t="s">
        <v>2787</v>
      </c>
      <c r="E272" s="357" t="s">
        <v>2788</v>
      </c>
      <c r="F272" s="354">
        <v>2</v>
      </c>
      <c r="G272" s="354"/>
      <c r="H272" s="355"/>
      <c r="I272" s="355"/>
      <c r="J272" s="355"/>
      <c r="K272" s="354" t="str">
        <f>IFERROR(VLOOKUP(J272,Jueces!$A$1:$B$11,2,FALSE),"")</f>
        <v/>
      </c>
      <c r="L272" s="152" t="s">
        <v>591</v>
      </c>
      <c r="M272" s="152"/>
      <c r="N272" s="354"/>
      <c r="O272" s="152" t="str">
        <f t="shared" ca="1" si="9"/>
        <v>LIMBO</v>
      </c>
      <c r="P272" s="152"/>
      <c r="Q272" s="152" t="s">
        <v>709</v>
      </c>
      <c r="R272" s="152"/>
      <c r="S272" s="152"/>
      <c r="T272" s="358"/>
      <c r="U272" s="358"/>
      <c r="V272" s="354"/>
      <c r="W272" s="354"/>
      <c r="X272" s="354"/>
      <c r="Y272" s="354"/>
      <c r="Z272" s="354"/>
      <c r="AA272" s="354"/>
      <c r="AB272" s="354"/>
      <c r="AC272" s="354"/>
      <c r="AD272" s="354"/>
      <c r="AE272" s="354"/>
      <c r="AF272" s="379">
        <f t="shared" si="10"/>
        <v>7</v>
      </c>
      <c r="AG272" s="354"/>
      <c r="AH272" s="354"/>
      <c r="AI272" s="354" t="s">
        <v>2161</v>
      </c>
      <c r="AJ272" s="416"/>
      <c r="AK272" s="244" t="s">
        <v>2836</v>
      </c>
    </row>
    <row r="273" spans="1:37" ht="39.950000000000003" customHeight="1">
      <c r="A273" s="354">
        <v>271</v>
      </c>
      <c r="B273" s="355">
        <v>45254</v>
      </c>
      <c r="C273" s="152" t="s">
        <v>58</v>
      </c>
      <c r="D273" s="152" t="s">
        <v>2789</v>
      </c>
      <c r="E273" s="357" t="s">
        <v>2790</v>
      </c>
      <c r="F273" s="354">
        <v>1</v>
      </c>
      <c r="G273" s="354"/>
      <c r="H273" s="355"/>
      <c r="I273" s="355"/>
      <c r="J273" s="355"/>
      <c r="K273" s="354" t="str">
        <f>IFERROR(VLOOKUP(J273,Jueces!$A$1:$B$11,2,FALSE),"")</f>
        <v/>
      </c>
      <c r="L273" s="152" t="s">
        <v>591</v>
      </c>
      <c r="M273" s="152"/>
      <c r="N273" s="354"/>
      <c r="O273" s="152" t="str">
        <f t="shared" ca="1" si="9"/>
        <v>LIMBO</v>
      </c>
      <c r="P273" s="152"/>
      <c r="Q273" s="152" t="s">
        <v>709</v>
      </c>
      <c r="R273" s="152"/>
      <c r="S273" s="152"/>
      <c r="T273" s="358"/>
      <c r="U273" s="358"/>
      <c r="V273" s="354"/>
      <c r="W273" s="354"/>
      <c r="X273" s="354"/>
      <c r="Y273" s="354"/>
      <c r="Z273" s="354"/>
      <c r="AA273" s="354"/>
      <c r="AB273" s="354"/>
      <c r="AC273" s="354"/>
      <c r="AD273" s="354"/>
      <c r="AE273" s="354"/>
      <c r="AF273" s="379">
        <f t="shared" si="10"/>
        <v>7</v>
      </c>
      <c r="AG273" s="354"/>
      <c r="AH273" s="354"/>
      <c r="AI273" s="354" t="s">
        <v>2161</v>
      </c>
      <c r="AJ273" s="416"/>
      <c r="AK273" s="244" t="s">
        <v>2836</v>
      </c>
    </row>
    <row r="274" spans="1:37" ht="39.950000000000003" customHeight="1">
      <c r="A274" s="354">
        <v>272</v>
      </c>
      <c r="B274" s="355">
        <v>45254</v>
      </c>
      <c r="C274" s="152" t="s">
        <v>58</v>
      </c>
      <c r="D274" s="152" t="s">
        <v>2791</v>
      </c>
      <c r="E274" s="357" t="s">
        <v>2792</v>
      </c>
      <c r="F274" s="354">
        <v>2</v>
      </c>
      <c r="G274" s="354"/>
      <c r="H274" s="355"/>
      <c r="I274" s="355"/>
      <c r="J274" s="355"/>
      <c r="K274" s="354" t="str">
        <f>IFERROR(VLOOKUP(J274,Jueces!$A$1:$B$11,2,FALSE),"")</f>
        <v/>
      </c>
      <c r="L274" s="152" t="s">
        <v>592</v>
      </c>
      <c r="M274" s="152"/>
      <c r="N274" s="354"/>
      <c r="O274" s="152" t="str">
        <f t="shared" ca="1" si="9"/>
        <v>LIMBO</v>
      </c>
      <c r="P274" s="152"/>
      <c r="Q274" s="152" t="s">
        <v>709</v>
      </c>
      <c r="R274" s="152"/>
      <c r="S274" s="152"/>
      <c r="T274" s="358"/>
      <c r="U274" s="358"/>
      <c r="V274" s="354"/>
      <c r="W274" s="354"/>
      <c r="X274" s="354"/>
      <c r="Y274" s="354"/>
      <c r="Z274" s="354"/>
      <c r="AA274" s="354"/>
      <c r="AB274" s="354"/>
      <c r="AC274" s="354"/>
      <c r="AD274" s="354"/>
      <c r="AE274" s="354"/>
      <c r="AF274" s="379">
        <f t="shared" si="10"/>
        <v>7</v>
      </c>
      <c r="AG274" s="354"/>
      <c r="AH274" s="354"/>
      <c r="AI274" s="354" t="s">
        <v>2161</v>
      </c>
      <c r="AJ274" s="416"/>
      <c r="AK274" s="244" t="s">
        <v>2836</v>
      </c>
    </row>
    <row r="275" spans="1:37" ht="39.950000000000003" customHeight="1">
      <c r="A275" s="354">
        <v>273</v>
      </c>
      <c r="B275" s="355">
        <v>45253</v>
      </c>
      <c r="C275" s="152" t="s">
        <v>2763</v>
      </c>
      <c r="D275" s="152" t="s">
        <v>2793</v>
      </c>
      <c r="E275" s="357" t="s">
        <v>2794</v>
      </c>
      <c r="F275" s="354">
        <v>2</v>
      </c>
      <c r="G275" s="354"/>
      <c r="H275" s="355"/>
      <c r="I275" s="355"/>
      <c r="J275" s="355"/>
      <c r="K275" s="354" t="str">
        <f>IFERROR(VLOOKUP(J275,Jueces!$A$1:$B$11,2,FALSE),"")</f>
        <v/>
      </c>
      <c r="L275" s="152" t="s">
        <v>598</v>
      </c>
      <c r="M275" s="152"/>
      <c r="N275" s="354"/>
      <c r="O275" s="152" t="str">
        <f t="shared" ca="1" si="9"/>
        <v>LIMBO</v>
      </c>
      <c r="P275" s="152"/>
      <c r="Q275" s="152" t="s">
        <v>709</v>
      </c>
      <c r="R275" s="152"/>
      <c r="S275" s="152"/>
      <c r="T275" s="358"/>
      <c r="U275" s="358"/>
      <c r="V275" s="354"/>
      <c r="W275" s="354"/>
      <c r="X275" s="354"/>
      <c r="Y275" s="354"/>
      <c r="Z275" s="354"/>
      <c r="AA275" s="354"/>
      <c r="AB275" s="354"/>
      <c r="AC275" s="354"/>
      <c r="AD275" s="354"/>
      <c r="AE275" s="354"/>
      <c r="AF275" s="379">
        <f t="shared" si="10"/>
        <v>7</v>
      </c>
      <c r="AG275" s="354"/>
      <c r="AH275" s="354"/>
      <c r="AI275" s="354" t="s">
        <v>2161</v>
      </c>
      <c r="AJ275" s="416"/>
      <c r="AK275" s="244" t="s">
        <v>2836</v>
      </c>
    </row>
    <row r="276" spans="1:37" ht="39.950000000000003" customHeight="1">
      <c r="A276" s="354">
        <v>274</v>
      </c>
      <c r="B276" s="355">
        <v>45253</v>
      </c>
      <c r="C276" s="152" t="s">
        <v>2795</v>
      </c>
      <c r="D276" s="152" t="s">
        <v>2796</v>
      </c>
      <c r="E276" s="357" t="s">
        <v>2797</v>
      </c>
      <c r="F276" s="354">
        <v>2</v>
      </c>
      <c r="G276" s="354"/>
      <c r="H276" s="355"/>
      <c r="I276" s="355"/>
      <c r="J276" s="355"/>
      <c r="K276" s="354" t="str">
        <f>IFERROR(VLOOKUP(J276,Jueces!$A$1:$B$11,2,FALSE),"")</f>
        <v/>
      </c>
      <c r="L276" s="152" t="s">
        <v>598</v>
      </c>
      <c r="M276" s="152"/>
      <c r="N276" s="354"/>
      <c r="O276" s="152" t="str">
        <f t="shared" ca="1" si="9"/>
        <v>LIMBO</v>
      </c>
      <c r="P276" s="152"/>
      <c r="Q276" s="152" t="s">
        <v>709</v>
      </c>
      <c r="R276" s="152"/>
      <c r="S276" s="152"/>
      <c r="T276" s="358"/>
      <c r="U276" s="358"/>
      <c r="V276" s="354"/>
      <c r="W276" s="354"/>
      <c r="X276" s="354"/>
      <c r="Y276" s="354"/>
      <c r="Z276" s="354"/>
      <c r="AA276" s="354"/>
      <c r="AB276" s="354"/>
      <c r="AC276" s="354"/>
      <c r="AD276" s="354"/>
      <c r="AE276" s="354"/>
      <c r="AF276" s="379">
        <f t="shared" si="10"/>
        <v>7</v>
      </c>
      <c r="AG276" s="354"/>
      <c r="AH276" s="354"/>
      <c r="AI276" s="354" t="s">
        <v>2161</v>
      </c>
      <c r="AJ276" s="416"/>
      <c r="AK276" s="244" t="s">
        <v>2836</v>
      </c>
    </row>
    <row r="277" spans="1:37" ht="39.950000000000003" customHeight="1">
      <c r="A277" s="354">
        <v>275</v>
      </c>
      <c r="B277" s="289">
        <v>45253</v>
      </c>
      <c r="C277" s="152" t="s">
        <v>2798</v>
      </c>
      <c r="D277" s="152" t="s">
        <v>2799</v>
      </c>
      <c r="E277" s="357" t="s">
        <v>2800</v>
      </c>
      <c r="F277" s="354">
        <v>2</v>
      </c>
      <c r="G277" s="354"/>
      <c r="H277" s="355"/>
      <c r="I277" s="355"/>
      <c r="J277" s="355"/>
      <c r="K277" s="354" t="str">
        <f>IFERROR(VLOOKUP(J277,Jueces!$A$1:$B$11,2,FALSE),"")</f>
        <v/>
      </c>
      <c r="L277" s="152" t="s">
        <v>576</v>
      </c>
      <c r="M277" s="152" t="s">
        <v>2801</v>
      </c>
      <c r="N277" s="354"/>
      <c r="O277" s="152" t="str">
        <f t="shared" ca="1" si="9"/>
        <v>LIMBO</v>
      </c>
      <c r="P277" s="152"/>
      <c r="Q277" s="152" t="s">
        <v>709</v>
      </c>
      <c r="R277" s="152"/>
      <c r="S277" s="152"/>
      <c r="T277" s="358"/>
      <c r="U277" s="358"/>
      <c r="V277" s="354"/>
      <c r="W277" s="354"/>
      <c r="X277" s="354"/>
      <c r="Y277" s="354"/>
      <c r="Z277" s="354"/>
      <c r="AA277" s="354"/>
      <c r="AB277" s="354"/>
      <c r="AC277" s="354"/>
      <c r="AD277" s="354"/>
      <c r="AE277" s="354"/>
      <c r="AF277" s="379">
        <f t="shared" si="10"/>
        <v>7</v>
      </c>
      <c r="AG277" s="354"/>
      <c r="AH277" s="354"/>
      <c r="AI277" s="354" t="s">
        <v>2161</v>
      </c>
      <c r="AJ277" s="416"/>
      <c r="AK277" s="244" t="s">
        <v>2836</v>
      </c>
    </row>
    <row r="278" spans="1:37" ht="39.950000000000003" customHeight="1">
      <c r="A278" s="321">
        <v>276</v>
      </c>
      <c r="B278" s="319">
        <v>45254</v>
      </c>
      <c r="C278" s="216" t="s">
        <v>2802</v>
      </c>
      <c r="D278" s="216" t="s">
        <v>2803</v>
      </c>
      <c r="E278" s="335" t="s">
        <v>2820</v>
      </c>
      <c r="F278" s="321">
        <v>2</v>
      </c>
      <c r="G278" s="321" t="s">
        <v>32</v>
      </c>
      <c r="H278" s="319"/>
      <c r="I278" s="319"/>
      <c r="J278" s="319"/>
      <c r="K278" s="321" t="str">
        <f>IFERROR(VLOOKUP(J278,Jueces!$A$1:$B$11,2,FALSE),"")</f>
        <v/>
      </c>
      <c r="L278" s="216" t="s">
        <v>594</v>
      </c>
      <c r="M278" s="216" t="s">
        <v>510</v>
      </c>
      <c r="N278" s="321"/>
      <c r="O278" s="216" t="str">
        <f t="shared" ca="1" si="9"/>
        <v>LIMBO</v>
      </c>
      <c r="P278" s="216"/>
      <c r="Q278" s="216" t="s">
        <v>709</v>
      </c>
      <c r="R278" s="216"/>
      <c r="S278" s="216"/>
      <c r="T278" s="317"/>
      <c r="U278" s="317"/>
      <c r="V278" s="321"/>
      <c r="W278" s="321"/>
      <c r="X278" s="321"/>
      <c r="Y278" s="321"/>
      <c r="Z278" s="321"/>
      <c r="AA278" s="321"/>
      <c r="AB278" s="321"/>
      <c r="AC278" s="321"/>
      <c r="AD278" s="321"/>
      <c r="AE278" s="321"/>
      <c r="AF278" s="379">
        <f t="shared" si="10"/>
        <v>7</v>
      </c>
      <c r="AG278" s="321"/>
      <c r="AH278" s="321"/>
      <c r="AI278" s="321" t="s">
        <v>2161</v>
      </c>
      <c r="AJ278" s="415"/>
      <c r="AK278" s="244" t="s">
        <v>2161</v>
      </c>
    </row>
    <row r="279" spans="1:37" ht="39.950000000000003" customHeight="1">
      <c r="A279" s="321">
        <v>277</v>
      </c>
      <c r="B279" s="319">
        <v>45254</v>
      </c>
      <c r="C279" s="216" t="s">
        <v>2804</v>
      </c>
      <c r="D279" s="216" t="s">
        <v>2805</v>
      </c>
      <c r="E279" s="334" t="s">
        <v>2806</v>
      </c>
      <c r="F279" s="321">
        <v>6</v>
      </c>
      <c r="G279" s="321" t="s">
        <v>1841</v>
      </c>
      <c r="H279" s="319"/>
      <c r="I279" s="319"/>
      <c r="J279" s="319"/>
      <c r="K279" s="321" t="str">
        <f>IFERROR(VLOOKUP(J279,Jueces!$A$1:$B$11,2,FALSE),"")</f>
        <v/>
      </c>
      <c r="L279" s="216" t="s">
        <v>506</v>
      </c>
      <c r="M279" s="216" t="s">
        <v>2807</v>
      </c>
      <c r="N279" s="216" t="s">
        <v>2808</v>
      </c>
      <c r="O279" s="216" t="str">
        <f t="shared" ca="1" si="9"/>
        <v>LIMBO</v>
      </c>
      <c r="P279" s="216"/>
      <c r="Q279" s="216" t="s">
        <v>709</v>
      </c>
      <c r="R279" s="216"/>
      <c r="S279" s="216"/>
      <c r="T279" s="317"/>
      <c r="U279" s="317"/>
      <c r="V279" s="321"/>
      <c r="W279" s="321"/>
      <c r="X279" s="321"/>
      <c r="Y279" s="321"/>
      <c r="Z279" s="321"/>
      <c r="AA279" s="321"/>
      <c r="AB279" s="321"/>
      <c r="AC279" s="321"/>
      <c r="AD279" s="321"/>
      <c r="AE279" s="321"/>
      <c r="AF279" s="379">
        <f t="shared" si="10"/>
        <v>7</v>
      </c>
      <c r="AG279" s="321"/>
      <c r="AH279" s="321"/>
      <c r="AI279" s="321" t="s">
        <v>2161</v>
      </c>
      <c r="AJ279" s="415"/>
      <c r="AK279" s="244" t="s">
        <v>2836</v>
      </c>
    </row>
    <row r="280" spans="1:37" ht="39.950000000000003" customHeight="1">
      <c r="A280" s="354">
        <v>278</v>
      </c>
      <c r="B280" s="355">
        <v>45254</v>
      </c>
      <c r="C280" s="356">
        <v>0.47222222222222227</v>
      </c>
      <c r="D280" s="152" t="s">
        <v>2810</v>
      </c>
      <c r="E280" s="357" t="s">
        <v>2811</v>
      </c>
      <c r="F280" s="354">
        <v>3</v>
      </c>
      <c r="G280" s="354"/>
      <c r="H280" s="355"/>
      <c r="I280" s="355"/>
      <c r="J280" s="355"/>
      <c r="K280" s="354" t="str">
        <f>IFERROR(VLOOKUP(J280,Jueces!$A$1:$B$11,2,FALSE),"")</f>
        <v/>
      </c>
      <c r="L280" s="152" t="s">
        <v>575</v>
      </c>
      <c r="M280" s="152"/>
      <c r="N280" s="354"/>
      <c r="O280" s="152" t="str">
        <f t="shared" ca="1" si="9"/>
        <v>LIMBO</v>
      </c>
      <c r="P280" s="152"/>
      <c r="Q280" s="152" t="s">
        <v>709</v>
      </c>
      <c r="R280" s="152"/>
      <c r="S280" s="152"/>
      <c r="T280" s="358"/>
      <c r="U280" s="358"/>
      <c r="V280" s="354"/>
      <c r="W280" s="354"/>
      <c r="X280" s="354"/>
      <c r="Y280" s="354"/>
      <c r="Z280" s="354"/>
      <c r="AA280" s="354"/>
      <c r="AB280" s="354"/>
      <c r="AC280" s="354"/>
      <c r="AD280" s="354"/>
      <c r="AE280" s="354"/>
      <c r="AF280" s="379">
        <f t="shared" si="10"/>
        <v>7</v>
      </c>
      <c r="AG280" s="354"/>
      <c r="AH280" s="354"/>
      <c r="AI280" s="354" t="s">
        <v>2161</v>
      </c>
      <c r="AJ280" s="416"/>
      <c r="AK280" s="244" t="s">
        <v>2836</v>
      </c>
    </row>
    <row r="281" spans="1:37" ht="39.950000000000003" customHeight="1">
      <c r="A281" s="321">
        <v>279</v>
      </c>
      <c r="B281" s="319">
        <v>45254</v>
      </c>
      <c r="C281" s="322">
        <v>0.48125000000000001</v>
      </c>
      <c r="D281" s="216" t="s">
        <v>1086</v>
      </c>
      <c r="E281" s="335" t="s">
        <v>2821</v>
      </c>
      <c r="F281" s="321">
        <v>3</v>
      </c>
      <c r="G281" s="321" t="s">
        <v>1841</v>
      </c>
      <c r="H281" s="319"/>
      <c r="I281" s="319"/>
      <c r="J281" s="319"/>
      <c r="K281" s="321" t="str">
        <f>IFERROR(VLOOKUP(J281,Jueces!$A$1:$B$11,2,FALSE),"")</f>
        <v/>
      </c>
      <c r="L281" s="216" t="s">
        <v>574</v>
      </c>
      <c r="M281" s="216" t="s">
        <v>1765</v>
      </c>
      <c r="N281" s="321"/>
      <c r="O281" s="216" t="str">
        <f t="shared" ca="1" si="9"/>
        <v>LIMBO</v>
      </c>
      <c r="P281" s="216"/>
      <c r="Q281" s="216" t="s">
        <v>709</v>
      </c>
      <c r="R281" s="216"/>
      <c r="S281" s="216"/>
      <c r="T281" s="317"/>
      <c r="U281" s="317"/>
      <c r="V281" s="321"/>
      <c r="W281" s="321"/>
      <c r="X281" s="321"/>
      <c r="Y281" s="321"/>
      <c r="Z281" s="321"/>
      <c r="AA281" s="321"/>
      <c r="AB281" s="321"/>
      <c r="AC281" s="321"/>
      <c r="AD281" s="321"/>
      <c r="AE281" s="321"/>
      <c r="AF281" s="379">
        <f t="shared" si="10"/>
        <v>7</v>
      </c>
      <c r="AG281" s="321"/>
      <c r="AH281" s="321"/>
      <c r="AI281" s="321" t="s">
        <v>2161</v>
      </c>
      <c r="AJ281" s="415"/>
      <c r="AK281" s="244" t="s">
        <v>2161</v>
      </c>
    </row>
    <row r="282" spans="1:37" ht="39.950000000000003" customHeight="1">
      <c r="A282" s="354">
        <v>280</v>
      </c>
      <c r="B282" s="355">
        <v>45254</v>
      </c>
      <c r="C282" s="356">
        <v>0.4777777777777778</v>
      </c>
      <c r="D282" s="152" t="s">
        <v>2812</v>
      </c>
      <c r="E282" s="357" t="s">
        <v>2813</v>
      </c>
      <c r="F282" s="354">
        <v>1</v>
      </c>
      <c r="G282" s="354"/>
      <c r="H282" s="355"/>
      <c r="I282" s="355"/>
      <c r="J282" s="355"/>
      <c r="K282" s="354" t="str">
        <f>IFERROR(VLOOKUP(J282,Jueces!$A$1:$B$11,2,FALSE),"")</f>
        <v/>
      </c>
      <c r="L282" s="152" t="s">
        <v>576</v>
      </c>
      <c r="M282" s="152"/>
      <c r="N282" s="354"/>
      <c r="O282" s="152" t="str">
        <f t="shared" ca="1" si="9"/>
        <v>LIMBO</v>
      </c>
      <c r="P282" s="152"/>
      <c r="Q282" s="152" t="s">
        <v>709</v>
      </c>
      <c r="R282" s="152"/>
      <c r="S282" s="152"/>
      <c r="T282" s="358"/>
      <c r="U282" s="358"/>
      <c r="V282" s="354"/>
      <c r="W282" s="354"/>
      <c r="X282" s="354"/>
      <c r="Y282" s="354"/>
      <c r="Z282" s="354"/>
      <c r="AA282" s="354"/>
      <c r="AB282" s="354"/>
      <c r="AC282" s="354"/>
      <c r="AD282" s="354"/>
      <c r="AE282" s="354"/>
      <c r="AF282" s="379">
        <f t="shared" si="10"/>
        <v>7</v>
      </c>
      <c r="AG282" s="354"/>
      <c r="AH282" s="354"/>
      <c r="AI282" s="354" t="s">
        <v>2161</v>
      </c>
      <c r="AJ282" s="416"/>
      <c r="AK282" s="244" t="s">
        <v>2836</v>
      </c>
    </row>
    <row r="283" spans="1:37" ht="39.950000000000003" customHeight="1">
      <c r="A283" s="321">
        <v>281</v>
      </c>
      <c r="B283" s="319">
        <v>45257</v>
      </c>
      <c r="C283" s="322">
        <v>0.5</v>
      </c>
      <c r="D283" s="216" t="s">
        <v>1014</v>
      </c>
      <c r="E283" s="335" t="s">
        <v>2815</v>
      </c>
      <c r="F283" s="321">
        <v>3</v>
      </c>
      <c r="G283" s="321" t="s">
        <v>21</v>
      </c>
      <c r="H283" s="319"/>
      <c r="I283" s="319"/>
      <c r="J283" s="319"/>
      <c r="K283" s="321" t="str">
        <f>IFERROR(VLOOKUP(J283,Jueces!$A$1:$B$11,2,FALSE),"")</f>
        <v/>
      </c>
      <c r="L283" s="216" t="s">
        <v>586</v>
      </c>
      <c r="M283" s="216" t="s">
        <v>976</v>
      </c>
      <c r="N283" s="321"/>
      <c r="O283" s="216" t="str">
        <f t="shared" ca="1" si="9"/>
        <v>LIMBO</v>
      </c>
      <c r="P283" s="216"/>
      <c r="Q283" s="216" t="s">
        <v>709</v>
      </c>
      <c r="R283" s="216"/>
      <c r="S283" s="216"/>
      <c r="T283" s="317"/>
      <c r="U283" s="317"/>
      <c r="V283" s="321"/>
      <c r="W283" s="321"/>
      <c r="X283" s="321"/>
      <c r="Y283" s="321"/>
      <c r="Z283" s="321"/>
      <c r="AA283" s="321"/>
      <c r="AB283" s="321"/>
      <c r="AC283" s="321"/>
      <c r="AD283" s="321"/>
      <c r="AE283" s="321"/>
      <c r="AF283" s="321"/>
      <c r="AG283" s="321"/>
      <c r="AH283" s="321"/>
      <c r="AI283" s="321" t="s">
        <v>2161</v>
      </c>
      <c r="AJ283" s="415"/>
      <c r="AK283" s="244" t="s">
        <v>2161</v>
      </c>
    </row>
    <row r="284" spans="1:37" ht="39.950000000000003" customHeight="1">
      <c r="A284" s="321">
        <v>282</v>
      </c>
      <c r="B284" s="319">
        <v>45254</v>
      </c>
      <c r="C284" s="216" t="s">
        <v>864</v>
      </c>
      <c r="D284" s="216" t="s">
        <v>1475</v>
      </c>
      <c r="E284" s="335" t="s">
        <v>2819</v>
      </c>
      <c r="F284" s="321">
        <v>6</v>
      </c>
      <c r="G284" s="321" t="s">
        <v>1839</v>
      </c>
      <c r="H284" s="319"/>
      <c r="I284" s="319"/>
      <c r="J284" s="319"/>
      <c r="K284" s="321" t="str">
        <f>IFERROR(VLOOKUP(J284,Jueces!$A$1:$B$11,2,FALSE),"")</f>
        <v/>
      </c>
      <c r="L284" s="216" t="s">
        <v>781</v>
      </c>
      <c r="M284" s="216" t="s">
        <v>2817</v>
      </c>
      <c r="N284" s="216" t="s">
        <v>2818</v>
      </c>
      <c r="O284" s="216" t="str">
        <f t="shared" ca="1" si="9"/>
        <v>LIMBO</v>
      </c>
      <c r="P284" s="216"/>
      <c r="Q284" s="216" t="s">
        <v>709</v>
      </c>
      <c r="R284" s="216"/>
      <c r="S284" s="216"/>
      <c r="T284" s="317"/>
      <c r="U284" s="317"/>
      <c r="V284" s="321"/>
      <c r="W284" s="321"/>
      <c r="X284" s="321"/>
      <c r="Y284" s="321"/>
      <c r="Z284" s="321"/>
      <c r="AA284" s="321"/>
      <c r="AB284" s="321"/>
      <c r="AC284" s="321"/>
      <c r="AD284" s="321"/>
      <c r="AE284" s="321"/>
      <c r="AF284" s="321"/>
      <c r="AG284" s="321"/>
      <c r="AH284" s="321"/>
      <c r="AI284" s="321" t="s">
        <v>2161</v>
      </c>
      <c r="AJ284" s="415"/>
      <c r="AK284" s="244" t="s">
        <v>2161</v>
      </c>
    </row>
    <row r="285" spans="1:37" ht="39.950000000000003" customHeight="1">
      <c r="A285" s="321">
        <v>283</v>
      </c>
      <c r="B285" s="319">
        <v>45253</v>
      </c>
      <c r="C285" s="216" t="s">
        <v>864</v>
      </c>
      <c r="D285" s="216" t="s">
        <v>2830</v>
      </c>
      <c r="E285" s="335" t="s">
        <v>2831</v>
      </c>
      <c r="F285" s="321">
        <v>1</v>
      </c>
      <c r="G285" s="321" t="s">
        <v>21</v>
      </c>
      <c r="H285" s="319"/>
      <c r="I285" s="319"/>
      <c r="J285" s="319"/>
      <c r="K285" s="321" t="str">
        <f>IFERROR(VLOOKUP(J285,Jueces!$A$1:$B$11,2,FALSE),"")</f>
        <v/>
      </c>
      <c r="L285" s="216" t="s">
        <v>585</v>
      </c>
      <c r="M285" s="216" t="s">
        <v>529</v>
      </c>
      <c r="N285" s="321"/>
      <c r="O285" s="216" t="str">
        <f t="shared" ca="1" si="9"/>
        <v>LIMBO</v>
      </c>
      <c r="P285" s="216"/>
      <c r="Q285" s="216" t="s">
        <v>709</v>
      </c>
      <c r="R285" s="216"/>
      <c r="S285" s="216"/>
      <c r="T285" s="317"/>
      <c r="U285" s="317"/>
      <c r="V285" s="321"/>
      <c r="W285" s="321"/>
      <c r="X285" s="321"/>
      <c r="Y285" s="321"/>
      <c r="Z285" s="321"/>
      <c r="AA285" s="321"/>
      <c r="AB285" s="321"/>
      <c r="AC285" s="321"/>
      <c r="AD285" s="321"/>
      <c r="AE285" s="321"/>
      <c r="AF285" s="321"/>
      <c r="AG285" s="321"/>
      <c r="AH285" s="321"/>
      <c r="AI285" s="321" t="s">
        <v>2161</v>
      </c>
      <c r="AJ285" s="415"/>
      <c r="AK285" s="244" t="s">
        <v>2161</v>
      </c>
    </row>
    <row r="286" spans="1:37" ht="39.950000000000003" customHeight="1">
      <c r="A286" s="321">
        <v>284</v>
      </c>
      <c r="B286" s="319">
        <v>45253</v>
      </c>
      <c r="C286" s="216" t="s">
        <v>2680</v>
      </c>
      <c r="D286" s="216" t="s">
        <v>2832</v>
      </c>
      <c r="E286" s="335" t="s">
        <v>2835</v>
      </c>
      <c r="F286" s="321">
        <v>4</v>
      </c>
      <c r="G286" s="321" t="s">
        <v>1839</v>
      </c>
      <c r="H286" s="319"/>
      <c r="I286" s="319"/>
      <c r="J286" s="319"/>
      <c r="K286" s="321" t="str">
        <f>IFERROR(VLOOKUP(J286,Jueces!$A$1:$B$11,2,FALSE),"")</f>
        <v/>
      </c>
      <c r="L286" s="216" t="s">
        <v>596</v>
      </c>
      <c r="M286" s="216" t="s">
        <v>2834</v>
      </c>
      <c r="N286" s="216" t="s">
        <v>2833</v>
      </c>
      <c r="O286" s="216" t="str">
        <f t="shared" ca="1" si="9"/>
        <v>LIMBO</v>
      </c>
      <c r="P286" s="216"/>
      <c r="Q286" s="216" t="s">
        <v>709</v>
      </c>
      <c r="R286" s="216"/>
      <c r="S286" s="216"/>
      <c r="T286" s="317"/>
      <c r="U286" s="317"/>
      <c r="V286" s="321"/>
      <c r="W286" s="321"/>
      <c r="X286" s="321"/>
      <c r="Y286" s="321"/>
      <c r="Z286" s="321"/>
      <c r="AA286" s="321"/>
      <c r="AB286" s="321"/>
      <c r="AC286" s="321"/>
      <c r="AD286" s="321"/>
      <c r="AE286" s="321"/>
      <c r="AF286" s="321"/>
      <c r="AG286" s="321"/>
      <c r="AH286" s="321"/>
      <c r="AI286" s="321" t="s">
        <v>2161</v>
      </c>
      <c r="AJ286" s="415"/>
      <c r="AK286" s="418" t="s">
        <v>2161</v>
      </c>
    </row>
    <row r="287" spans="1:37" ht="39.950000000000003" customHeight="1">
      <c r="A287" s="73">
        <v>285</v>
      </c>
      <c r="B287" s="189"/>
      <c r="C287" s="73"/>
      <c r="D287" s="65" t="s">
        <v>2837</v>
      </c>
      <c r="E287" s="245"/>
      <c r="F287" s="73">
        <v>6</v>
      </c>
      <c r="G287" s="73" t="s">
        <v>32</v>
      </c>
      <c r="H287" s="189"/>
      <c r="I287" s="189"/>
      <c r="J287" s="189"/>
      <c r="K287" s="73" t="str">
        <f>IFERROR(VLOOKUP(J287,Jueces!$A$1:$B$11,2,FALSE),"")</f>
        <v/>
      </c>
      <c r="L287" s="65"/>
      <c r="M287" s="65"/>
      <c r="N287" s="73"/>
      <c r="O287" s="65" t="str">
        <f t="shared" ca="1" si="9"/>
        <v>LIMBO</v>
      </c>
      <c r="P287" s="65"/>
      <c r="Q287" s="65" t="s">
        <v>709</v>
      </c>
      <c r="R287" s="65"/>
      <c r="S287" s="65"/>
      <c r="T287" s="431"/>
      <c r="U287" s="431"/>
      <c r="V287" s="73"/>
      <c r="W287" s="73"/>
      <c r="X287" s="73"/>
      <c r="Y287" s="73"/>
      <c r="Z287" s="73"/>
      <c r="AA287" s="73"/>
      <c r="AB287" s="73"/>
      <c r="AC287" s="73"/>
      <c r="AD287" s="73"/>
      <c r="AE287" s="73"/>
      <c r="AF287" s="73"/>
      <c r="AG287" s="73"/>
      <c r="AH287" s="73"/>
      <c r="AI287" s="73" t="s">
        <v>2251</v>
      </c>
      <c r="AJ287" s="73"/>
      <c r="AK287" s="430" t="s">
        <v>2836</v>
      </c>
    </row>
  </sheetData>
  <autoFilter ref="A2:AK2"/>
  <sortState ref="A3:AJ286">
    <sortCondition ref="H3:H286"/>
    <sortCondition ref="I3:I286"/>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1491">
    <cfRule type="expression" dxfId="654" priority="267">
      <formula>MAX($AC3,$AD3)&lt;1</formula>
    </cfRule>
  </conditionalFormatting>
  <conditionalFormatting sqref="AF14:AF17">
    <cfRule type="expression" dxfId="653" priority="265">
      <formula>MAX($AC14,$AD14)&lt;1</formula>
    </cfRule>
  </conditionalFormatting>
  <conditionalFormatting sqref="AF4">
    <cfRule type="expression" dxfId="652" priority="263">
      <formula>MAX($AC4,$AD4)&lt;1</formula>
    </cfRule>
  </conditionalFormatting>
  <conditionalFormatting sqref="AF5">
    <cfRule type="expression" dxfId="651" priority="262">
      <formula>MAX($AC5,$AD5)&lt;1</formula>
    </cfRule>
  </conditionalFormatting>
  <conditionalFormatting sqref="AF4">
    <cfRule type="expression" dxfId="650" priority="261">
      <formula>MAX($AC4,$AD4)&lt;1</formula>
    </cfRule>
  </conditionalFormatting>
  <conditionalFormatting sqref="D3:D47">
    <cfRule type="duplicateValues" dxfId="649" priority="259"/>
    <cfRule type="duplicateValues" dxfId="648" priority="260"/>
  </conditionalFormatting>
  <conditionalFormatting sqref="D39:D47">
    <cfRule type="duplicateValues" dxfId="647" priority="271"/>
  </conditionalFormatting>
  <conditionalFormatting sqref="D3:D7">
    <cfRule type="duplicateValues" dxfId="646" priority="257"/>
  </conditionalFormatting>
  <conditionalFormatting sqref="D3:D47">
    <cfRule type="duplicateValues" dxfId="645" priority="276"/>
  </conditionalFormatting>
  <conditionalFormatting sqref="D3:D47">
    <cfRule type="duplicateValues" dxfId="644" priority="251"/>
    <cfRule type="duplicateValues" dxfId="643" priority="252"/>
  </conditionalFormatting>
  <conditionalFormatting sqref="D3:D48">
    <cfRule type="duplicateValues" dxfId="642" priority="250"/>
  </conditionalFormatting>
  <conditionalFormatting sqref="D3:D49">
    <cfRule type="duplicateValues" dxfId="641" priority="248"/>
  </conditionalFormatting>
  <conditionalFormatting sqref="D3:D50">
    <cfRule type="duplicateValues" dxfId="640" priority="247"/>
  </conditionalFormatting>
  <conditionalFormatting sqref="D3:D51">
    <cfRule type="duplicateValues" dxfId="639" priority="246"/>
  </conditionalFormatting>
  <conditionalFormatting sqref="D3:D52">
    <cfRule type="duplicateValues" dxfId="638" priority="245"/>
  </conditionalFormatting>
  <conditionalFormatting sqref="D3:D53">
    <cfRule type="duplicateValues" dxfId="637" priority="244"/>
  </conditionalFormatting>
  <conditionalFormatting sqref="D3:D54">
    <cfRule type="duplicateValues" dxfId="636" priority="243"/>
  </conditionalFormatting>
  <conditionalFormatting sqref="D3:D55">
    <cfRule type="duplicateValues" dxfId="635" priority="242"/>
  </conditionalFormatting>
  <conditionalFormatting sqref="D3:D56">
    <cfRule type="duplicateValues" dxfId="634" priority="241"/>
  </conditionalFormatting>
  <conditionalFormatting sqref="D3:D57">
    <cfRule type="duplicateValues" dxfId="633" priority="240"/>
  </conditionalFormatting>
  <conditionalFormatting sqref="D3:D58">
    <cfRule type="duplicateValues" dxfId="632" priority="239"/>
  </conditionalFormatting>
  <conditionalFormatting sqref="D3:D59">
    <cfRule type="duplicateValues" dxfId="631" priority="238"/>
  </conditionalFormatting>
  <conditionalFormatting sqref="D3:D60">
    <cfRule type="duplicateValues" dxfId="630" priority="237"/>
  </conditionalFormatting>
  <conditionalFormatting sqref="D3:D61">
    <cfRule type="duplicateValues" dxfId="629" priority="236"/>
  </conditionalFormatting>
  <conditionalFormatting sqref="D3:D62">
    <cfRule type="duplicateValues" dxfId="628" priority="235"/>
  </conditionalFormatting>
  <conditionalFormatting sqref="D3:D63">
    <cfRule type="duplicateValues" dxfId="627" priority="234"/>
  </conditionalFormatting>
  <conditionalFormatting sqref="D3:D64">
    <cfRule type="duplicateValues" dxfId="626" priority="233"/>
  </conditionalFormatting>
  <conditionalFormatting sqref="D3:D65">
    <cfRule type="duplicateValues" dxfId="625" priority="232"/>
  </conditionalFormatting>
  <conditionalFormatting sqref="D3:D66">
    <cfRule type="duplicateValues" dxfId="624" priority="231"/>
  </conditionalFormatting>
  <conditionalFormatting sqref="D3:D67">
    <cfRule type="duplicateValues" dxfId="623" priority="230"/>
  </conditionalFormatting>
  <conditionalFormatting sqref="D3:D68">
    <cfRule type="duplicateValues" dxfId="622" priority="229"/>
  </conditionalFormatting>
  <conditionalFormatting sqref="D3:D69">
    <cfRule type="duplicateValues" dxfId="621" priority="228"/>
  </conditionalFormatting>
  <conditionalFormatting sqref="D3:D70">
    <cfRule type="duplicateValues" dxfId="620" priority="227"/>
  </conditionalFormatting>
  <conditionalFormatting sqref="D3:D71">
    <cfRule type="duplicateValues" dxfId="619" priority="226"/>
  </conditionalFormatting>
  <conditionalFormatting sqref="D3:D72">
    <cfRule type="duplicateValues" dxfId="618" priority="225"/>
  </conditionalFormatting>
  <conditionalFormatting sqref="D3:D73">
    <cfRule type="duplicateValues" dxfId="617" priority="224"/>
  </conditionalFormatting>
  <conditionalFormatting sqref="D3:D74">
    <cfRule type="duplicateValues" dxfId="616" priority="223"/>
  </conditionalFormatting>
  <conditionalFormatting sqref="D3:D75">
    <cfRule type="duplicateValues" dxfId="615" priority="222"/>
  </conditionalFormatting>
  <conditionalFormatting sqref="D3:D76">
    <cfRule type="duplicateValues" dxfId="614" priority="221"/>
  </conditionalFormatting>
  <conditionalFormatting sqref="D3:D77">
    <cfRule type="duplicateValues" dxfId="613" priority="220"/>
  </conditionalFormatting>
  <conditionalFormatting sqref="D3:D78">
    <cfRule type="duplicateValues" dxfId="612" priority="219"/>
  </conditionalFormatting>
  <conditionalFormatting sqref="D3:D79">
    <cfRule type="duplicateValues" dxfId="611" priority="218"/>
  </conditionalFormatting>
  <conditionalFormatting sqref="D3:D80">
    <cfRule type="duplicateValues" dxfId="610" priority="217"/>
  </conditionalFormatting>
  <conditionalFormatting sqref="D3:D81">
    <cfRule type="duplicateValues" dxfId="609" priority="216"/>
  </conditionalFormatting>
  <conditionalFormatting sqref="D3:D82">
    <cfRule type="duplicateValues" dxfId="608" priority="214"/>
  </conditionalFormatting>
  <conditionalFormatting sqref="D3:D83">
    <cfRule type="duplicateValues" dxfId="607" priority="213"/>
  </conditionalFormatting>
  <conditionalFormatting sqref="D3:D84">
    <cfRule type="duplicateValues" dxfId="606" priority="212"/>
  </conditionalFormatting>
  <conditionalFormatting sqref="D3:D85">
    <cfRule type="duplicateValues" dxfId="605" priority="211"/>
  </conditionalFormatting>
  <conditionalFormatting sqref="D3:D86">
    <cfRule type="duplicateValues" dxfId="604" priority="210"/>
  </conditionalFormatting>
  <conditionalFormatting sqref="D3:D87">
    <cfRule type="duplicateValues" dxfId="603" priority="209"/>
  </conditionalFormatting>
  <conditionalFormatting sqref="D3:D88">
    <cfRule type="duplicateValues" dxfId="602" priority="208"/>
  </conditionalFormatting>
  <conditionalFormatting sqref="D3:D89">
    <cfRule type="duplicateValues" dxfId="601" priority="207"/>
  </conditionalFormatting>
  <conditionalFormatting sqref="D3:D90">
    <cfRule type="duplicateValues" dxfId="600" priority="206"/>
  </conditionalFormatting>
  <conditionalFormatting sqref="D3:D91">
    <cfRule type="duplicateValues" dxfId="599" priority="205"/>
  </conditionalFormatting>
  <conditionalFormatting sqref="D3:D92">
    <cfRule type="duplicateValues" dxfId="598" priority="204"/>
  </conditionalFormatting>
  <conditionalFormatting sqref="D3:D93">
    <cfRule type="duplicateValues" dxfId="597" priority="203"/>
  </conditionalFormatting>
  <conditionalFormatting sqref="D3:D94">
    <cfRule type="duplicateValues" dxfId="596" priority="202"/>
  </conditionalFormatting>
  <conditionalFormatting sqref="D3:D95">
    <cfRule type="duplicateValues" dxfId="595" priority="201"/>
  </conditionalFormatting>
  <conditionalFormatting sqref="D3:D96">
    <cfRule type="duplicateValues" dxfId="594" priority="200"/>
  </conditionalFormatting>
  <conditionalFormatting sqref="D3:D97">
    <cfRule type="duplicateValues" dxfId="593" priority="199"/>
  </conditionalFormatting>
  <conditionalFormatting sqref="D3:D98">
    <cfRule type="duplicateValues" dxfId="592" priority="198"/>
  </conditionalFormatting>
  <conditionalFormatting sqref="D3:D99">
    <cfRule type="duplicateValues" dxfId="591" priority="197"/>
  </conditionalFormatting>
  <conditionalFormatting sqref="D3:D100">
    <cfRule type="duplicateValues" dxfId="590" priority="196"/>
  </conditionalFormatting>
  <conditionalFormatting sqref="D3:D101">
    <cfRule type="duplicateValues" dxfId="589" priority="195"/>
  </conditionalFormatting>
  <conditionalFormatting sqref="D3:D102">
    <cfRule type="duplicateValues" dxfId="588" priority="194"/>
  </conditionalFormatting>
  <conditionalFormatting sqref="D3:D103">
    <cfRule type="duplicateValues" dxfId="587" priority="193"/>
  </conditionalFormatting>
  <conditionalFormatting sqref="D3:D104">
    <cfRule type="duplicateValues" dxfId="586" priority="192"/>
  </conditionalFormatting>
  <conditionalFormatting sqref="D3:D105">
    <cfRule type="duplicateValues" dxfId="585" priority="191"/>
  </conditionalFormatting>
  <conditionalFormatting sqref="D3:D106">
    <cfRule type="duplicateValues" dxfId="584" priority="190"/>
  </conditionalFormatting>
  <conditionalFormatting sqref="D3:D107">
    <cfRule type="duplicateValues" dxfId="583" priority="189"/>
  </conditionalFormatting>
  <conditionalFormatting sqref="D3:D108">
    <cfRule type="duplicateValues" dxfId="582" priority="188"/>
  </conditionalFormatting>
  <conditionalFormatting sqref="D3:D109">
    <cfRule type="duplicateValues" dxfId="581" priority="187"/>
  </conditionalFormatting>
  <conditionalFormatting sqref="D3:D110">
    <cfRule type="duplicateValues" dxfId="580" priority="186"/>
  </conditionalFormatting>
  <conditionalFormatting sqref="D3:D111">
    <cfRule type="duplicateValues" dxfId="579" priority="185"/>
  </conditionalFormatting>
  <conditionalFormatting sqref="D3:D112">
    <cfRule type="duplicateValues" dxfId="578" priority="184"/>
  </conditionalFormatting>
  <conditionalFormatting sqref="D3:D113">
    <cfRule type="duplicateValues" dxfId="577" priority="183"/>
  </conditionalFormatting>
  <conditionalFormatting sqref="D3:D114">
    <cfRule type="duplicateValues" dxfId="576" priority="182"/>
  </conditionalFormatting>
  <conditionalFormatting sqref="D3:D115">
    <cfRule type="duplicateValues" dxfId="575" priority="181"/>
  </conditionalFormatting>
  <conditionalFormatting sqref="D3:D116">
    <cfRule type="duplicateValues" dxfId="574" priority="180"/>
  </conditionalFormatting>
  <conditionalFormatting sqref="D3:D117">
    <cfRule type="duplicateValues" dxfId="573" priority="179"/>
  </conditionalFormatting>
  <conditionalFormatting sqref="D3:D118">
    <cfRule type="duplicateValues" dxfId="572" priority="178"/>
  </conditionalFormatting>
  <conditionalFormatting sqref="D3:D119">
    <cfRule type="duplicateValues" dxfId="571" priority="177"/>
  </conditionalFormatting>
  <conditionalFormatting sqref="D3:D120">
    <cfRule type="duplicateValues" dxfId="570" priority="176"/>
  </conditionalFormatting>
  <conditionalFormatting sqref="D3:D121">
    <cfRule type="duplicateValues" dxfId="569" priority="175"/>
  </conditionalFormatting>
  <conditionalFormatting sqref="D3:D122">
    <cfRule type="duplicateValues" dxfId="568" priority="174"/>
  </conditionalFormatting>
  <conditionalFormatting sqref="D3:D123">
    <cfRule type="duplicateValues" dxfId="567" priority="173"/>
  </conditionalFormatting>
  <conditionalFormatting sqref="D3:D124">
    <cfRule type="duplicateValues" dxfId="566" priority="172"/>
  </conditionalFormatting>
  <conditionalFormatting sqref="D3:D125">
    <cfRule type="duplicateValues" dxfId="565" priority="171"/>
  </conditionalFormatting>
  <conditionalFormatting sqref="D3:D126">
    <cfRule type="duplicateValues" dxfId="564" priority="170"/>
  </conditionalFormatting>
  <conditionalFormatting sqref="D3:D127">
    <cfRule type="duplicateValues" dxfId="563" priority="169"/>
  </conditionalFormatting>
  <conditionalFormatting sqref="D3:D128">
    <cfRule type="duplicateValues" dxfId="562" priority="168"/>
  </conditionalFormatting>
  <conditionalFormatting sqref="D3:D129">
    <cfRule type="duplicateValues" dxfId="561" priority="167"/>
  </conditionalFormatting>
  <conditionalFormatting sqref="D3:D130">
    <cfRule type="duplicateValues" dxfId="560" priority="166"/>
  </conditionalFormatting>
  <conditionalFormatting sqref="D3:D131">
    <cfRule type="duplicateValues" dxfId="559" priority="165"/>
  </conditionalFormatting>
  <conditionalFormatting sqref="D3:D132">
    <cfRule type="duplicateValues" dxfId="558" priority="164"/>
  </conditionalFormatting>
  <conditionalFormatting sqref="D3:D133">
    <cfRule type="duplicateValues" dxfId="557" priority="163"/>
  </conditionalFormatting>
  <conditionalFormatting sqref="D3:D134">
    <cfRule type="duplicateValues" dxfId="556" priority="162"/>
  </conditionalFormatting>
  <conditionalFormatting sqref="D3:D135">
    <cfRule type="duplicateValues" dxfId="555" priority="161"/>
  </conditionalFormatting>
  <conditionalFormatting sqref="D3:D136">
    <cfRule type="duplicateValues" dxfId="554" priority="160"/>
  </conditionalFormatting>
  <conditionalFormatting sqref="D3:D137">
    <cfRule type="duplicateValues" dxfId="553" priority="159"/>
  </conditionalFormatting>
  <conditionalFormatting sqref="D3:D138">
    <cfRule type="duplicateValues" dxfId="552" priority="158"/>
  </conditionalFormatting>
  <conditionalFormatting sqref="D3:D139">
    <cfRule type="duplicateValues" dxfId="551" priority="157"/>
  </conditionalFormatting>
  <conditionalFormatting sqref="D3:D140">
    <cfRule type="duplicateValues" dxfId="550" priority="156"/>
  </conditionalFormatting>
  <conditionalFormatting sqref="D3:D141">
    <cfRule type="duplicateValues" dxfId="549" priority="155"/>
  </conditionalFormatting>
  <conditionalFormatting sqref="D3:D142">
    <cfRule type="duplicateValues" dxfId="548" priority="154"/>
  </conditionalFormatting>
  <conditionalFormatting sqref="D3:D143">
    <cfRule type="duplicateValues" dxfId="547" priority="153"/>
  </conditionalFormatting>
  <conditionalFormatting sqref="D3:D144">
    <cfRule type="duplicateValues" dxfId="546" priority="152"/>
  </conditionalFormatting>
  <conditionalFormatting sqref="D3:D145">
    <cfRule type="duplicateValues" dxfId="545" priority="151"/>
  </conditionalFormatting>
  <conditionalFormatting sqref="D3:D146">
    <cfRule type="duplicateValues" dxfId="544" priority="150"/>
  </conditionalFormatting>
  <conditionalFormatting sqref="D3:D147">
    <cfRule type="duplicateValues" dxfId="543" priority="149"/>
  </conditionalFormatting>
  <conditionalFormatting sqref="D3:D148">
    <cfRule type="duplicateValues" dxfId="542" priority="148"/>
  </conditionalFormatting>
  <conditionalFormatting sqref="D3:D149">
    <cfRule type="duplicateValues" dxfId="541" priority="147"/>
  </conditionalFormatting>
  <conditionalFormatting sqref="D3:D150">
    <cfRule type="duplicateValues" dxfId="540" priority="146"/>
  </conditionalFormatting>
  <conditionalFormatting sqref="D3:D151">
    <cfRule type="duplicateValues" dxfId="539" priority="144"/>
  </conditionalFormatting>
  <conditionalFormatting sqref="D3:D152">
    <cfRule type="duplicateValues" dxfId="538" priority="143"/>
  </conditionalFormatting>
  <conditionalFormatting sqref="D3:D153">
    <cfRule type="duplicateValues" dxfId="537" priority="142"/>
  </conditionalFormatting>
  <conditionalFormatting sqref="D3:D154">
    <cfRule type="duplicateValues" dxfId="536" priority="141"/>
  </conditionalFormatting>
  <conditionalFormatting sqref="D3:D155">
    <cfRule type="duplicateValues" dxfId="535" priority="140"/>
  </conditionalFormatting>
  <conditionalFormatting sqref="D3:D156">
    <cfRule type="duplicateValues" dxfId="534" priority="139"/>
  </conditionalFormatting>
  <conditionalFormatting sqref="D3:D157">
    <cfRule type="duplicateValues" dxfId="533" priority="138"/>
  </conditionalFormatting>
  <conditionalFormatting sqref="D3:D158">
    <cfRule type="duplicateValues" dxfId="532" priority="137"/>
  </conditionalFormatting>
  <conditionalFormatting sqref="D3:D159">
    <cfRule type="duplicateValues" dxfId="531" priority="136"/>
  </conditionalFormatting>
  <conditionalFormatting sqref="D3:D160">
    <cfRule type="duplicateValues" dxfId="530" priority="135"/>
  </conditionalFormatting>
  <conditionalFormatting sqref="D3:D161">
    <cfRule type="duplicateValues" dxfId="529" priority="134"/>
  </conditionalFormatting>
  <conditionalFormatting sqref="D3:D162">
    <cfRule type="duplicateValues" dxfId="528" priority="133"/>
  </conditionalFormatting>
  <conditionalFormatting sqref="D3:D163">
    <cfRule type="duplicateValues" dxfId="527" priority="132"/>
  </conditionalFormatting>
  <conditionalFormatting sqref="D3:D164">
    <cfRule type="duplicateValues" dxfId="526" priority="131"/>
  </conditionalFormatting>
  <conditionalFormatting sqref="D3:D165">
    <cfRule type="duplicateValues" dxfId="525" priority="130"/>
  </conditionalFormatting>
  <conditionalFormatting sqref="D3:D166">
    <cfRule type="duplicateValues" dxfId="524" priority="129"/>
  </conditionalFormatting>
  <conditionalFormatting sqref="D3:D167">
    <cfRule type="duplicateValues" dxfId="523" priority="128"/>
  </conditionalFormatting>
  <conditionalFormatting sqref="D3:D168">
    <cfRule type="duplicateValues" dxfId="522" priority="127"/>
  </conditionalFormatting>
  <conditionalFormatting sqref="D3:D169">
    <cfRule type="duplicateValues" dxfId="521" priority="126"/>
  </conditionalFormatting>
  <conditionalFormatting sqref="D3:D170">
    <cfRule type="duplicateValues" dxfId="520" priority="125"/>
  </conditionalFormatting>
  <conditionalFormatting sqref="D3:D171">
    <cfRule type="duplicateValues" dxfId="519" priority="124"/>
  </conditionalFormatting>
  <conditionalFormatting sqref="D3:D172">
    <cfRule type="duplicateValues" dxfId="518" priority="123"/>
  </conditionalFormatting>
  <conditionalFormatting sqref="D3:D173">
    <cfRule type="duplicateValues" dxfId="517" priority="122"/>
  </conditionalFormatting>
  <conditionalFormatting sqref="D3:D174">
    <cfRule type="duplicateValues" dxfId="516" priority="121"/>
  </conditionalFormatting>
  <conditionalFormatting sqref="D3:D175">
    <cfRule type="duplicateValues" dxfId="515" priority="120"/>
  </conditionalFormatting>
  <conditionalFormatting sqref="D3:D176">
    <cfRule type="duplicateValues" dxfId="514" priority="119"/>
  </conditionalFormatting>
  <conditionalFormatting sqref="D3:D177">
    <cfRule type="duplicateValues" dxfId="513" priority="118"/>
  </conditionalFormatting>
  <conditionalFormatting sqref="D3:D178">
    <cfRule type="duplicateValues" dxfId="512" priority="117"/>
  </conditionalFormatting>
  <conditionalFormatting sqref="D3:D179">
    <cfRule type="duplicateValues" dxfId="511" priority="116"/>
  </conditionalFormatting>
  <conditionalFormatting sqref="D3:D180">
    <cfRule type="duplicateValues" dxfId="510" priority="115"/>
  </conditionalFormatting>
  <conditionalFormatting sqref="D3:D181">
    <cfRule type="duplicateValues" dxfId="509" priority="114"/>
  </conditionalFormatting>
  <conditionalFormatting sqref="D3:D182">
    <cfRule type="duplicateValues" dxfId="508" priority="113"/>
  </conditionalFormatting>
  <conditionalFormatting sqref="D3:D183">
    <cfRule type="duplicateValues" dxfId="507" priority="112"/>
  </conditionalFormatting>
  <conditionalFormatting sqref="D3:D184">
    <cfRule type="duplicateValues" dxfId="506" priority="111"/>
  </conditionalFormatting>
  <conditionalFormatting sqref="D3:D185">
    <cfRule type="duplicateValues" dxfId="505" priority="110"/>
  </conditionalFormatting>
  <conditionalFormatting sqref="D3:D186">
    <cfRule type="duplicateValues" dxfId="504" priority="109"/>
  </conditionalFormatting>
  <conditionalFormatting sqref="D3:D187">
    <cfRule type="duplicateValues" dxfId="503" priority="108"/>
  </conditionalFormatting>
  <conditionalFormatting sqref="D3:D188">
    <cfRule type="duplicateValues" dxfId="502" priority="107"/>
  </conditionalFormatting>
  <conditionalFormatting sqref="D3:D189">
    <cfRule type="duplicateValues" dxfId="501" priority="106"/>
  </conditionalFormatting>
  <conditionalFormatting sqref="D3:D190">
    <cfRule type="duplicateValues" dxfId="500" priority="105"/>
  </conditionalFormatting>
  <conditionalFormatting sqref="D3:D191">
    <cfRule type="duplicateValues" dxfId="499" priority="104"/>
  </conditionalFormatting>
  <conditionalFormatting sqref="D3:D192">
    <cfRule type="duplicateValues" dxfId="498" priority="103"/>
  </conditionalFormatting>
  <conditionalFormatting sqref="D3:D193">
    <cfRule type="duplicateValues" dxfId="497" priority="102"/>
  </conditionalFormatting>
  <conditionalFormatting sqref="D3:D194">
    <cfRule type="duplicateValues" dxfId="496" priority="101"/>
  </conditionalFormatting>
  <conditionalFormatting sqref="D3:D195">
    <cfRule type="duplicateValues" dxfId="495" priority="100"/>
  </conditionalFormatting>
  <conditionalFormatting sqref="D3:D196">
    <cfRule type="duplicateValues" dxfId="494" priority="99"/>
  </conditionalFormatting>
  <conditionalFormatting sqref="D3:D197">
    <cfRule type="duplicateValues" dxfId="493" priority="98"/>
  </conditionalFormatting>
  <conditionalFormatting sqref="D3:D198">
    <cfRule type="duplicateValues" dxfId="492" priority="97"/>
  </conditionalFormatting>
  <conditionalFormatting sqref="D3:D199">
    <cfRule type="duplicateValues" dxfId="491" priority="96"/>
  </conditionalFormatting>
  <conditionalFormatting sqref="D3:D200">
    <cfRule type="duplicateValues" dxfId="490" priority="95"/>
  </conditionalFormatting>
  <conditionalFormatting sqref="D3:D201">
    <cfRule type="duplicateValues" dxfId="489" priority="94"/>
  </conditionalFormatting>
  <conditionalFormatting sqref="D3:D202">
    <cfRule type="duplicateValues" dxfId="488" priority="93"/>
  </conditionalFormatting>
  <conditionalFormatting sqref="D3:D203">
    <cfRule type="duplicateValues" dxfId="487" priority="92"/>
  </conditionalFormatting>
  <conditionalFormatting sqref="D3:D204">
    <cfRule type="duplicateValues" dxfId="486" priority="91"/>
  </conditionalFormatting>
  <conditionalFormatting sqref="D3:D205">
    <cfRule type="duplicateValues" dxfId="485" priority="90"/>
  </conditionalFormatting>
  <conditionalFormatting sqref="D3:D206">
    <cfRule type="duplicateValues" dxfId="484" priority="89"/>
  </conditionalFormatting>
  <conditionalFormatting sqref="D3:D207">
    <cfRule type="duplicateValues" dxfId="483" priority="88"/>
  </conditionalFormatting>
  <conditionalFormatting sqref="D3:D208">
    <cfRule type="duplicateValues" dxfId="482" priority="87"/>
  </conditionalFormatting>
  <conditionalFormatting sqref="D3:D209">
    <cfRule type="duplicateValues" dxfId="481" priority="86"/>
  </conditionalFormatting>
  <conditionalFormatting sqref="D3:D210">
    <cfRule type="duplicateValues" dxfId="480" priority="85"/>
  </conditionalFormatting>
  <conditionalFormatting sqref="D3:D211">
    <cfRule type="duplicateValues" dxfId="479" priority="84"/>
  </conditionalFormatting>
  <conditionalFormatting sqref="D3:D212">
    <cfRule type="duplicateValues" dxfId="478" priority="83"/>
  </conditionalFormatting>
  <conditionalFormatting sqref="D3:D213">
    <cfRule type="duplicateValues" dxfId="477" priority="82"/>
  </conditionalFormatting>
  <conditionalFormatting sqref="D3:D214">
    <cfRule type="duplicateValues" dxfId="476" priority="81"/>
  </conditionalFormatting>
  <conditionalFormatting sqref="D3:D215">
    <cfRule type="duplicateValues" dxfId="475" priority="80"/>
  </conditionalFormatting>
  <conditionalFormatting sqref="D3:D216">
    <cfRule type="duplicateValues" dxfId="474" priority="79"/>
  </conditionalFormatting>
  <conditionalFormatting sqref="D3:D217">
    <cfRule type="duplicateValues" dxfId="473" priority="78"/>
  </conditionalFormatting>
  <conditionalFormatting sqref="D3:D218">
    <cfRule type="duplicateValues" dxfId="472" priority="77"/>
  </conditionalFormatting>
  <conditionalFormatting sqref="D3:D219">
    <cfRule type="duplicateValues" dxfId="471" priority="76"/>
  </conditionalFormatting>
  <conditionalFormatting sqref="D3:D220">
    <cfRule type="duplicateValues" dxfId="470" priority="75"/>
  </conditionalFormatting>
  <conditionalFormatting sqref="D3:D221">
    <cfRule type="duplicateValues" dxfId="469" priority="74"/>
  </conditionalFormatting>
  <conditionalFormatting sqref="D3:D222">
    <cfRule type="duplicateValues" dxfId="468" priority="73"/>
  </conditionalFormatting>
  <conditionalFormatting sqref="D3:D223">
    <cfRule type="duplicateValues" dxfId="467" priority="72"/>
  </conditionalFormatting>
  <conditionalFormatting sqref="D3:D224">
    <cfRule type="duplicateValues" dxfId="466" priority="71"/>
  </conditionalFormatting>
  <conditionalFormatting sqref="D3:D225">
    <cfRule type="duplicateValues" dxfId="465" priority="70"/>
  </conditionalFormatting>
  <conditionalFormatting sqref="D3:D226">
    <cfRule type="duplicateValues" dxfId="464" priority="69"/>
  </conditionalFormatting>
  <conditionalFormatting sqref="D3:D227">
    <cfRule type="duplicateValues" dxfId="463" priority="68"/>
  </conditionalFormatting>
  <conditionalFormatting sqref="D3:D228">
    <cfRule type="duplicateValues" dxfId="462" priority="67"/>
  </conditionalFormatting>
  <conditionalFormatting sqref="D3:D229">
    <cfRule type="duplicateValues" dxfId="461" priority="66"/>
  </conditionalFormatting>
  <conditionalFormatting sqref="D3:D230">
    <cfRule type="duplicateValues" dxfId="460" priority="65"/>
  </conditionalFormatting>
  <conditionalFormatting sqref="D3:D231">
    <cfRule type="duplicateValues" dxfId="459" priority="64"/>
  </conditionalFormatting>
  <conditionalFormatting sqref="D3:D232">
    <cfRule type="duplicateValues" dxfId="458" priority="63"/>
  </conditionalFormatting>
  <conditionalFormatting sqref="D3:D233">
    <cfRule type="duplicateValues" dxfId="457" priority="62"/>
  </conditionalFormatting>
  <conditionalFormatting sqref="D3:D234">
    <cfRule type="duplicateValues" dxfId="456" priority="61"/>
  </conditionalFormatting>
  <conditionalFormatting sqref="D3:D235">
    <cfRule type="duplicateValues" dxfId="455" priority="60"/>
  </conditionalFormatting>
  <conditionalFormatting sqref="D3:D236">
    <cfRule type="duplicateValues" dxfId="454" priority="59"/>
  </conditionalFormatting>
  <conditionalFormatting sqref="D3:D237">
    <cfRule type="duplicateValues" dxfId="453" priority="58"/>
  </conditionalFormatting>
  <conditionalFormatting sqref="D3:D238">
    <cfRule type="duplicateValues" dxfId="452" priority="57"/>
  </conditionalFormatting>
  <conditionalFormatting sqref="D3:D239">
    <cfRule type="duplicateValues" dxfId="451" priority="56"/>
  </conditionalFormatting>
  <conditionalFormatting sqref="D3:D240">
    <cfRule type="duplicateValues" dxfId="450" priority="55"/>
  </conditionalFormatting>
  <conditionalFormatting sqref="D3:D241">
    <cfRule type="duplicateValues" dxfId="449" priority="54"/>
  </conditionalFormatting>
  <conditionalFormatting sqref="D3:D242">
    <cfRule type="duplicateValues" dxfId="448" priority="53"/>
  </conditionalFormatting>
  <conditionalFormatting sqref="D3:D243">
    <cfRule type="duplicateValues" dxfId="447" priority="52"/>
  </conditionalFormatting>
  <conditionalFormatting sqref="D3:D244">
    <cfRule type="duplicateValues" dxfId="446" priority="51"/>
  </conditionalFormatting>
  <conditionalFormatting sqref="D3:D245">
    <cfRule type="duplicateValues" dxfId="445" priority="50"/>
  </conditionalFormatting>
  <conditionalFormatting sqref="D3:D246">
    <cfRule type="duplicateValues" dxfId="444" priority="49"/>
  </conditionalFormatting>
  <conditionalFormatting sqref="D3:D247">
    <cfRule type="duplicateValues" dxfId="443" priority="48"/>
  </conditionalFormatting>
  <conditionalFormatting sqref="D3:D248">
    <cfRule type="duplicateValues" dxfId="442" priority="47"/>
  </conditionalFormatting>
  <conditionalFormatting sqref="D3:D249">
    <cfRule type="duplicateValues" dxfId="441" priority="46"/>
  </conditionalFormatting>
  <conditionalFormatting sqref="D3:D250">
    <cfRule type="duplicateValues" dxfId="440" priority="45"/>
  </conditionalFormatting>
  <conditionalFormatting sqref="D3:D251">
    <cfRule type="duplicateValues" dxfId="439" priority="44"/>
  </conditionalFormatting>
  <conditionalFormatting sqref="D3:D252">
    <cfRule type="duplicateValues" dxfId="438" priority="43"/>
  </conditionalFormatting>
  <conditionalFormatting sqref="D3:D253">
    <cfRule type="duplicateValues" dxfId="437" priority="42"/>
  </conditionalFormatting>
  <conditionalFormatting sqref="D3:D254">
    <cfRule type="duplicateValues" dxfId="436" priority="41"/>
  </conditionalFormatting>
  <conditionalFormatting sqref="D3:D255">
    <cfRule type="duplicateValues" dxfId="435" priority="40"/>
  </conditionalFormatting>
  <conditionalFormatting sqref="D3:D256">
    <cfRule type="duplicateValues" dxfId="434" priority="39"/>
  </conditionalFormatting>
  <conditionalFormatting sqref="D3:D257">
    <cfRule type="duplicateValues" dxfId="433" priority="38"/>
  </conditionalFormatting>
  <conditionalFormatting sqref="D258">
    <cfRule type="duplicateValues" dxfId="432" priority="37"/>
  </conditionalFormatting>
  <conditionalFormatting sqref="D258:D259">
    <cfRule type="duplicateValues" dxfId="431" priority="36"/>
  </conditionalFormatting>
  <conditionalFormatting sqref="D258:D260">
    <cfRule type="duplicateValues" dxfId="430" priority="35"/>
  </conditionalFormatting>
  <conditionalFormatting sqref="D258:D261">
    <cfRule type="duplicateValues" dxfId="429" priority="34"/>
  </conditionalFormatting>
  <conditionalFormatting sqref="D258:D262">
    <cfRule type="duplicateValues" dxfId="428" priority="33"/>
  </conditionalFormatting>
  <conditionalFormatting sqref="D258:D263">
    <cfRule type="duplicateValues" dxfId="427" priority="32"/>
  </conditionalFormatting>
  <conditionalFormatting sqref="D258:D264">
    <cfRule type="duplicateValues" dxfId="426" priority="31"/>
  </conditionalFormatting>
  <conditionalFormatting sqref="D258:D265">
    <cfRule type="duplicateValues" dxfId="425" priority="30"/>
  </conditionalFormatting>
  <conditionalFormatting sqref="D258:D266">
    <cfRule type="duplicateValues" dxfId="424" priority="29"/>
  </conditionalFormatting>
  <conditionalFormatting sqref="D258:D267">
    <cfRule type="duplicateValues" dxfId="423" priority="28"/>
  </conditionalFormatting>
  <conditionalFormatting sqref="D258:D268">
    <cfRule type="duplicateValues" dxfId="422" priority="27"/>
  </conditionalFormatting>
  <conditionalFormatting sqref="D258:D269">
    <cfRule type="duplicateValues" dxfId="421" priority="26"/>
  </conditionalFormatting>
  <conditionalFormatting sqref="D258:D270">
    <cfRule type="duplicateValues" dxfId="420" priority="25"/>
  </conditionalFormatting>
  <conditionalFormatting sqref="D258:D271">
    <cfRule type="duplicateValues" dxfId="419" priority="24"/>
  </conditionalFormatting>
  <conditionalFormatting sqref="D3:D272">
    <cfRule type="duplicateValues" dxfId="418" priority="23"/>
  </conditionalFormatting>
  <conditionalFormatting sqref="D3:D273">
    <cfRule type="duplicateValues" dxfId="417" priority="22"/>
  </conditionalFormatting>
  <conditionalFormatting sqref="D3:D274">
    <cfRule type="duplicateValues" dxfId="416" priority="21"/>
  </conditionalFormatting>
  <conditionalFormatting sqref="D3:D275">
    <cfRule type="duplicateValues" dxfId="415" priority="20"/>
  </conditionalFormatting>
  <conditionalFormatting sqref="D3:D276">
    <cfRule type="duplicateValues" dxfId="414" priority="19"/>
  </conditionalFormatting>
  <conditionalFormatting sqref="D3:D277">
    <cfRule type="duplicateValues" dxfId="413" priority="18"/>
  </conditionalFormatting>
  <conditionalFormatting sqref="D3:D278">
    <cfRule type="duplicateValues" dxfId="412" priority="17"/>
  </conditionalFormatting>
  <conditionalFormatting sqref="D3:D279">
    <cfRule type="duplicateValues" dxfId="411" priority="16"/>
  </conditionalFormatting>
  <conditionalFormatting sqref="D3:D280">
    <cfRule type="duplicateValues" dxfId="410" priority="15"/>
  </conditionalFormatting>
  <conditionalFormatting sqref="D3:D281">
    <cfRule type="duplicateValues" dxfId="409" priority="14"/>
  </conditionalFormatting>
  <conditionalFormatting sqref="D3:D282">
    <cfRule type="duplicateValues" dxfId="408" priority="13"/>
  </conditionalFormatting>
  <conditionalFormatting sqref="D3:D283">
    <cfRule type="duplicateValues" dxfId="407" priority="12"/>
  </conditionalFormatting>
  <conditionalFormatting sqref="D3:D284">
    <cfRule type="duplicateValues" dxfId="406" priority="11"/>
  </conditionalFormatting>
  <conditionalFormatting sqref="D3:D285">
    <cfRule type="duplicateValues" dxfId="405" priority="8"/>
  </conditionalFormatting>
  <conditionalFormatting sqref="D3:D286">
    <cfRule type="duplicateValues" dxfId="404" priority="7"/>
  </conditionalFormatting>
  <conditionalFormatting sqref="D3:D287">
    <cfRule type="duplicateValues" dxfId="0" priority="1"/>
  </conditionalFormatting>
  <dataValidations count="23">
    <dataValidation type="list" allowBlank="1" showInputMessage="1" showErrorMessage="1" sqref="AI40:AI48">
      <formula1>PRESO!$A$1:$A$2</formula1>
    </dataValidation>
    <dataValidation type="list" allowBlank="1" showInputMessage="1" showErrorMessage="1" sqref="M3:M28 M30:M110 M112:M257 M272:M287">
      <formula1>defensores!$A$1:$A$191</formula1>
    </dataValidation>
    <dataValidation type="list" allowBlank="1" showInputMessage="1" showErrorMessage="1" sqref="L3:L28 L30:L110 L112:L257 L272:L287">
      <formula1>'fiscalias penales'!$A$1:$A$163</formula1>
    </dataValidation>
    <dataValidation type="list" allowBlank="1" showInputMessage="1" showErrorMessage="1" sqref="L29">
      <formula1>'[4]fiscalias penales'!$A$1:$A$150</formula1>
    </dataValidation>
    <dataValidation type="list" allowBlank="1" showInputMessage="1" showErrorMessage="1" sqref="M29">
      <formula1>[4]defensores!$A$1:$A$164</formula1>
    </dataValidation>
    <dataValidation type="list" allowBlank="1" showInputMessage="1" showErrorMessage="1" sqref="J3:J257 J272:J287">
      <formula1>Jueces!$A$1:$A$21</formula1>
    </dataValidation>
    <dataValidation type="list" allowBlank="1" showInputMessage="1" showErrorMessage="1" sqref="Q3:Q6">
      <formula1>[5]Resultados!$A$1:$A$30</formula1>
    </dataValidation>
    <dataValidation type="list" allowBlank="1" showInputMessage="1" showErrorMessage="1" sqref="Q7:Q10">
      <formula1>[6]Resultados!$A$1:$A$30</formula1>
    </dataValidation>
    <dataValidation type="list" allowBlank="1" showInputMessage="1" showErrorMessage="1" sqref="Q11:Q13">
      <formula1>[7]Resultados!$A$1:$A$30</formula1>
    </dataValidation>
    <dataValidation type="list" allowBlank="1" showInputMessage="1" showErrorMessage="1" sqref="Q14:Q17">
      <formula1>[8]Resultados!$A$1:$A$30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G272:G287">
      <formula1>Internos!$A$1:$A$5</formula1>
    </dataValidation>
    <dataValidation type="list" allowBlank="1" showInputMessage="1" showErrorMessage="1" sqref="AI3:AI6 AI49:AI287">
      <formula1>" Audiencias\[ACJAN.xlsm]PRESO'!$A$1:$A$2"</formula1>
    </dataValidation>
    <dataValidation type="list" allowBlank="1" showInputMessage="1" showErrorMessage="1" sqref="AJ3:AJ27 AJ49:AJ257 AJ272:AJ287">
      <formula1>OPO!$A$1:$A$2</formula1>
    </dataValidation>
    <dataValidation type="list" allowBlank="1" showInputMessage="1" showErrorMessage="1" sqref="M111">
      <formula1>[4]defensores!$A$1:$A$200</formula1>
    </dataValidation>
    <dataValidation type="list" allowBlank="1" showInputMessage="1" showErrorMessage="1" sqref="L111">
      <formula1>'[4]fiscalias penales'!$A$1:$A$65</formula1>
    </dataValidation>
    <dataValidation type="list" allowBlank="1" showInputMessage="1" showErrorMessage="1" sqref="AJ258:AJ271">
      <formula1>[3]OPO!$A$1:$A$2</formula1>
    </dataValidation>
    <dataValidation type="list" allowBlank="1" showInputMessage="1" showErrorMessage="1" sqref="G258:G271">
      <formula1>[3]Internos!$A$1:$A$5</formula1>
    </dataValidation>
    <dataValidation type="list" allowBlank="1" showInputMessage="1" showErrorMessage="1" sqref="J258:J271">
      <formula1>[3]Jueces!$A$1:$A$21</formula1>
    </dataValidation>
    <dataValidation type="list" allowBlank="1" showInputMessage="1" showErrorMessage="1" sqref="L258:L271">
      <formula1>'[3]fiscalias penales'!$A$1:$A$163</formula1>
    </dataValidation>
    <dataValidation type="list" allowBlank="1" showInputMessage="1" showErrorMessage="1" sqref="M258:M271">
      <formula1>[3]defensores!$A$1:$A$191</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3" priority="304">
      <formula>ISERROR(C2)</formula>
    </cfRule>
  </conditionalFormatting>
  <conditionalFormatting sqref="E2:E11">
    <cfRule type="containsErrors" dxfId="402" priority="303">
      <formula>ISERROR(E2)</formula>
    </cfRule>
  </conditionalFormatting>
  <conditionalFormatting sqref="G2:G11">
    <cfRule type="containsErrors" dxfId="401" priority="302">
      <formula>ISERROR(G2)</formula>
    </cfRule>
  </conditionalFormatting>
  <conditionalFormatting sqref="I2:I11">
    <cfRule type="containsErrors" dxfId="400" priority="301">
      <formula>ISERROR(I2)</formula>
    </cfRule>
  </conditionalFormatting>
  <conditionalFormatting sqref="K2:K11">
    <cfRule type="containsErrors" dxfId="399" priority="300">
      <formula>ISERROR(K2)</formula>
    </cfRule>
  </conditionalFormatting>
  <conditionalFormatting sqref="G2 I2 K2">
    <cfRule type="containsErrors" dxfId="398" priority="299">
      <formula>ISERROR(G2)</formula>
    </cfRule>
  </conditionalFormatting>
  <conditionalFormatting sqref="I2">
    <cfRule type="containsErrors" dxfId="397" priority="298">
      <formula>ISERROR(I2)</formula>
    </cfRule>
  </conditionalFormatting>
  <conditionalFormatting sqref="G3:G7">
    <cfRule type="containsErrors" dxfId="396" priority="297">
      <formula>ISERROR(G3)</formula>
    </cfRule>
  </conditionalFormatting>
  <conditionalFormatting sqref="G8:G11">
    <cfRule type="containsErrors" dxfId="395" priority="296">
      <formula>ISERROR(G8)</formula>
    </cfRule>
  </conditionalFormatting>
  <conditionalFormatting sqref="I3:I11">
    <cfRule type="containsErrors" dxfId="394" priority="295">
      <formula>ISERROR(I3)</formula>
    </cfRule>
  </conditionalFormatting>
  <conditionalFormatting sqref="I3:I11">
    <cfRule type="containsErrors" dxfId="393" priority="294">
      <formula>ISERROR(I3)</formula>
    </cfRule>
  </conditionalFormatting>
  <conditionalFormatting sqref="K3:K11">
    <cfRule type="containsErrors" dxfId="392" priority="293">
      <formula>ISERROR(K3)</formula>
    </cfRule>
  </conditionalFormatting>
  <conditionalFormatting sqref="C2">
    <cfRule type="containsErrors" dxfId="391" priority="292">
      <formula>ISERROR(C2)</formula>
    </cfRule>
  </conditionalFormatting>
  <conditionalFormatting sqref="C2">
    <cfRule type="containsErrors" dxfId="390" priority="291">
      <formula>ISERROR(C2)</formula>
    </cfRule>
  </conditionalFormatting>
  <conditionalFormatting sqref="C3:C11">
    <cfRule type="containsErrors" dxfId="389" priority="290">
      <formula>ISERROR(C3)</formula>
    </cfRule>
  </conditionalFormatting>
  <conditionalFormatting sqref="C3:C11">
    <cfRule type="containsErrors" dxfId="388" priority="289">
      <formula>ISERROR(C3)</formula>
    </cfRule>
  </conditionalFormatting>
  <conditionalFormatting sqref="C3:C11">
    <cfRule type="containsErrors" dxfId="387" priority="288">
      <formula>ISERROR(C3)</formula>
    </cfRule>
  </conditionalFormatting>
  <conditionalFormatting sqref="C3:C11">
    <cfRule type="containsErrors" dxfId="386" priority="287">
      <formula>ISERROR(C3)</formula>
    </cfRule>
  </conditionalFormatting>
  <conditionalFormatting sqref="E2">
    <cfRule type="containsErrors" dxfId="385" priority="286">
      <formula>ISERROR(E2)</formula>
    </cfRule>
  </conditionalFormatting>
  <conditionalFormatting sqref="E2">
    <cfRule type="containsErrors" dxfId="384" priority="285">
      <formula>ISERROR(E2)</formula>
    </cfRule>
  </conditionalFormatting>
  <conditionalFormatting sqref="E2">
    <cfRule type="containsErrors" dxfId="383" priority="284">
      <formula>ISERROR(E2)</formula>
    </cfRule>
  </conditionalFormatting>
  <conditionalFormatting sqref="E3:E11">
    <cfRule type="containsErrors" dxfId="382" priority="283">
      <formula>ISERROR(E3)</formula>
    </cfRule>
  </conditionalFormatting>
  <conditionalFormatting sqref="E3:E11">
    <cfRule type="containsErrors" dxfId="381" priority="282">
      <formula>ISERROR(E3)</formula>
    </cfRule>
  </conditionalFormatting>
  <conditionalFormatting sqref="E3:E11">
    <cfRule type="containsErrors" dxfId="380" priority="281">
      <formula>ISERROR(E3)</formula>
    </cfRule>
  </conditionalFormatting>
  <conditionalFormatting sqref="G2:G11">
    <cfRule type="containsErrors" dxfId="379" priority="280">
      <formula>ISERROR(G2)</formula>
    </cfRule>
  </conditionalFormatting>
  <conditionalFormatting sqref="G2">
    <cfRule type="containsErrors" dxfId="378" priority="279">
      <formula>ISERROR(G2)</formula>
    </cfRule>
  </conditionalFormatting>
  <conditionalFormatting sqref="G2">
    <cfRule type="containsErrors" dxfId="377" priority="278">
      <formula>ISERROR(G2)</formula>
    </cfRule>
  </conditionalFormatting>
  <conditionalFormatting sqref="G2">
    <cfRule type="containsErrors" dxfId="376" priority="277">
      <formula>ISERROR(G2)</formula>
    </cfRule>
  </conditionalFormatting>
  <conditionalFormatting sqref="G3:G11">
    <cfRule type="containsErrors" dxfId="375" priority="276">
      <formula>ISERROR(G3)</formula>
    </cfRule>
  </conditionalFormatting>
  <conditionalFormatting sqref="G3:G11">
    <cfRule type="containsErrors" dxfId="374" priority="275">
      <formula>ISERROR(G3)</formula>
    </cfRule>
  </conditionalFormatting>
  <conditionalFormatting sqref="G3:G11">
    <cfRule type="containsErrors" dxfId="373" priority="274">
      <formula>ISERROR(G3)</formula>
    </cfRule>
  </conditionalFormatting>
  <conditionalFormatting sqref="I2:I11">
    <cfRule type="containsErrors" dxfId="372" priority="273">
      <formula>ISERROR(I2)</formula>
    </cfRule>
  </conditionalFormatting>
  <conditionalFormatting sqref="I2">
    <cfRule type="containsErrors" dxfId="371" priority="272">
      <formula>ISERROR(I2)</formula>
    </cfRule>
  </conditionalFormatting>
  <conditionalFormatting sqref="I2">
    <cfRule type="containsErrors" dxfId="370" priority="271">
      <formula>ISERROR(I2)</formula>
    </cfRule>
  </conditionalFormatting>
  <conditionalFormatting sqref="I2">
    <cfRule type="containsErrors" dxfId="369" priority="270">
      <formula>ISERROR(I2)</formula>
    </cfRule>
  </conditionalFormatting>
  <conditionalFormatting sqref="I3:I11">
    <cfRule type="containsErrors" dxfId="368" priority="269">
      <formula>ISERROR(I3)</formula>
    </cfRule>
  </conditionalFormatting>
  <conditionalFormatting sqref="I3:I11">
    <cfRule type="containsErrors" dxfId="367" priority="268">
      <formula>ISERROR(I3)</formula>
    </cfRule>
  </conditionalFormatting>
  <conditionalFormatting sqref="I3:I11">
    <cfRule type="containsErrors" dxfId="366" priority="267">
      <formula>ISERROR(I3)</formula>
    </cfRule>
  </conditionalFormatting>
  <conditionalFormatting sqref="C3:C11">
    <cfRule type="containsErrors" dxfId="365" priority="266">
      <formula>ISERROR(C3)</formula>
    </cfRule>
  </conditionalFormatting>
  <conditionalFormatting sqref="C3:C11">
    <cfRule type="containsErrors" dxfId="364" priority="265">
      <formula>ISERROR(C3)</formula>
    </cfRule>
  </conditionalFormatting>
  <conditionalFormatting sqref="E2:E11">
    <cfRule type="containsErrors" dxfId="363" priority="264">
      <formula>ISERROR(E2)</formula>
    </cfRule>
  </conditionalFormatting>
  <conditionalFormatting sqref="E2">
    <cfRule type="containsErrors" dxfId="362" priority="263">
      <formula>ISERROR(E2)</formula>
    </cfRule>
  </conditionalFormatting>
  <conditionalFormatting sqref="E2">
    <cfRule type="containsErrors" dxfId="361" priority="262">
      <formula>ISERROR(E2)</formula>
    </cfRule>
  </conditionalFormatting>
  <conditionalFormatting sqref="E3:E11">
    <cfRule type="containsErrors" dxfId="360" priority="261">
      <formula>ISERROR(E3)</formula>
    </cfRule>
  </conditionalFormatting>
  <conditionalFormatting sqref="E3:E11">
    <cfRule type="containsErrors" dxfId="359" priority="260">
      <formula>ISERROR(E3)</formula>
    </cfRule>
  </conditionalFormatting>
  <conditionalFormatting sqref="E3:E11">
    <cfRule type="containsErrors" dxfId="358" priority="259">
      <formula>ISERROR(E3)</formula>
    </cfRule>
  </conditionalFormatting>
  <conditionalFormatting sqref="E3:E11">
    <cfRule type="containsErrors" dxfId="357" priority="258">
      <formula>ISERROR(E3)</formula>
    </cfRule>
  </conditionalFormatting>
  <conditionalFormatting sqref="E3:E11">
    <cfRule type="containsErrors" dxfId="356" priority="257">
      <formula>ISERROR(E3)</formula>
    </cfRule>
  </conditionalFormatting>
  <conditionalFormatting sqref="E3:E11">
    <cfRule type="containsErrors" dxfId="355" priority="256">
      <formula>ISERROR(E3)</formula>
    </cfRule>
  </conditionalFormatting>
  <conditionalFormatting sqref="G2:G11">
    <cfRule type="containsErrors" dxfId="354" priority="255">
      <formula>ISERROR(G2)</formula>
    </cfRule>
  </conditionalFormatting>
  <conditionalFormatting sqref="G2">
    <cfRule type="containsErrors" dxfId="353" priority="254">
      <formula>ISERROR(G2)</formula>
    </cfRule>
  </conditionalFormatting>
  <conditionalFormatting sqref="G2">
    <cfRule type="containsErrors" dxfId="352" priority="253">
      <formula>ISERROR(G2)</formula>
    </cfRule>
  </conditionalFormatting>
  <conditionalFormatting sqref="G3:G11">
    <cfRule type="containsErrors" dxfId="351" priority="252">
      <formula>ISERROR(G3)</formula>
    </cfRule>
  </conditionalFormatting>
  <conditionalFormatting sqref="G3:G11">
    <cfRule type="containsErrors" dxfId="350" priority="251">
      <formula>ISERROR(G3)</formula>
    </cfRule>
  </conditionalFormatting>
  <conditionalFormatting sqref="G3:G11">
    <cfRule type="containsErrors" dxfId="349" priority="250">
      <formula>ISERROR(G3)</formula>
    </cfRule>
  </conditionalFormatting>
  <conditionalFormatting sqref="G3:G11">
    <cfRule type="containsErrors" dxfId="348" priority="249">
      <formula>ISERROR(G3)</formula>
    </cfRule>
  </conditionalFormatting>
  <conditionalFormatting sqref="G3:G11">
    <cfRule type="containsErrors" dxfId="347" priority="248">
      <formula>ISERROR(G3)</formula>
    </cfRule>
  </conditionalFormatting>
  <conditionalFormatting sqref="G3:G11">
    <cfRule type="containsErrors" dxfId="346" priority="247">
      <formula>ISERROR(G3)</formula>
    </cfRule>
  </conditionalFormatting>
  <conditionalFormatting sqref="I2:I11">
    <cfRule type="containsErrors" dxfId="345" priority="246">
      <formula>ISERROR(I2)</formula>
    </cfRule>
  </conditionalFormatting>
  <conditionalFormatting sqref="I2">
    <cfRule type="containsErrors" dxfId="344" priority="245">
      <formula>ISERROR(I2)</formula>
    </cfRule>
  </conditionalFormatting>
  <conditionalFormatting sqref="I2">
    <cfRule type="containsErrors" dxfId="343" priority="244">
      <formula>ISERROR(I2)</formula>
    </cfRule>
  </conditionalFormatting>
  <conditionalFormatting sqref="I3:I11">
    <cfRule type="containsErrors" dxfId="342" priority="243">
      <formula>ISERROR(I3)</formula>
    </cfRule>
  </conditionalFormatting>
  <conditionalFormatting sqref="I3:I11">
    <cfRule type="containsErrors" dxfId="341" priority="242">
      <formula>ISERROR(I3)</formula>
    </cfRule>
  </conditionalFormatting>
  <conditionalFormatting sqref="I3:I11">
    <cfRule type="containsErrors" dxfId="340" priority="241">
      <formula>ISERROR(I3)</formula>
    </cfRule>
  </conditionalFormatting>
  <conditionalFormatting sqref="I3:I11">
    <cfRule type="containsErrors" dxfId="339" priority="240">
      <formula>ISERROR(I3)</formula>
    </cfRule>
  </conditionalFormatting>
  <conditionalFormatting sqref="I3:I11">
    <cfRule type="containsErrors" dxfId="338" priority="239">
      <formula>ISERROR(I3)</formula>
    </cfRule>
  </conditionalFormatting>
  <conditionalFormatting sqref="I3:I11">
    <cfRule type="containsErrors" dxfId="337" priority="238">
      <formula>ISERROR(I3)</formula>
    </cfRule>
  </conditionalFormatting>
  <conditionalFormatting sqref="K2:K11">
    <cfRule type="containsErrors" dxfId="336" priority="237">
      <formula>ISERROR(K2)</formula>
    </cfRule>
  </conditionalFormatting>
  <conditionalFormatting sqref="K2">
    <cfRule type="containsErrors" dxfId="335" priority="236">
      <formula>ISERROR(K2)</formula>
    </cfRule>
  </conditionalFormatting>
  <conditionalFormatting sqref="K2">
    <cfRule type="containsErrors" dxfId="334" priority="235">
      <formula>ISERROR(K2)</formula>
    </cfRule>
  </conditionalFormatting>
  <conditionalFormatting sqref="K3:K11">
    <cfRule type="containsErrors" dxfId="333" priority="234">
      <formula>ISERROR(K3)</formula>
    </cfRule>
  </conditionalFormatting>
  <conditionalFormatting sqref="K3:K11">
    <cfRule type="containsErrors" dxfId="332" priority="233">
      <formula>ISERROR(K3)</formula>
    </cfRule>
  </conditionalFormatting>
  <conditionalFormatting sqref="K3:K11">
    <cfRule type="containsErrors" dxfId="331" priority="232">
      <formula>ISERROR(K3)</formula>
    </cfRule>
  </conditionalFormatting>
  <conditionalFormatting sqref="K3:K11">
    <cfRule type="containsErrors" dxfId="330" priority="231">
      <formula>ISERROR(K3)</formula>
    </cfRule>
  </conditionalFormatting>
  <conditionalFormatting sqref="K3:K11">
    <cfRule type="containsErrors" dxfId="329" priority="230">
      <formula>ISERROR(K3)</formula>
    </cfRule>
  </conditionalFormatting>
  <conditionalFormatting sqref="K3:K11">
    <cfRule type="containsErrors" dxfId="328" priority="229">
      <formula>ISERROR(K3)</formula>
    </cfRule>
  </conditionalFormatting>
  <conditionalFormatting sqref="C2:C11">
    <cfRule type="containsErrors" dxfId="327" priority="228">
      <formula>ISERROR(C2)</formula>
    </cfRule>
  </conditionalFormatting>
  <conditionalFormatting sqref="E2:E11">
    <cfRule type="containsErrors" dxfId="326" priority="227">
      <formula>ISERROR(E2)</formula>
    </cfRule>
  </conditionalFormatting>
  <conditionalFormatting sqref="G2:G11">
    <cfRule type="containsErrors" dxfId="325" priority="226">
      <formula>ISERROR(G2)</formula>
    </cfRule>
  </conditionalFormatting>
  <conditionalFormatting sqref="I2:I11">
    <cfRule type="containsErrors" dxfId="324" priority="225">
      <formula>ISERROR(I2)</formula>
    </cfRule>
  </conditionalFormatting>
  <conditionalFormatting sqref="K2:K11">
    <cfRule type="containsErrors" dxfId="323" priority="224">
      <formula>ISERROR(K2)</formula>
    </cfRule>
  </conditionalFormatting>
  <conditionalFormatting sqref="G2 I2 K2">
    <cfRule type="containsErrors" dxfId="322" priority="223">
      <formula>ISERROR(G2)</formula>
    </cfRule>
  </conditionalFormatting>
  <conditionalFormatting sqref="I2">
    <cfRule type="containsErrors" dxfId="321" priority="222">
      <formula>ISERROR(I2)</formula>
    </cfRule>
  </conditionalFormatting>
  <conditionalFormatting sqref="G3:G7">
    <cfRule type="containsErrors" dxfId="320" priority="221">
      <formula>ISERROR(G3)</formula>
    </cfRule>
  </conditionalFormatting>
  <conditionalFormatting sqref="G8:G11">
    <cfRule type="containsErrors" dxfId="319" priority="220">
      <formula>ISERROR(G8)</formula>
    </cfRule>
  </conditionalFormatting>
  <conditionalFormatting sqref="I3:I11">
    <cfRule type="containsErrors" dxfId="318" priority="219">
      <formula>ISERROR(I3)</formula>
    </cfRule>
  </conditionalFormatting>
  <conditionalFormatting sqref="I3:I11">
    <cfRule type="containsErrors" dxfId="317" priority="218">
      <formula>ISERROR(I3)</formula>
    </cfRule>
  </conditionalFormatting>
  <conditionalFormatting sqref="K3:K11">
    <cfRule type="containsErrors" dxfId="316" priority="217">
      <formula>ISERROR(K3)</formula>
    </cfRule>
  </conditionalFormatting>
  <conditionalFormatting sqref="C2">
    <cfRule type="containsErrors" dxfId="315" priority="216">
      <formula>ISERROR(C2)</formula>
    </cfRule>
  </conditionalFormatting>
  <conditionalFormatting sqref="C2">
    <cfRule type="containsErrors" dxfId="314" priority="215">
      <formula>ISERROR(C2)</formula>
    </cfRule>
  </conditionalFormatting>
  <conditionalFormatting sqref="C3:C11">
    <cfRule type="containsErrors" dxfId="313" priority="214">
      <formula>ISERROR(C3)</formula>
    </cfRule>
  </conditionalFormatting>
  <conditionalFormatting sqref="C3:C11">
    <cfRule type="containsErrors" dxfId="312" priority="213">
      <formula>ISERROR(C3)</formula>
    </cfRule>
  </conditionalFormatting>
  <conditionalFormatting sqref="C3:C11">
    <cfRule type="containsErrors" dxfId="311" priority="212">
      <formula>ISERROR(C3)</formula>
    </cfRule>
  </conditionalFormatting>
  <conditionalFormatting sqref="C3:C11">
    <cfRule type="containsErrors" dxfId="310" priority="211">
      <formula>ISERROR(C3)</formula>
    </cfRule>
  </conditionalFormatting>
  <conditionalFormatting sqref="E2">
    <cfRule type="containsErrors" dxfId="309" priority="210">
      <formula>ISERROR(E2)</formula>
    </cfRule>
  </conditionalFormatting>
  <conditionalFormatting sqref="E2">
    <cfRule type="containsErrors" dxfId="308" priority="209">
      <formula>ISERROR(E2)</formula>
    </cfRule>
  </conditionalFormatting>
  <conditionalFormatting sqref="E2">
    <cfRule type="containsErrors" dxfId="307" priority="208">
      <formula>ISERROR(E2)</formula>
    </cfRule>
  </conditionalFormatting>
  <conditionalFormatting sqref="E3:E11">
    <cfRule type="containsErrors" dxfId="306" priority="207">
      <formula>ISERROR(E3)</formula>
    </cfRule>
  </conditionalFormatting>
  <conditionalFormatting sqref="E3:E11">
    <cfRule type="containsErrors" dxfId="305" priority="206">
      <formula>ISERROR(E3)</formula>
    </cfRule>
  </conditionalFormatting>
  <conditionalFormatting sqref="E3:E11">
    <cfRule type="containsErrors" dxfId="304" priority="205">
      <formula>ISERROR(E3)</formula>
    </cfRule>
  </conditionalFormatting>
  <conditionalFormatting sqref="G2:G11">
    <cfRule type="containsErrors" dxfId="303" priority="204">
      <formula>ISERROR(G2)</formula>
    </cfRule>
  </conditionalFormatting>
  <conditionalFormatting sqref="G2">
    <cfRule type="containsErrors" dxfId="302" priority="203">
      <formula>ISERROR(G2)</formula>
    </cfRule>
  </conditionalFormatting>
  <conditionalFormatting sqref="G2">
    <cfRule type="containsErrors" dxfId="301" priority="202">
      <formula>ISERROR(G2)</formula>
    </cfRule>
  </conditionalFormatting>
  <conditionalFormatting sqref="G2">
    <cfRule type="containsErrors" dxfId="300" priority="201">
      <formula>ISERROR(G2)</formula>
    </cfRule>
  </conditionalFormatting>
  <conditionalFormatting sqref="G3:G11">
    <cfRule type="containsErrors" dxfId="299" priority="200">
      <formula>ISERROR(G3)</formula>
    </cfRule>
  </conditionalFormatting>
  <conditionalFormatting sqref="G3:G11">
    <cfRule type="containsErrors" dxfId="298" priority="199">
      <formula>ISERROR(G3)</formula>
    </cfRule>
  </conditionalFormatting>
  <conditionalFormatting sqref="G3:G11">
    <cfRule type="containsErrors" dxfId="297" priority="198">
      <formula>ISERROR(G3)</formula>
    </cfRule>
  </conditionalFormatting>
  <conditionalFormatting sqref="I2:I11">
    <cfRule type="containsErrors" dxfId="296" priority="197">
      <formula>ISERROR(I2)</formula>
    </cfRule>
  </conditionalFormatting>
  <conditionalFormatting sqref="I2">
    <cfRule type="containsErrors" dxfId="295" priority="196">
      <formula>ISERROR(I2)</formula>
    </cfRule>
  </conditionalFormatting>
  <conditionalFormatting sqref="I2">
    <cfRule type="containsErrors" dxfId="294" priority="195">
      <formula>ISERROR(I2)</formula>
    </cfRule>
  </conditionalFormatting>
  <conditionalFormatting sqref="I2">
    <cfRule type="containsErrors" dxfId="293" priority="194">
      <formula>ISERROR(I2)</formula>
    </cfRule>
  </conditionalFormatting>
  <conditionalFormatting sqref="I3:I11">
    <cfRule type="containsErrors" dxfId="292" priority="193">
      <formula>ISERROR(I3)</formula>
    </cfRule>
  </conditionalFormatting>
  <conditionalFormatting sqref="I3:I11">
    <cfRule type="containsErrors" dxfId="291" priority="192">
      <formula>ISERROR(I3)</formula>
    </cfRule>
  </conditionalFormatting>
  <conditionalFormatting sqref="I3:I11">
    <cfRule type="containsErrors" dxfId="290" priority="191">
      <formula>ISERROR(I3)</formula>
    </cfRule>
  </conditionalFormatting>
  <conditionalFormatting sqref="C3:C11">
    <cfRule type="containsErrors" dxfId="289" priority="190">
      <formula>ISERROR(C3)</formula>
    </cfRule>
  </conditionalFormatting>
  <conditionalFormatting sqref="C3:C11">
    <cfRule type="containsErrors" dxfId="288" priority="189">
      <formula>ISERROR(C3)</formula>
    </cfRule>
  </conditionalFormatting>
  <conditionalFormatting sqref="E2:E11">
    <cfRule type="containsErrors" dxfId="287" priority="188">
      <formula>ISERROR(E2)</formula>
    </cfRule>
  </conditionalFormatting>
  <conditionalFormatting sqref="E2">
    <cfRule type="containsErrors" dxfId="286" priority="187">
      <formula>ISERROR(E2)</formula>
    </cfRule>
  </conditionalFormatting>
  <conditionalFormatting sqref="E2">
    <cfRule type="containsErrors" dxfId="285" priority="186">
      <formula>ISERROR(E2)</formula>
    </cfRule>
  </conditionalFormatting>
  <conditionalFormatting sqref="E3:E11">
    <cfRule type="containsErrors" dxfId="284" priority="185">
      <formula>ISERROR(E3)</formula>
    </cfRule>
  </conditionalFormatting>
  <conditionalFormatting sqref="E3:E11">
    <cfRule type="containsErrors" dxfId="283" priority="184">
      <formula>ISERROR(E3)</formula>
    </cfRule>
  </conditionalFormatting>
  <conditionalFormatting sqref="E3:E11">
    <cfRule type="containsErrors" dxfId="282" priority="183">
      <formula>ISERROR(E3)</formula>
    </cfRule>
  </conditionalFormatting>
  <conditionalFormatting sqref="E3:E11">
    <cfRule type="containsErrors" dxfId="281" priority="182">
      <formula>ISERROR(E3)</formula>
    </cfRule>
  </conditionalFormatting>
  <conditionalFormatting sqref="E3:E11">
    <cfRule type="containsErrors" dxfId="280" priority="181">
      <formula>ISERROR(E3)</formula>
    </cfRule>
  </conditionalFormatting>
  <conditionalFormatting sqref="E3:E11">
    <cfRule type="containsErrors" dxfId="279" priority="180">
      <formula>ISERROR(E3)</formula>
    </cfRule>
  </conditionalFormatting>
  <conditionalFormatting sqref="G2:G11">
    <cfRule type="containsErrors" dxfId="278" priority="179">
      <formula>ISERROR(G2)</formula>
    </cfRule>
  </conditionalFormatting>
  <conditionalFormatting sqref="G2">
    <cfRule type="containsErrors" dxfId="277" priority="178">
      <formula>ISERROR(G2)</formula>
    </cfRule>
  </conditionalFormatting>
  <conditionalFormatting sqref="G2">
    <cfRule type="containsErrors" dxfId="276" priority="177">
      <formula>ISERROR(G2)</formula>
    </cfRule>
  </conditionalFormatting>
  <conditionalFormatting sqref="G3:G11">
    <cfRule type="containsErrors" dxfId="275" priority="176">
      <formula>ISERROR(G3)</formula>
    </cfRule>
  </conditionalFormatting>
  <conditionalFormatting sqref="G3:G11">
    <cfRule type="containsErrors" dxfId="274" priority="175">
      <formula>ISERROR(G3)</formula>
    </cfRule>
  </conditionalFormatting>
  <conditionalFormatting sqref="G3:G11">
    <cfRule type="containsErrors" dxfId="273" priority="174">
      <formula>ISERROR(G3)</formula>
    </cfRule>
  </conditionalFormatting>
  <conditionalFormatting sqref="G3:G11">
    <cfRule type="containsErrors" dxfId="272" priority="173">
      <formula>ISERROR(G3)</formula>
    </cfRule>
  </conditionalFormatting>
  <conditionalFormatting sqref="G3:G11">
    <cfRule type="containsErrors" dxfId="271" priority="172">
      <formula>ISERROR(G3)</formula>
    </cfRule>
  </conditionalFormatting>
  <conditionalFormatting sqref="G3:G11">
    <cfRule type="containsErrors" dxfId="270" priority="171">
      <formula>ISERROR(G3)</formula>
    </cfRule>
  </conditionalFormatting>
  <conditionalFormatting sqref="I2:I11">
    <cfRule type="containsErrors" dxfId="269" priority="170">
      <formula>ISERROR(I2)</formula>
    </cfRule>
  </conditionalFormatting>
  <conditionalFormatting sqref="I2">
    <cfRule type="containsErrors" dxfId="268" priority="169">
      <formula>ISERROR(I2)</formula>
    </cfRule>
  </conditionalFormatting>
  <conditionalFormatting sqref="I2">
    <cfRule type="containsErrors" dxfId="267" priority="168">
      <formula>ISERROR(I2)</formula>
    </cfRule>
  </conditionalFormatting>
  <conditionalFormatting sqref="I3:I11">
    <cfRule type="containsErrors" dxfId="266" priority="167">
      <formula>ISERROR(I3)</formula>
    </cfRule>
  </conditionalFormatting>
  <conditionalFormatting sqref="I3:I11">
    <cfRule type="containsErrors" dxfId="265" priority="166">
      <formula>ISERROR(I3)</formula>
    </cfRule>
  </conditionalFormatting>
  <conditionalFormatting sqref="I3:I11">
    <cfRule type="containsErrors" dxfId="264" priority="165">
      <formula>ISERROR(I3)</formula>
    </cfRule>
  </conditionalFormatting>
  <conditionalFormatting sqref="I3:I11">
    <cfRule type="containsErrors" dxfId="263" priority="164">
      <formula>ISERROR(I3)</formula>
    </cfRule>
  </conditionalFormatting>
  <conditionalFormatting sqref="I3:I11">
    <cfRule type="containsErrors" dxfId="262" priority="163">
      <formula>ISERROR(I3)</formula>
    </cfRule>
  </conditionalFormatting>
  <conditionalFormatting sqref="I3:I11">
    <cfRule type="containsErrors" dxfId="261" priority="162">
      <formula>ISERROR(I3)</formula>
    </cfRule>
  </conditionalFormatting>
  <conditionalFormatting sqref="K2:K11">
    <cfRule type="containsErrors" dxfId="260" priority="161">
      <formula>ISERROR(K2)</formula>
    </cfRule>
  </conditionalFormatting>
  <conditionalFormatting sqref="K2">
    <cfRule type="containsErrors" dxfId="259" priority="160">
      <formula>ISERROR(K2)</formula>
    </cfRule>
  </conditionalFormatting>
  <conditionalFormatting sqref="K2">
    <cfRule type="containsErrors" dxfId="258" priority="159">
      <formula>ISERROR(K2)</formula>
    </cfRule>
  </conditionalFormatting>
  <conditionalFormatting sqref="K3:K11">
    <cfRule type="containsErrors" dxfId="257" priority="158">
      <formula>ISERROR(K3)</formula>
    </cfRule>
  </conditionalFormatting>
  <conditionalFormatting sqref="K3:K11">
    <cfRule type="containsErrors" dxfId="256" priority="157">
      <formula>ISERROR(K3)</formula>
    </cfRule>
  </conditionalFormatting>
  <conditionalFormatting sqref="K3:K11">
    <cfRule type="containsErrors" dxfId="255" priority="156">
      <formula>ISERROR(K3)</formula>
    </cfRule>
  </conditionalFormatting>
  <conditionalFormatting sqref="K3:K11">
    <cfRule type="containsErrors" dxfId="254" priority="155">
      <formula>ISERROR(K3)</formula>
    </cfRule>
  </conditionalFormatting>
  <conditionalFormatting sqref="K3:K11">
    <cfRule type="containsErrors" dxfId="253" priority="154">
      <formula>ISERROR(K3)</formula>
    </cfRule>
  </conditionalFormatting>
  <conditionalFormatting sqref="K3:K11">
    <cfRule type="containsErrors" dxfId="252" priority="153">
      <formula>ISERROR(K3)</formula>
    </cfRule>
  </conditionalFormatting>
  <conditionalFormatting sqref="C28:C37">
    <cfRule type="containsErrors" dxfId="251" priority="152">
      <formula>ISERROR(C28)</formula>
    </cfRule>
  </conditionalFormatting>
  <conditionalFormatting sqref="E28:E37">
    <cfRule type="containsErrors" dxfId="250" priority="151">
      <formula>ISERROR(E28)</formula>
    </cfRule>
  </conditionalFormatting>
  <conditionalFormatting sqref="G28:G37">
    <cfRule type="containsErrors" dxfId="249" priority="150">
      <formula>ISERROR(G28)</formula>
    </cfRule>
  </conditionalFormatting>
  <conditionalFormatting sqref="I28:I37">
    <cfRule type="containsErrors" dxfId="248" priority="149">
      <formula>ISERROR(I28)</formula>
    </cfRule>
  </conditionalFormatting>
  <conditionalFormatting sqref="K28:K37">
    <cfRule type="containsErrors" dxfId="247" priority="148">
      <formula>ISERROR(K28)</formula>
    </cfRule>
  </conditionalFormatting>
  <conditionalFormatting sqref="G28 I28 K28">
    <cfRule type="containsErrors" dxfId="246" priority="147">
      <formula>ISERROR(G28)</formula>
    </cfRule>
  </conditionalFormatting>
  <conditionalFormatting sqref="I28">
    <cfRule type="containsErrors" dxfId="245" priority="146">
      <formula>ISERROR(I28)</formula>
    </cfRule>
  </conditionalFormatting>
  <conditionalFormatting sqref="G29:G33">
    <cfRule type="containsErrors" dxfId="244" priority="145">
      <formula>ISERROR(G29)</formula>
    </cfRule>
  </conditionalFormatting>
  <conditionalFormatting sqref="G34:G37">
    <cfRule type="containsErrors" dxfId="243" priority="144">
      <formula>ISERROR(G34)</formula>
    </cfRule>
  </conditionalFormatting>
  <conditionalFormatting sqref="I29:I37">
    <cfRule type="containsErrors" dxfId="242" priority="143">
      <formula>ISERROR(I29)</formula>
    </cfRule>
  </conditionalFormatting>
  <conditionalFormatting sqref="I29:I37">
    <cfRule type="containsErrors" dxfId="241" priority="142">
      <formula>ISERROR(I29)</formula>
    </cfRule>
  </conditionalFormatting>
  <conditionalFormatting sqref="K29:K37">
    <cfRule type="containsErrors" dxfId="240" priority="141">
      <formula>ISERROR(K29)</formula>
    </cfRule>
  </conditionalFormatting>
  <conditionalFormatting sqref="C28">
    <cfRule type="containsErrors" dxfId="239" priority="140">
      <formula>ISERROR(C28)</formula>
    </cfRule>
  </conditionalFormatting>
  <conditionalFormatting sqref="C28">
    <cfRule type="containsErrors" dxfId="238" priority="139">
      <formula>ISERROR(C28)</formula>
    </cfRule>
  </conditionalFormatting>
  <conditionalFormatting sqref="C29:C37">
    <cfRule type="containsErrors" dxfId="237" priority="138">
      <formula>ISERROR(C29)</formula>
    </cfRule>
  </conditionalFormatting>
  <conditionalFormatting sqref="C29:C37">
    <cfRule type="containsErrors" dxfId="236" priority="137">
      <formula>ISERROR(C29)</formula>
    </cfRule>
  </conditionalFormatting>
  <conditionalFormatting sqref="C29:C37">
    <cfRule type="containsErrors" dxfId="235" priority="136">
      <formula>ISERROR(C29)</formula>
    </cfRule>
  </conditionalFormatting>
  <conditionalFormatting sqref="C29:C37">
    <cfRule type="containsErrors" dxfId="234" priority="135">
      <formula>ISERROR(C29)</formula>
    </cfRule>
  </conditionalFormatting>
  <conditionalFormatting sqref="E28">
    <cfRule type="containsErrors" dxfId="233" priority="134">
      <formula>ISERROR(E28)</formula>
    </cfRule>
  </conditionalFormatting>
  <conditionalFormatting sqref="E28">
    <cfRule type="containsErrors" dxfId="232" priority="133">
      <formula>ISERROR(E28)</formula>
    </cfRule>
  </conditionalFormatting>
  <conditionalFormatting sqref="E28">
    <cfRule type="containsErrors" dxfId="231" priority="132">
      <formula>ISERROR(E28)</formula>
    </cfRule>
  </conditionalFormatting>
  <conditionalFormatting sqref="E29:E37">
    <cfRule type="containsErrors" dxfId="230" priority="131">
      <formula>ISERROR(E29)</formula>
    </cfRule>
  </conditionalFormatting>
  <conditionalFormatting sqref="E29:E37">
    <cfRule type="containsErrors" dxfId="229" priority="130">
      <formula>ISERROR(E29)</formula>
    </cfRule>
  </conditionalFormatting>
  <conditionalFormatting sqref="E29:E37">
    <cfRule type="containsErrors" dxfId="228" priority="129">
      <formula>ISERROR(E29)</formula>
    </cfRule>
  </conditionalFormatting>
  <conditionalFormatting sqref="G28:G37">
    <cfRule type="containsErrors" dxfId="227" priority="128">
      <formula>ISERROR(G28)</formula>
    </cfRule>
  </conditionalFormatting>
  <conditionalFormatting sqref="G28">
    <cfRule type="containsErrors" dxfId="226" priority="127">
      <formula>ISERROR(G28)</formula>
    </cfRule>
  </conditionalFormatting>
  <conditionalFormatting sqref="G28">
    <cfRule type="containsErrors" dxfId="225" priority="126">
      <formula>ISERROR(G28)</formula>
    </cfRule>
  </conditionalFormatting>
  <conditionalFormatting sqref="G28">
    <cfRule type="containsErrors" dxfId="224" priority="125">
      <formula>ISERROR(G28)</formula>
    </cfRule>
  </conditionalFormatting>
  <conditionalFormatting sqref="G29:G37">
    <cfRule type="containsErrors" dxfId="223" priority="124">
      <formula>ISERROR(G29)</formula>
    </cfRule>
  </conditionalFormatting>
  <conditionalFormatting sqref="G29:G37">
    <cfRule type="containsErrors" dxfId="222" priority="123">
      <formula>ISERROR(G29)</formula>
    </cfRule>
  </conditionalFormatting>
  <conditionalFormatting sqref="G29:G37">
    <cfRule type="containsErrors" dxfId="221" priority="122">
      <formula>ISERROR(G29)</formula>
    </cfRule>
  </conditionalFormatting>
  <conditionalFormatting sqref="I28:I37">
    <cfRule type="containsErrors" dxfId="220" priority="121">
      <formula>ISERROR(I28)</formula>
    </cfRule>
  </conditionalFormatting>
  <conditionalFormatting sqref="I28">
    <cfRule type="containsErrors" dxfId="219" priority="120">
      <formula>ISERROR(I28)</formula>
    </cfRule>
  </conditionalFormatting>
  <conditionalFormatting sqref="I28">
    <cfRule type="containsErrors" dxfId="218" priority="119">
      <formula>ISERROR(I28)</formula>
    </cfRule>
  </conditionalFormatting>
  <conditionalFormatting sqref="I28">
    <cfRule type="containsErrors" dxfId="217" priority="118">
      <formula>ISERROR(I28)</formula>
    </cfRule>
  </conditionalFormatting>
  <conditionalFormatting sqref="I29:I37">
    <cfRule type="containsErrors" dxfId="216" priority="117">
      <formula>ISERROR(I29)</formula>
    </cfRule>
  </conditionalFormatting>
  <conditionalFormatting sqref="I29:I37">
    <cfRule type="containsErrors" dxfId="215" priority="116">
      <formula>ISERROR(I29)</formula>
    </cfRule>
  </conditionalFormatting>
  <conditionalFormatting sqref="I29:I37">
    <cfRule type="containsErrors" dxfId="214" priority="115">
      <formula>ISERROR(I29)</formula>
    </cfRule>
  </conditionalFormatting>
  <conditionalFormatting sqref="C29:C37">
    <cfRule type="containsErrors" dxfId="213" priority="114">
      <formula>ISERROR(C29)</formula>
    </cfRule>
  </conditionalFormatting>
  <conditionalFormatting sqref="C29:C37">
    <cfRule type="containsErrors" dxfId="212" priority="113">
      <formula>ISERROR(C29)</formula>
    </cfRule>
  </conditionalFormatting>
  <conditionalFormatting sqref="E28:E37">
    <cfRule type="containsErrors" dxfId="211" priority="112">
      <formula>ISERROR(E28)</formula>
    </cfRule>
  </conditionalFormatting>
  <conditionalFormatting sqref="E28">
    <cfRule type="containsErrors" dxfId="210" priority="111">
      <formula>ISERROR(E28)</formula>
    </cfRule>
  </conditionalFormatting>
  <conditionalFormatting sqref="E28">
    <cfRule type="containsErrors" dxfId="209" priority="110">
      <formula>ISERROR(E28)</formula>
    </cfRule>
  </conditionalFormatting>
  <conditionalFormatting sqref="E29:E37">
    <cfRule type="containsErrors" dxfId="208" priority="109">
      <formula>ISERROR(E29)</formula>
    </cfRule>
  </conditionalFormatting>
  <conditionalFormatting sqref="E29:E37">
    <cfRule type="containsErrors" dxfId="207" priority="108">
      <formula>ISERROR(E29)</formula>
    </cfRule>
  </conditionalFormatting>
  <conditionalFormatting sqref="E29:E37">
    <cfRule type="containsErrors" dxfId="206" priority="107">
      <formula>ISERROR(E29)</formula>
    </cfRule>
  </conditionalFormatting>
  <conditionalFormatting sqref="E29:E37">
    <cfRule type="containsErrors" dxfId="205" priority="106">
      <formula>ISERROR(E29)</formula>
    </cfRule>
  </conditionalFormatting>
  <conditionalFormatting sqref="E29:E37">
    <cfRule type="containsErrors" dxfId="204" priority="105">
      <formula>ISERROR(E29)</formula>
    </cfRule>
  </conditionalFormatting>
  <conditionalFormatting sqref="E29:E37">
    <cfRule type="containsErrors" dxfId="203" priority="104">
      <formula>ISERROR(E29)</formula>
    </cfRule>
  </conditionalFormatting>
  <conditionalFormatting sqref="G28:G37">
    <cfRule type="containsErrors" dxfId="202" priority="103">
      <formula>ISERROR(G28)</formula>
    </cfRule>
  </conditionalFormatting>
  <conditionalFormatting sqref="G28">
    <cfRule type="containsErrors" dxfId="201" priority="102">
      <formula>ISERROR(G28)</formula>
    </cfRule>
  </conditionalFormatting>
  <conditionalFormatting sqref="G28">
    <cfRule type="containsErrors" dxfId="200" priority="101">
      <formula>ISERROR(G28)</formula>
    </cfRule>
  </conditionalFormatting>
  <conditionalFormatting sqref="G29:G37">
    <cfRule type="containsErrors" dxfId="199" priority="100">
      <formula>ISERROR(G29)</formula>
    </cfRule>
  </conditionalFormatting>
  <conditionalFormatting sqref="G29:G37">
    <cfRule type="containsErrors" dxfId="198" priority="99">
      <formula>ISERROR(G29)</formula>
    </cfRule>
  </conditionalFormatting>
  <conditionalFormatting sqref="G29:G37">
    <cfRule type="containsErrors" dxfId="197" priority="98">
      <formula>ISERROR(G29)</formula>
    </cfRule>
  </conditionalFormatting>
  <conditionalFormatting sqref="G29:G37">
    <cfRule type="containsErrors" dxfId="196" priority="97">
      <formula>ISERROR(G29)</formula>
    </cfRule>
  </conditionalFormatting>
  <conditionalFormatting sqref="G29:G37">
    <cfRule type="containsErrors" dxfId="195" priority="96">
      <formula>ISERROR(G29)</formula>
    </cfRule>
  </conditionalFormatting>
  <conditionalFormatting sqref="G29:G37">
    <cfRule type="containsErrors" dxfId="194" priority="95">
      <formula>ISERROR(G29)</formula>
    </cfRule>
  </conditionalFormatting>
  <conditionalFormatting sqref="I28:I37">
    <cfRule type="containsErrors" dxfId="193" priority="94">
      <formula>ISERROR(I28)</formula>
    </cfRule>
  </conditionalFormatting>
  <conditionalFormatting sqref="I28">
    <cfRule type="containsErrors" dxfId="192" priority="93">
      <formula>ISERROR(I28)</formula>
    </cfRule>
  </conditionalFormatting>
  <conditionalFormatting sqref="I28">
    <cfRule type="containsErrors" dxfId="191" priority="92">
      <formula>ISERROR(I28)</formula>
    </cfRule>
  </conditionalFormatting>
  <conditionalFormatting sqref="I29:I37">
    <cfRule type="containsErrors" dxfId="190" priority="91">
      <formula>ISERROR(I29)</formula>
    </cfRule>
  </conditionalFormatting>
  <conditionalFormatting sqref="I29:I37">
    <cfRule type="containsErrors" dxfId="189" priority="90">
      <formula>ISERROR(I29)</formula>
    </cfRule>
  </conditionalFormatting>
  <conditionalFormatting sqref="I29:I37">
    <cfRule type="containsErrors" dxfId="188" priority="89">
      <formula>ISERROR(I29)</formula>
    </cfRule>
  </conditionalFormatting>
  <conditionalFormatting sqref="I29:I37">
    <cfRule type="containsErrors" dxfId="187" priority="88">
      <formula>ISERROR(I29)</formula>
    </cfRule>
  </conditionalFormatting>
  <conditionalFormatting sqref="I29:I37">
    <cfRule type="containsErrors" dxfId="186" priority="87">
      <formula>ISERROR(I29)</formula>
    </cfRule>
  </conditionalFormatting>
  <conditionalFormatting sqref="I29:I37">
    <cfRule type="containsErrors" dxfId="185" priority="86">
      <formula>ISERROR(I29)</formula>
    </cfRule>
  </conditionalFormatting>
  <conditionalFormatting sqref="K28:K37">
    <cfRule type="containsErrors" dxfId="184" priority="85">
      <formula>ISERROR(K28)</formula>
    </cfRule>
  </conditionalFormatting>
  <conditionalFormatting sqref="K28">
    <cfRule type="containsErrors" dxfId="183" priority="84">
      <formula>ISERROR(K28)</formula>
    </cfRule>
  </conditionalFormatting>
  <conditionalFormatting sqref="K28">
    <cfRule type="containsErrors" dxfId="182" priority="83">
      <formula>ISERROR(K28)</formula>
    </cfRule>
  </conditionalFormatting>
  <conditionalFormatting sqref="K29:K37">
    <cfRule type="containsErrors" dxfId="181" priority="82">
      <formula>ISERROR(K29)</formula>
    </cfRule>
  </conditionalFormatting>
  <conditionalFormatting sqref="K29:K37">
    <cfRule type="containsErrors" dxfId="180" priority="81">
      <formula>ISERROR(K29)</formula>
    </cfRule>
  </conditionalFormatting>
  <conditionalFormatting sqref="K29:K37">
    <cfRule type="containsErrors" dxfId="179" priority="80">
      <formula>ISERROR(K29)</formula>
    </cfRule>
  </conditionalFormatting>
  <conditionalFormatting sqref="K29:K37">
    <cfRule type="containsErrors" dxfId="178" priority="79">
      <formula>ISERROR(K29)</formula>
    </cfRule>
  </conditionalFormatting>
  <conditionalFormatting sqref="K29:K37">
    <cfRule type="containsErrors" dxfId="177" priority="78">
      <formula>ISERROR(K29)</formula>
    </cfRule>
  </conditionalFormatting>
  <conditionalFormatting sqref="K29:K37">
    <cfRule type="containsErrors" dxfId="176" priority="77">
      <formula>ISERROR(K29)</formula>
    </cfRule>
  </conditionalFormatting>
  <conditionalFormatting sqref="C28:C37">
    <cfRule type="containsErrors" dxfId="175" priority="76">
      <formula>ISERROR(C28)</formula>
    </cfRule>
  </conditionalFormatting>
  <conditionalFormatting sqref="E28:E37">
    <cfRule type="containsErrors" dxfId="174" priority="75">
      <formula>ISERROR(E28)</formula>
    </cfRule>
  </conditionalFormatting>
  <conditionalFormatting sqref="G28:G37">
    <cfRule type="containsErrors" dxfId="173" priority="74">
      <formula>ISERROR(G28)</formula>
    </cfRule>
  </conditionalFormatting>
  <conditionalFormatting sqref="I28:I37">
    <cfRule type="containsErrors" dxfId="172" priority="73">
      <formula>ISERROR(I28)</formula>
    </cfRule>
  </conditionalFormatting>
  <conditionalFormatting sqref="K28:K37">
    <cfRule type="containsErrors" dxfId="171" priority="72">
      <formula>ISERROR(K28)</formula>
    </cfRule>
  </conditionalFormatting>
  <conditionalFormatting sqref="G28 I28 K28">
    <cfRule type="containsErrors" dxfId="170" priority="71">
      <formula>ISERROR(G28)</formula>
    </cfRule>
  </conditionalFormatting>
  <conditionalFormatting sqref="I28">
    <cfRule type="containsErrors" dxfId="169" priority="70">
      <formula>ISERROR(I28)</formula>
    </cfRule>
  </conditionalFormatting>
  <conditionalFormatting sqref="G29:G33">
    <cfRule type="containsErrors" dxfId="168" priority="69">
      <formula>ISERROR(G29)</formula>
    </cfRule>
  </conditionalFormatting>
  <conditionalFormatting sqref="G34:G37">
    <cfRule type="containsErrors" dxfId="167" priority="68">
      <formula>ISERROR(G34)</formula>
    </cfRule>
  </conditionalFormatting>
  <conditionalFormatting sqref="I29:I37">
    <cfRule type="containsErrors" dxfId="166" priority="67">
      <formula>ISERROR(I29)</formula>
    </cfRule>
  </conditionalFormatting>
  <conditionalFormatting sqref="I29:I37">
    <cfRule type="containsErrors" dxfId="165" priority="66">
      <formula>ISERROR(I29)</formula>
    </cfRule>
  </conditionalFormatting>
  <conditionalFormatting sqref="K29:K37">
    <cfRule type="containsErrors" dxfId="164" priority="65">
      <formula>ISERROR(K29)</formula>
    </cfRule>
  </conditionalFormatting>
  <conditionalFormatting sqref="C28">
    <cfRule type="containsErrors" dxfId="163" priority="64">
      <formula>ISERROR(C28)</formula>
    </cfRule>
  </conditionalFormatting>
  <conditionalFormatting sqref="C28">
    <cfRule type="containsErrors" dxfId="162" priority="63">
      <formula>ISERROR(C28)</formula>
    </cfRule>
  </conditionalFormatting>
  <conditionalFormatting sqref="C29:C37">
    <cfRule type="containsErrors" dxfId="161" priority="62">
      <formula>ISERROR(C29)</formula>
    </cfRule>
  </conditionalFormatting>
  <conditionalFormatting sqref="C29:C37">
    <cfRule type="containsErrors" dxfId="160" priority="61">
      <formula>ISERROR(C29)</formula>
    </cfRule>
  </conditionalFormatting>
  <conditionalFormatting sqref="C29:C37">
    <cfRule type="containsErrors" dxfId="159" priority="60">
      <formula>ISERROR(C29)</formula>
    </cfRule>
  </conditionalFormatting>
  <conditionalFormatting sqref="C29:C37">
    <cfRule type="containsErrors" dxfId="158" priority="59">
      <formula>ISERROR(C29)</formula>
    </cfRule>
  </conditionalFormatting>
  <conditionalFormatting sqref="E28">
    <cfRule type="containsErrors" dxfId="157" priority="58">
      <formula>ISERROR(E28)</formula>
    </cfRule>
  </conditionalFormatting>
  <conditionalFormatting sqref="E28">
    <cfRule type="containsErrors" dxfId="156" priority="57">
      <formula>ISERROR(E28)</formula>
    </cfRule>
  </conditionalFormatting>
  <conditionalFormatting sqref="E28">
    <cfRule type="containsErrors" dxfId="155" priority="56">
      <formula>ISERROR(E28)</formula>
    </cfRule>
  </conditionalFormatting>
  <conditionalFormatting sqref="E29:E37">
    <cfRule type="containsErrors" dxfId="154" priority="55">
      <formula>ISERROR(E29)</formula>
    </cfRule>
  </conditionalFormatting>
  <conditionalFormatting sqref="E29:E37">
    <cfRule type="containsErrors" dxfId="153" priority="54">
      <formula>ISERROR(E29)</formula>
    </cfRule>
  </conditionalFormatting>
  <conditionalFormatting sqref="E29:E37">
    <cfRule type="containsErrors" dxfId="152" priority="53">
      <formula>ISERROR(E29)</formula>
    </cfRule>
  </conditionalFormatting>
  <conditionalFormatting sqref="G28:G37">
    <cfRule type="containsErrors" dxfId="151" priority="52">
      <formula>ISERROR(G28)</formula>
    </cfRule>
  </conditionalFormatting>
  <conditionalFormatting sqref="G28">
    <cfRule type="containsErrors" dxfId="150" priority="51">
      <formula>ISERROR(G28)</formula>
    </cfRule>
  </conditionalFormatting>
  <conditionalFormatting sqref="G28">
    <cfRule type="containsErrors" dxfId="149" priority="50">
      <formula>ISERROR(G28)</formula>
    </cfRule>
  </conditionalFormatting>
  <conditionalFormatting sqref="G28">
    <cfRule type="containsErrors" dxfId="148" priority="49">
      <formula>ISERROR(G28)</formula>
    </cfRule>
  </conditionalFormatting>
  <conditionalFormatting sqref="G29:G37">
    <cfRule type="containsErrors" dxfId="147" priority="48">
      <formula>ISERROR(G29)</formula>
    </cfRule>
  </conditionalFormatting>
  <conditionalFormatting sqref="G29:G37">
    <cfRule type="containsErrors" dxfId="146" priority="47">
      <formula>ISERROR(G29)</formula>
    </cfRule>
  </conditionalFormatting>
  <conditionalFormatting sqref="G29:G37">
    <cfRule type="containsErrors" dxfId="145" priority="46">
      <formula>ISERROR(G29)</formula>
    </cfRule>
  </conditionalFormatting>
  <conditionalFormatting sqref="I28:I37">
    <cfRule type="containsErrors" dxfId="144" priority="45">
      <formula>ISERROR(I28)</formula>
    </cfRule>
  </conditionalFormatting>
  <conditionalFormatting sqref="I28">
    <cfRule type="containsErrors" dxfId="143" priority="44">
      <formula>ISERROR(I28)</formula>
    </cfRule>
  </conditionalFormatting>
  <conditionalFormatting sqref="I28">
    <cfRule type="containsErrors" dxfId="142" priority="43">
      <formula>ISERROR(I28)</formula>
    </cfRule>
  </conditionalFormatting>
  <conditionalFormatting sqref="I28">
    <cfRule type="containsErrors" dxfId="141" priority="42">
      <formula>ISERROR(I28)</formula>
    </cfRule>
  </conditionalFormatting>
  <conditionalFormatting sqref="I29:I37">
    <cfRule type="containsErrors" dxfId="140" priority="41">
      <formula>ISERROR(I29)</formula>
    </cfRule>
  </conditionalFormatting>
  <conditionalFormatting sqref="I29:I37">
    <cfRule type="containsErrors" dxfId="139" priority="40">
      <formula>ISERROR(I29)</formula>
    </cfRule>
  </conditionalFormatting>
  <conditionalFormatting sqref="I29:I37">
    <cfRule type="containsErrors" dxfId="138" priority="39">
      <formula>ISERROR(I29)</formula>
    </cfRule>
  </conditionalFormatting>
  <conditionalFormatting sqref="C29:C37">
    <cfRule type="containsErrors" dxfId="137" priority="38">
      <formula>ISERROR(C29)</formula>
    </cfRule>
  </conditionalFormatting>
  <conditionalFormatting sqref="C29:C37">
    <cfRule type="containsErrors" dxfId="136" priority="37">
      <formula>ISERROR(C29)</formula>
    </cfRule>
  </conditionalFormatting>
  <conditionalFormatting sqref="E28:E37">
    <cfRule type="containsErrors" dxfId="135" priority="36">
      <formula>ISERROR(E28)</formula>
    </cfRule>
  </conditionalFormatting>
  <conditionalFormatting sqref="E28">
    <cfRule type="containsErrors" dxfId="134" priority="35">
      <formula>ISERROR(E28)</formula>
    </cfRule>
  </conditionalFormatting>
  <conditionalFormatting sqref="E28">
    <cfRule type="containsErrors" dxfId="133" priority="34">
      <formula>ISERROR(E28)</formula>
    </cfRule>
  </conditionalFormatting>
  <conditionalFormatting sqref="E29:E37">
    <cfRule type="containsErrors" dxfId="132" priority="33">
      <formula>ISERROR(E29)</formula>
    </cfRule>
  </conditionalFormatting>
  <conditionalFormatting sqref="E29:E37">
    <cfRule type="containsErrors" dxfId="131" priority="32">
      <formula>ISERROR(E29)</formula>
    </cfRule>
  </conditionalFormatting>
  <conditionalFormatting sqref="E29:E37">
    <cfRule type="containsErrors" dxfId="130" priority="31">
      <formula>ISERROR(E29)</formula>
    </cfRule>
  </conditionalFormatting>
  <conditionalFormatting sqref="E29:E37">
    <cfRule type="containsErrors" dxfId="129" priority="30">
      <formula>ISERROR(E29)</formula>
    </cfRule>
  </conditionalFormatting>
  <conditionalFormatting sqref="E29:E37">
    <cfRule type="containsErrors" dxfId="128" priority="29">
      <formula>ISERROR(E29)</formula>
    </cfRule>
  </conditionalFormatting>
  <conditionalFormatting sqref="E29:E37">
    <cfRule type="containsErrors" dxfId="127" priority="28">
      <formula>ISERROR(E29)</formula>
    </cfRule>
  </conditionalFormatting>
  <conditionalFormatting sqref="G28:G37">
    <cfRule type="containsErrors" dxfId="126" priority="27">
      <formula>ISERROR(G28)</formula>
    </cfRule>
  </conditionalFormatting>
  <conditionalFormatting sqref="G28">
    <cfRule type="containsErrors" dxfId="125" priority="26">
      <formula>ISERROR(G28)</formula>
    </cfRule>
  </conditionalFormatting>
  <conditionalFormatting sqref="G28">
    <cfRule type="containsErrors" dxfId="124" priority="25">
      <formula>ISERROR(G28)</formula>
    </cfRule>
  </conditionalFormatting>
  <conditionalFormatting sqref="G29:G37">
    <cfRule type="containsErrors" dxfId="123" priority="24">
      <formula>ISERROR(G29)</formula>
    </cfRule>
  </conditionalFormatting>
  <conditionalFormatting sqref="G29:G37">
    <cfRule type="containsErrors" dxfId="122" priority="23">
      <formula>ISERROR(G29)</formula>
    </cfRule>
  </conditionalFormatting>
  <conditionalFormatting sqref="G29:G37">
    <cfRule type="containsErrors" dxfId="121" priority="22">
      <formula>ISERROR(G29)</formula>
    </cfRule>
  </conditionalFormatting>
  <conditionalFormatting sqref="G29:G37">
    <cfRule type="containsErrors" dxfId="120" priority="21">
      <formula>ISERROR(G29)</formula>
    </cfRule>
  </conditionalFormatting>
  <conditionalFormatting sqref="G29:G37">
    <cfRule type="containsErrors" dxfId="119" priority="20">
      <formula>ISERROR(G29)</formula>
    </cfRule>
  </conditionalFormatting>
  <conditionalFormatting sqref="G29:G37">
    <cfRule type="containsErrors" dxfId="118" priority="19">
      <formula>ISERROR(G29)</formula>
    </cfRule>
  </conditionalFormatting>
  <conditionalFormatting sqref="I28:I37">
    <cfRule type="containsErrors" dxfId="117" priority="18">
      <formula>ISERROR(I28)</formula>
    </cfRule>
  </conditionalFormatting>
  <conditionalFormatting sqref="I28">
    <cfRule type="containsErrors" dxfId="116" priority="17">
      <formula>ISERROR(I28)</formula>
    </cfRule>
  </conditionalFormatting>
  <conditionalFormatting sqref="I28">
    <cfRule type="containsErrors" dxfId="115" priority="16">
      <formula>ISERROR(I28)</formula>
    </cfRule>
  </conditionalFormatting>
  <conditionalFormatting sqref="I29:I37">
    <cfRule type="containsErrors" dxfId="114" priority="15">
      <formula>ISERROR(I29)</formula>
    </cfRule>
  </conditionalFormatting>
  <conditionalFormatting sqref="I29:I37">
    <cfRule type="containsErrors" dxfId="113" priority="14">
      <formula>ISERROR(I29)</formula>
    </cfRule>
  </conditionalFormatting>
  <conditionalFormatting sqref="I29:I37">
    <cfRule type="containsErrors" dxfId="112" priority="13">
      <formula>ISERROR(I29)</formula>
    </cfRule>
  </conditionalFormatting>
  <conditionalFormatting sqref="I29:I37">
    <cfRule type="containsErrors" dxfId="111" priority="12">
      <formula>ISERROR(I29)</formula>
    </cfRule>
  </conditionalFormatting>
  <conditionalFormatting sqref="I29:I37">
    <cfRule type="containsErrors" dxfId="110" priority="11">
      <formula>ISERROR(I29)</formula>
    </cfRule>
  </conditionalFormatting>
  <conditionalFormatting sqref="I29:I37">
    <cfRule type="containsErrors" dxfId="109" priority="10">
      <formula>ISERROR(I29)</formula>
    </cfRule>
  </conditionalFormatting>
  <conditionalFormatting sqref="K28:K37">
    <cfRule type="containsErrors" dxfId="108" priority="9">
      <formula>ISERROR(K28)</formula>
    </cfRule>
  </conditionalFormatting>
  <conditionalFormatting sqref="K28">
    <cfRule type="containsErrors" dxfId="107" priority="8">
      <formula>ISERROR(K28)</formula>
    </cfRule>
  </conditionalFormatting>
  <conditionalFormatting sqref="K28">
    <cfRule type="containsErrors" dxfId="106" priority="7">
      <formula>ISERROR(K28)</formula>
    </cfRule>
  </conditionalFormatting>
  <conditionalFormatting sqref="K29:K37">
    <cfRule type="containsErrors" dxfId="105" priority="6">
      <formula>ISERROR(K29)</formula>
    </cfRule>
  </conditionalFormatting>
  <conditionalFormatting sqref="K29:K37">
    <cfRule type="containsErrors" dxfId="104" priority="5">
      <formula>ISERROR(K29)</formula>
    </cfRule>
  </conditionalFormatting>
  <conditionalFormatting sqref="K29:K37">
    <cfRule type="containsErrors" dxfId="103" priority="4">
      <formula>ISERROR(K29)</formula>
    </cfRule>
  </conditionalFormatting>
  <conditionalFormatting sqref="K29:K37">
    <cfRule type="containsErrors" dxfId="102" priority="3">
      <formula>ISERROR(K29)</formula>
    </cfRule>
  </conditionalFormatting>
  <conditionalFormatting sqref="K29:K37">
    <cfRule type="containsErrors" dxfId="101" priority="2">
      <formula>ISERROR(K29)</formula>
    </cfRule>
  </conditionalFormatting>
  <conditionalFormatting sqref="K29:K37">
    <cfRule type="containsErrors" dxfId="100"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99" priority="2"/>
    <cfRule type="duplicateValues" dxfId="98"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22" t="str">
        <f ca="1">"AUDIENCIAS ASIGNADAS  AL DIA: " &amp; TEXT(TODAY(),"DD/MM/YYYY")</f>
        <v>AUDIENCIAS ASIGNADAS  AL DIA: 28/11/2023</v>
      </c>
      <c r="C1" s="422"/>
      <c r="D1" s="422"/>
      <c r="E1" s="422"/>
      <c r="F1" s="422"/>
      <c r="G1" s="422"/>
      <c r="H1" s="422"/>
      <c r="I1" s="422"/>
    </row>
    <row r="3" spans="2:9" ht="28.5" customHeight="1">
      <c r="B3" s="420" t="s">
        <v>1355</v>
      </c>
      <c r="C3" s="421"/>
      <c r="E3" s="420" t="s">
        <v>1562</v>
      </c>
      <c r="F3" s="421"/>
      <c r="H3" s="420" t="s">
        <v>1581</v>
      </c>
      <c r="I3" s="421"/>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22" t="str">
        <f ca="1">"AUDIENCIAS QUE RESTAN RESOLVER -  AL DIA: " &amp; TEXT(TODAY(),"DD/MM/YYYY")</f>
        <v>AUDIENCIAS QUE RESTAN RESOLVER -  AL DIA: 28/11/2023</v>
      </c>
      <c r="C26" s="422"/>
      <c r="D26" s="422"/>
      <c r="E26" s="422"/>
      <c r="F26" s="422"/>
      <c r="G26" s="422"/>
      <c r="H26" s="422"/>
      <c r="I26" s="422"/>
    </row>
    <row r="27" spans="2:9" ht="24.95" customHeight="1"/>
    <row r="28" spans="2:9" ht="24.95" customHeight="1">
      <c r="B28" s="420" t="s">
        <v>1356</v>
      </c>
      <c r="C28" s="421"/>
      <c r="E28" s="420" t="s">
        <v>1563</v>
      </c>
      <c r="F28" s="421"/>
      <c r="H28" s="420" t="s">
        <v>1357</v>
      </c>
      <c r="I28" s="421"/>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0</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2</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22" t="str">
        <f ca="1">"AUDIENCIAS RESUELTAS AL DIA: " &amp; TEXT(TODAY(),"DD/MM/YYYY")</f>
        <v>AUDIENCIAS RESUELTAS AL DIA: 28/11/2023</v>
      </c>
      <c r="C53" s="422"/>
      <c r="D53" s="422"/>
      <c r="E53" s="422"/>
      <c r="F53" s="422"/>
      <c r="G53" s="422"/>
      <c r="H53" s="422"/>
      <c r="I53" s="422"/>
    </row>
    <row r="54" spans="2:9" ht="20.100000000000001" customHeight="1"/>
    <row r="55" spans="2:9" ht="28.35" customHeight="1">
      <c r="B55" s="420" t="s">
        <v>1358</v>
      </c>
      <c r="C55" s="421"/>
      <c r="E55" s="420" t="s">
        <v>1359</v>
      </c>
      <c r="F55" s="421"/>
      <c r="H55" s="420" t="s">
        <v>1360</v>
      </c>
      <c r="I55" s="421"/>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1</v>
      </c>
      <c r="E59" s="10" t="s">
        <v>876</v>
      </c>
      <c r="F59" s="10">
        <f>COUNTIFS(EXPEDIENTES!J:J,$E59,EXPEDIENTES!O:O,"SI")</f>
        <v>0</v>
      </c>
    </row>
    <row r="60" spans="2:9" ht="24.95" customHeight="1">
      <c r="B60" s="10" t="s">
        <v>63</v>
      </c>
      <c r="C60" s="10">
        <f ca="1">COUNTIFS(EXPEDIENTES!J:J,$B60,EXPEDIENTES!O:O,"SI")</f>
        <v>1</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1</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4</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19" t="s">
        <v>393</v>
      </c>
      <c r="C68" s="419"/>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23"/>
      <c r="B1" s="423"/>
      <c r="C1" s="423"/>
      <c r="D1" s="423"/>
      <c r="E1" s="423"/>
      <c r="F1" s="423"/>
      <c r="G1" s="423"/>
      <c r="H1" s="423"/>
      <c r="I1" s="423"/>
      <c r="J1" s="423"/>
      <c r="K1" s="168"/>
      <c r="AQ1" s="423" t="s">
        <v>1327</v>
      </c>
      <c r="AR1" s="423"/>
      <c r="AS1" s="423"/>
      <c r="AT1" s="423"/>
      <c r="AU1" s="423"/>
      <c r="AV1" s="423"/>
      <c r="AW1" s="423"/>
      <c r="AX1" s="423"/>
      <c r="AY1" s="423"/>
      <c r="AZ1" s="423"/>
      <c r="BA1" s="423"/>
    </row>
    <row r="2" spans="1:53" ht="12.75" customHeight="1"/>
    <row r="3" spans="1:53" ht="30.75" customHeight="1">
      <c r="M3" s="168" t="s">
        <v>931</v>
      </c>
      <c r="N3" s="168" t="s">
        <v>932</v>
      </c>
      <c r="AK3" s="168" t="s">
        <v>336</v>
      </c>
      <c r="AL3" s="168" t="s">
        <v>23</v>
      </c>
      <c r="AQ3" s="424" t="s">
        <v>1323</v>
      </c>
      <c r="AR3" s="424"/>
      <c r="AS3" s="424"/>
      <c r="AT3" s="424"/>
      <c r="AU3" s="424"/>
      <c r="AV3" s="424"/>
      <c r="AW3" s="424"/>
      <c r="AX3" s="424"/>
      <c r="AY3" s="424"/>
      <c r="AZ3" s="424"/>
      <c r="BA3" s="424"/>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4</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4</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28/11/2023</v>
      </c>
    </row>
    <row r="21" spans="2:54" ht="28.35" customHeight="1"/>
    <row r="22" spans="2:54" ht="28.35" customHeight="1">
      <c r="AQ22" s="425" t="s">
        <v>1327</v>
      </c>
      <c r="AR22" s="425"/>
      <c r="AS22" s="425"/>
      <c r="AT22" s="425"/>
      <c r="AU22" s="425"/>
      <c r="AV22" s="425"/>
      <c r="AW22" s="425"/>
      <c r="AX22" s="425"/>
      <c r="AY22" s="425"/>
      <c r="AZ22" s="425"/>
      <c r="BA22" s="205"/>
      <c r="BB22" s="205"/>
    </row>
    <row r="24" spans="2:54" ht="26.25">
      <c r="AQ24" s="426" t="s">
        <v>1611</v>
      </c>
      <c r="AR24" s="426"/>
      <c r="AS24" s="426"/>
      <c r="AT24" s="426"/>
      <c r="AU24" s="426"/>
      <c r="AV24" s="426"/>
      <c r="AW24" s="426"/>
      <c r="AX24" s="426"/>
      <c r="AY24" s="426"/>
      <c r="AZ24" s="426"/>
      <c r="BA24" s="206"/>
      <c r="BB24" s="206"/>
    </row>
    <row r="25" spans="2:54" ht="26.25">
      <c r="AQ25" s="426" t="s">
        <v>1953</v>
      </c>
      <c r="AR25" s="426"/>
      <c r="AS25" s="426"/>
      <c r="AT25" s="426"/>
      <c r="AU25" s="426"/>
      <c r="AV25" s="426"/>
      <c r="AW25" s="426"/>
      <c r="AX25" s="426"/>
      <c r="AY25" s="426"/>
      <c r="AZ25" s="426"/>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27" t="s">
        <v>1952</v>
      </c>
      <c r="AR34" s="427"/>
    </row>
    <row r="35" spans="1:52" ht="30" customHeight="1">
      <c r="M35" s="253" t="e">
        <f>SUM(M29:M34)</f>
        <v>#VALUE!</v>
      </c>
      <c r="N35" s="252" t="e">
        <f>SUM(N29:N34)</f>
        <v>#VALUE!</v>
      </c>
      <c r="O35" s="251" t="s">
        <v>324</v>
      </c>
      <c r="AK35" s="253" t="e">
        <f>SUM(AK29:AK34)</f>
        <v>#VALUE!</v>
      </c>
      <c r="AL35" s="252" t="e">
        <f>SUM(AL29:AL34)</f>
        <v>#VALUE!</v>
      </c>
      <c r="AM35" s="251" t="s">
        <v>324</v>
      </c>
      <c r="AQ35" s="427"/>
      <c r="AR35" s="427"/>
    </row>
    <row r="36" spans="1:52" ht="30" customHeight="1">
      <c r="AQ36" s="428">
        <f>(AQ32*100)/[2]EXPEDIENTES!C1</f>
        <v>0</v>
      </c>
      <c r="AR36" s="428"/>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28/11/2023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25" t="s">
        <v>1327</v>
      </c>
      <c r="AR42" s="425"/>
      <c r="AS42" s="425"/>
      <c r="AT42" s="425"/>
      <c r="AU42" s="425"/>
      <c r="AV42" s="425"/>
      <c r="AW42" s="425"/>
      <c r="AX42" s="425"/>
      <c r="AY42" s="425"/>
      <c r="AZ42" s="425"/>
    </row>
    <row r="43" spans="1:52" ht="30" customHeight="1">
      <c r="A43" s="264"/>
      <c r="B43" s="264"/>
      <c r="C43" s="264"/>
      <c r="AK43" s="256" t="e">
        <f>COUNTIFS([2]EXPEDIENTES!Q:Q,"Libertad",[2]EXPEDIENTES!J:J,"=Dr. Rodriguez Pipino")</f>
        <v>#VALUE!</v>
      </c>
      <c r="AL43" s="255" t="e">
        <f>AK43/AK51</f>
        <v>#VALUE!</v>
      </c>
      <c r="AM43" s="257" t="s">
        <v>671</v>
      </c>
      <c r="AQ43" s="426" t="s">
        <v>1611</v>
      </c>
      <c r="AR43" s="426"/>
      <c r="AS43" s="426"/>
      <c r="AT43" s="426"/>
      <c r="AU43" s="426"/>
      <c r="AV43" s="426"/>
      <c r="AW43" s="426"/>
      <c r="AX43" s="426"/>
      <c r="AY43" s="426"/>
      <c r="AZ43" s="426"/>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28/11/2023</v>
      </c>
    </row>
    <row r="62" spans="1:52" ht="24.95" customHeight="1"/>
    <row r="63" spans="1:52" ht="24.95" customHeight="1">
      <c r="AQ63" s="425" t="s">
        <v>1327</v>
      </c>
      <c r="AR63" s="425"/>
      <c r="AS63" s="425"/>
      <c r="AT63" s="425"/>
      <c r="AU63" s="425"/>
      <c r="AV63" s="425"/>
      <c r="AW63" s="425"/>
      <c r="AX63" s="425"/>
      <c r="AY63" s="425"/>
      <c r="AZ63" s="425"/>
    </row>
    <row r="64" spans="1:52" ht="24.95" customHeight="1">
      <c r="AQ64" s="426" t="s">
        <v>1951</v>
      </c>
      <c r="AR64" s="426"/>
      <c r="AS64" s="426"/>
      <c r="AT64" s="426"/>
      <c r="AU64" s="426"/>
      <c r="AV64" s="426"/>
      <c r="AW64" s="426"/>
      <c r="AX64" s="426"/>
      <c r="AY64" s="426"/>
      <c r="AZ64" s="426"/>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45258</v>
      </c>
    </row>
    <row r="2" spans="1:16384" ht="21.95" customHeight="1">
      <c r="B2" s="429" t="s">
        <v>345</v>
      </c>
      <c r="C2" s="429"/>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29" t="s">
        <v>385</v>
      </c>
      <c r="C22" s="429"/>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28</v>
      </c>
      <c r="F24" s="203"/>
      <c r="G24" s="203" t="s">
        <v>1526</v>
      </c>
      <c r="H24" s="203"/>
      <c r="I24" s="203"/>
      <c r="J24" s="203"/>
      <c r="K24" s="203"/>
      <c r="L24" s="203"/>
    </row>
    <row r="25" spans="2:12" ht="21.95" customHeight="1">
      <c r="B25" s="10" t="s">
        <v>21</v>
      </c>
      <c r="C25" s="10">
        <f>COUNTIF(EXPEDIENTES!G:G,B25)</f>
        <v>30</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1</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9"/>
  <sheetViews>
    <sheetView topLeftCell="A141" workbookViewId="0">
      <selection activeCell="B189" sqref="B189"/>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2271</v>
      </c>
    </row>
    <row r="164" spans="1:1" hidden="1">
      <c r="A164" s="53" t="s">
        <v>2296</v>
      </c>
    </row>
    <row r="165" spans="1:1" hidden="1">
      <c r="A165" s="53" t="s">
        <v>2316</v>
      </c>
    </row>
    <row r="166" spans="1:1" hidden="1">
      <c r="A166" s="53" t="s">
        <v>2317</v>
      </c>
    </row>
    <row r="167" spans="1:1">
      <c r="A167" s="53" t="s">
        <v>2319</v>
      </c>
    </row>
    <row r="168" spans="1:1">
      <c r="A168" s="53" t="s">
        <v>2320</v>
      </c>
    </row>
    <row r="169" spans="1:1">
      <c r="A169" s="53" t="s">
        <v>2321</v>
      </c>
    </row>
    <row r="170" spans="1:1">
      <c r="A170" s="53" t="s">
        <v>2391</v>
      </c>
    </row>
    <row r="171" spans="1:1">
      <c r="A171" s="53" t="s">
        <v>2393</v>
      </c>
    </row>
    <row r="172" spans="1:1">
      <c r="A172" s="53" t="s">
        <v>2558</v>
      </c>
    </row>
    <row r="173" spans="1:1">
      <c r="A173" s="53" t="s">
        <v>2469</v>
      </c>
    </row>
    <row r="174" spans="1:1">
      <c r="A174" s="41" t="s">
        <v>2505</v>
      </c>
    </row>
    <row r="175" spans="1:1">
      <c r="A175" s="53" t="s">
        <v>2511</v>
      </c>
    </row>
    <row r="176" spans="1:1">
      <c r="A176" s="53" t="s">
        <v>2516</v>
      </c>
    </row>
    <row r="177" spans="1:1">
      <c r="A177" s="53" t="s">
        <v>2532</v>
      </c>
    </row>
    <row r="178" spans="1:1">
      <c r="A178" s="53" t="s">
        <v>2544</v>
      </c>
    </row>
    <row r="179" spans="1:1">
      <c r="A179" s="53" t="s">
        <v>2554</v>
      </c>
    </row>
    <row r="180" spans="1:1">
      <c r="A180" s="53" t="s">
        <v>2570</v>
      </c>
    </row>
    <row r="181" spans="1:1">
      <c r="A181" s="53" t="s">
        <v>2585</v>
      </c>
    </row>
    <row r="182" spans="1:1">
      <c r="A182" s="53" t="s">
        <v>2633</v>
      </c>
    </row>
    <row r="183" spans="1:1">
      <c r="A183" s="53" t="s">
        <v>768</v>
      </c>
    </row>
    <row r="184" spans="1:1">
      <c r="A184" s="53" t="s">
        <v>2681</v>
      </c>
    </row>
    <row r="185" spans="1:1">
      <c r="A185" s="53" t="s">
        <v>2742</v>
      </c>
    </row>
    <row r="186" spans="1:1">
      <c r="A186" s="53" t="s">
        <v>2801</v>
      </c>
    </row>
    <row r="187" spans="1:1">
      <c r="A187" s="53" t="s">
        <v>2809</v>
      </c>
    </row>
    <row r="188" spans="1:1">
      <c r="A188" s="53" t="s">
        <v>2817</v>
      </c>
    </row>
    <row r="189" spans="1:1">
      <c r="A189" s="53" t="s">
        <v>2834</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8" priority="48">
      <formula>"SI(P115=""HOY"")"</formula>
    </cfRule>
  </conditionalFormatting>
  <conditionalFormatting sqref="C113:I113 K113:L113">
    <cfRule type="expression" dxfId="47" priority="47">
      <formula>"SI(P115=""HOY"")"</formula>
    </cfRule>
  </conditionalFormatting>
  <conditionalFormatting sqref="C113:I113 K113:L113">
    <cfRule type="expression" dxfId="46" priority="46">
      <formula>"SI(P115=""HOY"")"</formula>
    </cfRule>
  </conditionalFormatting>
  <conditionalFormatting sqref="C113:I113 K113:L113">
    <cfRule type="expression" dxfId="45" priority="45">
      <formula>"SI(P115=""HOY"")"</formula>
    </cfRule>
  </conditionalFormatting>
  <conditionalFormatting sqref="C113:I113 K113:L113">
    <cfRule type="expression" dxfId="44" priority="44">
      <formula>"SI(P115=""HOY"")"</formula>
    </cfRule>
  </conditionalFormatting>
  <conditionalFormatting sqref="C113:I113 K113:L113">
    <cfRule type="expression" dxfId="43" priority="43">
      <formula>"SI(P115=""HOY"")"</formula>
    </cfRule>
  </conditionalFormatting>
  <conditionalFormatting sqref="C113:I113 K113:L113">
    <cfRule type="expression" dxfId="42" priority="42">
      <formula>"SI(P115=""HOY"")"</formula>
    </cfRule>
  </conditionalFormatting>
  <conditionalFormatting sqref="C113:I113 K113:L113">
    <cfRule type="expression" dxfId="41" priority="41">
      <formula>"SI(P115=""HOY"")"</formula>
    </cfRule>
  </conditionalFormatting>
  <conditionalFormatting sqref="C113:I113 K113:L113">
    <cfRule type="expression" dxfId="40" priority="40">
      <formula>"SI(P115=""HOY"")"</formula>
    </cfRule>
  </conditionalFormatting>
  <conditionalFormatting sqref="C113:I113 K113:L113">
    <cfRule type="expression" dxfId="39" priority="39">
      <formula>"SI(P115=""HOY"")"</formula>
    </cfRule>
  </conditionalFormatting>
  <conditionalFormatting sqref="C113:I113 K113:L113">
    <cfRule type="expression" dxfId="38" priority="38">
      <formula>"SI(P115=""HOY"")"</formula>
    </cfRule>
  </conditionalFormatting>
  <conditionalFormatting sqref="C113:I113 K113:L113">
    <cfRule type="expression" dxfId="37" priority="37">
      <formula>"SI(P115=""HOY"")"</formula>
    </cfRule>
  </conditionalFormatting>
  <conditionalFormatting sqref="C113:I113 K113:L113">
    <cfRule type="expression" dxfId="36" priority="36">
      <formula>"SI(P115=""HOY"")"</formula>
    </cfRule>
  </conditionalFormatting>
  <conditionalFormatting sqref="C113:I113 K113:L113">
    <cfRule type="expression" dxfId="35" priority="35">
      <formula>"SI(P115=""HOY"")"</formula>
    </cfRule>
  </conditionalFormatting>
  <conditionalFormatting sqref="C113:I113 K113:L113">
    <cfRule type="expression" dxfId="34" priority="34">
      <formula>"SI(P115=""HOY"")"</formula>
    </cfRule>
  </conditionalFormatting>
  <conditionalFormatting sqref="C113:I113 K113:L113">
    <cfRule type="expression" dxfId="33" priority="33">
      <formula>"SI(P115=""HOY"")"</formula>
    </cfRule>
  </conditionalFormatting>
  <conditionalFormatting sqref="C113:I113 K113:L113">
    <cfRule type="expression" dxfId="32" priority="32">
      <formula>"SI(P115=""HOY"")"</formula>
    </cfRule>
  </conditionalFormatting>
  <conditionalFormatting sqref="C113:I113 K113:L113">
    <cfRule type="expression" dxfId="31" priority="31">
      <formula>"SI(P115=""HOY"")"</formula>
    </cfRule>
  </conditionalFormatting>
  <conditionalFormatting sqref="C113:I113 K113:L113">
    <cfRule type="expression" dxfId="30" priority="30">
      <formula>"SI(P115=""HOY"")"</formula>
    </cfRule>
  </conditionalFormatting>
  <conditionalFormatting sqref="C113:I113 K113:L113">
    <cfRule type="expression" dxfId="29" priority="29">
      <formula>"SI(P115=""HOY"")"</formula>
    </cfRule>
  </conditionalFormatting>
  <conditionalFormatting sqref="C113:I113 K113:L113">
    <cfRule type="expression" dxfId="28" priority="28">
      <formula>"SI(P115=""HOY"")"</formula>
    </cfRule>
  </conditionalFormatting>
  <conditionalFormatting sqref="C113:I113 K113:L113">
    <cfRule type="expression" dxfId="27" priority="27">
      <formula>"SI(P115=""HOY"")"</formula>
    </cfRule>
  </conditionalFormatting>
  <conditionalFormatting sqref="C113:I113 K113:L113">
    <cfRule type="expression" dxfId="26" priority="26">
      <formula>"SI(P115=""HOY"")"</formula>
    </cfRule>
  </conditionalFormatting>
  <conditionalFormatting sqref="C113:I113 K113:L113">
    <cfRule type="expression" dxfId="25" priority="25">
      <formula>"SI(P115=""HOY"")"</formula>
    </cfRule>
  </conditionalFormatting>
  <conditionalFormatting sqref="C113:I113 K113:L113">
    <cfRule type="expression" dxfId="24" priority="24">
      <formula>"SI(P115=""HOY"")"</formula>
    </cfRule>
  </conditionalFormatting>
  <conditionalFormatting sqref="C113:I113 K113:L113">
    <cfRule type="expression" dxfId="23" priority="23">
      <formula>"SI(P115=""HOY"")"</formula>
    </cfRule>
  </conditionalFormatting>
  <conditionalFormatting sqref="C113:I113 K113:L113">
    <cfRule type="expression" dxfId="22" priority="22">
      <formula>"SI(P115=""HOY"")"</formula>
    </cfRule>
  </conditionalFormatting>
  <conditionalFormatting sqref="C113:I113 K113:L113">
    <cfRule type="expression" dxfId="21" priority="21">
      <formula>"SI(P115=""HOY"")"</formula>
    </cfRule>
  </conditionalFormatting>
  <conditionalFormatting sqref="C113:I113 K113:L113">
    <cfRule type="expression" dxfId="20" priority="20">
      <formula>"SI(P115=""HOY"")"</formula>
    </cfRule>
  </conditionalFormatting>
  <conditionalFormatting sqref="C113:I113 K113:L113">
    <cfRule type="expression" dxfId="19" priority="19">
      <formula>"SI(P115=""HOY"")"</formula>
    </cfRule>
  </conditionalFormatting>
  <conditionalFormatting sqref="C113:I113 K113:L113">
    <cfRule type="expression" dxfId="18" priority="18">
      <formula>"SI(P115=""HOY"")"</formula>
    </cfRule>
  </conditionalFormatting>
  <conditionalFormatting sqref="C113:I113 K113:L113">
    <cfRule type="expression" dxfId="17" priority="17">
      <formula>"SI(P115=""HOY"")"</formula>
    </cfRule>
  </conditionalFormatting>
  <conditionalFormatting sqref="C113:I113 K113:L113">
    <cfRule type="expression" dxfId="16" priority="16">
      <formula>"SI(P115=""HOY"")"</formula>
    </cfRule>
  </conditionalFormatting>
  <conditionalFormatting sqref="C113:I113 K113:L113">
    <cfRule type="expression" dxfId="15" priority="15">
      <formula>"SI(P115=""HOY"")"</formula>
    </cfRule>
  </conditionalFormatting>
  <conditionalFormatting sqref="C113:I113 K113:L113">
    <cfRule type="expression" dxfId="14" priority="14">
      <formula>"SI(P115=""HOY"")"</formula>
    </cfRule>
  </conditionalFormatting>
  <conditionalFormatting sqref="C113:I113 K113:L113">
    <cfRule type="expression" dxfId="13" priority="13">
      <formula>"SI(P115=""HOY"")"</formula>
    </cfRule>
  </conditionalFormatting>
  <conditionalFormatting sqref="C113:I113 K113:L113">
    <cfRule type="expression" dxfId="12" priority="12">
      <formula>"SI(P115=""HOY"")"</formula>
    </cfRule>
  </conditionalFormatting>
  <conditionalFormatting sqref="C113:I113 K113:L113">
    <cfRule type="expression" dxfId="11" priority="11">
      <formula>"SI(P115=""HOY"")"</formula>
    </cfRule>
  </conditionalFormatting>
  <conditionalFormatting sqref="C113:I113 K113:L113">
    <cfRule type="expression" dxfId="10" priority="10">
      <formula>"SI(P115=""HOY"")"</formula>
    </cfRule>
  </conditionalFormatting>
  <conditionalFormatting sqref="C113:I113 K113:L113">
    <cfRule type="expression" dxfId="9" priority="9">
      <formula>"SI(P115=""HOY"")"</formula>
    </cfRule>
  </conditionalFormatting>
  <conditionalFormatting sqref="C113:I113 K113:L113">
    <cfRule type="expression" dxfId="8" priority="8">
      <formula>"SI(P115=""HOY"")"</formula>
    </cfRule>
  </conditionalFormatting>
  <conditionalFormatting sqref="C113:I113 K113:L113">
    <cfRule type="expression" dxfId="7" priority="7">
      <formula>"SI(P115=""HOY"")"</formula>
    </cfRule>
  </conditionalFormatting>
  <conditionalFormatting sqref="C113:I113 K113:L113">
    <cfRule type="expression" dxfId="6" priority="6">
      <formula>"SI(P115=""HOY"")"</formula>
    </cfRule>
  </conditionalFormatting>
  <conditionalFormatting sqref="C113:I113 K113:L113">
    <cfRule type="expression" dxfId="5" priority="5">
      <formula>"SI(P115=""HOY"")"</formula>
    </cfRule>
  </conditionalFormatting>
  <conditionalFormatting sqref="C113:I113 K113:L113">
    <cfRule type="expression" dxfId="4" priority="4">
      <formula>"SI(P115=""HOY"")"</formula>
    </cfRule>
  </conditionalFormatting>
  <conditionalFormatting sqref="C113:I113 K113:L113">
    <cfRule type="expression" dxfId="3" priority="3">
      <formula>"SI(P115=""HOY"")"</formula>
    </cfRule>
  </conditionalFormatting>
  <conditionalFormatting sqref="C113:I113 K113:L113">
    <cfRule type="expression" dxfId="2" priority="2">
      <formula>"SI(P115=""HOY"")"</formula>
    </cfRule>
  </conditionalFormatting>
  <conditionalFormatting sqref="C113:I113 K113:L113">
    <cfRule type="expression" dxfId="1"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2023-11-22T16:15:21Z</cp:lastPrinted>
  <dcterms:created xsi:type="dcterms:W3CDTF">2023-02-23T14:47:20Z</dcterms:created>
  <dcterms:modified xsi:type="dcterms:W3CDTF">2023-11-28T17:04:48Z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