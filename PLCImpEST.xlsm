
<file path=[Content_Types].xml><?xml version="1.0" encoding="utf-8"?>
<Types xmlns="http://schemas.openxmlformats.org/package/2006/content-types">
  <Override PartName="/xl/charts/chart6.xml" ContentType="application/vnd.openxmlformats-officedocument.drawingml.chart+xml"/>
  <Override PartName="/xl/worksheets/sheet9.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harts/chart5.xml" ContentType="application/vnd.openxmlformats-officedocument.drawingml.chart+xml"/>
  <Override PartName="/xl/ctrlProps/ctrlProp19.xml" ContentType="application/vnd.ms-excel.controlproperti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vbaProject.bin" ContentType="application/vnd.ms-office.vbaProject"/>
  <Override PartName="/xl/ctrlProps/ctrlProp18.xml" ContentType="application/vnd.ms-excel.controlproperties+xml"/>
  <Override PartName="/xl/ctrlProps/ctrlProp17.xml" ContentType="application/vnd.ms-excel.controlproperti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trlProps/ctrlProp15.xml" ContentType="application/vnd.ms-excel.controlproperties+xml"/>
  <Override PartName="/xl/ctrlProps/ctrlProp9.xml" ContentType="application/vnd.ms-excel.controlproperties+xml"/>
  <Override PartName="/xl/ctrlProps/ctrlProp16.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trlProps/ctrlProp14.xml" ContentType="application/vnd.ms-excel.controlproperties+xml"/>
  <Override PartName="/xl/ctrlProps/ctrlProp13.xml" ContentType="application/vnd.ms-excel.controlproperties+xml"/>
  <Override PartName="/xl/ctrlProps/ctrlProp8.xml" ContentType="application/vnd.ms-excel.controlproperties+xml"/>
  <Override PartName="/xl/ctrlProps/ctrlProp7.xml" ContentType="application/vnd.ms-excel.control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calcChain.xml" ContentType="application/vnd.openxmlformats-officedocument.spreadsheetml.calcChain+xml"/>
  <Override PartName="/xl/ctrlProps/ctrlProp5.xml" ContentType="application/vnd.ms-excel.controlproperties+xml"/>
  <Override PartName="/xl/ctrlProps/ctrlProp12.xml" ContentType="application/vnd.ms-excel.controlproperties+xml"/>
  <Override PartName="/xl/ctrlProps/ctrlProp6.xml" ContentType="application/vnd.ms-excel.controlproperties+xml"/>
  <Override PartName="/xl/ctrlProps/ctrlProp11.xml" ContentType="application/vnd.ms-excel.controlproperties+xml"/>
  <Override PartName="/xl/sharedStrings.xml" ContentType="application/vnd.openxmlformats-officedocument.spreadsheetml.sharedStrings+xml"/>
  <Override PartName="/xl/ctrlProps/ctrlProp10.xml" ContentType="application/vnd.ms-excel.controlproperties+xml"/>
  <Override PartName="/xl/ctrlProps/ctrlProp4.xml" ContentType="application/vnd.ms-excel.controlproperties+xml"/>
  <Override PartName="/xl/ctrlProps/ctrlProp3.xml" ContentType="application/vnd.ms-excel.controlpropertie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Default Extension="bin" ContentType="application/vnd.openxmlformats-officedocument.spreadsheetml.printerSettings"/>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60" windowWidth="15600" windowHeight="8925" tabRatio="776" activeTab="4"/>
  </bookViews>
  <sheets>
    <sheet name="EXPEDIENTES" sheetId="1" r:id="rId1"/>
    <sheet name="Informe anual" sheetId="16" r:id="rId2"/>
    <sheet name="Jueces" sheetId="2" r:id="rId3"/>
    <sheet name="Internos" sheetId="3" r:id="rId4"/>
    <sheet name="Exp por Vocales" sheetId="5" r:id="rId5"/>
    <sheet name="Exp por Vocales - Grafica" sheetId="6" r:id="rId6"/>
    <sheet name="Graficos Estadisticos" sheetId="14" r:id="rId7"/>
    <sheet name="fiscalias penales" sheetId="8" r:id="rId8"/>
    <sheet name="defensores" sheetId="10" r:id="rId9"/>
    <sheet name="Asesores" sheetId="11" r:id="rId10"/>
    <sheet name="fiscalimpug" sheetId="12" r:id="rId11"/>
    <sheet name="Resultados" sheetId="15" r:id="rId12"/>
    <sheet name="INFORME ANUAL TEMPO" sheetId="17" r:id="rId13"/>
  </sheets>
  <functionGroups/>
  <externalReferences>
    <externalReference r:id="rId14"/>
  </externalReferences>
  <definedNames>
    <definedName name="_xlnm._FilterDatabase" localSheetId="0" hidden="1">EXPEDIENTES!$A$1:$AU$203</definedName>
    <definedName name="Audiencia_cancelada___inimputabilidad">Resultados!$A$1:$A$49</definedName>
    <definedName name="INTERNOS">[1]Internos!$A$1:$A$11</definedName>
  </definedNames>
  <calcPr calcId="124519"/>
  <fileRecoveryPr autoRecover="0"/>
</workbook>
</file>

<file path=xl/calcChain.xml><?xml version="1.0" encoding="utf-8"?>
<calcChain xmlns="http://schemas.openxmlformats.org/spreadsheetml/2006/main">
  <c r="C22" i="5"/>
  <c r="C21"/>
  <c r="C20"/>
  <c r="C19"/>
  <c r="C18"/>
  <c r="C10"/>
  <c r="C9"/>
  <c r="C7"/>
  <c r="C13"/>
  <c r="C23"/>
  <c r="C17"/>
  <c r="C16"/>
  <c r="C15"/>
  <c r="C14"/>
  <c r="C12"/>
  <c r="C11"/>
  <c r="C8"/>
  <c r="C6"/>
  <c r="C5"/>
  <c r="E4" i="16"/>
  <c r="E3"/>
  <c r="F4"/>
  <c r="S4"/>
  <c r="S3"/>
  <c r="R4"/>
  <c r="Q4"/>
  <c r="R3"/>
  <c r="Q3"/>
  <c r="P3"/>
  <c r="O3"/>
  <c r="N3"/>
  <c r="M3"/>
  <c r="L3"/>
  <c r="K3"/>
  <c r="J3"/>
  <c r="I3"/>
  <c r="H3"/>
  <c r="G3"/>
  <c r="F3"/>
  <c r="O4"/>
  <c r="N4"/>
  <c r="M4"/>
  <c r="L4"/>
  <c r="K4"/>
  <c r="J4"/>
  <c r="I4"/>
  <c r="H4"/>
  <c r="AE202" i="1"/>
  <c r="AD202"/>
  <c r="AC202"/>
  <c r="AE201"/>
  <c r="AD201"/>
  <c r="AC201"/>
  <c r="AE200"/>
  <c r="AD200"/>
  <c r="AC200"/>
  <c r="AE199"/>
  <c r="AD199"/>
  <c r="AC199"/>
  <c r="AE198"/>
  <c r="AD198"/>
  <c r="AC198"/>
  <c r="AE197"/>
  <c r="AD197"/>
  <c r="AC197"/>
  <c r="AE196"/>
  <c r="AD196"/>
  <c r="AC196"/>
  <c r="AE195"/>
  <c r="AD195"/>
  <c r="AC195"/>
  <c r="AE194"/>
  <c r="AD194"/>
  <c r="AC194"/>
  <c r="AE193"/>
  <c r="AD193"/>
  <c r="AC193"/>
  <c r="AE192"/>
  <c r="AD192"/>
  <c r="AC192"/>
  <c r="AE191"/>
  <c r="AD191"/>
  <c r="AC191"/>
  <c r="AE190"/>
  <c r="AD190"/>
  <c r="AC190"/>
  <c r="AE189"/>
  <c r="AD189"/>
  <c r="AC189"/>
  <c r="AE188"/>
  <c r="AD188"/>
  <c r="AC188"/>
  <c r="AE187"/>
  <c r="AD187"/>
  <c r="AC187"/>
  <c r="AE186"/>
  <c r="AD186"/>
  <c r="AC186"/>
  <c r="AE185"/>
  <c r="AD185"/>
  <c r="AC185"/>
  <c r="AE184"/>
  <c r="AD184"/>
  <c r="AC184"/>
  <c r="AE183"/>
  <c r="AD183"/>
  <c r="AC183"/>
  <c r="AE182"/>
  <c r="AD182"/>
  <c r="AC182"/>
  <c r="AE181"/>
  <c r="AD181"/>
  <c r="AC181"/>
  <c r="AE180"/>
  <c r="AD180"/>
  <c r="AC180"/>
  <c r="AE179"/>
  <c r="AD179"/>
  <c r="AC179"/>
  <c r="AE178"/>
  <c r="AD178"/>
  <c r="AC178"/>
  <c r="AE177"/>
  <c r="AD177"/>
  <c r="AC177"/>
  <c r="AE176"/>
  <c r="AD176"/>
  <c r="AC176"/>
  <c r="AE175"/>
  <c r="AD175"/>
  <c r="AC175"/>
  <c r="AE174"/>
  <c r="AD174"/>
  <c r="AC174"/>
  <c r="AE173"/>
  <c r="AD173"/>
  <c r="AC173"/>
  <c r="AE172"/>
  <c r="AD172"/>
  <c r="AC172"/>
  <c r="AE171"/>
  <c r="AD171"/>
  <c r="AC171"/>
  <c r="AE170"/>
  <c r="AD170"/>
  <c r="AC170"/>
  <c r="AE169"/>
  <c r="AD169"/>
  <c r="AC169"/>
  <c r="AE168"/>
  <c r="AD168"/>
  <c r="AC168"/>
  <c r="AE167"/>
  <c r="AD167"/>
  <c r="AC167"/>
  <c r="AE166"/>
  <c r="AD166"/>
  <c r="AC166"/>
  <c r="AE165"/>
  <c r="AD165"/>
  <c r="AC165"/>
  <c r="AE164"/>
  <c r="AD164"/>
  <c r="AC164"/>
  <c r="AE163"/>
  <c r="AD163"/>
  <c r="AC163"/>
  <c r="AE162"/>
  <c r="AD162"/>
  <c r="AC162"/>
  <c r="AE161"/>
  <c r="AD161"/>
  <c r="AC161"/>
  <c r="AE160"/>
  <c r="AD160"/>
  <c r="AC160"/>
  <c r="AE159"/>
  <c r="AD159"/>
  <c r="AC159"/>
  <c r="AE158"/>
  <c r="AD158"/>
  <c r="AC158"/>
  <c r="AE157"/>
  <c r="AD157"/>
  <c r="AC157"/>
  <c r="AE156"/>
  <c r="AD156"/>
  <c r="AC156"/>
  <c r="AE155"/>
  <c r="AD155"/>
  <c r="AC155"/>
  <c r="AE154"/>
  <c r="AD154"/>
  <c r="AC154"/>
  <c r="AE153"/>
  <c r="AD153"/>
  <c r="AC153"/>
  <c r="AE152"/>
  <c r="AD152"/>
  <c r="AC152"/>
  <c r="AE151"/>
  <c r="AD151"/>
  <c r="AC151"/>
  <c r="AE150"/>
  <c r="AD150"/>
  <c r="AC150"/>
  <c r="AE149"/>
  <c r="AD149"/>
  <c r="AC149"/>
  <c r="AE148"/>
  <c r="AD148"/>
  <c r="AC148"/>
  <c r="AE147"/>
  <c r="AD147"/>
  <c r="AC147"/>
  <c r="AE146"/>
  <c r="AD146"/>
  <c r="AC146"/>
  <c r="AE145"/>
  <c r="AD145"/>
  <c r="AC145"/>
  <c r="AE144"/>
  <c r="AD144"/>
  <c r="AC144"/>
  <c r="AE143"/>
  <c r="AD143"/>
  <c r="AC143"/>
  <c r="AE142"/>
  <c r="AD142"/>
  <c r="AC142"/>
  <c r="AE141"/>
  <c r="AD141"/>
  <c r="AC141"/>
  <c r="AE140"/>
  <c r="AD140"/>
  <c r="AC140"/>
  <c r="AE139"/>
  <c r="AD139"/>
  <c r="AC139"/>
  <c r="AE138"/>
  <c r="AD138"/>
  <c r="AC138"/>
  <c r="AE137"/>
  <c r="AD137"/>
  <c r="AC137"/>
  <c r="AE136"/>
  <c r="AD136"/>
  <c r="AC136"/>
  <c r="AE135"/>
  <c r="AD135"/>
  <c r="AC135"/>
  <c r="AE134"/>
  <c r="AD134"/>
  <c r="AC134"/>
  <c r="AE133"/>
  <c r="AD133"/>
  <c r="AC133"/>
  <c r="AE132"/>
  <c r="AD132"/>
  <c r="AC132"/>
  <c r="AE131"/>
  <c r="AD131"/>
  <c r="AC131"/>
  <c r="AE130"/>
  <c r="AD130"/>
  <c r="AC130"/>
  <c r="AE129"/>
  <c r="AD129"/>
  <c r="AC129"/>
  <c r="AE128"/>
  <c r="AD128"/>
  <c r="AC128"/>
  <c r="AE127"/>
  <c r="AD127"/>
  <c r="AC127"/>
  <c r="AE126"/>
  <c r="AD126"/>
  <c r="AC126"/>
  <c r="AE125"/>
  <c r="AD125"/>
  <c r="AC125"/>
  <c r="AE124"/>
  <c r="AD124"/>
  <c r="AC124"/>
  <c r="AE123"/>
  <c r="AD123"/>
  <c r="AC123"/>
  <c r="AE122"/>
  <c r="AD122"/>
  <c r="AC122"/>
  <c r="AE121"/>
  <c r="AD121"/>
  <c r="AC121"/>
  <c r="AE120"/>
  <c r="AD120"/>
  <c r="AC120"/>
  <c r="AE119"/>
  <c r="AD119"/>
  <c r="AC119"/>
  <c r="AE118"/>
  <c r="AD118"/>
  <c r="AC118"/>
  <c r="AE117"/>
  <c r="AD117"/>
  <c r="AC117"/>
  <c r="AE116"/>
  <c r="AD116"/>
  <c r="AC116"/>
  <c r="AE115"/>
  <c r="AD115"/>
  <c r="AC115"/>
  <c r="AE114"/>
  <c r="AD114"/>
  <c r="AC114"/>
  <c r="AE113"/>
  <c r="AD113"/>
  <c r="AC113"/>
  <c r="AE112"/>
  <c r="AD112"/>
  <c r="AC112"/>
  <c r="AE111"/>
  <c r="AD111"/>
  <c r="AC111"/>
  <c r="AE110"/>
  <c r="AD110"/>
  <c r="AC110"/>
  <c r="AE109"/>
  <c r="AD109"/>
  <c r="AC109"/>
  <c r="AE108"/>
  <c r="AD108"/>
  <c r="AC108"/>
  <c r="AE107"/>
  <c r="AD107"/>
  <c r="AC107"/>
  <c r="AE106"/>
  <c r="AD106"/>
  <c r="AC106"/>
  <c r="AE105"/>
  <c r="AD105"/>
  <c r="AC105"/>
  <c r="AE104"/>
  <c r="AD104"/>
  <c r="AC104"/>
  <c r="AE103"/>
  <c r="AD103"/>
  <c r="AC103"/>
  <c r="AE102"/>
  <c r="AD102"/>
  <c r="AC102"/>
  <c r="AE101"/>
  <c r="AD101"/>
  <c r="AC101"/>
  <c r="AE100"/>
  <c r="AD100"/>
  <c r="AC100"/>
  <c r="AE99"/>
  <c r="AD99"/>
  <c r="AC99"/>
  <c r="AE98"/>
  <c r="AD98"/>
  <c r="AC98"/>
  <c r="AE97"/>
  <c r="AD97"/>
  <c r="AC97"/>
  <c r="AE96"/>
  <c r="AD96"/>
  <c r="AC96"/>
  <c r="AE95"/>
  <c r="AD95"/>
  <c r="AC95"/>
  <c r="AE94"/>
  <c r="AD94"/>
  <c r="AC94"/>
  <c r="AE93"/>
  <c r="AD93"/>
  <c r="AC93"/>
  <c r="AE92"/>
  <c r="AD92"/>
  <c r="AC92"/>
  <c r="AE91"/>
  <c r="AD91"/>
  <c r="AC91"/>
  <c r="AE90"/>
  <c r="AD90"/>
  <c r="AC90"/>
  <c r="AE89"/>
  <c r="AD89"/>
  <c r="AC89"/>
  <c r="AE88"/>
  <c r="AD88"/>
  <c r="AC88"/>
  <c r="AE87"/>
  <c r="AD87"/>
  <c r="AC87"/>
  <c r="AE86"/>
  <c r="AD86"/>
  <c r="AC86"/>
  <c r="AE85"/>
  <c r="AD85"/>
  <c r="AC85"/>
  <c r="AE84"/>
  <c r="AD84"/>
  <c r="AC84"/>
  <c r="AE83"/>
  <c r="AD83"/>
  <c r="AC83"/>
  <c r="AE82"/>
  <c r="AD82"/>
  <c r="AC82"/>
  <c r="AE81"/>
  <c r="AD81"/>
  <c r="AC81"/>
  <c r="AE80"/>
  <c r="AD80"/>
  <c r="AC80"/>
  <c r="AE79"/>
  <c r="AD79"/>
  <c r="AC79"/>
  <c r="AE78"/>
  <c r="AD78"/>
  <c r="AC78"/>
  <c r="AE77"/>
  <c r="AD77"/>
  <c r="AC77"/>
  <c r="AE76"/>
  <c r="AD76"/>
  <c r="AC76"/>
  <c r="AE75"/>
  <c r="AD75"/>
  <c r="AC75"/>
  <c r="AE74"/>
  <c r="AD74"/>
  <c r="AC74"/>
  <c r="AE73"/>
  <c r="AD73"/>
  <c r="AC73"/>
  <c r="AE72"/>
  <c r="AD72"/>
  <c r="AC72"/>
  <c r="AE71"/>
  <c r="AD71"/>
  <c r="AC71"/>
  <c r="AE70"/>
  <c r="AD70"/>
  <c r="AC70"/>
  <c r="AE69"/>
  <c r="AD69"/>
  <c r="AC69"/>
  <c r="AE68"/>
  <c r="AD68"/>
  <c r="AC68"/>
  <c r="AE67"/>
  <c r="AD67"/>
  <c r="AC67"/>
  <c r="AE66"/>
  <c r="AD66"/>
  <c r="AC66"/>
  <c r="AE65"/>
  <c r="AD65"/>
  <c r="AC65"/>
  <c r="AE64"/>
  <c r="AD64"/>
  <c r="AC64"/>
  <c r="AE63"/>
  <c r="AD63"/>
  <c r="AC63"/>
  <c r="AE62"/>
  <c r="AD62"/>
  <c r="AC62"/>
  <c r="AE61"/>
  <c r="AD61"/>
  <c r="AC61"/>
  <c r="AE60"/>
  <c r="AD60"/>
  <c r="AC60"/>
  <c r="AE59"/>
  <c r="AD59"/>
  <c r="AC59"/>
  <c r="AE58"/>
  <c r="AD58"/>
  <c r="AC58"/>
  <c r="AE57"/>
  <c r="AD57"/>
  <c r="AC57"/>
  <c r="AE56"/>
  <c r="AD56"/>
  <c r="AC56"/>
  <c r="AE55"/>
  <c r="AD55"/>
  <c r="AC55"/>
  <c r="AE54"/>
  <c r="AD54"/>
  <c r="AC54"/>
  <c r="AE53"/>
  <c r="AD53"/>
  <c r="AC53"/>
  <c r="AE52"/>
  <c r="AD52"/>
  <c r="AC52"/>
  <c r="AE51"/>
  <c r="AD51"/>
  <c r="AC51"/>
  <c r="AE50"/>
  <c r="AD50"/>
  <c r="AC50"/>
  <c r="AE49"/>
  <c r="AD49"/>
  <c r="AC49"/>
  <c r="AE48"/>
  <c r="AD48"/>
  <c r="AC48"/>
  <c r="AE47"/>
  <c r="AD47"/>
  <c r="AC47"/>
  <c r="AE46"/>
  <c r="AD46"/>
  <c r="AC46"/>
  <c r="AE45"/>
  <c r="AD45"/>
  <c r="AC45"/>
  <c r="AE44"/>
  <c r="AD44"/>
  <c r="AC44"/>
  <c r="AE43"/>
  <c r="AD43"/>
  <c r="AC43"/>
  <c r="AE42"/>
  <c r="AD42"/>
  <c r="AC42"/>
  <c r="AE41"/>
  <c r="AD41"/>
  <c r="AC41"/>
  <c r="AE40"/>
  <c r="AD40"/>
  <c r="AC40"/>
  <c r="AE39"/>
  <c r="AD39"/>
  <c r="AC39"/>
  <c r="AE38"/>
  <c r="AD38"/>
  <c r="AC38"/>
  <c r="AE37"/>
  <c r="AD37"/>
  <c r="AC37"/>
  <c r="AE36"/>
  <c r="AD36"/>
  <c r="AC36"/>
  <c r="AE35"/>
  <c r="AD35"/>
  <c r="AC35"/>
  <c r="AE34"/>
  <c r="AD34"/>
  <c r="AC34"/>
  <c r="AE33"/>
  <c r="AD33"/>
  <c r="AC33"/>
  <c r="AE32"/>
  <c r="AD32"/>
  <c r="AC32"/>
  <c r="AE31"/>
  <c r="AD31"/>
  <c r="AC31"/>
  <c r="AE30"/>
  <c r="AD30"/>
  <c r="AC30"/>
  <c r="AE29"/>
  <c r="AD29"/>
  <c r="AC29"/>
  <c r="AE28"/>
  <c r="AD28"/>
  <c r="AC28"/>
  <c r="AE27"/>
  <c r="AD27"/>
  <c r="AC27"/>
  <c r="AE26"/>
  <c r="AD26"/>
  <c r="AC26"/>
  <c r="AE25"/>
  <c r="AD25"/>
  <c r="AC25"/>
  <c r="AE24"/>
  <c r="AD24"/>
  <c r="AC24"/>
  <c r="AE23"/>
  <c r="AD23"/>
  <c r="AC23"/>
  <c r="AE22"/>
  <c r="AD22"/>
  <c r="AC22"/>
  <c r="AE21"/>
  <c r="AD21"/>
  <c r="AC21"/>
  <c r="AE20"/>
  <c r="AD20"/>
  <c r="AC20"/>
  <c r="AE19"/>
  <c r="AD19"/>
  <c r="AC19"/>
  <c r="AE18"/>
  <c r="AD18"/>
  <c r="AC18"/>
  <c r="AE17"/>
  <c r="AD17"/>
  <c r="AC17"/>
  <c r="AE16"/>
  <c r="AD16"/>
  <c r="AC16"/>
  <c r="AE15"/>
  <c r="AD15"/>
  <c r="AC15"/>
  <c r="AE14"/>
  <c r="AD14"/>
  <c r="AC14"/>
  <c r="AE13"/>
  <c r="AD13"/>
  <c r="AC13"/>
  <c r="AE12"/>
  <c r="AD12"/>
  <c r="AC12"/>
  <c r="AE11"/>
  <c r="AD11"/>
  <c r="AC11"/>
  <c r="AE10"/>
  <c r="AD10"/>
  <c r="AC10"/>
  <c r="AE9"/>
  <c r="AD9"/>
  <c r="AC9"/>
  <c r="AE8"/>
  <c r="AD8"/>
  <c r="AC8"/>
  <c r="AE7"/>
  <c r="AD7"/>
  <c r="AC7"/>
  <c r="AE6"/>
  <c r="AD6"/>
  <c r="AC6"/>
  <c r="AE5"/>
  <c r="AD5"/>
  <c r="AC5"/>
  <c r="AE4"/>
  <c r="AD4"/>
  <c r="AC4"/>
  <c r="AE3"/>
  <c r="AD3"/>
  <c r="AC3"/>
  <c r="P4" i="16"/>
  <c r="G4"/>
  <c r="AO9" i="1" l="1"/>
  <c r="AP9"/>
  <c r="AQ9"/>
  <c r="AR9"/>
  <c r="AS9"/>
  <c r="AT9"/>
  <c r="AU9"/>
  <c r="AK9"/>
  <c r="AH9"/>
  <c r="AL9"/>
  <c r="AM9"/>
  <c r="AI9"/>
  <c r="AN9"/>
  <c r="AJ9"/>
  <c r="AO41"/>
  <c r="AP41"/>
  <c r="AQ41"/>
  <c r="AR41"/>
  <c r="AS41"/>
  <c r="AT41"/>
  <c r="AL41"/>
  <c r="AU41"/>
  <c r="AM41"/>
  <c r="AN41"/>
  <c r="AJ41"/>
  <c r="AK41"/>
  <c r="AH41"/>
  <c r="AI41"/>
  <c r="AQ8"/>
  <c r="AR8"/>
  <c r="AJ8"/>
  <c r="AS8"/>
  <c r="AT8"/>
  <c r="AL8"/>
  <c r="AK8"/>
  <c r="AH8"/>
  <c r="AU8"/>
  <c r="AM8"/>
  <c r="AI8"/>
  <c r="AN8"/>
  <c r="AO8"/>
  <c r="AP8"/>
  <c r="AQ40"/>
  <c r="AR40"/>
  <c r="AS40"/>
  <c r="AT40"/>
  <c r="AL40"/>
  <c r="AU40"/>
  <c r="AM40"/>
  <c r="AN40"/>
  <c r="AO40"/>
  <c r="AP40"/>
  <c r="AJ40"/>
  <c r="AK40"/>
  <c r="AH40"/>
  <c r="AI40"/>
  <c r="AQ136"/>
  <c r="AR136"/>
  <c r="AS136"/>
  <c r="AT136"/>
  <c r="AL136"/>
  <c r="AU136"/>
  <c r="AM136"/>
  <c r="AN136"/>
  <c r="AO136"/>
  <c r="AP136"/>
  <c r="AJ136"/>
  <c r="AK136"/>
  <c r="AH136"/>
  <c r="AI136"/>
  <c r="AQ152"/>
  <c r="AR152"/>
  <c r="AS152"/>
  <c r="AT152"/>
  <c r="AL152"/>
  <c r="AU152"/>
  <c r="AM152"/>
  <c r="AN152"/>
  <c r="AO152"/>
  <c r="AP152"/>
  <c r="AJ152"/>
  <c r="AK152"/>
  <c r="AH152"/>
  <c r="AI152"/>
  <c r="AO13"/>
  <c r="AP13"/>
  <c r="AQ13"/>
  <c r="AR13"/>
  <c r="AS13"/>
  <c r="AT13"/>
  <c r="AL13"/>
  <c r="AU13"/>
  <c r="AM13"/>
  <c r="AN13"/>
  <c r="AK13"/>
  <c r="AH13"/>
  <c r="AJ13"/>
  <c r="AI13"/>
  <c r="AO37"/>
  <c r="AP37"/>
  <c r="AQ37"/>
  <c r="AR37"/>
  <c r="AS37"/>
  <c r="AT37"/>
  <c r="AL37"/>
  <c r="AU37"/>
  <c r="AM37"/>
  <c r="AN37"/>
  <c r="AK37"/>
  <c r="AH37"/>
  <c r="AI37"/>
  <c r="AJ37"/>
  <c r="AO45"/>
  <c r="AP45"/>
  <c r="AQ45"/>
  <c r="AR45"/>
  <c r="AS45"/>
  <c r="AT45"/>
  <c r="AL45"/>
  <c r="AU45"/>
  <c r="AM45"/>
  <c r="AN45"/>
  <c r="AK45"/>
  <c r="AH45"/>
  <c r="AI45"/>
  <c r="AJ45"/>
  <c r="AS7"/>
  <c r="AJ7"/>
  <c r="AK7"/>
  <c r="AT7"/>
  <c r="AL7"/>
  <c r="AH7"/>
  <c r="AU7"/>
  <c r="AM7"/>
  <c r="AN7"/>
  <c r="AI7"/>
  <c r="AO7"/>
  <c r="AP7"/>
  <c r="AQ7"/>
  <c r="AR7"/>
  <c r="AS15"/>
  <c r="AT15"/>
  <c r="AL15"/>
  <c r="AU15"/>
  <c r="AM15"/>
  <c r="AN15"/>
  <c r="AO15"/>
  <c r="AP15"/>
  <c r="AQ15"/>
  <c r="AR15"/>
  <c r="AJ15"/>
  <c r="AK15"/>
  <c r="AI15"/>
  <c r="AH15"/>
  <c r="AS23"/>
  <c r="AT23"/>
  <c r="AL23"/>
  <c r="AU23"/>
  <c r="AM23"/>
  <c r="AN23"/>
  <c r="AO23"/>
  <c r="AP23"/>
  <c r="AQ23"/>
  <c r="AR23"/>
  <c r="AJ23"/>
  <c r="AI23"/>
  <c r="AK23"/>
  <c r="AH23"/>
  <c r="AS31"/>
  <c r="AT31"/>
  <c r="AL31"/>
  <c r="AU31"/>
  <c r="AM31"/>
  <c r="AN31"/>
  <c r="AO31"/>
  <c r="AP31"/>
  <c r="AQ31"/>
  <c r="AR31"/>
  <c r="AJ31"/>
  <c r="AK31"/>
  <c r="AI31"/>
  <c r="AH31"/>
  <c r="AS39"/>
  <c r="AT39"/>
  <c r="AL39"/>
  <c r="AU39"/>
  <c r="AM39"/>
  <c r="AN39"/>
  <c r="AO39"/>
  <c r="AP39"/>
  <c r="AQ39"/>
  <c r="AR39"/>
  <c r="AJ39"/>
  <c r="AK39"/>
  <c r="AH39"/>
  <c r="AI39"/>
  <c r="AS47"/>
  <c r="AT47"/>
  <c r="AL47"/>
  <c r="AU47"/>
  <c r="AM47"/>
  <c r="AN47"/>
  <c r="AO47"/>
  <c r="AP47"/>
  <c r="AQ47"/>
  <c r="AR47"/>
  <c r="AJ47"/>
  <c r="AI47"/>
  <c r="AH47"/>
  <c r="AK47"/>
  <c r="AS55"/>
  <c r="AT55"/>
  <c r="AL55"/>
  <c r="AU55"/>
  <c r="AM55"/>
  <c r="AN55"/>
  <c r="AO55"/>
  <c r="AP55"/>
  <c r="AQ55"/>
  <c r="AR55"/>
  <c r="AJ55"/>
  <c r="AH55"/>
  <c r="AK55"/>
  <c r="AI55"/>
  <c r="AS63"/>
  <c r="AT63"/>
  <c r="AL63"/>
  <c r="AU63"/>
  <c r="AM63"/>
  <c r="AN63"/>
  <c r="AO63"/>
  <c r="AP63"/>
  <c r="AQ63"/>
  <c r="AR63"/>
  <c r="AJ63"/>
  <c r="AH63"/>
  <c r="AK63"/>
  <c r="AI63"/>
  <c r="AS71"/>
  <c r="AT71"/>
  <c r="AL71"/>
  <c r="AU71"/>
  <c r="AM71"/>
  <c r="AN71"/>
  <c r="AO71"/>
  <c r="AP71"/>
  <c r="AQ71"/>
  <c r="AR71"/>
  <c r="AJ71"/>
  <c r="AK71"/>
  <c r="AH71"/>
  <c r="AI71"/>
  <c r="AS79"/>
  <c r="AT79"/>
  <c r="AL79"/>
  <c r="AU79"/>
  <c r="AM79"/>
  <c r="AN79"/>
  <c r="AO79"/>
  <c r="AP79"/>
  <c r="AQ79"/>
  <c r="AR79"/>
  <c r="AJ79"/>
  <c r="AK79"/>
  <c r="AI79"/>
  <c r="AH79"/>
  <c r="AS87"/>
  <c r="AT87"/>
  <c r="AL87"/>
  <c r="AU87"/>
  <c r="AM87"/>
  <c r="AN87"/>
  <c r="AO87"/>
  <c r="AP87"/>
  <c r="AQ87"/>
  <c r="AR87"/>
  <c r="AJ87"/>
  <c r="AK87"/>
  <c r="AI87"/>
  <c r="AH87"/>
  <c r="AS95"/>
  <c r="AT95"/>
  <c r="AL95"/>
  <c r="AU95"/>
  <c r="AM95"/>
  <c r="AN95"/>
  <c r="AO95"/>
  <c r="AP95"/>
  <c r="AQ95"/>
  <c r="AR95"/>
  <c r="AJ95"/>
  <c r="AK95"/>
  <c r="AH95"/>
  <c r="AI95"/>
  <c r="AS103"/>
  <c r="AT103"/>
  <c r="AL103"/>
  <c r="AU103"/>
  <c r="AM103"/>
  <c r="AN103"/>
  <c r="AO103"/>
  <c r="AP103"/>
  <c r="AQ103"/>
  <c r="AR103"/>
  <c r="AJ103"/>
  <c r="AH103"/>
  <c r="AK103"/>
  <c r="AI103"/>
  <c r="AS111"/>
  <c r="AT111"/>
  <c r="AL111"/>
  <c r="AU111"/>
  <c r="AM111"/>
  <c r="AN111"/>
  <c r="AO111"/>
  <c r="AP111"/>
  <c r="AQ111"/>
  <c r="AR111"/>
  <c r="AJ111"/>
  <c r="AK111"/>
  <c r="AI111"/>
  <c r="AH111"/>
  <c r="AS119"/>
  <c r="AT119"/>
  <c r="AL119"/>
  <c r="AU119"/>
  <c r="AM119"/>
  <c r="AN119"/>
  <c r="AO119"/>
  <c r="AP119"/>
  <c r="AQ119"/>
  <c r="AR119"/>
  <c r="AJ119"/>
  <c r="AK119"/>
  <c r="AI119"/>
  <c r="AH119"/>
  <c r="AS127"/>
  <c r="AT127"/>
  <c r="AL127"/>
  <c r="AU127"/>
  <c r="AM127"/>
  <c r="AN127"/>
  <c r="AO127"/>
  <c r="AP127"/>
  <c r="AQ127"/>
  <c r="AR127"/>
  <c r="AJ127"/>
  <c r="AH127"/>
  <c r="AI127"/>
  <c r="AK127"/>
  <c r="AS135"/>
  <c r="AT135"/>
  <c r="AL135"/>
  <c r="AU135"/>
  <c r="AM135"/>
  <c r="AN135"/>
  <c r="AO135"/>
  <c r="AP135"/>
  <c r="AQ135"/>
  <c r="AR135"/>
  <c r="AJ135"/>
  <c r="AK135"/>
  <c r="AI135"/>
  <c r="AH135"/>
  <c r="AS143"/>
  <c r="AT143"/>
  <c r="AL143"/>
  <c r="AU143"/>
  <c r="AM143"/>
  <c r="AN143"/>
  <c r="AO143"/>
  <c r="AP143"/>
  <c r="AQ143"/>
  <c r="AR143"/>
  <c r="AJ143"/>
  <c r="AI143"/>
  <c r="AK143"/>
  <c r="AH143"/>
  <c r="AS151"/>
  <c r="AT151"/>
  <c r="AL151"/>
  <c r="AU151"/>
  <c r="AM151"/>
  <c r="AN151"/>
  <c r="AO151"/>
  <c r="AP151"/>
  <c r="AQ151"/>
  <c r="AR151"/>
  <c r="AJ151"/>
  <c r="AK151"/>
  <c r="AH151"/>
  <c r="AI151"/>
  <c r="AS159"/>
  <c r="AT159"/>
  <c r="AL159"/>
  <c r="AU159"/>
  <c r="AM159"/>
  <c r="AN159"/>
  <c r="AO159"/>
  <c r="AP159"/>
  <c r="AQ159"/>
  <c r="AR159"/>
  <c r="AJ159"/>
  <c r="AK159"/>
  <c r="AH159"/>
  <c r="AI159"/>
  <c r="AS167"/>
  <c r="AT167"/>
  <c r="AL167"/>
  <c r="AU167"/>
  <c r="AM167"/>
  <c r="AN167"/>
  <c r="AO167"/>
  <c r="AP167"/>
  <c r="AQ167"/>
  <c r="AR167"/>
  <c r="AJ167"/>
  <c r="AH167"/>
  <c r="AK167"/>
  <c r="AI167"/>
  <c r="AS175"/>
  <c r="AT175"/>
  <c r="AL175"/>
  <c r="AU175"/>
  <c r="AM175"/>
  <c r="AN175"/>
  <c r="AO175"/>
  <c r="AP175"/>
  <c r="AQ175"/>
  <c r="AR175"/>
  <c r="AJ175"/>
  <c r="AH175"/>
  <c r="AK175"/>
  <c r="AI175"/>
  <c r="AS183"/>
  <c r="AT183"/>
  <c r="AL183"/>
  <c r="AU183"/>
  <c r="AM183"/>
  <c r="AN183"/>
  <c r="AO183"/>
  <c r="AP183"/>
  <c r="AQ183"/>
  <c r="AR183"/>
  <c r="AJ183"/>
  <c r="AK183"/>
  <c r="AI183"/>
  <c r="AH183"/>
  <c r="AS191"/>
  <c r="AT191"/>
  <c r="AL191"/>
  <c r="AU191"/>
  <c r="AM191"/>
  <c r="AN191"/>
  <c r="AO191"/>
  <c r="AP191"/>
  <c r="AQ191"/>
  <c r="AR191"/>
  <c r="AJ191"/>
  <c r="AK191"/>
  <c r="AI191"/>
  <c r="AH191"/>
  <c r="AS199"/>
  <c r="AT199"/>
  <c r="AL199"/>
  <c r="AU199"/>
  <c r="AM199"/>
  <c r="AN199"/>
  <c r="AO199"/>
  <c r="AP199"/>
  <c r="AQ199"/>
  <c r="AR199"/>
  <c r="AJ199"/>
  <c r="AH199"/>
  <c r="AK199"/>
  <c r="AI199"/>
  <c r="AO49"/>
  <c r="AP49"/>
  <c r="AQ49"/>
  <c r="AR49"/>
  <c r="AS49"/>
  <c r="AT49"/>
  <c r="AL49"/>
  <c r="AU49"/>
  <c r="AM49"/>
  <c r="AN49"/>
  <c r="AH49"/>
  <c r="AK49"/>
  <c r="AI49"/>
  <c r="AJ49"/>
  <c r="AQ48"/>
  <c r="AR48"/>
  <c r="AS48"/>
  <c r="AT48"/>
  <c r="AL48"/>
  <c r="AU48"/>
  <c r="AM48"/>
  <c r="AN48"/>
  <c r="AO48"/>
  <c r="AP48"/>
  <c r="AJ48"/>
  <c r="AK48"/>
  <c r="AH48"/>
  <c r="AI48"/>
  <c r="AQ88"/>
  <c r="AR88"/>
  <c r="AS88"/>
  <c r="AT88"/>
  <c r="AL88"/>
  <c r="AU88"/>
  <c r="AM88"/>
  <c r="AN88"/>
  <c r="AO88"/>
  <c r="AP88"/>
  <c r="AJ88"/>
  <c r="AK88"/>
  <c r="AH88"/>
  <c r="AI88"/>
  <c r="AQ104"/>
  <c r="AR104"/>
  <c r="AS104"/>
  <c r="AT104"/>
  <c r="AL104"/>
  <c r="AU104"/>
  <c r="AM104"/>
  <c r="AN104"/>
  <c r="AO104"/>
  <c r="AP104"/>
  <c r="AJ104"/>
  <c r="AK104"/>
  <c r="AH104"/>
  <c r="AI104"/>
  <c r="AQ128"/>
  <c r="AR128"/>
  <c r="AS128"/>
  <c r="AT128"/>
  <c r="AL128"/>
  <c r="AU128"/>
  <c r="AM128"/>
  <c r="AN128"/>
  <c r="AO128"/>
  <c r="AP128"/>
  <c r="AJ128"/>
  <c r="AK128"/>
  <c r="AH128"/>
  <c r="AI128"/>
  <c r="AQ176"/>
  <c r="AR176"/>
  <c r="AS176"/>
  <c r="AT176"/>
  <c r="AL176"/>
  <c r="AU176"/>
  <c r="AM176"/>
  <c r="AN176"/>
  <c r="AO176"/>
  <c r="AP176"/>
  <c r="AJ176"/>
  <c r="AK176"/>
  <c r="AH176"/>
  <c r="AI176"/>
  <c r="AO21"/>
  <c r="AP21"/>
  <c r="AQ21"/>
  <c r="AR21"/>
  <c r="AS21"/>
  <c r="AT21"/>
  <c r="AL21"/>
  <c r="AU21"/>
  <c r="AM21"/>
  <c r="AN21"/>
  <c r="AK21"/>
  <c r="AH21"/>
  <c r="AI21"/>
  <c r="AJ21"/>
  <c r="AQ4"/>
  <c r="AR4"/>
  <c r="AS4"/>
  <c r="AT4"/>
  <c r="AL4"/>
  <c r="AU4"/>
  <c r="AM4"/>
  <c r="AN4"/>
  <c r="AJ4"/>
  <c r="AO4"/>
  <c r="AI4"/>
  <c r="AP4"/>
  <c r="AK4"/>
  <c r="AH4"/>
  <c r="AQ12"/>
  <c r="AR12"/>
  <c r="AS12"/>
  <c r="AT12"/>
  <c r="AL12"/>
  <c r="AU12"/>
  <c r="AM12"/>
  <c r="AN12"/>
  <c r="AO12"/>
  <c r="AP12"/>
  <c r="AI12"/>
  <c r="AJ12"/>
  <c r="AK12"/>
  <c r="AH12"/>
  <c r="AQ20"/>
  <c r="AR20"/>
  <c r="AS20"/>
  <c r="AT20"/>
  <c r="AL20"/>
  <c r="AU20"/>
  <c r="AM20"/>
  <c r="AN20"/>
  <c r="AO20"/>
  <c r="AP20"/>
  <c r="AI20"/>
  <c r="AJ20"/>
  <c r="AK20"/>
  <c r="AH20"/>
  <c r="AQ28"/>
  <c r="AR28"/>
  <c r="AS28"/>
  <c r="AT28"/>
  <c r="AL28"/>
  <c r="AU28"/>
  <c r="AM28"/>
  <c r="AN28"/>
  <c r="AO28"/>
  <c r="AP28"/>
  <c r="AJ28"/>
  <c r="AK28"/>
  <c r="AH28"/>
  <c r="AI28"/>
  <c r="AQ36"/>
  <c r="AR36"/>
  <c r="AS36"/>
  <c r="AT36"/>
  <c r="AL36"/>
  <c r="AU36"/>
  <c r="AM36"/>
  <c r="AN36"/>
  <c r="AO36"/>
  <c r="AP36"/>
  <c r="AI36"/>
  <c r="AJ36"/>
  <c r="AK36"/>
  <c r="AH36"/>
  <c r="AQ44"/>
  <c r="AR44"/>
  <c r="AS44"/>
  <c r="AT44"/>
  <c r="AL44"/>
  <c r="AU44"/>
  <c r="AM44"/>
  <c r="AN44"/>
  <c r="AO44"/>
  <c r="AP44"/>
  <c r="AI44"/>
  <c r="AJ44"/>
  <c r="AK44"/>
  <c r="AH44"/>
  <c r="AQ52"/>
  <c r="AR52"/>
  <c r="AS52"/>
  <c r="AT52"/>
  <c r="AL52"/>
  <c r="AU52"/>
  <c r="AM52"/>
  <c r="AN52"/>
  <c r="AO52"/>
  <c r="AP52"/>
  <c r="AI52"/>
  <c r="AJ52"/>
  <c r="AK52"/>
  <c r="AH52"/>
  <c r="AQ60"/>
  <c r="AR60"/>
  <c r="AS60"/>
  <c r="AT60"/>
  <c r="AL60"/>
  <c r="AU60"/>
  <c r="AM60"/>
  <c r="AN60"/>
  <c r="AO60"/>
  <c r="AP60"/>
  <c r="AI60"/>
  <c r="AJ60"/>
  <c r="AK60"/>
  <c r="AH60"/>
  <c r="AQ68"/>
  <c r="AR68"/>
  <c r="AS68"/>
  <c r="AT68"/>
  <c r="AL68"/>
  <c r="AU68"/>
  <c r="AM68"/>
  <c r="AN68"/>
  <c r="AO68"/>
  <c r="AP68"/>
  <c r="AI68"/>
  <c r="AJ68"/>
  <c r="AK68"/>
  <c r="AH68"/>
  <c r="AQ76"/>
  <c r="AR76"/>
  <c r="AS76"/>
  <c r="AT76"/>
  <c r="AL76"/>
  <c r="AU76"/>
  <c r="AM76"/>
  <c r="AN76"/>
  <c r="AO76"/>
  <c r="AP76"/>
  <c r="AI76"/>
  <c r="AJ76"/>
  <c r="AK76"/>
  <c r="AH76"/>
  <c r="AQ84"/>
  <c r="AR84"/>
  <c r="AS84"/>
  <c r="AT84"/>
  <c r="AL84"/>
  <c r="AU84"/>
  <c r="AM84"/>
  <c r="AN84"/>
  <c r="AO84"/>
  <c r="AP84"/>
  <c r="AI84"/>
  <c r="AJ84"/>
  <c r="AK84"/>
  <c r="AH84"/>
  <c r="AQ92"/>
  <c r="AR92"/>
  <c r="AS92"/>
  <c r="AT92"/>
  <c r="AL92"/>
  <c r="AU92"/>
  <c r="AM92"/>
  <c r="AN92"/>
  <c r="AO92"/>
  <c r="AP92"/>
  <c r="AI92"/>
  <c r="AJ92"/>
  <c r="AK92"/>
  <c r="AH92"/>
  <c r="AQ100"/>
  <c r="AR100"/>
  <c r="AS100"/>
  <c r="AT100"/>
  <c r="AL100"/>
  <c r="AU100"/>
  <c r="AM100"/>
  <c r="AN100"/>
  <c r="AO100"/>
  <c r="AP100"/>
  <c r="AI100"/>
  <c r="AJ100"/>
  <c r="AK100"/>
  <c r="AH100"/>
  <c r="AQ108"/>
  <c r="AR108"/>
  <c r="AS108"/>
  <c r="AT108"/>
  <c r="AL108"/>
  <c r="AU108"/>
  <c r="AM108"/>
  <c r="AN108"/>
  <c r="AO108"/>
  <c r="AP108"/>
  <c r="AI108"/>
  <c r="AJ108"/>
  <c r="AK108"/>
  <c r="AH108"/>
  <c r="AQ116"/>
  <c r="AR116"/>
  <c r="AS116"/>
  <c r="AT116"/>
  <c r="AL116"/>
  <c r="AU116"/>
  <c r="AM116"/>
  <c r="AN116"/>
  <c r="AO116"/>
  <c r="AP116"/>
  <c r="AI116"/>
  <c r="AJ116"/>
  <c r="AK116"/>
  <c r="AH116"/>
  <c r="AQ124"/>
  <c r="AR124"/>
  <c r="AS124"/>
  <c r="AT124"/>
  <c r="AL124"/>
  <c r="AU124"/>
  <c r="AM124"/>
  <c r="AN124"/>
  <c r="AO124"/>
  <c r="AP124"/>
  <c r="AI124"/>
  <c r="AJ124"/>
  <c r="AK124"/>
  <c r="AH124"/>
  <c r="AQ132"/>
  <c r="AR132"/>
  <c r="AS132"/>
  <c r="AT132"/>
  <c r="AL132"/>
  <c r="AU132"/>
  <c r="AM132"/>
  <c r="AN132"/>
  <c r="AO132"/>
  <c r="AP132"/>
  <c r="AI132"/>
  <c r="AJ132"/>
  <c r="AK132"/>
  <c r="AH132"/>
  <c r="AQ140"/>
  <c r="AR140"/>
  <c r="AS140"/>
  <c r="AT140"/>
  <c r="AL140"/>
  <c r="AU140"/>
  <c r="AM140"/>
  <c r="AN140"/>
  <c r="AO140"/>
  <c r="AP140"/>
  <c r="AI140"/>
  <c r="AJ140"/>
  <c r="AK140"/>
  <c r="AH140"/>
  <c r="AQ148"/>
  <c r="AR148"/>
  <c r="AS148"/>
  <c r="AT148"/>
  <c r="AL148"/>
  <c r="AU148"/>
  <c r="AM148"/>
  <c r="AN148"/>
  <c r="AO148"/>
  <c r="AP148"/>
  <c r="AI148"/>
  <c r="AJ148"/>
  <c r="AK148"/>
  <c r="AH148"/>
  <c r="AQ156"/>
  <c r="AR156"/>
  <c r="AS156"/>
  <c r="AT156"/>
  <c r="AL156"/>
  <c r="AU156"/>
  <c r="AM156"/>
  <c r="AN156"/>
  <c r="AO156"/>
  <c r="AP156"/>
  <c r="AI156"/>
  <c r="AJ156"/>
  <c r="AK156"/>
  <c r="AH156"/>
  <c r="AQ164"/>
  <c r="AR164"/>
  <c r="AS164"/>
  <c r="AT164"/>
  <c r="AL164"/>
  <c r="AU164"/>
  <c r="AM164"/>
  <c r="AN164"/>
  <c r="AO164"/>
  <c r="AP164"/>
  <c r="AI164"/>
  <c r="AJ164"/>
  <c r="AK164"/>
  <c r="AH164"/>
  <c r="AQ172"/>
  <c r="AR172"/>
  <c r="AS172"/>
  <c r="AT172"/>
  <c r="AL172"/>
  <c r="AU172"/>
  <c r="AM172"/>
  <c r="AN172"/>
  <c r="AO172"/>
  <c r="AP172"/>
  <c r="AI172"/>
  <c r="AJ172"/>
  <c r="AK172"/>
  <c r="AH172"/>
  <c r="AQ180"/>
  <c r="AR180"/>
  <c r="AS180"/>
  <c r="AT180"/>
  <c r="AL180"/>
  <c r="AU180"/>
  <c r="AM180"/>
  <c r="AN180"/>
  <c r="AO180"/>
  <c r="AP180"/>
  <c r="AI180"/>
  <c r="AJ180"/>
  <c r="AK180"/>
  <c r="AH180"/>
  <c r="AQ188"/>
  <c r="AR188"/>
  <c r="AS188"/>
  <c r="AT188"/>
  <c r="AL188"/>
  <c r="AU188"/>
  <c r="AM188"/>
  <c r="AN188"/>
  <c r="AO188"/>
  <c r="AP188"/>
  <c r="AI188"/>
  <c r="AJ188"/>
  <c r="AK188"/>
  <c r="AH188"/>
  <c r="AQ196"/>
  <c r="AR196"/>
  <c r="AS196"/>
  <c r="AT196"/>
  <c r="AL196"/>
  <c r="AU196"/>
  <c r="AM196"/>
  <c r="AN196"/>
  <c r="AO196"/>
  <c r="AP196"/>
  <c r="AI196"/>
  <c r="AJ196"/>
  <c r="AK196"/>
  <c r="AH196"/>
  <c r="AQ202"/>
  <c r="AR202"/>
  <c r="AS202"/>
  <c r="AT202"/>
  <c r="AL202"/>
  <c r="AU202"/>
  <c r="AM202"/>
  <c r="AN202"/>
  <c r="AO202"/>
  <c r="AP202"/>
  <c r="AI202"/>
  <c r="AJ202"/>
  <c r="AK202"/>
  <c r="AH202"/>
  <c r="AO25"/>
  <c r="AP25"/>
  <c r="AQ25"/>
  <c r="AR25"/>
  <c r="AS25"/>
  <c r="AT25"/>
  <c r="AL25"/>
  <c r="AU25"/>
  <c r="AM25"/>
  <c r="AN25"/>
  <c r="AJ25"/>
  <c r="AK25"/>
  <c r="AH25"/>
  <c r="AI25"/>
  <c r="AO73"/>
  <c r="AP73"/>
  <c r="AQ73"/>
  <c r="AR73"/>
  <c r="AS73"/>
  <c r="AT73"/>
  <c r="AL73"/>
  <c r="AU73"/>
  <c r="AM73"/>
  <c r="AN73"/>
  <c r="AJ73"/>
  <c r="AK73"/>
  <c r="AH73"/>
  <c r="AI73"/>
  <c r="AO129"/>
  <c r="AP129"/>
  <c r="AQ129"/>
  <c r="AR129"/>
  <c r="AS129"/>
  <c r="AT129"/>
  <c r="AL129"/>
  <c r="AU129"/>
  <c r="AM129"/>
  <c r="AN129"/>
  <c r="AH129"/>
  <c r="AK129"/>
  <c r="AI129"/>
  <c r="AJ129"/>
  <c r="AO137"/>
  <c r="AP137"/>
  <c r="AQ137"/>
  <c r="AR137"/>
  <c r="AS137"/>
  <c r="AT137"/>
  <c r="AL137"/>
  <c r="AU137"/>
  <c r="AM137"/>
  <c r="AN137"/>
  <c r="AJ137"/>
  <c r="AK137"/>
  <c r="AH137"/>
  <c r="AI137"/>
  <c r="AO153"/>
  <c r="AP153"/>
  <c r="AQ153"/>
  <c r="AR153"/>
  <c r="AS153"/>
  <c r="AT153"/>
  <c r="AL153"/>
  <c r="AU153"/>
  <c r="AM153"/>
  <c r="AN153"/>
  <c r="AJ153"/>
  <c r="AK153"/>
  <c r="AH153"/>
  <c r="AI153"/>
  <c r="AO161"/>
  <c r="AP161"/>
  <c r="AQ161"/>
  <c r="AR161"/>
  <c r="AS161"/>
  <c r="AT161"/>
  <c r="AL161"/>
  <c r="AU161"/>
  <c r="AM161"/>
  <c r="AN161"/>
  <c r="AH161"/>
  <c r="AK161"/>
  <c r="AI161"/>
  <c r="AJ161"/>
  <c r="AO169"/>
  <c r="AP169"/>
  <c r="AQ169"/>
  <c r="AR169"/>
  <c r="AS169"/>
  <c r="AT169"/>
  <c r="AL169"/>
  <c r="AU169"/>
  <c r="AM169"/>
  <c r="AN169"/>
  <c r="AK169"/>
  <c r="AH169"/>
  <c r="AI169"/>
  <c r="AJ169"/>
  <c r="AO177"/>
  <c r="AP177"/>
  <c r="AQ177"/>
  <c r="AR177"/>
  <c r="AS177"/>
  <c r="AT177"/>
  <c r="AL177"/>
  <c r="AU177"/>
  <c r="AM177"/>
  <c r="AN177"/>
  <c r="AJ177"/>
  <c r="AK177"/>
  <c r="AH177"/>
  <c r="AI177"/>
  <c r="AO185"/>
  <c r="AP185"/>
  <c r="AQ185"/>
  <c r="AR185"/>
  <c r="AS185"/>
  <c r="AT185"/>
  <c r="AL185"/>
  <c r="AU185"/>
  <c r="AM185"/>
  <c r="AN185"/>
  <c r="AJ185"/>
  <c r="AH185"/>
  <c r="AK185"/>
  <c r="AI185"/>
  <c r="AO193"/>
  <c r="AP193"/>
  <c r="AQ193"/>
  <c r="AR193"/>
  <c r="AS193"/>
  <c r="AT193"/>
  <c r="AL193"/>
  <c r="AU193"/>
  <c r="AM193"/>
  <c r="AN193"/>
  <c r="AK193"/>
  <c r="AH193"/>
  <c r="AI193"/>
  <c r="AJ193"/>
  <c r="AO201"/>
  <c r="AP201"/>
  <c r="AQ201"/>
  <c r="AR201"/>
  <c r="AS201"/>
  <c r="AT201"/>
  <c r="AL201"/>
  <c r="AU201"/>
  <c r="AM201"/>
  <c r="AN201"/>
  <c r="AJ201"/>
  <c r="AH201"/>
  <c r="AK201"/>
  <c r="AI201"/>
  <c r="AO17"/>
  <c r="AP17"/>
  <c r="AQ17"/>
  <c r="AR17"/>
  <c r="AS17"/>
  <c r="AT17"/>
  <c r="AL17"/>
  <c r="AU17"/>
  <c r="AM17"/>
  <c r="AN17"/>
  <c r="AH17"/>
  <c r="AK17"/>
  <c r="AI17"/>
  <c r="AJ17"/>
  <c r="AO57"/>
  <c r="AP57"/>
  <c r="AQ57"/>
  <c r="AR57"/>
  <c r="AS57"/>
  <c r="AT57"/>
  <c r="AL57"/>
  <c r="AU57"/>
  <c r="AM57"/>
  <c r="AN57"/>
  <c r="AK57"/>
  <c r="AH57"/>
  <c r="AI57"/>
  <c r="AJ57"/>
  <c r="AO145"/>
  <c r="AP145"/>
  <c r="AQ145"/>
  <c r="AR145"/>
  <c r="AS145"/>
  <c r="AT145"/>
  <c r="AL145"/>
  <c r="AU145"/>
  <c r="AM145"/>
  <c r="AN145"/>
  <c r="AJ145"/>
  <c r="AH145"/>
  <c r="AK145"/>
  <c r="AI145"/>
  <c r="AU14"/>
  <c r="AM14"/>
  <c r="AN14"/>
  <c r="AO14"/>
  <c r="AP14"/>
  <c r="AQ14"/>
  <c r="AR14"/>
  <c r="AS14"/>
  <c r="AT14"/>
  <c r="AL14"/>
  <c r="AH14"/>
  <c r="AK14"/>
  <c r="AI14"/>
  <c r="AJ14"/>
  <c r="AU30"/>
  <c r="AM30"/>
  <c r="AN30"/>
  <c r="AO30"/>
  <c r="AP30"/>
  <c r="AQ30"/>
  <c r="AR30"/>
  <c r="AS30"/>
  <c r="AT30"/>
  <c r="AL30"/>
  <c r="AK30"/>
  <c r="AI30"/>
  <c r="AH30"/>
  <c r="AJ30"/>
  <c r="AU46"/>
  <c r="AM46"/>
  <c r="AN46"/>
  <c r="AO46"/>
  <c r="AP46"/>
  <c r="AQ46"/>
  <c r="AR46"/>
  <c r="AS46"/>
  <c r="AT46"/>
  <c r="AL46"/>
  <c r="AK46"/>
  <c r="AH46"/>
  <c r="AI46"/>
  <c r="AJ46"/>
  <c r="AU62"/>
  <c r="AM62"/>
  <c r="AN62"/>
  <c r="AO62"/>
  <c r="AP62"/>
  <c r="AQ62"/>
  <c r="AR62"/>
  <c r="AS62"/>
  <c r="AT62"/>
  <c r="AL62"/>
  <c r="AH62"/>
  <c r="AK62"/>
  <c r="AI62"/>
  <c r="AJ62"/>
  <c r="AU86"/>
  <c r="AM86"/>
  <c r="AN86"/>
  <c r="AO86"/>
  <c r="AP86"/>
  <c r="AQ86"/>
  <c r="AR86"/>
  <c r="AS86"/>
  <c r="AT86"/>
  <c r="AL86"/>
  <c r="AH86"/>
  <c r="AK86"/>
  <c r="AI86"/>
  <c r="AJ86"/>
  <c r="AU102"/>
  <c r="AM102"/>
  <c r="AN102"/>
  <c r="AO102"/>
  <c r="AP102"/>
  <c r="AQ102"/>
  <c r="AR102"/>
  <c r="AS102"/>
  <c r="AT102"/>
  <c r="AL102"/>
  <c r="AK102"/>
  <c r="AH102"/>
  <c r="AI102"/>
  <c r="AJ102"/>
  <c r="AU126"/>
  <c r="AM126"/>
  <c r="AN126"/>
  <c r="AO126"/>
  <c r="AP126"/>
  <c r="AQ126"/>
  <c r="AR126"/>
  <c r="AS126"/>
  <c r="AT126"/>
  <c r="AL126"/>
  <c r="AK126"/>
  <c r="AI126"/>
  <c r="AH126"/>
  <c r="AJ126"/>
  <c r="AU134"/>
  <c r="AM134"/>
  <c r="AN134"/>
  <c r="AO134"/>
  <c r="AP134"/>
  <c r="AQ134"/>
  <c r="AR134"/>
  <c r="AS134"/>
  <c r="AT134"/>
  <c r="AL134"/>
  <c r="AK134"/>
  <c r="AI134"/>
  <c r="AJ134"/>
  <c r="AH134"/>
  <c r="AU142"/>
  <c r="AM142"/>
  <c r="AN142"/>
  <c r="AO142"/>
  <c r="AP142"/>
  <c r="AQ142"/>
  <c r="AR142"/>
  <c r="AS142"/>
  <c r="AT142"/>
  <c r="AL142"/>
  <c r="AH142"/>
  <c r="AK142"/>
  <c r="AI142"/>
  <c r="AJ142"/>
  <c r="AU150"/>
  <c r="AM150"/>
  <c r="AN150"/>
  <c r="AO150"/>
  <c r="AP150"/>
  <c r="AQ150"/>
  <c r="AR150"/>
  <c r="AS150"/>
  <c r="AT150"/>
  <c r="AL150"/>
  <c r="AK150"/>
  <c r="AI150"/>
  <c r="AH150"/>
  <c r="AJ150"/>
  <c r="AU158"/>
  <c r="AM158"/>
  <c r="AN158"/>
  <c r="AO158"/>
  <c r="AP158"/>
  <c r="AQ158"/>
  <c r="AR158"/>
  <c r="AS158"/>
  <c r="AT158"/>
  <c r="AL158"/>
  <c r="AK158"/>
  <c r="AH158"/>
  <c r="AI158"/>
  <c r="AJ158"/>
  <c r="AU166"/>
  <c r="AM166"/>
  <c r="AN166"/>
  <c r="AO166"/>
  <c r="AP166"/>
  <c r="AQ166"/>
  <c r="AR166"/>
  <c r="AS166"/>
  <c r="AT166"/>
  <c r="AL166"/>
  <c r="AK166"/>
  <c r="AI166"/>
  <c r="AJ166"/>
  <c r="AH166"/>
  <c r="AU174"/>
  <c r="AM174"/>
  <c r="AN174"/>
  <c r="AO174"/>
  <c r="AP174"/>
  <c r="AQ174"/>
  <c r="AR174"/>
  <c r="AS174"/>
  <c r="AT174"/>
  <c r="AL174"/>
  <c r="AH174"/>
  <c r="AK174"/>
  <c r="AI174"/>
  <c r="AJ174"/>
  <c r="AU182"/>
  <c r="AM182"/>
  <c r="AN182"/>
  <c r="AO182"/>
  <c r="AP182"/>
  <c r="AQ182"/>
  <c r="AR182"/>
  <c r="AS182"/>
  <c r="AT182"/>
  <c r="AL182"/>
  <c r="AK182"/>
  <c r="AI182"/>
  <c r="AH182"/>
  <c r="AJ182"/>
  <c r="AU190"/>
  <c r="AM190"/>
  <c r="AN190"/>
  <c r="AO190"/>
  <c r="AP190"/>
  <c r="AQ190"/>
  <c r="AR190"/>
  <c r="AS190"/>
  <c r="AT190"/>
  <c r="AL190"/>
  <c r="AK190"/>
  <c r="AH190"/>
  <c r="AI190"/>
  <c r="AJ190"/>
  <c r="AU198"/>
  <c r="AM198"/>
  <c r="AN198"/>
  <c r="AO198"/>
  <c r="AP198"/>
  <c r="AQ198"/>
  <c r="AR198"/>
  <c r="AS198"/>
  <c r="AT198"/>
  <c r="AL198"/>
  <c r="AK198"/>
  <c r="AI198"/>
  <c r="AJ198"/>
  <c r="AH198"/>
  <c r="AO89"/>
  <c r="AP89"/>
  <c r="AQ89"/>
  <c r="AR89"/>
  <c r="AS89"/>
  <c r="AT89"/>
  <c r="AL89"/>
  <c r="AU89"/>
  <c r="AM89"/>
  <c r="AN89"/>
  <c r="AJ89"/>
  <c r="AK89"/>
  <c r="AH89"/>
  <c r="AI89"/>
  <c r="AO97"/>
  <c r="AP97"/>
  <c r="AQ97"/>
  <c r="AR97"/>
  <c r="AS97"/>
  <c r="AT97"/>
  <c r="AL97"/>
  <c r="AU97"/>
  <c r="AM97"/>
  <c r="AN97"/>
  <c r="AH97"/>
  <c r="AK97"/>
  <c r="AI97"/>
  <c r="AJ97"/>
  <c r="AO105"/>
  <c r="AP105"/>
  <c r="AQ105"/>
  <c r="AR105"/>
  <c r="AS105"/>
  <c r="AT105"/>
  <c r="AL105"/>
  <c r="AU105"/>
  <c r="AM105"/>
  <c r="AN105"/>
  <c r="AJ105"/>
  <c r="AK105"/>
  <c r="AH105"/>
  <c r="AI105"/>
  <c r="AO113"/>
  <c r="AP113"/>
  <c r="AQ113"/>
  <c r="AR113"/>
  <c r="AS113"/>
  <c r="AT113"/>
  <c r="AL113"/>
  <c r="AU113"/>
  <c r="AM113"/>
  <c r="AN113"/>
  <c r="AJ113"/>
  <c r="AH113"/>
  <c r="AK113"/>
  <c r="AI113"/>
  <c r="AO121"/>
  <c r="AP121"/>
  <c r="AQ121"/>
  <c r="AR121"/>
  <c r="AS121"/>
  <c r="AT121"/>
  <c r="AL121"/>
  <c r="AU121"/>
  <c r="AM121"/>
  <c r="AN121"/>
  <c r="AK121"/>
  <c r="AH121"/>
  <c r="AI121"/>
  <c r="AJ121"/>
  <c r="AU6"/>
  <c r="AM6"/>
  <c r="AN6"/>
  <c r="AK6"/>
  <c r="AO6"/>
  <c r="AP6"/>
  <c r="AI6"/>
  <c r="AQ6"/>
  <c r="AR6"/>
  <c r="AS6"/>
  <c r="AH6"/>
  <c r="AT6"/>
  <c r="AL6"/>
  <c r="AJ6"/>
  <c r="AU22"/>
  <c r="AM22"/>
  <c r="AN22"/>
  <c r="AO22"/>
  <c r="AP22"/>
  <c r="AQ22"/>
  <c r="AR22"/>
  <c r="AS22"/>
  <c r="AT22"/>
  <c r="AL22"/>
  <c r="AK22"/>
  <c r="AI22"/>
  <c r="AJ22"/>
  <c r="AH22"/>
  <c r="AU38"/>
  <c r="AM38"/>
  <c r="AN38"/>
  <c r="AO38"/>
  <c r="AP38"/>
  <c r="AQ38"/>
  <c r="AR38"/>
  <c r="AS38"/>
  <c r="AT38"/>
  <c r="AL38"/>
  <c r="AH38"/>
  <c r="AK38"/>
  <c r="AI38"/>
  <c r="AJ38"/>
  <c r="AU54"/>
  <c r="AM54"/>
  <c r="AN54"/>
  <c r="AO54"/>
  <c r="AP54"/>
  <c r="AQ54"/>
  <c r="AR54"/>
  <c r="AS54"/>
  <c r="AT54"/>
  <c r="AL54"/>
  <c r="AK54"/>
  <c r="AI54"/>
  <c r="AJ54"/>
  <c r="AH54"/>
  <c r="AU70"/>
  <c r="AM70"/>
  <c r="AN70"/>
  <c r="AO70"/>
  <c r="AP70"/>
  <c r="AQ70"/>
  <c r="AR70"/>
  <c r="AS70"/>
  <c r="AT70"/>
  <c r="AL70"/>
  <c r="AK70"/>
  <c r="AI70"/>
  <c r="AH70"/>
  <c r="AJ70"/>
  <c r="AU78"/>
  <c r="AM78"/>
  <c r="AN78"/>
  <c r="AO78"/>
  <c r="AP78"/>
  <c r="AQ78"/>
  <c r="AR78"/>
  <c r="AS78"/>
  <c r="AT78"/>
  <c r="AL78"/>
  <c r="AK78"/>
  <c r="AI78"/>
  <c r="AJ78"/>
  <c r="AH78"/>
  <c r="AU94"/>
  <c r="AM94"/>
  <c r="AN94"/>
  <c r="AO94"/>
  <c r="AP94"/>
  <c r="AQ94"/>
  <c r="AR94"/>
  <c r="AS94"/>
  <c r="AT94"/>
  <c r="AL94"/>
  <c r="AK94"/>
  <c r="AI94"/>
  <c r="AH94"/>
  <c r="AJ94"/>
  <c r="AU110"/>
  <c r="AM110"/>
  <c r="AN110"/>
  <c r="AO110"/>
  <c r="AP110"/>
  <c r="AQ110"/>
  <c r="AR110"/>
  <c r="AS110"/>
  <c r="AT110"/>
  <c r="AL110"/>
  <c r="AK110"/>
  <c r="AI110"/>
  <c r="AJ110"/>
  <c r="AH110"/>
  <c r="AU118"/>
  <c r="AM118"/>
  <c r="AN118"/>
  <c r="AO118"/>
  <c r="AP118"/>
  <c r="AQ118"/>
  <c r="AR118"/>
  <c r="AS118"/>
  <c r="AT118"/>
  <c r="AL118"/>
  <c r="AH118"/>
  <c r="AK118"/>
  <c r="AI118"/>
  <c r="AJ118"/>
  <c r="AO3"/>
  <c r="AI3"/>
  <c r="AT3"/>
  <c r="AP3"/>
  <c r="AU3"/>
  <c r="AQ3"/>
  <c r="AR3"/>
  <c r="AJ3"/>
  <c r="AS3"/>
  <c r="AK3"/>
  <c r="AL3"/>
  <c r="AM3"/>
  <c r="AH3"/>
  <c r="AN3"/>
  <c r="AS11"/>
  <c r="AT11"/>
  <c r="AL11"/>
  <c r="AU11"/>
  <c r="AM11"/>
  <c r="AN11"/>
  <c r="AO11"/>
  <c r="AP11"/>
  <c r="AQ11"/>
  <c r="AR11"/>
  <c r="AI11"/>
  <c r="AJ11"/>
  <c r="AK11"/>
  <c r="AH11"/>
  <c r="AS19"/>
  <c r="AT19"/>
  <c r="AL19"/>
  <c r="AU19"/>
  <c r="AM19"/>
  <c r="AN19"/>
  <c r="AO19"/>
  <c r="AP19"/>
  <c r="AQ19"/>
  <c r="AR19"/>
  <c r="AI19"/>
  <c r="AJ19"/>
  <c r="AK19"/>
  <c r="AH19"/>
  <c r="AS27"/>
  <c r="AT27"/>
  <c r="AL27"/>
  <c r="AU27"/>
  <c r="AM27"/>
  <c r="AN27"/>
  <c r="AO27"/>
  <c r="AP27"/>
  <c r="AQ27"/>
  <c r="AR27"/>
  <c r="AI27"/>
  <c r="AJ27"/>
  <c r="AK27"/>
  <c r="AH27"/>
  <c r="AS35"/>
  <c r="AT35"/>
  <c r="AL35"/>
  <c r="AU35"/>
  <c r="AM35"/>
  <c r="AN35"/>
  <c r="AO35"/>
  <c r="AP35"/>
  <c r="AQ35"/>
  <c r="AR35"/>
  <c r="AI35"/>
  <c r="AJ35"/>
  <c r="AK35"/>
  <c r="AH35"/>
  <c r="AS43"/>
  <c r="AT43"/>
  <c r="AL43"/>
  <c r="AU43"/>
  <c r="AM43"/>
  <c r="AN43"/>
  <c r="AO43"/>
  <c r="AP43"/>
  <c r="AQ43"/>
  <c r="AR43"/>
  <c r="AI43"/>
  <c r="AJ43"/>
  <c r="AK43"/>
  <c r="AH43"/>
  <c r="AS51"/>
  <c r="AT51"/>
  <c r="AL51"/>
  <c r="AU51"/>
  <c r="AM51"/>
  <c r="AN51"/>
  <c r="AO51"/>
  <c r="AP51"/>
  <c r="AQ51"/>
  <c r="AR51"/>
  <c r="AI51"/>
  <c r="AJ51"/>
  <c r="AK51"/>
  <c r="AH51"/>
  <c r="AS59"/>
  <c r="AT59"/>
  <c r="AL59"/>
  <c r="AU59"/>
  <c r="AM59"/>
  <c r="AN59"/>
  <c r="AO59"/>
  <c r="AP59"/>
  <c r="AQ59"/>
  <c r="AR59"/>
  <c r="AI59"/>
  <c r="AJ59"/>
  <c r="AK59"/>
  <c r="AH59"/>
  <c r="AS67"/>
  <c r="AT67"/>
  <c r="AL67"/>
  <c r="AU67"/>
  <c r="AM67"/>
  <c r="AN67"/>
  <c r="AO67"/>
  <c r="AP67"/>
  <c r="AQ67"/>
  <c r="AR67"/>
  <c r="AI67"/>
  <c r="AJ67"/>
  <c r="AK67"/>
  <c r="AH67"/>
  <c r="AS75"/>
  <c r="AT75"/>
  <c r="AL75"/>
  <c r="AU75"/>
  <c r="AM75"/>
  <c r="AN75"/>
  <c r="AO75"/>
  <c r="AP75"/>
  <c r="AQ75"/>
  <c r="AR75"/>
  <c r="AI75"/>
  <c r="AJ75"/>
  <c r="AK75"/>
  <c r="AH75"/>
  <c r="AS83"/>
  <c r="AT83"/>
  <c r="AL83"/>
  <c r="AU83"/>
  <c r="AM83"/>
  <c r="AN83"/>
  <c r="AO83"/>
  <c r="AP83"/>
  <c r="AQ83"/>
  <c r="AR83"/>
  <c r="AI83"/>
  <c r="AJ83"/>
  <c r="AK83"/>
  <c r="AH83"/>
  <c r="AS91"/>
  <c r="AT91"/>
  <c r="AL91"/>
  <c r="AU91"/>
  <c r="AM91"/>
  <c r="AN91"/>
  <c r="AO91"/>
  <c r="AP91"/>
  <c r="AQ91"/>
  <c r="AR91"/>
  <c r="AI91"/>
  <c r="AJ91"/>
  <c r="AK91"/>
  <c r="AH91"/>
  <c r="AS99"/>
  <c r="AT99"/>
  <c r="AL99"/>
  <c r="AU99"/>
  <c r="AM99"/>
  <c r="AN99"/>
  <c r="AO99"/>
  <c r="AP99"/>
  <c r="AQ99"/>
  <c r="AR99"/>
  <c r="AI99"/>
  <c r="AJ99"/>
  <c r="AK99"/>
  <c r="AH99"/>
  <c r="AS107"/>
  <c r="AT107"/>
  <c r="AL107"/>
  <c r="AU107"/>
  <c r="AM107"/>
  <c r="AN107"/>
  <c r="AO107"/>
  <c r="AP107"/>
  <c r="AQ107"/>
  <c r="AR107"/>
  <c r="AI107"/>
  <c r="AJ107"/>
  <c r="AK107"/>
  <c r="AH107"/>
  <c r="AS115"/>
  <c r="AT115"/>
  <c r="AL115"/>
  <c r="AU115"/>
  <c r="AM115"/>
  <c r="AN115"/>
  <c r="AO115"/>
  <c r="AP115"/>
  <c r="AQ115"/>
  <c r="AR115"/>
  <c r="AI115"/>
  <c r="AJ115"/>
  <c r="AK115"/>
  <c r="AH115"/>
  <c r="AS123"/>
  <c r="AT123"/>
  <c r="AL123"/>
  <c r="AU123"/>
  <c r="AM123"/>
  <c r="AN123"/>
  <c r="AO123"/>
  <c r="AP123"/>
  <c r="AQ123"/>
  <c r="AR123"/>
  <c r="AI123"/>
  <c r="AJ123"/>
  <c r="AK123"/>
  <c r="AH123"/>
  <c r="AS131"/>
  <c r="AT131"/>
  <c r="AL131"/>
  <c r="AU131"/>
  <c r="AM131"/>
  <c r="AN131"/>
  <c r="AO131"/>
  <c r="AP131"/>
  <c r="AQ131"/>
  <c r="AR131"/>
  <c r="AI131"/>
  <c r="AJ131"/>
  <c r="AK131"/>
  <c r="AH131"/>
  <c r="AS139"/>
  <c r="AT139"/>
  <c r="AL139"/>
  <c r="AU139"/>
  <c r="AM139"/>
  <c r="AN139"/>
  <c r="AO139"/>
  <c r="AP139"/>
  <c r="AQ139"/>
  <c r="AR139"/>
  <c r="AI139"/>
  <c r="AJ139"/>
  <c r="AK139"/>
  <c r="AH139"/>
  <c r="AS147"/>
  <c r="AT147"/>
  <c r="AL147"/>
  <c r="AU147"/>
  <c r="AM147"/>
  <c r="AN147"/>
  <c r="AO147"/>
  <c r="AP147"/>
  <c r="AQ147"/>
  <c r="AR147"/>
  <c r="AI147"/>
  <c r="AJ147"/>
  <c r="AK147"/>
  <c r="AH147"/>
  <c r="AS155"/>
  <c r="AT155"/>
  <c r="AL155"/>
  <c r="AU155"/>
  <c r="AM155"/>
  <c r="AN155"/>
  <c r="AO155"/>
  <c r="AP155"/>
  <c r="AQ155"/>
  <c r="AR155"/>
  <c r="AI155"/>
  <c r="AJ155"/>
  <c r="AK155"/>
  <c r="AH155"/>
  <c r="AS163"/>
  <c r="AT163"/>
  <c r="AL163"/>
  <c r="AU163"/>
  <c r="AM163"/>
  <c r="AN163"/>
  <c r="AO163"/>
  <c r="AP163"/>
  <c r="AQ163"/>
  <c r="AR163"/>
  <c r="AI163"/>
  <c r="AJ163"/>
  <c r="AK163"/>
  <c r="AH163"/>
  <c r="AS171"/>
  <c r="AT171"/>
  <c r="AL171"/>
  <c r="AU171"/>
  <c r="AM171"/>
  <c r="AN171"/>
  <c r="AO171"/>
  <c r="AP171"/>
  <c r="AQ171"/>
  <c r="AR171"/>
  <c r="AI171"/>
  <c r="AJ171"/>
  <c r="AK171"/>
  <c r="AH171"/>
  <c r="AS179"/>
  <c r="AT179"/>
  <c r="AL179"/>
  <c r="AU179"/>
  <c r="AM179"/>
  <c r="AN179"/>
  <c r="AO179"/>
  <c r="AP179"/>
  <c r="AQ179"/>
  <c r="AR179"/>
  <c r="AI179"/>
  <c r="AJ179"/>
  <c r="AK179"/>
  <c r="AH179"/>
  <c r="AS187"/>
  <c r="AT187"/>
  <c r="AL187"/>
  <c r="AU187"/>
  <c r="AM187"/>
  <c r="AN187"/>
  <c r="AO187"/>
  <c r="AP187"/>
  <c r="AQ187"/>
  <c r="AR187"/>
  <c r="AI187"/>
  <c r="AJ187"/>
  <c r="AK187"/>
  <c r="AH187"/>
  <c r="AS195"/>
  <c r="AT195"/>
  <c r="AL195"/>
  <c r="AU195"/>
  <c r="AM195"/>
  <c r="AN195"/>
  <c r="AO195"/>
  <c r="AP195"/>
  <c r="AQ195"/>
  <c r="AR195"/>
  <c r="AI195"/>
  <c r="AJ195"/>
  <c r="AK195"/>
  <c r="AH195"/>
  <c r="AO33"/>
  <c r="AP33"/>
  <c r="AQ33"/>
  <c r="AR33"/>
  <c r="AS33"/>
  <c r="AT33"/>
  <c r="AL33"/>
  <c r="AU33"/>
  <c r="AM33"/>
  <c r="AN33"/>
  <c r="AJ33"/>
  <c r="AH33"/>
  <c r="AK33"/>
  <c r="AI33"/>
  <c r="AQ64"/>
  <c r="AR64"/>
  <c r="AS64"/>
  <c r="AT64"/>
  <c r="AL64"/>
  <c r="AU64"/>
  <c r="AM64"/>
  <c r="AN64"/>
  <c r="AO64"/>
  <c r="AP64"/>
  <c r="AJ64"/>
  <c r="AK64"/>
  <c r="AH64"/>
  <c r="AI64"/>
  <c r="AQ80"/>
  <c r="AR80"/>
  <c r="AS80"/>
  <c r="AT80"/>
  <c r="AL80"/>
  <c r="AU80"/>
  <c r="AM80"/>
  <c r="AN80"/>
  <c r="AO80"/>
  <c r="AP80"/>
  <c r="AJ80"/>
  <c r="AK80"/>
  <c r="AH80"/>
  <c r="AI80"/>
  <c r="AQ112"/>
  <c r="AR112"/>
  <c r="AS112"/>
  <c r="AT112"/>
  <c r="AL112"/>
  <c r="AU112"/>
  <c r="AM112"/>
  <c r="AN112"/>
  <c r="AO112"/>
  <c r="AP112"/>
  <c r="AJ112"/>
  <c r="AK112"/>
  <c r="AH112"/>
  <c r="AI112"/>
  <c r="AQ160"/>
  <c r="AR160"/>
  <c r="AS160"/>
  <c r="AT160"/>
  <c r="AL160"/>
  <c r="AU160"/>
  <c r="AM160"/>
  <c r="AN160"/>
  <c r="AO160"/>
  <c r="AP160"/>
  <c r="AJ160"/>
  <c r="AK160"/>
  <c r="AH160"/>
  <c r="AI160"/>
  <c r="AQ168"/>
  <c r="AR168"/>
  <c r="AS168"/>
  <c r="AT168"/>
  <c r="AL168"/>
  <c r="AU168"/>
  <c r="AM168"/>
  <c r="AN168"/>
  <c r="AO168"/>
  <c r="AP168"/>
  <c r="AJ168"/>
  <c r="AK168"/>
  <c r="AH168"/>
  <c r="AI168"/>
  <c r="AQ184"/>
  <c r="AR184"/>
  <c r="AS184"/>
  <c r="AT184"/>
  <c r="AL184"/>
  <c r="AU184"/>
  <c r="AM184"/>
  <c r="AN184"/>
  <c r="AO184"/>
  <c r="AP184"/>
  <c r="AJ184"/>
  <c r="AK184"/>
  <c r="AH184"/>
  <c r="AI184"/>
  <c r="AQ192"/>
  <c r="AR192"/>
  <c r="AS192"/>
  <c r="AT192"/>
  <c r="AL192"/>
  <c r="AU192"/>
  <c r="AM192"/>
  <c r="AN192"/>
  <c r="AO192"/>
  <c r="AP192"/>
  <c r="AJ192"/>
  <c r="AK192"/>
  <c r="AH192"/>
  <c r="AI192"/>
  <c r="AQ200"/>
  <c r="AR200"/>
  <c r="AS200"/>
  <c r="AT200"/>
  <c r="AL200"/>
  <c r="AU200"/>
  <c r="AM200"/>
  <c r="AN200"/>
  <c r="AO200"/>
  <c r="AP200"/>
  <c r="AJ200"/>
  <c r="AK200"/>
  <c r="AH200"/>
  <c r="AI200"/>
  <c r="AO65"/>
  <c r="AP65"/>
  <c r="AQ65"/>
  <c r="AR65"/>
  <c r="AS65"/>
  <c r="AT65"/>
  <c r="AL65"/>
  <c r="AU65"/>
  <c r="AM65"/>
  <c r="AN65"/>
  <c r="AJ65"/>
  <c r="AH65"/>
  <c r="AK65"/>
  <c r="AI65"/>
  <c r="AQ16"/>
  <c r="AR16"/>
  <c r="AS16"/>
  <c r="AT16"/>
  <c r="AL16"/>
  <c r="AU16"/>
  <c r="AM16"/>
  <c r="AN16"/>
  <c r="AO16"/>
  <c r="AP16"/>
  <c r="AJ16"/>
  <c r="AK16"/>
  <c r="AH16"/>
  <c r="AI16"/>
  <c r="AQ32"/>
  <c r="AR32"/>
  <c r="AS32"/>
  <c r="AT32"/>
  <c r="AL32"/>
  <c r="AU32"/>
  <c r="AM32"/>
  <c r="AN32"/>
  <c r="AO32"/>
  <c r="AP32"/>
  <c r="AJ32"/>
  <c r="AK32"/>
  <c r="AH32"/>
  <c r="AI32"/>
  <c r="AQ56"/>
  <c r="AR56"/>
  <c r="AS56"/>
  <c r="AT56"/>
  <c r="AL56"/>
  <c r="AU56"/>
  <c r="AM56"/>
  <c r="AN56"/>
  <c r="AO56"/>
  <c r="AP56"/>
  <c r="AJ56"/>
  <c r="AK56"/>
  <c r="AH56"/>
  <c r="AI56"/>
  <c r="AQ120"/>
  <c r="AR120"/>
  <c r="AS120"/>
  <c r="AT120"/>
  <c r="AL120"/>
  <c r="AU120"/>
  <c r="AM120"/>
  <c r="AN120"/>
  <c r="AO120"/>
  <c r="AP120"/>
  <c r="AJ120"/>
  <c r="AK120"/>
  <c r="AH120"/>
  <c r="AI120"/>
  <c r="AO29"/>
  <c r="AP29"/>
  <c r="AQ29"/>
  <c r="AR29"/>
  <c r="AS29"/>
  <c r="AT29"/>
  <c r="AL29"/>
  <c r="AU29"/>
  <c r="AM29"/>
  <c r="AN29"/>
  <c r="AK29"/>
  <c r="AH29"/>
  <c r="AJ29"/>
  <c r="AI29"/>
  <c r="AO61"/>
  <c r="AP61"/>
  <c r="AQ61"/>
  <c r="AR61"/>
  <c r="AS61"/>
  <c r="AT61"/>
  <c r="AL61"/>
  <c r="AU61"/>
  <c r="AM61"/>
  <c r="AN61"/>
  <c r="AK61"/>
  <c r="AH61"/>
  <c r="AI61"/>
  <c r="AJ61"/>
  <c r="AO93"/>
  <c r="AP93"/>
  <c r="AQ93"/>
  <c r="AR93"/>
  <c r="AS93"/>
  <c r="AT93"/>
  <c r="AL93"/>
  <c r="AU93"/>
  <c r="AM93"/>
  <c r="AN93"/>
  <c r="AK93"/>
  <c r="AH93"/>
  <c r="AI93"/>
  <c r="AJ93"/>
  <c r="AO133"/>
  <c r="AP133"/>
  <c r="AQ133"/>
  <c r="AR133"/>
  <c r="AS133"/>
  <c r="AT133"/>
  <c r="AL133"/>
  <c r="AU133"/>
  <c r="AM133"/>
  <c r="AN133"/>
  <c r="AK133"/>
  <c r="AH133"/>
  <c r="AI133"/>
  <c r="AJ133"/>
  <c r="AO141"/>
  <c r="AP141"/>
  <c r="AQ141"/>
  <c r="AR141"/>
  <c r="AS141"/>
  <c r="AT141"/>
  <c r="AL141"/>
  <c r="AU141"/>
  <c r="AM141"/>
  <c r="AN141"/>
  <c r="AK141"/>
  <c r="AH141"/>
  <c r="AI141"/>
  <c r="AJ141"/>
  <c r="AO157"/>
  <c r="AP157"/>
  <c r="AQ157"/>
  <c r="AR157"/>
  <c r="AS157"/>
  <c r="AT157"/>
  <c r="AL157"/>
  <c r="AU157"/>
  <c r="AM157"/>
  <c r="AN157"/>
  <c r="AK157"/>
  <c r="AH157"/>
  <c r="AJ157"/>
  <c r="AI157"/>
  <c r="AO165"/>
  <c r="AP165"/>
  <c r="AQ165"/>
  <c r="AR165"/>
  <c r="AS165"/>
  <c r="AT165"/>
  <c r="AL165"/>
  <c r="AU165"/>
  <c r="AM165"/>
  <c r="AN165"/>
  <c r="AK165"/>
  <c r="AH165"/>
  <c r="AI165"/>
  <c r="AJ165"/>
  <c r="AO173"/>
  <c r="AP173"/>
  <c r="AQ173"/>
  <c r="AR173"/>
  <c r="AS173"/>
  <c r="AT173"/>
  <c r="AL173"/>
  <c r="AU173"/>
  <c r="AM173"/>
  <c r="AN173"/>
  <c r="AK173"/>
  <c r="AH173"/>
  <c r="AI173"/>
  <c r="AJ173"/>
  <c r="AO181"/>
  <c r="AP181"/>
  <c r="AQ181"/>
  <c r="AR181"/>
  <c r="AS181"/>
  <c r="AT181"/>
  <c r="AL181"/>
  <c r="AU181"/>
  <c r="AM181"/>
  <c r="AN181"/>
  <c r="AK181"/>
  <c r="AH181"/>
  <c r="AI181"/>
  <c r="AJ181"/>
  <c r="AO189"/>
  <c r="AP189"/>
  <c r="AQ189"/>
  <c r="AR189"/>
  <c r="AS189"/>
  <c r="AT189"/>
  <c r="AL189"/>
  <c r="AU189"/>
  <c r="AM189"/>
  <c r="AN189"/>
  <c r="AK189"/>
  <c r="AH189"/>
  <c r="AJ189"/>
  <c r="AI189"/>
  <c r="AO197"/>
  <c r="AP197"/>
  <c r="AQ197"/>
  <c r="AR197"/>
  <c r="AS197"/>
  <c r="AT197"/>
  <c r="AL197"/>
  <c r="AU197"/>
  <c r="AM197"/>
  <c r="AN197"/>
  <c r="AK197"/>
  <c r="AH197"/>
  <c r="AJ197"/>
  <c r="AI197"/>
  <c r="AO81"/>
  <c r="AP81"/>
  <c r="AQ81"/>
  <c r="AR81"/>
  <c r="AS81"/>
  <c r="AT81"/>
  <c r="AL81"/>
  <c r="AU81"/>
  <c r="AM81"/>
  <c r="AN81"/>
  <c r="AH81"/>
  <c r="AK81"/>
  <c r="AI81"/>
  <c r="AJ81"/>
  <c r="AQ24"/>
  <c r="AR24"/>
  <c r="AS24"/>
  <c r="AT24"/>
  <c r="AL24"/>
  <c r="AU24"/>
  <c r="AM24"/>
  <c r="AN24"/>
  <c r="AO24"/>
  <c r="AP24"/>
  <c r="AJ24"/>
  <c r="AK24"/>
  <c r="AH24"/>
  <c r="AI24"/>
  <c r="AQ72"/>
  <c r="AR72"/>
  <c r="AS72"/>
  <c r="AT72"/>
  <c r="AL72"/>
  <c r="AU72"/>
  <c r="AM72"/>
  <c r="AN72"/>
  <c r="AO72"/>
  <c r="AP72"/>
  <c r="AJ72"/>
  <c r="AK72"/>
  <c r="AH72"/>
  <c r="AI72"/>
  <c r="AQ96"/>
  <c r="AR96"/>
  <c r="AS96"/>
  <c r="AT96"/>
  <c r="AL96"/>
  <c r="AU96"/>
  <c r="AM96"/>
  <c r="AN96"/>
  <c r="AO96"/>
  <c r="AP96"/>
  <c r="AJ96"/>
  <c r="AK96"/>
  <c r="AH96"/>
  <c r="AI96"/>
  <c r="AQ144"/>
  <c r="AR144"/>
  <c r="AS144"/>
  <c r="AT144"/>
  <c r="AL144"/>
  <c r="AU144"/>
  <c r="AM144"/>
  <c r="AN144"/>
  <c r="AO144"/>
  <c r="AP144"/>
  <c r="AJ144"/>
  <c r="AK144"/>
  <c r="AH144"/>
  <c r="AI144"/>
  <c r="AO5"/>
  <c r="AK5"/>
  <c r="AH5"/>
  <c r="AP5"/>
  <c r="AI5"/>
  <c r="AQ5"/>
  <c r="AR5"/>
  <c r="AS5"/>
  <c r="AT5"/>
  <c r="AL5"/>
  <c r="AU5"/>
  <c r="AM5"/>
  <c r="AJ5"/>
  <c r="AN5"/>
  <c r="AO53"/>
  <c r="AP53"/>
  <c r="AQ53"/>
  <c r="AR53"/>
  <c r="AS53"/>
  <c r="AT53"/>
  <c r="AL53"/>
  <c r="AU53"/>
  <c r="AM53"/>
  <c r="AN53"/>
  <c r="AK53"/>
  <c r="AH53"/>
  <c r="AJ53"/>
  <c r="AI53"/>
  <c r="AO69"/>
  <c r="AP69"/>
  <c r="AQ69"/>
  <c r="AR69"/>
  <c r="AS69"/>
  <c r="AT69"/>
  <c r="AL69"/>
  <c r="AU69"/>
  <c r="AM69"/>
  <c r="AN69"/>
  <c r="AK69"/>
  <c r="AH69"/>
  <c r="AJ69"/>
  <c r="AI69"/>
  <c r="AO77"/>
  <c r="AP77"/>
  <c r="AQ77"/>
  <c r="AR77"/>
  <c r="AS77"/>
  <c r="AT77"/>
  <c r="AL77"/>
  <c r="AU77"/>
  <c r="AM77"/>
  <c r="AN77"/>
  <c r="AK77"/>
  <c r="AH77"/>
  <c r="AI77"/>
  <c r="AJ77"/>
  <c r="AO85"/>
  <c r="AP85"/>
  <c r="AQ85"/>
  <c r="AR85"/>
  <c r="AS85"/>
  <c r="AT85"/>
  <c r="AL85"/>
  <c r="AU85"/>
  <c r="AM85"/>
  <c r="AN85"/>
  <c r="AK85"/>
  <c r="AH85"/>
  <c r="AJ85"/>
  <c r="AI85"/>
  <c r="AO101"/>
  <c r="AP101"/>
  <c r="AQ101"/>
  <c r="AR101"/>
  <c r="AS101"/>
  <c r="AT101"/>
  <c r="AL101"/>
  <c r="AU101"/>
  <c r="AM101"/>
  <c r="AN101"/>
  <c r="AK101"/>
  <c r="AH101"/>
  <c r="AI101"/>
  <c r="AJ101"/>
  <c r="AO109"/>
  <c r="AP109"/>
  <c r="AQ109"/>
  <c r="AR109"/>
  <c r="AS109"/>
  <c r="AT109"/>
  <c r="AL109"/>
  <c r="AU109"/>
  <c r="AM109"/>
  <c r="AN109"/>
  <c r="AK109"/>
  <c r="AH109"/>
  <c r="AJ109"/>
  <c r="AI109"/>
  <c r="AO117"/>
  <c r="AP117"/>
  <c r="AQ117"/>
  <c r="AR117"/>
  <c r="AS117"/>
  <c r="AT117"/>
  <c r="AL117"/>
  <c r="AU117"/>
  <c r="AM117"/>
  <c r="AN117"/>
  <c r="AK117"/>
  <c r="AH117"/>
  <c r="AJ117"/>
  <c r="AI117"/>
  <c r="AO125"/>
  <c r="AP125"/>
  <c r="AQ125"/>
  <c r="AR125"/>
  <c r="AS125"/>
  <c r="AT125"/>
  <c r="AL125"/>
  <c r="AU125"/>
  <c r="AM125"/>
  <c r="AN125"/>
  <c r="AK125"/>
  <c r="AH125"/>
  <c r="AI125"/>
  <c r="AJ125"/>
  <c r="AO149"/>
  <c r="AP149"/>
  <c r="AQ149"/>
  <c r="AR149"/>
  <c r="AS149"/>
  <c r="AT149"/>
  <c r="AL149"/>
  <c r="AU149"/>
  <c r="AM149"/>
  <c r="AN149"/>
  <c r="AK149"/>
  <c r="AH149"/>
  <c r="AJ149"/>
  <c r="AI149"/>
  <c r="AU10"/>
  <c r="AM10"/>
  <c r="AN10"/>
  <c r="AO10"/>
  <c r="AP10"/>
  <c r="AQ10"/>
  <c r="AR10"/>
  <c r="AS10"/>
  <c r="AT10"/>
  <c r="AL10"/>
  <c r="AJ10"/>
  <c r="AH10"/>
  <c r="AK10"/>
  <c r="AI10"/>
  <c r="AU18"/>
  <c r="AM18"/>
  <c r="AN18"/>
  <c r="AO18"/>
  <c r="AP18"/>
  <c r="AQ18"/>
  <c r="AR18"/>
  <c r="AS18"/>
  <c r="AT18"/>
  <c r="AL18"/>
  <c r="AJ18"/>
  <c r="AH18"/>
  <c r="AK18"/>
  <c r="AI18"/>
  <c r="AU26"/>
  <c r="AM26"/>
  <c r="AN26"/>
  <c r="AO26"/>
  <c r="AP26"/>
  <c r="AQ26"/>
  <c r="AR26"/>
  <c r="AS26"/>
  <c r="AT26"/>
  <c r="AL26"/>
  <c r="AJ26"/>
  <c r="AK26"/>
  <c r="AH26"/>
  <c r="AI26"/>
  <c r="AU34"/>
  <c r="AM34"/>
  <c r="AN34"/>
  <c r="AO34"/>
  <c r="AP34"/>
  <c r="AQ34"/>
  <c r="AR34"/>
  <c r="AS34"/>
  <c r="AT34"/>
  <c r="AL34"/>
  <c r="AJ34"/>
  <c r="AH34"/>
  <c r="AK34"/>
  <c r="AI34"/>
  <c r="AU42"/>
  <c r="AM42"/>
  <c r="AN42"/>
  <c r="AO42"/>
  <c r="AP42"/>
  <c r="AQ42"/>
  <c r="AR42"/>
  <c r="AS42"/>
  <c r="AT42"/>
  <c r="AL42"/>
  <c r="AJ42"/>
  <c r="AH42"/>
  <c r="AK42"/>
  <c r="AI42"/>
  <c r="AU50"/>
  <c r="AM50"/>
  <c r="AN50"/>
  <c r="AO50"/>
  <c r="AP50"/>
  <c r="AQ50"/>
  <c r="AR50"/>
  <c r="AS50"/>
  <c r="AT50"/>
  <c r="AL50"/>
  <c r="AJ50"/>
  <c r="AH50"/>
  <c r="AK50"/>
  <c r="AI50"/>
  <c r="AU58"/>
  <c r="AM58"/>
  <c r="AN58"/>
  <c r="AO58"/>
  <c r="AP58"/>
  <c r="AQ58"/>
  <c r="AR58"/>
  <c r="AS58"/>
  <c r="AT58"/>
  <c r="AL58"/>
  <c r="AJ58"/>
  <c r="AK58"/>
  <c r="AH58"/>
  <c r="AI58"/>
  <c r="AU66"/>
  <c r="AM66"/>
  <c r="AN66"/>
  <c r="AO66"/>
  <c r="AP66"/>
  <c r="AQ66"/>
  <c r="AR66"/>
  <c r="AS66"/>
  <c r="AT66"/>
  <c r="AL66"/>
  <c r="AJ66"/>
  <c r="AH66"/>
  <c r="AK66"/>
  <c r="AI66"/>
  <c r="AU74"/>
  <c r="AM74"/>
  <c r="AN74"/>
  <c r="AO74"/>
  <c r="AP74"/>
  <c r="AQ74"/>
  <c r="AR74"/>
  <c r="AS74"/>
  <c r="AT74"/>
  <c r="AL74"/>
  <c r="AJ74"/>
  <c r="AH74"/>
  <c r="AK74"/>
  <c r="AI74"/>
  <c r="AU82"/>
  <c r="AM82"/>
  <c r="AN82"/>
  <c r="AO82"/>
  <c r="AP82"/>
  <c r="AQ82"/>
  <c r="AR82"/>
  <c r="AS82"/>
  <c r="AT82"/>
  <c r="AL82"/>
  <c r="AJ82"/>
  <c r="AH82"/>
  <c r="AK82"/>
  <c r="AI82"/>
  <c r="AU90"/>
  <c r="AM90"/>
  <c r="AN90"/>
  <c r="AO90"/>
  <c r="AP90"/>
  <c r="AQ90"/>
  <c r="AR90"/>
  <c r="AS90"/>
  <c r="AT90"/>
  <c r="AL90"/>
  <c r="AJ90"/>
  <c r="AK90"/>
  <c r="AH90"/>
  <c r="AI90"/>
  <c r="AU98"/>
  <c r="AM98"/>
  <c r="AN98"/>
  <c r="AO98"/>
  <c r="AP98"/>
  <c r="AQ98"/>
  <c r="AR98"/>
  <c r="AS98"/>
  <c r="AT98"/>
  <c r="AL98"/>
  <c r="AJ98"/>
  <c r="AH98"/>
  <c r="AK98"/>
  <c r="AI98"/>
  <c r="AU106"/>
  <c r="AM106"/>
  <c r="AN106"/>
  <c r="AO106"/>
  <c r="AP106"/>
  <c r="AQ106"/>
  <c r="AR106"/>
  <c r="AS106"/>
  <c r="AT106"/>
  <c r="AL106"/>
  <c r="AJ106"/>
  <c r="AH106"/>
  <c r="AK106"/>
  <c r="AI106"/>
  <c r="AU114"/>
  <c r="AM114"/>
  <c r="AN114"/>
  <c r="AO114"/>
  <c r="AP114"/>
  <c r="AQ114"/>
  <c r="AR114"/>
  <c r="AS114"/>
  <c r="AT114"/>
  <c r="AL114"/>
  <c r="AJ114"/>
  <c r="AH114"/>
  <c r="AK114"/>
  <c r="AI114"/>
  <c r="AU122"/>
  <c r="AM122"/>
  <c r="AN122"/>
  <c r="AO122"/>
  <c r="AP122"/>
  <c r="AQ122"/>
  <c r="AR122"/>
  <c r="AS122"/>
  <c r="AT122"/>
  <c r="AL122"/>
  <c r="AJ122"/>
  <c r="AK122"/>
  <c r="AH122"/>
  <c r="AI122"/>
  <c r="AU130"/>
  <c r="AM130"/>
  <c r="AN130"/>
  <c r="AO130"/>
  <c r="AP130"/>
  <c r="AQ130"/>
  <c r="AR130"/>
  <c r="AS130"/>
  <c r="AT130"/>
  <c r="AL130"/>
  <c r="AJ130"/>
  <c r="AH130"/>
  <c r="AK130"/>
  <c r="AI130"/>
  <c r="AU138"/>
  <c r="AM138"/>
  <c r="AN138"/>
  <c r="AO138"/>
  <c r="AP138"/>
  <c r="AQ138"/>
  <c r="AR138"/>
  <c r="AS138"/>
  <c r="AT138"/>
  <c r="AL138"/>
  <c r="AJ138"/>
  <c r="AH138"/>
  <c r="AK138"/>
  <c r="AI138"/>
  <c r="AU146"/>
  <c r="AM146"/>
  <c r="AN146"/>
  <c r="AO146"/>
  <c r="AP146"/>
  <c r="AQ146"/>
  <c r="AR146"/>
  <c r="AS146"/>
  <c r="AT146"/>
  <c r="AL146"/>
  <c r="AJ146"/>
  <c r="AH146"/>
  <c r="AK146"/>
  <c r="AI146"/>
  <c r="AU154"/>
  <c r="AM154"/>
  <c r="AN154"/>
  <c r="AO154"/>
  <c r="AP154"/>
  <c r="AQ154"/>
  <c r="AR154"/>
  <c r="AS154"/>
  <c r="AT154"/>
  <c r="AL154"/>
  <c r="AJ154"/>
  <c r="AH154"/>
  <c r="AK154"/>
  <c r="AI154"/>
  <c r="AU162"/>
  <c r="AM162"/>
  <c r="AN162"/>
  <c r="AO162"/>
  <c r="AP162"/>
  <c r="AQ162"/>
  <c r="AR162"/>
  <c r="AS162"/>
  <c r="AT162"/>
  <c r="AL162"/>
  <c r="AJ162"/>
  <c r="AK162"/>
  <c r="AH162"/>
  <c r="AI162"/>
  <c r="AU170"/>
  <c r="AM170"/>
  <c r="AN170"/>
  <c r="AO170"/>
  <c r="AP170"/>
  <c r="AQ170"/>
  <c r="AR170"/>
  <c r="AS170"/>
  <c r="AT170"/>
  <c r="AL170"/>
  <c r="AJ170"/>
  <c r="AH170"/>
  <c r="AK170"/>
  <c r="AI170"/>
  <c r="AU178"/>
  <c r="AM178"/>
  <c r="AN178"/>
  <c r="AO178"/>
  <c r="AP178"/>
  <c r="AQ178"/>
  <c r="AR178"/>
  <c r="AS178"/>
  <c r="AT178"/>
  <c r="AL178"/>
  <c r="AJ178"/>
  <c r="AH178"/>
  <c r="AK178"/>
  <c r="AI178"/>
  <c r="AU186"/>
  <c r="AM186"/>
  <c r="AN186"/>
  <c r="AO186"/>
  <c r="AP186"/>
  <c r="AQ186"/>
  <c r="AR186"/>
  <c r="AS186"/>
  <c r="AT186"/>
  <c r="AL186"/>
  <c r="AJ186"/>
  <c r="AH186"/>
  <c r="AK186"/>
  <c r="AI186"/>
  <c r="AU194"/>
  <c r="AM194"/>
  <c r="AN194"/>
  <c r="AO194"/>
  <c r="AP194"/>
  <c r="AQ194"/>
  <c r="AR194"/>
  <c r="AS194"/>
  <c r="AT194"/>
  <c r="AL194"/>
  <c r="AJ194"/>
  <c r="AK194"/>
  <c r="AH194"/>
  <c r="AI194"/>
  <c r="J7" i="16"/>
  <c r="AF3" i="1"/>
  <c r="AG3"/>
  <c r="AF9"/>
  <c r="AG9"/>
  <c r="AG16"/>
  <c r="AF16"/>
  <c r="AG40"/>
  <c r="AF40"/>
  <c r="AF18"/>
  <c r="AG18"/>
  <c r="AG26"/>
  <c r="AF26"/>
  <c r="AG34"/>
  <c r="AF34"/>
  <c r="AF42"/>
  <c r="AG42"/>
  <c r="AG50"/>
  <c r="AF50"/>
  <c r="AF58"/>
  <c r="AG58"/>
  <c r="AF66"/>
  <c r="AG66"/>
  <c r="AG74"/>
  <c r="AF74"/>
  <c r="AG82"/>
  <c r="AF82"/>
  <c r="AF90"/>
  <c r="AG90"/>
  <c r="AF98"/>
  <c r="AG98"/>
  <c r="AF106"/>
  <c r="AG106"/>
  <c r="AG114"/>
  <c r="AF114"/>
  <c r="AG122"/>
  <c r="AF122"/>
  <c r="AF130"/>
  <c r="AG130"/>
  <c r="AF138"/>
  <c r="AG138"/>
  <c r="AG146"/>
  <c r="AF146"/>
  <c r="AG154"/>
  <c r="AF154"/>
  <c r="AF162"/>
  <c r="AG162"/>
  <c r="AG170"/>
  <c r="AF170"/>
  <c r="AG178"/>
  <c r="AF178"/>
  <c r="AF186"/>
  <c r="AG194"/>
  <c r="AF194"/>
  <c r="AG32"/>
  <c r="AF32"/>
  <c r="AF10"/>
  <c r="AG10"/>
  <c r="AF7"/>
  <c r="AG7"/>
  <c r="AF15"/>
  <c r="AG15"/>
  <c r="AF23"/>
  <c r="AG23"/>
  <c r="AF31"/>
  <c r="AG31"/>
  <c r="AF39"/>
  <c r="AG39"/>
  <c r="AF47"/>
  <c r="AG47"/>
  <c r="AF55"/>
  <c r="AG55"/>
  <c r="AF63"/>
  <c r="AG63"/>
  <c r="AF71"/>
  <c r="AG71"/>
  <c r="AF79"/>
  <c r="AG79"/>
  <c r="AF87"/>
  <c r="AG87"/>
  <c r="AF95"/>
  <c r="AG95"/>
  <c r="AF103"/>
  <c r="AG103"/>
  <c r="AF111"/>
  <c r="AG111"/>
  <c r="AF119"/>
  <c r="AG119"/>
  <c r="AF127"/>
  <c r="AG127"/>
  <c r="AF135"/>
  <c r="AG135"/>
  <c r="AF143"/>
  <c r="AG143"/>
  <c r="AF151"/>
  <c r="AG151"/>
  <c r="AF159"/>
  <c r="AG159"/>
  <c r="AF167"/>
  <c r="AG167"/>
  <c r="AF175"/>
  <c r="AF183"/>
  <c r="AG183"/>
  <c r="AF191"/>
  <c r="AG191"/>
  <c r="AF199"/>
  <c r="AG199"/>
  <c r="AG4"/>
  <c r="AF4"/>
  <c r="AG12"/>
  <c r="AF12"/>
  <c r="AG20"/>
  <c r="AF20"/>
  <c r="AG28"/>
  <c r="AF28"/>
  <c r="AG36"/>
  <c r="AF36"/>
  <c r="AG44"/>
  <c r="AF44"/>
  <c r="AG52"/>
  <c r="AF52"/>
  <c r="AG60"/>
  <c r="AF60"/>
  <c r="AG68"/>
  <c r="AF68"/>
  <c r="AG76"/>
  <c r="AF76"/>
  <c r="AG84"/>
  <c r="AF84"/>
  <c r="AG92"/>
  <c r="AF92"/>
  <c r="AG100"/>
  <c r="AF100"/>
  <c r="AG108"/>
  <c r="AF108"/>
  <c r="AG116"/>
  <c r="AF116"/>
  <c r="AG124"/>
  <c r="AF124"/>
  <c r="AG132"/>
  <c r="AF132"/>
  <c r="AG140"/>
  <c r="AF140"/>
  <c r="AG148"/>
  <c r="AF148"/>
  <c r="AG156"/>
  <c r="AF156"/>
  <c r="AG164"/>
  <c r="AF164"/>
  <c r="AG172"/>
  <c r="AF172"/>
  <c r="AG180"/>
  <c r="AF180"/>
  <c r="AG188"/>
  <c r="AF188"/>
  <c r="AF196"/>
  <c r="AG202"/>
  <c r="AF202"/>
  <c r="E7" i="16"/>
  <c r="AG25" i="1"/>
  <c r="AF25"/>
  <c r="AG49"/>
  <c r="AF49"/>
  <c r="AF73"/>
  <c r="AG73"/>
  <c r="AF81"/>
  <c r="AG81"/>
  <c r="AG89"/>
  <c r="AF89"/>
  <c r="AF97"/>
  <c r="AG97"/>
  <c r="AG105"/>
  <c r="AF105"/>
  <c r="AF113"/>
  <c r="AG113"/>
  <c r="AF121"/>
  <c r="AG121"/>
  <c r="AG129"/>
  <c r="AF129"/>
  <c r="AF137"/>
  <c r="AG137"/>
  <c r="AF145"/>
  <c r="AG145"/>
  <c r="AG153"/>
  <c r="AF153"/>
  <c r="AG161"/>
  <c r="AF161"/>
  <c r="AF169"/>
  <c r="AG169"/>
  <c r="AG177"/>
  <c r="AF177"/>
  <c r="AG185"/>
  <c r="AF185"/>
  <c r="AG193"/>
  <c r="AF193"/>
  <c r="AG201"/>
  <c r="AF201"/>
  <c r="AF41"/>
  <c r="AG41"/>
  <c r="AF57"/>
  <c r="AG57"/>
  <c r="AG65"/>
  <c r="AF65"/>
  <c r="AF6"/>
  <c r="AG6"/>
  <c r="AF14"/>
  <c r="AG14"/>
  <c r="AF22"/>
  <c r="AG22"/>
  <c r="AF30"/>
  <c r="AG30"/>
  <c r="AF38"/>
  <c r="AG38"/>
  <c r="AF46"/>
  <c r="AG46"/>
  <c r="AF54"/>
  <c r="AG54"/>
  <c r="AF62"/>
  <c r="AG62"/>
  <c r="AF70"/>
  <c r="AG70"/>
  <c r="AF78"/>
  <c r="AG78"/>
  <c r="AF86"/>
  <c r="AG86"/>
  <c r="AF94"/>
  <c r="AG94"/>
  <c r="AF102"/>
  <c r="AG102"/>
  <c r="AF110"/>
  <c r="AG110"/>
  <c r="AF118"/>
  <c r="AG118"/>
  <c r="AF126"/>
  <c r="AG126"/>
  <c r="AF134"/>
  <c r="AG134"/>
  <c r="AF142"/>
  <c r="AG142"/>
  <c r="AF150"/>
  <c r="AG150"/>
  <c r="AF158"/>
  <c r="AG158"/>
  <c r="AF166"/>
  <c r="AG166"/>
  <c r="AF174"/>
  <c r="AG174"/>
  <c r="AF182"/>
  <c r="AG182"/>
  <c r="AF190"/>
  <c r="AF198"/>
  <c r="AG198"/>
  <c r="AF33"/>
  <c r="AG33"/>
  <c r="B7" i="16"/>
  <c r="AG11" i="1"/>
  <c r="AF11"/>
  <c r="AG19"/>
  <c r="AF19"/>
  <c r="AG27"/>
  <c r="AF27"/>
  <c r="AG35"/>
  <c r="AF35"/>
  <c r="AG43"/>
  <c r="AF43"/>
  <c r="AG51"/>
  <c r="AF51"/>
  <c r="AG59"/>
  <c r="AF59"/>
  <c r="AG67"/>
  <c r="AF67"/>
  <c r="AG75"/>
  <c r="AF75"/>
  <c r="AG83"/>
  <c r="AF83"/>
  <c r="AG91"/>
  <c r="AF91"/>
  <c r="AG99"/>
  <c r="AF99"/>
  <c r="AG107"/>
  <c r="AF107"/>
  <c r="AG115"/>
  <c r="AF115"/>
  <c r="AG123"/>
  <c r="AF123"/>
  <c r="AG131"/>
  <c r="AF131"/>
  <c r="AG139"/>
  <c r="AF139"/>
  <c r="AG147"/>
  <c r="AF147"/>
  <c r="AG155"/>
  <c r="AF155"/>
  <c r="AG163"/>
  <c r="AF163"/>
  <c r="AG171"/>
  <c r="AF171"/>
  <c r="AG179"/>
  <c r="AF179"/>
  <c r="AG187"/>
  <c r="AF187"/>
  <c r="AG195"/>
  <c r="AF195"/>
  <c r="AG8"/>
  <c r="AF8"/>
  <c r="AG56"/>
  <c r="AF56"/>
  <c r="AG72"/>
  <c r="AF72"/>
  <c r="AG96"/>
  <c r="AF96"/>
  <c r="AG104"/>
  <c r="AF104"/>
  <c r="AG112"/>
  <c r="AF112"/>
  <c r="AG120"/>
  <c r="AF120"/>
  <c r="AG128"/>
  <c r="AF128"/>
  <c r="AG136"/>
  <c r="AF136"/>
  <c r="AG144"/>
  <c r="AF144"/>
  <c r="AG152"/>
  <c r="AF152"/>
  <c r="AG160"/>
  <c r="AG168"/>
  <c r="AF168"/>
  <c r="AG176"/>
  <c r="AF176"/>
  <c r="AG184"/>
  <c r="AF184"/>
  <c r="AG192"/>
  <c r="AF192"/>
  <c r="AG200"/>
  <c r="AF200"/>
  <c r="AF17"/>
  <c r="AG17"/>
  <c r="AG24"/>
  <c r="AF24"/>
  <c r="AG48"/>
  <c r="AF48"/>
  <c r="AG64"/>
  <c r="AF64"/>
  <c r="AG80"/>
  <c r="AF80"/>
  <c r="AG88"/>
  <c r="AF88"/>
  <c r="AG5"/>
  <c r="AF5"/>
  <c r="AG13"/>
  <c r="AF13"/>
  <c r="AG21"/>
  <c r="AF21"/>
  <c r="AG29"/>
  <c r="AF29"/>
  <c r="AG37"/>
  <c r="AF37"/>
  <c r="AG45"/>
  <c r="AF45"/>
  <c r="AG53"/>
  <c r="AF53"/>
  <c r="AG61"/>
  <c r="AF61"/>
  <c r="AG69"/>
  <c r="AF69"/>
  <c r="AG77"/>
  <c r="AF77"/>
  <c r="AG85"/>
  <c r="AF85"/>
  <c r="AG93"/>
  <c r="AF93"/>
  <c r="AG101"/>
  <c r="AF101"/>
  <c r="AG109"/>
  <c r="AF109"/>
  <c r="AG117"/>
  <c r="AF117"/>
  <c r="AG125"/>
  <c r="AF125"/>
  <c r="AG133"/>
  <c r="AF133"/>
  <c r="AG141"/>
  <c r="AF141"/>
  <c r="AG149"/>
  <c r="AF149"/>
  <c r="AG157"/>
  <c r="AF157"/>
  <c r="AG165"/>
  <c r="AF165"/>
  <c r="AG173"/>
  <c r="AF173"/>
  <c r="AG181"/>
  <c r="AF181"/>
  <c r="AF189"/>
  <c r="AG197"/>
  <c r="AF197"/>
  <c r="C7" i="16"/>
  <c r="O7"/>
  <c r="F7"/>
  <c r="N7"/>
  <c r="S7"/>
  <c r="M7"/>
  <c r="L7"/>
  <c r="K7"/>
  <c r="Q7"/>
  <c r="I7"/>
  <c r="R7"/>
  <c r="H7"/>
  <c r="P7"/>
  <c r="G7"/>
  <c r="AS203" i="1" l="1"/>
  <c r="AR203"/>
  <c r="AN203"/>
  <c r="AO203"/>
  <c r="AH203"/>
  <c r="AP203"/>
  <c r="AK203"/>
  <c r="AQ203"/>
  <c r="AL203"/>
  <c r="AM203"/>
  <c r="D7" i="16"/>
  <c r="AG203" i="1"/>
  <c r="AF203"/>
  <c r="AB200"/>
  <c r="AB195"/>
  <c r="AB185"/>
  <c r="AB182"/>
  <c r="AB178"/>
  <c r="AB177"/>
  <c r="AB174"/>
  <c r="AB167"/>
  <c r="AB164"/>
  <c r="AB161"/>
  <c r="AB157"/>
  <c r="AB155"/>
  <c r="AB153"/>
  <c r="AB148"/>
  <c r="AB140"/>
  <c r="AB139"/>
  <c r="AB135"/>
  <c r="AB133"/>
  <c r="AB132"/>
  <c r="AB130"/>
  <c r="AB129"/>
  <c r="AB127"/>
  <c r="AB123"/>
  <c r="AB120"/>
  <c r="AB118"/>
  <c r="AB116"/>
  <c r="AB114"/>
  <c r="AB113"/>
  <c r="AB111"/>
  <c r="AB110"/>
  <c r="AB109"/>
  <c r="AB106"/>
  <c r="AB105"/>
  <c r="AB104"/>
  <c r="AB102"/>
  <c r="AB101"/>
  <c r="AB99"/>
  <c r="AB98"/>
  <c r="AB96"/>
  <c r="AB95"/>
  <c r="AB94"/>
  <c r="AB88"/>
  <c r="AB86"/>
  <c r="AB85"/>
  <c r="AB82"/>
  <c r="AB76"/>
  <c r="AB74"/>
  <c r="AB72"/>
  <c r="AB70"/>
  <c r="AB69"/>
  <c r="AB67"/>
  <c r="AB63"/>
  <c r="AB62"/>
  <c r="AB61"/>
  <c r="AB60"/>
  <c r="AB59"/>
  <c r="AB58"/>
  <c r="AB57"/>
  <c r="AB56"/>
  <c r="AB54"/>
  <c r="AB53"/>
  <c r="AB52"/>
  <c r="AB51"/>
  <c r="AB49"/>
  <c r="AB47"/>
  <c r="AB46"/>
  <c r="AB45"/>
  <c r="AB40"/>
  <c r="AB39"/>
  <c r="AB38"/>
  <c r="AB37"/>
  <c r="AB36"/>
  <c r="AB35"/>
  <c r="AB34"/>
  <c r="AB32"/>
  <c r="AB31"/>
  <c r="AB26"/>
  <c r="AB23"/>
  <c r="AB22"/>
  <c r="AB20"/>
  <c r="AB19"/>
  <c r="AB17"/>
  <c r="AB16"/>
  <c r="AB12"/>
  <c r="AB11"/>
  <c r="AB9"/>
  <c r="AB5"/>
  <c r="AB4"/>
  <c r="W181"/>
  <c r="W202" l="1"/>
  <c r="W201"/>
  <c r="W200"/>
  <c r="W199"/>
  <c r="W198"/>
  <c r="W197"/>
  <c r="W196"/>
  <c r="W194"/>
  <c r="W193"/>
  <c r="W192"/>
  <c r="W191"/>
  <c r="W190"/>
  <c r="W189"/>
  <c r="W188"/>
  <c r="W187"/>
  <c r="W186"/>
  <c r="W185"/>
  <c r="W184"/>
  <c r="W183"/>
  <c r="W182"/>
  <c r="W180"/>
  <c r="W179"/>
  <c r="W178"/>
  <c r="W177"/>
  <c r="W176"/>
  <c r="W175"/>
  <c r="W174"/>
  <c r="W173"/>
  <c r="W172"/>
  <c r="W171"/>
  <c r="W170"/>
  <c r="W169"/>
  <c r="W168"/>
  <c r="W167"/>
  <c r="W166"/>
  <c r="W165"/>
  <c r="W164"/>
  <c r="W163"/>
  <c r="W162"/>
  <c r="W161"/>
  <c r="W160"/>
  <c r="W159"/>
  <c r="W158"/>
  <c r="W157"/>
  <c r="W156"/>
  <c r="W155"/>
  <c r="W154"/>
  <c r="W153"/>
  <c r="W152"/>
  <c r="W151"/>
  <c r="W150"/>
  <c r="C42" i="5"/>
  <c r="C43"/>
  <c r="B40" i="14" l="1"/>
  <c r="C41" i="5"/>
  <c r="C40"/>
  <c r="C39"/>
  <c r="C32"/>
  <c r="AA201" i="1"/>
  <c r="AA200"/>
  <c r="AA199"/>
  <c r="AA198"/>
  <c r="AA197"/>
  <c r="AA196"/>
  <c r="AA194"/>
  <c r="AA193"/>
  <c r="AA192"/>
  <c r="AA191"/>
  <c r="AA190"/>
  <c r="AA189"/>
  <c r="AA188"/>
  <c r="AA178"/>
  <c r="AA187"/>
  <c r="AA186"/>
  <c r="AA185"/>
  <c r="AA184"/>
  <c r="AA182"/>
  <c r="AA181"/>
  <c r="AA180"/>
  <c r="AA179"/>
  <c r="AA177"/>
  <c r="AA176"/>
  <c r="AA175"/>
  <c r="AA174"/>
  <c r="AA173"/>
  <c r="AA172"/>
  <c r="AA171"/>
  <c r="AA170"/>
  <c r="AA169"/>
  <c r="B44" i="14"/>
  <c r="AA168" i="1"/>
  <c r="W149"/>
  <c r="W148"/>
  <c r="W147"/>
  <c r="W146"/>
  <c r="W145"/>
  <c r="W144"/>
  <c r="W143"/>
  <c r="W142"/>
  <c r="W141"/>
  <c r="W140"/>
  <c r="W139"/>
  <c r="W138"/>
  <c r="W137"/>
  <c r="W136"/>
  <c r="W135"/>
  <c r="W134"/>
  <c r="W133"/>
  <c r="W132"/>
  <c r="W131"/>
  <c r="W130"/>
  <c r="W129"/>
  <c r="W128"/>
  <c r="W127"/>
  <c r="W126"/>
  <c r="W125"/>
  <c r="W124"/>
  <c r="W123"/>
  <c r="W122"/>
  <c r="W121"/>
  <c r="W120"/>
  <c r="W119"/>
  <c r="W118"/>
  <c r="W117"/>
  <c r="W116"/>
  <c r="W115"/>
  <c r="W114"/>
  <c r="W113"/>
  <c r="W112"/>
  <c r="W111"/>
  <c r="W110"/>
  <c r="W109"/>
  <c r="W108"/>
  <c r="W107"/>
  <c r="W106"/>
  <c r="W105"/>
  <c r="W104"/>
  <c r="W103"/>
  <c r="W102"/>
  <c r="W101"/>
  <c r="W100"/>
  <c r="W99"/>
  <c r="W98"/>
  <c r="W97"/>
  <c r="W96"/>
  <c r="W95"/>
  <c r="W94"/>
  <c r="W93"/>
  <c r="W92"/>
  <c r="W91"/>
  <c r="W90"/>
  <c r="W89"/>
  <c r="W88"/>
  <c r="W87"/>
  <c r="B27" i="14" s="1"/>
  <c r="W86" i="1"/>
  <c r="W85"/>
  <c r="W84"/>
  <c r="W83"/>
  <c r="W82"/>
  <c r="W81"/>
  <c r="W80"/>
  <c r="W79"/>
  <c r="W78"/>
  <c r="W77"/>
  <c r="W76"/>
  <c r="W75"/>
  <c r="W74"/>
  <c r="W73"/>
  <c r="W72"/>
  <c r="W71"/>
  <c r="W70"/>
  <c r="W69"/>
  <c r="W68"/>
  <c r="W67"/>
  <c r="W66"/>
  <c r="W65"/>
  <c r="W64"/>
  <c r="W63"/>
  <c r="W62"/>
  <c r="W61"/>
  <c r="W60"/>
  <c r="W59"/>
  <c r="W58"/>
  <c r="W57"/>
  <c r="W56"/>
  <c r="W55"/>
  <c r="W54"/>
  <c r="W53"/>
  <c r="W52"/>
  <c r="W51"/>
  <c r="W50"/>
  <c r="W49"/>
  <c r="W48"/>
  <c r="W47"/>
  <c r="W46"/>
  <c r="W45"/>
  <c r="W44"/>
  <c r="W43"/>
  <c r="W42"/>
  <c r="W41"/>
  <c r="W40"/>
  <c r="W39"/>
  <c r="W38"/>
  <c r="W37"/>
  <c r="W36"/>
  <c r="W35"/>
  <c r="W34"/>
  <c r="W33"/>
  <c r="W32"/>
  <c r="W31"/>
  <c r="W30"/>
  <c r="W29"/>
  <c r="W28"/>
  <c r="W27"/>
  <c r="W26"/>
  <c r="W25"/>
  <c r="W24"/>
  <c r="W23"/>
  <c r="W22"/>
  <c r="W21"/>
  <c r="W20"/>
  <c r="W19"/>
  <c r="W18"/>
  <c r="W17"/>
  <c r="W16"/>
  <c r="W15"/>
  <c r="W14"/>
  <c r="W13"/>
  <c r="W12"/>
  <c r="W11"/>
  <c r="W10"/>
  <c r="W9"/>
  <c r="W8"/>
  <c r="W7"/>
  <c r="W6"/>
  <c r="W5"/>
  <c r="W4"/>
  <c r="AA167"/>
  <c r="AA166"/>
  <c r="AA165"/>
  <c r="AA164"/>
  <c r="AA163"/>
  <c r="AA162"/>
  <c r="AA161"/>
  <c r="AA160"/>
  <c r="AA159"/>
  <c r="AA158"/>
  <c r="AA202"/>
  <c r="AA157"/>
  <c r="AA156"/>
  <c r="AA155"/>
  <c r="AA154"/>
  <c r="AA153"/>
  <c r="AA152"/>
  <c r="AA151"/>
  <c r="AA150"/>
  <c r="AA149"/>
  <c r="AA148"/>
  <c r="AA147"/>
  <c r="AA146"/>
  <c r="AA145"/>
  <c r="AA144"/>
  <c r="AA78"/>
  <c r="AA101"/>
  <c r="AA143"/>
  <c r="AA142"/>
  <c r="AA141"/>
  <c r="AA140"/>
  <c r="AA139"/>
  <c r="AA138"/>
  <c r="AA137"/>
  <c r="AA136"/>
  <c r="AA135"/>
  <c r="AA134"/>
  <c r="AA133"/>
  <c r="AA132"/>
  <c r="AA131"/>
  <c r="AA130"/>
  <c r="AA129"/>
  <c r="AA128"/>
  <c r="AA127"/>
  <c r="AA126"/>
  <c r="AA125"/>
  <c r="AA124"/>
  <c r="AA123"/>
  <c r="AA122"/>
  <c r="AA121"/>
  <c r="AA120"/>
  <c r="AA119"/>
  <c r="AA118"/>
  <c r="AA117"/>
  <c r="AA116"/>
  <c r="AA115"/>
  <c r="AA114"/>
  <c r="AA113"/>
  <c r="AA112"/>
  <c r="AA111"/>
  <c r="AA110"/>
  <c r="AA109"/>
  <c r="AA108"/>
  <c r="AA107"/>
  <c r="AA106"/>
  <c r="AA105"/>
  <c r="AA104"/>
  <c r="AA103"/>
  <c r="AA102"/>
  <c r="AA100"/>
  <c r="AA99"/>
  <c r="AA98"/>
  <c r="AA97"/>
  <c r="AA96"/>
  <c r="AA95"/>
  <c r="AA94"/>
  <c r="AA93"/>
  <c r="AA92"/>
  <c r="AA91"/>
  <c r="AA90"/>
  <c r="AA89"/>
  <c r="AA88"/>
  <c r="AA87"/>
  <c r="AA86"/>
  <c r="AA85"/>
  <c r="AA84"/>
  <c r="AA83"/>
  <c r="AA82"/>
  <c r="AA81"/>
  <c r="AA80"/>
  <c r="AA79"/>
  <c r="AA77"/>
  <c r="AA76"/>
  <c r="AA75"/>
  <c r="AA74"/>
  <c r="AA73"/>
  <c r="AA72"/>
  <c r="AA71"/>
  <c r="AA70"/>
  <c r="AA69"/>
  <c r="AA68"/>
  <c r="AA67"/>
  <c r="AA66"/>
  <c r="AA65"/>
  <c r="AA64"/>
  <c r="AA63"/>
  <c r="AA62"/>
  <c r="AA61"/>
  <c r="AA60"/>
  <c r="AA59"/>
  <c r="AA58"/>
  <c r="AA57"/>
  <c r="AA56"/>
  <c r="AA55"/>
  <c r="AA54"/>
  <c r="AA53"/>
  <c r="AA52"/>
  <c r="AA51"/>
  <c r="AA50"/>
  <c r="AA49"/>
  <c r="AA48"/>
  <c r="AA47"/>
  <c r="AA46"/>
  <c r="AA45"/>
  <c r="AA44"/>
  <c r="AA43"/>
  <c r="AA42"/>
  <c r="AA41"/>
  <c r="AA40"/>
  <c r="AA39"/>
  <c r="AA38"/>
  <c r="AA37"/>
  <c r="AA36"/>
  <c r="AA35"/>
  <c r="AA34"/>
  <c r="AA33"/>
  <c r="AA32"/>
  <c r="AA31"/>
  <c r="AA30"/>
  <c r="AA29"/>
  <c r="AA28"/>
  <c r="AA27"/>
  <c r="AA26"/>
  <c r="AA25"/>
  <c r="AA24"/>
  <c r="AA23"/>
  <c r="AA22"/>
  <c r="AA21"/>
  <c r="AA20"/>
  <c r="AA19"/>
  <c r="AA18"/>
  <c r="AA17"/>
  <c r="AA16"/>
  <c r="AA15"/>
  <c r="AA14"/>
  <c r="AA13"/>
  <c r="AA12"/>
  <c r="AA11"/>
  <c r="AA10"/>
  <c r="AA9"/>
  <c r="AA8"/>
  <c r="AA7"/>
  <c r="AA6"/>
  <c r="AA5"/>
  <c r="AA4"/>
  <c r="AA3"/>
  <c r="X121"/>
  <c r="X120"/>
  <c r="X119"/>
  <c r="B20" i="14"/>
  <c r="B14" l="1"/>
  <c r="B15"/>
  <c r="C31" i="5"/>
  <c r="C33"/>
  <c r="C30"/>
  <c r="B39" i="14"/>
  <c r="B33"/>
  <c r="B38"/>
  <c r="W3" i="1"/>
  <c r="C29" i="5" l="1"/>
  <c r="B34" i="14"/>
  <c r="B26"/>
  <c r="B25"/>
  <c r="B32"/>
  <c r="B36"/>
  <c r="B29"/>
  <c r="B35"/>
  <c r="B37"/>
  <c r="B31"/>
  <c r="B30"/>
  <c r="B6"/>
  <c r="B7"/>
  <c r="B11"/>
  <c r="B8"/>
  <c r="B12"/>
  <c r="B9"/>
  <c r="X118" i="1"/>
  <c r="X117"/>
  <c r="X116"/>
  <c r="X115"/>
  <c r="X114"/>
  <c r="X113"/>
  <c r="X112"/>
  <c r="X111"/>
  <c r="X110"/>
  <c r="X109"/>
  <c r="X108"/>
  <c r="X107"/>
  <c r="X106"/>
  <c r="X105"/>
  <c r="X104"/>
  <c r="X103"/>
  <c r="X102"/>
  <c r="X101"/>
  <c r="X100"/>
  <c r="X99"/>
  <c r="X98"/>
  <c r="X97"/>
  <c r="X96"/>
  <c r="X95"/>
  <c r="X94"/>
  <c r="X93"/>
  <c r="X92"/>
  <c r="X91"/>
  <c r="X90"/>
  <c r="X89"/>
  <c r="X88"/>
  <c r="X87"/>
  <c r="X86"/>
  <c r="X85"/>
  <c r="X84"/>
  <c r="X83"/>
  <c r="X82"/>
  <c r="X81"/>
  <c r="X80"/>
  <c r="X79"/>
  <c r="X78"/>
  <c r="X77"/>
  <c r="X76"/>
  <c r="X75"/>
  <c r="X74"/>
  <c r="X73"/>
  <c r="X72"/>
  <c r="X71"/>
  <c r="X70"/>
  <c r="X69"/>
  <c r="X68"/>
  <c r="X67"/>
  <c r="X66"/>
  <c r="X65"/>
  <c r="X64"/>
  <c r="X63"/>
  <c r="X62"/>
  <c r="X61"/>
  <c r="X60"/>
  <c r="X59"/>
  <c r="X58"/>
  <c r="X57"/>
  <c r="X56"/>
  <c r="X55"/>
  <c r="X54"/>
  <c r="X53"/>
  <c r="X52"/>
  <c r="X51"/>
  <c r="X50"/>
  <c r="X49"/>
  <c r="X48"/>
  <c r="X47"/>
  <c r="X46"/>
  <c r="X45"/>
  <c r="X44"/>
  <c r="X43"/>
  <c r="X42"/>
  <c r="X41"/>
  <c r="X40"/>
  <c r="X39"/>
  <c r="X38"/>
  <c r="X37"/>
  <c r="X36"/>
  <c r="X35"/>
  <c r="X34"/>
  <c r="X33"/>
  <c r="X32"/>
  <c r="X31"/>
  <c r="X30"/>
  <c r="X29"/>
  <c r="X28"/>
  <c r="X27"/>
  <c r="X26"/>
  <c r="X25"/>
  <c r="X24"/>
  <c r="X23"/>
  <c r="X22"/>
  <c r="X21"/>
  <c r="X20"/>
  <c r="X19"/>
  <c r="X18"/>
  <c r="X17"/>
  <c r="X16"/>
  <c r="X15"/>
  <c r="X14"/>
  <c r="X13"/>
  <c r="X12"/>
  <c r="X11"/>
  <c r="X10"/>
  <c r="X9"/>
  <c r="X8"/>
  <c r="X7"/>
  <c r="X6"/>
  <c r="X3"/>
  <c r="X5" l="1"/>
  <c r="X4"/>
  <c r="C24" i="5" l="1"/>
  <c r="B10" i="14" l="1"/>
  <c r="C48" i="5" l="1"/>
  <c r="C44"/>
  <c r="C34"/>
  <c r="B28" i="14"/>
  <c r="B41" s="1"/>
  <c r="W195" i="1"/>
  <c r="B13" i="14"/>
  <c r="B16" s="1"/>
  <c r="E8" i="16" l="1"/>
  <c r="Q8"/>
  <c r="I8"/>
  <c r="H8"/>
  <c r="F8"/>
  <c r="P8"/>
  <c r="L8"/>
  <c r="G8"/>
  <c r="K8"/>
  <c r="O8"/>
  <c r="S8"/>
  <c r="N8"/>
  <c r="J8"/>
  <c r="M8"/>
  <c r="R8"/>
  <c r="C8"/>
  <c r="B8"/>
  <c r="D8" l="1"/>
</calcChain>
</file>

<file path=xl/sharedStrings.xml><?xml version="1.0" encoding="utf-8"?>
<sst xmlns="http://schemas.openxmlformats.org/spreadsheetml/2006/main" count="2820" uniqueCount="1697">
  <si>
    <t>FECHA</t>
  </si>
  <si>
    <t>EXPTE</t>
  </si>
  <si>
    <t>HORA</t>
  </si>
  <si>
    <t>ORDEN</t>
  </si>
  <si>
    <t>Fiscalia Penal  3 Limache Dr. Campoccia Aux.</t>
  </si>
  <si>
    <t xml:space="preserve">Fiscalia Penal Viol. Fam. y Genero 1 </t>
  </si>
  <si>
    <t>Fiscal Penal VFG2 Dra Sodero Calvet</t>
  </si>
  <si>
    <t>Fiscalia Rosario de Lerma. Dr. Escalante</t>
  </si>
  <si>
    <t>Fiscalia San Lorenzo</t>
  </si>
  <si>
    <t>Fisc. Delitos. Econ. Dra. Salinas</t>
  </si>
  <si>
    <t>Dr.Teseyra (Particular)</t>
  </si>
  <si>
    <t>Fiscal Nº  1 Dr. Pablo Paz</t>
  </si>
  <si>
    <t xml:space="preserve">Fiscal de Cerrrilos Dra. Analia Adet </t>
  </si>
  <si>
    <t>GAP 1 - Leandro Flores</t>
  </si>
  <si>
    <t>Fiscal Penal VFyG Nº 1 - Dra. Geria</t>
  </si>
  <si>
    <t>Fiscal Torres Rubelt - UFINAR</t>
  </si>
  <si>
    <t>Fiscal penal Nº 3 - Dr. Cordoba</t>
  </si>
  <si>
    <t>Dra. Victoria Flores (particular)</t>
  </si>
  <si>
    <t>CANTIDAD</t>
  </si>
  <si>
    <t>Fiscal Penal El Carril - Dr. Portal</t>
  </si>
  <si>
    <t xml:space="preserve">Fiscal Penal Nº 2 - Ramos Ossorio </t>
  </si>
  <si>
    <t>Fiscal Penal VFyG Nº 4 - Elisa Perez</t>
  </si>
  <si>
    <t>TOTAL AUD. REALIZADAS</t>
  </si>
  <si>
    <t>Fiscal Penal de Cerrillos - Dr. Portal</t>
  </si>
  <si>
    <t>JUEZ</t>
  </si>
  <si>
    <t>TOTAL AUD. ASIGNADAS</t>
  </si>
  <si>
    <t>Fiscal Penal VFyG Nº 3 - Gabriela Davalos</t>
  </si>
  <si>
    <t>Fiscal Penal Deleg. San Lorenzo - Ramos Ossorio (i)</t>
  </si>
  <si>
    <t xml:space="preserve">Fiscal Penal Gral. Güemes - Dr. Vilar Rey </t>
  </si>
  <si>
    <t>Fiscalia Penal  4  Dr. Facundo Ruiz de los Llanos</t>
  </si>
  <si>
    <t>Fiscal Nº 5 Dr. Federico Jovanovics</t>
  </si>
  <si>
    <t>Fiscal Nº 6 Dr. Analía Adet Figueroa</t>
  </si>
  <si>
    <t>Fiscalia Penal de Int. Sexual Nº 3 Dra. Flores Toranzo</t>
  </si>
  <si>
    <t xml:space="preserve">Fiscalía UDIS Nº 3 - Flores Toranzo </t>
  </si>
  <si>
    <t>Fiscalía UDIS nº 2 - Dr. Gonzalez Miralpeix</t>
  </si>
  <si>
    <t>Fiscalía UDIS nº 3 - Dr. Lopez Soto</t>
  </si>
  <si>
    <t>UDIS. Dr. Pablo Rivero</t>
  </si>
  <si>
    <t>Fiscalía UDIS 3 Dr. Lopez Sotto (interino)</t>
  </si>
  <si>
    <t>Fiscalía UNICROH Dra. Guzman</t>
  </si>
  <si>
    <t>Fiscalía VFG Nº4 Dra. Elisa Perez</t>
  </si>
  <si>
    <t>Fiscalía Violencia de Genero Nº 5. Dra. Liliana Jorge</t>
  </si>
  <si>
    <t>TOTAL AUD. PENDIENTES</t>
  </si>
  <si>
    <t>AUDIENCIAS SIN ASIGNAR</t>
  </si>
  <si>
    <t>Rechazadas o Devueltas</t>
  </si>
  <si>
    <t xml:space="preserve">Dr. Orfeo Maggio - Particular </t>
  </si>
  <si>
    <t>Fiscal UFEM - Dra. Monica Poma</t>
  </si>
  <si>
    <t>Fiscal UDIS nº 1 - Federico Obeid</t>
  </si>
  <si>
    <t>DOC5 Marta Lopez</t>
  </si>
  <si>
    <t>Fiscal Violencia Familiar y de Gènero Nº 2 - Dra. Sodero Calvet</t>
  </si>
  <si>
    <t>Fiscal Penal de Cachi</t>
  </si>
  <si>
    <t>DEFENSOR</t>
  </si>
  <si>
    <t>UFINAR - Dr. Lopez Soto</t>
  </si>
  <si>
    <t>UFINAR - Dr. Torres Rubelt, Gustavo</t>
  </si>
  <si>
    <t xml:space="preserve">Dr. Agüero Molina </t>
  </si>
  <si>
    <t>Dr. Mamani Nelson</t>
  </si>
  <si>
    <t>Def. Inc. Nº 6 Dra. Ibarguren</t>
  </si>
  <si>
    <t>HECHAS O NO</t>
  </si>
  <si>
    <t>Fiscal Penal VFyG Nº 2</t>
  </si>
  <si>
    <t>Dra. Edith Karina Ortiz (Particular)</t>
  </si>
  <si>
    <t>Dr. Daniel Arnedo (Particular)</t>
  </si>
  <si>
    <t>Dra. Rosa Susana Maidana (Particular)</t>
  </si>
  <si>
    <t>Dr. Ortin Fernandez (Particular)</t>
  </si>
  <si>
    <t>Dr. Esteban Nieva Haro (Particular)</t>
  </si>
  <si>
    <t>A.I. Nº 2 - Dr. Flores Larsen</t>
  </si>
  <si>
    <t>Dr. Romano (Particular)</t>
  </si>
  <si>
    <t>Dr. Diaz Escueto (Particular)</t>
  </si>
  <si>
    <t xml:space="preserve">D.O.P. 17 - Dr. Genovese </t>
  </si>
  <si>
    <t>D.O.P. 2 - Dra. Liliana Linares Moron</t>
  </si>
  <si>
    <t>D.O.P. 15 Dr. Bonetto</t>
  </si>
  <si>
    <t>D.O.P. 12 Dra. Sandra Ortiz</t>
  </si>
  <si>
    <t>D.O.P. 16 Dra. Carrizo Reyes</t>
  </si>
  <si>
    <t>D.O.P. 6 Lopez Figueroa, Benjamìn</t>
  </si>
  <si>
    <t>D.O.P. (interino) Dr. Jaime Lopez Figueroa</t>
  </si>
  <si>
    <t>Dr. Alonso Casimiro (Particular)</t>
  </si>
  <si>
    <t>Dr. Aramayo Vazquez (Particular)</t>
  </si>
  <si>
    <t>Dr. Jose Ricardo Belbruno (Particular)</t>
  </si>
  <si>
    <t>Dr. Luciano Romano (Particular)</t>
  </si>
  <si>
    <t>Dra. Ximena Fernanda Chavez (Particular)</t>
  </si>
  <si>
    <t>D.O.P. 3 - Dra. Karina Peralta</t>
  </si>
  <si>
    <t>D.O.P. 4 - Dr. Walter Clark</t>
  </si>
  <si>
    <t>D.O.P  16 - Dra Ortiz Sandra (interina)</t>
  </si>
  <si>
    <t xml:space="preserve"> </t>
  </si>
  <si>
    <t>VOCAL</t>
  </si>
  <si>
    <t>IMPUTADO</t>
  </si>
  <si>
    <t>DNI</t>
  </si>
  <si>
    <t>DOMICILIO</t>
  </si>
  <si>
    <t>DELITO</t>
  </si>
  <si>
    <t>VICTIMA</t>
  </si>
  <si>
    <t>N° DNI</t>
  </si>
  <si>
    <t>QUERELLANTE</t>
  </si>
  <si>
    <t>ASESORIA</t>
  </si>
  <si>
    <t>FISCAL DE ORIGEN</t>
  </si>
  <si>
    <t>RESOLUCION</t>
  </si>
  <si>
    <t>FECHA DE BAJA</t>
  </si>
  <si>
    <t>Asesor3</t>
  </si>
  <si>
    <t>Asesor4</t>
  </si>
  <si>
    <t>Asesor5</t>
  </si>
  <si>
    <t>Asesor10</t>
  </si>
  <si>
    <t>Asesor11</t>
  </si>
  <si>
    <t>Asesor12</t>
  </si>
  <si>
    <t>Asesor13</t>
  </si>
  <si>
    <t xml:space="preserve">Asesor14 </t>
  </si>
  <si>
    <t>Asesor15</t>
  </si>
  <si>
    <t>Dr. Arias Nallar</t>
  </si>
  <si>
    <t>Dr. Arancibia</t>
  </si>
  <si>
    <t>Dr. Akemeier</t>
  </si>
  <si>
    <t>Dra. Solorzano</t>
  </si>
  <si>
    <t>Dr. Barrionuevo</t>
  </si>
  <si>
    <t>AUDIENCIAS - CANTIDAD TOTAL SEGÚN VOCALES</t>
  </si>
  <si>
    <t>AUDIENCIAS - RESTAN POR RESOLVER POR VOCALES</t>
  </si>
  <si>
    <t>AUDIENCIAS RESUELTAS POR VOCALES</t>
  </si>
  <si>
    <t>G01 183080/23</t>
  </si>
  <si>
    <t>G02 183063/23</t>
  </si>
  <si>
    <t>G01 182904/23</t>
  </si>
  <si>
    <t>G01 182930/23</t>
  </si>
  <si>
    <t>G01 183273/23</t>
  </si>
  <si>
    <t>UDIS Nº 2 Dr. Miralpeix</t>
  </si>
  <si>
    <r>
      <rPr>
        <b/>
        <sz val="10"/>
        <color theme="1"/>
        <rFont val="Arial"/>
        <family val="2"/>
      </rPr>
      <t>Abrebanel, Marcos Adrián</t>
    </r>
    <r>
      <rPr>
        <sz val="10"/>
        <rFont val="Arial"/>
        <family val="2"/>
      </rPr>
      <t/>
    </r>
  </si>
  <si>
    <t>Avenida Reyes Católicos 1449 Bº Tres Cerritos</t>
  </si>
  <si>
    <t>Abuso sexual con acceso carnal y abuso sexual simple (continuado) en concurso real con acceso carnal</t>
  </si>
  <si>
    <t xml:space="preserve"> - Josué Díaz Cueto MP 5832 y Oscar Romani MP 2338</t>
  </si>
  <si>
    <t>Asesoría Nº Flores Larsen</t>
  </si>
  <si>
    <t>Farid Yael, Toledo Alarcón</t>
  </si>
  <si>
    <t>Juan Manuel Güemes Nº 11 Bº Don Emilio</t>
  </si>
  <si>
    <r>
      <rPr>
        <b/>
        <sz val="10"/>
        <rFont val="Arial"/>
        <family val="2"/>
      </rPr>
      <t>Alonso, Maximiliano Gastón</t>
    </r>
    <r>
      <rPr>
        <sz val="10"/>
        <rFont val="Arial"/>
        <family val="2"/>
      </rPr>
      <t/>
    </r>
  </si>
  <si>
    <t>Bº Mirasoles Mza. 486 B, casa 20</t>
  </si>
  <si>
    <t>Robo agravado por el uso de arma de fuego en poblado y en banda.</t>
  </si>
  <si>
    <t>Guaymás, Leandro Sebastián</t>
  </si>
  <si>
    <r>
      <t>Cerrillos, calle Ameghino 362 -</t>
    </r>
    <r>
      <rPr>
        <sz val="10"/>
        <color rgb="FFFF0000"/>
        <rFont val="Arial"/>
        <family val="2"/>
      </rPr>
      <t xml:space="preserve"> </t>
    </r>
  </si>
  <si>
    <t>Homicidio Simple en grado de Tentativa.</t>
  </si>
  <si>
    <t>FISCAL IMPUGNACION INTERV.</t>
  </si>
  <si>
    <t>Dra. Salinas Odorisio Nº 1</t>
  </si>
  <si>
    <t>Dra. Holmquist Nº 3</t>
  </si>
  <si>
    <t xml:space="preserve"> 12:00</t>
  </si>
  <si>
    <t xml:space="preserve"> 11:00</t>
  </si>
  <si>
    <t>Dr. Ramos Ossorio Nº 2</t>
  </si>
  <si>
    <t>BARRIO SANTA ELENA, MZA. P CASA 13 GRAL. GÜEMES</t>
  </si>
  <si>
    <t>DRA. LÓPEZ MARTÍNEZ SARA MP 6046</t>
  </si>
  <si>
    <t>UDIS 2 DR. MIRALPEIX</t>
  </si>
  <si>
    <t>DRA. SALINAS 1</t>
  </si>
  <si>
    <t>26 04 23</t>
  </si>
  <si>
    <t>Menor F.P.A.S y Luana Belén Ávalos</t>
  </si>
  <si>
    <t>LUCIANO ROMANO MP 5832 POR LOS PADRES DE LA MENOR</t>
  </si>
  <si>
    <t>ASESORÍA Nº 2 DRA. FLORES LARSEN</t>
  </si>
  <si>
    <t>20 04 23</t>
  </si>
  <si>
    <t>Condorí, Genaro</t>
  </si>
  <si>
    <t>Mza. 36 F, Casa Nº 3 Bº 1º Mayo Gral. Güemes</t>
  </si>
  <si>
    <t>Abuso sexual con acceso carnal y coacción</t>
  </si>
  <si>
    <t>Brisa Antonella, Salazar</t>
  </si>
  <si>
    <t xml:space="preserve">Robo calificado por el uso de arma de fuego y tentativa de robo calificado por el uso de arma blanca </t>
  </si>
  <si>
    <t>ESTRADA, ELÍAS ALBERTO</t>
  </si>
  <si>
    <t>37,602,097</t>
  </si>
  <si>
    <t>BARRIO UNION, MZA. 381 "B", LOTE 10</t>
  </si>
  <si>
    <t>UNICROH DRA. MARÍA EUGENIA GUZMÁN</t>
  </si>
  <si>
    <t>25 04 23</t>
  </si>
  <si>
    <t>MEDINA ALDANA Y CUENCA, JULIANA SOLEDAD</t>
  </si>
  <si>
    <r>
      <t xml:space="preserve">MEDINA </t>
    </r>
    <r>
      <rPr>
        <b/>
        <sz val="11"/>
        <rFont val="Calibri"/>
        <family val="2"/>
        <scheme val="minor"/>
      </rPr>
      <t>40.911.593</t>
    </r>
    <r>
      <rPr>
        <sz val="11"/>
        <rFont val="Calibri"/>
        <family val="2"/>
        <scheme val="minor"/>
      </rPr>
      <t xml:space="preserve"> CUENCA</t>
    </r>
    <r>
      <rPr>
        <b/>
        <sz val="11"/>
        <rFont val="Calibri"/>
        <family val="2"/>
        <scheme val="minor"/>
      </rPr>
      <t xml:space="preserve"> 42.756.569</t>
    </r>
  </si>
  <si>
    <r>
      <rPr>
        <b/>
        <sz val="11"/>
        <rFont val="Calibri"/>
        <family val="2"/>
        <scheme val="minor"/>
      </rPr>
      <t>MEDINA:</t>
    </r>
    <r>
      <rPr>
        <sz val="11"/>
        <rFont val="Calibri"/>
        <family val="2"/>
        <scheme val="minor"/>
      </rPr>
      <t xml:space="preserve"> Bº AUTÓDROMO, CALLE MENDITEGUI Nº 370 (387-5722580) </t>
    </r>
    <r>
      <rPr>
        <b/>
        <sz val="11"/>
        <rFont val="Calibri"/>
        <family val="2"/>
        <scheme val="minor"/>
      </rPr>
      <t>CUENCA:</t>
    </r>
    <r>
      <rPr>
        <sz val="11"/>
        <rFont val="Calibri"/>
        <family val="2"/>
        <scheme val="minor"/>
      </rPr>
      <t xml:space="preserve"> Bº SANATA ANA 1, PJE. 20, CASA 480 (387-5038777)</t>
    </r>
  </si>
  <si>
    <t>Dr. Martín D' Andrea (Particular)</t>
  </si>
  <si>
    <t>Dr. Gensei Higa (Particular)</t>
  </si>
  <si>
    <t xml:space="preserve">Souffrin, Leonardo Adrián </t>
  </si>
  <si>
    <t>Bº  Limache, Etapa 5, Mza. 2, Casa 12</t>
  </si>
  <si>
    <t>Valentín Aguirre</t>
  </si>
  <si>
    <t>Cerrillos, Siglo XXI 351 c Lote 23</t>
  </si>
  <si>
    <t xml:space="preserve">Hacer lugar parcialmente al recurso de apelación- Sustituye prisión preventiva por arresto domiciliario </t>
  </si>
  <si>
    <t>08 05 23</t>
  </si>
  <si>
    <t>G03 183139/23</t>
  </si>
  <si>
    <t>Anagua, Gonzalo Gustavo Alejandro</t>
  </si>
  <si>
    <t>Las Dalias Mza. 107, Casa 10 Bº San Nicolás</t>
  </si>
  <si>
    <t>Homicidio en grado de tentativa</t>
  </si>
  <si>
    <t>Janco, Katherina de Los Ángeles</t>
  </si>
  <si>
    <t>Los Jazmines S/N Casa  10 Bº El Jardín La caldera</t>
  </si>
  <si>
    <t>Dr. Gastón Federico Montali MP 5389(Particular)</t>
  </si>
  <si>
    <t>Dra. Débora Ramírez</t>
  </si>
  <si>
    <t>Dr. Gastón Federico Montali MP 5389 (Particular)</t>
  </si>
  <si>
    <t>G01 183031</t>
  </si>
  <si>
    <t>Vilte, Jorge José María</t>
  </si>
  <si>
    <t>37,602,166</t>
  </si>
  <si>
    <t>09 05 2023</t>
  </si>
  <si>
    <t>Torre 39 - Bº Norte Grande</t>
  </si>
  <si>
    <t>Encubrimiento agravado de un delito especialmente grave, con ánimo de lucro y habitualidad.</t>
  </si>
  <si>
    <t>Daniela Alejandra Cardozo (padres Daniel Cardozo y Lorena Fernanda Cruz)</t>
  </si>
  <si>
    <t>Mza. 4B , Lote 12, Asentamiento San Javier</t>
  </si>
  <si>
    <t>Dr. Luis María Agüero Molina MP 1042 (Particular)</t>
  </si>
  <si>
    <t>G02 182930/23</t>
  </si>
  <si>
    <t>Carrizo, Gabriel Eduardo</t>
  </si>
  <si>
    <t>Bº San Rafael Mza. G1 Lote 15</t>
  </si>
  <si>
    <t>Roo calificado por el uso de arma de fuego. Robo doblemente calificado por ser cometido con el uso de arma de fuego, en poblado y en banda</t>
  </si>
  <si>
    <t>Cuenca Juliana Soledad Medina Aldana</t>
  </si>
  <si>
    <t>Cuenca: 42.756.569 Medina: 40.911.593</t>
  </si>
  <si>
    <t>Cuenca: Bº Santa Ana I, Pje. 20, casa 480 Medina: Calle Carlos Mendiegui 370 Bº Autódromo</t>
  </si>
  <si>
    <t>Hacer lugar al recurso de apelación- Libertad</t>
  </si>
  <si>
    <t>30 05 23</t>
  </si>
  <si>
    <t>29 05 23</t>
  </si>
  <si>
    <t>G01 184316/23</t>
  </si>
  <si>
    <t>Romero, Raúl Esteban</t>
  </si>
  <si>
    <t>Villa Charta pasaje Anta Nº 1474</t>
  </si>
  <si>
    <t>Abuso sexual simple, cuatro hechos</t>
  </si>
  <si>
    <t>C.C.B.C.(Menor) madre Cari Alejandra Celeste Aylén Palavecino, Luciana Belén Portales, Gabriela Carina Navarro</t>
  </si>
  <si>
    <t>D.O.P Nº 12 Dra. Patricia González</t>
  </si>
  <si>
    <t xml:space="preserve">Asesor1  Dr. Fernandez Esteban </t>
  </si>
  <si>
    <t>14 06 23</t>
  </si>
  <si>
    <t>G01 184293/23</t>
  </si>
  <si>
    <t>Tabarcache, José Antonio</t>
  </si>
  <si>
    <t>Finca Lesser S/N</t>
  </si>
  <si>
    <t>Desobediencia Judicial 2 hechos</t>
  </si>
  <si>
    <t>Mónica Antonia Padilla</t>
  </si>
  <si>
    <t>D.O.P Nº 15 Dr. Bonetto</t>
  </si>
  <si>
    <t>Mantener la libertad del imputado con consigna policial</t>
  </si>
  <si>
    <t>G01 184305/23</t>
  </si>
  <si>
    <t>Jaillita, Matías Daniel</t>
  </si>
  <si>
    <t>Avenida Artigas Nº 95</t>
  </si>
  <si>
    <t>Abuso sexual gravemente ultrajante por las circuntancias de relación y duración en el tiempo, agravado por el vínculo y la guarda, todo en concurso real</t>
  </si>
  <si>
    <t>Madre menor; Sra. Sajama Marcela</t>
  </si>
  <si>
    <t>Dr. Walter Atilio Díaz MP 4494</t>
  </si>
  <si>
    <t>UDIS Nº4 Dr. Rivero</t>
  </si>
  <si>
    <t>D.O.P Nº 14 Dra. Robles</t>
  </si>
  <si>
    <t>22 06 23</t>
  </si>
  <si>
    <t>27 06 23</t>
  </si>
  <si>
    <t>G01 184510/23</t>
  </si>
  <si>
    <t>Coronel, Ariel Fernando</t>
  </si>
  <si>
    <t>situación de calle</t>
  </si>
  <si>
    <t>Coacción, lesiones leves agravadas por la relación de pareja preexistente y por mediar violencia de género, robo agravado en grado de tentativa</t>
  </si>
  <si>
    <t>Nadia Jackeline Saluk</t>
  </si>
  <si>
    <t>Bº Costa Azul Mza. 199 Lote 23</t>
  </si>
  <si>
    <t>Dr. Ramón Medina</t>
  </si>
  <si>
    <t>Dr. Armiñana</t>
  </si>
  <si>
    <t>Dr. Mariño</t>
  </si>
  <si>
    <t>Dr. Molinati</t>
  </si>
  <si>
    <t>Dr. Martini</t>
  </si>
  <si>
    <t>G01 184668/23</t>
  </si>
  <si>
    <t>López Cristian Eduardo</t>
  </si>
  <si>
    <t>Mza. H Lote 13 Bº 15 de Febrero</t>
  </si>
  <si>
    <t xml:space="preserve">abuso sexual con acceso carnal, agravado por la guarda y la convivencia </t>
  </si>
  <si>
    <t xml:space="preserve">Romano Lorena Fernanda en representación de su hija S.E.R </t>
  </si>
  <si>
    <t>bº Las Tunas Mza. 50 B Casa 05</t>
  </si>
  <si>
    <t xml:space="preserve">Asesoria 9 </t>
  </si>
  <si>
    <t>G20 177634/23</t>
  </si>
  <si>
    <t>Córdoba, Daniel Facundo</t>
  </si>
  <si>
    <t>Estafas reiteradas (12 hechos) y asociación ilícita en concurso real</t>
  </si>
  <si>
    <t>Luis Fernando Zabalaga MP 4432</t>
  </si>
  <si>
    <t>Dra. Edith Rodríguez</t>
  </si>
  <si>
    <t>G01 184545/23</t>
  </si>
  <si>
    <t>Aguirre Luis Daniel</t>
  </si>
  <si>
    <t>Tenencia de estupefacientes con fines de comercialización</t>
  </si>
  <si>
    <t>Vaca Lucas Martín MP 5725</t>
  </si>
  <si>
    <t>Molina, Alfredo Adolfo</t>
  </si>
  <si>
    <t>Bº Siglo XXI, Mza. 359 B, Lote Nº 5</t>
  </si>
  <si>
    <t>Amenazas y amenzas con arma</t>
  </si>
  <si>
    <t xml:space="preserve">Moya Ana Soledad </t>
  </si>
  <si>
    <t>Mza. 434 B Lote 23 Bº Solidaridad</t>
  </si>
  <si>
    <t>D.O.P Nº 11 Dr. Curotto</t>
  </si>
  <si>
    <t>DOP Nº14 Dra. Robles</t>
  </si>
  <si>
    <t>No hacer lugar al recurso de apelacion- confirma la prision preventiva</t>
  </si>
  <si>
    <t>Facundo Esteban Teodoro Borja</t>
  </si>
  <si>
    <t>Tolava, Gustavo Alberto</t>
  </si>
  <si>
    <t>San Martin 355</t>
  </si>
  <si>
    <t>Coaccion, privacion ilegítima de la libertad</t>
  </si>
  <si>
    <t>Bonneau Antonella Luciana</t>
  </si>
  <si>
    <t>Bº Cerámica, Mza. C Lote 14 cel (387- 3062046)</t>
  </si>
  <si>
    <t xml:space="preserve">Lesiones agravadas por la relación de pareja preexistente y por el género (dos hechos) en concurso real, abuso sexual con acceso carnal </t>
  </si>
  <si>
    <t xml:space="preserve">González Yanina </t>
  </si>
  <si>
    <t>Walter atilio díaz 4494</t>
  </si>
  <si>
    <t>Cejas, Juan Manuel</t>
  </si>
  <si>
    <t>Bº Santa Cecilia Mza. I Casa 22</t>
  </si>
  <si>
    <t>Lesiones leves y robo simple en grado de tentativa, en concurso real</t>
  </si>
  <si>
    <t>Mirta Azucena Chocobar</t>
  </si>
  <si>
    <t>Bº 2 de Abril Mza. 259 Casa 10</t>
  </si>
  <si>
    <t>Chilo Gabriel Fernando</t>
  </si>
  <si>
    <t xml:space="preserve">Bº M. M, de Güemes Mza. J Lote 17 - La merced </t>
  </si>
  <si>
    <t xml:space="preserve">Abuso sexual con acceso carnal agravado por la guarda y la convivencia </t>
  </si>
  <si>
    <t>Ortega Julieta Araceli</t>
  </si>
  <si>
    <t>Bº M.M De Güemes Mza. J Lote 17 (387 5706 312)</t>
  </si>
  <si>
    <t>Dr. Rodriguez Osvaldo MP 4129</t>
  </si>
  <si>
    <t xml:space="preserve">Diamante, Aldana Rocio </t>
  </si>
  <si>
    <t>G01184546 GAR1 SALA 4</t>
  </si>
  <si>
    <t>Díaz Salva Lucas</t>
  </si>
  <si>
    <t>Bº Justicia Mza. H Lote 19</t>
  </si>
  <si>
    <t>Robo calificado por el uso de arma en grado de tentativa (dos hechos)</t>
  </si>
  <si>
    <t>Hermosa Marianela Itatí</t>
  </si>
  <si>
    <t>G01 184546/23 GAR 1 SALA 4</t>
  </si>
  <si>
    <t>Greco, Alvaro Matias</t>
  </si>
  <si>
    <t>Domicilio en Provincia de Tucumán</t>
  </si>
  <si>
    <t>G01 183627/23 GAR 8 SALA 4</t>
  </si>
  <si>
    <t>Carrizo, Raúl Benjamín</t>
  </si>
  <si>
    <t>González Norma Noemí</t>
  </si>
  <si>
    <t>Los Gavilanes S/N, al margen del Río Arenales Bº Ampliación Solís Pizarro</t>
  </si>
  <si>
    <t>Bº Solíz Pizarro calle los halcones nº 1755 (casa de la abuela) sino situación de calle</t>
  </si>
  <si>
    <t>Hurto Violación de Domicilio, Desobediencia Judicial (tres hechos)</t>
  </si>
  <si>
    <t>DOP Nº 11 Curotto DOP Nº 14 Dra. Robles en feria</t>
  </si>
  <si>
    <t>G01 183995/23 GAR 7 SALA 2</t>
  </si>
  <si>
    <t>Carrasco Damián Faustino</t>
  </si>
  <si>
    <t>Bº Inmaculada Concepción Mza. F Casa 7, Chicoana</t>
  </si>
  <si>
    <t>Menor L.A.A. Denuncia Carrasco Nélida Ramona</t>
  </si>
  <si>
    <t>Bº Las Paltas Mza. D Casa 84 (3874152287)</t>
  </si>
  <si>
    <t>Abuso sexual gravemente ultrajante por su circunstancia de realización agravado por la guarda (dos hechos) en concurso real</t>
  </si>
  <si>
    <t>Dr. Gastón Herrera MP Nº 6141</t>
  </si>
  <si>
    <t>asesoría 9 en feria</t>
  </si>
  <si>
    <t>Lopez Carlos Nicasio</t>
  </si>
  <si>
    <t>Abuso sexual con acceso carnal agravado por la guarda y la convivencia preexistente</t>
  </si>
  <si>
    <t>Menores- denuncia López José Nicasio</t>
  </si>
  <si>
    <t xml:space="preserve">11 07 2023 </t>
  </si>
  <si>
    <t>G01 184534/23 SALA 3</t>
  </si>
  <si>
    <t>G01 184509/23 SALA 3</t>
  </si>
  <si>
    <t>Gonzalez, Oscar Roberto</t>
  </si>
  <si>
    <t>G01 184811/23 sala 3</t>
  </si>
  <si>
    <t>No hacer lugar al recurso de apelación</t>
  </si>
  <si>
    <t>G01 184519/23 GAR 1 sala 1</t>
  </si>
  <si>
    <t>G01 184065/23 sala 4 gar 7</t>
  </si>
  <si>
    <t>G01 184816/23 GAR 2 SALA 1</t>
  </si>
  <si>
    <t>Cruz, Mario Juan Manuel</t>
  </si>
  <si>
    <t>Homicidio doblemente calificado pr la relación de pareja previa y por mediar violencia de género en grado de tentativa</t>
  </si>
  <si>
    <t xml:space="preserve">(menor) Bustamante Julieta Natalí </t>
  </si>
  <si>
    <t>Dr. Oropeza mp 4686</t>
  </si>
  <si>
    <t>defensoria de violencia nº 2 Dra. Medrano</t>
  </si>
  <si>
    <t>Avda. Costanera 2992 Villa Los Sauces (Celular madre. Sra. Roero Daiana Paola 3875296340)</t>
  </si>
  <si>
    <t>G02 182099/23 GAR 2 SALA 4</t>
  </si>
  <si>
    <t>Vivero José Antonio</t>
  </si>
  <si>
    <t>Abuso sexual con acceso carnal continuado agravado por la convivencia</t>
  </si>
  <si>
    <t>Marín Celeste Emilia</t>
  </si>
  <si>
    <t>DOP 10 - dop 8 en feria</t>
  </si>
  <si>
    <t>asesor 9</t>
  </si>
  <si>
    <t>G02 184622/23 GAR 3 SALA 4</t>
  </si>
  <si>
    <t xml:space="preserve">Benegas Tomás Javier </t>
  </si>
  <si>
    <t>Mza. A Lote 634 Vº Costanera- Bº Solidaridad Mza. 451 Alote 18</t>
  </si>
  <si>
    <t>Robo AP 1885/23 Cria. 17</t>
  </si>
  <si>
    <t xml:space="preserve">Molina Nicolás Rodolfo </t>
  </si>
  <si>
    <t>Radio del Plata Nº 2417</t>
  </si>
  <si>
    <t xml:space="preserve"> DOP 15 originaria - DOP 14 en feria</t>
  </si>
  <si>
    <t>14 07 2023</t>
  </si>
  <si>
    <t>CEL: 3875175643</t>
  </si>
  <si>
    <t>J02 177668/23 GAR 6 SALA 3</t>
  </si>
  <si>
    <t>Bº MM de Güemes Mza. 130 A Lote 4</t>
  </si>
  <si>
    <t>Exhibiciones obscenas, exhibiciones obscenas agravadas (dos hechos) en concurso real, amenazas, rapto, abuso sexual simple, todos en concurso real</t>
  </si>
  <si>
    <t>denunciante en representacion de la menor Alvarez Guadalupe (11) Mac Farli Karen Merlene - (387 6038828) - Besso María Fernanda (387 4586379)- Flavia Mireya Domínguez en representacion de sus dos hijas menores - Adriana Benita Sayago en representación de su hijo menor- Silvia Noemí Romano en representación de su hija menor</t>
  </si>
  <si>
    <t>DOP 15 DOP 14 EN FERIA</t>
  </si>
  <si>
    <t>asesoría 5 - asesoria 9 en feria</t>
  </si>
  <si>
    <t>14 07 23</t>
  </si>
  <si>
    <t>G01 184619/23 GAR 2 SALA 2</t>
  </si>
  <si>
    <t>387 5548773</t>
  </si>
  <si>
    <t xml:space="preserve">asesoría 10 </t>
  </si>
  <si>
    <t>G01 184500/23 GAR 1 SALA 3</t>
  </si>
  <si>
    <t xml:space="preserve">Lobo Melisa Beatriz </t>
  </si>
  <si>
    <t>Huanca Mara Rocío</t>
  </si>
  <si>
    <t>Flores Daniela Roxana</t>
  </si>
  <si>
    <t>Vº Los Sauces, calle Zacarías Yanci Nº 1268</t>
  </si>
  <si>
    <t>Atocha III, Mza. 150B, Lote 15</t>
  </si>
  <si>
    <t>Pje. Rosario de Lerma Nº 735 Vº Cristina</t>
  </si>
  <si>
    <t>Hurto Calamitoso</t>
  </si>
  <si>
    <t>Raul Concepcion Tolaba</t>
  </si>
  <si>
    <t>387 5524522 (padre) 3876444387 (madre</t>
  </si>
  <si>
    <t>DOP 11 DOP 14 en feria</t>
  </si>
  <si>
    <t>DOP 10 DOP 8 en feria</t>
  </si>
  <si>
    <t>Dra. Salinas Odorisio 1</t>
  </si>
  <si>
    <t>G01 174405/21 GAR 6 SALA 3</t>
  </si>
  <si>
    <t xml:space="preserve">Pje. Socompa Nº 1621Bº Municipal </t>
  </si>
  <si>
    <t>Amenazas y daños en concurso real</t>
  </si>
  <si>
    <t>Salas Verónica Lorenza</t>
  </si>
  <si>
    <t>Chacon Daniel Eduardo (uc1)</t>
  </si>
  <si>
    <t>DOP 13 DOP 8 en feria</t>
  </si>
  <si>
    <t>17 07 2023</t>
  </si>
  <si>
    <t xml:space="preserve">2 10 en feria </t>
  </si>
  <si>
    <t>G01 181982/23 GAR 3 SALA 2</t>
  </si>
  <si>
    <t>Sarapura, Cristian Fabián</t>
  </si>
  <si>
    <t>Abuso sexual con acceso carnal (dos hechos) en concurso real con abuso sexual simple (dos hechos)</t>
  </si>
  <si>
    <t>Mza. 40 B Lote 24 Bº San Jorge Rosario de Lerma</t>
  </si>
  <si>
    <t>Dr. Salim MP 6533</t>
  </si>
  <si>
    <t>UDIS 1</t>
  </si>
  <si>
    <t>Dra Holmquist Nº 3</t>
  </si>
  <si>
    <t>J01 142966/22 juicio 5 sala 3</t>
  </si>
  <si>
    <t>Benito Valentín Diaz</t>
  </si>
  <si>
    <t xml:space="preserve">Pje. Zorrigueta Nº 105 </t>
  </si>
  <si>
    <t>Abuso sexual gravemente ultrajante por la duración y la circunstancias de realización agravado por el vínculo, la guarda y la convivencia</t>
  </si>
  <si>
    <t>Soria Jimena Ceciliaen representacion de su hija menor</t>
  </si>
  <si>
    <t>Pje. Aguado Nº 646 Vº San Antonio (3874733330 - 4710780)</t>
  </si>
  <si>
    <t>Dr. Maggio MP 2265</t>
  </si>
  <si>
    <t>asesor 7 - 9 en feria</t>
  </si>
  <si>
    <t>No hacer lugar al recurso de apelacion - confirma la preventiva</t>
  </si>
  <si>
    <t>18 07 23</t>
  </si>
  <si>
    <t>20 07 23</t>
  </si>
  <si>
    <t xml:space="preserve">G03 180041/22 GAR 6 </t>
  </si>
  <si>
    <t xml:space="preserve">Inostroza, Diego Ricardo </t>
  </si>
  <si>
    <t xml:space="preserve">Abuso sexual con acceso carnal, coacción, abuso sexual simple </t>
  </si>
  <si>
    <t>Padilla Pamela Lucila</t>
  </si>
  <si>
    <t>Aniceto Latorre 248 Depto A Piso C (387 - 4022969)</t>
  </si>
  <si>
    <t>Dr. Luciano Romano MP 5515</t>
  </si>
  <si>
    <t xml:space="preserve">Avendaño Nahuel Eduardo </t>
  </si>
  <si>
    <t>Sebastián Fernando Chaile</t>
  </si>
  <si>
    <t>Vº Lavalle, calle Río Toro s/n</t>
  </si>
  <si>
    <t>Vº Lavalle, calle Río Toro al 2300</t>
  </si>
  <si>
    <t>Romero Nestor Raúl y Meriles Julio César</t>
  </si>
  <si>
    <t>Romero 30.222.701 Meriles 29.295.381</t>
  </si>
  <si>
    <t>Romero: Bº Autódromo, calle A. Logulo Nº 61 (3875846412) Meriles: Bº 26 de Marzo, Mza. 188 D Lote 7</t>
  </si>
  <si>
    <t>Hacer lugar al recurso de apelación - Ordenar el arresto domiciliario</t>
  </si>
  <si>
    <t>21 07 23</t>
  </si>
  <si>
    <t>Def. violencia de género nº 1 Dra. Chirife</t>
  </si>
  <si>
    <t>Bº Municipal 1520, pje. Tolombón</t>
  </si>
  <si>
    <t>No hacer lugar al Recurso de Apelación - Confirma la prisión preventiva</t>
  </si>
  <si>
    <t xml:space="preserve">21 07 2023 </t>
  </si>
  <si>
    <t>José Rodrigo Ledesma</t>
  </si>
  <si>
    <t xml:space="preserve">G05 168911/20 GAR 3 </t>
  </si>
  <si>
    <t>Carlos Damián Saavedra</t>
  </si>
  <si>
    <t>Bº Tres Cerritos, Los Mandarinos 331</t>
  </si>
  <si>
    <t xml:space="preserve">Homicidio Calificado por Alevosía, ensañamientocriminis causa y por el concurso premeditado de dos o más personas y femicidio. </t>
  </si>
  <si>
    <t>Dr. Mareclo Arancibia MP 429</t>
  </si>
  <si>
    <t>Dr. Pedro Arancibia MP 3201</t>
  </si>
  <si>
    <t>Dra, Holmquist</t>
  </si>
  <si>
    <t>24 07 23</t>
  </si>
  <si>
    <t>Mza. E Casa 8 Bº 23 de agosto (3874826774)</t>
  </si>
  <si>
    <t>G01 185030/23 gar 3</t>
  </si>
  <si>
    <t>Frías Sergio Gustavo</t>
  </si>
  <si>
    <t xml:space="preserve">Vera, Matías Ezequiel </t>
  </si>
  <si>
    <t>Robo en poblado y en banda</t>
  </si>
  <si>
    <t xml:space="preserve">Claudia Ivana Alarcon </t>
  </si>
  <si>
    <t xml:space="preserve">Francia Nº 556 B º Morosini </t>
  </si>
  <si>
    <t>28 07 2023</t>
  </si>
  <si>
    <t>J01 181346/22 JUICIO 1</t>
  </si>
  <si>
    <t>Chilo, Victor Alfredo</t>
  </si>
  <si>
    <t>Av. San Martín 2888 Bº San Silvestre</t>
  </si>
  <si>
    <t>Abuso sexual con acceso carnal</t>
  </si>
  <si>
    <t>Stella Marus Pastrana</t>
  </si>
  <si>
    <t>G01 185173/23 GAR 4</t>
  </si>
  <si>
    <t>Domínguez Jorge Tomás</t>
  </si>
  <si>
    <t>Mza. 352 Casa 5 Bº Siglo XXI</t>
  </si>
  <si>
    <t>Lesiones y amenazas</t>
  </si>
  <si>
    <t>Domínguez Valeria Alejandra</t>
  </si>
  <si>
    <t>Bº Siglo XXI Casa 5 (387 2265313)</t>
  </si>
  <si>
    <t>DOP Nº 4 Dr. Clarck</t>
  </si>
  <si>
    <t>No hacer lugar al recurso de apelación - confirma la preventiva</t>
  </si>
  <si>
    <t>25 07 2023</t>
  </si>
  <si>
    <t>Mza. 50 lote 31 Bº San Jorge Rosari de Lerma</t>
  </si>
  <si>
    <t>Acosta Griselda Noemí (melgar liliana ramone denunciante)</t>
  </si>
  <si>
    <t>Dr. Pollioto</t>
  </si>
  <si>
    <t>J04 170530/23 jui 1- Sala 2 Vocal 3</t>
  </si>
  <si>
    <t>Peña Matías Federico</t>
  </si>
  <si>
    <t>Gral. Güemes 810 - 2do piso, Depto A</t>
  </si>
  <si>
    <t>(menor) Noelia Andrea Bennatti (denunciante)</t>
  </si>
  <si>
    <t>Dr, Luciano Romano MP 5515</t>
  </si>
  <si>
    <t>asesoría 7 Dra. Quinteros</t>
  </si>
  <si>
    <t>Robo calificado por perpetarse en poblado y en banda</t>
  </si>
  <si>
    <t>Dra. Salinas odorisio 1</t>
  </si>
  <si>
    <t>Juan Armesto Yanci</t>
  </si>
  <si>
    <t>Dr. Cisneros Facundo MP 6564</t>
  </si>
  <si>
    <t>Jimena Salas, Nicolás Cajal constituye querella</t>
  </si>
  <si>
    <t>G01 184821/23 gar 2</t>
  </si>
  <si>
    <t>J01 177932/23 juicio 1</t>
  </si>
  <si>
    <t>Hurto simple (tres hechos) lesiones leves por la relación de pareja preexistente y por constituír violencia de género, amenazas y desobediencia judicial (dos hechos) en concurso real</t>
  </si>
  <si>
    <t>Julia Estela Ontiveros</t>
  </si>
  <si>
    <t>Bº Solidaridad Mza. 416 B Lote 27 3ra etapa</t>
  </si>
  <si>
    <t>Mza. 416 Casa 10 Bº Solidaridad</t>
  </si>
  <si>
    <t>Caceres, Maldonado Kevin Eduardo (alcaidía)</t>
  </si>
  <si>
    <t>Def. de violencia nº 2</t>
  </si>
  <si>
    <t>G01 184720/23 GAR 2</t>
  </si>
  <si>
    <t>G01 185065/23 gar 3</t>
  </si>
  <si>
    <t>Formosa, no aporta domicilio</t>
  </si>
  <si>
    <t>Exhibiciones obscenas a menores</t>
  </si>
  <si>
    <t>Vega Ibarra Mario Alberto (denunciante)</t>
  </si>
  <si>
    <t>Bº Las Marías Mza. Casa 14 (3874028517)</t>
  </si>
  <si>
    <t>DOP Nº 3 Dra. Peralta</t>
  </si>
  <si>
    <t>Juarez Miranda Gustavo Ariel (alcaidía)</t>
  </si>
  <si>
    <t>DOP 3 Dra. Peralta</t>
  </si>
  <si>
    <t>Dr. Arnedo MP 5427</t>
  </si>
  <si>
    <t>Dr. Solá Garrido MP 3136</t>
  </si>
  <si>
    <t>G01 184799/23 GAR 2</t>
  </si>
  <si>
    <t>Nogales Santa Cruz, Alberto ascencio</t>
  </si>
  <si>
    <t>Comercialización de estupefacientes</t>
  </si>
  <si>
    <t>Dr. Ortin Fernandez 4457</t>
  </si>
  <si>
    <t>Homicidio agravado por el vínculo- relación de pareja preexistentey por mediar violencia de género en grado de tentativa</t>
  </si>
  <si>
    <t>Juana América Montenegro</t>
  </si>
  <si>
    <t>Pje. Bolivia Nº 351</t>
  </si>
  <si>
    <t>DOP Nº 7 Dr. Marcelo Di Bez</t>
  </si>
  <si>
    <t>Pje, bolivia Nº 351 Vº San Antonio (3876388857)</t>
  </si>
  <si>
    <t>J01 171219/22 JUICIO 1</t>
  </si>
  <si>
    <t>Buttaro Julio</t>
  </si>
  <si>
    <t>Amenazas y desobediencia Judicial en concurso real</t>
  </si>
  <si>
    <t>20 de Junio, Francisco Vélez 2334</t>
  </si>
  <si>
    <t>Peralta Dominga Santos</t>
  </si>
  <si>
    <t>G01 184429/23 GAR 1</t>
  </si>
  <si>
    <t>Grooming- Abuso sexual con acceso carnal, extorsión, producción y distribución de material de abuso sexual infantil</t>
  </si>
  <si>
    <t>Mza. 239 Casa M Bº Portezuelo chico</t>
  </si>
  <si>
    <t xml:space="preserve">Camila Chocobar (denunciante por menor) Ernesto Enrique Sánchez (denunciante) </t>
  </si>
  <si>
    <t>Chocobar : Barrio Santa Mónica mza. C casa 55 Sánchez:Mza 296 b lote 21 Bº Norte Grande83872240645)</t>
  </si>
  <si>
    <t>Dr. Atilio Díaz MP 4494</t>
  </si>
  <si>
    <t>Gustavo Benjamín Vásques (alcaidía)</t>
  </si>
  <si>
    <t>J02 171653/23 JUICIO 1</t>
  </si>
  <si>
    <t>Sanchez, Federico Ariel</t>
  </si>
  <si>
    <t>Los Avellanos Bº 320 Bº Tres Cerritos</t>
  </si>
  <si>
    <t>Palomo Gabriela, Montaldi Ana Valentina</t>
  </si>
  <si>
    <t>Palomo DNI 33.168.760</t>
  </si>
  <si>
    <t>Palomo: Bº Sanata Ana II Mza. 17 Casa 1 (3875821137)</t>
  </si>
  <si>
    <t>Esteban Nieva Haro MP 5276</t>
  </si>
  <si>
    <t>Dra. Domene MP 5308</t>
  </si>
  <si>
    <t>No hacer lugar al recurso de apelacion - confirma la prision preventiva</t>
  </si>
  <si>
    <t>31 07 23</t>
  </si>
  <si>
    <t>g01 185114/23 gar 3</t>
  </si>
  <si>
    <t>D'Abate Cornejo, Alfredo Benjamin</t>
  </si>
  <si>
    <t>Arturo Tamborini Nº 260 Bº El Periodista</t>
  </si>
  <si>
    <t>Cornejo D'Abate Liliana Noemí</t>
  </si>
  <si>
    <t>Arturo Gambolini Nº 2060 Bº El Periodista (3874186702)</t>
  </si>
  <si>
    <t>Dr. Ramos Ossorio Nº2</t>
  </si>
  <si>
    <t>13 00</t>
  </si>
  <si>
    <t>No hacer lugar al recurso de apelación - Confirma preventiva</t>
  </si>
  <si>
    <t>Dr Ramos Ossorio Nº 2</t>
  </si>
  <si>
    <t>No hacer lugar al Recurso de apelacion - confirmar la preventiva</t>
  </si>
  <si>
    <t>03 08 23</t>
  </si>
  <si>
    <t>02 08 23</t>
  </si>
  <si>
    <t xml:space="preserve">No hacer lugar al Recurso de Apelación - confirmar la preventiva </t>
  </si>
  <si>
    <t>Villa Palacios Avda. Costanera 1334 (155334579)</t>
  </si>
  <si>
    <t>GAR 185403/23 GAR 5</t>
  </si>
  <si>
    <t xml:space="preserve">Cano José Antonio </t>
  </si>
  <si>
    <t xml:space="preserve">Galván Esteban Antonio </t>
  </si>
  <si>
    <t>Calle 16 de septiembre Nº 691 Bº Ceferino</t>
  </si>
  <si>
    <t>Calle San Juan Nº 474 Bº Centro</t>
  </si>
  <si>
    <t>Robo simple</t>
  </si>
  <si>
    <t>robo simple</t>
  </si>
  <si>
    <t xml:space="preserve">López Carlos Martín </t>
  </si>
  <si>
    <t>Bº Castañares Grupo 648 Mza. 19 Lote 18 (3875140481)</t>
  </si>
  <si>
    <t>DOP Nº 6 Dr. López Figueroa</t>
  </si>
  <si>
    <t>G01  185061/23 gar 6</t>
  </si>
  <si>
    <t>Morales Luciano Agustín</t>
  </si>
  <si>
    <t>Bº Nueva Esperanza 2 Mza. 3 casa 8 Gral güemes</t>
  </si>
  <si>
    <t xml:space="preserve">Hurto simple </t>
  </si>
  <si>
    <t>Quipildor Adolfo Gustavo</t>
  </si>
  <si>
    <t>Fca. Las Lauras Limite con Jujuy 55 Km/ Bº Naranjito Concejal Sosa Nº 4 Gral Güemes/ Bº Nueva Esperanza 2 Calle San Francisco Espacio Verde Lote 8 (3875152951-3875853014-3875006439-3875629120)</t>
  </si>
  <si>
    <t>G01 185181/23 GAR 4</t>
  </si>
  <si>
    <t>Corbalan Juan Gabriel</t>
  </si>
  <si>
    <t>Mza. 315 A Lote 02 Bº San Benito</t>
  </si>
  <si>
    <t xml:space="preserve">Abuso sexual gravemente ultrajante por la circunstancia de su realización </t>
  </si>
  <si>
    <t>Vega Antonella Elizabeth</t>
  </si>
  <si>
    <t>Mza. 22 Lote 18 Bº Los Paraísos Cerrillos (387 5916609)</t>
  </si>
  <si>
    <t>Pablo Alberto González MP 4302</t>
  </si>
  <si>
    <t>DOP 17 Dr. Genovese</t>
  </si>
  <si>
    <t>G06 183139/23 GAR 4</t>
  </si>
  <si>
    <t>Yanci Juan Armesto</t>
  </si>
  <si>
    <r>
      <t xml:space="preserve">JUI 177932/22 </t>
    </r>
    <r>
      <rPr>
        <b/>
        <sz val="10"/>
        <rFont val="Arial"/>
        <family val="2"/>
      </rPr>
      <t>VISU</t>
    </r>
  </si>
  <si>
    <t>DOP 7 Di bez</t>
  </si>
  <si>
    <t>G01 185167/23 gar 4</t>
  </si>
  <si>
    <t>Gerez, Ernesto Sabino</t>
  </si>
  <si>
    <t>Mza. 407 C Casa 11 Bº Solidaridad</t>
  </si>
  <si>
    <t>Alfaro Mariana Soledad</t>
  </si>
  <si>
    <t>Bº San Calixto Mza 52 Lote 17 (3874540036)</t>
  </si>
  <si>
    <t>G01 182999/23 GAR 4</t>
  </si>
  <si>
    <t>Vaca Gabriel Ernesto</t>
  </si>
  <si>
    <t>Las Garzas 3200 Bº Parques Nacionales Estancia el rey? (situacion de calle)</t>
  </si>
  <si>
    <t xml:space="preserve">Amenazas </t>
  </si>
  <si>
    <t>Mariela Alejandra Figueroa</t>
  </si>
  <si>
    <t>Mza. 08 lote 14 Bº Nueva Esperanza</t>
  </si>
  <si>
    <t>G01  184598/23 GAR 1</t>
  </si>
  <si>
    <t xml:space="preserve">Sebastian Saravia Zenteno (LIBERTAD) </t>
  </si>
  <si>
    <t>Abuso sexual gravemente ultrajante por la duracion en el tiempo y las circunstancias de su realizaciónl agravado por la guarda</t>
  </si>
  <si>
    <t>Schmist Dodds Maria Mercedes</t>
  </si>
  <si>
    <t>Las Praderas de San Lorenzo Lote 31 Mza. 02</t>
  </si>
  <si>
    <t>Av Entre Ríos 720 3 B</t>
  </si>
  <si>
    <t>Dr. Plamier MP 1019 Y Juan José Valdez Aguilar MP 4377</t>
  </si>
  <si>
    <t>Julian Marcelo Aguilar MP 4606</t>
  </si>
  <si>
    <t>Dra. Holmquist nº 3</t>
  </si>
  <si>
    <t>J01 178574/23 JUICIO 5</t>
  </si>
  <si>
    <t>Flores Elias Marco</t>
  </si>
  <si>
    <t>Abuso sexual con acceso carnal (continuado) agravado por la guarda en concurso ideal con corrupción de menores agravada</t>
  </si>
  <si>
    <t>(menor) denunciante Rodriguez María Angélica</t>
  </si>
  <si>
    <t>08 08 23</t>
  </si>
  <si>
    <t xml:space="preserve"> 08 08 23</t>
  </si>
  <si>
    <t>LIBERTAD</t>
  </si>
  <si>
    <t>Fath Ricardo Gabriel (ALCAIDIA)</t>
  </si>
  <si>
    <t>Fath Andres Esteban (ALCAIDIA)</t>
  </si>
  <si>
    <t>Fraude a la administracion pública y falsedad de instrumento público</t>
  </si>
  <si>
    <t>Bº Casa del Sol Mza 501, casa 6 San Luis</t>
  </si>
  <si>
    <t>Bº Castañares Pje. Los Blnacos 128</t>
  </si>
  <si>
    <t>Dr. Luis Fernando Zabalaga MP 4432</t>
  </si>
  <si>
    <t>Asesoria 9 Dra. Bustos</t>
  </si>
  <si>
    <t>Dra. Holmquist 3</t>
  </si>
  <si>
    <t>Dra. Holquist 3</t>
  </si>
  <si>
    <t>Juana Manuela Gorriti 1767 Villa Floresta (3874811204)</t>
  </si>
  <si>
    <t>ASESORIA 10 DRA SALATIN</t>
  </si>
  <si>
    <t>G01 185248/23 GAR 4</t>
  </si>
  <si>
    <t>Choque Victor Hugo</t>
  </si>
  <si>
    <t>Jaime Carlos Sabino</t>
  </si>
  <si>
    <t>43.336.105 Prio. 522.037</t>
  </si>
  <si>
    <t>45547568 Prio. 56639</t>
  </si>
  <si>
    <t>Bº La Loma, Posta de Yatasto Nº 1167</t>
  </si>
  <si>
    <t>Bº La Loma Pje. 25 de Febrero Nº 1128</t>
  </si>
  <si>
    <t>Herrera Oscar Felipe / Bauch Carla Romina</t>
  </si>
  <si>
    <t>Robo doblemente agravado por ser cometido en poblado y en banda y por el uso de armas en grado de tentativa</t>
  </si>
  <si>
    <t>10 08 23</t>
  </si>
  <si>
    <t>G01 185240/23 GAR 4</t>
  </si>
  <si>
    <t>Ortuño Gastón (preso alcaidia)</t>
  </si>
  <si>
    <t>Santa Ana I Pje. 9 Casa 252</t>
  </si>
  <si>
    <t xml:space="preserve">Abuso sexual con acceso carnal </t>
  </si>
  <si>
    <t xml:space="preserve">(menor) denunciante Raquel Dalma Araceli </t>
  </si>
  <si>
    <t>DOP 4 dr. Clarck</t>
  </si>
  <si>
    <t>asesoria Nº 4</t>
  </si>
  <si>
    <t xml:space="preserve">No hacer lugar al recurso de apelacion </t>
  </si>
  <si>
    <t>11 08 23</t>
  </si>
  <si>
    <t>Dr. Gonzalo Ramos MP 6693</t>
  </si>
  <si>
    <t xml:space="preserve">Asesoria Nº 2 Dra. Larsen </t>
  </si>
  <si>
    <t>J01 179950/23 SALA 4</t>
  </si>
  <si>
    <t>Pérez Liliana Noemí</t>
  </si>
  <si>
    <t>Bº San Benito Mza 306 A, Lote 02</t>
  </si>
  <si>
    <t>Dra. Salinas Odorisio N 1</t>
  </si>
  <si>
    <t>Tenencia de estupefacientes con fines de comercialización, agravada por la participacion de tres o más personas en forma organizada</t>
  </si>
  <si>
    <t>Dr. Mariano Sánchez MP 5897</t>
  </si>
  <si>
    <t>asesoria Nº 5 Dra. Berni</t>
  </si>
  <si>
    <t>14 08 23</t>
  </si>
  <si>
    <t>JUI 182655/23 JUICIO 7</t>
  </si>
  <si>
    <t>Mza. 18 casa 07 Bº Castañares</t>
  </si>
  <si>
    <t xml:space="preserve">Abuso sexual gravemente ultrajante por las circunstancias de realización y duracion, agravado por la convivencia preexistente y la guarda </t>
  </si>
  <si>
    <t>(menor Luciana Velázquez 16) denunciante Aybar Elena de Las Mercedes</t>
  </si>
  <si>
    <t>(Bco Macro) Federico Rodriguez Spuch 2795 (prov de salta) Pablo Hernán Cuellar Medina 3340</t>
  </si>
  <si>
    <t>Bolívar Joel Alejandro (uc1)</t>
  </si>
  <si>
    <t>Atocha 1 Mza 05 Lote 05</t>
  </si>
  <si>
    <t>Dr. Gustavo Ruiz MP 5754 Dr. Hernan Paz MP 6324</t>
  </si>
  <si>
    <t>asesoria nº 3 Dra. Cardon</t>
  </si>
  <si>
    <t>G01 185384/23 GAR 4</t>
  </si>
  <si>
    <t>Vargas Angel Sebastian</t>
  </si>
  <si>
    <t xml:space="preserve">Pje Alberro 2261 </t>
  </si>
  <si>
    <t>amenazas (dos hechos) amenazas con arma</t>
  </si>
  <si>
    <t>Morales Pamela Marina del Carmen</t>
  </si>
  <si>
    <t>Bº San pablo Mza. 288 Lote 01 (3876372256)</t>
  </si>
  <si>
    <t>G02 170529/23 GAR 4</t>
  </si>
  <si>
    <t>Vilte Gustavo Exequiel</t>
  </si>
  <si>
    <t>Abuso sexual gravemente ultrajante agravado por el vinculo y la convivencia (continuado) en concurso real con abuso sexual con acceso carnal</t>
  </si>
  <si>
    <t xml:space="preserve">Bº 1 Junta Mza 513 B Casa 7 </t>
  </si>
  <si>
    <t>Guadalupe Milagro Vilte (menor)</t>
  </si>
  <si>
    <t>Dr. Emiliano Vasquez MP 6188</t>
  </si>
  <si>
    <t xml:space="preserve">Asesoria Nº 10 Dra. Salatin </t>
  </si>
  <si>
    <t>Dr. Ramos Ossorio 2</t>
  </si>
  <si>
    <t>JUI 176496/22 VISU</t>
  </si>
  <si>
    <t>Osorio Mauricio Exequiel</t>
  </si>
  <si>
    <t>Robo calificado por lesiones</t>
  </si>
  <si>
    <t>G01 185321/23 GAR 4</t>
  </si>
  <si>
    <t>Sergio Luis López</t>
  </si>
  <si>
    <t>Bº Intersindical calle Rio Negro 2840</t>
  </si>
  <si>
    <t>Administracion Fraudulenta</t>
  </si>
  <si>
    <t>Caja de Abogados</t>
  </si>
  <si>
    <t>Lopez Brizzio MP 6458</t>
  </si>
  <si>
    <t>Dr. Anachuri Lazo MP 6336</t>
  </si>
  <si>
    <t>G01 185393/23 gar 4</t>
  </si>
  <si>
    <t>Rivero Mariano Nahuel</t>
  </si>
  <si>
    <t>Bº Circulo 3 Mza. H Casa 18</t>
  </si>
  <si>
    <t>Robo Simple</t>
  </si>
  <si>
    <t>G01 185354/23 GAR 4</t>
  </si>
  <si>
    <t>Quispe Daniel Elias</t>
  </si>
  <si>
    <t>Mza. 21 Lote 24 Bº Virgen del Rosario</t>
  </si>
  <si>
    <t xml:space="preserve">Amenazas y privación ilegítima de la libertad </t>
  </si>
  <si>
    <t>Vilte Martinez Delfina Adaluz</t>
  </si>
  <si>
    <t>Pje. Los Eucaliptus S/N Bº San Silvestre</t>
  </si>
  <si>
    <t>DOP Nº 5 Dra. Carrizo Reyes interina</t>
  </si>
  <si>
    <t>16 08 23</t>
  </si>
  <si>
    <t>Bº Progreso Mza 166 B Casa 15</t>
  </si>
  <si>
    <t>JUI 177022/22 VISU</t>
  </si>
  <si>
    <t>Cayata Ángel Adrián</t>
  </si>
  <si>
    <t>Abuso sexual con acceso carnal, continuado y privación ilegítima de la libertad agravada en concurso real</t>
  </si>
  <si>
    <t>Luna Chauque Guadalupe</t>
  </si>
  <si>
    <t>G02 183557/23 GAR 5</t>
  </si>
  <si>
    <t>Lazarte Nelson Matías Ezequiel</t>
  </si>
  <si>
    <t>Avda. San Martín Nº 3280</t>
  </si>
  <si>
    <t xml:space="preserve">Robo calificado por el uso de arma de fuego  </t>
  </si>
  <si>
    <t xml:space="preserve">Salva Roberto Francisco </t>
  </si>
  <si>
    <t>Bº Santa Ana 3 Mza Q Casa 15</t>
  </si>
  <si>
    <t>G02 184666/23 GAR 2</t>
  </si>
  <si>
    <t>Camargo Beatriz Zulma</t>
  </si>
  <si>
    <t xml:space="preserve">Estafa (dos hechos) y estafa en grado de tentaiva (tres hechos) </t>
  </si>
  <si>
    <t>Fit Car Rental, Low Cost Rent a Car, Fox Rent a Car, Cactus y Rada</t>
  </si>
  <si>
    <t>Dra. Holmquist N 3</t>
  </si>
  <si>
    <t>Unificacion de pena</t>
  </si>
  <si>
    <t>18 08 23</t>
  </si>
  <si>
    <t>17 08 23</t>
  </si>
  <si>
    <t>G01 170301/21</t>
  </si>
  <si>
    <t>Dante Jesús Medina</t>
  </si>
  <si>
    <t>Bº 15 de Septiembre Mza W Lote 10 - Salta</t>
  </si>
  <si>
    <t>Lesiones Agr. Por el genero y por la Relación de Pareja, Amenazas, Desobediencia Judicial, Violación de Domicilio y Daños.</t>
  </si>
  <si>
    <t>Patricia Liliana Mamaní</t>
  </si>
  <si>
    <t xml:space="preserve">Bº 15 de Septiembre Mza I 2 Lote 2  </t>
  </si>
  <si>
    <t>Dr. Lucio Flores Giralt M.P. 3953</t>
  </si>
  <si>
    <t>Fiscalía Penal de Violencia Familiar y de Género Nº 1 - Dra, Claudia Geria</t>
  </si>
  <si>
    <t>Fiscalía de Impugnación Nº 3 Dra. Karina Holmquist</t>
  </si>
  <si>
    <t>G01 185081/23</t>
  </si>
  <si>
    <t>Rodrigo Constantino Solis</t>
  </si>
  <si>
    <t xml:space="preserve">Bº Los Paraisos - Mza 52 Lote 7 </t>
  </si>
  <si>
    <t>Homicilio calificado por la relación de pareja previa, alevosía, ensañamiento y por mediar violencia de género en grado de tentativa</t>
  </si>
  <si>
    <t>Leonor Mercedes Magdalena Vega</t>
  </si>
  <si>
    <t>Bº Convivencia Mza 333 "A", Casa 04</t>
  </si>
  <si>
    <t>Defensoría Oficial Nº 4 - Victor Clark</t>
  </si>
  <si>
    <t>Fiscalía Penal UFEM</t>
  </si>
  <si>
    <t>G02 185056/23</t>
  </si>
  <si>
    <t>Cristian Alejandro Cenardo y Brian Alberto Exequiel Cenardo</t>
  </si>
  <si>
    <t>Cristian Cenardo 39,004,023 y Brian Cenardo 40,155,878</t>
  </si>
  <si>
    <t>Robo calificado</t>
  </si>
  <si>
    <t>G01 184477/23</t>
  </si>
  <si>
    <t>Aroldo Gabriel Karcher Moreno</t>
  </si>
  <si>
    <t>Calle Tristón s/n San Luis - Salta</t>
  </si>
  <si>
    <t>Defensoría Oficial Nº 7 - Dr. Marcelo Di Bez</t>
  </si>
  <si>
    <t>Fiscalía Penal de Violencia Familiar y de Genero Nº 2</t>
  </si>
  <si>
    <t>Fiscalía de Impugnación Nº 2 - Dr. Ramos Ossorio</t>
  </si>
  <si>
    <t>Robo - Desobediencia Judicial - Daños en Concurso Real</t>
  </si>
  <si>
    <t>Erika Balocco</t>
  </si>
  <si>
    <t>Ruta Nacional 51 Km 1 (medio calle Saturno Nº 48)</t>
  </si>
  <si>
    <t xml:space="preserve">DOP Nº 4 Dr. Clark y Dr. Victor Mario Quinteros  </t>
  </si>
  <si>
    <t xml:space="preserve">Dr. Ramos Ossorio 2 </t>
  </si>
  <si>
    <t>24 08 23</t>
  </si>
  <si>
    <t>GAR 185413/23</t>
  </si>
  <si>
    <t>Ronal Mirco Bejarano Paniagua</t>
  </si>
  <si>
    <t>40,002,268</t>
  </si>
  <si>
    <t>Bº 15 de Septiembre Mza Ñ Lote 3 - Salta</t>
  </si>
  <si>
    <t>Amenazas c/Arma</t>
  </si>
  <si>
    <t>Bacilia Llanos Gutierrez</t>
  </si>
  <si>
    <t>93,045,956</t>
  </si>
  <si>
    <t>Defensoría Oficial Nº 6 - Dr. Jaime López Figueroa</t>
  </si>
  <si>
    <t>Fiscalía Penal de Violencia Familiar y de Genero Nº 1</t>
  </si>
  <si>
    <t>Fiscalía de Impugnación Nº 1</t>
  </si>
  <si>
    <t>G01 184721/23</t>
  </si>
  <si>
    <t>33,715,864</t>
  </si>
  <si>
    <t xml:space="preserve">Bladimir Montaño </t>
  </si>
  <si>
    <t>Hurto Calificado</t>
  </si>
  <si>
    <t>Bº El Circulo I Mza "D" Lote 04</t>
  </si>
  <si>
    <t>94,156,709</t>
  </si>
  <si>
    <t>Bº Lavalle Calle Intendente Julio José Paz Casa 145 - Salta Capital</t>
  </si>
  <si>
    <t>Fiscalía Penal Nº3</t>
  </si>
  <si>
    <t>Defensoría Oficial Penal Nº 7 - Dr, Marcelo Di Bez</t>
  </si>
  <si>
    <t>G01 180410/23</t>
  </si>
  <si>
    <t>23,251,368</t>
  </si>
  <si>
    <t>Bº Limache Etapa 5 Mza. 3 Casa 7 - Salta</t>
  </si>
  <si>
    <t>Estafa en grado de Tentativa</t>
  </si>
  <si>
    <t>Walter Guillermo Copa</t>
  </si>
  <si>
    <t>G01 185465/23</t>
  </si>
  <si>
    <t>Roberto Mauricio Quiroga</t>
  </si>
  <si>
    <t>1) Robo 2) Lesiones graves Y Amenazas 3) Amenazas con Armas y Daños en concurso real</t>
  </si>
  <si>
    <t>1) Vanina Macarena Villalba 2) Alfredo Daniel Cruz Barrios 3) Sonia Ayejes</t>
  </si>
  <si>
    <t>41,486,813</t>
  </si>
  <si>
    <t xml:space="preserve">Bº 20 de Junio Francisco Muñiz 330 </t>
  </si>
  <si>
    <t>3) 25,522,610</t>
  </si>
  <si>
    <t>3)</t>
  </si>
  <si>
    <t>29 08 23</t>
  </si>
  <si>
    <t xml:space="preserve">JUI 63951/21 VISU </t>
  </si>
  <si>
    <t>Cruz, Hernán Gonzalo</t>
  </si>
  <si>
    <t>Abuso sexual</t>
  </si>
  <si>
    <t>DOP Nº 2 Orán Dr. Giannoti</t>
  </si>
  <si>
    <t>JUI 169669/23 VISU</t>
  </si>
  <si>
    <t>Paul Hernán Burgos</t>
  </si>
  <si>
    <t>Dr. Facundo Ruiz MP 6324 Dr. Gustavo Ruiz Piazza MP 5754</t>
  </si>
  <si>
    <t>Asesoria Nº 7 Dra. Quinteros</t>
  </si>
  <si>
    <t>01 09 23</t>
  </si>
  <si>
    <t>no hacer lugar al recurso de apelacion - confirma la preventiva</t>
  </si>
  <si>
    <t>G03 155613/18 GAR 4</t>
  </si>
  <si>
    <t>Carlos Adrián Huergo</t>
  </si>
  <si>
    <t>Balcarce Nº 39</t>
  </si>
  <si>
    <t>Estafa</t>
  </si>
  <si>
    <t>Caliva, Cristina del Valle</t>
  </si>
  <si>
    <t>.</t>
  </si>
  <si>
    <t>RESOLUCION VISU</t>
  </si>
  <si>
    <r>
      <t xml:space="preserve">Dra. Salinas Odorisio Nº 1 </t>
    </r>
    <r>
      <rPr>
        <b/>
        <u/>
        <sz val="10"/>
        <rFont val="Arial"/>
        <family val="2"/>
      </rPr>
      <t>(demorado en fiscalia desde el 23/08)</t>
    </r>
  </si>
  <si>
    <t>10 22</t>
  </si>
  <si>
    <t>J02 142966/23 SALA 5</t>
  </si>
  <si>
    <t>Benito Valentín Díaz</t>
  </si>
  <si>
    <t>Asesoria Nº 7</t>
  </si>
  <si>
    <t>G01 185441/23 GAR 5</t>
  </si>
  <si>
    <t>Gramajo Cintia Lorena, Vega Fátima, López Daiana Jessica</t>
  </si>
  <si>
    <t>Gramajo: 31.900.441 Vega: 30.035.033 López: 32.115.767</t>
  </si>
  <si>
    <t>Gramajo: Libertad Nº 1510 Bº Victoria, San Miguel de Tucumán Vega: Avda. Roca 2700, San miguel de Tucumán, López: Avda Roca 2800, San Miguel de Tucumán</t>
  </si>
  <si>
    <t>Hurto simple y hurto en grado de tentaiva y asociación ilícita</t>
  </si>
  <si>
    <t>Dr. Escobedo Ramiro MP 7660</t>
  </si>
  <si>
    <t>J01 164721/23 JUICIO 5</t>
  </si>
  <si>
    <t>Salazar Adolfo Isidro  (alcaidia)</t>
  </si>
  <si>
    <t xml:space="preserve">DOP N º 2 Dra. Liliana Linares Morón </t>
  </si>
  <si>
    <t>José Arnaldo Alderete (LIBERTAD)</t>
  </si>
  <si>
    <t>G05183745/23 GAR 6</t>
  </si>
  <si>
    <t>Castilla Daniel Sebastián</t>
  </si>
  <si>
    <t>bº Sanata Ana II mza. 19 casa 14</t>
  </si>
  <si>
    <t>Homicidio agravado por ser cometido en perjuicio de un funcionario de la fuerza policial, por su función cargo o condición, en grado de tentativa</t>
  </si>
  <si>
    <t>Fátima Virgilia Cardozo</t>
  </si>
  <si>
    <t>Dr. Matías Adet Figueroa MP 3410</t>
  </si>
  <si>
    <t>Dr. César Chávez MP 3130</t>
  </si>
  <si>
    <t>31 08 23</t>
  </si>
  <si>
    <t xml:space="preserve">DOP Nº 5 Dra. Carrizo Reyes - Dr. Jerez </t>
  </si>
  <si>
    <t>realizada</t>
  </si>
  <si>
    <t>SE CANCELA AUDIENCIA POR DESESTIMIENTO DE RECURSO DE APELACION PRESENTADO POR EL DR. ORFEO MAGGIO Y SU DEFENDIDA</t>
  </si>
  <si>
    <t xml:space="preserve">DOP Nº 4 Dr. Clark </t>
  </si>
  <si>
    <t>Dr. Ramos Ossorio N 2</t>
  </si>
  <si>
    <t>G01 184453/23 GAR 1</t>
  </si>
  <si>
    <t>Juan Carlos Sacarías</t>
  </si>
  <si>
    <t>Estafa reiteradas y asociacion ilícita en concurso real</t>
  </si>
  <si>
    <t>Missorichi José Ignacio y otros</t>
  </si>
  <si>
    <t>G01 185578/23 GAR 4</t>
  </si>
  <si>
    <t>Cohen Ariel</t>
  </si>
  <si>
    <t>25 de mayo Nº 520</t>
  </si>
  <si>
    <t xml:space="preserve">Lesiones leves por la relación de pareja y desobediencia judicial </t>
  </si>
  <si>
    <t>Hussein Marcela Cristina</t>
  </si>
  <si>
    <t>Dr. Tomás Aranda MP 874 Monzo Facundo 2483</t>
  </si>
  <si>
    <t>Dr. Federico Vanini 4480</t>
  </si>
  <si>
    <t>G01 181937/23 GAR 5</t>
  </si>
  <si>
    <t>Bº Chachapoyas Mza 11 "A" Casa Nº 3</t>
  </si>
  <si>
    <t xml:space="preserve">María Paula Signorelli </t>
  </si>
  <si>
    <t xml:space="preserve">Bº Villa Palacios Block 09 Depto 4 Planta Baja </t>
  </si>
  <si>
    <t>Dr. Rodrigo Barrozo MP 7391 Dra. Oriana Nevora MP 7532</t>
  </si>
  <si>
    <t>Cruz, Leandro Gastón (LIBERTAD)</t>
  </si>
  <si>
    <t>g01 185572/23 GAR 8</t>
  </si>
  <si>
    <t>Gonzalez Vacaflores, Rene</t>
  </si>
  <si>
    <t xml:space="preserve">Abuso sexual gravemente ultrajante por su duración y por las circunstancias de su realización agravado por la guarda y la convivencia </t>
  </si>
  <si>
    <t>Jimena Raquel Reyes en representacion de su hijo menor</t>
  </si>
  <si>
    <t xml:space="preserve">asesoria de incapaces Nº 2 </t>
  </si>
  <si>
    <t>387 4510192</t>
  </si>
  <si>
    <t>Asesoría de Incapaces Nº 5</t>
  </si>
  <si>
    <t>06 09 23</t>
  </si>
  <si>
    <t>G01 185397/23 GAR 4</t>
  </si>
  <si>
    <t>Soruco Armando Pedro</t>
  </si>
  <si>
    <t>Villa Lavalle Mza  38 B Lote 10 a la vuelta de la comisaría</t>
  </si>
  <si>
    <t>Lesiones leves y desobediencia judicial</t>
  </si>
  <si>
    <t xml:space="preserve">Gomez Cinthia Mailen </t>
  </si>
  <si>
    <t>Calle Coronel Moldes Nº 1348 Villa Chartas</t>
  </si>
  <si>
    <t>DOP Nº 5</t>
  </si>
  <si>
    <t>Dr. Juan Diego Herrera MP 3615</t>
  </si>
  <si>
    <t xml:space="preserve">07/09/2023 VUELVE Dr. Ramos Ossorio </t>
  </si>
  <si>
    <t>Lesiones leves agravadas por la relación de pareja y de género</t>
  </si>
  <si>
    <t xml:space="preserve">Almazan Norma Adela </t>
  </si>
  <si>
    <r>
      <t xml:space="preserve">SE SUSPENDE AUDIENCIA POR INCOMPARECENCIA DEL IMPUTADO EN LIBERTAD - </t>
    </r>
    <r>
      <rPr>
        <b/>
        <u/>
        <sz val="10"/>
        <rFont val="Arial"/>
        <family val="2"/>
      </rPr>
      <t xml:space="preserve">Esperando el informe policial </t>
    </r>
  </si>
  <si>
    <t>08 09 23</t>
  </si>
  <si>
    <t xml:space="preserve">08 09 23 </t>
  </si>
  <si>
    <t>G01 183924/23 GAR 7</t>
  </si>
  <si>
    <t xml:space="preserve">Abdala José Gustavo </t>
  </si>
  <si>
    <t>Hurto simple, abigeato y amenazas con arma de fuego</t>
  </si>
  <si>
    <t xml:space="preserve">Biberos Diego y Abdo Alberto Jesús </t>
  </si>
  <si>
    <t>G04 183063/23 GAR 4</t>
  </si>
  <si>
    <t>Abrebanel, Marcos Adrián</t>
  </si>
  <si>
    <t>Abuso sexual con acceso carnal, abuso sexual simple (vontinuado) en concurso real con abuso sexual con acceso carnal</t>
  </si>
  <si>
    <t>Luana Belén Ávalos</t>
  </si>
  <si>
    <t>Agustin Solá Garrido</t>
  </si>
  <si>
    <t xml:space="preserve">Dr. Oscar Alejandro Romani MP 2338 Dr. Guillermo Alberto 4363 </t>
  </si>
  <si>
    <t>G01 185504/23 GAR 5</t>
  </si>
  <si>
    <t xml:space="preserve">Flores Walter Jesús </t>
  </si>
  <si>
    <t xml:space="preserve">Mza. 250 E Lote 3 Bº San Francisco Solano </t>
  </si>
  <si>
    <t>Abuso sexual simple</t>
  </si>
  <si>
    <t xml:space="preserve">Rueda Agustina Florencia(menor ) Denunciante Rueda Gloria del Carmen </t>
  </si>
  <si>
    <t>SE REMITE A FISCALÍA 05/09/2023 Fiscalía de Impugnación Nº 3 Vía telefonica</t>
  </si>
  <si>
    <t>Bº San Francisco Solano Mza 250 E Casa 03</t>
  </si>
  <si>
    <t>20985325 (denunciante)</t>
  </si>
  <si>
    <t>Dr. Emiliano Vazquez MP 6188</t>
  </si>
  <si>
    <t>G01 185014/23 GAR 3</t>
  </si>
  <si>
    <t>Sulca Oscar Román</t>
  </si>
  <si>
    <t>Mza. 434 A Lote 8 Bº Solidaridad</t>
  </si>
  <si>
    <t>Lesiones Leves agravadas por el uso de arma de fuego y abuso de armas, todo en concurso ideal</t>
  </si>
  <si>
    <t>Marta del Valle Córdoba (denunciante)</t>
  </si>
  <si>
    <t>Siglo XXI Mza. 350 B Lote 14</t>
  </si>
  <si>
    <t>Dr. Daniel Alejandro Arnedo  MP 5427</t>
  </si>
  <si>
    <t>Gonzáles José Luis María (LIBERTAD)</t>
  </si>
  <si>
    <t>SE REMITE A FISCALÍA 05/09/2023 Dra. Salinas Odorisio Nº 1 08/09/2023/ SE REMITE A MESA PUPILAR 11/09</t>
  </si>
  <si>
    <t>Dr. Ramos Ossorio Nº 2 Vía telefónica</t>
  </si>
  <si>
    <t>Dra. Salinas Odorisio Nº 1 Vía Telefónica</t>
  </si>
  <si>
    <t>11 09 23</t>
  </si>
  <si>
    <t>Dra. Salinas Odorisio N 1 12/09/2023 se remite a mesa pupilar</t>
  </si>
  <si>
    <t>No hacer lugar al recurso de apelación presentado por la defensa.</t>
  </si>
  <si>
    <t>12 09 23</t>
  </si>
  <si>
    <t>G02 43395/23 GAR 1 METÁN</t>
  </si>
  <si>
    <t>Escobar José Alberto</t>
  </si>
  <si>
    <t>Bº Ramón Abdala Mza. 27 Lote 20, calle Tartagal de la ciudad de Rosario de la Fromtera</t>
  </si>
  <si>
    <t>Robo agravado, robo simple todo en concurso real</t>
  </si>
  <si>
    <t>Bonifacio Martínez y Yovana Beatriz Huerga</t>
  </si>
  <si>
    <t>Dr. Aníbal A. Paz MP 6652</t>
  </si>
  <si>
    <t>Asesoría de Incapaces 9</t>
  </si>
  <si>
    <t>G01 185683/23  GAR 6</t>
  </si>
  <si>
    <t>Martínez : 37.777.488 Farfán: 36.280.432</t>
  </si>
  <si>
    <t>Extorsión</t>
  </si>
  <si>
    <t>Ramón José Anuch</t>
  </si>
  <si>
    <t>Martínez : 12 de cotubre 2327 Farfán :12 de octubre 2327</t>
  </si>
  <si>
    <t>mesa distribuidora laboral</t>
  </si>
  <si>
    <t>DOP Nº 9</t>
  </si>
  <si>
    <r>
      <t xml:space="preserve">Martínez Romina Belén y Fernanda Melina Farfán </t>
    </r>
    <r>
      <rPr>
        <b/>
        <sz val="10"/>
        <rFont val="Arial"/>
        <family val="2"/>
      </rPr>
      <t>(alcaidía)</t>
    </r>
  </si>
  <si>
    <t>G01 44365/23 GAR 2 METÁN</t>
  </si>
  <si>
    <t>Romano José Luis</t>
  </si>
  <si>
    <t>Peatonal E Casa 52 Bº Marco Avellaneda</t>
  </si>
  <si>
    <t>Bernis Hugo Marcelo</t>
  </si>
  <si>
    <t>Jujuy Oeste Nº 485 (3876416153)</t>
  </si>
  <si>
    <t>DOP Nº 2 Metán Dr. Edgardo José Martínez</t>
  </si>
  <si>
    <r>
      <t xml:space="preserve">Dra. Holmquist 3 12/09/2023 </t>
    </r>
    <r>
      <rPr>
        <b/>
        <sz val="10"/>
        <rFont val="Arial"/>
        <family val="2"/>
      </rPr>
      <t xml:space="preserve">SE REMITE A MESA PUPILAR - 19/09 HABLE CON LA DRA MACÍAS DE ASESORÍA Nº 2 09:06 PARA AGILIZAR TRÁMITE </t>
    </r>
  </si>
  <si>
    <t>20 09 23</t>
  </si>
  <si>
    <t>J02 161887/23 JUICIO 7</t>
  </si>
  <si>
    <t>Morales Alejandro Alberto Exequiel</t>
  </si>
  <si>
    <t>Mendonza 3330 Barrio San Silvestre</t>
  </si>
  <si>
    <t>Abuso sexual gravemente ultrajante agravado por la situación de convivencia preexistente con menor de 18 años</t>
  </si>
  <si>
    <t>Denunciante Morales María José (victima Leila Esmeralda Vargas)</t>
  </si>
  <si>
    <t>Dr. Carlos Adrián Atea MP 3652</t>
  </si>
  <si>
    <t>Dr. Fidel Ahuerma MP 6358</t>
  </si>
  <si>
    <t xml:space="preserve">No hacer lugar al recurso de apelación </t>
  </si>
  <si>
    <t>21 09 23</t>
  </si>
  <si>
    <t>Resultados según GÉNERO</t>
  </si>
  <si>
    <t>Cantidad</t>
  </si>
  <si>
    <t>Resultado</t>
  </si>
  <si>
    <t>TOTAL</t>
  </si>
  <si>
    <t>Resultados según ESPECIE</t>
  </si>
  <si>
    <t>OBSERVACIONES</t>
  </si>
  <si>
    <t xml:space="preserve">Se suspende audiencia del 06/09 por incomparecencia del imputado </t>
  </si>
  <si>
    <t xml:space="preserve">Hacer lugar al desestimiento del recurso fiscal </t>
  </si>
  <si>
    <t>G01 11957/23 GAR CAFAYATE</t>
  </si>
  <si>
    <t>Retamozo: 37.189.691 López: 42.554.083</t>
  </si>
  <si>
    <t>Francisco Antonio Retamozo y  Santiago Andrés López (detenidos en cria. 1 de la UR 6 cafayate)</t>
  </si>
  <si>
    <t>Robo</t>
  </si>
  <si>
    <t xml:space="preserve">Rodrigo S. Vazquez Defensor Oficial de Cafayate </t>
  </si>
  <si>
    <t xml:space="preserve">Ostengo Raúl Horacio </t>
  </si>
  <si>
    <t>No hacer lugar lugar al recurso de apelación - confirma prisión preventiva</t>
  </si>
  <si>
    <t>Rechaza Recurso de Apelación Fiscal - Confirma Libertad</t>
  </si>
  <si>
    <t>No hacer lugar al Recurso de Apelación  - Confirma Preventiva</t>
  </si>
  <si>
    <t>No hacer lugar al Recurso de Apelación - Confirma Preventiva</t>
  </si>
  <si>
    <t>No hacer lugar al recurso de apelación - confirma prisión preventiva</t>
  </si>
  <si>
    <t>No hacer lugar al Recurso de Apelación - confirma preventiva</t>
  </si>
  <si>
    <t>Hacer lugar lugar al recurso de apelación - libertad</t>
  </si>
  <si>
    <t>Hacer lugar al recurso de apelación -  libertad</t>
  </si>
  <si>
    <t>Hacer lugar al recurso de apelación - ordenar el arresto domiciliario</t>
  </si>
  <si>
    <t>Hacer lugar al Recurso de Apelación - libertad</t>
  </si>
  <si>
    <t>Hacer lugar al recurso de apelacion -  libertad</t>
  </si>
  <si>
    <t>No hacer lugar al recurso de apelación - confirmar preventiva</t>
  </si>
  <si>
    <t>No hacer lugar al recurso de apelación- confirmar preventiva</t>
  </si>
  <si>
    <t>No hacer lugar al recurso de apelación- confirma prisión preventiva</t>
  </si>
  <si>
    <t>No hacer lugar al recurso de apelación - confirma preventiva</t>
  </si>
  <si>
    <t>No hacer lugar al Recurso de Apelación -  Confirma Preventiva</t>
  </si>
  <si>
    <t xml:space="preserve"> Hacer lugar al recurso de apelacion - ordenar el arresto domiciliario </t>
  </si>
  <si>
    <t>Se suspende audiencia por haberse fijado audiencia de visu en el exp pricipal para el día 04 08 23</t>
  </si>
  <si>
    <t>Recurso abstracto</t>
  </si>
  <si>
    <t>Audiencia del 25/08 suspendida por presentar el imputado nuevo defesnor</t>
  </si>
  <si>
    <t>Desestimiento de recurso de la defensa</t>
  </si>
  <si>
    <t>Hacer lugar parcialmente al recurso de apelación - dispone el arresto domiciliario</t>
  </si>
  <si>
    <t>Hacer lugar al recurso de apelación fiscal - ordena la prisión preventiva</t>
  </si>
  <si>
    <t xml:space="preserve">Hacer lugar al recurso de apelación -  disponer arresto domiciliario </t>
  </si>
  <si>
    <t xml:space="preserve">Hacer lugar al recurso de apelación - disponer el arresto domiciliario </t>
  </si>
  <si>
    <t>No hacer lugar al Recurso de Apelación Fiscal - Mantener el arresto domiciliario</t>
  </si>
  <si>
    <t>Se suspende la audiencia por ser abstracto el recurso al haberse planteado un abreviado en primera instancia</t>
  </si>
  <si>
    <t>No hacer lugar al recurso de apelacion- confirma  preventiva</t>
  </si>
  <si>
    <t xml:space="preserve"> hacer lugar parcialmente al recurso de apelacion fiscal - confirma el arresto domiciliario </t>
  </si>
  <si>
    <t>No hacer lugar al recurso de apelación- confirma preventiva</t>
  </si>
  <si>
    <t xml:space="preserve">Audiencia 17/08 suspendida por presentación de nuevo defensor </t>
  </si>
  <si>
    <t>pendiente</t>
  </si>
  <si>
    <t xml:space="preserve">Hacer lugar parcialmente al recurso de apelacion , mantener la prision preventiva por 30 días </t>
  </si>
  <si>
    <t xml:space="preserve">Dr. Ramón Miranda </t>
  </si>
  <si>
    <t>Hacer lugar parcialmente al recurso de apelación - mantener prisión preventiva por 30 días</t>
  </si>
  <si>
    <t>Audiencia 27/07 suspendida por imposibilidad de comparecencia de la DOP reemplazante de la Dra. Carrizo - Audiencia reprogramada para el mismo día 12:30</t>
  </si>
  <si>
    <t xml:space="preserve"> Hacer lugar al recurso de apelación - libertad</t>
  </si>
  <si>
    <t>Se suspende audiencia 03 /08 con escrito del Dr. Maggio</t>
  </si>
  <si>
    <t>Hacer  lugar parcialmente al recurso de apelación- ordena el arresto domiciliario</t>
  </si>
  <si>
    <t>No hacer lugar al recurso de apelacion - confirma prisión preventiva</t>
  </si>
  <si>
    <t xml:space="preserve">No hacer lugar al recurso de apelacion - confirma prision preventiva </t>
  </si>
  <si>
    <t xml:space="preserve">Recurso inadmisible </t>
  </si>
  <si>
    <t xml:space="preserve">No hacer lugar al recurso de apelación - confirma preventiva </t>
  </si>
  <si>
    <t>No hacer lugar al recurso de apelación- confirma la prisión preventiva</t>
  </si>
  <si>
    <t>G03 185529/23 GAR 5</t>
  </si>
  <si>
    <t xml:space="preserve">Tenencia de estupefacientes con fines de comercialización </t>
  </si>
  <si>
    <t>Dr. Romás Burgos MP 6963 y Dr. Josue Díaz Cueto MP 5832</t>
  </si>
  <si>
    <t>Dr. Ramos ossorio Nº 2</t>
  </si>
  <si>
    <t>G01 184521/23 GAR 1</t>
  </si>
  <si>
    <t>Julio César Gutierrez</t>
  </si>
  <si>
    <t>Estafas reiteradas (8 hechos) y falsificación de instrumento público (2 hechos)</t>
  </si>
  <si>
    <t xml:space="preserve">Romina Gabriela Portela , Francisca Narz, Lucrecia Paola Mamaní, María Eugenia Dimarco, María Rosa del Pilar Polo, Juan Ignacio Mastrandea, Edgardo Martín Castillo, Sergio Hilario López, </t>
  </si>
  <si>
    <t>Dra. Luciana Andolfi MP 5714</t>
  </si>
  <si>
    <t>JUI 179055/23 JUICIO 1</t>
  </si>
  <si>
    <t>Córdoba, Marcelo Omar (arresto domiciliario)</t>
  </si>
  <si>
    <t>Anzoategui Nº 245 Depto. 3 F</t>
  </si>
  <si>
    <t xml:space="preserve">Abuso sexual con acceso carnal, amenzas y desobediencia judicial, en concurso real y abuso sexual simple </t>
  </si>
  <si>
    <t>Santillán Liliana Beatriz y Caludia Roxana</t>
  </si>
  <si>
    <t>Santillán: 24.072.726</t>
  </si>
  <si>
    <t>Dr. Pablo del Pino MP 4443</t>
  </si>
  <si>
    <t>Dra. Sandra Domene MP 5308</t>
  </si>
  <si>
    <t>Hacer lugar al recurso de apelación - libertad</t>
  </si>
  <si>
    <t>22 09 23</t>
  </si>
  <si>
    <t>G01 185318/23 GAR 4</t>
  </si>
  <si>
    <t>Carlos del Castillo Nº 610 Bº El Rosedal</t>
  </si>
  <si>
    <t xml:space="preserve">Lesiones agravadas </t>
  </si>
  <si>
    <t>Choqueticla Villca Norka</t>
  </si>
  <si>
    <t>Dr. Guillermo Ismael Ale MP 6690</t>
  </si>
  <si>
    <t>Calle Carlos del Castillo Nº 610 Bº El Rosedal (38755846009</t>
  </si>
  <si>
    <t>Edwin Lenis Calani (ALCAIDÍA)</t>
  </si>
  <si>
    <t>G03 183924/23 GAR 7</t>
  </si>
  <si>
    <t xml:space="preserve">Bº 15 de septiembre manzana U, casa Nº 02 </t>
  </si>
  <si>
    <t>Abigeato y amenazas con arma de fuego</t>
  </si>
  <si>
    <t>Dra. Patricia Roxana Guaimas MP 2498</t>
  </si>
  <si>
    <t>Coraite Javier (alcaidia)</t>
  </si>
  <si>
    <t xml:space="preserve">Dr. Belbruno </t>
  </si>
  <si>
    <t>ASESORÍA Nº 3 DRA. Cardon</t>
  </si>
  <si>
    <t>G01 185866/23 GAR 7</t>
  </si>
  <si>
    <t>Dario Facundo Sandoval (LIBERTAD)</t>
  </si>
  <si>
    <t xml:space="preserve">Lesiones leves agravadas por la relación de pareja preexistente y de géneto (dos hechos); amenazas con arma y amenazas </t>
  </si>
  <si>
    <t>Toledo Figueroa Irene Judith</t>
  </si>
  <si>
    <t>Bº Limache etapa 6 mza 4 casa 19</t>
  </si>
  <si>
    <t>Bº Limache Etapa 6 mza 4 Casa 19 (3874580191)</t>
  </si>
  <si>
    <t>Dr. Luis César Fernández MP 4087</t>
  </si>
  <si>
    <t xml:space="preserve"> _</t>
  </si>
  <si>
    <t>CAUSA CON PRESO (SI/NO)</t>
  </si>
  <si>
    <t>ESTADISTICA - ESPECIE</t>
  </si>
  <si>
    <t>ESTADISTICA GENERO</t>
  </si>
  <si>
    <t>genero 1</t>
  </si>
  <si>
    <t>especie 1</t>
  </si>
  <si>
    <t>Se resuelve por escrito</t>
  </si>
  <si>
    <t>Se suspende audiencia del día 21/09 por pedido de la asesora de incapaces/ Se suspende audiencia del 28/09 por imposibilidad de comparecer del abogado defensor</t>
  </si>
  <si>
    <t xml:space="preserve">Stengurt Federico Andrés </t>
  </si>
  <si>
    <t xml:space="preserve">Stengurt: 39.361.835 </t>
  </si>
  <si>
    <t>SI</t>
  </si>
  <si>
    <t>Defensoría de Violencia Nº 2</t>
  </si>
  <si>
    <t>G04 182052/23 GAR 5</t>
  </si>
  <si>
    <t xml:space="preserve">Declarar abstacto el recurso de apelación </t>
  </si>
  <si>
    <t xml:space="preserve">Robo calificado por ser cometido en poblado y en banda y tentativa de robo en poblado y en banda </t>
  </si>
  <si>
    <t>1 Jorge Alfredo Llaya Candioti 2  Ana Inés María Segón de Lahitte 3 Raquel Barrionuevo Merlani 4 Natalia Barón</t>
  </si>
  <si>
    <t xml:space="preserve"> 1 Llaya: Bº Tipal Calle Tacuin Nº 81 2Segón : Bº Tipal Calle Pioneros 358 3 Barrionuevo : Bº El Tipal Calle Los ceibalitos Nº 276 4 Barón: Bº El Tipal Calle La viña Nº 179</t>
  </si>
  <si>
    <t>Dr. Ignacio Ruben Felitti MP 5555</t>
  </si>
  <si>
    <t>NO</t>
  </si>
  <si>
    <t xml:space="preserve">bº Palmares La isla Segunda Etapa Mza. 7 Casa 51 Cerrillos </t>
  </si>
  <si>
    <t>G04 183924/23 GAR 7</t>
  </si>
  <si>
    <t>Billalba Juan Carlos (alcaidía)</t>
  </si>
  <si>
    <t>Dr. Orfeo Maggio MP 2265</t>
  </si>
  <si>
    <r>
      <t xml:space="preserve">Pide reporgramación de audiencia  22/09  la sra. Asesora de incapaces / Se suspende audiencia por incomparecencia del Abogado defensor / </t>
    </r>
    <r>
      <rPr>
        <b/>
        <sz val="10"/>
        <rFont val="Arial"/>
        <family val="2"/>
      </rPr>
      <t>Se resuelve por escrito</t>
    </r>
  </si>
  <si>
    <t>G01 185868/23 GAR 6</t>
  </si>
  <si>
    <t>Albornoz José María (ALCAIDÍA)</t>
  </si>
  <si>
    <t>Bº San Isidro Mza. C Casa 12 Cerrillos</t>
  </si>
  <si>
    <t>Rios Mirta Lidia (denunciante)</t>
  </si>
  <si>
    <t>Mza E Lote 07 Bº MM  de Güemes (3875923392)</t>
  </si>
  <si>
    <t>Asesoria 10 Dra. Salatín</t>
  </si>
  <si>
    <t>No hacer lugar al Rec. planteado por Fiscalía - Mantener Libertad</t>
  </si>
  <si>
    <t>Recursos Denegados</t>
  </si>
  <si>
    <t>Hacer lugar al Rec. planteado por Fiscalía - Preso</t>
  </si>
  <si>
    <t>Recursos donde se hizo lugar</t>
  </si>
  <si>
    <t>No hacer lugar al Rec. planteado por la Defensa - Mantener Preso</t>
  </si>
  <si>
    <t>Hacer lugar al Rec. planteado por la Defensa - Libertad</t>
  </si>
  <si>
    <t>No hacer lugar al Rec. planteado por la Asesoría - Mantener Libertad.</t>
  </si>
  <si>
    <t>Hacer lugar al Rec. planteado por la Asesoría  - Preso</t>
  </si>
  <si>
    <t>No hacer lugar al Rec. planteado por la Querella - Mantener la Libertad</t>
  </si>
  <si>
    <t>Hacer lugar al Rec. planteado por la Querella - Preso</t>
  </si>
  <si>
    <t>Hacer lugar parcialmente al Rec. planteado por Fiscalía</t>
  </si>
  <si>
    <t>Hacer lugar parcialmente al Rec. planteado por la Defensa</t>
  </si>
  <si>
    <t>Hacer lugar parcialmente al Rec. planteado por la Asesoría</t>
  </si>
  <si>
    <t>Hacer lugar parcialmente al Rec. planteado por la Querella</t>
  </si>
  <si>
    <t>Se rechaza Rec. planteado por Fiscalía - Mantener la Libertad</t>
  </si>
  <si>
    <t>Recursos rechazados</t>
  </si>
  <si>
    <t>Se rechaza Rec. planteado por la Defensa - Mantener Preso</t>
  </si>
  <si>
    <t>Se rechaza Rec. planteado por la Asesoría - Mantener la Libertad</t>
  </si>
  <si>
    <t>Se rechaza Rec. planteado por la Querella - Mantener la Libertad</t>
  </si>
  <si>
    <t>Desestimiento del Rec. planteado por la Fiscalía</t>
  </si>
  <si>
    <t>Desestimientos de Recursos</t>
  </si>
  <si>
    <t>Desestimiento del Rec. planteado por la Defensa</t>
  </si>
  <si>
    <t>Desestimiento del Rec. planteado por la Asesoría</t>
  </si>
  <si>
    <t>Desestimiento del Rec. planteado por la Querella</t>
  </si>
  <si>
    <t>Recurso Inadmisible</t>
  </si>
  <si>
    <t>Recursos Inadmisibles</t>
  </si>
  <si>
    <t>Audiencia de Visu</t>
  </si>
  <si>
    <t>Audiencias de Visu</t>
  </si>
  <si>
    <t>Recurso Abstracto</t>
  </si>
  <si>
    <t>Recursos Abstractos</t>
  </si>
  <si>
    <t>Otros  Especificar en Observaciones</t>
  </si>
  <si>
    <t xml:space="preserve">Otros </t>
  </si>
  <si>
    <t>Sustituír prisión prevetiva por arresto domiciliario</t>
  </si>
  <si>
    <t xml:space="preserve">Con medidas sustitutivas </t>
  </si>
  <si>
    <t xml:space="preserve">Audiencia fijada para el 19/07, reprogramada por incomparecencia de la defensa / Mantiene la prisión preventiva </t>
  </si>
  <si>
    <t>Con fecha tope de subsistencia de prisión preventiva por 50 días</t>
  </si>
  <si>
    <t xml:space="preserve">Declara abstacto el recurso planteado por la Fiscalía - Mantiene prisión preventiva </t>
  </si>
  <si>
    <t xml:space="preserve">Revoca prisión preventiva con medidas sustitutivas </t>
  </si>
  <si>
    <r>
      <t xml:space="preserve">  - </t>
    </r>
    <r>
      <rPr>
        <b/>
        <sz val="10"/>
        <rFont val="Arial"/>
        <family val="2"/>
      </rPr>
      <t>NO HACER LUGAR A LA APELACION FISCAL, CONFIRMA LA LIBERTAD</t>
    </r>
  </si>
  <si>
    <t>Fija plazo de 70 días para la duración de la medida de coerción recurrida</t>
  </si>
  <si>
    <t>Se inhibe Dr. Martini pasa a voto del Vocal Nº 3 / se suspende audiencia del 21/09 por pedido del asesor de incapacez / Se exorta alñ misnisterio publico fiscal para que adopte los recaudos necesarios para mayor agilidad y tramitación de la causa</t>
  </si>
  <si>
    <t>Sobreseimiento con medida de seguridad de carácter definitivo</t>
  </si>
  <si>
    <t>G01 184234/23 SALA 2</t>
  </si>
  <si>
    <t>Se dispone un plazo de 60 días para el mantenimiento de la prisión preventiva</t>
  </si>
  <si>
    <t>Con arresto domiciliario y medidas sustitutivas</t>
  </si>
  <si>
    <t>Audiencia 11/08 suspendida por lic extraordinaria por fallecimiento de familiar del Vocal / No se hace lugar a recursos de Fiscalía y Querella</t>
  </si>
  <si>
    <t>Confirma prisión preventiva</t>
  </si>
  <si>
    <t>Confirmar el plazo de prisión preventiva de 30 días corridos, recomendar mientras tanto que el Ministeri Público cumpla con los actos procesales pendientes</t>
  </si>
  <si>
    <t>Hacer lugar al Rec. planteado por la Defensa</t>
  </si>
  <si>
    <t>Confirmar el auto de fs. 46/47 y vta.</t>
  </si>
  <si>
    <t>Confirmar la prisión preventiva, recomendar al Juzgado de Garantías la revisión de la prisión preventiva en un plazo de 30 días.</t>
  </si>
  <si>
    <t>Confirmar la prisión preventiva</t>
  </si>
  <si>
    <t>Retifica la denegatoria de arresto domiciliario confirmando resolución</t>
  </si>
  <si>
    <t>Ordenar el monto de caucion real a lo que se añade el arresto domiciliario, dejar subsistente las medidas sustitutivas. No hacer lugar al recurso de la querella</t>
  </si>
  <si>
    <t>Recomienda a los operadores intervinientes avance la causa frente a su menor complejidad. Encomendar al Juz. de Gar. La revisación médica del imputado</t>
  </si>
  <si>
    <t>Revocar auto resolutivo de fecha 07/08/23 y disponer la prisión preventiva</t>
  </si>
  <si>
    <t>Hacer lugar al recurso de apelación planteado por la defensa</t>
  </si>
  <si>
    <t xml:space="preserve">Sustituír la prisión preventiva y disponer el arresto domiciliario. </t>
  </si>
  <si>
    <t>Exortar a los operadores judiciales que otorguen la mayor celeridad posible para el avance a instancias definitiva</t>
  </si>
  <si>
    <t>Confirmar la Resolución dictado por el Juz. de Gar. 3. Rechazar la restituciión de objetos secuestrados</t>
  </si>
  <si>
    <t>Confirmar la resolucón del Juzg. De Gar. 3.</t>
  </si>
  <si>
    <t>Declarar la nulidad de acta de fecha 19/05/23. Mantener la libertad del imputado Tabarcache bajo consigna policial. Mantener vigentes las condiciones impuestas</t>
  </si>
  <si>
    <t>No hacer lugar al Rec. Planteado por la Fiscalía - Mantener arresto dom</t>
  </si>
  <si>
    <t>Recursos denegados - Mantiene arresto domiciliario</t>
  </si>
  <si>
    <t>Preso con UADME. Confirmar la medida sustitutiva de arresto domiciliario</t>
  </si>
  <si>
    <t>Confirmar prisión preventiva</t>
  </si>
  <si>
    <t>Confirma la prisión preventiva. Fija un plazo de 5 meses desde la fecha de la medida cautelar</t>
  </si>
  <si>
    <t>Confirma Resolución dej Juz. de Gar. 56 y mantener la prisión preventiva</t>
  </si>
  <si>
    <t>Suspendida el 28/07 con ecsrito del Dr. Maggio / Suspendida el 01/08 con escrito del Dr. Maggio - Se suspende audiencia por imposibilidad de comparecer del Sr. Fiscal / Confirmar la prisión preventiva, recomendar al Juez interviniente requerir informe del Servicio Médico previo a resolver lo instado</t>
  </si>
  <si>
    <t>Con UADME . Modificar la medida de consigna policial dispuesta en el punto 3 de la resolución puesta en crisis.</t>
  </si>
  <si>
    <t>Disponer el término de 3 meses para que se revalúe la situación cautelar del imptado</t>
  </si>
  <si>
    <t>Mantener la prisión preventiva por 30 días. Recomendar al Juz. de Gar. Que durante ese tiempo se evalúa la posibilidad de implementación de UADME.</t>
  </si>
  <si>
    <t>Continúe alojado en servicio penitenciario Alcaidía General. Recomendar que sea trasladado en el menor tiempo posible a la UC1</t>
  </si>
  <si>
    <t>Confirmar la Resolución , líbrese oficio para extremar recaudos de proveer medicación y asistencia médica</t>
  </si>
  <si>
    <t xml:space="preserve">Arresto domiciliario con UADME </t>
  </si>
  <si>
    <t>Volvio a ingresar otro incidente luego de audiencia y se declaro abstarcto el nuevo recurso - Disponer que continue la prisión preventiva por 30 días a contar desde la audiencia para que el Ministerio Publico priorice las medidas pendientes</t>
  </si>
  <si>
    <t>Confirmar la resolución de fs. 61/84</t>
  </si>
  <si>
    <t>No ha lugar al arresto domiciliario.</t>
  </si>
  <si>
    <t>Imponer Medidas Sustitutivas.</t>
  </si>
  <si>
    <t xml:space="preserve">Dsiponer arresto domiciliario, prohibición de mantener contacto con la víctima. Ordena tratamiento psicologico. </t>
  </si>
  <si>
    <t>Audiencia Suspendida</t>
  </si>
  <si>
    <t>Audiencias Suspendidas</t>
  </si>
  <si>
    <t>Establece domicilio. Prohibición de acercarse bajo apercibimiento de revocar libertad dispuesta.</t>
  </si>
  <si>
    <t>La defensa podrá peticionar al juez de grado una vez corroboradas las cauciones ofrecidas.</t>
  </si>
  <si>
    <t>Se suspende audiencia 04/08 por pedido de la asesora de incapaces. Se concede arresto domicilario con debido control policial diario. Efectivizar la sustitución por Juzgado de origen.</t>
  </si>
  <si>
    <t>No hacer lugar al pedido de Medidas Sustitutivas y Domiciliario. Inadmisible.</t>
  </si>
  <si>
    <t>j06 170681/23 juicio 4</t>
  </si>
  <si>
    <t>Confirmar la resolución del Tribunal de Juicio Sala IV. Recomendar la realización de interconsulta en Hospital San Bernardo</t>
  </si>
  <si>
    <t xml:space="preserve">Confirmar la resolución del Tribunal de Juicio Sala IV. </t>
  </si>
  <si>
    <t xml:space="preserve">Rechaza el planteo de Inconstitucionalidad. </t>
  </si>
  <si>
    <t>No hacer lugar al recurso de apelación.</t>
  </si>
  <si>
    <t>Chiappero Jorge Daniel</t>
  </si>
  <si>
    <t>FECHA DE AUDIENCIA</t>
  </si>
  <si>
    <t>G01 186059/23 GAR 7</t>
  </si>
  <si>
    <t>Balmaceda Yanina Antonella Zulema</t>
  </si>
  <si>
    <t>Amenazas</t>
  </si>
  <si>
    <t>María de Los Ángeles Manuel</t>
  </si>
  <si>
    <t>Bº Centro Calle Alem Nº 570 (3874689870)</t>
  </si>
  <si>
    <t>Dr. Santiago Pedroza MP 2318</t>
  </si>
  <si>
    <t>Bº 22 Viviendas Mz. F Casa 8 Gral. Güemes (3886630039)</t>
  </si>
  <si>
    <t>No hacer lugar al recurso de apelación . Confrima preventiva</t>
  </si>
  <si>
    <t>G01 179515/23 GAR 4</t>
  </si>
  <si>
    <t>Ricardo René González (arresto domiciliario UADME)</t>
  </si>
  <si>
    <t>Juan Quesada Nº 112 de Bº Ciudad del Milagro</t>
  </si>
  <si>
    <t xml:space="preserve">Abuso sexual con acceso carnal agravado por el vínculo, guarda y convivencia </t>
  </si>
  <si>
    <t>Dr. Francisco Herrera MP 906</t>
  </si>
  <si>
    <t>J02 167380/23 JUICIO 4</t>
  </si>
  <si>
    <t>Víctor José Díaz (alcaidía)</t>
  </si>
  <si>
    <t>Bº 17 de Mayo, Mza. 914 c, Casa 2</t>
  </si>
  <si>
    <t>Abuso sexual gravemente ultrajante por las circunstancias de reaclización</t>
  </si>
  <si>
    <t>Mamaní Cristina Elizabeth</t>
  </si>
  <si>
    <t>Dr. Rodrigo Daniel Palazzo MP 3477</t>
  </si>
  <si>
    <t>G01 185872/23 GAR 7</t>
  </si>
  <si>
    <t>Emanuel Alejandro Mamaní y Rodrigo Fabián Flores</t>
  </si>
  <si>
    <t>Mamaní : 35.783.262 Flores: 35.783.262</t>
  </si>
  <si>
    <t xml:space="preserve">Robo calificado por el uso de arma </t>
  </si>
  <si>
    <t>Torres Leo Fernando Javier</t>
  </si>
  <si>
    <t>Bº Santa Victoria Calle San Luis Nº 2268 (3872244645)</t>
  </si>
  <si>
    <t>Dr. Roberto Reyes MP 641</t>
  </si>
  <si>
    <t>G02 178356/23 GAR 7</t>
  </si>
  <si>
    <t>Campero Olarte Omar (alcaidía)</t>
  </si>
  <si>
    <t>Pje. Ruiz de Los Llanos Nº 1219 1º Piso</t>
  </si>
  <si>
    <t>Abuso sexual simple y abuso sexual con acceso carnal</t>
  </si>
  <si>
    <t>Marmol Silvia Susana</t>
  </si>
  <si>
    <t>Necochea 2171</t>
  </si>
  <si>
    <t>Cinthia Vanesa Elias MP 3141</t>
  </si>
  <si>
    <t>Def. De violencia Nº 1 Dra. Chirife</t>
  </si>
  <si>
    <t>Declarar abstacto el recurso de apelación  Fiscal</t>
  </si>
  <si>
    <t>J02 161478/23 JUICIO 7</t>
  </si>
  <si>
    <t xml:space="preserve">Arresto domiciliario con uadme BORRADOR </t>
  </si>
  <si>
    <t xml:space="preserve">Recurso abstracto </t>
  </si>
  <si>
    <t>14,551,050</t>
  </si>
  <si>
    <t>Sárate Walter Hugo (alcaidia)</t>
  </si>
  <si>
    <t xml:space="preserve">Tito ambas : Av. Perón Mza. 01, lote 01 Bº Santa Ana I </t>
  </si>
  <si>
    <t>Milagros Antonella Burgos, Denise Ailén Burgos, Marta Estella Tito, Maricel Ester Tito</t>
  </si>
  <si>
    <t>DR. Ortín MP 4457</t>
  </si>
  <si>
    <t>Dra. Nadal MP 6425 Y Dr. Romero 5432</t>
  </si>
  <si>
    <t>JUI 11852/23 JUICIO 1</t>
  </si>
  <si>
    <t xml:space="preserve">Carlos Daniel Cutipa </t>
  </si>
  <si>
    <t>Calle Gral. Paz Casa Nº 19</t>
  </si>
  <si>
    <t>Rios Godoy Huilen Del Rosario</t>
  </si>
  <si>
    <t xml:space="preserve">Bº Los Módulos Nº 121 A </t>
  </si>
  <si>
    <t>G01 44474/23 GAR 1 METÁN</t>
  </si>
  <si>
    <t xml:space="preserve">Díaz Fernando Marcelo </t>
  </si>
  <si>
    <t xml:space="preserve">Alvarado Casa 102 - Bº Santa Ana de Rosario de la Frontera </t>
  </si>
  <si>
    <t>Amenazas, daños y perjuicios</t>
  </si>
  <si>
    <t>Guzamán Pablo Adolfo</t>
  </si>
  <si>
    <t>Bº Ex Prviipo Mza. 88 Casa 24 (3876444839)</t>
  </si>
  <si>
    <t>DOP Nº 1 Metán Dr. Colque</t>
  </si>
  <si>
    <t>J02 177011/22 JUICIO SALA 2</t>
  </si>
  <si>
    <t>Anibal Aygusto Zambrano</t>
  </si>
  <si>
    <t>Mza 910 lote 4 del Bº 17 de mayo</t>
  </si>
  <si>
    <t>Dr. Agustín Solá Garrido MP 3136</t>
  </si>
  <si>
    <t>G02 183884/23 GAR 6</t>
  </si>
  <si>
    <t xml:space="preserve">Se suspende audiencia del 06/10 por pedido del abogado defensor / Se mantiene el arresto domiciliario </t>
  </si>
  <si>
    <t>Castillo Santiago Rubén (alcaidía)</t>
  </si>
  <si>
    <t>Abuso sexual con acceso carnal y corrupción de menores</t>
  </si>
  <si>
    <t>Pizarro Bonilla María Alicia (denunciante) victima Mamaní María de los Ángeles (vítima menor)</t>
  </si>
  <si>
    <t>Pizarro: 31.545.770 Mamaní: 50.475.415</t>
  </si>
  <si>
    <t>Saavedra 1450 (3872115262)</t>
  </si>
  <si>
    <t>Dr. Marcelo Pío Castellani MP 1765)</t>
  </si>
  <si>
    <t xml:space="preserve">Asesoría Nº 10 Dra. Salatín </t>
  </si>
  <si>
    <t>Dr. Ramiro Ramos Ossorio Nº 2</t>
  </si>
  <si>
    <t>G05 183924/23 GAR 7</t>
  </si>
  <si>
    <t>Medina Luis Simón(alcaidía)</t>
  </si>
  <si>
    <t xml:space="preserve">Hacer lugar parcialmente al Recurso de Apelación - Ordenar el arresto domicliario </t>
  </si>
  <si>
    <t xml:space="preserve">El Juzgado de origen debe efectivizar el arresto domiciliario, supeditado con factibilidad UADME </t>
  </si>
  <si>
    <t>Dr. Victor Esteban Alarcón MP 3844</t>
  </si>
  <si>
    <t>G04 181232/23 GAR 2</t>
  </si>
  <si>
    <t xml:space="preserve">Noelia Maribel Milagros </t>
  </si>
  <si>
    <t>Estafas reiteradas en concurso real</t>
  </si>
  <si>
    <t>G02 184466/23 GAR 1</t>
  </si>
  <si>
    <t xml:space="preserve">Dávalos Rosa Angélica </t>
  </si>
  <si>
    <t>Juan Ambroseti Nº 1745</t>
  </si>
  <si>
    <t>Hernán Facundo Paz MP 6324 Gustavo Ruiz Piazza MP 5754</t>
  </si>
  <si>
    <t>Hacer lugar al recurso de apelación</t>
  </si>
  <si>
    <t>Disponer el arresto domiciliario bajo modalidad UADME</t>
  </si>
  <si>
    <t>No hacer lugar al recurso - Confirmar prisión Preventiva</t>
  </si>
  <si>
    <t>Mantener la prisión preventiva por 30 días, cumplido ese lapso sustituír por prisión domiiciliaria</t>
  </si>
  <si>
    <t>Hacer lugar parcialmente al recurso de apelación</t>
  </si>
  <si>
    <t>Tener por desistido el recurso de apelación interpuesto por la defensa</t>
  </si>
  <si>
    <t>Arresto domiciliario</t>
  </si>
  <si>
    <t>J04 165008/23 JUICIO 5</t>
  </si>
  <si>
    <t>Pje. Fernando Solá Nº 2982 Vº Primavera</t>
  </si>
  <si>
    <t>menor</t>
  </si>
  <si>
    <t>G01 186499/23 GAR 1</t>
  </si>
  <si>
    <t>Gerardo Nicolás Luna</t>
  </si>
  <si>
    <t>Intimidación Pública, atentado a la autoridad agravado, portación de armas y amenazas</t>
  </si>
  <si>
    <t>Bº La Paz Mza 423 B Lote 27</t>
  </si>
  <si>
    <t>28/07/2023 - 10:00 (primera) Sustituir Prisión Preventiva por arresto domiciliario con control policial y medidas sustitutivas. Recomendar al Juzgado de Garantías 4 viabilice el control de la medida dispuesta con UADME. Disponer el termino de 4 meses como duración del arresto domiciliario.</t>
  </si>
  <si>
    <t xml:space="preserve">28/04/2023 - 10:00 (primera) Revoca prisión preventiva </t>
  </si>
  <si>
    <t>G01 186083/23 GAR 7</t>
  </si>
  <si>
    <t>Sánchez Mario Fernandez y Bumalén Edgar Antonio</t>
  </si>
  <si>
    <t>Sánchez: 30.446.672 Bumalén: 33.264.510</t>
  </si>
  <si>
    <t>Robo y Hurto con Escalamiento</t>
  </si>
  <si>
    <t xml:space="preserve">Mendizabal Fermín Alberto </t>
  </si>
  <si>
    <t>Bº San Remo Calle Mar de Bering Nº 1150 (3874816792)</t>
  </si>
  <si>
    <t>DOP Nº 12 Dra. González</t>
  </si>
  <si>
    <t xml:space="preserve">Dr. Ramos Ossorio </t>
  </si>
  <si>
    <t xml:space="preserve">Sánchez: Bº San Silvestre, calle Reyes de España Mza. 102 Casa 04 Bumalén: Bº Limache Casa 3 Depto 09 </t>
  </si>
  <si>
    <t>G01 44555/23 GAR 1 METÁN</t>
  </si>
  <si>
    <t>Garnica Santiago Matías</t>
  </si>
  <si>
    <t>Calle Figuroa Alcorta S/N de la ciudad de Rosario de la Frontera</t>
  </si>
  <si>
    <t>Desobediencia Judicial, robo en grado de tentativa, robo amenazas con armas</t>
  </si>
  <si>
    <t>Azani Mauro Daniel</t>
  </si>
  <si>
    <t xml:space="preserve">(387-6470959) Bº Loteos de Brito </t>
  </si>
  <si>
    <t>DOP Nº 1 MetánDr. Colque</t>
  </si>
  <si>
    <t>G01 184581/23 GAR 1</t>
  </si>
  <si>
    <t xml:space="preserve">Ángel Oscar Gabriel </t>
  </si>
  <si>
    <t>Abuso sexual gravemente ultrajante agravado por el vínculo y abuso sexual con acceso carnal agravado por el vínculo</t>
  </si>
  <si>
    <t>Nidia del Valle Maizares (denunciante)</t>
  </si>
  <si>
    <t>Bº Nueva Esperanza Mza. 24 Lote Nº 5 (3876121174)</t>
  </si>
  <si>
    <t>Dr. Martín D' Andrea MP 5875</t>
  </si>
  <si>
    <t>G99 177048/23 GAR 3</t>
  </si>
  <si>
    <t xml:space="preserve">1 Correa Zulma Yanina Joana 2 Moya Cintia </t>
  </si>
  <si>
    <t xml:space="preserve">1 Correa: 37.189.928 2 Moya: 33.753.025 3 </t>
  </si>
  <si>
    <t>Estafas reiteradas, falsedad de instrumento privado, asociacion iliícita, peculado, abuso de autoridad, violación de secreto y encubrimiento por favorecimiento personal, todo en concurso real</t>
  </si>
  <si>
    <t>Dr. Ovejero MP 3917 (Correa) Dr. Díaz Zabalaga MP 4432 (Moya)</t>
  </si>
  <si>
    <t>G01 186449/23 GAR 1</t>
  </si>
  <si>
    <t>Oganeku Amdrés Alejandro</t>
  </si>
  <si>
    <t>Vargas Jhony</t>
  </si>
  <si>
    <t>Bº Scalabrini Ortiz Mza 274 Casa 14 (3872149499)</t>
  </si>
  <si>
    <t>DOP Nº 15 Dr. Bonetto</t>
  </si>
  <si>
    <t>Vº Lavalle Calle Carlos Outes Nº 269</t>
  </si>
  <si>
    <t>No hacer lugar al Recurso de Apelación</t>
  </si>
  <si>
    <t xml:space="preserve">Confirma la detención </t>
  </si>
  <si>
    <t>Miguel Nicolás Salva</t>
  </si>
  <si>
    <t>G01 186166/23 GAR 8</t>
  </si>
  <si>
    <t>Raúl Ramón Feliciano Méndez</t>
  </si>
  <si>
    <t>Finca La Granja, parake el Huaico Localidad San Agustín</t>
  </si>
  <si>
    <t>Lesiones leves agravadas por la relación de apreja preexistente y por mediar violencia y amenazas</t>
  </si>
  <si>
    <t>Mariana Castillos</t>
  </si>
  <si>
    <t>DOP. Nº 12 Dra. González</t>
  </si>
  <si>
    <t>Finca La granja - Paraje el Huaico Localidad de San Agustín  (3875765207)</t>
  </si>
  <si>
    <t xml:space="preserve">Dr. D' Andrea </t>
  </si>
  <si>
    <t>Disponer que continue la prisión preventiva por 30 días a partir de la audiencia, cumplizo ese plazo reemplazar por arresto domiciliario</t>
  </si>
  <si>
    <t>Recurso inadminisble</t>
  </si>
  <si>
    <t>No hacer lugar al recurso de apelación presentado por la defensa</t>
  </si>
  <si>
    <t>Hacer lugar al recurso de apelacion</t>
  </si>
  <si>
    <t>Se resulve por escrito</t>
  </si>
  <si>
    <t>Imputada en libertad desde el 04/10/2023</t>
  </si>
  <si>
    <t xml:space="preserve">No hacer lugar al recurso </t>
  </si>
  <si>
    <t>No hacer lugar al recurso presentado por la defensa</t>
  </si>
  <si>
    <t>No hacer lugar al recurso interpuesto por la defensa</t>
  </si>
  <si>
    <t>No hacer lugar a los recursos de apelación planteados por la fisclía y los abogados defensores</t>
  </si>
  <si>
    <t xml:space="preserve">hacer lugar al recurso de apelación </t>
  </si>
  <si>
    <t>JUI 171031/22 VISU</t>
  </si>
  <si>
    <t>JUI 64139/21 VISU</t>
  </si>
  <si>
    <t>JUI 65702/22 VISU</t>
  </si>
  <si>
    <t>JUI 63944/21 VISU</t>
  </si>
  <si>
    <t>JUI 124386/21 VISU</t>
  </si>
  <si>
    <t>Recomendar al Juzgado de origen que al realizar audiencias con el imputado, constantes con la efectiva notificacion y la defensa técnica / Desde 27/09 en despacho de secretaría Vocal 1</t>
  </si>
  <si>
    <t>No hacer lugar al recurso de apelacion</t>
  </si>
  <si>
    <t>No hacer lugar al recurso de apelacion fiscal</t>
  </si>
  <si>
    <t>JUI 183332/23 JUICIO 5</t>
  </si>
  <si>
    <t>Rodríguez Cristian Josué</t>
  </si>
  <si>
    <t>Bº La Tradición Mza 384 A Lote 8</t>
  </si>
  <si>
    <t>Abuso sexual con acceso carnal continuado (dos hechos) todo en concurso real</t>
  </si>
  <si>
    <t>Denunciantes : Gareca Melisa Micaela y Sánchez Natalia Elizabeth (víctimas menores)</t>
  </si>
  <si>
    <t>Gareca:  36.759.505 Sánchez: 38.646.150</t>
  </si>
  <si>
    <t>Gareca: Bº Leopoldo Lugones Nº 333 A Lote 8 Sánchez: Los Tiatines Nº 160 Bº Tres Cerritos</t>
  </si>
  <si>
    <t>Dra. Gabriela Córdoba Gavenda MP 4481</t>
  </si>
  <si>
    <t>G01 183889/23 GAR 7</t>
  </si>
  <si>
    <t>Fernández Cristian Fabián</t>
  </si>
  <si>
    <t xml:space="preserve">Calle Los Gladiolos S/N de esta ciudad </t>
  </si>
  <si>
    <t>Abuso sexual simple agravado por la situación de convivencia preexistente con menos de 18 años, en concurso real con acceso carnal agravado por la situación de convivencia con menor de 18 años (dos hechos) todo en concurso real</t>
  </si>
  <si>
    <t>Sofía Danina Fernández (menor) Constanzo Rita de Los Ángeles (denunciante)</t>
  </si>
  <si>
    <t>Bº 17 de octubre mza. 421 B lote 12 (3875723315)</t>
  </si>
  <si>
    <t xml:space="preserve">Def. de Violencia de Género Nº 1 Dra. Chirife </t>
  </si>
  <si>
    <t>JUI 169453/22 VISU</t>
  </si>
  <si>
    <t>Cardoso Daniel Alberto</t>
  </si>
  <si>
    <t>Lesiones leves agravadas por la relación de apreja preexistente y por mediar violencia y amenazas todo en concurso real</t>
  </si>
  <si>
    <t>Aville Rivera Alejandra Noelia</t>
  </si>
  <si>
    <t>JUI 182187/23 VISU</t>
  </si>
  <si>
    <t xml:space="preserve">Oliver Diego Wilson </t>
  </si>
  <si>
    <t>Desobediencia judicial (dos hechos) lesiones leves agravadas por la relación de pareja previa y por el género, agresión con rmas agravado, amenazas, robo simple, privación ilegítima de la libertad agravada, atentado y resistencia a la autoridad, evasión y quebramiento y amenazas</t>
  </si>
  <si>
    <t>Gonzáles Sandra Nazarena</t>
  </si>
  <si>
    <t>DOP Nº 10 Dra. Bohuid</t>
  </si>
  <si>
    <t>G06 182236/23 GAR 1</t>
  </si>
  <si>
    <t>Daniela del Carmen Di Primo</t>
  </si>
  <si>
    <t>Avda. Felipe Varela Nº 598 Bº Santa Cecilia</t>
  </si>
  <si>
    <t>Comercialización de estupefacientes agravada por la participación organizada y por cometerse en un lugar de detención</t>
  </si>
  <si>
    <t>Asesoría Nº 3 Dra. Cardón</t>
  </si>
  <si>
    <t>Dr. Holmquist N 3</t>
  </si>
  <si>
    <t>G01 186401/23 GAR 1</t>
  </si>
  <si>
    <t>Gaspar Jesús Eloy  (alcaidía)</t>
  </si>
  <si>
    <t>Bº La Fama calle Ciudad de Rosario Nº 1625</t>
  </si>
  <si>
    <t>Lesiones y privación ilegítima de la libertad en concurso real</t>
  </si>
  <si>
    <t>Pamela Susana Guardia</t>
  </si>
  <si>
    <t>Bº Escalabrini Ortiz Mar de Japón Mza. L Casa 11 83875219608)</t>
  </si>
  <si>
    <t>Dr. Tomás Burgos MP 6963</t>
  </si>
  <si>
    <t>Dra. Solórzano</t>
  </si>
  <si>
    <t>JUI163125/20 VISU</t>
  </si>
  <si>
    <t>Hoyos Jairo Matías Natanoel</t>
  </si>
  <si>
    <t>Homicidio simple en grado de Tentativa., lesiones leves y amenazas todo en concurso real</t>
  </si>
  <si>
    <t xml:space="preserve">Tarifa Mauro , Tarifa Diego, Guedilla </t>
  </si>
  <si>
    <t>Dr. Finelli MP741</t>
  </si>
  <si>
    <t>G02 43917/23 GAR 2 METÁN</t>
  </si>
  <si>
    <t>Godoy Braian y Cuellas Braian</t>
  </si>
  <si>
    <t>Cuellar: 40.155.449 Godoy: 45.111.860</t>
  </si>
  <si>
    <t>Cuellar: Bº Sanata Ana calle Figueroa Alcorta s/n de la ciudad de Rosario de la Frontera Godoy: Bº San Antonio Calle Avellaneda y Mitre de Ciudad de Rosario de la Frontera</t>
  </si>
  <si>
    <t>Robo calificado por el uso de armas, amenazas, abuso de armas, en concurso real, amenazas con armas</t>
  </si>
  <si>
    <t>1 Saravia Mónica Raquel 2 Córdoba Dominga Margarita 3 Álvarez Blanca Magdalena 4 Godoy Brian Ariel, 5 Machuca Milagros Ailen</t>
  </si>
  <si>
    <t xml:space="preserve">DOP Nº 2 Dr. Martínez </t>
  </si>
  <si>
    <t>Se remite a fiscalía 07/11/2023</t>
  </si>
  <si>
    <t xml:space="preserve">Audiencia primera parte el 06/11 </t>
  </si>
  <si>
    <t>Asesoria 6</t>
  </si>
  <si>
    <t>Se devuelve expediente de fiscalía 7/11/2023</t>
  </si>
  <si>
    <t xml:space="preserve">Hacer lugar al recurso de apelación - libertad </t>
  </si>
  <si>
    <t>Hacer lugar al recurso de apelación - arresto domiciliario</t>
  </si>
  <si>
    <t xml:space="preserve">Arresto domiciliario supeditado a factibilidad UADME </t>
  </si>
  <si>
    <t>G01 183119/23 GAR 8</t>
  </si>
  <si>
    <t>Dr. D' Andrea MP 5875</t>
  </si>
  <si>
    <t>Súarez Sergio Ricardo</t>
  </si>
  <si>
    <t>Avda. Chile. Nº 63 Localidad de Campo Quijano</t>
  </si>
  <si>
    <t xml:space="preserve">Caterina Cruz </t>
  </si>
  <si>
    <t>No hacer lugar al recurso presentado por la fiscalia</t>
  </si>
  <si>
    <t>Dr. Ramón Medina interino</t>
  </si>
  <si>
    <t>J09 182808/23 JUICIO 7</t>
  </si>
  <si>
    <t>Riccio Mario Alberto</t>
  </si>
  <si>
    <t xml:space="preserve">Bº Los Olmos lote 49 Localidad de cerrillos </t>
  </si>
  <si>
    <t>Estafas reiteradas (35 hechos) y coacción  (1 hecho) todo en conruso real</t>
  </si>
  <si>
    <t>1 Visgarra MP 6355 2 Vivero MP 6906 3 Crescini MP 5621 4 Sánchez MP 5846 5 Guatan MP 4183 actori civil Ulivarri MP 2114</t>
  </si>
  <si>
    <t xml:space="preserve">CON ARRESTO DOMICILIARIO UADME </t>
  </si>
  <si>
    <t xml:space="preserve">AUDIENCIA SUSPENDIDA POR LLEGADA TARDE DEL ABOGADO DEFENSOR </t>
  </si>
  <si>
    <t>JUI 62203/20 VISU</t>
  </si>
  <si>
    <t>Abán Cristian Alfredo</t>
  </si>
  <si>
    <t>Dr. Leiva MP 7176</t>
  </si>
  <si>
    <t>Dr. Ortin Fernandez MP 4457</t>
  </si>
  <si>
    <t>Devolución me sa pupilar 07/11/2023/ Se suspende audiencia del día 10/11 por designación de nuevo abogado defensor</t>
  </si>
  <si>
    <t>G01 186448/23 GAR 1</t>
  </si>
  <si>
    <t>Yasser Amir Yarad y Silva Pablo Alejandro</t>
  </si>
  <si>
    <t>Yasser: 39.784.043 Silva: 42.605.948</t>
  </si>
  <si>
    <t xml:space="preserve">Yasser: Mza 19 Lote 2 Vº Lola de la Silleta Silva: Pje 18 Casa 7836 Bº Santa Ana I </t>
  </si>
  <si>
    <t>Robo calificado en poblado y en banda</t>
  </si>
  <si>
    <t>Diez Juarez Luis Sebastián</t>
  </si>
  <si>
    <t>Silva: DOP Nº 16 Dra. Carrizo Reyes Yasser: DOP Nº 15 Dra. Marcela Robles (i)</t>
  </si>
  <si>
    <t>SE REMITE A FISCALÍA EL DÍA 10/11/2023</t>
  </si>
  <si>
    <t>G01 186747/23 GAR 2</t>
  </si>
  <si>
    <t>Diego Ramiro Camacho Famoso</t>
  </si>
  <si>
    <t>Famoso María del Valle</t>
  </si>
  <si>
    <t>56.042.25</t>
  </si>
  <si>
    <t>Pje. Astigueta 654 (3874563270)</t>
  </si>
  <si>
    <t>situacion de calle</t>
  </si>
  <si>
    <t>Desobediencia judicial (dos hechos) hurto agravado con escalamiento y violación de domicilio (dos hechos) en concurso real</t>
  </si>
  <si>
    <t>DOP Nº 17</t>
  </si>
  <si>
    <t>Apelacion Fiscal</t>
  </si>
  <si>
    <t>J02 171653/23 JUICIO 5</t>
  </si>
  <si>
    <t>Resuelve: Rechazar Recurso de Apelación interpuesto por la Defensa. Mantiene Prisión Preventiva.</t>
  </si>
  <si>
    <t>Sánchez Federico Ariel</t>
  </si>
  <si>
    <t>Bº Tres Cerritos calle Los Avellanos 320</t>
  </si>
  <si>
    <t>Abuso sexualcon acceso carnal</t>
  </si>
  <si>
    <t>1 Palomo Gabriela 2 Montaldi Ana Valentina 3 Lopez Yaique Rocio</t>
  </si>
  <si>
    <t>Dr- Nieva Haro 5276</t>
  </si>
  <si>
    <t>Hacer lugar al recurso de apelación interpuesto por la defensa</t>
  </si>
  <si>
    <t>G10 183745/323 GAR 6</t>
  </si>
  <si>
    <t xml:space="preserve">Cardozo Fátima </t>
  </si>
  <si>
    <t>Dr. Adet Figueroa MP 3410</t>
  </si>
  <si>
    <t>Dr. Chavez MP 3130</t>
  </si>
  <si>
    <t>VISU</t>
  </si>
  <si>
    <t>No hacer lugar al recurso de apelación presentado por la defensa / confirma el arresto domiciliario</t>
  </si>
  <si>
    <t>Se declara abstracto el recurso</t>
  </si>
  <si>
    <t>JUI 179115/22 JUICIO 5 VISU</t>
  </si>
  <si>
    <t>Vargas Joel Maximiliano</t>
  </si>
  <si>
    <t>Bº 17 de octubre Mza. 390 B Lote 12</t>
  </si>
  <si>
    <t>Abuso sexual con acceso carnal, abuso sexual gravemente ultrajante</t>
  </si>
  <si>
    <t>Menor</t>
  </si>
  <si>
    <t>Dr. Palmier MP 1019</t>
  </si>
  <si>
    <t xml:space="preserve">N2 Dra. Flores Larsen </t>
  </si>
  <si>
    <t>SE SUSPENDE AUDIENCIA POR NO CORRESPONDER A LA ORALIDAD</t>
  </si>
  <si>
    <t xml:space="preserve">Dr, Martini </t>
  </si>
  <si>
    <t>JUI 143567/20 VISU</t>
  </si>
  <si>
    <t>Valdez Walter René</t>
  </si>
  <si>
    <t xml:space="preserve">Abuso sexual simple (continuado) y lesiones leves en concurso real </t>
  </si>
  <si>
    <t xml:space="preserve">Cruz Bonifacia Francisca </t>
  </si>
  <si>
    <t>Dra. Bensi Marina MP 4160</t>
  </si>
  <si>
    <t>Dra. Yaique M. Eugenia MP 346</t>
  </si>
  <si>
    <t>Dra. Holmquist N3</t>
  </si>
  <si>
    <t>Hacer lugar al recurso de ap0elqación fiscal - ordenar la detención</t>
  </si>
  <si>
    <t>G02 44536/23 GAR 1 METÁN</t>
  </si>
  <si>
    <t>Del Río Josefina Beatriz</t>
  </si>
  <si>
    <t>Hipólito Yrigoyen Nº 1204 Metán</t>
  </si>
  <si>
    <t>Lesiones Graves por cometerse con arma impropia y por cometerse en poblado y en banda, agravantes que concurren idealmente entre sí</t>
  </si>
  <si>
    <t>Carlos Alberto Moreno en representación de su padre Cipriano Moreno</t>
  </si>
  <si>
    <t>Alberto Moreno : 33.047.639 Cipriano: 92.477.71</t>
  </si>
  <si>
    <t>Bº Los Laureles Calle Mitre Al final S/N (3876420043 fijo - 3876562518)</t>
  </si>
  <si>
    <t>Dra. Salinas Odorisio N º 1</t>
  </si>
  <si>
    <t>Dra. Marcela Ontiveros MP 2471</t>
  </si>
  <si>
    <t xml:space="preserve">G01 186846/23 GAR 2 </t>
  </si>
  <si>
    <t>Argote Torres José Luis</t>
  </si>
  <si>
    <t>Mariana Raquel Loayza</t>
  </si>
  <si>
    <t>Bº Islas Malvinas mza. 14 lote 14 La merced (3874473510)</t>
  </si>
  <si>
    <t>Dr. Jorge Armando Torres MP 5026</t>
  </si>
  <si>
    <t xml:space="preserve">NO </t>
  </si>
  <si>
    <t>visu</t>
  </si>
  <si>
    <t>No hacer lugar al recurso de apelacion presentado por la defensa</t>
  </si>
  <si>
    <t>Con arresto domiciliario</t>
  </si>
  <si>
    <t>G01 154445/18 GAR 1</t>
  </si>
  <si>
    <t>Omar Federico Luna</t>
  </si>
  <si>
    <t>Paraje Santa María - Santa Victoria Oeste</t>
  </si>
  <si>
    <t>Abuso sexual gravemente ultrajante</t>
  </si>
  <si>
    <t>Delia Graciela Castillo (menor )</t>
  </si>
  <si>
    <t>Localidad de Santa Cruz - Dpto. Santa Victoria</t>
  </si>
  <si>
    <t>Dr. Maximiliano Saravia MP 5878 Dr. Rodrigo Franco Anachuri MP 6336</t>
  </si>
  <si>
    <t xml:space="preserve">G01 44533/23 GAR 1 METÁN </t>
  </si>
  <si>
    <t xml:space="preserve">José Emiliano Pereyra </t>
  </si>
  <si>
    <t>Robo agravado en poblado y en banda</t>
  </si>
  <si>
    <t>Oficial Nº 1 Metán</t>
  </si>
  <si>
    <t>Calle Pastor Padilla al final S/N Rosario de la Frontera</t>
  </si>
  <si>
    <t>G01 185688/23 GAR 8</t>
  </si>
  <si>
    <t xml:space="preserve">Miguel Ángel Liquin </t>
  </si>
  <si>
    <t>Bº Naranjito calle consejal sosa Nº 44</t>
  </si>
  <si>
    <t>abuso sexual gravemente ultrajante por la duración en el tiempo, agravado por el vínculo y la guarda</t>
  </si>
  <si>
    <t>Calle Caseros 995 Bº Los Olivos (comisaria 11)</t>
  </si>
  <si>
    <t xml:space="preserve">(menor) Antonella Liquin - denunciante madre - Natali Malba Cabana </t>
  </si>
  <si>
    <t>49782848 DNI MADRE: 35.262.650 (3874593537)</t>
  </si>
  <si>
    <t>Asesoría Nº 4 Dra. Pérez</t>
  </si>
  <si>
    <t>G02 183714/23 GAR 6</t>
  </si>
  <si>
    <t>Taglioli Pablo Ezequiel</t>
  </si>
  <si>
    <t>Pje. 12 de agosto de la Localidad de Pichanal</t>
  </si>
  <si>
    <t>Abuso sexual gravemente ultrajante por su duración y circunstancias de realización agravado por la guarda, corrupcion de menores todo ello en concurso</t>
  </si>
  <si>
    <t>Martinez Augusto Nicolás</t>
  </si>
  <si>
    <t>Dr. Galli Fabián MP 6872</t>
  </si>
  <si>
    <t>Dr. Pizarro Echenique MP 5375</t>
  </si>
  <si>
    <t>J07 170681/23</t>
  </si>
  <si>
    <t>Ricardo Gabriel Fath</t>
  </si>
  <si>
    <t>Casa Bº Del Sol Mza. 501 casa 6 San Luis</t>
  </si>
  <si>
    <t>Dr. Díaz Zabalaga MP 4432</t>
  </si>
  <si>
    <t>Asesoría Nº 9</t>
  </si>
  <si>
    <t>Se remite en fiscalía fecha 23/11/2023 No hacer lugar al pedido de revision de prisión preventiva</t>
  </si>
  <si>
    <t>JUI 41748/22 visu</t>
  </si>
  <si>
    <t>Naranjo Alejandro Guido</t>
  </si>
  <si>
    <t>Díaz Ernesto</t>
  </si>
  <si>
    <t xml:space="preserve">Dr. Morales Poma </t>
  </si>
  <si>
    <t>se desestima el trámite de oralidad</t>
  </si>
  <si>
    <t>Hacer lugar al recurso interpuesto por la defensa</t>
  </si>
  <si>
    <t>Restablecer el arresto domiciliario</t>
  </si>
  <si>
    <t>J02 171947/22 JUICIO SALA 1</t>
  </si>
  <si>
    <t>González Güemes Jorge Matías</t>
  </si>
  <si>
    <t>abuso sexual con acceso carnal</t>
  </si>
  <si>
    <t>Dr. Esteban Nieva Haro MP 5276 Dr. Diaz Zabalaga MP 4432</t>
  </si>
  <si>
    <t>G01 187126/23 GAR 3</t>
  </si>
  <si>
    <t>Navarro José David</t>
  </si>
  <si>
    <t xml:space="preserve">Hurto simple en grado de tentativa </t>
  </si>
  <si>
    <t>DOP Nº 5 Dr. Anuch</t>
  </si>
  <si>
    <t>Dra. Valeria A Mugnani MP 5838</t>
  </si>
  <si>
    <t>G01 187233/23 GAR 4</t>
  </si>
  <si>
    <t>Amelunge Santiago Gustavo</t>
  </si>
  <si>
    <t xml:space="preserve">Juan Manuel Güemes Nº 101 </t>
  </si>
  <si>
    <t>Amenazas con arma</t>
  </si>
  <si>
    <t>Zeballos Erika Milagro</t>
  </si>
  <si>
    <t>Juan Manuel Güemes Nº 101 (3875774269)</t>
  </si>
  <si>
    <t>No hacer lugar al recurso de apelación interpuesto por al defensa</t>
  </si>
  <si>
    <t xml:space="preserve">Ordena el arresto domiciliario supeditado a facxtibilidad uadme </t>
  </si>
  <si>
    <t>G04 183320/23 GAR 6</t>
  </si>
  <si>
    <t>Patrese Pietro, Facundo Nicolás</t>
  </si>
  <si>
    <t>Calle Alvear 364 dpto. 2101</t>
  </si>
  <si>
    <t>Cabezas María Estella (denunciante)</t>
  </si>
  <si>
    <t>Acevedo 41 (3875661371)</t>
  </si>
  <si>
    <t>Dr. Casabella Dávalos MP 1516</t>
  </si>
  <si>
    <t>Assoría Nº 10</t>
  </si>
  <si>
    <t>G01 187289/23 GAR 4</t>
  </si>
  <si>
    <t>René Héctor Ariel Espinoza</t>
  </si>
  <si>
    <t>Lesiones, amenazas y daños</t>
  </si>
  <si>
    <t>Luna Maria Ester</t>
  </si>
  <si>
    <t>Bº Ampliacion de Virgen del Rosario Mza 422 B Lote 5</t>
  </si>
  <si>
    <t>Bº Ampliacion de Virgen del Rosario Mza 422 B Lote 5 (3874868400)</t>
  </si>
  <si>
    <t>J01 181623/23 JUICIO 4</t>
  </si>
  <si>
    <t>Rodríguez Marcela Fabiana</t>
  </si>
  <si>
    <t>G01 187230/23 GAR 4</t>
  </si>
  <si>
    <t>Claudio Oganeku</t>
  </si>
  <si>
    <t>Mza. 434 C Altura del Lote 19 Bº Solidaridad</t>
  </si>
  <si>
    <t>Yapura Matías Nahuel</t>
  </si>
  <si>
    <t>Bº Limache Etapa 13 mza. 02 casa 12 (387250410 karina)</t>
  </si>
  <si>
    <t>DOP. Nº 6 Dr. López Figueroa</t>
  </si>
  <si>
    <t xml:space="preserve">Dr, Luciano Romano </t>
  </si>
  <si>
    <t>JUI 179680/23 VISU</t>
  </si>
  <si>
    <t>José Federico López</t>
  </si>
  <si>
    <t>Lesiones leves agravadas por el vínculo y por violencia de género y coacción - por coacciónm daños, lesiones leves en concurso real</t>
  </si>
  <si>
    <t>1 Stella Marys Romero 2 José Emanuel Guantay</t>
  </si>
  <si>
    <t>Dra. Virginia Tolaba MP 4564</t>
  </si>
  <si>
    <t>JUI 85165/22 VISU tartagal</t>
  </si>
  <si>
    <t>Peredo Luis José</t>
  </si>
  <si>
    <t xml:space="preserve">Abuso sexual simple agravado por el vínculo y corrupción de menores agravado por el vínculo en concurso real; coacción en contexto de género en concurso real </t>
  </si>
  <si>
    <t xml:space="preserve">Peredo Florencia Ayelén </t>
  </si>
  <si>
    <t>DOP de género tartagal Dra. Magadán</t>
  </si>
  <si>
    <t xml:space="preserve">No hacer lugar al pedido de arresto domiciliario </t>
  </si>
  <si>
    <t>Davis Eduardo Domínguez</t>
  </si>
  <si>
    <t>G01 187220/23 GAR 4</t>
  </si>
  <si>
    <t>Montebelli Esequiel</t>
  </si>
  <si>
    <t>Calle Rio WiernaNº 800</t>
  </si>
  <si>
    <t>Cardozo Julieta</t>
  </si>
  <si>
    <t>12 de octubre 884 depto 2A</t>
  </si>
  <si>
    <t>Dr. Maggio Nicolás MP 5934</t>
  </si>
  <si>
    <t>Dra. Lucrecia Acevedo MP  7043</t>
  </si>
  <si>
    <t xml:space="preserve">Amenazas, daños, lesiones leves agravadas por al relacion de pareja y por el género, privación ilegítima de la libertad agaravada, coaccion </t>
  </si>
  <si>
    <t>G01 186051/23 GAR 7</t>
  </si>
  <si>
    <t>Alberto Elías Mendez</t>
  </si>
  <si>
    <t xml:space="preserve">Amenazas con arma, abuso de arma y amenazas </t>
  </si>
  <si>
    <t>1 Barrionuevo Carla Eliana 2López Roxana Cecilia 3García Aldo Daniel 4</t>
  </si>
  <si>
    <t>1 Barrionuevo 40.325.478 2 López 27.117.005 3García 40.157.520</t>
  </si>
  <si>
    <t>1 Barrionuevo: Bº San Justo Mza. 1 A Lote 06 Etapa 4 (3872148991) 2López: Bº San justo Mza. 1 Lote 4 Etapa 4 (3875390042) 3 García: Bº San justo 4 (3873130535)</t>
  </si>
  <si>
    <t>Dr. Rodrigo Palazzo MP 3477</t>
  </si>
  <si>
    <t>JUI 179057/23 JUICIO 7</t>
  </si>
  <si>
    <t>Elio Gustavo Rizo</t>
  </si>
  <si>
    <t>Abuso sexual gravemente ultrajante por las circunstancias de su realización, agravado por el vínculo y la guarda</t>
  </si>
  <si>
    <t>Ordenar al arresto domiciliario del imputado bajo el sistema uadme</t>
  </si>
  <si>
    <t>JUI 65183/23 VISU</t>
  </si>
  <si>
    <t>Florencio José Luis Guerra</t>
  </si>
  <si>
    <t>Salas Araceli Melisa</t>
  </si>
  <si>
    <t>Amenazas con arma, lesiones agravadas, lesiones leves y deobediencia judial</t>
  </si>
  <si>
    <t>Dra. Segovia Lucinda María MP 2891</t>
  </si>
  <si>
    <t>G01 187361/23 GAR 4</t>
  </si>
  <si>
    <t>Vera Yamil Gustavo</t>
  </si>
  <si>
    <t>Robo calificado por escalamiento</t>
  </si>
  <si>
    <t>Mar Caspio Nº 824 Bº Scalabrini Ortiz</t>
  </si>
  <si>
    <t>Schiavoni De Paoli, Ramiro Esteban</t>
  </si>
  <si>
    <t>Calle Clara Juárez De Villareal Nº 135 Vº Esmeralda</t>
  </si>
  <si>
    <t>G01 187173/23 GAR 4</t>
  </si>
  <si>
    <t>Gutiérrez Guillermo Martín</t>
  </si>
  <si>
    <t>Bº Limache Etapa 3 Mza 5 Casa 26</t>
  </si>
  <si>
    <t xml:space="preserve">Grooming </t>
  </si>
  <si>
    <t xml:space="preserve">Ochoa Marco María Eugenia (denunciante) menor victima </t>
  </si>
  <si>
    <t>Mza. O Casa 14 Bº Los Robles Localidad de la Silleta</t>
  </si>
  <si>
    <t xml:space="preserve">En fecha 26/12 se remite a mesa distribuidora pupilar </t>
  </si>
  <si>
    <t>G01 187236/23 GAR 4</t>
  </si>
  <si>
    <t>Lesiones culposas en accidente de tránsito</t>
  </si>
  <si>
    <t>Dante Daniel Lauriano</t>
  </si>
  <si>
    <t>Bº San Rafael Calle Catamarca N 443</t>
  </si>
  <si>
    <t>Dr. Palazzo MP 3477</t>
  </si>
  <si>
    <t>No hacer lugar al recurso planteado por la defensa</t>
  </si>
  <si>
    <t>G01 185012/23</t>
  </si>
  <si>
    <t>Sergio Faustino Moya, Francisco Arturo Bisceglia, Rubén Antonio Guaymas, José Luis Alarcón, Marcos Matías Bucotich García, Nicole Judith Ana Luna, María Inés Méndez, Patricia Daiana del Rosario Flores, Yanina Alejandra Chaju, Valeria Avendaño, Raúl Antonio Arjona y Roberto Castaño</t>
  </si>
  <si>
    <t>Exacciones Ilegales Agravadas . Concusión Comercialización de Estupefaciente Agravada</t>
  </si>
  <si>
    <t>Varios</t>
  </si>
  <si>
    <t>G01 187116/23</t>
  </si>
  <si>
    <t xml:space="preserve">Coronel Martín Hector y Coronel Diego Ariel </t>
  </si>
  <si>
    <t>Martin Hector Coronel Ampliación Santa Ana II Mza 741 Lote 15.</t>
  </si>
  <si>
    <t>Tentativa de Homicidio 2 hechos en concurso real y tentativa por robo agravado por el uso de arma en concurso real</t>
  </si>
  <si>
    <t>Tomas Alejandro Taritolay Rojas, Emanuel Hugo Agustin Alcoba</t>
  </si>
  <si>
    <t>Dr. Cesar Chavez M.P. 3130</t>
  </si>
  <si>
    <t>Fiscalía Penal G.A.P. Nº 1</t>
  </si>
  <si>
    <t>13.15</t>
  </si>
  <si>
    <t xml:space="preserve">G06 183320/23 </t>
  </si>
  <si>
    <t>Dr. Guillermo A. Pollioto en feria</t>
  </si>
  <si>
    <t>G01 187040/23</t>
  </si>
  <si>
    <t>Lucas Gastón Rodríguez</t>
  </si>
  <si>
    <t>39,367,597</t>
  </si>
  <si>
    <t>Mza. 15 Lote 09 del Bº Sanidad</t>
  </si>
  <si>
    <t>Tentativa de Homicidio Calificado por el concurso premeditado de dos o mas personas en concurso real y amenazas; Amenazas (2 hechos)</t>
  </si>
  <si>
    <t>José Luis González</t>
  </si>
  <si>
    <t xml:space="preserve">Defensoría Oficial Penal Nº 4 - Dra, Cecilia Martinez </t>
  </si>
  <si>
    <t>Fiscalía Penal G.A.P. Nº 2</t>
  </si>
  <si>
    <t>Dra. Holmquist Nº 3 (en feria)</t>
  </si>
  <si>
    <t>G02 187232/23</t>
  </si>
  <si>
    <t>David Maximiliano López</t>
  </si>
  <si>
    <t>Etapa Nº 11, Mza. 5. Casa 12 Bº Limache Salta</t>
  </si>
  <si>
    <t>Erika Salcedo y Eduardo Nicolas Oviedo</t>
  </si>
  <si>
    <t xml:space="preserve">Defensoría Oficial Penal Nº 6 </t>
  </si>
  <si>
    <t>Fiscalía Penal Nº 3</t>
  </si>
  <si>
    <t>G04 187232/23</t>
  </si>
  <si>
    <t>Norma Alejandra Díaz</t>
  </si>
  <si>
    <t>39.006..637</t>
  </si>
  <si>
    <t>Mza. 27 Casa 18 Barrio San Ignacio Salta</t>
  </si>
  <si>
    <t>Dr. Sebastián Flores Giralt M.P. Nº 4725</t>
  </si>
  <si>
    <t>G05 187232/23</t>
  </si>
  <si>
    <t xml:space="preserve">Juan Sebastián Albornoz </t>
  </si>
  <si>
    <t>Dr. Alonso Leonel Casimiro, M.P. Nº 1557</t>
  </si>
  <si>
    <t>Francisco López Nº 1524 Vº Estela Salta</t>
  </si>
  <si>
    <t>Dr. Luis Cesar Fernandez, M.P. Nº 4087 y Dr. Tomas L. Burgos M.P. Nº 6963</t>
  </si>
  <si>
    <t>Dra. Edith Rodríguez en feria</t>
  </si>
  <si>
    <t>J01 159989/23</t>
  </si>
  <si>
    <t>Hector Rubén Jimenez</t>
  </si>
  <si>
    <t>Av. José de Gurruchaga Nº 163 Salta</t>
  </si>
  <si>
    <t>Estafas Reiteradas 2 hechos en concurso real</t>
  </si>
  <si>
    <t>Pablo Navarro Trinca y Celeste Zegarra</t>
  </si>
  <si>
    <t>Dr. Maximiliano Chávez Toledo M.P. Nº 6811</t>
  </si>
  <si>
    <t>Fiscal Penal Delitos Economicos Complejos</t>
  </si>
  <si>
    <t>Iber Gabriel Cuevas</t>
  </si>
  <si>
    <t>Ituzangó Nº 134 Gral. Guemes</t>
  </si>
  <si>
    <t xml:space="preserve">Abuso Sexual con Acceso Carnal </t>
  </si>
  <si>
    <t>G.A.A. Den. Valeria de los Ángeles Mamaní (madre de la menor)</t>
  </si>
  <si>
    <t>Fiscalía UDIS Nº 1</t>
  </si>
  <si>
    <t>Asesoría de Incapaces Nº 9</t>
  </si>
  <si>
    <t>Dra. Liliana Aquino M.P. Nº 6622</t>
  </si>
  <si>
    <t>Dra. Gabriela Duarte M.P. 3521</t>
  </si>
  <si>
    <t>G01 186948/23</t>
  </si>
  <si>
    <t>Jeronimo Anibal Atrio</t>
  </si>
  <si>
    <t xml:space="preserve">Mitre Nº 962 </t>
  </si>
  <si>
    <t>Lesiones leves agravadas por la relación de pareja preexistente y por el género y amenazas en concurso real, daños y lesiones leves agravadas por la relación de pareja preexistente y por el género en concurso ideal, todo en concurso real</t>
  </si>
  <si>
    <t>Sara Verónica Verges</t>
  </si>
  <si>
    <t>Los Perales Nº 170 - Ciudad</t>
  </si>
  <si>
    <t>Dr. Patricio F. Araoz Fleming M.P. Nº 2881</t>
  </si>
  <si>
    <t xml:space="preserve">Defensoría Oficial Penal Nº 7 </t>
  </si>
  <si>
    <t>Asesoría de Incapaces Nº 4</t>
  </si>
  <si>
    <t>Fiscalía Penal de Violencia de Género Nº 1</t>
  </si>
  <si>
    <t>Dr. Arancibia en feria</t>
  </si>
  <si>
    <t>Cruz Juan Carlos</t>
  </si>
  <si>
    <t>Pje. San Lorenzo Nº 340 Bº Bella Vista Localidad Rosario de Lerma</t>
  </si>
  <si>
    <t>Tentativa de femicidio</t>
  </si>
  <si>
    <t>Fátima Rosalía Flores</t>
  </si>
  <si>
    <t>Calle José Hernández Nº 119 Bº San Martín Localidad Rosario de Lerma</t>
  </si>
  <si>
    <t>Dr. Aráoz Fleming Patricio Fernández MP 2881</t>
  </si>
  <si>
    <t>Dr. Alvaro Arias Camacho MP 3835 y Sofía Isasmendi MP 6377</t>
  </si>
  <si>
    <t>En fecha 16/01 se remite la causa a la Fiscalía de Impugnación</t>
  </si>
  <si>
    <t>G01 183940/24 GAR 1 SALA 1</t>
  </si>
  <si>
    <t>Dr. Mariño en feria</t>
  </si>
  <si>
    <t>J01 179770/23  JUICIO 5 SALA 4</t>
  </si>
  <si>
    <t>Abuso sexual con acceso carnal continuado y agravado</t>
  </si>
  <si>
    <t xml:space="preserve"> 1 Villaroel 13.917.076 </t>
  </si>
  <si>
    <t>Villaroel Máxima Isabel ALCAIDIA</t>
  </si>
  <si>
    <t xml:space="preserve"> Mza 385 "A" Calle Nº 13, Lote Nº 4 Bº 17 de octubre</t>
  </si>
  <si>
    <t>DOP Nº 11 en feria Dr. Curotto</t>
  </si>
  <si>
    <t>JUI 162740/21 JUCIO SALA 2 SALA 2</t>
  </si>
  <si>
    <t>Cedrón Eduardo Martín</t>
  </si>
  <si>
    <t>San Martín Nº 626 7º piso, Depto. B de la Ciudad de San Salvador de Jujuy</t>
  </si>
  <si>
    <t>Dr. Martín D' Andrea 5875</t>
  </si>
  <si>
    <t>Dr. Arias Nallar en feria</t>
  </si>
  <si>
    <t>Ha lugar parcialmente al recurso de apelaciónh presentado por al querella y por el MPF</t>
  </si>
  <si>
    <t>Se inhibe el Dr. Arias pasa al Vocal 2 de la Sala III</t>
  </si>
  <si>
    <t xml:space="preserve">Se suspende audiencia del día 22/01 por sustanciacion del recurso de apelacion de la procuracion de la provincia. </t>
  </si>
  <si>
    <t>Resuelve la Dra. Edith Rodríguez en Feria</t>
  </si>
  <si>
    <t>Hacer lugar al recurso de apelación presentado por la defensa - Ordenar el arresto domiciliario</t>
  </si>
  <si>
    <t xml:space="preserve">Martinez Gutierrez Mauro Sergio </t>
  </si>
  <si>
    <t>Hacer lugar al recurso de apelación interpuesto por la defensa - libertad</t>
  </si>
  <si>
    <t>Hacer lugar parcialmente al recurso de apelacion interpuesto por la defensa</t>
  </si>
  <si>
    <t>nuevas medidas sustitutivas</t>
  </si>
  <si>
    <t>Hacer lugar al recurso interpuesto por la defensa en el g06</t>
  </si>
  <si>
    <t xml:space="preserve">Cambiar el lugar del arresto domiciliario </t>
  </si>
  <si>
    <t>Diego Roberto Chaile, Noelia de Los Ángeles Garnica, Ayelén Chaile, Claudia María Chaile, Fcaundo Elías Escalante</t>
  </si>
  <si>
    <t>Diego Chaile: 28.051.605 Noelia de Los ángeles: 31.035.585 Ayelén: 44.104.181 Claudia María: 43.373.874 Escalante: 44.400.581</t>
  </si>
  <si>
    <t>Dr. Férnandez MP 6396</t>
  </si>
  <si>
    <t>G01 187674/24 sala 4</t>
  </si>
  <si>
    <t>No hacer lugar al recurso de apelación interpuesto por la Fiscalía</t>
  </si>
  <si>
    <t>G01 187680/23 sala 1</t>
  </si>
  <si>
    <t>No hacer lugar al recurso de apelación interpuesto por la defensa</t>
  </si>
  <si>
    <t>Término de 2 meses para que el juzgado de origen evalue la prisión preventiva</t>
  </si>
  <si>
    <t>Hacer lugar al recurso de apelación presentado por la defensa</t>
  </si>
  <si>
    <t xml:space="preserve">No hacer lugar al recurso de apelacion interpuesto por la defensa </t>
  </si>
  <si>
    <t>Cantidad de audiencias fijadas</t>
  </si>
  <si>
    <t>Expedientes ingresados con preso (Prisiones ingresadas)</t>
  </si>
  <si>
    <t>AÑO 2023</t>
  </si>
  <si>
    <t>AÑO 2024</t>
  </si>
  <si>
    <t>DIA AUDIENCIA</t>
  </si>
  <si>
    <t>MES AUDIENCIA</t>
  </si>
  <si>
    <t>AÑO AUDIENCIA</t>
  </si>
  <si>
    <t>DIAS PROMEDIO ENTRE PRESENTACION Y FECHA DE AUDIENCIA 2023</t>
  </si>
  <si>
    <t>DIAS PROMEDIO ENTRE PRESENTACION Y FECHA DE AUDIENCIA 2023 - TOTAL</t>
  </si>
  <si>
    <t>DIAS PROMEDIO ENTRE PRESENTACION Y FECHA DE AUDIENCIA 2024 - TOTAL</t>
  </si>
  <si>
    <t>DIAS PROMEDIO ENTRE PRESENTACION Y FECHA DE AUDIENCIA - INGRESADOS 2023 - ENERO</t>
  </si>
  <si>
    <t>DIAS PROMEDIO ENTRE PRESENTACION Y FECHA DE AUDIENCIA - INGRESADOS 2023 - FEBRERO</t>
  </si>
  <si>
    <t>DIAS PROMEDIO ENTRE PRESENTACION Y FECHA DE AUDIENCIA - INGRESADOS 2023 - MARZO</t>
  </si>
  <si>
    <t>DIAS PROMEDIO ENTRE PRESENTACION Y FECHA DE AUDIENCIA - INGRESADOS 2023 - ABRIL</t>
  </si>
  <si>
    <t>DIAS PROMEDIO ENTRE PRESENTACION Y FECHA DE AUDIENCIA - INGRESADOS 2023 - MAYO</t>
  </si>
  <si>
    <t>DIAS PROMEDIO ENTRE PRESENTACION Y FECHA DE AUDIENCIA - INGRESADOS 2023 - JUNIO</t>
  </si>
  <si>
    <t>DIAS PROMEDIO ENTRE PRESENTACION Y FECHA DE AUDIENCIA - INGRESADOS 2023 - JULIO</t>
  </si>
  <si>
    <t>DIAS PROMEDIO ENTRE PRESENTACION Y FECHA DE AUDIENCIA - INGRESADOS 2023 - AGOSTO</t>
  </si>
  <si>
    <t>DIAS PROMEDIO ENTRE PRESENTACION Y FECHA DE AUDIENCIA - INGRESADOS 2023 - SETIEMBRE</t>
  </si>
  <si>
    <t>DIAS PROMEDIO ENTRE PRESENTACION Y FECHA DE AUDIENCIA - INGRESADOS 2023 - OCTUBRE</t>
  </si>
  <si>
    <t>DIAS PROMEDIO ENTRE PRESENTACION Y FECHA DE AUDIENCIA - INGRESADOS 2023 - NOVIEMBRE</t>
  </si>
  <si>
    <t>DIAS PROMEDIO ENTRE PRESENTACION Y FECHA DE AUDIENCIA - INGRESADOS 2023 - DICIEMBRE</t>
  </si>
  <si>
    <t>DIAS PROMEDIO ENTRE PRESENTACION Y FECHA DE AUDIENCIA - INGRESADOS 2024 - ENERO</t>
  </si>
  <si>
    <t>DIAS PROMEDIO ENTRE PRESENTACION Y FECHA DE AUDIENCIA - INGRESADOS 2024 - FEBRERO</t>
  </si>
  <si>
    <t>ACUM.</t>
  </si>
  <si>
    <t>Enero 23</t>
  </si>
  <si>
    <t>Febrero 23</t>
  </si>
  <si>
    <t>Marzo 23</t>
  </si>
  <si>
    <t>Abril 23</t>
  </si>
  <si>
    <t>Mayo 23</t>
  </si>
  <si>
    <t>Junio 23</t>
  </si>
  <si>
    <t>Julio 23</t>
  </si>
  <si>
    <t>Agosto 23</t>
  </si>
  <si>
    <t>Setiembre 23</t>
  </si>
  <si>
    <t>Octubre 23</t>
  </si>
  <si>
    <t>Noviembre 23</t>
  </si>
  <si>
    <t>Diciembre 23</t>
  </si>
  <si>
    <t>Enero 24</t>
  </si>
  <si>
    <t>Febrero 24</t>
  </si>
  <si>
    <t>OFICINA JUDICIAL DE IMPUGNACION    -   AÑO 2023 - 2024</t>
  </si>
  <si>
    <t>OFICINA JUDICIAL DE GESTION DE JUICIOS DE IMPUGNACION -   AÑO 2023 - 2024</t>
  </si>
  <si>
    <t>Resolución alternativa</t>
  </si>
  <si>
    <t>DIAS PROMEDIO ENTRE PRESENTACION Y FECHA DE AUDIENCIA 2024</t>
  </si>
  <si>
    <t>Dr. Barrionuevo en feria</t>
  </si>
  <si>
    <t xml:space="preserve">Dr. Arancibia </t>
  </si>
  <si>
    <t>Dr.Ramón Medina</t>
  </si>
  <si>
    <t>OFICINA JUDICIAL DE IMPUGNACIONES - ESTADISTICAS 2023-2024 AL DIA: 02/02/2024</t>
  </si>
</sst>
</file>

<file path=xl/styles.xml><?xml version="1.0" encoding="utf-8"?>
<styleSheet xmlns="http://schemas.openxmlformats.org/spreadsheetml/2006/main">
  <numFmts count="2">
    <numFmt numFmtId="164" formatCode="dd/mm/yyyy;@"/>
    <numFmt numFmtId="165" formatCode="00"/>
  </numFmts>
  <fonts count="38">
    <font>
      <sz val="10"/>
      <name val="Arial"/>
    </font>
    <font>
      <sz val="8"/>
      <name val="Arial"/>
      <family val="2"/>
    </font>
    <font>
      <sz val="10"/>
      <name val="Arial"/>
      <family val="2"/>
    </font>
    <font>
      <sz val="11"/>
      <name val="Calibri"/>
      <family val="2"/>
    </font>
    <font>
      <b/>
      <sz val="10"/>
      <name val="Arial"/>
      <family val="2"/>
    </font>
    <font>
      <b/>
      <sz val="12"/>
      <name val="Arial"/>
      <family val="2"/>
    </font>
    <font>
      <b/>
      <sz val="16"/>
      <name val="Arial"/>
      <family val="2"/>
    </font>
    <font>
      <b/>
      <sz val="8"/>
      <name val="Arial"/>
      <family val="2"/>
    </font>
    <font>
      <sz val="10"/>
      <color rgb="FFFF0000"/>
      <name val="Arial"/>
      <family val="2"/>
    </font>
    <font>
      <b/>
      <sz val="10"/>
      <color theme="1"/>
      <name val="Arial"/>
      <family val="2"/>
    </font>
    <font>
      <sz val="11"/>
      <color rgb="FF006100"/>
      <name val="Calibri"/>
      <family val="2"/>
      <scheme val="minor"/>
    </font>
    <font>
      <sz val="11"/>
      <name val="Calibri"/>
      <family val="2"/>
      <scheme val="minor"/>
    </font>
    <font>
      <b/>
      <sz val="11"/>
      <name val="Calibri"/>
      <family val="2"/>
      <scheme val="minor"/>
    </font>
    <font>
      <b/>
      <u/>
      <sz val="10"/>
      <name val="Arial"/>
      <family val="2"/>
    </font>
    <font>
      <sz val="9"/>
      <name val="Arial"/>
      <family val="2"/>
    </font>
    <font>
      <b/>
      <sz val="10"/>
      <color rgb="FF800000"/>
      <name val="Arial"/>
      <family val="2"/>
    </font>
    <font>
      <b/>
      <sz val="10"/>
      <color rgb="FFFF00FF"/>
      <name val="Arial"/>
      <family val="2"/>
    </font>
    <font>
      <sz val="10"/>
      <color theme="0"/>
      <name val="Arial"/>
      <family val="2"/>
    </font>
    <font>
      <b/>
      <sz val="14"/>
      <name val="Arial"/>
      <family val="2"/>
    </font>
    <font>
      <b/>
      <sz val="20"/>
      <name val="Arial"/>
      <family val="2"/>
    </font>
    <font>
      <sz val="14"/>
      <name val="Arial"/>
      <family val="2"/>
    </font>
    <font>
      <u/>
      <sz val="10"/>
      <name val="Arial"/>
      <family val="2"/>
    </font>
    <font>
      <sz val="12"/>
      <name val="Arial"/>
      <family val="2"/>
    </font>
    <font>
      <b/>
      <sz val="10"/>
      <color rgb="FFFF8080"/>
      <name val="Arial"/>
      <family val="2"/>
    </font>
    <font>
      <b/>
      <sz val="10"/>
      <color rgb="FF3366FF"/>
      <name val="Arial"/>
      <family val="2"/>
    </font>
    <font>
      <b/>
      <sz val="20"/>
      <color theme="0"/>
      <name val="Arial Rounded MT Bold"/>
      <family val="2"/>
    </font>
    <font>
      <b/>
      <sz val="11"/>
      <name val="Arial"/>
      <family val="2"/>
    </font>
    <font>
      <b/>
      <sz val="7"/>
      <color rgb="FFFF0000"/>
      <name val="Arial"/>
      <family val="2"/>
    </font>
    <font>
      <b/>
      <sz val="7"/>
      <color rgb="FF339966"/>
      <name val="Arial"/>
      <family val="2"/>
    </font>
    <font>
      <b/>
      <sz val="7"/>
      <color rgb="FF993366"/>
      <name val="Arial"/>
      <family val="2"/>
    </font>
    <font>
      <b/>
      <sz val="7"/>
      <color rgb="FF0000FF"/>
      <name val="Arial"/>
      <family val="2"/>
    </font>
    <font>
      <b/>
      <sz val="8"/>
      <color rgb="FF000080"/>
      <name val="Arial"/>
      <family val="2"/>
    </font>
    <font>
      <b/>
      <sz val="7"/>
      <color rgb="FF008080"/>
      <name val="Arial"/>
      <family val="2"/>
    </font>
    <font>
      <b/>
      <sz val="7"/>
      <color rgb="FFFF00FF"/>
      <name val="Arial"/>
      <family val="2"/>
    </font>
    <font>
      <b/>
      <sz val="7"/>
      <color rgb="FFFF6600"/>
      <name val="Arial"/>
      <family val="2"/>
    </font>
    <font>
      <b/>
      <sz val="10"/>
      <color rgb="FF008000"/>
      <name val="Arial"/>
      <family val="2"/>
    </font>
    <font>
      <b/>
      <sz val="10"/>
      <color rgb="FF000000"/>
      <name val="Arial"/>
      <family val="2"/>
    </font>
    <font>
      <b/>
      <sz val="6"/>
      <name val="Arial"/>
      <family val="2"/>
    </font>
  </fonts>
  <fills count="10">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6EFCE"/>
      </patternFill>
    </fill>
    <fill>
      <patternFill patternType="solid">
        <fgColor rgb="FFFF0000"/>
        <bgColor indexed="64"/>
      </patternFill>
    </fill>
    <fill>
      <patternFill patternType="solid">
        <fgColor rgb="FF00B050"/>
        <bgColor indexed="64"/>
      </patternFill>
    </fill>
    <fill>
      <patternFill patternType="solid">
        <fgColor theme="0" tint="-4.9989318521683403E-2"/>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style="thin">
        <color auto="1"/>
      </right>
      <top/>
      <bottom/>
      <diagonal/>
    </border>
    <border>
      <left/>
      <right style="thin">
        <color auto="1"/>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3">
    <xf numFmtId="0" fontId="0" fillId="0" borderId="0"/>
    <xf numFmtId="0" fontId="10" fillId="6" borderId="0" applyNumberFormat="0" applyBorder="0" applyAlignment="0" applyProtection="0"/>
    <xf numFmtId="0" fontId="2" fillId="0" borderId="0"/>
  </cellStyleXfs>
  <cellXfs count="282">
    <xf numFmtId="0" fontId="0" fillId="0" borderId="0" xfId="0"/>
    <xf numFmtId="0" fontId="0" fillId="0" borderId="0" xfId="0" applyNumberFormat="1" applyAlignment="1">
      <alignment horizontal="center" vertical="center" wrapText="1"/>
    </xf>
    <xf numFmtId="164" fontId="0" fillId="0" borderId="0" xfId="0" applyNumberFormat="1" applyAlignment="1">
      <alignment horizontal="center" vertical="center" wrapText="1"/>
    </xf>
    <xf numFmtId="0" fontId="0" fillId="0" borderId="0" xfId="0" applyFill="1"/>
    <xf numFmtId="0" fontId="0" fillId="0" borderId="0" xfId="0" applyNumberFormat="1" applyFill="1" applyAlignment="1">
      <alignment horizontal="center" vertical="center" wrapText="1"/>
    </xf>
    <xf numFmtId="0" fontId="0" fillId="0" borderId="1" xfId="0" applyNumberFormat="1" applyFill="1" applyBorder="1" applyAlignment="1">
      <alignment horizontal="center" vertical="center" wrapText="1"/>
    </xf>
    <xf numFmtId="0" fontId="2" fillId="0" borderId="1" xfId="0" applyNumberFormat="1" applyFont="1" applyFill="1" applyBorder="1" applyAlignment="1">
      <alignment horizontal="center" vertical="center" wrapText="1"/>
    </xf>
    <xf numFmtId="0" fontId="0" fillId="0" borderId="0" xfId="0" applyNumberFormat="1" applyBorder="1" applyAlignment="1">
      <alignment horizontal="center" vertical="center" wrapText="1"/>
    </xf>
    <xf numFmtId="0" fontId="2" fillId="0" borderId="0" xfId="0" applyNumberFormat="1" applyFont="1" applyFill="1" applyBorder="1" applyAlignment="1">
      <alignment horizontal="center" vertical="center" wrapText="1"/>
    </xf>
    <xf numFmtId="0" fontId="2" fillId="0" borderId="0" xfId="0" applyNumberFormat="1" applyFont="1" applyBorder="1" applyAlignment="1">
      <alignment horizontal="center" vertical="center" wrapText="1"/>
    </xf>
    <xf numFmtId="0" fontId="2" fillId="0" borderId="0" xfId="0" applyNumberFormat="1" applyFont="1" applyAlignment="1">
      <alignment horizontal="center" vertical="center" wrapText="1"/>
    </xf>
    <xf numFmtId="0" fontId="2" fillId="0" borderId="0" xfId="0" applyFont="1"/>
    <xf numFmtId="0" fontId="4" fillId="0" borderId="1" xfId="0" applyFont="1" applyBorder="1" applyAlignment="1">
      <alignment horizontal="center" vertical="center"/>
    </xf>
    <xf numFmtId="0" fontId="4" fillId="0" borderId="1" xfId="0" applyFont="1" applyFill="1" applyBorder="1" applyAlignment="1">
      <alignment horizontal="center" vertical="center"/>
    </xf>
    <xf numFmtId="0" fontId="4" fillId="4" borderId="1" xfId="0" applyFont="1" applyFill="1" applyBorder="1" applyAlignment="1">
      <alignment horizontal="center" vertical="center"/>
    </xf>
    <xf numFmtId="0" fontId="0" fillId="0" borderId="0" xfId="0" applyNumberFormat="1" applyFill="1" applyBorder="1" applyAlignment="1">
      <alignment horizontal="left" vertical="center" wrapText="1"/>
    </xf>
    <xf numFmtId="0" fontId="2" fillId="0" borderId="0" xfId="0" applyNumberFormat="1" applyFont="1" applyFill="1" applyBorder="1" applyAlignment="1">
      <alignment horizontal="left" vertical="center" wrapText="1"/>
    </xf>
    <xf numFmtId="0" fontId="0" fillId="0" borderId="0" xfId="0" applyAlignment="1">
      <alignment horizontal="left"/>
    </xf>
    <xf numFmtId="0" fontId="2" fillId="0" borderId="0" xfId="0" applyFont="1" applyAlignment="1">
      <alignment horizontal="left"/>
    </xf>
    <xf numFmtId="0" fontId="6" fillId="0" borderId="0" xfId="0" applyFont="1"/>
    <xf numFmtId="164" fontId="6" fillId="0" borderId="0" xfId="0" applyNumberFormat="1" applyFont="1" applyAlignment="1">
      <alignment horizontal="center"/>
    </xf>
    <xf numFmtId="0" fontId="0" fillId="0" borderId="0" xfId="0" applyNumberFormat="1" applyFill="1" applyBorder="1" applyAlignment="1">
      <alignment horizontal="center" vertical="center" wrapText="1"/>
    </xf>
    <xf numFmtId="0" fontId="2" fillId="0" borderId="0" xfId="0" applyNumberFormat="1" applyFont="1" applyFill="1" applyAlignment="1">
      <alignment horizontal="center" vertical="center" wrapText="1"/>
    </xf>
    <xf numFmtId="0" fontId="2" fillId="2" borderId="0" xfId="0" applyNumberFormat="1" applyFont="1" applyFill="1" applyAlignment="1">
      <alignment horizontal="center" vertical="center" wrapText="1"/>
    </xf>
    <xf numFmtId="0" fontId="4" fillId="3" borderId="1" xfId="0" applyFont="1" applyFill="1" applyBorder="1" applyAlignment="1">
      <alignment horizontal="center" vertical="center"/>
    </xf>
    <xf numFmtId="0" fontId="5" fillId="3" borderId="1" xfId="0" applyFont="1" applyFill="1" applyBorder="1" applyAlignment="1">
      <alignment vertical="center"/>
    </xf>
    <xf numFmtId="0" fontId="0" fillId="2" borderId="0" xfId="0" applyFill="1"/>
    <xf numFmtId="0" fontId="4" fillId="3" borderId="1" xfId="0" applyFont="1" applyFill="1" applyBorder="1" applyAlignment="1">
      <alignment horizontal="center" vertical="center"/>
    </xf>
    <xf numFmtId="0" fontId="2" fillId="0" borderId="2" xfId="0" applyNumberFormat="1" applyFont="1" applyFill="1" applyBorder="1" applyAlignment="1">
      <alignment horizontal="center" vertical="center" wrapText="1"/>
    </xf>
    <xf numFmtId="0" fontId="0" fillId="0" borderId="0" xfId="0" applyFill="1" applyAlignment="1">
      <alignment horizontal="left"/>
    </xf>
    <xf numFmtId="0" fontId="0" fillId="0" borderId="0" xfId="0" applyNumberFormat="1" applyAlignment="1">
      <alignment horizontal="left" vertical="center" wrapText="1"/>
    </xf>
    <xf numFmtId="164" fontId="2" fillId="2" borderId="0" xfId="0" applyNumberFormat="1" applyFont="1" applyFill="1" applyAlignment="1">
      <alignment horizontal="center" vertical="center" wrapText="1"/>
    </xf>
    <xf numFmtId="0" fontId="2" fillId="2" borderId="0" xfId="0" applyNumberFormat="1" applyFont="1" applyFill="1" applyAlignment="1">
      <alignment horizontal="left" vertical="center" wrapText="1"/>
    </xf>
    <xf numFmtId="0" fontId="2" fillId="0" borderId="2" xfId="0" applyFont="1" applyFill="1" applyBorder="1"/>
    <xf numFmtId="164" fontId="2" fillId="0" borderId="1" xfId="0" applyNumberFormat="1" applyFont="1" applyFill="1" applyBorder="1" applyAlignment="1">
      <alignment horizontal="center" vertical="center" wrapText="1"/>
    </xf>
    <xf numFmtId="0" fontId="2" fillId="0" borderId="1" xfId="0" applyNumberFormat="1" applyFont="1" applyFill="1" applyBorder="1" applyAlignment="1">
      <alignment horizontal="left" vertical="center" wrapText="1"/>
    </xf>
    <xf numFmtId="0" fontId="4" fillId="0" borderId="1" xfId="0" applyNumberFormat="1" applyFont="1" applyFill="1" applyBorder="1" applyAlignment="1">
      <alignment horizontal="left" vertical="center" wrapText="1"/>
    </xf>
    <xf numFmtId="3" fontId="2" fillId="0" borderId="1" xfId="0" applyNumberFormat="1" applyFont="1" applyFill="1" applyBorder="1" applyAlignment="1">
      <alignment horizontal="left" vertical="center" wrapText="1"/>
    </xf>
    <xf numFmtId="0" fontId="0" fillId="0" borderId="1" xfId="0" applyNumberFormat="1" applyBorder="1" applyAlignment="1">
      <alignment horizontal="center" vertical="center" wrapText="1"/>
    </xf>
    <xf numFmtId="0" fontId="2" fillId="0" borderId="1" xfId="0" applyNumberFormat="1" applyFont="1" applyBorder="1" applyAlignment="1">
      <alignment horizontal="left" vertical="center" wrapText="1"/>
    </xf>
    <xf numFmtId="1" fontId="2" fillId="0" borderId="1" xfId="0" applyNumberFormat="1" applyFont="1" applyFill="1" applyBorder="1" applyAlignment="1">
      <alignment horizontal="center" vertical="center" wrapText="1"/>
    </xf>
    <xf numFmtId="1" fontId="0" fillId="0" borderId="1" xfId="0" applyNumberFormat="1" applyFill="1" applyBorder="1" applyAlignment="1">
      <alignment horizontal="center" vertical="center" wrapText="1"/>
    </xf>
    <xf numFmtId="1" fontId="0" fillId="0" borderId="0" xfId="0" applyNumberFormat="1" applyAlignment="1">
      <alignment horizontal="center" vertical="center" wrapText="1"/>
    </xf>
    <xf numFmtId="0" fontId="11" fillId="2" borderId="1" xfId="1" applyFont="1" applyFill="1" applyBorder="1" applyAlignment="1">
      <alignment vertical="center" wrapText="1"/>
    </xf>
    <xf numFmtId="0" fontId="11" fillId="2" borderId="1" xfId="0" applyFont="1" applyFill="1" applyBorder="1" applyAlignment="1">
      <alignment vertical="center" wrapText="1"/>
    </xf>
    <xf numFmtId="0" fontId="11" fillId="2" borderId="1" xfId="0" applyFont="1" applyFill="1" applyBorder="1" applyAlignment="1">
      <alignment vertical="center"/>
    </xf>
    <xf numFmtId="3" fontId="0" fillId="0" borderId="1" xfId="0" applyNumberFormat="1" applyBorder="1" applyAlignment="1">
      <alignment horizontal="left" vertical="center" wrapText="1"/>
    </xf>
    <xf numFmtId="164" fontId="2" fillId="0" borderId="1" xfId="0" applyNumberFormat="1" applyFont="1" applyBorder="1" applyAlignment="1">
      <alignment horizontal="center" vertical="center" wrapText="1"/>
    </xf>
    <xf numFmtId="14" fontId="2" fillId="0" borderId="1" xfId="0" applyNumberFormat="1" applyFont="1" applyFill="1" applyBorder="1" applyAlignment="1">
      <alignment horizontal="center" vertical="center" wrapText="1"/>
    </xf>
    <xf numFmtId="3" fontId="2" fillId="0" borderId="1" xfId="0" applyNumberFormat="1" applyFont="1" applyFill="1" applyBorder="1" applyAlignment="1">
      <alignment horizontal="center" vertical="center" wrapText="1"/>
    </xf>
    <xf numFmtId="0" fontId="2" fillId="0" borderId="1" xfId="0" applyNumberFormat="1" applyFont="1" applyBorder="1" applyAlignment="1">
      <alignment horizontal="center" vertical="center" wrapText="1"/>
    </xf>
    <xf numFmtId="0" fontId="4" fillId="0" borderId="1" xfId="0" applyNumberFormat="1" applyFont="1" applyFill="1" applyBorder="1" applyAlignment="1">
      <alignment horizontal="center" vertical="center" wrapText="1"/>
    </xf>
    <xf numFmtId="164" fontId="0" fillId="0" borderId="1" xfId="0" applyNumberFormat="1" applyBorder="1" applyAlignment="1">
      <alignment horizontal="center" vertical="center" wrapText="1"/>
    </xf>
    <xf numFmtId="0" fontId="3" fillId="0" borderId="1" xfId="0" applyFont="1" applyFill="1" applyBorder="1" applyAlignment="1">
      <alignment horizontal="left" vertical="center" wrapText="1"/>
    </xf>
    <xf numFmtId="0" fontId="2" fillId="0" borderId="5" xfId="0" applyNumberFormat="1" applyFont="1" applyFill="1" applyBorder="1" applyAlignment="1">
      <alignment horizontal="center" vertical="center" wrapText="1"/>
    </xf>
    <xf numFmtId="1" fontId="0" fillId="0" borderId="1" xfId="0" applyNumberFormat="1" applyBorder="1" applyAlignment="1">
      <alignment horizontal="center" vertical="center" wrapText="1"/>
    </xf>
    <xf numFmtId="3" fontId="0" fillId="0" borderId="1" xfId="0" applyNumberFormat="1" applyBorder="1" applyAlignment="1">
      <alignment horizontal="center" vertical="center" wrapText="1"/>
    </xf>
    <xf numFmtId="3" fontId="2" fillId="0" borderId="1" xfId="0" applyNumberFormat="1" applyFont="1" applyBorder="1" applyAlignment="1">
      <alignment horizontal="left" vertical="center" wrapText="1"/>
    </xf>
    <xf numFmtId="0" fontId="0" fillId="0" borderId="1" xfId="0" applyNumberFormat="1" applyBorder="1" applyAlignment="1">
      <alignment horizontal="left" vertical="center" wrapText="1"/>
    </xf>
    <xf numFmtId="164" fontId="0" fillId="2" borderId="1" xfId="0" applyNumberFormat="1" applyFill="1" applyBorder="1" applyAlignment="1">
      <alignment horizontal="center" vertical="center" wrapText="1"/>
    </xf>
    <xf numFmtId="164" fontId="2" fillId="2" borderId="1" xfId="0" applyNumberFormat="1" applyFont="1" applyFill="1" applyBorder="1" applyAlignment="1">
      <alignment horizontal="center" vertical="center" wrapText="1"/>
    </xf>
    <xf numFmtId="1" fontId="0" fillId="2" borderId="1" xfId="0" applyNumberFormat="1" applyFill="1" applyBorder="1" applyAlignment="1">
      <alignment horizontal="center" vertical="center" wrapText="1"/>
    </xf>
    <xf numFmtId="20" fontId="0" fillId="2" borderId="1" xfId="0" applyNumberFormat="1" applyFill="1" applyBorder="1" applyAlignment="1">
      <alignment horizontal="center" vertical="center" wrapText="1"/>
    </xf>
    <xf numFmtId="0" fontId="0" fillId="2" borderId="1" xfId="0" applyNumberFormat="1" applyFill="1" applyBorder="1" applyAlignment="1">
      <alignment horizontal="center" vertical="center" wrapText="1"/>
    </xf>
    <xf numFmtId="0" fontId="2" fillId="2" borderId="1" xfId="0" applyNumberFormat="1" applyFont="1" applyFill="1" applyBorder="1" applyAlignment="1">
      <alignment horizontal="center" vertical="center" wrapText="1"/>
    </xf>
    <xf numFmtId="3" fontId="0" fillId="2" borderId="1" xfId="0" applyNumberFormat="1" applyFill="1" applyBorder="1" applyAlignment="1">
      <alignment horizontal="center" vertical="center" wrapText="1"/>
    </xf>
    <xf numFmtId="0" fontId="2" fillId="2" borderId="1" xfId="0" applyNumberFormat="1" applyFont="1" applyFill="1" applyBorder="1" applyAlignment="1">
      <alignment horizontal="left" vertical="center" wrapText="1"/>
    </xf>
    <xf numFmtId="3" fontId="0" fillId="2" borderId="1" xfId="0" applyNumberFormat="1" applyFill="1" applyBorder="1" applyAlignment="1">
      <alignment horizontal="left" vertical="center" wrapText="1"/>
    </xf>
    <xf numFmtId="0" fontId="2" fillId="0" borderId="0" xfId="0" applyNumberFormat="1" applyFont="1" applyFill="1" applyAlignment="1">
      <alignment horizontal="center"/>
    </xf>
    <xf numFmtId="0" fontId="2" fillId="0" borderId="0" xfId="0" applyFont="1" applyFill="1" applyAlignment="1">
      <alignment horizontal="center"/>
    </xf>
    <xf numFmtId="0" fontId="0" fillId="2" borderId="1" xfId="0" applyNumberFormat="1" applyFill="1" applyBorder="1" applyAlignment="1">
      <alignment horizontal="left" vertical="center" wrapText="1"/>
    </xf>
    <xf numFmtId="3" fontId="2" fillId="2" borderId="1" xfId="0" applyNumberFormat="1" applyFont="1" applyFill="1" applyBorder="1" applyAlignment="1">
      <alignment horizontal="center" vertical="center" wrapText="1"/>
    </xf>
    <xf numFmtId="3" fontId="2" fillId="2" borderId="1" xfId="0" applyNumberFormat="1" applyFont="1" applyFill="1" applyBorder="1" applyAlignment="1">
      <alignment horizontal="left" vertical="center" wrapText="1"/>
    </xf>
    <xf numFmtId="164" fontId="0" fillId="0" borderId="1" xfId="0" applyNumberFormat="1" applyFill="1" applyBorder="1" applyAlignment="1">
      <alignment horizontal="center" vertical="center" wrapText="1"/>
    </xf>
    <xf numFmtId="20" fontId="0" fillId="0" borderId="1" xfId="0" applyNumberFormat="1" applyFill="1" applyBorder="1" applyAlignment="1">
      <alignment horizontal="center" vertical="center" wrapText="1"/>
    </xf>
    <xf numFmtId="0" fontId="0" fillId="0" borderId="1" xfId="0" applyNumberFormat="1" applyFill="1" applyBorder="1" applyAlignment="1">
      <alignment horizontal="left" vertical="center" wrapText="1"/>
    </xf>
    <xf numFmtId="3" fontId="0" fillId="0" borderId="1" xfId="0" applyNumberFormat="1" applyFill="1" applyBorder="1" applyAlignment="1">
      <alignment horizontal="center" vertical="center" wrapText="1"/>
    </xf>
    <xf numFmtId="3" fontId="0" fillId="0" borderId="1" xfId="0" applyNumberFormat="1" applyFill="1" applyBorder="1" applyAlignment="1">
      <alignment horizontal="left" vertical="center" wrapText="1"/>
    </xf>
    <xf numFmtId="1" fontId="0" fillId="7" borderId="1" xfId="0" applyNumberFormat="1" applyFill="1" applyBorder="1" applyAlignment="1">
      <alignment horizontal="center" vertical="center" wrapText="1"/>
    </xf>
    <xf numFmtId="164" fontId="0" fillId="7" borderId="1" xfId="0" applyNumberFormat="1" applyFill="1" applyBorder="1" applyAlignment="1">
      <alignment horizontal="center" vertical="center" wrapText="1"/>
    </xf>
    <xf numFmtId="20" fontId="0" fillId="7" borderId="1" xfId="0" applyNumberFormat="1" applyFill="1" applyBorder="1" applyAlignment="1">
      <alignment horizontal="center" vertical="center" wrapText="1"/>
    </xf>
    <xf numFmtId="0" fontId="0" fillId="7" borderId="1" xfId="0" applyNumberFormat="1" applyFill="1" applyBorder="1" applyAlignment="1">
      <alignment horizontal="center" vertical="center" wrapText="1"/>
    </xf>
    <xf numFmtId="0" fontId="2" fillId="7" borderId="1" xfId="0" applyNumberFormat="1" applyFont="1" applyFill="1" applyBorder="1" applyAlignment="1">
      <alignment horizontal="center" vertical="center" wrapText="1"/>
    </xf>
    <xf numFmtId="3" fontId="0" fillId="7" borderId="1" xfId="0" applyNumberFormat="1" applyFill="1" applyBorder="1" applyAlignment="1">
      <alignment horizontal="center" vertical="center" wrapText="1"/>
    </xf>
    <xf numFmtId="0" fontId="2" fillId="7" borderId="1" xfId="0" applyNumberFormat="1" applyFont="1" applyFill="1" applyBorder="1" applyAlignment="1">
      <alignment horizontal="left" vertical="center" wrapText="1"/>
    </xf>
    <xf numFmtId="0" fontId="0" fillId="7" borderId="1" xfId="0" applyNumberFormat="1" applyFill="1" applyBorder="1" applyAlignment="1">
      <alignment horizontal="left" vertical="center" wrapText="1"/>
    </xf>
    <xf numFmtId="164" fontId="2" fillId="7" borderId="1" xfId="0" applyNumberFormat="1" applyFont="1" applyFill="1" applyBorder="1" applyAlignment="1">
      <alignment horizontal="center" vertical="center" wrapText="1"/>
    </xf>
    <xf numFmtId="14" fontId="17" fillId="2" borderId="0" xfId="0" applyNumberFormat="1" applyFont="1" applyFill="1" applyAlignment="1">
      <alignment horizontal="center" vertical="center" wrapText="1"/>
    </xf>
    <xf numFmtId="0" fontId="2" fillId="0" borderId="0" xfId="2" applyFont="1"/>
    <xf numFmtId="0" fontId="2" fillId="0" borderId="0" xfId="2"/>
    <xf numFmtId="0" fontId="2" fillId="0" borderId="0" xfId="2" applyAlignment="1">
      <alignment horizontal="center"/>
    </xf>
    <xf numFmtId="49" fontId="2" fillId="0" borderId="0" xfId="2" applyNumberFormat="1" applyFont="1"/>
    <xf numFmtId="0" fontId="20" fillId="4" borderId="1" xfId="2" applyFont="1" applyFill="1" applyBorder="1" applyAlignment="1">
      <alignment horizontal="center" vertical="center"/>
    </xf>
    <xf numFmtId="0" fontId="20" fillId="0" borderId="1" xfId="2" applyFont="1" applyBorder="1" applyAlignment="1">
      <alignment horizontal="center" vertical="center"/>
    </xf>
    <xf numFmtId="0" fontId="5" fillId="0" borderId="0" xfId="2" applyFont="1" applyAlignment="1"/>
    <xf numFmtId="0" fontId="5" fillId="0" borderId="0" xfId="2" applyFont="1" applyAlignment="1">
      <alignment horizontal="center"/>
    </xf>
    <xf numFmtId="0" fontId="2" fillId="0" borderId="0" xfId="2" applyAlignment="1">
      <alignment horizontal="center" vertical="center"/>
    </xf>
    <xf numFmtId="0" fontId="21" fillId="0" borderId="0" xfId="2" applyFont="1"/>
    <xf numFmtId="0" fontId="2" fillId="0" borderId="0" xfId="2" applyFont="1" applyFill="1" applyBorder="1" applyAlignment="1">
      <alignment horizontal="center" vertical="center"/>
    </xf>
    <xf numFmtId="0" fontId="2" fillId="0" borderId="0" xfId="2" applyBorder="1"/>
    <xf numFmtId="0" fontId="22" fillId="0" borderId="1" xfId="2" applyFont="1" applyBorder="1" applyAlignment="1">
      <alignment horizontal="center" vertical="center"/>
    </xf>
    <xf numFmtId="0" fontId="2" fillId="0" borderId="0" xfId="2" applyAlignment="1">
      <alignment horizontal="left"/>
    </xf>
    <xf numFmtId="0" fontId="0" fillId="8" borderId="1" xfId="0" applyNumberFormat="1" applyFill="1" applyBorder="1" applyAlignment="1">
      <alignment horizontal="center" vertical="center" wrapText="1"/>
    </xf>
    <xf numFmtId="1" fontId="0" fillId="0" borderId="6" xfId="0" applyNumberFormat="1" applyBorder="1" applyAlignment="1">
      <alignment horizontal="center" vertical="center" wrapText="1"/>
    </xf>
    <xf numFmtId="164" fontId="0" fillId="0" borderId="6" xfId="0" applyNumberFormat="1" applyBorder="1" applyAlignment="1">
      <alignment horizontal="center" vertical="center" wrapText="1"/>
    </xf>
    <xf numFmtId="20" fontId="0" fillId="0" borderId="6" xfId="0" applyNumberFormat="1" applyBorder="1" applyAlignment="1">
      <alignment horizontal="center" vertical="center" wrapText="1"/>
    </xf>
    <xf numFmtId="0" fontId="0" fillId="0" borderId="6" xfId="0" applyNumberFormat="1" applyBorder="1" applyAlignment="1">
      <alignment horizontal="center" vertical="center" wrapText="1"/>
    </xf>
    <xf numFmtId="0" fontId="2" fillId="0" borderId="6" xfId="0" applyNumberFormat="1" applyFont="1" applyBorder="1" applyAlignment="1">
      <alignment horizontal="center" vertical="center" wrapText="1"/>
    </xf>
    <xf numFmtId="3" fontId="0" fillId="0" borderId="6" xfId="0" applyNumberFormat="1" applyBorder="1" applyAlignment="1">
      <alignment horizontal="center" vertical="center" wrapText="1"/>
    </xf>
    <xf numFmtId="0" fontId="0" fillId="0" borderId="6" xfId="0" applyNumberFormat="1" applyBorder="1" applyAlignment="1">
      <alignment horizontal="left" vertical="center" wrapText="1"/>
    </xf>
    <xf numFmtId="14" fontId="25" fillId="0" borderId="0" xfId="0" applyNumberFormat="1" applyFont="1" applyFill="1" applyAlignment="1">
      <alignment horizontal="center" vertical="center" wrapText="1"/>
    </xf>
    <xf numFmtId="0" fontId="2" fillId="0" borderId="2" xfId="0" applyFont="1" applyFill="1" applyBorder="1" applyAlignment="1">
      <alignment horizontal="center" vertical="center" wrapText="1"/>
    </xf>
    <xf numFmtId="0" fontId="2" fillId="0" borderId="0" xfId="0" applyFont="1" applyFill="1" applyAlignment="1">
      <alignment horizontal="center" vertical="center" wrapText="1"/>
    </xf>
    <xf numFmtId="0" fontId="2" fillId="0" borderId="0" xfId="0" applyFont="1" applyFill="1" applyBorder="1" applyAlignment="1">
      <alignment horizontal="center" vertical="center" wrapText="1"/>
    </xf>
    <xf numFmtId="164" fontId="2" fillId="0" borderId="0" xfId="0" applyNumberFormat="1" applyFont="1" applyFill="1" applyBorder="1" applyAlignment="1">
      <alignment horizontal="center" vertical="center" wrapText="1"/>
    </xf>
    <xf numFmtId="0" fontId="2" fillId="0" borderId="2" xfId="0" applyNumberFormat="1" applyFont="1" applyBorder="1" applyAlignment="1">
      <alignment horizontal="center" vertical="center" wrapText="1"/>
    </xf>
    <xf numFmtId="0" fontId="7" fillId="3" borderId="7" xfId="0" applyNumberFormat="1" applyFont="1" applyFill="1" applyBorder="1" applyAlignment="1">
      <alignment horizontal="center" vertical="center" wrapText="1"/>
    </xf>
    <xf numFmtId="164" fontId="4" fillId="3" borderId="8" xfId="0" applyNumberFormat="1" applyFont="1" applyFill="1" applyBorder="1" applyAlignment="1">
      <alignment horizontal="center" vertical="center" wrapText="1"/>
    </xf>
    <xf numFmtId="0" fontId="4" fillId="3" borderId="8" xfId="0" applyNumberFormat="1" applyFont="1" applyFill="1" applyBorder="1" applyAlignment="1">
      <alignment horizontal="center" vertical="center" wrapText="1"/>
    </xf>
    <xf numFmtId="0" fontId="4" fillId="3" borderId="9" xfId="0" applyNumberFormat="1" applyFont="1" applyFill="1" applyBorder="1" applyAlignment="1">
      <alignment horizontal="center" vertical="center" wrapText="1"/>
    </xf>
    <xf numFmtId="0" fontId="4" fillId="3" borderId="7" xfId="0" applyNumberFormat="1" applyFont="1" applyFill="1" applyBorder="1" applyAlignment="1">
      <alignment horizontal="center" vertical="center" wrapText="1"/>
    </xf>
    <xf numFmtId="0" fontId="7" fillId="3" borderId="9" xfId="0" applyNumberFormat="1" applyFont="1" applyFill="1" applyBorder="1" applyAlignment="1">
      <alignment horizontal="center" vertical="center" wrapText="1"/>
    </xf>
    <xf numFmtId="0" fontId="2" fillId="3" borderId="11" xfId="0" applyNumberFormat="1" applyFont="1" applyFill="1" applyBorder="1" applyAlignment="1">
      <alignment horizontal="center" vertical="center" wrapText="1"/>
    </xf>
    <xf numFmtId="0" fontId="2" fillId="3" borderId="8" xfId="0" applyNumberFormat="1" applyFont="1" applyFill="1" applyBorder="1" applyAlignment="1">
      <alignment horizontal="center" vertical="center" wrapText="1"/>
    </xf>
    <xf numFmtId="0" fontId="2" fillId="3" borderId="8" xfId="0" applyFont="1" applyFill="1" applyBorder="1" applyAlignment="1">
      <alignment horizontal="center" vertical="center" wrapText="1"/>
    </xf>
    <xf numFmtId="0" fontId="2" fillId="3" borderId="9" xfId="0" applyFont="1" applyFill="1" applyBorder="1" applyAlignment="1">
      <alignment horizontal="center" vertical="center" wrapText="1"/>
    </xf>
    <xf numFmtId="0" fontId="2" fillId="2" borderId="2" xfId="0" applyFont="1" applyFill="1" applyBorder="1" applyAlignment="1">
      <alignment horizontal="center" vertical="center" wrapText="1"/>
    </xf>
    <xf numFmtId="1" fontId="0" fillId="0" borderId="6" xfId="0" applyNumberFormat="1" applyFill="1" applyBorder="1" applyAlignment="1">
      <alignment horizontal="center" vertical="center" wrapText="1"/>
    </xf>
    <xf numFmtId="164" fontId="0" fillId="0" borderId="6" xfId="0" applyNumberFormat="1" applyFill="1" applyBorder="1" applyAlignment="1">
      <alignment horizontal="center" vertical="center" wrapText="1"/>
    </xf>
    <xf numFmtId="0" fontId="0" fillId="0" borderId="6" xfId="0" applyNumberFormat="1" applyFill="1" applyBorder="1" applyAlignment="1">
      <alignment horizontal="center" vertical="center" wrapText="1"/>
    </xf>
    <xf numFmtId="0" fontId="2" fillId="0" borderId="6" xfId="0" applyNumberFormat="1" applyFont="1" applyFill="1" applyBorder="1" applyAlignment="1">
      <alignment horizontal="center" vertical="center" wrapText="1"/>
    </xf>
    <xf numFmtId="3" fontId="0" fillId="0" borderId="6" xfId="0" applyNumberFormat="1" applyFill="1" applyBorder="1" applyAlignment="1">
      <alignment horizontal="center" vertical="center" wrapText="1"/>
    </xf>
    <xf numFmtId="0" fontId="2" fillId="0" borderId="6" xfId="0" applyNumberFormat="1" applyFont="1" applyFill="1" applyBorder="1" applyAlignment="1">
      <alignment horizontal="left" vertical="center" wrapText="1"/>
    </xf>
    <xf numFmtId="0" fontId="0" fillId="0" borderId="6" xfId="0" applyNumberFormat="1" applyFill="1" applyBorder="1" applyAlignment="1">
      <alignment horizontal="left" vertical="center" wrapText="1"/>
    </xf>
    <xf numFmtId="0" fontId="2" fillId="8" borderId="1" xfId="0" applyNumberFormat="1" applyFont="1" applyFill="1" applyBorder="1" applyAlignment="1">
      <alignment horizontal="center" vertical="center" wrapText="1"/>
    </xf>
    <xf numFmtId="0" fontId="2" fillId="8" borderId="0" xfId="0" applyNumberFormat="1" applyFont="1" applyFill="1" applyAlignment="1">
      <alignment horizontal="center" vertical="center" wrapText="1"/>
    </xf>
    <xf numFmtId="0" fontId="2" fillId="8" borderId="2" xfId="0" applyFont="1" applyFill="1" applyBorder="1" applyAlignment="1">
      <alignment horizontal="center" vertical="center" wrapText="1"/>
    </xf>
    <xf numFmtId="0" fontId="0" fillId="0" borderId="1" xfId="0" applyBorder="1" applyAlignment="1">
      <alignment horizontal="left" vertical="top" wrapText="1"/>
    </xf>
    <xf numFmtId="0" fontId="0" fillId="0" borderId="1" xfId="0" applyBorder="1"/>
    <xf numFmtId="0" fontId="2" fillId="0" borderId="1" xfId="0" applyFont="1" applyBorder="1"/>
    <xf numFmtId="0" fontId="2" fillId="0" borderId="1" xfId="0" applyFont="1" applyBorder="1" applyAlignment="1">
      <alignment horizontal="left" vertical="top" wrapText="1"/>
    </xf>
    <xf numFmtId="0" fontId="0" fillId="0" borderId="0" xfId="0" applyBorder="1"/>
    <xf numFmtId="0" fontId="2" fillId="0" borderId="0" xfId="0" applyFont="1" applyBorder="1"/>
    <xf numFmtId="0" fontId="22" fillId="0" borderId="1" xfId="0" applyFont="1" applyBorder="1" applyAlignment="1">
      <alignment horizontal="left" vertical="center"/>
    </xf>
    <xf numFmtId="49" fontId="22" fillId="0" borderId="1" xfId="2" applyNumberFormat="1" applyFont="1" applyBorder="1" applyAlignment="1">
      <alignment horizontal="left" vertical="center"/>
    </xf>
    <xf numFmtId="0" fontId="20" fillId="4" borderId="2" xfId="2" applyFont="1" applyFill="1" applyBorder="1" applyAlignment="1">
      <alignment horizontal="center" vertical="center"/>
    </xf>
    <xf numFmtId="0" fontId="1" fillId="0" borderId="1" xfId="0" applyFont="1" applyBorder="1" applyAlignment="1">
      <alignment horizontal="left" vertical="center" wrapText="1"/>
    </xf>
    <xf numFmtId="49" fontId="1" fillId="0" borderId="1" xfId="2" applyNumberFormat="1" applyFont="1" applyBorder="1" applyAlignment="1">
      <alignment horizontal="left" vertical="center" wrapText="1"/>
    </xf>
    <xf numFmtId="164" fontId="17" fillId="2" borderId="0" xfId="0" applyNumberFormat="1" applyFont="1" applyFill="1" applyAlignment="1">
      <alignment horizontal="center" vertical="center" wrapText="1"/>
    </xf>
    <xf numFmtId="1" fontId="25" fillId="0" borderId="0" xfId="0" applyNumberFormat="1" applyFont="1" applyAlignment="1">
      <alignment horizontal="center" vertical="center" wrapText="1"/>
    </xf>
    <xf numFmtId="164" fontId="2" fillId="0" borderId="6" xfId="0" applyNumberFormat="1" applyFont="1" applyFill="1" applyBorder="1" applyAlignment="1">
      <alignment horizontal="center" vertical="center" wrapText="1"/>
    </xf>
    <xf numFmtId="3" fontId="0" fillId="0" borderId="6" xfId="0" applyNumberFormat="1" applyFill="1" applyBorder="1" applyAlignment="1">
      <alignment horizontal="left" vertical="center" wrapText="1"/>
    </xf>
    <xf numFmtId="164" fontId="2" fillId="0" borderId="6" xfId="0" applyNumberFormat="1" applyFont="1" applyBorder="1" applyAlignment="1">
      <alignment horizontal="center" vertical="center" wrapText="1"/>
    </xf>
    <xf numFmtId="0" fontId="2" fillId="0" borderId="5" xfId="0" applyNumberFormat="1" applyFont="1" applyBorder="1" applyAlignment="1">
      <alignment horizontal="center" vertical="center" wrapText="1"/>
    </xf>
    <xf numFmtId="0" fontId="2" fillId="0" borderId="5" xfId="0" applyFont="1" applyFill="1" applyBorder="1" applyAlignment="1">
      <alignment horizontal="center" vertical="center" wrapText="1"/>
    </xf>
    <xf numFmtId="0" fontId="2" fillId="0" borderId="1" xfId="0" applyFont="1" applyFill="1" applyBorder="1" applyAlignment="1">
      <alignment horizontal="center" vertical="center" wrapText="1"/>
    </xf>
    <xf numFmtId="0" fontId="2" fillId="2" borderId="6" xfId="0" applyNumberFormat="1" applyFont="1" applyFill="1" applyBorder="1" applyAlignment="1">
      <alignment horizontal="center" vertical="center" wrapText="1"/>
    </xf>
    <xf numFmtId="0" fontId="11" fillId="2" borderId="4" xfId="0" applyFont="1" applyFill="1" applyBorder="1" applyAlignment="1">
      <alignment vertical="center" wrapText="1"/>
    </xf>
    <xf numFmtId="20" fontId="2" fillId="0" borderId="1" xfId="0" applyNumberFormat="1" applyFont="1" applyFill="1" applyBorder="1" applyAlignment="1">
      <alignment horizontal="center" vertical="center" wrapText="1"/>
    </xf>
    <xf numFmtId="20" fontId="2" fillId="2" borderId="0" xfId="0" applyNumberFormat="1" applyFont="1" applyFill="1" applyAlignment="1">
      <alignment horizontal="center" vertical="center" wrapText="1"/>
    </xf>
    <xf numFmtId="20" fontId="4" fillId="3" borderId="8" xfId="0" applyNumberFormat="1" applyFont="1" applyFill="1" applyBorder="1" applyAlignment="1">
      <alignment horizontal="center" vertical="center" wrapText="1"/>
    </xf>
    <xf numFmtId="20" fontId="2" fillId="0" borderId="1" xfId="0" applyNumberFormat="1" applyFont="1" applyBorder="1" applyAlignment="1">
      <alignment horizontal="center" vertical="center" wrapText="1"/>
    </xf>
    <xf numFmtId="20" fontId="0" fillId="0" borderId="1" xfId="0" applyNumberFormat="1" applyBorder="1" applyAlignment="1">
      <alignment horizontal="center" vertical="center" wrapText="1"/>
    </xf>
    <xf numFmtId="20" fontId="2" fillId="2" borderId="1" xfId="0" applyNumberFormat="1" applyFont="1" applyFill="1" applyBorder="1" applyAlignment="1">
      <alignment horizontal="center" vertical="center" wrapText="1"/>
    </xf>
    <xf numFmtId="20" fontId="2" fillId="7" borderId="1" xfId="0" applyNumberFormat="1" applyFont="1" applyFill="1" applyBorder="1" applyAlignment="1">
      <alignment horizontal="center" vertical="center" wrapText="1"/>
    </xf>
    <xf numFmtId="20" fontId="0" fillId="2" borderId="1" xfId="0" applyNumberFormat="1" applyFill="1" applyBorder="1" applyAlignment="1">
      <alignment horizontal="center" vertical="center" wrapText="1"/>
    </xf>
    <xf numFmtId="20" fontId="2" fillId="0" borderId="6" xfId="0" applyNumberFormat="1" applyFont="1" applyFill="1" applyBorder="1" applyAlignment="1">
      <alignment horizontal="center" vertical="center" wrapText="1"/>
    </xf>
    <xf numFmtId="20" fontId="0" fillId="0" borderId="6" xfId="0" applyNumberFormat="1" applyFill="1" applyBorder="1" applyAlignment="1">
      <alignment horizontal="center" vertical="center" wrapText="1"/>
    </xf>
    <xf numFmtId="20" fontId="2" fillId="0" borderId="6" xfId="0" applyNumberFormat="1" applyFont="1" applyBorder="1" applyAlignment="1">
      <alignment horizontal="center" vertical="center" wrapText="1"/>
    </xf>
    <xf numFmtId="20" fontId="0" fillId="0" borderId="0" xfId="0" applyNumberFormat="1" applyAlignment="1">
      <alignment horizontal="center" vertical="center" wrapText="1"/>
    </xf>
    <xf numFmtId="20" fontId="2" fillId="2" borderId="1" xfId="0" applyNumberFormat="1" applyFont="1" applyFill="1" applyBorder="1" applyAlignment="1">
      <alignment horizontal="center" vertical="center" wrapText="1"/>
    </xf>
    <xf numFmtId="164" fontId="2" fillId="2" borderId="6" xfId="0" applyNumberFormat="1" applyFont="1" applyFill="1" applyBorder="1" applyAlignment="1">
      <alignment horizontal="center" vertical="center" wrapText="1"/>
    </xf>
    <xf numFmtId="1" fontId="0" fillId="2" borderId="6" xfId="0" applyNumberFormat="1" applyFill="1" applyBorder="1" applyAlignment="1">
      <alignment horizontal="center" vertical="center" wrapText="1"/>
    </xf>
    <xf numFmtId="164" fontId="0" fillId="2" borderId="6" xfId="0" applyNumberFormat="1" applyFill="1" applyBorder="1" applyAlignment="1">
      <alignment horizontal="center" vertical="center" wrapText="1"/>
    </xf>
    <xf numFmtId="20" fontId="0" fillId="2" borderId="6" xfId="0" applyNumberFormat="1" applyFill="1" applyBorder="1" applyAlignment="1">
      <alignment horizontal="center" vertical="center" wrapText="1"/>
    </xf>
    <xf numFmtId="0" fontId="0" fillId="2" borderId="6" xfId="0" applyNumberFormat="1" applyFill="1" applyBorder="1" applyAlignment="1">
      <alignment horizontal="center" vertical="center" wrapText="1"/>
    </xf>
    <xf numFmtId="3" fontId="0" fillId="2" borderId="6" xfId="0" applyNumberFormat="1" applyFill="1" applyBorder="1" applyAlignment="1">
      <alignment horizontal="center" vertical="center" wrapText="1"/>
    </xf>
    <xf numFmtId="0" fontId="2" fillId="2" borderId="6" xfId="0" applyNumberFormat="1" applyFont="1" applyFill="1" applyBorder="1" applyAlignment="1">
      <alignment horizontal="left" vertical="center" wrapText="1"/>
    </xf>
    <xf numFmtId="0" fontId="0" fillId="2" borderId="6" xfId="0" applyNumberFormat="1" applyFill="1" applyBorder="1" applyAlignment="1">
      <alignment horizontal="left" vertical="center" wrapText="1"/>
    </xf>
    <xf numFmtId="164" fontId="2" fillId="2" borderId="0" xfId="0" applyNumberFormat="1" applyFont="1" applyFill="1" applyAlignment="1">
      <alignment horizontal="left" vertical="center" wrapText="1"/>
    </xf>
    <xf numFmtId="0" fontId="4" fillId="3" borderId="10" xfId="0" applyNumberFormat="1" applyFont="1" applyFill="1" applyBorder="1" applyAlignment="1">
      <alignment horizontal="left" vertical="center" wrapText="1"/>
    </xf>
    <xf numFmtId="164" fontId="2" fillId="0" borderId="1" xfId="0" applyNumberFormat="1" applyFont="1" applyFill="1" applyBorder="1" applyAlignment="1">
      <alignment horizontal="left" vertical="center" wrapText="1"/>
    </xf>
    <xf numFmtId="164" fontId="2" fillId="0" borderId="1" xfId="0" applyNumberFormat="1" applyFont="1" applyBorder="1" applyAlignment="1">
      <alignment horizontal="left" vertical="center" wrapText="1"/>
    </xf>
    <xf numFmtId="164" fontId="2" fillId="2" borderId="1" xfId="0" applyNumberFormat="1" applyFont="1" applyFill="1" applyBorder="1" applyAlignment="1">
      <alignment horizontal="left" vertical="center" wrapText="1"/>
    </xf>
    <xf numFmtId="164" fontId="4" fillId="2" borderId="1" xfId="0" applyNumberFormat="1" applyFont="1" applyFill="1" applyBorder="1" applyAlignment="1">
      <alignment horizontal="left" vertical="center" wrapText="1"/>
    </xf>
    <xf numFmtId="164" fontId="2" fillId="7" borderId="1" xfId="0" applyNumberFormat="1" applyFont="1" applyFill="1" applyBorder="1" applyAlignment="1">
      <alignment horizontal="left" vertical="center" wrapText="1"/>
    </xf>
    <xf numFmtId="164" fontId="2" fillId="8" borderId="1" xfId="0" applyNumberFormat="1" applyFont="1" applyFill="1" applyBorder="1" applyAlignment="1">
      <alignment horizontal="left" vertical="center" wrapText="1"/>
    </xf>
    <xf numFmtId="164" fontId="0" fillId="0" borderId="1" xfId="0" applyNumberFormat="1" applyFill="1" applyBorder="1" applyAlignment="1">
      <alignment horizontal="left" vertical="center" wrapText="1"/>
    </xf>
    <xf numFmtId="164" fontId="0" fillId="0" borderId="1" xfId="0" applyNumberFormat="1" applyBorder="1" applyAlignment="1">
      <alignment horizontal="left" vertical="center" wrapText="1"/>
    </xf>
    <xf numFmtId="164" fontId="0" fillId="2" borderId="1" xfId="0" applyNumberFormat="1" applyFill="1" applyBorder="1" applyAlignment="1">
      <alignment horizontal="left" vertical="center" wrapText="1"/>
    </xf>
    <xf numFmtId="164" fontId="2" fillId="2" borderId="6" xfId="0" applyNumberFormat="1" applyFont="1" applyFill="1" applyBorder="1" applyAlignment="1">
      <alignment horizontal="left" vertical="center" wrapText="1"/>
    </xf>
    <xf numFmtId="164" fontId="2" fillId="0" borderId="6" xfId="0" applyNumberFormat="1" applyFont="1" applyBorder="1" applyAlignment="1">
      <alignment horizontal="left" vertical="center" wrapText="1"/>
    </xf>
    <xf numFmtId="164" fontId="0" fillId="0" borderId="6" xfId="0" applyNumberFormat="1" applyFill="1" applyBorder="1" applyAlignment="1">
      <alignment horizontal="left" vertical="center" wrapText="1"/>
    </xf>
    <xf numFmtId="164" fontId="2" fillId="0" borderId="6" xfId="0" applyNumberFormat="1" applyFont="1" applyFill="1" applyBorder="1" applyAlignment="1">
      <alignment horizontal="left" vertical="center" wrapText="1"/>
    </xf>
    <xf numFmtId="0" fontId="2" fillId="0" borderId="6" xfId="0" applyFont="1" applyBorder="1" applyAlignment="1">
      <alignment horizontal="left" wrapText="1"/>
    </xf>
    <xf numFmtId="164" fontId="0" fillId="0" borderId="6" xfId="0" applyNumberFormat="1" applyBorder="1" applyAlignment="1">
      <alignment horizontal="left" vertical="center" wrapText="1"/>
    </xf>
    <xf numFmtId="164" fontId="0" fillId="0" borderId="0" xfId="0" applyNumberFormat="1" applyAlignment="1">
      <alignment horizontal="left" vertical="center" wrapText="1"/>
    </xf>
    <xf numFmtId="0" fontId="2" fillId="0" borderId="6" xfId="0" applyFont="1" applyFill="1" applyBorder="1" applyAlignment="1">
      <alignment horizontal="center" vertical="center" wrapText="1"/>
    </xf>
    <xf numFmtId="49" fontId="26" fillId="0" borderId="1" xfId="2" applyNumberFormat="1" applyFont="1" applyBorder="1" applyAlignment="1">
      <alignment horizontal="left" vertical="center" wrapText="1"/>
    </xf>
    <xf numFmtId="0" fontId="22" fillId="0" borderId="0" xfId="2" applyFont="1" applyBorder="1" applyAlignment="1">
      <alignment horizontal="center" vertical="center"/>
    </xf>
    <xf numFmtId="0" fontId="1" fillId="0" borderId="0" xfId="0" applyFont="1" applyBorder="1" applyAlignment="1">
      <alignment horizontal="left" vertical="center" wrapText="1"/>
    </xf>
    <xf numFmtId="0" fontId="2" fillId="0" borderId="6" xfId="0" applyNumberFormat="1" applyFont="1" applyBorder="1" applyAlignment="1">
      <alignment horizontal="left" vertical="center" wrapText="1"/>
    </xf>
    <xf numFmtId="3" fontId="0" fillId="0" borderId="6" xfId="0" applyNumberFormat="1" applyBorder="1" applyAlignment="1">
      <alignment horizontal="left" vertical="center" wrapText="1"/>
    </xf>
    <xf numFmtId="3" fontId="0" fillId="2" borderId="6" xfId="0" applyNumberFormat="1" applyFill="1" applyBorder="1" applyAlignment="1">
      <alignment horizontal="left" vertical="center" wrapText="1"/>
    </xf>
    <xf numFmtId="0" fontId="2" fillId="2" borderId="6" xfId="0" applyFont="1" applyFill="1" applyBorder="1" applyAlignment="1">
      <alignment horizontal="center" vertical="center" wrapText="1"/>
    </xf>
    <xf numFmtId="3" fontId="2" fillId="0" borderId="6" xfId="0" applyNumberFormat="1" applyFont="1" applyFill="1" applyBorder="1" applyAlignment="1">
      <alignment horizontal="center" vertical="center" wrapText="1"/>
    </xf>
    <xf numFmtId="1" fontId="0" fillId="0" borderId="2" xfId="0" applyNumberFormat="1" applyFill="1" applyBorder="1" applyAlignment="1">
      <alignment horizontal="center" vertical="center" wrapText="1"/>
    </xf>
    <xf numFmtId="0" fontId="2" fillId="0" borderId="3" xfId="0" applyNumberFormat="1" applyFont="1" applyFill="1" applyBorder="1" applyAlignment="1">
      <alignment horizontal="left" vertical="center" wrapText="1"/>
    </xf>
    <xf numFmtId="20" fontId="2" fillId="2" borderId="6" xfId="0" applyNumberFormat="1" applyFont="1" applyFill="1" applyBorder="1" applyAlignment="1">
      <alignment horizontal="center" vertical="center" wrapText="1"/>
    </xf>
    <xf numFmtId="0" fontId="14" fillId="0" borderId="1" xfId="0" applyFont="1" applyBorder="1" applyAlignment="1">
      <alignment vertical="center" wrapText="1"/>
    </xf>
    <xf numFmtId="14" fontId="0" fillId="2" borderId="1" xfId="0" applyNumberFormat="1" applyFill="1" applyBorder="1" applyAlignment="1">
      <alignment horizontal="center" vertical="center"/>
    </xf>
    <xf numFmtId="0" fontId="11" fillId="2" borderId="1" xfId="1" applyFont="1" applyFill="1" applyBorder="1" applyAlignment="1">
      <alignment horizontal="center" vertical="center" wrapText="1"/>
    </xf>
    <xf numFmtId="0" fontId="12" fillId="2" borderId="1" xfId="1" applyFont="1" applyFill="1" applyBorder="1" applyAlignment="1">
      <alignment vertical="center"/>
    </xf>
    <xf numFmtId="3" fontId="11" fillId="2" borderId="1" xfId="1" applyNumberFormat="1" applyFont="1" applyFill="1" applyBorder="1" applyAlignment="1">
      <alignment horizontal="center" vertical="center"/>
    </xf>
    <xf numFmtId="3" fontId="11" fillId="2" borderId="1" xfId="1" applyNumberFormat="1" applyFont="1" applyFill="1" applyBorder="1" applyAlignment="1">
      <alignment vertical="center"/>
    </xf>
    <xf numFmtId="0" fontId="2" fillId="2" borderId="0" xfId="0" applyNumberFormat="1" applyFont="1" applyFill="1" applyBorder="1" applyAlignment="1">
      <alignment horizontal="center" vertical="center" wrapText="1"/>
    </xf>
    <xf numFmtId="0" fontId="11" fillId="2" borderId="1" xfId="1" applyFont="1" applyFill="1" applyBorder="1" applyAlignment="1">
      <alignment vertical="center"/>
    </xf>
    <xf numFmtId="164" fontId="11" fillId="2" borderId="1" xfId="1" applyNumberFormat="1" applyFont="1" applyFill="1" applyBorder="1" applyAlignment="1">
      <alignment horizontal="center" vertical="center" wrapText="1"/>
    </xf>
    <xf numFmtId="0" fontId="11" fillId="2" borderId="1" xfId="1" applyFont="1" applyFill="1" applyBorder="1" applyAlignment="1">
      <alignment horizontal="left" vertical="center" wrapText="1"/>
    </xf>
    <xf numFmtId="14" fontId="11" fillId="2" borderId="1" xfId="1" applyNumberFormat="1" applyFont="1" applyFill="1" applyBorder="1" applyAlignment="1">
      <alignment vertical="center" wrapText="1"/>
    </xf>
    <xf numFmtId="1" fontId="2" fillId="0" borderId="6" xfId="0" applyNumberFormat="1" applyFont="1" applyFill="1" applyBorder="1" applyAlignment="1">
      <alignment horizontal="center" vertical="center" wrapText="1"/>
    </xf>
    <xf numFmtId="164" fontId="2" fillId="0" borderId="2" xfId="2" applyNumberFormat="1" applyFill="1" applyBorder="1" applyAlignment="1">
      <alignment horizontal="center" vertical="center" wrapText="1"/>
    </xf>
    <xf numFmtId="20" fontId="2" fillId="0" borderId="2" xfId="2" applyNumberFormat="1" applyFill="1" applyBorder="1" applyAlignment="1">
      <alignment horizontal="center" vertical="center" wrapText="1"/>
    </xf>
    <xf numFmtId="0" fontId="2" fillId="0" borderId="2" xfId="2" applyNumberFormat="1" applyFont="1" applyFill="1" applyBorder="1" applyAlignment="1">
      <alignment horizontal="center" vertical="center" wrapText="1"/>
    </xf>
    <xf numFmtId="0" fontId="2" fillId="0" borderId="3" xfId="2" applyNumberFormat="1" applyFont="1" applyFill="1" applyBorder="1" applyAlignment="1">
      <alignment horizontal="center" vertical="center" wrapText="1"/>
    </xf>
    <xf numFmtId="3" fontId="2" fillId="0" borderId="2" xfId="2" applyNumberFormat="1" applyFont="1" applyFill="1" applyBorder="1" applyAlignment="1">
      <alignment horizontal="center" vertical="center" wrapText="1"/>
    </xf>
    <xf numFmtId="0" fontId="2" fillId="0" borderId="3" xfId="2" applyNumberFormat="1" applyFont="1" applyFill="1" applyBorder="1" applyAlignment="1">
      <alignment horizontal="left" vertical="center" wrapText="1"/>
    </xf>
    <xf numFmtId="0" fontId="2" fillId="0" borderId="2" xfId="2" applyNumberFormat="1" applyFont="1" applyFill="1" applyBorder="1" applyAlignment="1">
      <alignment horizontal="left" vertical="center" wrapText="1"/>
    </xf>
    <xf numFmtId="0" fontId="2" fillId="0" borderId="2" xfId="2" applyNumberFormat="1" applyFill="1" applyBorder="1" applyAlignment="1">
      <alignment horizontal="left" vertical="center" wrapText="1"/>
    </xf>
    <xf numFmtId="0" fontId="2" fillId="0" borderId="3" xfId="2" applyNumberFormat="1" applyFill="1" applyBorder="1" applyAlignment="1">
      <alignment horizontal="left" vertical="center" wrapText="1"/>
    </xf>
    <xf numFmtId="0" fontId="2" fillId="0" borderId="0" xfId="2" applyNumberFormat="1" applyFont="1" applyFill="1" applyBorder="1" applyAlignment="1">
      <alignment horizontal="center" vertical="center" wrapText="1"/>
    </xf>
    <xf numFmtId="0" fontId="2" fillId="0" borderId="2" xfId="2" applyNumberFormat="1" applyFill="1" applyBorder="1" applyAlignment="1">
      <alignment horizontal="center" vertical="center" wrapText="1"/>
    </xf>
    <xf numFmtId="164" fontId="2" fillId="0" borderId="0" xfId="2" applyNumberFormat="1" applyFill="1" applyBorder="1" applyAlignment="1">
      <alignment horizontal="center" vertical="center" wrapText="1"/>
    </xf>
    <xf numFmtId="164" fontId="2" fillId="0" borderId="3" xfId="2" applyNumberFormat="1" applyFill="1" applyBorder="1" applyAlignment="1">
      <alignment horizontal="left" vertical="center" wrapText="1"/>
    </xf>
    <xf numFmtId="0" fontId="2" fillId="0" borderId="3" xfId="2" applyNumberFormat="1" applyFill="1" applyBorder="1" applyAlignment="1">
      <alignment horizontal="center" vertical="center" wrapText="1"/>
    </xf>
    <xf numFmtId="0" fontId="2" fillId="0" borderId="2" xfId="2" applyFont="1" applyFill="1" applyBorder="1" applyAlignment="1">
      <alignment horizontal="center" vertical="center" wrapText="1"/>
    </xf>
    <xf numFmtId="0" fontId="0" fillId="0" borderId="0" xfId="0" applyAlignment="1">
      <alignment horizontal="center" vertical="center"/>
    </xf>
    <xf numFmtId="0" fontId="2" fillId="0" borderId="0" xfId="0" applyFont="1" applyAlignment="1">
      <alignment horizontal="center" vertical="center"/>
    </xf>
    <xf numFmtId="0" fontId="2" fillId="0" borderId="0" xfId="0" applyFont="1" applyAlignment="1">
      <alignment horizontal="center" vertical="center" wrapText="1"/>
    </xf>
    <xf numFmtId="1" fontId="2" fillId="0" borderId="0" xfId="0" applyNumberFormat="1" applyFont="1" applyAlignment="1">
      <alignment horizontal="center" vertical="center" wrapText="1"/>
    </xf>
    <xf numFmtId="164" fontId="0" fillId="0" borderId="0" xfId="0" applyNumberFormat="1" applyAlignment="1">
      <alignment horizontal="center" vertical="center"/>
    </xf>
    <xf numFmtId="0" fontId="2" fillId="0" borderId="0" xfId="0" applyNumberFormat="1" applyFont="1" applyAlignment="1">
      <alignment horizontal="center" vertical="center" wrapText="1"/>
    </xf>
    <xf numFmtId="0" fontId="0" fillId="0" borderId="0" xfId="0" applyAlignment="1">
      <alignment horizontal="center" vertical="center" wrapText="1"/>
    </xf>
    <xf numFmtId="0" fontId="0" fillId="0" borderId="0" xfId="0" applyNumberFormat="1" applyAlignment="1">
      <alignment horizontal="center" vertical="center"/>
    </xf>
    <xf numFmtId="2" fontId="0" fillId="0" borderId="0" xfId="0" applyNumberFormat="1" applyAlignment="1">
      <alignment horizontal="center" vertical="center" wrapText="1"/>
    </xf>
    <xf numFmtId="0" fontId="17" fillId="0" borderId="0" xfId="0" applyFont="1" applyAlignment="1">
      <alignment horizontal="center" vertical="center" wrapText="1"/>
    </xf>
    <xf numFmtId="0" fontId="17" fillId="0" borderId="0" xfId="0" applyFont="1" applyAlignment="1">
      <alignment horizontal="center" vertical="center"/>
    </xf>
    <xf numFmtId="165" fontId="17" fillId="0" borderId="0" xfId="0" applyNumberFormat="1" applyFont="1" applyAlignment="1">
      <alignment horizontal="center" vertical="center"/>
    </xf>
    <xf numFmtId="14" fontId="17" fillId="0" borderId="0" xfId="0" applyNumberFormat="1" applyFont="1" applyAlignment="1">
      <alignment horizontal="center" vertical="center"/>
    </xf>
    <xf numFmtId="0" fontId="17" fillId="0" borderId="12" xfId="0" applyFont="1" applyBorder="1" applyAlignment="1">
      <alignment horizontal="center" vertical="center" wrapText="1"/>
    </xf>
    <xf numFmtId="0" fontId="17" fillId="0" borderId="0" xfId="0" applyFont="1" applyBorder="1" applyAlignment="1">
      <alignment horizontal="center" vertical="center"/>
    </xf>
    <xf numFmtId="165" fontId="17" fillId="0" borderId="0" xfId="0" applyNumberFormat="1" applyFont="1" applyBorder="1" applyAlignment="1">
      <alignment horizontal="center" vertical="center"/>
    </xf>
    <xf numFmtId="164" fontId="17" fillId="0" borderId="0" xfId="0" applyNumberFormat="1" applyFont="1" applyBorder="1" applyAlignment="1">
      <alignment horizontal="center" vertical="center"/>
    </xf>
    <xf numFmtId="0" fontId="9" fillId="0" borderId="14" xfId="0" applyFont="1" applyBorder="1" applyAlignment="1">
      <alignment horizontal="center" vertical="center" wrapText="1"/>
    </xf>
    <xf numFmtId="0" fontId="0" fillId="0" borderId="0" xfId="0" applyBorder="1" applyAlignment="1">
      <alignment horizontal="center" vertical="center" wrapText="1"/>
    </xf>
    <xf numFmtId="0" fontId="0" fillId="0" borderId="17" xfId="0" applyBorder="1" applyAlignment="1">
      <alignment horizontal="center" vertical="center"/>
    </xf>
    <xf numFmtId="0" fontId="0" fillId="0" borderId="18" xfId="0" applyBorder="1" applyAlignment="1">
      <alignment horizontal="center" vertical="center"/>
    </xf>
    <xf numFmtId="0" fontId="4" fillId="0" borderId="18" xfId="0" applyFont="1" applyBorder="1" applyAlignment="1">
      <alignment horizontal="center" vertical="center"/>
    </xf>
    <xf numFmtId="0" fontId="0" fillId="0" borderId="19" xfId="0" applyBorder="1" applyAlignment="1">
      <alignment horizontal="center" vertical="center"/>
    </xf>
    <xf numFmtId="0" fontId="4" fillId="9" borderId="20" xfId="0" applyFont="1" applyFill="1" applyBorder="1" applyAlignment="1">
      <alignment horizontal="center" vertical="center" wrapText="1"/>
    </xf>
    <xf numFmtId="0" fontId="4" fillId="9" borderId="21" xfId="0" applyFont="1" applyFill="1" applyBorder="1" applyAlignment="1">
      <alignment horizontal="center" vertical="center" wrapText="1"/>
    </xf>
    <xf numFmtId="0" fontId="0" fillId="0" borderId="22" xfId="0" applyBorder="1" applyAlignment="1">
      <alignment horizontal="center" vertical="center"/>
    </xf>
    <xf numFmtId="0" fontId="0" fillId="0" borderId="2" xfId="0" applyBorder="1" applyAlignment="1">
      <alignment horizontal="center" vertical="center"/>
    </xf>
    <xf numFmtId="0" fontId="4" fillId="0" borderId="2" xfId="0" applyFont="1" applyBorder="1" applyAlignment="1">
      <alignment horizontal="center" vertical="center"/>
    </xf>
    <xf numFmtId="0" fontId="0" fillId="0" borderId="23" xfId="0" applyBorder="1" applyAlignment="1">
      <alignment horizontal="center" vertical="center"/>
    </xf>
    <xf numFmtId="0" fontId="4" fillId="9" borderId="7" xfId="0" applyFont="1" applyFill="1" applyBorder="1" applyAlignment="1">
      <alignment horizontal="center" vertical="center" wrapText="1"/>
    </xf>
    <xf numFmtId="0" fontId="4" fillId="9" borderId="8" xfId="0" applyFont="1" applyFill="1" applyBorder="1" applyAlignment="1">
      <alignment horizontal="center" vertical="center" wrapText="1"/>
    </xf>
    <xf numFmtId="49" fontId="2" fillId="9" borderId="8" xfId="0" applyNumberFormat="1" applyFont="1" applyFill="1" applyBorder="1" applyAlignment="1">
      <alignment horizontal="center" vertical="center" wrapText="1"/>
    </xf>
    <xf numFmtId="0" fontId="37" fillId="9" borderId="9" xfId="0" applyFont="1" applyFill="1" applyBorder="1" applyAlignment="1">
      <alignment horizontal="center" vertical="center" wrapText="1"/>
    </xf>
    <xf numFmtId="0" fontId="20" fillId="0" borderId="15" xfId="0" applyFont="1" applyBorder="1" applyAlignment="1">
      <alignment horizontal="center" wrapText="1"/>
    </xf>
    <xf numFmtId="0" fontId="20" fillId="0" borderId="16" xfId="0" applyFont="1" applyBorder="1" applyAlignment="1">
      <alignment horizontal="center" wrapText="1"/>
    </xf>
    <xf numFmtId="2" fontId="20" fillId="0" borderId="17" xfId="0" applyNumberFormat="1" applyFont="1" applyBorder="1" applyAlignment="1">
      <alignment horizontal="center" vertical="center"/>
    </xf>
    <xf numFmtId="2" fontId="20" fillId="0" borderId="19" xfId="0" applyNumberFormat="1" applyFont="1" applyBorder="1" applyAlignment="1">
      <alignment horizontal="center" vertical="center"/>
    </xf>
    <xf numFmtId="0" fontId="18" fillId="0" borderId="12" xfId="2" applyFont="1" applyBorder="1" applyAlignment="1">
      <alignment horizontal="center"/>
    </xf>
    <xf numFmtId="0" fontId="18" fillId="0" borderId="13" xfId="2" applyFont="1" applyBorder="1" applyAlignment="1">
      <alignment horizontal="center"/>
    </xf>
    <xf numFmtId="0" fontId="18" fillId="0" borderId="4" xfId="2" applyFont="1" applyBorder="1" applyAlignment="1">
      <alignment horizontal="center"/>
    </xf>
    <xf numFmtId="0" fontId="4" fillId="3" borderId="1" xfId="0" applyFont="1" applyFill="1" applyBorder="1" applyAlignment="1">
      <alignment horizontal="center" vertical="center"/>
    </xf>
    <xf numFmtId="0" fontId="4" fillId="5" borderId="1" xfId="0" applyFont="1" applyFill="1" applyBorder="1" applyAlignment="1">
      <alignment horizontal="center" vertical="center"/>
    </xf>
    <xf numFmtId="0" fontId="18" fillId="0" borderId="0" xfId="2" applyFont="1" applyAlignment="1">
      <alignment horizontal="left"/>
    </xf>
    <xf numFmtId="0" fontId="19" fillId="0" borderId="0" xfId="2" applyFont="1" applyBorder="1" applyAlignment="1">
      <alignment horizontal="left" vertical="center"/>
    </xf>
    <xf numFmtId="0" fontId="18" fillId="0" borderId="0" xfId="2" applyFont="1" applyBorder="1" applyAlignment="1">
      <alignment horizontal="center"/>
    </xf>
    <xf numFmtId="0" fontId="4" fillId="0" borderId="1" xfId="0" applyFont="1" applyBorder="1" applyAlignment="1">
      <alignment horizontal="center" vertical="center" wrapText="1"/>
    </xf>
  </cellXfs>
  <cellStyles count="3">
    <cellStyle name="Buena" xfId="1" builtinId="26"/>
    <cellStyle name="Normal" xfId="0" builtinId="0"/>
    <cellStyle name="Normal 2" xfId="2"/>
  </cellStyles>
  <dxfs count="0"/>
  <tableStyles count="0" defaultTableStyle="TableStyleMedium9" defaultPivotStyle="PivotStyleLight16"/>
  <colors>
    <mruColors>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s>
</file>

<file path=xl/charts/chart1.xml><?xml version="1.0" encoding="utf-8"?>
<c:chartSpace xmlns:c="http://schemas.openxmlformats.org/drawingml/2006/chart" xmlns:a="http://schemas.openxmlformats.org/drawingml/2006/main" xmlns:r="http://schemas.openxmlformats.org/officeDocument/2006/relationships">
  <c:lang val="es-ES"/>
  <c:chart>
    <c:view3D>
      <c:rotX val="40"/>
      <c:rotY val="40"/>
      <c:depthPercent val="100"/>
      <c:perspective val="60"/>
    </c:view3D>
    <c:plotArea>
      <c:layout>
        <c:manualLayout>
          <c:layoutTarget val="inner"/>
          <c:xMode val="edge"/>
          <c:yMode val="edge"/>
          <c:x val="0.17109882202237003"/>
          <c:y val="1.1165846226075856E-2"/>
          <c:w val="0.65752499862186531"/>
          <c:h val="0.98197507114929972"/>
        </c:manualLayout>
      </c:layout>
      <c:pie3DChart>
        <c:varyColors val="1"/>
        <c:ser>
          <c:idx val="0"/>
          <c:order val="0"/>
          <c:explosion val="139"/>
          <c:dLbls>
            <c:showVal val="1"/>
            <c:showCatName val="1"/>
            <c:showLeaderLines val="1"/>
          </c:dLbls>
          <c:cat>
            <c:strRef>
              <c:f>'Exp por Vocales'!$B$5:$B$23</c:f>
              <c:strCache>
                <c:ptCount val="19"/>
                <c:pt idx="0">
                  <c:v>Dra. Solorzano</c:v>
                </c:pt>
                <c:pt idx="1">
                  <c:v>Dr. Arias Nallar</c:v>
                </c:pt>
                <c:pt idx="2">
                  <c:v>Dr. Arias Nallar en feria</c:v>
                </c:pt>
                <c:pt idx="3">
                  <c:v>Dr. Arancibia</c:v>
                </c:pt>
                <c:pt idx="4">
                  <c:v>Dr. Arancibia en feria</c:v>
                </c:pt>
                <c:pt idx="5">
                  <c:v>Dr. Armiñana</c:v>
                </c:pt>
                <c:pt idx="6">
                  <c:v>Dr. Akemeier</c:v>
                </c:pt>
                <c:pt idx="7">
                  <c:v>Dr. Barrionuevo</c:v>
                </c:pt>
                <c:pt idx="8">
                  <c:v>Dr. Barrionuevo en feria</c:v>
                </c:pt>
                <c:pt idx="9">
                  <c:v>Dr. Martini</c:v>
                </c:pt>
                <c:pt idx="10">
                  <c:v>Dr. Pollioto</c:v>
                </c:pt>
                <c:pt idx="11">
                  <c:v>Dr. Guillermo A. Pollioto en feria</c:v>
                </c:pt>
                <c:pt idx="12">
                  <c:v>Dr. Mariño</c:v>
                </c:pt>
                <c:pt idx="13">
                  <c:v>Dr. Mariño en feria</c:v>
                </c:pt>
                <c:pt idx="14">
                  <c:v>Dr. Molinati</c:v>
                </c:pt>
                <c:pt idx="15">
                  <c:v>Dr.Ramón Medina</c:v>
                </c:pt>
                <c:pt idx="16">
                  <c:v>Dra. Edith Rodríguez</c:v>
                </c:pt>
                <c:pt idx="17">
                  <c:v>Dra. Edith Rodríguez en feria</c:v>
                </c:pt>
                <c:pt idx="18">
                  <c:v>Dra. Solorzano</c:v>
                </c:pt>
              </c:strCache>
            </c:strRef>
          </c:cat>
          <c:val>
            <c:numRef>
              <c:f>'Exp por Vocales'!$C$5:$C$23</c:f>
              <c:numCache>
                <c:formatCode>General</c:formatCode>
                <c:ptCount val="19"/>
                <c:pt idx="0">
                  <c:v>14</c:v>
                </c:pt>
                <c:pt idx="1">
                  <c:v>13</c:v>
                </c:pt>
                <c:pt idx="2">
                  <c:v>0</c:v>
                </c:pt>
                <c:pt idx="3">
                  <c:v>15</c:v>
                </c:pt>
                <c:pt idx="4">
                  <c:v>3</c:v>
                </c:pt>
                <c:pt idx="5">
                  <c:v>13</c:v>
                </c:pt>
                <c:pt idx="6">
                  <c:v>11</c:v>
                </c:pt>
                <c:pt idx="7">
                  <c:v>20</c:v>
                </c:pt>
                <c:pt idx="8">
                  <c:v>2</c:v>
                </c:pt>
                <c:pt idx="9">
                  <c:v>22</c:v>
                </c:pt>
                <c:pt idx="10">
                  <c:v>9</c:v>
                </c:pt>
                <c:pt idx="11">
                  <c:v>5</c:v>
                </c:pt>
                <c:pt idx="12">
                  <c:v>13</c:v>
                </c:pt>
                <c:pt idx="13">
                  <c:v>1</c:v>
                </c:pt>
                <c:pt idx="14">
                  <c:v>17</c:v>
                </c:pt>
                <c:pt idx="15">
                  <c:v>10</c:v>
                </c:pt>
                <c:pt idx="16">
                  <c:v>18</c:v>
                </c:pt>
                <c:pt idx="17">
                  <c:v>1</c:v>
                </c:pt>
                <c:pt idx="18">
                  <c:v>14</c:v>
                </c:pt>
              </c:numCache>
            </c:numRef>
          </c:val>
        </c:ser>
      </c:pie3DChart>
    </c:plotArea>
    <c:plotVisOnly val="1"/>
  </c:chart>
  <c:spPr>
    <a:ln>
      <a:noFill/>
    </a:ln>
    <a:scene3d>
      <a:camera prst="orthographicFront"/>
      <a:lightRig rig="threePt" dir="t"/>
    </a:scene3d>
    <a:sp3d>
      <a:bevelT/>
      <a:bevelB/>
    </a:sp3d>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AR"/>
            </a:pPr>
            <a:r>
              <a:rPr lang="es-ES"/>
              <a:t>Restan Por REALIZAR</a:t>
            </a:r>
          </a:p>
        </c:rich>
      </c:tx>
      <c:layout/>
    </c:title>
    <c:plotArea>
      <c:layout/>
      <c:pieChart>
        <c:varyColors val="1"/>
        <c:ser>
          <c:idx val="0"/>
          <c:order val="0"/>
          <c:tx>
            <c:strRef>
              <c:f>'Exp por Vocales'!$C$28</c:f>
              <c:strCache>
                <c:ptCount val="1"/>
                <c:pt idx="0">
                  <c:v>CANTIDAD</c:v>
                </c:pt>
              </c:strCache>
            </c:strRef>
          </c:tx>
          <c:dLbls>
            <c:spPr>
              <a:noFill/>
              <a:ln>
                <a:noFill/>
              </a:ln>
              <a:effectLst/>
            </c:spPr>
            <c:txPr>
              <a:bodyPr/>
              <a:lstStyle/>
              <a:p>
                <a:pPr>
                  <a:defRPr lang="es-AR"/>
                </a:pPr>
                <a:endParaRPr lang="es-ES"/>
              </a:p>
            </c:txPr>
            <c:showVal val="1"/>
            <c:showLeaderLines val="1"/>
            <c:extLst xmlns:c16r2="http://schemas.microsoft.com/office/drawing/2015/06/chart">
              <c:ext xmlns:c15="http://schemas.microsoft.com/office/drawing/2012/chart" uri="{CE6537A1-D6FC-4f65-9D91-7224C49458BB}"/>
            </c:extLst>
          </c:dLbls>
          <c:cat>
            <c:strRef>
              <c:f>'Exp por Vocales'!$B$29:$B$33</c:f>
              <c:strCache>
                <c:ptCount val="5"/>
                <c:pt idx="0">
                  <c:v>Dra. Solorzano</c:v>
                </c:pt>
                <c:pt idx="1">
                  <c:v>Dr. Arias Nallar</c:v>
                </c:pt>
                <c:pt idx="2">
                  <c:v>Dr. Arancibia</c:v>
                </c:pt>
                <c:pt idx="3">
                  <c:v>Dr. Akemeier</c:v>
                </c:pt>
                <c:pt idx="4">
                  <c:v>Dr. Barrionuevo</c:v>
                </c:pt>
              </c:strCache>
            </c:strRef>
          </c:cat>
          <c:val>
            <c:numRef>
              <c:f>'Exp por Vocales'!$C$29:$C$33</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8C77-483D-B0A9-7689A84322B1}"/>
            </c:ext>
          </c:extLst>
        </c:ser>
        <c:firstSliceAng val="0"/>
      </c:pieChart>
    </c:plotArea>
    <c:legend>
      <c:legendPos val="r"/>
      <c:layout/>
      <c:txPr>
        <a:bodyPr/>
        <a:lstStyle/>
        <a:p>
          <a:pPr>
            <a:defRPr lang="es-AR"/>
          </a:pPr>
          <a:endParaRPr lang="es-ES"/>
        </a:p>
      </c:txPr>
    </c:legend>
    <c:plotVisOnly val="1"/>
    <c:dispBlanksAs val="zero"/>
  </c:chart>
  <c:printSettings>
    <c:headerFooter/>
    <c:pageMargins b="0.74803149606315755" l="0.70866141732291565" r="0.70866141732291565" t="0.74803149606315755" header="0.3149606299213239" footer="0.3149606299213239"/>
    <c:pageSetup paperSize="5"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AR"/>
            </a:pPr>
            <a:r>
              <a:rPr lang="es-ES"/>
              <a:t>TOTAL</a:t>
            </a:r>
            <a:r>
              <a:rPr lang="es-ES" baseline="0"/>
              <a:t> ASIGNADAS</a:t>
            </a:r>
            <a:endParaRPr lang="es-ES"/>
          </a:p>
        </c:rich>
      </c:tx>
      <c:layout/>
    </c:title>
    <c:plotArea>
      <c:layout/>
      <c:pieChart>
        <c:varyColors val="1"/>
        <c:ser>
          <c:idx val="0"/>
          <c:order val="0"/>
          <c:dLbls>
            <c:spPr>
              <a:noFill/>
              <a:ln>
                <a:noFill/>
              </a:ln>
              <a:effectLst/>
            </c:spPr>
            <c:txPr>
              <a:bodyPr/>
              <a:lstStyle/>
              <a:p>
                <a:pPr>
                  <a:defRPr lang="es-AR"/>
                </a:pPr>
                <a:endParaRPr lang="es-ES"/>
              </a:p>
            </c:txPr>
            <c:showVal val="1"/>
            <c:showLeaderLines val="1"/>
            <c:extLst xmlns:c16r2="http://schemas.microsoft.com/office/drawing/2015/06/chart">
              <c:ext xmlns:c15="http://schemas.microsoft.com/office/drawing/2012/chart" uri="{CE6537A1-D6FC-4f65-9D91-7224C49458BB}"/>
            </c:extLst>
          </c:dLbls>
          <c:cat>
            <c:strRef>
              <c:f>'Exp por Vocales'!$B$5:$B$23</c:f>
              <c:strCache>
                <c:ptCount val="19"/>
                <c:pt idx="0">
                  <c:v>Dra. Solorzano</c:v>
                </c:pt>
                <c:pt idx="1">
                  <c:v>Dr. Arias Nallar</c:v>
                </c:pt>
                <c:pt idx="2">
                  <c:v>Dr. Arias Nallar en feria</c:v>
                </c:pt>
                <c:pt idx="3">
                  <c:v>Dr. Arancibia</c:v>
                </c:pt>
                <c:pt idx="4">
                  <c:v>Dr. Arancibia en feria</c:v>
                </c:pt>
                <c:pt idx="5">
                  <c:v>Dr. Armiñana</c:v>
                </c:pt>
                <c:pt idx="6">
                  <c:v>Dr. Akemeier</c:v>
                </c:pt>
                <c:pt idx="7">
                  <c:v>Dr. Barrionuevo</c:v>
                </c:pt>
                <c:pt idx="8">
                  <c:v>Dr. Barrionuevo en feria</c:v>
                </c:pt>
                <c:pt idx="9">
                  <c:v>Dr. Martini</c:v>
                </c:pt>
                <c:pt idx="10">
                  <c:v>Dr. Pollioto</c:v>
                </c:pt>
                <c:pt idx="11">
                  <c:v>Dr. Guillermo A. Pollioto en feria</c:v>
                </c:pt>
                <c:pt idx="12">
                  <c:v>Dr. Mariño</c:v>
                </c:pt>
                <c:pt idx="13">
                  <c:v>Dr. Mariño en feria</c:v>
                </c:pt>
                <c:pt idx="14">
                  <c:v>Dr. Molinati</c:v>
                </c:pt>
                <c:pt idx="15">
                  <c:v>Dr.Ramón Medina</c:v>
                </c:pt>
                <c:pt idx="16">
                  <c:v>Dra. Edith Rodríguez</c:v>
                </c:pt>
                <c:pt idx="17">
                  <c:v>Dra. Edith Rodríguez en feria</c:v>
                </c:pt>
                <c:pt idx="18">
                  <c:v>Dra. Solorzano</c:v>
                </c:pt>
              </c:strCache>
            </c:strRef>
          </c:cat>
          <c:val>
            <c:numRef>
              <c:f>'Exp por Vocales'!$C$5:$C$23</c:f>
              <c:numCache>
                <c:formatCode>General</c:formatCode>
                <c:ptCount val="19"/>
                <c:pt idx="0">
                  <c:v>14</c:v>
                </c:pt>
                <c:pt idx="1">
                  <c:v>13</c:v>
                </c:pt>
                <c:pt idx="2">
                  <c:v>0</c:v>
                </c:pt>
                <c:pt idx="3">
                  <c:v>15</c:v>
                </c:pt>
                <c:pt idx="4">
                  <c:v>3</c:v>
                </c:pt>
                <c:pt idx="5">
                  <c:v>13</c:v>
                </c:pt>
                <c:pt idx="6">
                  <c:v>11</c:v>
                </c:pt>
                <c:pt idx="7">
                  <c:v>20</c:v>
                </c:pt>
                <c:pt idx="8">
                  <c:v>2</c:v>
                </c:pt>
                <c:pt idx="9">
                  <c:v>22</c:v>
                </c:pt>
                <c:pt idx="10">
                  <c:v>9</c:v>
                </c:pt>
                <c:pt idx="11">
                  <c:v>5</c:v>
                </c:pt>
                <c:pt idx="12">
                  <c:v>13</c:v>
                </c:pt>
                <c:pt idx="13">
                  <c:v>1</c:v>
                </c:pt>
                <c:pt idx="14">
                  <c:v>17</c:v>
                </c:pt>
                <c:pt idx="15">
                  <c:v>10</c:v>
                </c:pt>
                <c:pt idx="16">
                  <c:v>18</c:v>
                </c:pt>
                <c:pt idx="17">
                  <c:v>1</c:v>
                </c:pt>
                <c:pt idx="18">
                  <c:v>14</c:v>
                </c:pt>
              </c:numCache>
            </c:numRef>
          </c:val>
          <c:extLst xmlns:c16r2="http://schemas.microsoft.com/office/drawing/2015/06/chart">
            <c:ext xmlns:c16="http://schemas.microsoft.com/office/drawing/2014/chart" uri="{C3380CC4-5D6E-409C-BE32-E72D297353CC}">
              <c16:uniqueId val="{00000000-4B55-4B60-BAA0-4D5AABB15F69}"/>
            </c:ext>
          </c:extLst>
        </c:ser>
        <c:firstSliceAng val="0"/>
      </c:pieChart>
    </c:plotArea>
    <c:plotVisOnly val="1"/>
    <c:dispBlanksAs val="zero"/>
  </c:chart>
  <c:printSettings>
    <c:headerFooter/>
    <c:pageMargins b="0.75000000000001465" l="0.70000000000000062" r="0.70000000000000062" t="0.75000000000001465" header="0.30000000000000032" footer="0.30000000000000032"/>
    <c:pageSetup paperSize="5"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c:lang val="es-ES"/>
  <c:chart>
    <c:title>
      <c:tx>
        <c:rich>
          <a:bodyPr/>
          <a:lstStyle/>
          <a:p>
            <a:pPr>
              <a:defRPr lang="es-AR"/>
            </a:pPr>
            <a:r>
              <a:rPr lang="es-ES"/>
              <a:t>RESUELTAS</a:t>
            </a:r>
          </a:p>
        </c:rich>
      </c:tx>
      <c:layout/>
    </c:title>
    <c:plotArea>
      <c:layout/>
      <c:pieChart>
        <c:varyColors val="1"/>
        <c:ser>
          <c:idx val="0"/>
          <c:order val="0"/>
          <c:tx>
            <c:strRef>
              <c:f>'Exp por Vocales'!$C$38</c:f>
              <c:strCache>
                <c:ptCount val="1"/>
                <c:pt idx="0">
                  <c:v>CANTIDAD</c:v>
                </c:pt>
              </c:strCache>
            </c:strRef>
          </c:tx>
          <c:dLbls>
            <c:spPr>
              <a:noFill/>
              <a:ln>
                <a:noFill/>
              </a:ln>
              <a:effectLst/>
            </c:spPr>
            <c:txPr>
              <a:bodyPr/>
              <a:lstStyle/>
              <a:p>
                <a:pPr>
                  <a:defRPr lang="es-AR"/>
                </a:pPr>
                <a:endParaRPr lang="es-ES"/>
              </a:p>
            </c:txPr>
            <c:showVal val="1"/>
            <c:showLeaderLines val="1"/>
            <c:extLst xmlns:c16r2="http://schemas.microsoft.com/office/drawing/2015/06/chart">
              <c:ext xmlns:c15="http://schemas.microsoft.com/office/drawing/2012/chart" uri="{CE6537A1-D6FC-4f65-9D91-7224C49458BB}"/>
            </c:extLst>
          </c:dLbls>
          <c:cat>
            <c:strRef>
              <c:f>'Exp por Vocales'!$B$39:$B$43</c:f>
              <c:strCache>
                <c:ptCount val="5"/>
                <c:pt idx="0">
                  <c:v>Dra. Solorzano</c:v>
                </c:pt>
                <c:pt idx="1">
                  <c:v>Dr. Arias Nallar</c:v>
                </c:pt>
                <c:pt idx="2">
                  <c:v>Dr. Arancibia</c:v>
                </c:pt>
                <c:pt idx="3">
                  <c:v>Dr. Akemeier</c:v>
                </c:pt>
                <c:pt idx="4">
                  <c:v>Dr. Barrionuevo</c:v>
                </c:pt>
              </c:strCache>
            </c:strRef>
          </c:cat>
          <c:val>
            <c:numRef>
              <c:f>'Exp por Vocales'!$C$39:$C$43</c:f>
              <c:numCache>
                <c:formatCode>General</c:formatCode>
                <c:ptCount val="5"/>
                <c:pt idx="0">
                  <c:v>0</c:v>
                </c:pt>
                <c:pt idx="1">
                  <c:v>0</c:v>
                </c:pt>
                <c:pt idx="2">
                  <c:v>0</c:v>
                </c:pt>
                <c:pt idx="3">
                  <c:v>0</c:v>
                </c:pt>
                <c:pt idx="4">
                  <c:v>0</c:v>
                </c:pt>
              </c:numCache>
            </c:numRef>
          </c:val>
          <c:extLst xmlns:c16r2="http://schemas.microsoft.com/office/drawing/2015/06/chart">
            <c:ext xmlns:c16="http://schemas.microsoft.com/office/drawing/2014/chart" uri="{C3380CC4-5D6E-409C-BE32-E72D297353CC}">
              <c16:uniqueId val="{00000000-22C3-44B5-925C-444E1A4AB89E}"/>
            </c:ext>
          </c:extLst>
        </c:ser>
        <c:firstSliceAng val="0"/>
      </c:pieChart>
    </c:plotArea>
    <c:legend>
      <c:legendPos val="r"/>
      <c:layout/>
      <c:txPr>
        <a:bodyPr/>
        <a:lstStyle/>
        <a:p>
          <a:pPr>
            <a:defRPr lang="es-AR"/>
          </a:pPr>
          <a:endParaRPr lang="es-ES"/>
        </a:p>
      </c:txPr>
    </c:legend>
    <c:plotVisOnly val="1"/>
    <c:dispBlanksAs val="zero"/>
  </c:chart>
  <c:printSettings>
    <c:headerFooter/>
    <c:pageMargins b="0.75000000000001465" l="0.70000000000000062" r="0.70000000000000062" t="0.75000000000001465" header="0.30000000000000032" footer="0.30000000000000032"/>
    <c:pageSetup orientation="portrait"/>
  </c:printSettings>
</c:chartSpace>
</file>

<file path=xl/charts/chart5.xml><?xml version="1.0" encoding="utf-8"?>
<c:chartSpace xmlns:c="http://schemas.openxmlformats.org/drawingml/2006/chart" xmlns:a="http://schemas.openxmlformats.org/drawingml/2006/main" xmlns:r="http://schemas.openxmlformats.org/officeDocument/2006/relationships">
  <c:lang val="es-ES"/>
  <c:chart>
    <c:view3D>
      <c:rotX val="50"/>
      <c:rotY val="200"/>
      <c:perspective val="60"/>
    </c:view3D>
    <c:plotArea>
      <c:layout>
        <c:manualLayout>
          <c:layoutTarget val="inner"/>
          <c:xMode val="edge"/>
          <c:yMode val="edge"/>
          <c:x val="7.8814358839159309E-3"/>
          <c:y val="1.7433836642028827E-4"/>
          <c:w val="0.99211856693170197"/>
          <c:h val="0.98333333333333328"/>
        </c:manualLayout>
      </c:layout>
      <c:pie3DChart>
        <c:varyColors val="1"/>
        <c:ser>
          <c:idx val="0"/>
          <c:order val="0"/>
          <c:explosion val="25"/>
          <c:dLbls>
            <c:dLbl>
              <c:idx val="0"/>
              <c:layout>
                <c:manualLayout>
                  <c:x val="4.3113992584026824E-2"/>
                  <c:y val="1.5375176041336341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0-A714-4E58-8F3B-E322A28F50D8}"/>
                </c:ext>
              </c:extLst>
            </c:dLbl>
            <c:dLbl>
              <c:idx val="1"/>
              <c:layout>
                <c:manualLayout>
                  <c:x val="-4.8612512667768254E-2"/>
                  <c:y val="8.0112368766404568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1-A714-4E58-8F3B-E322A28F50D8}"/>
                </c:ext>
              </c:extLst>
            </c:dLbl>
            <c:dLbl>
              <c:idx val="2"/>
              <c:layout>
                <c:manualLayout>
                  <c:x val="-0.13871723984253445"/>
                  <c:y val="-1.2286126790998603E-2"/>
                </c:manualLayout>
              </c:layout>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2-A714-4E58-8F3B-E322A28F50D8}"/>
                </c:ext>
              </c:extLst>
            </c:dLbl>
            <c:dLbl>
              <c:idx val="3"/>
              <c:layout>
                <c:manualLayout>
                  <c:x val="0"/>
                  <c:y val="-2.3036688648884154E-2"/>
                </c:manualLayout>
              </c:layout>
              <c:tx>
                <c:rich>
                  <a:bodyPr/>
                  <a:lstStyle/>
                  <a:p>
                    <a:r>
                      <a:rPr lang="en-US"/>
                      <a:t>Recursos </a:t>
                    </a:r>
                  </a:p>
                  <a:p>
                    <a:r>
                      <a:rPr lang="en-US"/>
                      <a:t>Abstractos
4  -    5%</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3-A714-4E58-8F3B-E322A28F50D8}"/>
                </c:ext>
              </c:extLst>
            </c:dLbl>
            <c:dLbl>
              <c:idx val="4"/>
              <c:layout>
                <c:manualLayout>
                  <c:x val="0.12926346540344941"/>
                  <c:y val="0.14288975024238654"/>
                </c:manualLayout>
              </c:layout>
              <c:spPr/>
              <c:txPr>
                <a:bodyPr/>
                <a:lstStyle/>
                <a:p>
                  <a:pPr>
                    <a:defRPr lang="es-ES" sz="1200" b="1">
                      <a:solidFill>
                        <a:schemeClr val="bg1"/>
                      </a:solidFill>
                    </a:defRPr>
                  </a:pPr>
                  <a:endParaRPr lang="es-ES"/>
                </a:p>
              </c:txPr>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4-A714-4E58-8F3B-E322A28F50D8}"/>
                </c:ext>
              </c:extLst>
            </c:dLbl>
            <c:dLbl>
              <c:idx val="5"/>
              <c:layout>
                <c:manualLayout>
                  <c:x val="-3.727040877232609E-2"/>
                  <c:y val="-0.20579781860964916"/>
                </c:manualLayout>
              </c:layout>
              <c:tx>
                <c:rich>
                  <a:bodyPr/>
                  <a:lstStyle/>
                  <a:p>
                    <a:r>
                      <a:rPr lang="en-US"/>
                      <a:t>Recursos </a:t>
                    </a:r>
                  </a:p>
                  <a:p>
                    <a:r>
                      <a:rPr lang="en-US"/>
                      <a:t>denegados </a:t>
                    </a:r>
                  </a:p>
                  <a:p>
                    <a:r>
                      <a:rPr lang="en-US"/>
                      <a:t>Mantiene </a:t>
                    </a:r>
                  </a:p>
                  <a:p>
                    <a:r>
                      <a:rPr lang="en-US"/>
                      <a:t>arresto </a:t>
                    </a:r>
                  </a:p>
                  <a:p>
                    <a:r>
                      <a:rPr lang="en-US"/>
                      <a:t>domiciliario
1</a:t>
                    </a:r>
                    <a:r>
                      <a:rPr lang="en-US" baseline="0"/>
                      <a:t>    </a:t>
                    </a:r>
                    <a:r>
                      <a:rPr lang="en-US"/>
                      <a:t> -  1%</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5-A714-4E58-8F3B-E322A28F50D8}"/>
                </c:ext>
              </c:extLst>
            </c:dLbl>
            <c:dLbl>
              <c:idx val="6"/>
              <c:layout>
                <c:manualLayout>
                  <c:x val="-0.13262396903028237"/>
                  <c:y val="-0.11082234251968506"/>
                </c:manualLayout>
              </c:layout>
              <c:tx>
                <c:rich>
                  <a:bodyPr/>
                  <a:lstStyle/>
                  <a:p>
                    <a:r>
                      <a:rPr lang="en-US" b="1">
                        <a:solidFill>
                          <a:schemeClr val="bg1"/>
                        </a:solidFill>
                      </a:rPr>
                      <a:t>Recursos</a:t>
                    </a:r>
                  </a:p>
                  <a:p>
                    <a:r>
                      <a:rPr lang="en-US" b="1">
                        <a:solidFill>
                          <a:schemeClr val="bg1"/>
                        </a:solidFill>
                      </a:rPr>
                      <a:t>donde </a:t>
                    </a:r>
                  </a:p>
                  <a:p>
                    <a:r>
                      <a:rPr lang="en-US" b="1">
                        <a:solidFill>
                          <a:schemeClr val="bg1"/>
                        </a:solidFill>
                      </a:rPr>
                      <a:t>se hizo </a:t>
                    </a:r>
                  </a:p>
                  <a:p>
                    <a:r>
                      <a:rPr lang="en-US" b="1">
                        <a:solidFill>
                          <a:schemeClr val="bg1"/>
                        </a:solidFill>
                      </a:rPr>
                      <a:t>lugar
6      -     7%</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6-A714-4E58-8F3B-E322A28F50D8}"/>
                </c:ext>
              </c:extLst>
            </c:dLbl>
            <c:dLbl>
              <c:idx val="7"/>
              <c:layout>
                <c:manualLayout>
                  <c:x val="0.10532886432593648"/>
                  <c:y val="-3.3173064304461944E-2"/>
                </c:manualLayout>
              </c:layout>
              <c:tx>
                <c:rich>
                  <a:bodyPr/>
                  <a:lstStyle/>
                  <a:p>
                    <a:r>
                      <a:rPr lang="en-US"/>
                      <a:t>Recursos donde se hizo lugar - Libertad
9   -   10%</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7-A714-4E58-8F3B-E322A28F50D8}"/>
                </c:ext>
              </c:extLst>
            </c:dLbl>
            <c:dLbl>
              <c:idx val="8"/>
              <c:layout>
                <c:manualLayout>
                  <c:x val="-5.0898854763096149E-2"/>
                  <c:y val="1.5562335958005265E-2"/>
                </c:manualLayout>
              </c:layout>
              <c:tx>
                <c:rich>
                  <a:bodyPr/>
                  <a:lstStyle/>
                  <a:p>
                    <a:r>
                      <a:rPr lang="en-US"/>
                      <a:t>Recursos donde se hizo lugar parcialmente  8- 9%</a:t>
                    </a:r>
                  </a:p>
                </c:rich>
              </c:tx>
              <c:showVal val="1"/>
              <c:showCatName val="1"/>
              <c:showPercent val="1"/>
              <c:extLst xmlns:c16r2="http://schemas.microsoft.com/office/drawing/2015/06/chart">
                <c:ext xmlns:c15="http://schemas.microsoft.com/office/drawing/2012/chart" uri="{CE6537A1-D6FC-4f65-9D91-7224C49458BB}"/>
                <c:ext xmlns:c16="http://schemas.microsoft.com/office/drawing/2014/chart" uri="{C3380CC4-5D6E-409C-BE32-E72D297353CC}">
                  <c16:uniqueId val="{00000008-A714-4E58-8F3B-E322A28F50D8}"/>
                </c:ext>
              </c:extLst>
            </c:dLbl>
            <c:dLbl>
              <c:idx val="9"/>
              <c:layout>
                <c:manualLayout>
                  <c:x val="1.961595658046594E-2"/>
                  <c:y val="-0.18098802493438321"/>
                </c:manualLayout>
              </c:layout>
              <c:spPr>
                <a:noFill/>
                <a:ln>
                  <a:noFill/>
                </a:ln>
                <a:effectLst/>
              </c:spPr>
              <c:txPr>
                <a:bodyPr/>
                <a:lstStyle/>
                <a:p>
                  <a:pPr>
                    <a:defRPr lang="es-ES" b="1">
                      <a:solidFill>
                        <a:schemeClr val="bg1"/>
                      </a:solidFill>
                    </a:defRPr>
                  </a:pPr>
                  <a:endParaRPr lang="es-ES"/>
                </a:p>
              </c:txPr>
              <c:showVal val="1"/>
              <c:showCatName val="1"/>
              <c:showPercent val="1"/>
            </c:dLbl>
            <c:spPr>
              <a:noFill/>
              <a:ln>
                <a:noFill/>
              </a:ln>
              <a:effectLst/>
            </c:spPr>
            <c:txPr>
              <a:bodyPr/>
              <a:lstStyle/>
              <a:p>
                <a:pPr>
                  <a:defRPr lang="es-ES"/>
                </a:pPr>
                <a:endParaRPr lang="es-ES"/>
              </a:p>
            </c:txPr>
            <c:showVal val="1"/>
            <c:showCatName val="1"/>
            <c:showPercent val="1"/>
            <c:showLeaderLines val="1"/>
            <c:extLst xmlns:c16r2="http://schemas.microsoft.com/office/drawing/2015/06/chart">
              <c:ext xmlns:c15="http://schemas.microsoft.com/office/drawing/2012/chart" uri="{CE6537A1-D6FC-4f65-9D91-7224C49458BB}"/>
            </c:extLst>
          </c:dLbls>
          <c:cat>
            <c:strRef>
              <c:f>'Graficos Estadisticos'!$C$6:$C$15</c:f>
              <c:strCache>
                <c:ptCount val="10"/>
                <c:pt idx="0">
                  <c:v>Audiencias Suspendidas</c:v>
                </c:pt>
                <c:pt idx="1">
                  <c:v>Desestimientos de Recursos</c:v>
                </c:pt>
                <c:pt idx="2">
                  <c:v>Otros </c:v>
                </c:pt>
                <c:pt idx="3">
                  <c:v>Recursos Abstractos</c:v>
                </c:pt>
                <c:pt idx="4">
                  <c:v>Recursos Denegados</c:v>
                </c:pt>
                <c:pt idx="5">
                  <c:v>Recursos denegados - Mantiene arresto domiciliario</c:v>
                </c:pt>
                <c:pt idx="6">
                  <c:v>Recursos donde se hizo lugar</c:v>
                </c:pt>
                <c:pt idx="7">
                  <c:v>Recursos rechazados</c:v>
                </c:pt>
                <c:pt idx="8">
                  <c:v>Recursos Inadmisibles</c:v>
                </c:pt>
                <c:pt idx="9">
                  <c:v>Audiencias de Visu</c:v>
                </c:pt>
              </c:strCache>
            </c:strRef>
          </c:cat>
          <c:val>
            <c:numRef>
              <c:f>'Graficos Estadisticos'!$B$6:$B$15</c:f>
              <c:numCache>
                <c:formatCode>General</c:formatCode>
                <c:ptCount val="10"/>
                <c:pt idx="0">
                  <c:v>2</c:v>
                </c:pt>
                <c:pt idx="1">
                  <c:v>3</c:v>
                </c:pt>
                <c:pt idx="2">
                  <c:v>10</c:v>
                </c:pt>
                <c:pt idx="3">
                  <c:v>9</c:v>
                </c:pt>
                <c:pt idx="4">
                  <c:v>92</c:v>
                </c:pt>
                <c:pt idx="5">
                  <c:v>3</c:v>
                </c:pt>
                <c:pt idx="6">
                  <c:v>54</c:v>
                </c:pt>
                <c:pt idx="7">
                  <c:v>4</c:v>
                </c:pt>
                <c:pt idx="8">
                  <c:v>2</c:v>
                </c:pt>
                <c:pt idx="9">
                  <c:v>19</c:v>
                </c:pt>
              </c:numCache>
            </c:numRef>
          </c:val>
          <c:extLst xmlns:c16r2="http://schemas.microsoft.com/office/drawing/2015/06/chart">
            <c:ext xmlns:c16="http://schemas.microsoft.com/office/drawing/2014/chart" uri="{C3380CC4-5D6E-409C-BE32-E72D297353CC}">
              <c16:uniqueId val="{00000009-A714-4E58-8F3B-E322A28F50D8}"/>
            </c:ext>
          </c:extLst>
        </c:ser>
      </c:pie3DChart>
    </c:plotArea>
    <c:plotVisOnly val="1"/>
    <c:dispBlanksAs val="zero"/>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s-ES"/>
  <c:chart>
    <c:view3D>
      <c:rotX val="40"/>
      <c:perspective val="30"/>
    </c:view3D>
    <c:plotArea>
      <c:layout>
        <c:manualLayout>
          <c:layoutTarget val="inner"/>
          <c:xMode val="edge"/>
          <c:yMode val="edge"/>
          <c:x val="0.25528349124416738"/>
          <c:y val="0.26760427485063382"/>
          <c:w val="0.7445303645115231"/>
          <c:h val="0.73037532486247692"/>
        </c:manualLayout>
      </c:layout>
      <c:pie3DChart>
        <c:varyColors val="1"/>
        <c:ser>
          <c:idx val="0"/>
          <c:order val="0"/>
          <c:explosion val="25"/>
          <c:dLbls>
            <c:dLbl>
              <c:idx val="0"/>
              <c:layout>
                <c:manualLayout>
                  <c:x val="-3.4118080244942479E-3"/>
                  <c:y val="-0.16912921635427558"/>
                </c:manualLayout>
              </c:layout>
              <c:showVal val="1"/>
              <c:showCatName val="1"/>
            </c:dLbl>
            <c:dLbl>
              <c:idx val="1"/>
              <c:layout>
                <c:manualLayout>
                  <c:x val="0.10107483182357786"/>
                  <c:y val="-0.13593157576620926"/>
                </c:manualLayout>
              </c:layout>
              <c:showVal val="1"/>
              <c:showCatName val="1"/>
            </c:dLbl>
            <c:dLbl>
              <c:idx val="2"/>
              <c:layout>
                <c:manualLayout>
                  <c:x val="8.5729564062879599E-2"/>
                  <c:y val="3.0671912487032344E-2"/>
                </c:manualLayout>
              </c:layout>
              <c:tx>
                <c:rich>
                  <a:bodyPr/>
                  <a:lstStyle/>
                  <a:p>
                    <a:pPr>
                      <a:defRPr lang="es-ES" b="0" i="0" baseline="0">
                        <a:solidFill>
                          <a:schemeClr val="bg1"/>
                        </a:solidFill>
                      </a:defRPr>
                    </a:pPr>
                    <a:r>
                      <a:rPr b="0">
                        <a:solidFill>
                          <a:sysClr val="windowText" lastClr="000000"/>
                        </a:solidFill>
                      </a:rPr>
                      <a:t>Hacer lugar parcialmente al Rec. planteado por Fiscalía; 1</a:t>
                    </a:r>
                  </a:p>
                </c:rich>
              </c:tx>
              <c:spPr/>
              <c:showVal val="1"/>
              <c:showCatName val="1"/>
            </c:dLbl>
            <c:dLbl>
              <c:idx val="3"/>
              <c:layout>
                <c:manualLayout>
                  <c:x val="-6.4137743479582773E-2"/>
                  <c:y val="-5.4501039425744455E-2"/>
                </c:manualLayout>
              </c:layout>
              <c:tx>
                <c:rich>
                  <a:bodyPr/>
                  <a:lstStyle/>
                  <a:p>
                    <a:r>
                      <a:rPr lang="en-US">
                        <a:solidFill>
                          <a:schemeClr val="bg1"/>
                        </a:solidFill>
                      </a:rPr>
                      <a:t>Hacer lugar </a:t>
                    </a:r>
                    <a:br>
                      <a:rPr lang="en-US">
                        <a:solidFill>
                          <a:schemeClr val="bg1"/>
                        </a:solidFill>
                      </a:rPr>
                    </a:br>
                    <a:r>
                      <a:rPr lang="en-US">
                        <a:solidFill>
                          <a:schemeClr val="bg1"/>
                        </a:solidFill>
                      </a:rPr>
                      <a:t>al Rec. planteado </a:t>
                    </a:r>
                    <a:br>
                      <a:rPr lang="en-US">
                        <a:solidFill>
                          <a:schemeClr val="bg1"/>
                        </a:solidFill>
                      </a:rPr>
                    </a:br>
                    <a:r>
                      <a:rPr lang="en-US">
                        <a:solidFill>
                          <a:schemeClr val="bg1"/>
                        </a:solidFill>
                      </a:rPr>
                      <a:t>por la Defensa - Libertad; 18</a:t>
                    </a:r>
                  </a:p>
                </c:rich>
              </c:tx>
              <c:showVal val="1"/>
              <c:showCatName val="1"/>
            </c:dLbl>
            <c:dLbl>
              <c:idx val="4"/>
              <c:layout>
                <c:manualLayout>
                  <c:x val="0.28050116039057577"/>
                  <c:y val="0"/>
                </c:manualLayout>
              </c:layout>
              <c:showVal val="1"/>
              <c:showCatName val="1"/>
            </c:dLbl>
            <c:dLbl>
              <c:idx val="5"/>
              <c:layout>
                <c:manualLayout>
                  <c:x val="-4.5790433003677508E-2"/>
                  <c:y val="-2.0120513829633983E-7"/>
                </c:manualLayout>
              </c:layout>
              <c:showVal val="1"/>
              <c:showCatName val="1"/>
            </c:dLbl>
            <c:dLbl>
              <c:idx val="6"/>
              <c:layout>
                <c:manualLayout>
                  <c:x val="-0.18907460570401866"/>
                  <c:y val="-6.777574962998377E-2"/>
                </c:manualLayout>
              </c:layout>
              <c:showVal val="1"/>
              <c:showCatName val="1"/>
            </c:dLbl>
            <c:dLbl>
              <c:idx val="7"/>
              <c:layout>
                <c:manualLayout>
                  <c:x val="-0.12191200640340699"/>
                  <c:y val="-0.22005560422758308"/>
                </c:manualLayout>
              </c:layout>
              <c:showVal val="1"/>
              <c:showCatName val="1"/>
            </c:dLbl>
            <c:dLbl>
              <c:idx val="8"/>
              <c:layout>
                <c:manualLayout>
                  <c:x val="-0.10943376912276305"/>
                  <c:y val="-9.902451724851169E-2"/>
                </c:manualLayout>
              </c:layout>
              <c:showVal val="1"/>
              <c:showCatName val="1"/>
            </c:dLbl>
            <c:dLbl>
              <c:idx val="9"/>
              <c:layout>
                <c:manualLayout>
                  <c:x val="-6.6980848996162509E-2"/>
                  <c:y val="-0.24594423529728018"/>
                </c:manualLayout>
              </c:layout>
              <c:showVal val="1"/>
              <c:showCatName val="1"/>
            </c:dLbl>
            <c:dLbl>
              <c:idx val="10"/>
              <c:layout>
                <c:manualLayout>
                  <c:x val="-7.9285005931659144E-2"/>
                  <c:y val="-0.10904896487427343"/>
                </c:manualLayout>
              </c:layout>
              <c:showVal val="1"/>
              <c:showCatName val="1"/>
            </c:dLbl>
            <c:dLbl>
              <c:idx val="11"/>
              <c:layout>
                <c:manualLayout>
                  <c:x val="-0.1295533115612191"/>
                  <c:y val="-0.10801341148553951"/>
                </c:manualLayout>
              </c:layout>
              <c:showVal val="1"/>
              <c:showCatName val="1"/>
            </c:dLbl>
            <c:dLbl>
              <c:idx val="12"/>
              <c:layout>
                <c:manualLayout>
                  <c:x val="-0.2738316437068945"/>
                  <c:y val="-6.52394561929351E-2"/>
                </c:manualLayout>
              </c:layout>
              <c:showVal val="1"/>
              <c:showCatName val="1"/>
            </c:dLbl>
            <c:dLbl>
              <c:idx val="13"/>
              <c:layout>
                <c:manualLayout>
                  <c:x val="-0.34053385085331578"/>
                  <c:y val="-0.14195105182491594"/>
                </c:manualLayout>
              </c:layout>
              <c:showVal val="1"/>
              <c:showCatName val="1"/>
            </c:dLbl>
            <c:dLbl>
              <c:idx val="14"/>
              <c:layout>
                <c:manualLayout>
                  <c:x val="-0.21226327110230012"/>
                  <c:y val="-0.20308861689575103"/>
                </c:manualLayout>
              </c:layout>
              <c:showVal val="1"/>
              <c:showCatName val="1"/>
            </c:dLbl>
            <c:dLbl>
              <c:idx val="15"/>
              <c:delete val="1"/>
            </c:dLbl>
            <c:dLbl>
              <c:idx val="16"/>
              <c:delete val="1"/>
            </c:dLbl>
            <c:txPr>
              <a:bodyPr/>
              <a:lstStyle/>
              <a:p>
                <a:pPr>
                  <a:defRPr lang="es-ES"/>
                </a:pPr>
                <a:endParaRPr lang="es-ES"/>
              </a:p>
            </c:txPr>
            <c:showVal val="1"/>
            <c:showCatName val="1"/>
            <c:showLeaderLines val="1"/>
          </c:dLbls>
          <c:cat>
            <c:strRef>
              <c:f>'Graficos Estadisticos'!$C$25:$C$39</c:f>
              <c:strCache>
                <c:ptCount val="15"/>
                <c:pt idx="0">
                  <c:v>No hacer lugar al Rec. planteado por Fiscalía - Mantener Libertad</c:v>
                </c:pt>
                <c:pt idx="1">
                  <c:v>Hacer lugar al Rec. planteado por Fiscalía - Preso</c:v>
                </c:pt>
                <c:pt idx="2">
                  <c:v>Hacer lugar parcialmente al Rec. planteado por Fiscalía</c:v>
                </c:pt>
                <c:pt idx="3">
                  <c:v>No hacer lugar al Rec. planteado por la Defensa - Mantener Preso</c:v>
                </c:pt>
                <c:pt idx="4">
                  <c:v>Hacer lugar al Rec. planteado por la Defensa - Libertad</c:v>
                </c:pt>
                <c:pt idx="5">
                  <c:v>Hacer lugar parcialmente al Rec. planteado por la Defensa</c:v>
                </c:pt>
                <c:pt idx="6">
                  <c:v>Se rechaza Rec. planteado por Fiscalía - Mantener la Libertad</c:v>
                </c:pt>
                <c:pt idx="7">
                  <c:v>Desestimiento del Rec. planteado por la Defensa</c:v>
                </c:pt>
                <c:pt idx="8">
                  <c:v>Recurso Inadmisible</c:v>
                </c:pt>
                <c:pt idx="9">
                  <c:v>Audiencia de Visu</c:v>
                </c:pt>
                <c:pt idx="10">
                  <c:v>Recurso Abstracto</c:v>
                </c:pt>
                <c:pt idx="11">
                  <c:v>Otros  Especificar en Observaciones</c:v>
                </c:pt>
                <c:pt idx="12">
                  <c:v>Hacer lugar al Rec. planteado por la Defensa</c:v>
                </c:pt>
                <c:pt idx="13">
                  <c:v>No hacer lugar al Rec. Planteado por la Fiscalía - Mantener arresto dom</c:v>
                </c:pt>
                <c:pt idx="14">
                  <c:v>Audiencia Suspendida</c:v>
                </c:pt>
              </c:strCache>
            </c:strRef>
          </c:cat>
          <c:val>
            <c:numRef>
              <c:f>'Graficos Estadisticos'!$B$25:$B$40</c:f>
              <c:numCache>
                <c:formatCode>General</c:formatCode>
                <c:ptCount val="16"/>
                <c:pt idx="0">
                  <c:v>5</c:v>
                </c:pt>
                <c:pt idx="1">
                  <c:v>2</c:v>
                </c:pt>
                <c:pt idx="2">
                  <c:v>1</c:v>
                </c:pt>
                <c:pt idx="3">
                  <c:v>87</c:v>
                </c:pt>
                <c:pt idx="4">
                  <c:v>19</c:v>
                </c:pt>
                <c:pt idx="5">
                  <c:v>9</c:v>
                </c:pt>
                <c:pt idx="6">
                  <c:v>3</c:v>
                </c:pt>
                <c:pt idx="7">
                  <c:v>3</c:v>
                </c:pt>
                <c:pt idx="8">
                  <c:v>2</c:v>
                </c:pt>
                <c:pt idx="9">
                  <c:v>19</c:v>
                </c:pt>
                <c:pt idx="10">
                  <c:v>9</c:v>
                </c:pt>
                <c:pt idx="11">
                  <c:v>10</c:v>
                </c:pt>
                <c:pt idx="12">
                  <c:v>23</c:v>
                </c:pt>
                <c:pt idx="13">
                  <c:v>3</c:v>
                </c:pt>
                <c:pt idx="14">
                  <c:v>2</c:v>
                </c:pt>
                <c:pt idx="15">
                  <c:v>1</c:v>
                </c:pt>
              </c:numCache>
            </c:numRef>
          </c:val>
        </c:ser>
      </c:pie3DChart>
    </c:plotArea>
    <c:plotVisOnly val="1"/>
  </c:chart>
  <c:printSettings>
    <c:headerFooter/>
    <c:pageMargins b="0.75000000000001255" l="0.70000000000000062" r="0.70000000000000062" t="0.75000000000001255"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3</xdr:col>
      <xdr:colOff>313765</xdr:colOff>
      <xdr:row>2</xdr:row>
      <xdr:rowOff>11205</xdr:rowOff>
    </xdr:from>
    <xdr:to>
      <xdr:col>10</xdr:col>
      <xdr:colOff>504264</xdr:colOff>
      <xdr:row>23</xdr:row>
      <xdr:rowOff>224117</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361950</xdr:colOff>
      <xdr:row>19</xdr:row>
      <xdr:rowOff>152400</xdr:rowOff>
    </xdr:from>
    <xdr:to>
      <xdr:col>7</xdr:col>
      <xdr:colOff>361950</xdr:colOff>
      <xdr:row>36</xdr:row>
      <xdr:rowOff>104775</xdr:rowOff>
    </xdr:to>
    <xdr:graphicFrame macro="">
      <xdr:nvGraphicFramePr>
        <xdr:cNvPr id="2" name="1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409575</xdr:colOff>
      <xdr:row>1</xdr:row>
      <xdr:rowOff>57150</xdr:rowOff>
    </xdr:from>
    <xdr:to>
      <xdr:col>7</xdr:col>
      <xdr:colOff>409575</xdr:colOff>
      <xdr:row>18</xdr:row>
      <xdr:rowOff>9525</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390525</xdr:colOff>
      <xdr:row>37</xdr:row>
      <xdr:rowOff>142875</xdr:rowOff>
    </xdr:from>
    <xdr:to>
      <xdr:col>7</xdr:col>
      <xdr:colOff>390525</xdr:colOff>
      <xdr:row>54</xdr:row>
      <xdr:rowOff>133350</xdr:rowOff>
    </xdr:to>
    <xdr:graphicFrame macro="">
      <xdr:nvGraphicFramePr>
        <xdr:cNvPr id="4" name="3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xml><?xml version="1.0" encoding="utf-8"?>
<xdr:wsDr xmlns:xdr="http://schemas.openxmlformats.org/drawingml/2006/spreadsheetDrawing" xmlns:a="http://schemas.openxmlformats.org/drawingml/2006/main">
  <xdr:oneCellAnchor>
    <xdr:from>
      <xdr:col>30</xdr:col>
      <xdr:colOff>123265</xdr:colOff>
      <xdr:row>19</xdr:row>
      <xdr:rowOff>243328</xdr:rowOff>
    </xdr:from>
    <xdr:ext cx="1228670" cy="217560"/>
    <xdr:sp macro="" textlink="">
      <xdr:nvSpPr>
        <xdr:cNvPr id="16" name="15 CuadroTexto"/>
        <xdr:cNvSpPr txBox="1"/>
      </xdr:nvSpPr>
      <xdr:spPr>
        <a:xfrm>
          <a:off x="43271515" y="6872728"/>
          <a:ext cx="1228670" cy="217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p>
          <a:r>
            <a:rPr lang="es-ES" sz="800"/>
            <a:t>Fuente:</a:t>
          </a:r>
          <a:r>
            <a:rPr lang="es-ES" sz="800" baseline="0"/>
            <a:t> registros propios</a:t>
          </a:r>
          <a:endParaRPr lang="es-ES" sz="800"/>
        </a:p>
      </xdr:txBody>
    </xdr:sp>
    <xdr:clientData/>
  </xdr:oneCellAnchor>
  <xdr:twoCellAnchor>
    <xdr:from>
      <xdr:col>3</xdr:col>
      <xdr:colOff>78441</xdr:colOff>
      <xdr:row>2</xdr:row>
      <xdr:rowOff>89647</xdr:rowOff>
    </xdr:from>
    <xdr:to>
      <xdr:col>11</xdr:col>
      <xdr:colOff>582706</xdr:colOff>
      <xdr:row>19</xdr:row>
      <xdr:rowOff>11206</xdr:rowOff>
    </xdr:to>
    <xdr:graphicFrame macro="">
      <xdr:nvGraphicFramePr>
        <xdr:cNvPr id="6" name="5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145676</xdr:colOff>
      <xdr:row>22</xdr:row>
      <xdr:rowOff>44824</xdr:rowOff>
    </xdr:from>
    <xdr:to>
      <xdr:col>11</xdr:col>
      <xdr:colOff>661147</xdr:colOff>
      <xdr:row>42</xdr:row>
      <xdr:rowOff>78442</xdr:rowOff>
    </xdr:to>
    <xdr:graphicFrame macro="">
      <xdr:nvGraphicFramePr>
        <xdr:cNvPr id="7" name="6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LCGar.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EXPEDIENTES"/>
      <sheetName val="defensores"/>
      <sheetName val="Informe Disponibilidad"/>
      <sheetName val="Licencias"/>
      <sheetName val="Feria"/>
      <sheetName val="Informe de Gestión"/>
      <sheetName val="no realizadas"/>
      <sheetName val="Exp por Jueces"/>
      <sheetName val="Informe semana"/>
      <sheetName val="Graficos Estadisticos"/>
      <sheetName val="Feriados"/>
      <sheetName val="Exp por Encargado"/>
      <sheetName val="Jueces"/>
      <sheetName val="Internos"/>
      <sheetName val="fiscalias penales"/>
      <sheetName val="Codigos"/>
      <sheetName val="Resultados"/>
      <sheetName val="Observac"/>
      <sheetName val="Horarios VIEJO"/>
      <sheetName val="Tecnicos"/>
      <sheetName val="Exp por Encargado - Alvaro"/>
      <sheetName val="Personal"/>
      <sheetName val="Notificaciones"/>
      <sheetName val="AGENDA"/>
      <sheetName val="AUXAG"/>
      <sheetName val="PLCGar"/>
    </sheetNames>
    <definedNames>
      <definedName name="PintaRosa"/>
      <definedName name="PintaVerde"/>
      <definedName name="PintAzul"/>
    </defined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ow r="1">
          <cell r="A1" t="str">
            <v>Dra. Lamas</v>
          </cell>
        </row>
        <row r="2">
          <cell r="A2" t="str">
            <v>Dr. Moreno</v>
          </cell>
        </row>
        <row r="3">
          <cell r="A3" t="str">
            <v>Dr. Cervantes</v>
          </cell>
        </row>
        <row r="4">
          <cell r="A4" t="str">
            <v>Dra. Nallim</v>
          </cell>
        </row>
        <row r="5">
          <cell r="A5" t="str">
            <v>Dr. Quiroga</v>
          </cell>
        </row>
        <row r="6">
          <cell r="A6" t="str">
            <v>Dra. Volante</v>
          </cell>
        </row>
        <row r="7">
          <cell r="A7" t="str">
            <v>Dr. Cornejo</v>
          </cell>
        </row>
        <row r="8">
          <cell r="A8" t="str">
            <v>Dra. Chanchorra</v>
          </cell>
        </row>
        <row r="9">
          <cell r="A9" t="str">
            <v>Dra. Pedraza</v>
          </cell>
        </row>
        <row r="10">
          <cell r="A10" t="str">
            <v>Dr. Nieva</v>
          </cell>
        </row>
        <row r="11">
          <cell r="A11" t="str">
            <v>Dra. Ana Irazusta</v>
          </cell>
        </row>
      </sheetData>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vmlDrawing" Target="../drawings/vmlDrawing1.v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sheetPr codeName="Hoja1" filterMode="1"/>
  <dimension ref="A1:AU1201"/>
  <sheetViews>
    <sheetView zoomScale="70" zoomScaleNormal="70" zoomScaleSheetLayoutView="55" workbookViewId="0">
      <pane ySplit="2" topLeftCell="A196" activePane="bottomLeft" state="frozen"/>
      <selection pane="bottomLeft" activeCell="A202" sqref="A202:XFD202"/>
    </sheetView>
  </sheetViews>
  <sheetFormatPr baseColWidth="10" defaultColWidth="11.42578125" defaultRowHeight="12.75"/>
  <cols>
    <col min="1" max="1" width="6.85546875" style="42" customWidth="1"/>
    <col min="2" max="2" width="10.7109375" style="2" customWidth="1"/>
    <col min="3" max="3" width="6.7109375" style="1" customWidth="1"/>
    <col min="4" max="4" width="37" style="1" customWidth="1"/>
    <col min="5" max="5" width="12.140625" style="1" customWidth="1"/>
    <col min="6" max="6" width="20.7109375" style="1" customWidth="1"/>
    <col min="7" max="7" width="17.140625" style="1" bestFit="1" customWidth="1"/>
    <col min="8" max="8" width="20.7109375" style="1" customWidth="1"/>
    <col min="9" max="10" width="20.7109375" style="30" customWidth="1"/>
    <col min="11" max="11" width="14.85546875" style="30" customWidth="1"/>
    <col min="12" max="12" width="20.7109375" style="30" customWidth="1"/>
    <col min="13" max="17" width="20.7109375" style="1" customWidth="1"/>
    <col min="18" max="18" width="14.7109375" style="2" customWidth="1"/>
    <col min="19" max="19" width="17" style="169" customWidth="1"/>
    <col min="20" max="20" width="24.28515625" style="2" bestFit="1" customWidth="1"/>
    <col min="21" max="21" width="61.7109375" style="196" customWidth="1"/>
    <col min="22" max="22" width="16.42578125" style="1" customWidth="1"/>
    <col min="23" max="23" width="11.85546875" style="23" customWidth="1"/>
    <col min="24" max="24" width="10.140625" style="23" customWidth="1"/>
    <col min="25" max="25" width="15.7109375" style="10" customWidth="1"/>
    <col min="26" max="26" width="97.85546875" style="112" customWidth="1"/>
    <col min="27" max="27" width="42.5703125" style="112" customWidth="1"/>
    <col min="28" max="28" width="30.7109375" style="10" customWidth="1"/>
    <col min="29" max="31" width="11.42578125" style="10"/>
    <col min="32" max="47" width="22.7109375" style="1" customWidth="1"/>
    <col min="48" max="16384" width="11.42578125" style="1"/>
  </cols>
  <sheetData>
    <row r="1" spans="1:47" ht="130.5" customHeight="1">
      <c r="A1" s="23">
        <v>211</v>
      </c>
      <c r="B1" s="31"/>
      <c r="C1" s="23"/>
      <c r="D1" s="23"/>
      <c r="E1" s="23"/>
      <c r="F1" s="23"/>
      <c r="G1" s="23"/>
      <c r="H1" s="23"/>
      <c r="I1" s="32"/>
      <c r="J1" s="32"/>
      <c r="K1" s="32"/>
      <c r="L1" s="32"/>
      <c r="M1" s="23"/>
      <c r="N1" s="23"/>
      <c r="O1" s="23"/>
      <c r="P1" s="87">
        <v>45120</v>
      </c>
      <c r="Q1" s="23"/>
      <c r="R1" s="31"/>
      <c r="S1" s="159"/>
      <c r="T1" s="31"/>
      <c r="U1" s="179"/>
      <c r="V1" s="23"/>
      <c r="W1" s="87">
        <v>45202</v>
      </c>
      <c r="X1" s="148">
        <v>45218</v>
      </c>
      <c r="Y1" s="149">
        <v>25</v>
      </c>
      <c r="Z1" s="110">
        <v>45098</v>
      </c>
      <c r="AA1" s="110">
        <v>45100</v>
      </c>
      <c r="AH1" s="243">
        <v>1</v>
      </c>
      <c r="AI1" s="243">
        <v>2</v>
      </c>
      <c r="AJ1" s="1">
        <v>3</v>
      </c>
      <c r="AK1" s="1">
        <v>4</v>
      </c>
      <c r="AL1" s="1">
        <v>5</v>
      </c>
      <c r="AM1" s="1">
        <v>6</v>
      </c>
      <c r="AN1" s="1">
        <v>7</v>
      </c>
      <c r="AO1" s="1">
        <v>8</v>
      </c>
      <c r="AP1" s="1">
        <v>9</v>
      </c>
      <c r="AQ1" s="1">
        <v>10</v>
      </c>
      <c r="AR1" s="1">
        <v>11</v>
      </c>
      <c r="AS1" s="1">
        <v>12</v>
      </c>
      <c r="AT1" s="1">
        <v>1</v>
      </c>
      <c r="AU1" s="1">
        <v>2</v>
      </c>
    </row>
    <row r="2" spans="1:47" ht="77.25" hidden="1" thickBot="1">
      <c r="A2" s="116" t="s">
        <v>3</v>
      </c>
      <c r="B2" s="117" t="s">
        <v>0</v>
      </c>
      <c r="C2" s="118" t="s">
        <v>2</v>
      </c>
      <c r="D2" s="118" t="s">
        <v>82</v>
      </c>
      <c r="E2" s="119" t="s">
        <v>1</v>
      </c>
      <c r="F2" s="120" t="s">
        <v>83</v>
      </c>
      <c r="G2" s="118" t="s">
        <v>84</v>
      </c>
      <c r="H2" s="118" t="s">
        <v>85</v>
      </c>
      <c r="I2" s="119" t="s">
        <v>86</v>
      </c>
      <c r="J2" s="120" t="s">
        <v>87</v>
      </c>
      <c r="K2" s="118" t="s">
        <v>88</v>
      </c>
      <c r="L2" s="119" t="s">
        <v>85</v>
      </c>
      <c r="M2" s="120" t="s">
        <v>50</v>
      </c>
      <c r="N2" s="118" t="s">
        <v>89</v>
      </c>
      <c r="O2" s="118" t="s">
        <v>90</v>
      </c>
      <c r="P2" s="118" t="s">
        <v>91</v>
      </c>
      <c r="Q2" s="118" t="s">
        <v>130</v>
      </c>
      <c r="R2" s="117" t="s">
        <v>1103</v>
      </c>
      <c r="S2" s="160" t="s">
        <v>2</v>
      </c>
      <c r="T2" s="118" t="s">
        <v>92</v>
      </c>
      <c r="U2" s="180" t="s">
        <v>888</v>
      </c>
      <c r="V2" s="121" t="s">
        <v>93</v>
      </c>
      <c r="W2" s="122" t="s">
        <v>56</v>
      </c>
      <c r="X2" s="122"/>
      <c r="Y2" s="123" t="s">
        <v>982</v>
      </c>
      <c r="Z2" s="124" t="s">
        <v>983</v>
      </c>
      <c r="AA2" s="125" t="s">
        <v>984</v>
      </c>
      <c r="AC2" s="10" t="s">
        <v>1654</v>
      </c>
      <c r="AD2" s="10" t="s">
        <v>1655</v>
      </c>
      <c r="AE2" s="10" t="s">
        <v>1656</v>
      </c>
      <c r="AF2" s="241" t="s">
        <v>1658</v>
      </c>
      <c r="AG2" s="241" t="s">
        <v>1659</v>
      </c>
      <c r="AH2" s="241" t="s">
        <v>1660</v>
      </c>
      <c r="AI2" s="241" t="s">
        <v>1661</v>
      </c>
      <c r="AJ2" s="241" t="s">
        <v>1662</v>
      </c>
      <c r="AK2" s="241" t="s">
        <v>1663</v>
      </c>
      <c r="AL2" s="241" t="s">
        <v>1664</v>
      </c>
      <c r="AM2" s="241" t="s">
        <v>1665</v>
      </c>
      <c r="AN2" s="241" t="s">
        <v>1666</v>
      </c>
      <c r="AO2" s="241" t="s">
        <v>1667</v>
      </c>
      <c r="AP2" s="241" t="s">
        <v>1668</v>
      </c>
      <c r="AQ2" s="241" t="s">
        <v>1669</v>
      </c>
      <c r="AR2" s="241" t="s">
        <v>1670</v>
      </c>
      <c r="AS2" s="241" t="s">
        <v>1671</v>
      </c>
      <c r="AT2" s="241" t="s">
        <v>1672</v>
      </c>
      <c r="AU2" s="241" t="s">
        <v>1673</v>
      </c>
    </row>
    <row r="3" spans="1:47" ht="80.099999999999994" hidden="1" customHeight="1">
      <c r="A3" s="40">
        <v>1</v>
      </c>
      <c r="B3" s="210">
        <v>45027</v>
      </c>
      <c r="C3" s="158">
        <v>0.54166666666666663</v>
      </c>
      <c r="D3" s="6" t="s">
        <v>106</v>
      </c>
      <c r="E3" s="211" t="s">
        <v>111</v>
      </c>
      <c r="F3" s="212" t="s">
        <v>145</v>
      </c>
      <c r="G3" s="213">
        <v>21316787</v>
      </c>
      <c r="H3" s="43" t="s">
        <v>146</v>
      </c>
      <c r="I3" s="43" t="s">
        <v>147</v>
      </c>
      <c r="J3" s="43" t="s">
        <v>148</v>
      </c>
      <c r="K3" s="214">
        <v>42446454</v>
      </c>
      <c r="L3" s="43" t="s">
        <v>136</v>
      </c>
      <c r="M3" s="43" t="s">
        <v>137</v>
      </c>
      <c r="N3" s="6"/>
      <c r="O3" s="8"/>
      <c r="P3" s="216" t="s">
        <v>138</v>
      </c>
      <c r="Q3" s="43" t="s">
        <v>139</v>
      </c>
      <c r="R3" s="217">
        <v>45034</v>
      </c>
      <c r="S3" s="158">
        <v>0.45833333333333331</v>
      </c>
      <c r="T3" s="43" t="s">
        <v>164</v>
      </c>
      <c r="U3" s="218" t="s">
        <v>1043</v>
      </c>
      <c r="V3" s="219" t="s">
        <v>140</v>
      </c>
      <c r="W3" s="23" t="str">
        <f t="shared" ref="W3" ca="1" si="0">IF(R3&lt;=TODAY(),"SI","NO")</f>
        <v>SI</v>
      </c>
      <c r="X3" s="23" t="str">
        <f t="shared" ref="X3" si="1">IF($X$1=R3,"DIASOL", "DIANOSOL")</f>
        <v>DIANOSOL</v>
      </c>
      <c r="Y3" s="50" t="s">
        <v>991</v>
      </c>
      <c r="Z3" s="111" t="s">
        <v>1022</v>
      </c>
      <c r="AA3" s="111" t="str">
        <f>IF(Z3&lt;&gt;"",VLOOKUP($Z3,Resultados!$A$1:$B$49,2,FALSE),"")</f>
        <v>Recursos donde se hizo lugar</v>
      </c>
      <c r="AC3" s="10">
        <f>DAY($R3)</f>
        <v>18</v>
      </c>
      <c r="AD3" s="10">
        <f>MONTH($R3)</f>
        <v>4</v>
      </c>
      <c r="AE3" s="239">
        <f>YEAR(R3)</f>
        <v>2023</v>
      </c>
      <c r="AF3" s="1">
        <f t="shared" ref="AF3:AF34" si="2">IF(AND(NETWORKDAYS($B3,$R3)&gt;0,$AE3=2023),NETWORKDAYS($B3,$R3)," ")</f>
        <v>6</v>
      </c>
      <c r="AG3" s="1" t="str">
        <f t="shared" ref="AG3:AG34" si="3">IF(AND(NETWORKDAYS($B3,$R3)&gt;0,$AE3=2024),NETWORKDAYS($B3,$R3)," ")</f>
        <v xml:space="preserve"> </v>
      </c>
      <c r="AH3" s="1" t="str">
        <f t="shared" ref="AH3:AH66" si="4">IF(AND(NETWORKDAYS($B3,$R3)&gt;0,$AE3=2023,$AD3=$AH$1),NETWORKDAYS($B3,$R3)," ")</f>
        <v xml:space="preserve"> </v>
      </c>
      <c r="AI3" s="1" t="str">
        <f t="shared" ref="AI3:AI66" si="5">IF(AND(NETWORKDAYS($B3,$R3)&gt;0,$AE3=2023,$AD3=$AI$1),NETWORKDAYS($B3,$R3)," ")</f>
        <v xml:space="preserve"> </v>
      </c>
      <c r="AJ3" s="1" t="str">
        <f t="shared" ref="AJ3:AJ66" si="6">IF(AND(NETWORKDAYS($B3,$R3)&gt;0,$AE3=2023,$AD3=$AJ$1),NETWORKDAYS($B3,$R3)," ")</f>
        <v xml:space="preserve"> </v>
      </c>
      <c r="AK3" s="1">
        <f t="shared" ref="AK3:AK66" si="7">IF(AND(NETWORKDAYS($B3,$R3)&gt;0,$AE3=2023,$AD3=$AK$1),NETWORKDAYS($B3,$R3)," ")</f>
        <v>6</v>
      </c>
      <c r="AL3" s="1" t="str">
        <f t="shared" ref="AL3:AL66" si="8">IF(AND(NETWORKDAYS($B3,$R3)&gt;0,$AE3=2023,$AD3=$AL$1),NETWORKDAYS($B3,$R3)," ")</f>
        <v xml:space="preserve"> </v>
      </c>
      <c r="AM3" s="1" t="str">
        <f t="shared" ref="AM3:AM66" si="9">IF(AND(NETWORKDAYS($B3,$R3)&gt;0,$AE3=2023,$AD3=$AM$1),NETWORKDAYS($B3,$R3)," ")</f>
        <v xml:space="preserve"> </v>
      </c>
      <c r="AN3" s="1" t="str">
        <f t="shared" ref="AN3:AN66" si="10">IF(AND(NETWORKDAYS($B3,$R3)&gt;0,$AE3=2023,$AD3=$AN$1),NETWORKDAYS($B3,$R3)," ")</f>
        <v xml:space="preserve"> </v>
      </c>
      <c r="AO3" s="1" t="str">
        <f t="shared" ref="AO3:AO66" si="11">IF(AND(NETWORKDAYS($B3,$R3)&gt;0,$AE3=2023,$AD3=$AO$1),NETWORKDAYS($B3,$R3)," ")</f>
        <v xml:space="preserve"> </v>
      </c>
      <c r="AP3" s="1" t="str">
        <f t="shared" ref="AP3:AP66" si="12">IF(AND(NETWORKDAYS($B3,$R3)&gt;0,$AE3=2023,$AD3=$AP$1),NETWORKDAYS($B3,$R3)," ")</f>
        <v xml:space="preserve"> </v>
      </c>
      <c r="AQ3" s="1" t="str">
        <f t="shared" ref="AQ3:AQ66" si="13">IF(AND(NETWORKDAYS($B3,$R3)&gt;0,$AE3=2023,$AD3=$AQ$1),NETWORKDAYS($B3,$R3)," ")</f>
        <v xml:space="preserve"> </v>
      </c>
      <c r="AR3" s="1" t="str">
        <f t="shared" ref="AR3:AR66" si="14">IF(AND(NETWORKDAYS($B3,$R3)&gt;0,$AE3=2023,$AD3=$AR$1),NETWORKDAYS($B3,$R3)," ")</f>
        <v xml:space="preserve"> </v>
      </c>
      <c r="AS3" s="1" t="str">
        <f t="shared" ref="AS3:AS66" si="15">IF(AND(NETWORKDAYS($B3,$R3)&gt;0,$AE3=2023,$AD3=$AS$1),NETWORKDAYS($B3,$R3)," ")</f>
        <v xml:space="preserve"> </v>
      </c>
      <c r="AT3" s="1" t="str">
        <f t="shared" ref="AT3:AT66" si="16">IF(AND(NETWORKDAYS($B3,$R3)&gt;0,$AE3=2023,$AD3=$AT$1),NETWORKDAYS($B3,$R3)," ")</f>
        <v xml:space="preserve"> </v>
      </c>
      <c r="AU3" s="1" t="str">
        <f t="shared" ref="AU3:AU66" si="17">IF(AND(NETWORKDAYS($B3,$R3)&gt;0,$AE3=2023,$AD3=$AU$1),NETWORKDAYS($B3,$R3)," ")</f>
        <v xml:space="preserve"> </v>
      </c>
    </row>
    <row r="4" spans="1:47" ht="76.5" hidden="1">
      <c r="A4" s="40">
        <v>2</v>
      </c>
      <c r="B4" s="34">
        <v>45028</v>
      </c>
      <c r="C4" s="158">
        <v>0.41666666666666669</v>
      </c>
      <c r="D4" s="6" t="s">
        <v>103</v>
      </c>
      <c r="E4" s="6" t="s">
        <v>112</v>
      </c>
      <c r="F4" s="36" t="s">
        <v>117</v>
      </c>
      <c r="G4" s="49">
        <v>30636137</v>
      </c>
      <c r="H4" s="35" t="s">
        <v>118</v>
      </c>
      <c r="I4" s="35" t="s">
        <v>119</v>
      </c>
      <c r="J4" s="35" t="s">
        <v>141</v>
      </c>
      <c r="K4" s="35"/>
      <c r="L4" s="207"/>
      <c r="M4" s="6" t="s">
        <v>120</v>
      </c>
      <c r="N4" s="43" t="s">
        <v>142</v>
      </c>
      <c r="O4" s="43" t="s">
        <v>143</v>
      </c>
      <c r="P4" s="22"/>
      <c r="Q4" s="43" t="s">
        <v>139</v>
      </c>
      <c r="R4" s="34">
        <v>45035</v>
      </c>
      <c r="S4" s="158" t="s">
        <v>133</v>
      </c>
      <c r="T4" s="6" t="s">
        <v>911</v>
      </c>
      <c r="U4" s="35" t="s">
        <v>1062</v>
      </c>
      <c r="V4" s="6" t="s">
        <v>144</v>
      </c>
      <c r="W4" s="23" t="str">
        <f t="shared" ref="W4:W35" ca="1" si="18">IF(R4&lt;=TODAY(),"SI","NO")</f>
        <v>SI</v>
      </c>
      <c r="X4" s="23" t="str">
        <f t="shared" ref="X4:X35" si="19">IF($X$1=R4,"DIASOL", "DIANOSOL")</f>
        <v>DIANOSOL</v>
      </c>
      <c r="Y4" s="50" t="s">
        <v>991</v>
      </c>
      <c r="Z4" s="111" t="s">
        <v>1015</v>
      </c>
      <c r="AA4" s="111" t="str">
        <f>IF(Z4&lt;&gt;"",VLOOKUP($Z4,Resultados!$A$1:$B$49,2,FALSE),"")</f>
        <v>Recursos Denegados</v>
      </c>
      <c r="AB4" s="23" t="str">
        <f ca="1">IF(R4&gt;TODAY(),"FIJADA","OTRO")</f>
        <v>OTRO</v>
      </c>
      <c r="AC4" s="10">
        <f t="shared" ref="AC4:AC67" si="20">DAY($R4)</f>
        <v>19</v>
      </c>
      <c r="AD4" s="10">
        <f t="shared" ref="AD4:AD67" si="21">MONTH($R4)</f>
        <v>4</v>
      </c>
      <c r="AE4" s="10">
        <f t="shared" ref="AE4:AE67" si="22">YEAR(R4)</f>
        <v>2023</v>
      </c>
      <c r="AF4" s="1">
        <f t="shared" si="2"/>
        <v>6</v>
      </c>
      <c r="AG4" s="1" t="str">
        <f t="shared" si="3"/>
        <v xml:space="preserve"> </v>
      </c>
      <c r="AH4" s="1" t="str">
        <f t="shared" si="4"/>
        <v xml:space="preserve"> </v>
      </c>
      <c r="AI4" s="1" t="str">
        <f t="shared" si="5"/>
        <v xml:space="preserve"> </v>
      </c>
      <c r="AJ4" s="1" t="str">
        <f t="shared" si="6"/>
        <v xml:space="preserve"> </v>
      </c>
      <c r="AK4" s="1">
        <f t="shared" si="7"/>
        <v>6</v>
      </c>
      <c r="AL4" s="1" t="str">
        <f t="shared" si="8"/>
        <v xml:space="preserve"> </v>
      </c>
      <c r="AM4" s="1" t="str">
        <f t="shared" si="9"/>
        <v xml:space="preserve"> </v>
      </c>
      <c r="AN4" s="1" t="str">
        <f t="shared" si="10"/>
        <v xml:space="preserve"> </v>
      </c>
      <c r="AO4" s="1" t="str">
        <f t="shared" si="11"/>
        <v xml:space="preserve"> </v>
      </c>
      <c r="AP4" s="1" t="str">
        <f t="shared" si="12"/>
        <v xml:space="preserve"> </v>
      </c>
      <c r="AQ4" s="1" t="str">
        <f t="shared" si="13"/>
        <v xml:space="preserve"> </v>
      </c>
      <c r="AR4" s="1" t="str">
        <f t="shared" si="14"/>
        <v xml:space="preserve"> </v>
      </c>
      <c r="AS4" s="1" t="str">
        <f t="shared" si="15"/>
        <v xml:space="preserve"> </v>
      </c>
      <c r="AT4" s="1" t="str">
        <f t="shared" si="16"/>
        <v xml:space="preserve"> </v>
      </c>
      <c r="AU4" s="1" t="str">
        <f t="shared" si="17"/>
        <v xml:space="preserve"> </v>
      </c>
    </row>
    <row r="5" spans="1:47" ht="63.75" hidden="1">
      <c r="A5" s="40">
        <v>3</v>
      </c>
      <c r="B5" s="34">
        <v>45030</v>
      </c>
      <c r="C5" s="158">
        <v>0.54166666666666663</v>
      </c>
      <c r="D5" s="6" t="s">
        <v>104</v>
      </c>
      <c r="E5" s="6" t="s">
        <v>113</v>
      </c>
      <c r="F5" s="36" t="s">
        <v>122</v>
      </c>
      <c r="G5" s="49">
        <v>39219548</v>
      </c>
      <c r="H5" s="35" t="s">
        <v>123</v>
      </c>
      <c r="I5" s="35" t="s">
        <v>149</v>
      </c>
      <c r="J5" s="44" t="s">
        <v>150</v>
      </c>
      <c r="K5" s="45" t="s">
        <v>151</v>
      </c>
      <c r="L5" s="157" t="s">
        <v>152</v>
      </c>
      <c r="M5" s="6" t="s">
        <v>78</v>
      </c>
      <c r="N5" s="6"/>
      <c r="O5" s="6"/>
      <c r="P5" s="44" t="s">
        <v>153</v>
      </c>
      <c r="Q5" s="6" t="s">
        <v>131</v>
      </c>
      <c r="R5" s="34">
        <v>45037</v>
      </c>
      <c r="S5" s="158" t="s">
        <v>134</v>
      </c>
      <c r="T5" s="6" t="s">
        <v>897</v>
      </c>
      <c r="U5" s="35" t="s">
        <v>1057</v>
      </c>
      <c r="V5" s="6" t="s">
        <v>154</v>
      </c>
      <c r="W5" s="23" t="str">
        <f t="shared" ca="1" si="18"/>
        <v>SI</v>
      </c>
      <c r="X5" s="23" t="str">
        <f t="shared" si="19"/>
        <v>DIANOSOL</v>
      </c>
      <c r="Y5" s="50" t="s">
        <v>991</v>
      </c>
      <c r="Z5" s="111" t="s">
        <v>1015</v>
      </c>
      <c r="AA5" s="111" t="str">
        <f>IF(Z5&lt;&gt;"",VLOOKUP($Z5,Resultados!$A$1:$B$49,2,FALSE),"")</f>
        <v>Recursos Denegados</v>
      </c>
      <c r="AB5" s="23" t="str">
        <f ca="1">IF(R5&gt;TODAY(),"FIJADA","OTRO")</f>
        <v>OTRO</v>
      </c>
      <c r="AC5" s="10">
        <f t="shared" si="20"/>
        <v>21</v>
      </c>
      <c r="AD5" s="10">
        <f t="shared" si="21"/>
        <v>4</v>
      </c>
      <c r="AE5" s="10">
        <f t="shared" si="22"/>
        <v>2023</v>
      </c>
      <c r="AF5" s="1">
        <f t="shared" si="2"/>
        <v>6</v>
      </c>
      <c r="AG5" s="1" t="str">
        <f t="shared" si="3"/>
        <v xml:space="preserve"> </v>
      </c>
      <c r="AH5" s="1" t="str">
        <f t="shared" si="4"/>
        <v xml:space="preserve"> </v>
      </c>
      <c r="AI5" s="1" t="str">
        <f t="shared" si="5"/>
        <v xml:space="preserve"> </v>
      </c>
      <c r="AJ5" s="1" t="str">
        <f t="shared" si="6"/>
        <v xml:space="preserve"> </v>
      </c>
      <c r="AK5" s="1">
        <f t="shared" si="7"/>
        <v>6</v>
      </c>
      <c r="AL5" s="1" t="str">
        <f t="shared" si="8"/>
        <v xml:space="preserve"> </v>
      </c>
      <c r="AM5" s="1" t="str">
        <f t="shared" si="9"/>
        <v xml:space="preserve"> </v>
      </c>
      <c r="AN5" s="1" t="str">
        <f t="shared" si="10"/>
        <v xml:space="preserve"> </v>
      </c>
      <c r="AO5" s="1" t="str">
        <f t="shared" si="11"/>
        <v xml:space="preserve"> </v>
      </c>
      <c r="AP5" s="1" t="str">
        <f t="shared" si="12"/>
        <v xml:space="preserve"> </v>
      </c>
      <c r="AQ5" s="1" t="str">
        <f t="shared" si="13"/>
        <v xml:space="preserve"> </v>
      </c>
      <c r="AR5" s="1" t="str">
        <f t="shared" si="14"/>
        <v xml:space="preserve"> </v>
      </c>
      <c r="AS5" s="1" t="str">
        <f t="shared" si="15"/>
        <v xml:space="preserve"> </v>
      </c>
      <c r="AT5" s="1" t="str">
        <f t="shared" si="16"/>
        <v xml:space="preserve"> </v>
      </c>
      <c r="AU5" s="1" t="str">
        <f t="shared" si="17"/>
        <v xml:space="preserve"> </v>
      </c>
    </row>
    <row r="6" spans="1:47" ht="105" hidden="1">
      <c r="A6" s="40">
        <v>4</v>
      </c>
      <c r="B6" s="34">
        <v>45033</v>
      </c>
      <c r="C6" s="158">
        <v>0.54166666666666663</v>
      </c>
      <c r="D6" s="6" t="s">
        <v>103</v>
      </c>
      <c r="E6" s="6" t="s">
        <v>114</v>
      </c>
      <c r="F6" s="36" t="s">
        <v>160</v>
      </c>
      <c r="G6" s="49">
        <v>13272223</v>
      </c>
      <c r="H6" s="35" t="s">
        <v>161</v>
      </c>
      <c r="I6" s="35" t="s">
        <v>126</v>
      </c>
      <c r="J6" s="44" t="s">
        <v>155</v>
      </c>
      <c r="K6" s="44" t="s">
        <v>156</v>
      </c>
      <c r="L6" s="157" t="s">
        <v>157</v>
      </c>
      <c r="M6" s="6" t="s">
        <v>67</v>
      </c>
      <c r="N6" s="6"/>
      <c r="O6" s="6"/>
      <c r="P6" s="44" t="s">
        <v>38</v>
      </c>
      <c r="Q6" s="6" t="s">
        <v>131</v>
      </c>
      <c r="R6" s="34">
        <v>45051</v>
      </c>
      <c r="S6" s="158">
        <v>0.375</v>
      </c>
      <c r="T6" s="34" t="s">
        <v>898</v>
      </c>
      <c r="U6" s="181" t="s">
        <v>1201</v>
      </c>
      <c r="V6" s="48" t="s">
        <v>165</v>
      </c>
      <c r="W6" s="23" t="str">
        <f t="shared" ca="1" si="18"/>
        <v>SI</v>
      </c>
      <c r="X6" s="23" t="str">
        <f t="shared" si="19"/>
        <v>DIANOSOL</v>
      </c>
      <c r="Y6" s="50" t="s">
        <v>991</v>
      </c>
      <c r="Z6" s="111" t="s">
        <v>1025</v>
      </c>
      <c r="AA6" s="111" t="str">
        <f>IF(Z6&lt;&gt;"",VLOOKUP($Z6,Resultados!$A$1:$B$49,2,FALSE),"")</f>
        <v>Recursos rechazados</v>
      </c>
      <c r="AC6" s="10">
        <f t="shared" si="20"/>
        <v>5</v>
      </c>
      <c r="AD6" s="10">
        <f t="shared" si="21"/>
        <v>5</v>
      </c>
      <c r="AE6" s="10">
        <f t="shared" si="22"/>
        <v>2023</v>
      </c>
      <c r="AF6" s="1">
        <f t="shared" si="2"/>
        <v>15</v>
      </c>
      <c r="AG6" s="1" t="str">
        <f t="shared" si="3"/>
        <v xml:space="preserve"> </v>
      </c>
      <c r="AH6" s="1" t="str">
        <f t="shared" si="4"/>
        <v xml:space="preserve"> </v>
      </c>
      <c r="AI6" s="1" t="str">
        <f t="shared" si="5"/>
        <v xml:space="preserve"> </v>
      </c>
      <c r="AJ6" s="1" t="str">
        <f t="shared" si="6"/>
        <v xml:space="preserve"> </v>
      </c>
      <c r="AK6" s="1" t="str">
        <f t="shared" si="7"/>
        <v xml:space="preserve"> </v>
      </c>
      <c r="AL6" s="1">
        <f t="shared" si="8"/>
        <v>15</v>
      </c>
      <c r="AM6" s="1" t="str">
        <f t="shared" si="9"/>
        <v xml:space="preserve"> </v>
      </c>
      <c r="AN6" s="1" t="str">
        <f t="shared" si="10"/>
        <v xml:space="preserve"> </v>
      </c>
      <c r="AO6" s="1" t="str">
        <f t="shared" si="11"/>
        <v xml:space="preserve"> </v>
      </c>
      <c r="AP6" s="1" t="str">
        <f t="shared" si="12"/>
        <v xml:space="preserve"> </v>
      </c>
      <c r="AQ6" s="1" t="str">
        <f t="shared" si="13"/>
        <v xml:space="preserve"> </v>
      </c>
      <c r="AR6" s="1" t="str">
        <f t="shared" si="14"/>
        <v xml:space="preserve"> </v>
      </c>
      <c r="AS6" s="1" t="str">
        <f t="shared" si="15"/>
        <v xml:space="preserve"> </v>
      </c>
      <c r="AT6" s="1" t="str">
        <f t="shared" si="16"/>
        <v xml:space="preserve"> </v>
      </c>
      <c r="AU6" s="1" t="str">
        <f t="shared" si="17"/>
        <v xml:space="preserve"> </v>
      </c>
    </row>
    <row r="7" spans="1:47" ht="105" hidden="1">
      <c r="A7" s="40">
        <v>5</v>
      </c>
      <c r="B7" s="34">
        <v>45033</v>
      </c>
      <c r="C7" s="158">
        <v>0.54166666666666663</v>
      </c>
      <c r="D7" s="6" t="s">
        <v>103</v>
      </c>
      <c r="E7" s="6" t="s">
        <v>114</v>
      </c>
      <c r="F7" s="35" t="s">
        <v>124</v>
      </c>
      <c r="G7" s="49">
        <v>35044071</v>
      </c>
      <c r="H7" s="35" t="s">
        <v>125</v>
      </c>
      <c r="I7" s="35" t="s">
        <v>126</v>
      </c>
      <c r="J7" s="44" t="s">
        <v>155</v>
      </c>
      <c r="K7" s="44" t="s">
        <v>156</v>
      </c>
      <c r="L7" s="44" t="s">
        <v>157</v>
      </c>
      <c r="M7" s="6" t="s">
        <v>158</v>
      </c>
      <c r="N7" s="6"/>
      <c r="O7" s="6"/>
      <c r="P7" s="6" t="s">
        <v>38</v>
      </c>
      <c r="Q7" s="6" t="s">
        <v>131</v>
      </c>
      <c r="R7" s="34">
        <v>45051</v>
      </c>
      <c r="S7" s="158">
        <v>0.375</v>
      </c>
      <c r="T7" s="34" t="s">
        <v>898</v>
      </c>
      <c r="U7" s="35" t="s">
        <v>1094</v>
      </c>
      <c r="V7" s="6" t="s">
        <v>193</v>
      </c>
      <c r="W7" s="23" t="str">
        <f t="shared" ca="1" si="18"/>
        <v>SI</v>
      </c>
      <c r="X7" s="23" t="str">
        <f t="shared" si="19"/>
        <v>DIANOSOL</v>
      </c>
      <c r="Y7" s="50" t="s">
        <v>991</v>
      </c>
      <c r="Z7" s="111" t="s">
        <v>1025</v>
      </c>
      <c r="AA7" s="111" t="str">
        <f>IF(Z7&lt;&gt;"",VLOOKUP($Z7,Resultados!$A$1:$B$49,2,FALSE),"")</f>
        <v>Recursos rechazados</v>
      </c>
      <c r="AC7" s="10">
        <f t="shared" si="20"/>
        <v>5</v>
      </c>
      <c r="AD7" s="10">
        <f t="shared" si="21"/>
        <v>5</v>
      </c>
      <c r="AE7" s="10">
        <f t="shared" si="22"/>
        <v>2023</v>
      </c>
      <c r="AF7" s="1">
        <f t="shared" si="2"/>
        <v>15</v>
      </c>
      <c r="AG7" s="1" t="str">
        <f t="shared" si="3"/>
        <v xml:space="preserve"> </v>
      </c>
      <c r="AH7" s="1" t="str">
        <f t="shared" si="4"/>
        <v xml:space="preserve"> </v>
      </c>
      <c r="AI7" s="1" t="str">
        <f t="shared" si="5"/>
        <v xml:space="preserve"> </v>
      </c>
      <c r="AJ7" s="1" t="str">
        <f t="shared" si="6"/>
        <v xml:space="preserve"> </v>
      </c>
      <c r="AK7" s="1" t="str">
        <f t="shared" si="7"/>
        <v xml:space="preserve"> </v>
      </c>
      <c r="AL7" s="1">
        <f t="shared" si="8"/>
        <v>15</v>
      </c>
      <c r="AM7" s="1" t="str">
        <f t="shared" si="9"/>
        <v xml:space="preserve"> </v>
      </c>
      <c r="AN7" s="1" t="str">
        <f t="shared" si="10"/>
        <v xml:space="preserve"> </v>
      </c>
      <c r="AO7" s="1" t="str">
        <f t="shared" si="11"/>
        <v xml:space="preserve"> </v>
      </c>
      <c r="AP7" s="1" t="str">
        <f t="shared" si="12"/>
        <v xml:space="preserve"> </v>
      </c>
      <c r="AQ7" s="1" t="str">
        <f t="shared" si="13"/>
        <v xml:space="preserve"> </v>
      </c>
      <c r="AR7" s="1" t="str">
        <f t="shared" si="14"/>
        <v xml:space="preserve"> </v>
      </c>
      <c r="AS7" s="1" t="str">
        <f t="shared" si="15"/>
        <v xml:space="preserve"> </v>
      </c>
      <c r="AT7" s="1" t="str">
        <f t="shared" si="16"/>
        <v xml:space="preserve"> </v>
      </c>
      <c r="AU7" s="1" t="str">
        <f t="shared" si="17"/>
        <v xml:space="preserve"> </v>
      </c>
    </row>
    <row r="8" spans="1:47" ht="39.950000000000003" hidden="1" customHeight="1">
      <c r="A8" s="41">
        <v>6</v>
      </c>
      <c r="B8" s="34">
        <v>45037</v>
      </c>
      <c r="C8" s="158">
        <v>0.54166666666666663</v>
      </c>
      <c r="D8" s="38" t="s">
        <v>105</v>
      </c>
      <c r="E8" s="6" t="s">
        <v>115</v>
      </c>
      <c r="F8" s="36" t="s">
        <v>127</v>
      </c>
      <c r="G8" s="49">
        <v>37745789</v>
      </c>
      <c r="H8" s="35" t="s">
        <v>128</v>
      </c>
      <c r="I8" s="35" t="s">
        <v>129</v>
      </c>
      <c r="J8" s="39" t="s">
        <v>162</v>
      </c>
      <c r="K8" s="46">
        <v>44328616</v>
      </c>
      <c r="L8" s="39" t="s">
        <v>163</v>
      </c>
      <c r="M8" s="38" t="s">
        <v>79</v>
      </c>
      <c r="N8" s="38"/>
      <c r="O8" s="38"/>
      <c r="P8" s="38" t="s">
        <v>13</v>
      </c>
      <c r="Q8" s="38" t="s">
        <v>131</v>
      </c>
      <c r="R8" s="34">
        <v>45050</v>
      </c>
      <c r="S8" s="158">
        <v>0.45833333333333331</v>
      </c>
      <c r="T8" s="47" t="s">
        <v>164</v>
      </c>
      <c r="U8" s="39" t="s">
        <v>1200</v>
      </c>
      <c r="V8" s="48" t="s">
        <v>192</v>
      </c>
      <c r="W8" s="23" t="str">
        <f t="shared" ca="1" si="18"/>
        <v>SI</v>
      </c>
      <c r="X8" s="23" t="str">
        <f t="shared" si="19"/>
        <v>DIANOSOL</v>
      </c>
      <c r="Y8" s="50" t="s">
        <v>991</v>
      </c>
      <c r="Z8" s="111" t="s">
        <v>1059</v>
      </c>
      <c r="AA8" s="111" t="str">
        <f>IF(Z8&lt;&gt;"",VLOOKUP($Z8,Resultados!$A$1:$B$49,2,FALSE),"")</f>
        <v>Recursos donde se hizo lugar</v>
      </c>
      <c r="AC8" s="10">
        <f t="shared" si="20"/>
        <v>4</v>
      </c>
      <c r="AD8" s="10">
        <f t="shared" si="21"/>
        <v>5</v>
      </c>
      <c r="AE8" s="10">
        <f t="shared" si="22"/>
        <v>2023</v>
      </c>
      <c r="AF8" s="1">
        <f t="shared" si="2"/>
        <v>10</v>
      </c>
      <c r="AG8" s="1" t="str">
        <f t="shared" si="3"/>
        <v xml:space="preserve"> </v>
      </c>
      <c r="AH8" s="1" t="str">
        <f t="shared" si="4"/>
        <v xml:space="preserve"> </v>
      </c>
      <c r="AI8" s="1" t="str">
        <f t="shared" si="5"/>
        <v xml:space="preserve"> </v>
      </c>
      <c r="AJ8" s="1" t="str">
        <f t="shared" si="6"/>
        <v xml:space="preserve"> </v>
      </c>
      <c r="AK8" s="1" t="str">
        <f t="shared" si="7"/>
        <v xml:space="preserve"> </v>
      </c>
      <c r="AL8" s="1">
        <f t="shared" si="8"/>
        <v>10</v>
      </c>
      <c r="AM8" s="1" t="str">
        <f t="shared" si="9"/>
        <v xml:space="preserve"> </v>
      </c>
      <c r="AN8" s="1" t="str">
        <f t="shared" si="10"/>
        <v xml:space="preserve"> </v>
      </c>
      <c r="AO8" s="1" t="str">
        <f t="shared" si="11"/>
        <v xml:space="preserve"> </v>
      </c>
      <c r="AP8" s="1" t="str">
        <f t="shared" si="12"/>
        <v xml:space="preserve"> </v>
      </c>
      <c r="AQ8" s="1" t="str">
        <f t="shared" si="13"/>
        <v xml:space="preserve"> </v>
      </c>
      <c r="AR8" s="1" t="str">
        <f t="shared" si="14"/>
        <v xml:space="preserve"> </v>
      </c>
      <c r="AS8" s="1" t="str">
        <f t="shared" si="15"/>
        <v xml:space="preserve"> </v>
      </c>
      <c r="AT8" s="1" t="str">
        <f t="shared" si="16"/>
        <v xml:space="preserve"> </v>
      </c>
      <c r="AU8" s="1" t="str">
        <f t="shared" si="17"/>
        <v xml:space="preserve"> </v>
      </c>
    </row>
    <row r="9" spans="1:47" ht="38.25" hidden="1">
      <c r="A9" s="6">
        <v>7</v>
      </c>
      <c r="B9" s="48">
        <v>45056</v>
      </c>
      <c r="C9" s="158">
        <v>0.5</v>
      </c>
      <c r="D9" s="6" t="s">
        <v>105</v>
      </c>
      <c r="E9" s="6" t="s">
        <v>166</v>
      </c>
      <c r="F9" s="36" t="s">
        <v>167</v>
      </c>
      <c r="G9" s="49">
        <v>43950336</v>
      </c>
      <c r="H9" s="6" t="s">
        <v>168</v>
      </c>
      <c r="I9" s="35" t="s">
        <v>169</v>
      </c>
      <c r="J9" s="35" t="s">
        <v>170</v>
      </c>
      <c r="K9" s="37">
        <v>42503697</v>
      </c>
      <c r="L9" s="35" t="s">
        <v>171</v>
      </c>
      <c r="M9" s="6" t="s">
        <v>172</v>
      </c>
      <c r="N9" s="6" t="s">
        <v>173</v>
      </c>
      <c r="O9" s="6"/>
      <c r="P9" s="6" t="s">
        <v>14</v>
      </c>
      <c r="Q9" s="6" t="s">
        <v>135</v>
      </c>
      <c r="R9" s="34">
        <v>45068</v>
      </c>
      <c r="S9" s="158">
        <v>0.375</v>
      </c>
      <c r="T9" s="6" t="s">
        <v>899</v>
      </c>
      <c r="U9" s="181" t="s">
        <v>1058</v>
      </c>
      <c r="V9" s="6" t="s">
        <v>192</v>
      </c>
      <c r="W9" s="23" t="str">
        <f t="shared" ca="1" si="18"/>
        <v>SI</v>
      </c>
      <c r="X9" s="23" t="str">
        <f t="shared" si="19"/>
        <v>DIANOSOL</v>
      </c>
      <c r="Y9" s="50" t="s">
        <v>991</v>
      </c>
      <c r="Z9" s="111" t="s">
        <v>1015</v>
      </c>
      <c r="AA9" s="111" t="str">
        <f>IF(Z9&lt;&gt;"",VLOOKUP($Z9,Resultados!$A$1:$B$49,2,FALSE),"")</f>
        <v>Recursos Denegados</v>
      </c>
      <c r="AB9" s="23" t="str">
        <f ca="1">IF(R9&gt;TODAY(),"FIJADA","OTRO")</f>
        <v>OTRO</v>
      </c>
      <c r="AC9" s="10">
        <f t="shared" si="20"/>
        <v>22</v>
      </c>
      <c r="AD9" s="10">
        <f t="shared" si="21"/>
        <v>5</v>
      </c>
      <c r="AE9" s="10">
        <f t="shared" si="22"/>
        <v>2023</v>
      </c>
      <c r="AF9" s="1">
        <f t="shared" si="2"/>
        <v>9</v>
      </c>
      <c r="AG9" s="1" t="str">
        <f t="shared" si="3"/>
        <v xml:space="preserve"> </v>
      </c>
      <c r="AH9" s="1" t="str">
        <f t="shared" si="4"/>
        <v xml:space="preserve"> </v>
      </c>
      <c r="AI9" s="1" t="str">
        <f t="shared" si="5"/>
        <v xml:space="preserve"> </v>
      </c>
      <c r="AJ9" s="1" t="str">
        <f t="shared" si="6"/>
        <v xml:space="preserve"> </v>
      </c>
      <c r="AK9" s="1" t="str">
        <f t="shared" si="7"/>
        <v xml:space="preserve"> </v>
      </c>
      <c r="AL9" s="1">
        <f t="shared" si="8"/>
        <v>9</v>
      </c>
      <c r="AM9" s="1" t="str">
        <f t="shared" si="9"/>
        <v xml:space="preserve"> </v>
      </c>
      <c r="AN9" s="1" t="str">
        <f t="shared" si="10"/>
        <v xml:space="preserve"> </v>
      </c>
      <c r="AO9" s="1" t="str">
        <f t="shared" si="11"/>
        <v xml:space="preserve"> </v>
      </c>
      <c r="AP9" s="1" t="str">
        <f t="shared" si="12"/>
        <v xml:space="preserve"> </v>
      </c>
      <c r="AQ9" s="1" t="str">
        <f t="shared" si="13"/>
        <v xml:space="preserve"> </v>
      </c>
      <c r="AR9" s="1" t="str">
        <f t="shared" si="14"/>
        <v xml:space="preserve"> </v>
      </c>
      <c r="AS9" s="1" t="str">
        <f t="shared" si="15"/>
        <v xml:space="preserve"> </v>
      </c>
      <c r="AT9" s="1" t="str">
        <f t="shared" si="16"/>
        <v xml:space="preserve"> </v>
      </c>
      <c r="AU9" s="1" t="str">
        <f t="shared" si="17"/>
        <v xml:space="preserve"> </v>
      </c>
    </row>
    <row r="10" spans="1:47" s="4" customFormat="1" ht="63.75" hidden="1">
      <c r="A10" s="40">
        <v>8</v>
      </c>
      <c r="B10" s="34">
        <v>45056</v>
      </c>
      <c r="C10" s="158">
        <v>0.54166666666666663</v>
      </c>
      <c r="D10" s="6" t="s">
        <v>106</v>
      </c>
      <c r="E10" s="6" t="s">
        <v>175</v>
      </c>
      <c r="F10" s="51" t="s">
        <v>176</v>
      </c>
      <c r="G10" s="6" t="s">
        <v>177</v>
      </c>
      <c r="H10" s="6" t="s">
        <v>179</v>
      </c>
      <c r="I10" s="35" t="s">
        <v>180</v>
      </c>
      <c r="J10" s="35" t="s">
        <v>181</v>
      </c>
      <c r="K10" s="37">
        <v>44500177</v>
      </c>
      <c r="L10" s="35" t="s">
        <v>182</v>
      </c>
      <c r="M10" s="6" t="s">
        <v>183</v>
      </c>
      <c r="N10" s="6"/>
      <c r="O10" s="6"/>
      <c r="P10" s="6" t="s">
        <v>45</v>
      </c>
      <c r="Q10" s="6" t="s">
        <v>135</v>
      </c>
      <c r="R10" s="34">
        <v>45065</v>
      </c>
      <c r="S10" s="158">
        <v>0.375</v>
      </c>
      <c r="T10" s="34" t="s">
        <v>191</v>
      </c>
      <c r="U10" s="181" t="s">
        <v>1071</v>
      </c>
      <c r="V10" s="6" t="s">
        <v>201</v>
      </c>
      <c r="W10" s="23" t="str">
        <f t="shared" ca="1" si="18"/>
        <v>SI</v>
      </c>
      <c r="X10" s="23" t="str">
        <f t="shared" si="19"/>
        <v>DIANOSOL</v>
      </c>
      <c r="Y10" s="50" t="s">
        <v>991</v>
      </c>
      <c r="Z10" s="111" t="s">
        <v>1016</v>
      </c>
      <c r="AA10" s="111" t="str">
        <f>IF(Z10&lt;&gt;"",VLOOKUP($Z10,Resultados!$A$1:$B$49,2,FALSE),"")</f>
        <v>Recursos donde se hizo lugar</v>
      </c>
      <c r="AB10" s="22"/>
      <c r="AC10" s="10">
        <f t="shared" si="20"/>
        <v>19</v>
      </c>
      <c r="AD10" s="10">
        <f t="shared" si="21"/>
        <v>5</v>
      </c>
      <c r="AE10" s="10">
        <f t="shared" si="22"/>
        <v>2023</v>
      </c>
      <c r="AF10" s="1">
        <f t="shared" si="2"/>
        <v>8</v>
      </c>
      <c r="AG10" s="1" t="str">
        <f t="shared" si="3"/>
        <v xml:space="preserve"> </v>
      </c>
      <c r="AH10" s="1" t="str">
        <f t="shared" si="4"/>
        <v xml:space="preserve"> </v>
      </c>
      <c r="AI10" s="1" t="str">
        <f t="shared" si="5"/>
        <v xml:space="preserve"> </v>
      </c>
      <c r="AJ10" s="1" t="str">
        <f t="shared" si="6"/>
        <v xml:space="preserve"> </v>
      </c>
      <c r="AK10" s="1" t="str">
        <f t="shared" si="7"/>
        <v xml:space="preserve"> </v>
      </c>
      <c r="AL10" s="1">
        <f t="shared" si="8"/>
        <v>8</v>
      </c>
      <c r="AM10" s="1" t="str">
        <f t="shared" si="9"/>
        <v xml:space="preserve"> </v>
      </c>
      <c r="AN10" s="1" t="str">
        <f t="shared" si="10"/>
        <v xml:space="preserve"> </v>
      </c>
      <c r="AO10" s="1" t="str">
        <f t="shared" si="11"/>
        <v xml:space="preserve"> </v>
      </c>
      <c r="AP10" s="1" t="str">
        <f t="shared" si="12"/>
        <v xml:space="preserve"> </v>
      </c>
      <c r="AQ10" s="1" t="str">
        <f t="shared" si="13"/>
        <v xml:space="preserve"> </v>
      </c>
      <c r="AR10" s="1" t="str">
        <f t="shared" si="14"/>
        <v xml:space="preserve"> </v>
      </c>
      <c r="AS10" s="1" t="str">
        <f t="shared" si="15"/>
        <v xml:space="preserve"> </v>
      </c>
      <c r="AT10" s="1" t="str">
        <f t="shared" si="16"/>
        <v xml:space="preserve"> </v>
      </c>
      <c r="AU10" s="1" t="str">
        <f t="shared" si="17"/>
        <v xml:space="preserve"> </v>
      </c>
    </row>
    <row r="11" spans="1:47" ht="89.25" hidden="1">
      <c r="A11" s="40">
        <v>9</v>
      </c>
      <c r="B11" s="34">
        <v>45062</v>
      </c>
      <c r="C11" s="158">
        <v>0.54166666666666663</v>
      </c>
      <c r="D11" s="6" t="s">
        <v>103</v>
      </c>
      <c r="E11" s="6" t="s">
        <v>184</v>
      </c>
      <c r="F11" s="51" t="s">
        <v>185</v>
      </c>
      <c r="G11" s="49">
        <v>34254020</v>
      </c>
      <c r="H11" s="6" t="s">
        <v>186</v>
      </c>
      <c r="I11" s="6" t="s">
        <v>187</v>
      </c>
      <c r="J11" s="35" t="s">
        <v>188</v>
      </c>
      <c r="K11" s="35" t="s">
        <v>189</v>
      </c>
      <c r="L11" s="35" t="s">
        <v>190</v>
      </c>
      <c r="M11" s="6" t="s">
        <v>67</v>
      </c>
      <c r="N11" s="6"/>
      <c r="O11" s="6"/>
      <c r="P11" s="6" t="s">
        <v>38</v>
      </c>
      <c r="Q11" s="6" t="s">
        <v>131</v>
      </c>
      <c r="R11" s="34">
        <v>45070</v>
      </c>
      <c r="S11" s="158">
        <v>0.375</v>
      </c>
      <c r="T11" s="34" t="s">
        <v>900</v>
      </c>
      <c r="U11" s="181" t="s">
        <v>1072</v>
      </c>
      <c r="V11" s="6" t="s">
        <v>217</v>
      </c>
      <c r="W11" s="23" t="str">
        <f t="shared" ca="1" si="18"/>
        <v>SI</v>
      </c>
      <c r="X11" s="23" t="str">
        <f t="shared" si="19"/>
        <v>DIANOSOL</v>
      </c>
      <c r="Y11" s="6" t="s">
        <v>991</v>
      </c>
      <c r="Z11" s="111" t="s">
        <v>1015</v>
      </c>
      <c r="AA11" s="111" t="str">
        <f>IF(Z11&lt;&gt;"",VLOOKUP($Z11,Resultados!$A$1:$B$49,2,FALSE),"")</f>
        <v>Recursos Denegados</v>
      </c>
      <c r="AB11" s="23" t="str">
        <f t="shared" ref="AB11:AB12" ca="1" si="23">IF(R11&gt;TODAY(),"FIJADA","OTRO")</f>
        <v>OTRO</v>
      </c>
      <c r="AC11" s="10">
        <f t="shared" si="20"/>
        <v>24</v>
      </c>
      <c r="AD11" s="10">
        <f t="shared" si="21"/>
        <v>5</v>
      </c>
      <c r="AE11" s="10">
        <f t="shared" si="22"/>
        <v>2023</v>
      </c>
      <c r="AF11" s="1">
        <f t="shared" si="2"/>
        <v>7</v>
      </c>
      <c r="AG11" s="1" t="str">
        <f t="shared" si="3"/>
        <v xml:space="preserve"> </v>
      </c>
      <c r="AH11" s="1" t="str">
        <f t="shared" si="4"/>
        <v xml:space="preserve"> </v>
      </c>
      <c r="AI11" s="1" t="str">
        <f t="shared" si="5"/>
        <v xml:space="preserve"> </v>
      </c>
      <c r="AJ11" s="1" t="str">
        <f t="shared" si="6"/>
        <v xml:space="preserve"> </v>
      </c>
      <c r="AK11" s="1" t="str">
        <f t="shared" si="7"/>
        <v xml:space="preserve"> </v>
      </c>
      <c r="AL11" s="1">
        <f t="shared" si="8"/>
        <v>7</v>
      </c>
      <c r="AM11" s="1" t="str">
        <f t="shared" si="9"/>
        <v xml:space="preserve"> </v>
      </c>
      <c r="AN11" s="1" t="str">
        <f t="shared" si="10"/>
        <v xml:space="preserve"> </v>
      </c>
      <c r="AO11" s="1" t="str">
        <f t="shared" si="11"/>
        <v xml:space="preserve"> </v>
      </c>
      <c r="AP11" s="1" t="str">
        <f t="shared" si="12"/>
        <v xml:space="preserve"> </v>
      </c>
      <c r="AQ11" s="1" t="str">
        <f t="shared" si="13"/>
        <v xml:space="preserve"> </v>
      </c>
      <c r="AR11" s="1" t="str">
        <f t="shared" si="14"/>
        <v xml:space="preserve"> </v>
      </c>
      <c r="AS11" s="1" t="str">
        <f t="shared" si="15"/>
        <v xml:space="preserve"> </v>
      </c>
      <c r="AT11" s="1" t="str">
        <f t="shared" si="16"/>
        <v xml:space="preserve"> </v>
      </c>
      <c r="AU11" s="1" t="str">
        <f t="shared" si="17"/>
        <v xml:space="preserve"> </v>
      </c>
    </row>
    <row r="12" spans="1:47" ht="76.5" hidden="1">
      <c r="A12" s="40">
        <v>10</v>
      </c>
      <c r="B12" s="34">
        <v>45083</v>
      </c>
      <c r="C12" s="158">
        <v>0.54166666666666663</v>
      </c>
      <c r="D12" s="6" t="s">
        <v>104</v>
      </c>
      <c r="E12" s="6" t="s">
        <v>194</v>
      </c>
      <c r="F12" s="51" t="s">
        <v>195</v>
      </c>
      <c r="G12" s="49">
        <v>28738603</v>
      </c>
      <c r="H12" s="6" t="s">
        <v>196</v>
      </c>
      <c r="I12" s="35" t="s">
        <v>197</v>
      </c>
      <c r="J12" s="35" t="s">
        <v>198</v>
      </c>
      <c r="K12" s="35"/>
      <c r="L12" s="35"/>
      <c r="M12" s="6" t="s">
        <v>199</v>
      </c>
      <c r="N12" s="6"/>
      <c r="O12" s="6" t="s">
        <v>200</v>
      </c>
      <c r="P12" s="6" t="s">
        <v>34</v>
      </c>
      <c r="Q12" s="6" t="s">
        <v>132</v>
      </c>
      <c r="R12" s="34">
        <v>45089</v>
      </c>
      <c r="S12" s="158">
        <v>0.45833333333333331</v>
      </c>
      <c r="T12" s="34" t="s">
        <v>912</v>
      </c>
      <c r="U12" s="181" t="s">
        <v>1075</v>
      </c>
      <c r="V12" s="48" t="s">
        <v>218</v>
      </c>
      <c r="W12" s="23" t="str">
        <f t="shared" ca="1" si="18"/>
        <v>SI</v>
      </c>
      <c r="X12" s="23" t="str">
        <f t="shared" si="19"/>
        <v>DIANOSOL</v>
      </c>
      <c r="Y12" s="50" t="s">
        <v>991</v>
      </c>
      <c r="Z12" s="111" t="s">
        <v>1015</v>
      </c>
      <c r="AA12" s="111" t="str">
        <f>IF(Z12&lt;&gt;"",VLOOKUP($Z12,Resultados!$A$1:$B$49,2,FALSE),"")</f>
        <v>Recursos Denegados</v>
      </c>
      <c r="AB12" s="23" t="str">
        <f t="shared" ca="1" si="23"/>
        <v>OTRO</v>
      </c>
      <c r="AC12" s="10">
        <f t="shared" si="20"/>
        <v>12</v>
      </c>
      <c r="AD12" s="10">
        <f t="shared" si="21"/>
        <v>6</v>
      </c>
      <c r="AE12" s="10">
        <f t="shared" si="22"/>
        <v>2023</v>
      </c>
      <c r="AF12" s="1">
        <f t="shared" si="2"/>
        <v>5</v>
      </c>
      <c r="AG12" s="1" t="str">
        <f t="shared" si="3"/>
        <v xml:space="preserve"> </v>
      </c>
      <c r="AH12" s="1" t="str">
        <f t="shared" si="4"/>
        <v xml:space="preserve"> </v>
      </c>
      <c r="AI12" s="1" t="str">
        <f t="shared" si="5"/>
        <v xml:space="preserve"> </v>
      </c>
      <c r="AJ12" s="1" t="str">
        <f t="shared" si="6"/>
        <v xml:space="preserve"> </v>
      </c>
      <c r="AK12" s="1" t="str">
        <f t="shared" si="7"/>
        <v xml:space="preserve"> </v>
      </c>
      <c r="AL12" s="1" t="str">
        <f t="shared" si="8"/>
        <v xml:space="preserve"> </v>
      </c>
      <c r="AM12" s="1">
        <f t="shared" si="9"/>
        <v>5</v>
      </c>
      <c r="AN12" s="1" t="str">
        <f t="shared" si="10"/>
        <v xml:space="preserve"> </v>
      </c>
      <c r="AO12" s="1" t="str">
        <f t="shared" si="11"/>
        <v xml:space="preserve"> </v>
      </c>
      <c r="AP12" s="1" t="str">
        <f t="shared" si="12"/>
        <v xml:space="preserve"> </v>
      </c>
      <c r="AQ12" s="1" t="str">
        <f t="shared" si="13"/>
        <v xml:space="preserve"> </v>
      </c>
      <c r="AR12" s="1" t="str">
        <f t="shared" si="14"/>
        <v xml:space="preserve"> </v>
      </c>
      <c r="AS12" s="1" t="str">
        <f t="shared" si="15"/>
        <v xml:space="preserve"> </v>
      </c>
      <c r="AT12" s="1" t="str">
        <f t="shared" si="16"/>
        <v xml:space="preserve"> </v>
      </c>
      <c r="AU12" s="1" t="str">
        <f t="shared" si="17"/>
        <v xml:space="preserve"> </v>
      </c>
    </row>
    <row r="13" spans="1:47" ht="38.25" hidden="1">
      <c r="A13" s="40">
        <v>11</v>
      </c>
      <c r="B13" s="34">
        <v>45090</v>
      </c>
      <c r="C13" s="158">
        <v>0.54166666666666663</v>
      </c>
      <c r="D13" s="6" t="s">
        <v>107</v>
      </c>
      <c r="E13" s="6" t="s">
        <v>202</v>
      </c>
      <c r="F13" s="51" t="s">
        <v>203</v>
      </c>
      <c r="G13" s="49">
        <v>22207116</v>
      </c>
      <c r="H13" s="6" t="s">
        <v>204</v>
      </c>
      <c r="I13" s="35" t="s">
        <v>205</v>
      </c>
      <c r="J13" s="35" t="s">
        <v>206</v>
      </c>
      <c r="K13" s="37">
        <v>28486383</v>
      </c>
      <c r="L13" s="35"/>
      <c r="M13" s="6" t="s">
        <v>207</v>
      </c>
      <c r="N13" s="6"/>
      <c r="O13" s="6"/>
      <c r="P13" s="6" t="s">
        <v>14</v>
      </c>
      <c r="Q13" s="6" t="s">
        <v>131</v>
      </c>
      <c r="R13" s="52">
        <v>45098</v>
      </c>
      <c r="S13" s="158">
        <v>0.33333333333333331</v>
      </c>
      <c r="T13" s="34" t="s">
        <v>208</v>
      </c>
      <c r="U13" s="181" t="s">
        <v>923</v>
      </c>
      <c r="V13" s="6"/>
      <c r="W13" s="23" t="str">
        <f t="shared" ca="1" si="18"/>
        <v>SI</v>
      </c>
      <c r="X13" s="23" t="str">
        <f t="shared" si="19"/>
        <v>DIANOSOL</v>
      </c>
      <c r="Y13" s="50" t="s">
        <v>999</v>
      </c>
      <c r="Z13" s="111" t="s">
        <v>1041</v>
      </c>
      <c r="AA13" s="111" t="str">
        <f>IF(Z13&lt;&gt;"",VLOOKUP($Z13,Resultados!$A$1:$B$49,2,FALSE),"")</f>
        <v xml:space="preserve">Otros </v>
      </c>
      <c r="AC13" s="10">
        <f t="shared" si="20"/>
        <v>21</v>
      </c>
      <c r="AD13" s="10">
        <f t="shared" si="21"/>
        <v>6</v>
      </c>
      <c r="AE13" s="10">
        <f t="shared" si="22"/>
        <v>2023</v>
      </c>
      <c r="AF13" s="1">
        <f t="shared" si="2"/>
        <v>7</v>
      </c>
      <c r="AG13" s="1" t="str">
        <f t="shared" si="3"/>
        <v xml:space="preserve"> </v>
      </c>
      <c r="AH13" s="1" t="str">
        <f t="shared" si="4"/>
        <v xml:space="preserve"> </v>
      </c>
      <c r="AI13" s="1" t="str">
        <f t="shared" si="5"/>
        <v xml:space="preserve"> </v>
      </c>
      <c r="AJ13" s="1" t="str">
        <f t="shared" si="6"/>
        <v xml:space="preserve"> </v>
      </c>
      <c r="AK13" s="1" t="str">
        <f t="shared" si="7"/>
        <v xml:space="preserve"> </v>
      </c>
      <c r="AL13" s="1" t="str">
        <f t="shared" si="8"/>
        <v xml:space="preserve"> </v>
      </c>
      <c r="AM13" s="1">
        <f t="shared" si="9"/>
        <v>7</v>
      </c>
      <c r="AN13" s="1" t="str">
        <f t="shared" si="10"/>
        <v xml:space="preserve"> </v>
      </c>
      <c r="AO13" s="1" t="str">
        <f t="shared" si="11"/>
        <v xml:space="preserve"> </v>
      </c>
      <c r="AP13" s="1" t="str">
        <f t="shared" si="12"/>
        <v xml:space="preserve"> </v>
      </c>
      <c r="AQ13" s="1" t="str">
        <f t="shared" si="13"/>
        <v xml:space="preserve"> </v>
      </c>
      <c r="AR13" s="1" t="str">
        <f t="shared" si="14"/>
        <v xml:space="preserve"> </v>
      </c>
      <c r="AS13" s="1" t="str">
        <f t="shared" si="15"/>
        <v xml:space="preserve"> </v>
      </c>
      <c r="AT13" s="1" t="str">
        <f t="shared" si="16"/>
        <v xml:space="preserve"> </v>
      </c>
      <c r="AU13" s="1" t="str">
        <f t="shared" si="17"/>
        <v xml:space="preserve"> </v>
      </c>
    </row>
    <row r="14" spans="1:47" ht="102" hidden="1">
      <c r="A14" s="40">
        <v>12</v>
      </c>
      <c r="B14" s="34">
        <v>45092</v>
      </c>
      <c r="C14" s="158">
        <v>0.54166666666666663</v>
      </c>
      <c r="D14" s="6" t="s">
        <v>107</v>
      </c>
      <c r="E14" s="6" t="s">
        <v>209</v>
      </c>
      <c r="F14" s="51" t="s">
        <v>210</v>
      </c>
      <c r="G14" s="49">
        <v>33648761</v>
      </c>
      <c r="H14" s="6" t="s">
        <v>211</v>
      </c>
      <c r="I14" s="35" t="s">
        <v>212</v>
      </c>
      <c r="J14" s="35" t="s">
        <v>213</v>
      </c>
      <c r="K14" s="37">
        <v>37420366</v>
      </c>
      <c r="L14" s="35"/>
      <c r="M14" s="6" t="s">
        <v>214</v>
      </c>
      <c r="N14" s="6"/>
      <c r="O14" s="6" t="s">
        <v>95</v>
      </c>
      <c r="P14" s="6" t="s">
        <v>215</v>
      </c>
      <c r="Q14" s="6" t="s">
        <v>135</v>
      </c>
      <c r="R14" s="34">
        <v>45103</v>
      </c>
      <c r="S14" s="158">
        <v>0.39583333333333331</v>
      </c>
      <c r="T14" s="34" t="s">
        <v>922</v>
      </c>
      <c r="U14" s="181" t="s">
        <v>1044</v>
      </c>
      <c r="V14" s="6"/>
      <c r="W14" s="23" t="str">
        <f t="shared" ca="1" si="18"/>
        <v>SI</v>
      </c>
      <c r="X14" s="23" t="str">
        <f t="shared" si="19"/>
        <v>DIANOSOL</v>
      </c>
      <c r="Y14" s="50" t="s">
        <v>991</v>
      </c>
      <c r="Z14" s="111" t="s">
        <v>1073</v>
      </c>
      <c r="AA14" s="111" t="str">
        <f>IF(Z14&lt;&gt;"",VLOOKUP($Z14,Resultados!$A$1:$B$49,2,FALSE),"")</f>
        <v>Recursos denegados - Mantiene arresto domiciliario</v>
      </c>
      <c r="AC14" s="10">
        <f t="shared" si="20"/>
        <v>26</v>
      </c>
      <c r="AD14" s="10">
        <f t="shared" si="21"/>
        <v>6</v>
      </c>
      <c r="AE14" s="10">
        <f t="shared" si="22"/>
        <v>2023</v>
      </c>
      <c r="AF14" s="1">
        <f t="shared" si="2"/>
        <v>8</v>
      </c>
      <c r="AG14" s="1" t="str">
        <f t="shared" si="3"/>
        <v xml:space="preserve"> </v>
      </c>
      <c r="AH14" s="1" t="str">
        <f t="shared" si="4"/>
        <v xml:space="preserve"> </v>
      </c>
      <c r="AI14" s="1" t="str">
        <f t="shared" si="5"/>
        <v xml:space="preserve"> </v>
      </c>
      <c r="AJ14" s="1" t="str">
        <f t="shared" si="6"/>
        <v xml:space="preserve"> </v>
      </c>
      <c r="AK14" s="1" t="str">
        <f t="shared" si="7"/>
        <v xml:space="preserve"> </v>
      </c>
      <c r="AL14" s="1" t="str">
        <f t="shared" si="8"/>
        <v xml:space="preserve"> </v>
      </c>
      <c r="AM14" s="1">
        <f t="shared" si="9"/>
        <v>8</v>
      </c>
      <c r="AN14" s="1" t="str">
        <f t="shared" si="10"/>
        <v xml:space="preserve"> </v>
      </c>
      <c r="AO14" s="1" t="str">
        <f t="shared" si="11"/>
        <v xml:space="preserve"> </v>
      </c>
      <c r="AP14" s="1" t="str">
        <f t="shared" si="12"/>
        <v xml:space="preserve"> </v>
      </c>
      <c r="AQ14" s="1" t="str">
        <f t="shared" si="13"/>
        <v xml:space="preserve"> </v>
      </c>
      <c r="AR14" s="1" t="str">
        <f t="shared" si="14"/>
        <v xml:space="preserve"> </v>
      </c>
      <c r="AS14" s="1" t="str">
        <f t="shared" si="15"/>
        <v xml:space="preserve"> </v>
      </c>
      <c r="AT14" s="1" t="str">
        <f t="shared" si="16"/>
        <v xml:space="preserve"> </v>
      </c>
      <c r="AU14" s="1" t="str">
        <f t="shared" si="17"/>
        <v xml:space="preserve"> </v>
      </c>
    </row>
    <row r="15" spans="1:47" ht="89.25" hidden="1">
      <c r="A15" s="40">
        <v>13</v>
      </c>
      <c r="B15" s="34">
        <v>45100</v>
      </c>
      <c r="C15" s="158">
        <v>0.54166666666666663</v>
      </c>
      <c r="D15" s="6" t="s">
        <v>107</v>
      </c>
      <c r="E15" s="6" t="s">
        <v>219</v>
      </c>
      <c r="F15" s="51" t="s">
        <v>220</v>
      </c>
      <c r="G15" s="49">
        <v>32060704</v>
      </c>
      <c r="H15" s="6" t="s">
        <v>221</v>
      </c>
      <c r="I15" s="35" t="s">
        <v>222</v>
      </c>
      <c r="J15" s="35" t="s">
        <v>223</v>
      </c>
      <c r="K15" s="35"/>
      <c r="L15" s="35" t="s">
        <v>224</v>
      </c>
      <c r="M15" s="6" t="s">
        <v>216</v>
      </c>
      <c r="N15" s="6"/>
      <c r="O15" s="6"/>
      <c r="P15" s="6"/>
      <c r="Q15" s="6" t="s">
        <v>132</v>
      </c>
      <c r="R15" s="34">
        <v>45110</v>
      </c>
      <c r="S15" s="158">
        <v>0.4375</v>
      </c>
      <c r="T15" s="34" t="s">
        <v>915</v>
      </c>
      <c r="U15" s="181" t="s">
        <v>1077</v>
      </c>
      <c r="V15" s="6"/>
      <c r="W15" s="23" t="str">
        <f t="shared" ca="1" si="18"/>
        <v>SI</v>
      </c>
      <c r="X15" s="23" t="str">
        <f t="shared" si="19"/>
        <v>DIANOSOL</v>
      </c>
      <c r="Y15" s="50" t="s">
        <v>991</v>
      </c>
      <c r="Z15" s="111" t="s">
        <v>1039</v>
      </c>
      <c r="AA15" s="111" t="str">
        <f>IF(Z15&lt;&gt;"",VLOOKUP($Z15,Resultados!$A$1:$B$49,2,FALSE),"")</f>
        <v>Recursos Abstractos</v>
      </c>
      <c r="AC15" s="10">
        <f t="shared" si="20"/>
        <v>3</v>
      </c>
      <c r="AD15" s="10">
        <f t="shared" si="21"/>
        <v>7</v>
      </c>
      <c r="AE15" s="10">
        <f t="shared" si="22"/>
        <v>2023</v>
      </c>
      <c r="AF15" s="1">
        <f t="shared" si="2"/>
        <v>7</v>
      </c>
      <c r="AG15" s="1" t="str">
        <f t="shared" si="3"/>
        <v xml:space="preserve"> </v>
      </c>
      <c r="AH15" s="1" t="str">
        <f t="shared" si="4"/>
        <v xml:space="preserve"> </v>
      </c>
      <c r="AI15" s="1" t="str">
        <f t="shared" si="5"/>
        <v xml:space="preserve"> </v>
      </c>
      <c r="AJ15" s="1" t="str">
        <f t="shared" si="6"/>
        <v xml:space="preserve"> </v>
      </c>
      <c r="AK15" s="1" t="str">
        <f t="shared" si="7"/>
        <v xml:space="preserve"> </v>
      </c>
      <c r="AL15" s="1" t="str">
        <f t="shared" si="8"/>
        <v xml:space="preserve"> </v>
      </c>
      <c r="AM15" s="1" t="str">
        <f t="shared" si="9"/>
        <v xml:space="preserve"> </v>
      </c>
      <c r="AN15" s="1">
        <f t="shared" si="10"/>
        <v>7</v>
      </c>
      <c r="AO15" s="1" t="str">
        <f t="shared" si="11"/>
        <v xml:space="preserve"> </v>
      </c>
      <c r="AP15" s="1" t="str">
        <f t="shared" si="12"/>
        <v xml:space="preserve"> </v>
      </c>
      <c r="AQ15" s="1" t="str">
        <f t="shared" si="13"/>
        <v xml:space="preserve"> </v>
      </c>
      <c r="AR15" s="1" t="str">
        <f t="shared" si="14"/>
        <v xml:space="preserve"> </v>
      </c>
      <c r="AS15" s="1" t="str">
        <f t="shared" si="15"/>
        <v xml:space="preserve"> </v>
      </c>
      <c r="AT15" s="1" t="str">
        <f t="shared" si="16"/>
        <v xml:space="preserve"> </v>
      </c>
      <c r="AU15" s="1" t="str">
        <f t="shared" si="17"/>
        <v xml:space="preserve"> </v>
      </c>
    </row>
    <row r="16" spans="1:47" ht="51" hidden="1">
      <c r="A16" s="40">
        <v>14</v>
      </c>
      <c r="B16" s="34">
        <v>45105</v>
      </c>
      <c r="C16" s="158">
        <v>0.54166666666666663</v>
      </c>
      <c r="D16" s="158" t="s">
        <v>103</v>
      </c>
      <c r="E16" s="6" t="s">
        <v>230</v>
      </c>
      <c r="F16" s="51" t="s">
        <v>231</v>
      </c>
      <c r="G16" s="49">
        <v>25140448</v>
      </c>
      <c r="H16" s="6" t="s">
        <v>232</v>
      </c>
      <c r="I16" s="35" t="s">
        <v>233</v>
      </c>
      <c r="J16" s="35" t="s">
        <v>234</v>
      </c>
      <c r="K16" s="37">
        <v>26953389</v>
      </c>
      <c r="L16" s="35" t="s">
        <v>235</v>
      </c>
      <c r="M16" s="6" t="s">
        <v>207</v>
      </c>
      <c r="N16" s="6"/>
      <c r="O16" s="6"/>
      <c r="P16" s="6" t="s">
        <v>215</v>
      </c>
      <c r="Q16" s="6" t="s">
        <v>131</v>
      </c>
      <c r="R16" s="34">
        <v>45113</v>
      </c>
      <c r="S16" s="158">
        <v>0.33333333333333331</v>
      </c>
      <c r="T16" s="34" t="s">
        <v>253</v>
      </c>
      <c r="U16" s="181"/>
      <c r="V16" s="6"/>
      <c r="W16" s="23" t="str">
        <f t="shared" ca="1" si="18"/>
        <v>SI</v>
      </c>
      <c r="X16" s="23" t="str">
        <f t="shared" si="19"/>
        <v>DIANOSOL</v>
      </c>
      <c r="Y16" s="50" t="s">
        <v>991</v>
      </c>
      <c r="Z16" s="111" t="s">
        <v>1015</v>
      </c>
      <c r="AA16" s="111" t="str">
        <f>IF(Z16&lt;&gt;"",VLOOKUP($Z16,Resultados!$A$1:$B$49,2,FALSE),"")</f>
        <v>Recursos Denegados</v>
      </c>
      <c r="AB16" s="23" t="str">
        <f t="shared" ref="AB16:AB17" ca="1" si="24">IF(R16&gt;TODAY(),"FIJADA","OTRO")</f>
        <v>OTRO</v>
      </c>
      <c r="AC16" s="10">
        <f t="shared" si="20"/>
        <v>6</v>
      </c>
      <c r="AD16" s="10">
        <f t="shared" si="21"/>
        <v>7</v>
      </c>
      <c r="AE16" s="10">
        <f t="shared" si="22"/>
        <v>2023</v>
      </c>
      <c r="AF16" s="1">
        <f t="shared" si="2"/>
        <v>7</v>
      </c>
      <c r="AG16" s="1" t="str">
        <f t="shared" si="3"/>
        <v xml:space="preserve"> </v>
      </c>
      <c r="AH16" s="1" t="str">
        <f t="shared" si="4"/>
        <v xml:space="preserve"> </v>
      </c>
      <c r="AI16" s="1" t="str">
        <f t="shared" si="5"/>
        <v xml:space="preserve"> </v>
      </c>
      <c r="AJ16" s="1" t="str">
        <f t="shared" si="6"/>
        <v xml:space="preserve"> </v>
      </c>
      <c r="AK16" s="1" t="str">
        <f t="shared" si="7"/>
        <v xml:space="preserve"> </v>
      </c>
      <c r="AL16" s="1" t="str">
        <f t="shared" si="8"/>
        <v xml:space="preserve"> </v>
      </c>
      <c r="AM16" s="1" t="str">
        <f t="shared" si="9"/>
        <v xml:space="preserve"> </v>
      </c>
      <c r="AN16" s="1">
        <f t="shared" si="10"/>
        <v>7</v>
      </c>
      <c r="AO16" s="1" t="str">
        <f t="shared" si="11"/>
        <v xml:space="preserve"> </v>
      </c>
      <c r="AP16" s="1" t="str">
        <f t="shared" si="12"/>
        <v xml:space="preserve"> </v>
      </c>
      <c r="AQ16" s="1" t="str">
        <f t="shared" si="13"/>
        <v xml:space="preserve"> </v>
      </c>
      <c r="AR16" s="1" t="str">
        <f t="shared" si="14"/>
        <v xml:space="preserve"> </v>
      </c>
      <c r="AS16" s="1" t="str">
        <f t="shared" si="15"/>
        <v xml:space="preserve"> </v>
      </c>
      <c r="AT16" s="1" t="str">
        <f t="shared" si="16"/>
        <v xml:space="preserve"> </v>
      </c>
      <c r="AU16" s="1" t="str">
        <f t="shared" si="17"/>
        <v xml:space="preserve"> </v>
      </c>
    </row>
    <row r="17" spans="1:47" ht="38.25" hidden="1">
      <c r="A17" s="40">
        <v>15</v>
      </c>
      <c r="B17" s="34">
        <v>45105</v>
      </c>
      <c r="C17" s="158">
        <v>0.54166666666666663</v>
      </c>
      <c r="D17" s="6" t="s">
        <v>107</v>
      </c>
      <c r="E17" s="6" t="s">
        <v>237</v>
      </c>
      <c r="F17" s="51" t="s">
        <v>238</v>
      </c>
      <c r="G17" s="6"/>
      <c r="H17" s="6"/>
      <c r="I17" s="35" t="s">
        <v>239</v>
      </c>
      <c r="J17" s="35"/>
      <c r="K17" s="35"/>
      <c r="L17" s="35"/>
      <c r="M17" s="6" t="s">
        <v>240</v>
      </c>
      <c r="N17" s="6"/>
      <c r="O17" s="6"/>
      <c r="P17" s="6"/>
      <c r="Q17" s="6" t="s">
        <v>135</v>
      </c>
      <c r="R17" s="34">
        <v>45112</v>
      </c>
      <c r="S17" s="158">
        <v>0.52083333333333337</v>
      </c>
      <c r="T17" s="34" t="s">
        <v>924</v>
      </c>
      <c r="U17" s="181" t="s">
        <v>1054</v>
      </c>
      <c r="V17" s="6"/>
      <c r="W17" s="23" t="str">
        <f t="shared" ca="1" si="18"/>
        <v>SI</v>
      </c>
      <c r="X17" s="23" t="str">
        <f t="shared" si="19"/>
        <v>DIANOSOL</v>
      </c>
      <c r="Y17" s="50" t="s">
        <v>991</v>
      </c>
      <c r="Z17" s="111" t="s">
        <v>1015</v>
      </c>
      <c r="AA17" s="111" t="str">
        <f>IF(Z17&lt;&gt;"",VLOOKUP($Z17,Resultados!$A$1:$B$49,2,FALSE),"")</f>
        <v>Recursos Denegados</v>
      </c>
      <c r="AB17" s="23" t="str">
        <f t="shared" ca="1" si="24"/>
        <v>OTRO</v>
      </c>
      <c r="AC17" s="10">
        <f t="shared" si="20"/>
        <v>5</v>
      </c>
      <c r="AD17" s="10">
        <f t="shared" si="21"/>
        <v>7</v>
      </c>
      <c r="AE17" s="10">
        <f t="shared" si="22"/>
        <v>2023</v>
      </c>
      <c r="AF17" s="1">
        <f t="shared" si="2"/>
        <v>6</v>
      </c>
      <c r="AG17" s="1" t="str">
        <f t="shared" si="3"/>
        <v xml:space="preserve"> </v>
      </c>
      <c r="AH17" s="1" t="str">
        <f t="shared" si="4"/>
        <v xml:space="preserve"> </v>
      </c>
      <c r="AI17" s="1" t="str">
        <f t="shared" si="5"/>
        <v xml:space="preserve"> </v>
      </c>
      <c r="AJ17" s="1" t="str">
        <f t="shared" si="6"/>
        <v xml:space="preserve"> </v>
      </c>
      <c r="AK17" s="1" t="str">
        <f t="shared" si="7"/>
        <v xml:space="preserve"> </v>
      </c>
      <c r="AL17" s="1" t="str">
        <f t="shared" si="8"/>
        <v xml:space="preserve"> </v>
      </c>
      <c r="AM17" s="1" t="str">
        <f t="shared" si="9"/>
        <v xml:space="preserve"> </v>
      </c>
      <c r="AN17" s="1">
        <f t="shared" si="10"/>
        <v>6</v>
      </c>
      <c r="AO17" s="1" t="str">
        <f t="shared" si="11"/>
        <v xml:space="preserve"> </v>
      </c>
      <c r="AP17" s="1" t="str">
        <f t="shared" si="12"/>
        <v xml:space="preserve"> </v>
      </c>
      <c r="AQ17" s="1" t="str">
        <f t="shared" si="13"/>
        <v xml:space="preserve"> </v>
      </c>
      <c r="AR17" s="1" t="str">
        <f t="shared" si="14"/>
        <v xml:space="preserve"> </v>
      </c>
      <c r="AS17" s="1" t="str">
        <f t="shared" si="15"/>
        <v xml:space="preserve"> </v>
      </c>
      <c r="AT17" s="1" t="str">
        <f t="shared" si="16"/>
        <v xml:space="preserve"> </v>
      </c>
      <c r="AU17" s="1" t="str">
        <f t="shared" si="17"/>
        <v xml:space="preserve"> </v>
      </c>
    </row>
    <row r="18" spans="1:47" ht="39.950000000000003" hidden="1" customHeight="1">
      <c r="A18" s="40">
        <v>16</v>
      </c>
      <c r="B18" s="34">
        <v>45105</v>
      </c>
      <c r="C18" s="158">
        <v>0.54166666666666663</v>
      </c>
      <c r="D18" s="6" t="s">
        <v>241</v>
      </c>
      <c r="E18" s="6" t="s">
        <v>242</v>
      </c>
      <c r="F18" s="51" t="s">
        <v>243</v>
      </c>
      <c r="G18" s="49">
        <v>32242314</v>
      </c>
      <c r="H18" s="6"/>
      <c r="I18" s="53" t="s">
        <v>244</v>
      </c>
      <c r="J18" s="53"/>
      <c r="K18" s="53"/>
      <c r="L18" s="53"/>
      <c r="M18" s="6" t="s">
        <v>245</v>
      </c>
      <c r="N18" s="6"/>
      <c r="O18" s="6"/>
      <c r="P18" s="6" t="s">
        <v>52</v>
      </c>
      <c r="Q18" s="6" t="s">
        <v>132</v>
      </c>
      <c r="R18" s="34">
        <v>45112</v>
      </c>
      <c r="S18" s="158">
        <v>0.39583333333333331</v>
      </c>
      <c r="T18" s="34" t="s">
        <v>191</v>
      </c>
      <c r="U18" s="181" t="s">
        <v>1076</v>
      </c>
      <c r="V18" s="48" t="s">
        <v>301</v>
      </c>
      <c r="W18" s="23" t="str">
        <f t="shared" ca="1" si="18"/>
        <v>SI</v>
      </c>
      <c r="X18" s="23" t="str">
        <f t="shared" si="19"/>
        <v>DIANOSOL</v>
      </c>
      <c r="Y18" s="50" t="s">
        <v>991</v>
      </c>
      <c r="Z18" s="111" t="s">
        <v>1016</v>
      </c>
      <c r="AA18" s="111" t="str">
        <f>IF(Z18&lt;&gt;"",VLOOKUP($Z18,Resultados!$A$1:$B$49,2,FALSE),"")</f>
        <v>Recursos donde se hizo lugar</v>
      </c>
      <c r="AC18" s="10">
        <f t="shared" si="20"/>
        <v>5</v>
      </c>
      <c r="AD18" s="10">
        <f t="shared" si="21"/>
        <v>7</v>
      </c>
      <c r="AE18" s="10">
        <f t="shared" si="22"/>
        <v>2023</v>
      </c>
      <c r="AF18" s="1">
        <f t="shared" si="2"/>
        <v>6</v>
      </c>
      <c r="AG18" s="1" t="str">
        <f t="shared" si="3"/>
        <v xml:space="preserve"> </v>
      </c>
      <c r="AH18" s="1" t="str">
        <f t="shared" si="4"/>
        <v xml:space="preserve"> </v>
      </c>
      <c r="AI18" s="1" t="str">
        <f t="shared" si="5"/>
        <v xml:space="preserve"> </v>
      </c>
      <c r="AJ18" s="1" t="str">
        <f t="shared" si="6"/>
        <v xml:space="preserve"> </v>
      </c>
      <c r="AK18" s="1" t="str">
        <f t="shared" si="7"/>
        <v xml:space="preserve"> </v>
      </c>
      <c r="AL18" s="1" t="str">
        <f t="shared" si="8"/>
        <v xml:space="preserve"> </v>
      </c>
      <c r="AM18" s="1" t="str">
        <f t="shared" si="9"/>
        <v xml:space="preserve"> </v>
      </c>
      <c r="AN18" s="1">
        <f t="shared" si="10"/>
        <v>6</v>
      </c>
      <c r="AO18" s="1" t="str">
        <f t="shared" si="11"/>
        <v xml:space="preserve"> </v>
      </c>
      <c r="AP18" s="1" t="str">
        <f t="shared" si="12"/>
        <v xml:space="preserve"> </v>
      </c>
      <c r="AQ18" s="1" t="str">
        <f t="shared" si="13"/>
        <v xml:space="preserve"> </v>
      </c>
      <c r="AR18" s="1" t="str">
        <f t="shared" si="14"/>
        <v xml:space="preserve"> </v>
      </c>
      <c r="AS18" s="1" t="str">
        <f t="shared" si="15"/>
        <v xml:space="preserve"> </v>
      </c>
      <c r="AT18" s="1" t="str">
        <f t="shared" si="16"/>
        <v xml:space="preserve"> </v>
      </c>
      <c r="AU18" s="1" t="str">
        <f t="shared" si="17"/>
        <v xml:space="preserve"> </v>
      </c>
    </row>
    <row r="19" spans="1:47" ht="38.25" hidden="1">
      <c r="A19" s="40">
        <v>17</v>
      </c>
      <c r="B19" s="34">
        <v>45112</v>
      </c>
      <c r="C19" s="158">
        <v>0.54166666666666663</v>
      </c>
      <c r="D19" s="6" t="s">
        <v>106</v>
      </c>
      <c r="E19" s="6" t="s">
        <v>1053</v>
      </c>
      <c r="F19" s="51" t="s">
        <v>246</v>
      </c>
      <c r="G19" s="49">
        <v>24888196</v>
      </c>
      <c r="H19" s="22" t="s">
        <v>247</v>
      </c>
      <c r="I19" s="35" t="s">
        <v>248</v>
      </c>
      <c r="J19" s="35" t="s">
        <v>249</v>
      </c>
      <c r="K19" s="37">
        <v>34184408</v>
      </c>
      <c r="L19" s="35" t="s">
        <v>250</v>
      </c>
      <c r="M19" s="6" t="s">
        <v>252</v>
      </c>
      <c r="N19" s="6"/>
      <c r="O19" s="6"/>
      <c r="P19" s="6" t="s">
        <v>31</v>
      </c>
      <c r="Q19" s="6" t="s">
        <v>135</v>
      </c>
      <c r="R19" s="34">
        <v>45117</v>
      </c>
      <c r="S19" s="158">
        <v>0.39583333333333331</v>
      </c>
      <c r="T19" s="34" t="s">
        <v>901</v>
      </c>
      <c r="U19" s="182"/>
      <c r="V19" s="38"/>
      <c r="W19" s="23" t="str">
        <f t="shared" ca="1" si="18"/>
        <v>SI</v>
      </c>
      <c r="X19" s="23" t="str">
        <f t="shared" si="19"/>
        <v>DIANOSOL</v>
      </c>
      <c r="Y19" s="50" t="s">
        <v>991</v>
      </c>
      <c r="Z19" s="111" t="s">
        <v>1015</v>
      </c>
      <c r="AA19" s="111" t="str">
        <f>IF(Z19&lt;&gt;"",VLOOKUP($Z19,Resultados!$A$1:$B$49,2,FALSE),"")</f>
        <v>Recursos Denegados</v>
      </c>
      <c r="AB19" s="23" t="str">
        <f t="shared" ref="AB19:AB20" ca="1" si="25">IF(R19&gt;TODAY(),"FIJADA","OTRO")</f>
        <v>OTRO</v>
      </c>
      <c r="AC19" s="10">
        <f t="shared" si="20"/>
        <v>10</v>
      </c>
      <c r="AD19" s="10">
        <f t="shared" si="21"/>
        <v>7</v>
      </c>
      <c r="AE19" s="10">
        <f t="shared" si="22"/>
        <v>2023</v>
      </c>
      <c r="AF19" s="1">
        <f t="shared" si="2"/>
        <v>4</v>
      </c>
      <c r="AG19" s="1" t="str">
        <f t="shared" si="3"/>
        <v xml:space="preserve"> </v>
      </c>
      <c r="AH19" s="1" t="str">
        <f t="shared" si="4"/>
        <v xml:space="preserve"> </v>
      </c>
      <c r="AI19" s="1" t="str">
        <f t="shared" si="5"/>
        <v xml:space="preserve"> </v>
      </c>
      <c r="AJ19" s="1" t="str">
        <f t="shared" si="6"/>
        <v xml:space="preserve"> </v>
      </c>
      <c r="AK19" s="1" t="str">
        <f t="shared" si="7"/>
        <v xml:space="preserve"> </v>
      </c>
      <c r="AL19" s="1" t="str">
        <f t="shared" si="8"/>
        <v xml:space="preserve"> </v>
      </c>
      <c r="AM19" s="1" t="str">
        <f t="shared" si="9"/>
        <v xml:space="preserve"> </v>
      </c>
      <c r="AN19" s="1">
        <f t="shared" si="10"/>
        <v>4</v>
      </c>
      <c r="AO19" s="1" t="str">
        <f t="shared" si="11"/>
        <v xml:space="preserve"> </v>
      </c>
      <c r="AP19" s="1" t="str">
        <f t="shared" si="12"/>
        <v xml:space="preserve"> </v>
      </c>
      <c r="AQ19" s="1" t="str">
        <f t="shared" si="13"/>
        <v xml:space="preserve"> </v>
      </c>
      <c r="AR19" s="1" t="str">
        <f t="shared" si="14"/>
        <v xml:space="preserve"> </v>
      </c>
      <c r="AS19" s="1" t="str">
        <f t="shared" si="15"/>
        <v xml:space="preserve"> </v>
      </c>
      <c r="AT19" s="1" t="str">
        <f t="shared" si="16"/>
        <v xml:space="preserve"> </v>
      </c>
      <c r="AU19" s="1" t="str">
        <f t="shared" si="17"/>
        <v xml:space="preserve"> </v>
      </c>
    </row>
    <row r="20" spans="1:47" ht="39.950000000000003" hidden="1" customHeight="1">
      <c r="A20" s="40">
        <v>18</v>
      </c>
      <c r="B20" s="34">
        <v>45113</v>
      </c>
      <c r="C20" s="158">
        <v>0.54166666666666663</v>
      </c>
      <c r="D20" s="6" t="s">
        <v>225</v>
      </c>
      <c r="E20" s="6" t="s">
        <v>338</v>
      </c>
      <c r="F20" s="51" t="s">
        <v>298</v>
      </c>
      <c r="G20" s="49"/>
      <c r="H20" s="38"/>
      <c r="I20" s="6" t="s">
        <v>299</v>
      </c>
      <c r="J20" s="35" t="s">
        <v>300</v>
      </c>
      <c r="K20" s="37"/>
      <c r="L20" s="35"/>
      <c r="M20" s="6" t="s">
        <v>216</v>
      </c>
      <c r="N20" s="6"/>
      <c r="O20" s="6" t="s">
        <v>97</v>
      </c>
      <c r="P20" s="6"/>
      <c r="Q20" s="6" t="s">
        <v>135</v>
      </c>
      <c r="R20" s="60">
        <v>45121</v>
      </c>
      <c r="S20" s="158">
        <v>0.45833333333333331</v>
      </c>
      <c r="T20" s="34" t="s">
        <v>253</v>
      </c>
      <c r="U20" s="182" t="s">
        <v>1088</v>
      </c>
      <c r="V20" s="50" t="s">
        <v>329</v>
      </c>
      <c r="W20" s="23" t="str">
        <f t="shared" ca="1" si="18"/>
        <v>SI</v>
      </c>
      <c r="X20" s="23" t="str">
        <f t="shared" si="19"/>
        <v>DIANOSOL</v>
      </c>
      <c r="Y20" s="50" t="s">
        <v>991</v>
      </c>
      <c r="Z20" s="111" t="s">
        <v>1015</v>
      </c>
      <c r="AA20" s="111" t="str">
        <f>IF(Z20&lt;&gt;"",VLOOKUP($Z20,Resultados!$A$1:$B$49,2,FALSE),"")</f>
        <v>Recursos Denegados</v>
      </c>
      <c r="AB20" s="23" t="str">
        <f t="shared" ca="1" si="25"/>
        <v>OTRO</v>
      </c>
      <c r="AC20" s="10">
        <f t="shared" si="20"/>
        <v>14</v>
      </c>
      <c r="AD20" s="10">
        <f t="shared" si="21"/>
        <v>7</v>
      </c>
      <c r="AE20" s="10">
        <f t="shared" si="22"/>
        <v>2023</v>
      </c>
      <c r="AF20" s="1">
        <f t="shared" si="2"/>
        <v>7</v>
      </c>
      <c r="AG20" s="1" t="str">
        <f t="shared" si="3"/>
        <v xml:space="preserve"> </v>
      </c>
      <c r="AH20" s="1" t="str">
        <f t="shared" si="4"/>
        <v xml:space="preserve"> </v>
      </c>
      <c r="AI20" s="1" t="str">
        <f t="shared" si="5"/>
        <v xml:space="preserve"> </v>
      </c>
      <c r="AJ20" s="1" t="str">
        <f t="shared" si="6"/>
        <v xml:space="preserve"> </v>
      </c>
      <c r="AK20" s="1" t="str">
        <f t="shared" si="7"/>
        <v xml:space="preserve"> </v>
      </c>
      <c r="AL20" s="1" t="str">
        <f t="shared" si="8"/>
        <v xml:space="preserve"> </v>
      </c>
      <c r="AM20" s="1" t="str">
        <f t="shared" si="9"/>
        <v xml:space="preserve"> </v>
      </c>
      <c r="AN20" s="1">
        <f t="shared" si="10"/>
        <v>7</v>
      </c>
      <c r="AO20" s="1" t="str">
        <f t="shared" si="11"/>
        <v xml:space="preserve"> </v>
      </c>
      <c r="AP20" s="1" t="str">
        <f t="shared" si="12"/>
        <v xml:space="preserve"> </v>
      </c>
      <c r="AQ20" s="1" t="str">
        <f t="shared" si="13"/>
        <v xml:space="preserve"> </v>
      </c>
      <c r="AR20" s="1" t="str">
        <f t="shared" si="14"/>
        <v xml:space="preserve"> </v>
      </c>
      <c r="AS20" s="1" t="str">
        <f t="shared" si="15"/>
        <v xml:space="preserve"> </v>
      </c>
      <c r="AT20" s="1" t="str">
        <f t="shared" si="16"/>
        <v xml:space="preserve"> </v>
      </c>
      <c r="AU20" s="1" t="str">
        <f t="shared" si="17"/>
        <v xml:space="preserve"> </v>
      </c>
    </row>
    <row r="21" spans="1:47" ht="38.25" hidden="1">
      <c r="A21" s="40">
        <v>19</v>
      </c>
      <c r="B21" s="34">
        <v>45113</v>
      </c>
      <c r="C21" s="158">
        <v>0.54166666666666663</v>
      </c>
      <c r="D21" s="6" t="s">
        <v>229</v>
      </c>
      <c r="E21" s="6" t="s">
        <v>303</v>
      </c>
      <c r="F21" s="6" t="s">
        <v>254</v>
      </c>
      <c r="G21" s="6"/>
      <c r="H21" s="6"/>
      <c r="I21" s="35">
        <v>659</v>
      </c>
      <c r="J21" s="35"/>
      <c r="K21" s="35"/>
      <c r="L21" s="35"/>
      <c r="M21" s="6" t="s">
        <v>252</v>
      </c>
      <c r="N21" s="6"/>
      <c r="O21" s="6"/>
      <c r="P21" s="6"/>
      <c r="Q21" s="6" t="s">
        <v>131</v>
      </c>
      <c r="R21" s="34">
        <v>45118</v>
      </c>
      <c r="S21" s="158">
        <v>0.39583333333333331</v>
      </c>
      <c r="T21" s="34" t="s">
        <v>191</v>
      </c>
      <c r="U21" s="182"/>
      <c r="V21" s="38"/>
      <c r="W21" s="23" t="str">
        <f t="shared" ca="1" si="18"/>
        <v>SI</v>
      </c>
      <c r="X21" s="23" t="str">
        <f t="shared" si="19"/>
        <v>DIANOSOL</v>
      </c>
      <c r="Y21" s="50" t="s">
        <v>991</v>
      </c>
      <c r="Z21" s="111" t="s">
        <v>1016</v>
      </c>
      <c r="AA21" s="111" t="str">
        <f>IF(Z21&lt;&gt;"",VLOOKUP($Z21,Resultados!$A$1:$B$49,2,FALSE),"")</f>
        <v>Recursos donde se hizo lugar</v>
      </c>
      <c r="AC21" s="10">
        <f t="shared" si="20"/>
        <v>11</v>
      </c>
      <c r="AD21" s="10">
        <f t="shared" si="21"/>
        <v>7</v>
      </c>
      <c r="AE21" s="10">
        <f t="shared" si="22"/>
        <v>2023</v>
      </c>
      <c r="AF21" s="1">
        <f t="shared" si="2"/>
        <v>4</v>
      </c>
      <c r="AG21" s="1" t="str">
        <f t="shared" si="3"/>
        <v xml:space="preserve"> </v>
      </c>
      <c r="AH21" s="1" t="str">
        <f t="shared" si="4"/>
        <v xml:space="preserve"> </v>
      </c>
      <c r="AI21" s="1" t="str">
        <f t="shared" si="5"/>
        <v xml:space="preserve"> </v>
      </c>
      <c r="AJ21" s="1" t="str">
        <f t="shared" si="6"/>
        <v xml:space="preserve"> </v>
      </c>
      <c r="AK21" s="1" t="str">
        <f t="shared" si="7"/>
        <v xml:space="preserve"> </v>
      </c>
      <c r="AL21" s="1" t="str">
        <f t="shared" si="8"/>
        <v xml:space="preserve"> </v>
      </c>
      <c r="AM21" s="1" t="str">
        <f t="shared" si="9"/>
        <v xml:space="preserve"> </v>
      </c>
      <c r="AN21" s="1">
        <f t="shared" si="10"/>
        <v>4</v>
      </c>
      <c r="AO21" s="1" t="str">
        <f t="shared" si="11"/>
        <v xml:space="preserve"> </v>
      </c>
      <c r="AP21" s="1" t="str">
        <f t="shared" si="12"/>
        <v xml:space="preserve"> </v>
      </c>
      <c r="AQ21" s="1" t="str">
        <f t="shared" si="13"/>
        <v xml:space="preserve"> </v>
      </c>
      <c r="AR21" s="1" t="str">
        <f t="shared" si="14"/>
        <v xml:space="preserve"> </v>
      </c>
      <c r="AS21" s="1" t="str">
        <f t="shared" si="15"/>
        <v xml:space="preserve"> </v>
      </c>
      <c r="AT21" s="1" t="str">
        <f t="shared" si="16"/>
        <v xml:space="preserve"> </v>
      </c>
      <c r="AU21" s="1" t="str">
        <f t="shared" si="17"/>
        <v xml:space="preserve"> </v>
      </c>
    </row>
    <row r="22" spans="1:47" ht="38.25" hidden="1">
      <c r="A22" s="55">
        <v>20</v>
      </c>
      <c r="B22" s="52">
        <v>45113</v>
      </c>
      <c r="C22" s="162">
        <v>0.54166666666666663</v>
      </c>
      <c r="D22" s="38" t="s">
        <v>225</v>
      </c>
      <c r="E22" s="50" t="s">
        <v>302</v>
      </c>
      <c r="F22" s="50" t="s">
        <v>255</v>
      </c>
      <c r="G22" s="56">
        <v>31338665</v>
      </c>
      <c r="H22" s="50" t="s">
        <v>256</v>
      </c>
      <c r="I22" s="39" t="s">
        <v>257</v>
      </c>
      <c r="J22" s="39" t="s">
        <v>258</v>
      </c>
      <c r="K22" s="57">
        <v>43373870</v>
      </c>
      <c r="L22" s="39" t="s">
        <v>259</v>
      </c>
      <c r="M22" s="50" t="s">
        <v>252</v>
      </c>
      <c r="N22" s="38"/>
      <c r="O22" s="38"/>
      <c r="P22" s="38"/>
      <c r="Q22" s="50" t="s">
        <v>131</v>
      </c>
      <c r="R22" s="52">
        <v>45119</v>
      </c>
      <c r="S22" s="161">
        <v>0.5</v>
      </c>
      <c r="T22" s="47" t="s">
        <v>902</v>
      </c>
      <c r="U22" s="182" t="s">
        <v>1044</v>
      </c>
      <c r="V22" s="38"/>
      <c r="W22" s="23" t="str">
        <f t="shared" ca="1" si="18"/>
        <v>SI</v>
      </c>
      <c r="X22" s="23" t="str">
        <f t="shared" si="19"/>
        <v>DIANOSOL</v>
      </c>
      <c r="Y22" s="50" t="s">
        <v>991</v>
      </c>
      <c r="Z22" s="111" t="s">
        <v>1015</v>
      </c>
      <c r="AA22" s="111" t="str">
        <f>IF(Z22&lt;&gt;"",VLOOKUP($Z22,Resultados!$A$1:$B$49,2,FALSE),"")</f>
        <v>Recursos Denegados</v>
      </c>
      <c r="AB22" s="23" t="str">
        <f t="shared" ref="AB22:AB23" ca="1" si="26">IF(R22&gt;TODAY(),"FIJADA","OTRO")</f>
        <v>OTRO</v>
      </c>
      <c r="AC22" s="10">
        <f t="shared" si="20"/>
        <v>12</v>
      </c>
      <c r="AD22" s="10">
        <f t="shared" si="21"/>
        <v>7</v>
      </c>
      <c r="AE22" s="10">
        <f t="shared" si="22"/>
        <v>2023</v>
      </c>
      <c r="AF22" s="1">
        <f t="shared" si="2"/>
        <v>5</v>
      </c>
      <c r="AG22" s="1" t="str">
        <f t="shared" si="3"/>
        <v xml:space="preserve"> </v>
      </c>
      <c r="AH22" s="1" t="str">
        <f t="shared" si="4"/>
        <v xml:space="preserve"> </v>
      </c>
      <c r="AI22" s="1" t="str">
        <f t="shared" si="5"/>
        <v xml:space="preserve"> </v>
      </c>
      <c r="AJ22" s="1" t="str">
        <f t="shared" si="6"/>
        <v xml:space="preserve"> </v>
      </c>
      <c r="AK22" s="1" t="str">
        <f t="shared" si="7"/>
        <v xml:space="preserve"> </v>
      </c>
      <c r="AL22" s="1" t="str">
        <f t="shared" si="8"/>
        <v xml:space="preserve"> </v>
      </c>
      <c r="AM22" s="1" t="str">
        <f t="shared" si="9"/>
        <v xml:space="preserve"> </v>
      </c>
      <c r="AN22" s="1">
        <f t="shared" si="10"/>
        <v>5</v>
      </c>
      <c r="AO22" s="1" t="str">
        <f t="shared" si="11"/>
        <v xml:space="preserve"> </v>
      </c>
      <c r="AP22" s="1" t="str">
        <f t="shared" si="12"/>
        <v xml:space="preserve"> </v>
      </c>
      <c r="AQ22" s="1" t="str">
        <f t="shared" si="13"/>
        <v xml:space="preserve"> </v>
      </c>
      <c r="AR22" s="1" t="str">
        <f t="shared" si="14"/>
        <v xml:space="preserve"> </v>
      </c>
      <c r="AS22" s="1" t="str">
        <f t="shared" si="15"/>
        <v xml:space="preserve"> </v>
      </c>
      <c r="AT22" s="1" t="str">
        <f t="shared" si="16"/>
        <v xml:space="preserve"> </v>
      </c>
      <c r="AU22" s="1" t="str">
        <f t="shared" si="17"/>
        <v xml:space="preserve"> </v>
      </c>
    </row>
    <row r="23" spans="1:47" ht="89.25" hidden="1">
      <c r="A23" s="55">
        <v>21</v>
      </c>
      <c r="B23" s="52">
        <v>45113</v>
      </c>
      <c r="C23" s="162">
        <v>0.54166666666666663</v>
      </c>
      <c r="D23" s="38" t="s">
        <v>229</v>
      </c>
      <c r="E23" s="50" t="s">
        <v>305</v>
      </c>
      <c r="F23" s="50" t="s">
        <v>304</v>
      </c>
      <c r="G23" s="38"/>
      <c r="H23" s="38"/>
      <c r="I23" s="39" t="s">
        <v>260</v>
      </c>
      <c r="J23" s="39" t="s">
        <v>261</v>
      </c>
      <c r="K23" s="57">
        <v>33475416</v>
      </c>
      <c r="L23" s="39" t="s">
        <v>330</v>
      </c>
      <c r="M23" s="50" t="s">
        <v>262</v>
      </c>
      <c r="N23" s="38"/>
      <c r="O23" s="38"/>
      <c r="P23" s="38"/>
      <c r="Q23" s="50" t="s">
        <v>132</v>
      </c>
      <c r="R23" s="52">
        <v>45119</v>
      </c>
      <c r="S23" s="161">
        <v>0.4375</v>
      </c>
      <c r="T23" s="47" t="s">
        <v>881</v>
      </c>
      <c r="U23" s="182" t="s">
        <v>1044</v>
      </c>
      <c r="V23" s="50" t="s">
        <v>337</v>
      </c>
      <c r="W23" s="23" t="str">
        <f t="shared" ca="1" si="18"/>
        <v>SI</v>
      </c>
      <c r="X23" s="23" t="str">
        <f t="shared" si="19"/>
        <v>DIANOSOL</v>
      </c>
      <c r="Y23" s="50" t="s">
        <v>991</v>
      </c>
      <c r="Z23" s="111" t="s">
        <v>1015</v>
      </c>
      <c r="AA23" s="111" t="str">
        <f>IF(Z23&lt;&gt;"",VLOOKUP($Z23,Resultados!$A$1:$B$49,2,FALSE),"")</f>
        <v>Recursos Denegados</v>
      </c>
      <c r="AB23" s="23" t="str">
        <f t="shared" ca="1" si="26"/>
        <v>OTRO</v>
      </c>
      <c r="AC23" s="10">
        <f t="shared" si="20"/>
        <v>12</v>
      </c>
      <c r="AD23" s="10">
        <f t="shared" si="21"/>
        <v>7</v>
      </c>
      <c r="AE23" s="10">
        <f t="shared" si="22"/>
        <v>2023</v>
      </c>
      <c r="AF23" s="1">
        <f t="shared" si="2"/>
        <v>5</v>
      </c>
      <c r="AG23" s="1" t="str">
        <f t="shared" si="3"/>
        <v xml:space="preserve"> </v>
      </c>
      <c r="AH23" s="1" t="str">
        <f t="shared" si="4"/>
        <v xml:space="preserve"> </v>
      </c>
      <c r="AI23" s="1" t="str">
        <f t="shared" si="5"/>
        <v xml:space="preserve"> </v>
      </c>
      <c r="AJ23" s="1" t="str">
        <f t="shared" si="6"/>
        <v xml:space="preserve"> </v>
      </c>
      <c r="AK23" s="1" t="str">
        <f t="shared" si="7"/>
        <v xml:space="preserve"> </v>
      </c>
      <c r="AL23" s="1" t="str">
        <f t="shared" si="8"/>
        <v xml:space="preserve"> </v>
      </c>
      <c r="AM23" s="1" t="str">
        <f t="shared" si="9"/>
        <v xml:space="preserve"> </v>
      </c>
      <c r="AN23" s="1">
        <f t="shared" si="10"/>
        <v>5</v>
      </c>
      <c r="AO23" s="1" t="str">
        <f t="shared" si="11"/>
        <v xml:space="preserve"> </v>
      </c>
      <c r="AP23" s="1" t="str">
        <f t="shared" si="12"/>
        <v xml:space="preserve"> </v>
      </c>
      <c r="AQ23" s="1" t="str">
        <f t="shared" si="13"/>
        <v xml:space="preserve"> </v>
      </c>
      <c r="AR23" s="1" t="str">
        <f t="shared" si="14"/>
        <v xml:space="preserve"> </v>
      </c>
      <c r="AS23" s="1" t="str">
        <f t="shared" si="15"/>
        <v xml:space="preserve"> </v>
      </c>
      <c r="AT23" s="1" t="str">
        <f t="shared" si="16"/>
        <v xml:space="preserve"> </v>
      </c>
      <c r="AU23" s="1" t="str">
        <f t="shared" si="17"/>
        <v xml:space="preserve"> </v>
      </c>
    </row>
    <row r="24" spans="1:47" ht="51" hidden="1">
      <c r="A24" s="55">
        <v>22</v>
      </c>
      <c r="B24" s="52">
        <v>45114</v>
      </c>
      <c r="C24" s="162">
        <v>0.54166666666666663</v>
      </c>
      <c r="D24" s="38" t="s">
        <v>106</v>
      </c>
      <c r="E24" s="50" t="s">
        <v>307</v>
      </c>
      <c r="F24" s="50" t="s">
        <v>263</v>
      </c>
      <c r="G24" s="56">
        <v>39480631</v>
      </c>
      <c r="H24" s="50" t="s">
        <v>221</v>
      </c>
      <c r="I24" s="39" t="s">
        <v>265</v>
      </c>
      <c r="J24" s="39" t="s">
        <v>266</v>
      </c>
      <c r="K24" s="58"/>
      <c r="L24" s="39" t="s">
        <v>267</v>
      </c>
      <c r="M24" s="50" t="s">
        <v>252</v>
      </c>
      <c r="N24" s="38"/>
      <c r="O24" s="38"/>
      <c r="P24" s="38"/>
      <c r="Q24" s="50" t="s">
        <v>132</v>
      </c>
      <c r="R24" s="52">
        <v>45120</v>
      </c>
      <c r="S24" s="161">
        <v>0.41666666666666669</v>
      </c>
      <c r="T24" s="47" t="s">
        <v>903</v>
      </c>
      <c r="U24" s="182" t="s">
        <v>1089</v>
      </c>
      <c r="V24" s="50" t="s">
        <v>337</v>
      </c>
      <c r="W24" s="23" t="str">
        <f t="shared" ca="1" si="18"/>
        <v>SI</v>
      </c>
      <c r="X24" s="23" t="str">
        <f t="shared" si="19"/>
        <v>DIANOSOL</v>
      </c>
      <c r="Y24" s="50" t="s">
        <v>991</v>
      </c>
      <c r="Z24" s="111" t="s">
        <v>1016</v>
      </c>
      <c r="AA24" s="111" t="str">
        <f>IF(Z24&lt;&gt;"",VLOOKUP($Z24,Resultados!$A$1:$B$49,2,FALSE),"")</f>
        <v>Recursos donde se hizo lugar</v>
      </c>
      <c r="AC24" s="10">
        <f t="shared" si="20"/>
        <v>13</v>
      </c>
      <c r="AD24" s="10">
        <f t="shared" si="21"/>
        <v>7</v>
      </c>
      <c r="AE24" s="10">
        <f t="shared" si="22"/>
        <v>2023</v>
      </c>
      <c r="AF24" s="1">
        <f t="shared" si="2"/>
        <v>5</v>
      </c>
      <c r="AG24" s="1" t="str">
        <f t="shared" si="3"/>
        <v xml:space="preserve"> </v>
      </c>
      <c r="AH24" s="1" t="str">
        <f t="shared" si="4"/>
        <v xml:space="preserve"> </v>
      </c>
      <c r="AI24" s="1" t="str">
        <f t="shared" si="5"/>
        <v xml:space="preserve"> </v>
      </c>
      <c r="AJ24" s="1" t="str">
        <f t="shared" si="6"/>
        <v xml:space="preserve"> </v>
      </c>
      <c r="AK24" s="1" t="str">
        <f t="shared" si="7"/>
        <v xml:space="preserve"> </v>
      </c>
      <c r="AL24" s="1" t="str">
        <f t="shared" si="8"/>
        <v xml:space="preserve"> </v>
      </c>
      <c r="AM24" s="1" t="str">
        <f t="shared" si="9"/>
        <v xml:space="preserve"> </v>
      </c>
      <c r="AN24" s="1">
        <f t="shared" si="10"/>
        <v>5</v>
      </c>
      <c r="AO24" s="1" t="str">
        <f t="shared" si="11"/>
        <v xml:space="preserve"> </v>
      </c>
      <c r="AP24" s="1" t="str">
        <f t="shared" si="12"/>
        <v xml:space="preserve"> </v>
      </c>
      <c r="AQ24" s="1" t="str">
        <f t="shared" si="13"/>
        <v xml:space="preserve"> </v>
      </c>
      <c r="AR24" s="1" t="str">
        <f t="shared" si="14"/>
        <v xml:space="preserve"> </v>
      </c>
      <c r="AS24" s="1" t="str">
        <f t="shared" si="15"/>
        <v xml:space="preserve"> </v>
      </c>
      <c r="AT24" s="1" t="str">
        <f t="shared" si="16"/>
        <v xml:space="preserve"> </v>
      </c>
      <c r="AU24" s="1" t="str">
        <f t="shared" si="17"/>
        <v xml:space="preserve"> </v>
      </c>
    </row>
    <row r="25" spans="1:47" ht="51" hidden="1">
      <c r="A25" s="55">
        <v>23</v>
      </c>
      <c r="B25" s="52">
        <v>45114</v>
      </c>
      <c r="C25" s="162">
        <v>0.54166666666666663</v>
      </c>
      <c r="D25" s="38" t="s">
        <v>106</v>
      </c>
      <c r="E25" s="50" t="s">
        <v>307</v>
      </c>
      <c r="F25" s="50" t="s">
        <v>274</v>
      </c>
      <c r="G25" s="56">
        <v>37998705</v>
      </c>
      <c r="H25" s="50" t="s">
        <v>264</v>
      </c>
      <c r="I25" s="39" t="s">
        <v>265</v>
      </c>
      <c r="J25" s="39" t="s">
        <v>266</v>
      </c>
      <c r="K25" s="58"/>
      <c r="L25" s="39" t="s">
        <v>267</v>
      </c>
      <c r="M25" s="50" t="s">
        <v>252</v>
      </c>
      <c r="N25" s="38"/>
      <c r="O25" s="38"/>
      <c r="P25" s="38"/>
      <c r="Q25" s="50" t="s">
        <v>132</v>
      </c>
      <c r="R25" s="52">
        <v>45120</v>
      </c>
      <c r="S25" s="161">
        <v>0.41666666666666669</v>
      </c>
      <c r="T25" s="47" t="s">
        <v>904</v>
      </c>
      <c r="U25" s="182" t="s">
        <v>1089</v>
      </c>
      <c r="V25" s="6" t="s">
        <v>360</v>
      </c>
      <c r="W25" s="23" t="str">
        <f t="shared" ca="1" si="18"/>
        <v>SI</v>
      </c>
      <c r="X25" s="23" t="str">
        <f t="shared" si="19"/>
        <v>DIANOSOL</v>
      </c>
      <c r="Y25" s="50" t="s">
        <v>991</v>
      </c>
      <c r="Z25" s="111" t="s">
        <v>1016</v>
      </c>
      <c r="AA25" s="111" t="str">
        <f>IF(Z25&lt;&gt;"",VLOOKUP($Z25,Resultados!$A$1:$B$49,2,FALSE),"")</f>
        <v>Recursos donde se hizo lugar</v>
      </c>
      <c r="AC25" s="10">
        <f t="shared" si="20"/>
        <v>13</v>
      </c>
      <c r="AD25" s="10">
        <f t="shared" si="21"/>
        <v>7</v>
      </c>
      <c r="AE25" s="10">
        <f t="shared" si="22"/>
        <v>2023</v>
      </c>
      <c r="AF25" s="1">
        <f t="shared" si="2"/>
        <v>5</v>
      </c>
      <c r="AG25" s="1" t="str">
        <f t="shared" si="3"/>
        <v xml:space="preserve"> </v>
      </c>
      <c r="AH25" s="1" t="str">
        <f t="shared" si="4"/>
        <v xml:space="preserve"> </v>
      </c>
      <c r="AI25" s="1" t="str">
        <f t="shared" si="5"/>
        <v xml:space="preserve"> </v>
      </c>
      <c r="AJ25" s="1" t="str">
        <f t="shared" si="6"/>
        <v xml:space="preserve"> </v>
      </c>
      <c r="AK25" s="1" t="str">
        <f t="shared" si="7"/>
        <v xml:space="preserve"> </v>
      </c>
      <c r="AL25" s="1" t="str">
        <f t="shared" si="8"/>
        <v xml:space="preserve"> </v>
      </c>
      <c r="AM25" s="1" t="str">
        <f t="shared" si="9"/>
        <v xml:space="preserve"> </v>
      </c>
      <c r="AN25" s="1">
        <f t="shared" si="10"/>
        <v>5</v>
      </c>
      <c r="AO25" s="1" t="str">
        <f t="shared" si="11"/>
        <v xml:space="preserve"> </v>
      </c>
      <c r="AP25" s="1" t="str">
        <f t="shared" si="12"/>
        <v xml:space="preserve"> </v>
      </c>
      <c r="AQ25" s="1" t="str">
        <f t="shared" si="13"/>
        <v xml:space="preserve"> </v>
      </c>
      <c r="AR25" s="1" t="str">
        <f t="shared" si="14"/>
        <v xml:space="preserve"> </v>
      </c>
      <c r="AS25" s="1" t="str">
        <f t="shared" si="15"/>
        <v xml:space="preserve"> </v>
      </c>
      <c r="AT25" s="1" t="str">
        <f t="shared" si="16"/>
        <v xml:space="preserve"> </v>
      </c>
      <c r="AU25" s="1" t="str">
        <f t="shared" si="17"/>
        <v xml:space="preserve"> </v>
      </c>
    </row>
    <row r="26" spans="1:47" ht="51" hidden="1">
      <c r="A26" s="55">
        <v>24</v>
      </c>
      <c r="B26" s="52">
        <v>45114</v>
      </c>
      <c r="C26" s="162">
        <v>0.54166666666666663</v>
      </c>
      <c r="D26" s="38" t="s">
        <v>225</v>
      </c>
      <c r="E26" s="50" t="s">
        <v>308</v>
      </c>
      <c r="F26" s="50" t="s">
        <v>268</v>
      </c>
      <c r="G26" s="56">
        <v>25150658</v>
      </c>
      <c r="H26" s="50" t="s">
        <v>269</v>
      </c>
      <c r="I26" s="39" t="s">
        <v>270</v>
      </c>
      <c r="J26" s="39" t="s">
        <v>271</v>
      </c>
      <c r="K26" s="46">
        <v>43208003</v>
      </c>
      <c r="L26" s="39" t="s">
        <v>272</v>
      </c>
      <c r="M26" s="50" t="s">
        <v>273</v>
      </c>
      <c r="N26" s="38"/>
      <c r="O26" s="50" t="s">
        <v>340</v>
      </c>
      <c r="P26" s="38"/>
      <c r="Q26" s="50" t="s">
        <v>131</v>
      </c>
      <c r="R26" s="59">
        <v>45125</v>
      </c>
      <c r="S26" s="161">
        <v>0.39583333333333331</v>
      </c>
      <c r="T26" s="47" t="s">
        <v>377</v>
      </c>
      <c r="U26" s="183" t="s">
        <v>1044</v>
      </c>
      <c r="V26" s="50" t="s">
        <v>378</v>
      </c>
      <c r="W26" s="23" t="str">
        <f t="shared" ca="1" si="18"/>
        <v>SI</v>
      </c>
      <c r="X26" s="23" t="str">
        <f t="shared" si="19"/>
        <v>DIANOSOL</v>
      </c>
      <c r="Y26" s="50" t="s">
        <v>991</v>
      </c>
      <c r="Z26" s="111" t="s">
        <v>1015</v>
      </c>
      <c r="AA26" s="111" t="str">
        <f>IF(Z26&lt;&gt;"",VLOOKUP($Z26,Resultados!$A$1:$B$49,2,FALSE),"")</f>
        <v>Recursos Denegados</v>
      </c>
      <c r="AB26" s="23" t="str">
        <f ca="1">IF(R26&gt;TODAY(),"FIJADA","OTRO")</f>
        <v>OTRO</v>
      </c>
      <c r="AC26" s="10">
        <f t="shared" si="20"/>
        <v>18</v>
      </c>
      <c r="AD26" s="10">
        <f t="shared" si="21"/>
        <v>7</v>
      </c>
      <c r="AE26" s="10">
        <f t="shared" si="22"/>
        <v>2023</v>
      </c>
      <c r="AF26" s="1">
        <f t="shared" si="2"/>
        <v>8</v>
      </c>
      <c r="AG26" s="1" t="str">
        <f t="shared" si="3"/>
        <v xml:space="preserve"> </v>
      </c>
      <c r="AH26" s="1" t="str">
        <f t="shared" si="4"/>
        <v xml:space="preserve"> </v>
      </c>
      <c r="AI26" s="1" t="str">
        <f t="shared" si="5"/>
        <v xml:space="preserve"> </v>
      </c>
      <c r="AJ26" s="1" t="str">
        <f t="shared" si="6"/>
        <v xml:space="preserve"> </v>
      </c>
      <c r="AK26" s="1" t="str">
        <f t="shared" si="7"/>
        <v xml:space="preserve"> </v>
      </c>
      <c r="AL26" s="1" t="str">
        <f t="shared" si="8"/>
        <v xml:space="preserve"> </v>
      </c>
      <c r="AM26" s="1" t="str">
        <f t="shared" si="9"/>
        <v xml:space="preserve"> </v>
      </c>
      <c r="AN26" s="1">
        <f t="shared" si="10"/>
        <v>8</v>
      </c>
      <c r="AO26" s="1" t="str">
        <f t="shared" si="11"/>
        <v xml:space="preserve"> </v>
      </c>
      <c r="AP26" s="1" t="str">
        <f t="shared" si="12"/>
        <v xml:space="preserve"> </v>
      </c>
      <c r="AQ26" s="1" t="str">
        <f t="shared" si="13"/>
        <v xml:space="preserve"> </v>
      </c>
      <c r="AR26" s="1" t="str">
        <f t="shared" si="14"/>
        <v xml:space="preserve"> </v>
      </c>
      <c r="AS26" s="1" t="str">
        <f t="shared" si="15"/>
        <v xml:space="preserve"> </v>
      </c>
      <c r="AT26" s="1" t="str">
        <f t="shared" si="16"/>
        <v xml:space="preserve"> </v>
      </c>
      <c r="AU26" s="1" t="str">
        <f t="shared" si="17"/>
        <v xml:space="preserve"> </v>
      </c>
    </row>
    <row r="27" spans="1:47" ht="51" hidden="1">
      <c r="A27" s="55">
        <v>25</v>
      </c>
      <c r="B27" s="52">
        <v>45114</v>
      </c>
      <c r="C27" s="162">
        <v>0.54166666666666663</v>
      </c>
      <c r="D27" s="38" t="s">
        <v>229</v>
      </c>
      <c r="E27" s="50" t="s">
        <v>275</v>
      </c>
      <c r="F27" s="38" t="s">
        <v>276</v>
      </c>
      <c r="G27" s="56">
        <v>44564776</v>
      </c>
      <c r="H27" s="38" t="s">
        <v>277</v>
      </c>
      <c r="I27" s="58" t="s">
        <v>278</v>
      </c>
      <c r="J27" s="58" t="s">
        <v>279</v>
      </c>
      <c r="K27" s="58"/>
      <c r="L27" s="58"/>
      <c r="M27" s="38" t="s">
        <v>216</v>
      </c>
      <c r="N27" s="38"/>
      <c r="O27" s="38"/>
      <c r="P27" s="38"/>
      <c r="Q27" s="38" t="s">
        <v>135</v>
      </c>
      <c r="R27" s="52">
        <v>45120</v>
      </c>
      <c r="S27" s="162">
        <v>0.45833333333333331</v>
      </c>
      <c r="T27" s="47" t="s">
        <v>191</v>
      </c>
      <c r="U27" s="181"/>
      <c r="V27" s="50" t="s">
        <v>378</v>
      </c>
      <c r="W27" s="23" t="str">
        <f t="shared" ca="1" si="18"/>
        <v>SI</v>
      </c>
      <c r="X27" s="23" t="str">
        <f t="shared" si="19"/>
        <v>DIANOSOL</v>
      </c>
      <c r="Y27" s="50" t="s">
        <v>991</v>
      </c>
      <c r="Z27" s="111" t="s">
        <v>1016</v>
      </c>
      <c r="AA27" s="111" t="str">
        <f>IF(Z27&lt;&gt;"",VLOOKUP($Z27,Resultados!$A$1:$B$49,2,FALSE),"")</f>
        <v>Recursos donde se hizo lugar</v>
      </c>
      <c r="AC27" s="10">
        <f t="shared" si="20"/>
        <v>13</v>
      </c>
      <c r="AD27" s="10">
        <f t="shared" si="21"/>
        <v>7</v>
      </c>
      <c r="AE27" s="10">
        <f t="shared" si="22"/>
        <v>2023</v>
      </c>
      <c r="AF27" s="1">
        <f t="shared" si="2"/>
        <v>5</v>
      </c>
      <c r="AG27" s="1" t="str">
        <f t="shared" si="3"/>
        <v xml:space="preserve"> </v>
      </c>
      <c r="AH27" s="1" t="str">
        <f t="shared" si="4"/>
        <v xml:space="preserve"> </v>
      </c>
      <c r="AI27" s="1" t="str">
        <f t="shared" si="5"/>
        <v xml:space="preserve"> </v>
      </c>
      <c r="AJ27" s="1" t="str">
        <f t="shared" si="6"/>
        <v xml:space="preserve"> </v>
      </c>
      <c r="AK27" s="1" t="str">
        <f t="shared" si="7"/>
        <v xml:space="preserve"> </v>
      </c>
      <c r="AL27" s="1" t="str">
        <f t="shared" si="8"/>
        <v xml:space="preserve"> </v>
      </c>
      <c r="AM27" s="1" t="str">
        <f t="shared" si="9"/>
        <v xml:space="preserve"> </v>
      </c>
      <c r="AN27" s="1">
        <f t="shared" si="10"/>
        <v>5</v>
      </c>
      <c r="AO27" s="1" t="str">
        <f t="shared" si="11"/>
        <v xml:space="preserve"> </v>
      </c>
      <c r="AP27" s="1" t="str">
        <f t="shared" si="12"/>
        <v xml:space="preserve"> </v>
      </c>
      <c r="AQ27" s="1" t="str">
        <f t="shared" si="13"/>
        <v xml:space="preserve"> </v>
      </c>
      <c r="AR27" s="1" t="str">
        <f t="shared" si="14"/>
        <v xml:space="preserve"> </v>
      </c>
      <c r="AS27" s="1" t="str">
        <f t="shared" si="15"/>
        <v xml:space="preserve"> </v>
      </c>
      <c r="AT27" s="1" t="str">
        <f t="shared" si="16"/>
        <v xml:space="preserve"> </v>
      </c>
      <c r="AU27" s="1" t="str">
        <f t="shared" si="17"/>
        <v xml:space="preserve"> </v>
      </c>
    </row>
    <row r="28" spans="1:47" ht="51" hidden="1">
      <c r="A28" s="55">
        <v>26</v>
      </c>
      <c r="B28" s="52">
        <v>45114</v>
      </c>
      <c r="C28" s="162">
        <v>0.54166666666666663</v>
      </c>
      <c r="D28" s="38" t="s">
        <v>229</v>
      </c>
      <c r="E28" s="38" t="s">
        <v>280</v>
      </c>
      <c r="F28" s="38" t="s">
        <v>281</v>
      </c>
      <c r="G28" s="56">
        <v>44580920</v>
      </c>
      <c r="H28" s="38" t="s">
        <v>282</v>
      </c>
      <c r="I28" s="58" t="s">
        <v>278</v>
      </c>
      <c r="J28" s="58" t="s">
        <v>279</v>
      </c>
      <c r="K28" s="58"/>
      <c r="L28" s="39" t="s">
        <v>339</v>
      </c>
      <c r="M28" s="38" t="s">
        <v>252</v>
      </c>
      <c r="N28" s="38"/>
      <c r="O28" s="38"/>
      <c r="P28" s="38"/>
      <c r="Q28" s="38" t="s">
        <v>135</v>
      </c>
      <c r="R28" s="52">
        <v>45120</v>
      </c>
      <c r="S28" s="162">
        <v>0.45833333333333331</v>
      </c>
      <c r="T28" s="47" t="s">
        <v>191</v>
      </c>
      <c r="U28" s="182" t="s">
        <v>1090</v>
      </c>
      <c r="V28" s="64" t="s">
        <v>505</v>
      </c>
      <c r="W28" s="23" t="str">
        <f t="shared" ca="1" si="18"/>
        <v>SI</v>
      </c>
      <c r="X28" s="23" t="str">
        <f t="shared" si="19"/>
        <v>DIANOSOL</v>
      </c>
      <c r="Y28" s="50" t="s">
        <v>991</v>
      </c>
      <c r="Z28" s="111" t="s">
        <v>1059</v>
      </c>
      <c r="AA28" s="111" t="str">
        <f>IF(Z28&lt;&gt;"",VLOOKUP($Z28,Resultados!$A$1:$B$49,2,FALSE),"")</f>
        <v>Recursos donde se hizo lugar</v>
      </c>
      <c r="AC28" s="10">
        <f t="shared" si="20"/>
        <v>13</v>
      </c>
      <c r="AD28" s="10">
        <f t="shared" si="21"/>
        <v>7</v>
      </c>
      <c r="AE28" s="10">
        <f t="shared" si="22"/>
        <v>2023</v>
      </c>
      <c r="AF28" s="1">
        <f t="shared" si="2"/>
        <v>5</v>
      </c>
      <c r="AG28" s="1" t="str">
        <f t="shared" si="3"/>
        <v xml:space="preserve"> </v>
      </c>
      <c r="AH28" s="1" t="str">
        <f t="shared" si="4"/>
        <v xml:space="preserve"> </v>
      </c>
      <c r="AI28" s="1" t="str">
        <f t="shared" si="5"/>
        <v xml:space="preserve"> </v>
      </c>
      <c r="AJ28" s="1" t="str">
        <f t="shared" si="6"/>
        <v xml:space="preserve"> </v>
      </c>
      <c r="AK28" s="1" t="str">
        <f t="shared" si="7"/>
        <v xml:space="preserve"> </v>
      </c>
      <c r="AL28" s="1" t="str">
        <f t="shared" si="8"/>
        <v xml:space="preserve"> </v>
      </c>
      <c r="AM28" s="1" t="str">
        <f t="shared" si="9"/>
        <v xml:space="preserve"> </v>
      </c>
      <c r="AN28" s="1">
        <f t="shared" si="10"/>
        <v>5</v>
      </c>
      <c r="AO28" s="1" t="str">
        <f t="shared" si="11"/>
        <v xml:space="preserve"> </v>
      </c>
      <c r="AP28" s="1" t="str">
        <f t="shared" si="12"/>
        <v xml:space="preserve"> </v>
      </c>
      <c r="AQ28" s="1" t="str">
        <f t="shared" si="13"/>
        <v xml:space="preserve"> </v>
      </c>
      <c r="AR28" s="1" t="str">
        <f t="shared" si="14"/>
        <v xml:space="preserve"> </v>
      </c>
      <c r="AS28" s="1" t="str">
        <f t="shared" si="15"/>
        <v xml:space="preserve"> </v>
      </c>
      <c r="AT28" s="1" t="str">
        <f t="shared" si="16"/>
        <v xml:space="preserve"> </v>
      </c>
      <c r="AU28" s="1" t="str">
        <f t="shared" si="17"/>
        <v xml:space="preserve"> </v>
      </c>
    </row>
    <row r="29" spans="1:47" ht="51" hidden="1">
      <c r="A29" s="55">
        <v>27</v>
      </c>
      <c r="B29" s="52">
        <v>45118</v>
      </c>
      <c r="C29" s="162">
        <v>0.54166666666666663</v>
      </c>
      <c r="D29" s="38" t="s">
        <v>229</v>
      </c>
      <c r="E29" s="50" t="s">
        <v>283</v>
      </c>
      <c r="F29" s="50" t="s">
        <v>284</v>
      </c>
      <c r="G29" s="56">
        <v>37511281</v>
      </c>
      <c r="H29" s="50" t="s">
        <v>287</v>
      </c>
      <c r="I29" s="39" t="s">
        <v>288</v>
      </c>
      <c r="J29" s="39" t="s">
        <v>285</v>
      </c>
      <c r="K29" s="46">
        <v>31436584</v>
      </c>
      <c r="L29" s="39" t="s">
        <v>286</v>
      </c>
      <c r="M29" s="50" t="s">
        <v>289</v>
      </c>
      <c r="N29" s="38"/>
      <c r="O29" s="38"/>
      <c r="P29" s="38"/>
      <c r="Q29" s="50" t="s">
        <v>135</v>
      </c>
      <c r="R29" s="59">
        <v>45121</v>
      </c>
      <c r="S29" s="161">
        <v>0.47916666666666669</v>
      </c>
      <c r="T29" s="47" t="s">
        <v>905</v>
      </c>
      <c r="U29" s="183" t="s">
        <v>1078</v>
      </c>
      <c r="V29" s="63"/>
      <c r="W29" s="23" t="str">
        <f t="shared" ca="1" si="18"/>
        <v>SI</v>
      </c>
      <c r="X29" s="23" t="str">
        <f t="shared" si="19"/>
        <v>DIANOSOL</v>
      </c>
      <c r="Y29" s="50" t="s">
        <v>991</v>
      </c>
      <c r="Z29" s="111" t="s">
        <v>1059</v>
      </c>
      <c r="AA29" s="111" t="str">
        <f>IF(Z29&lt;&gt;"",VLOOKUP($Z29,Resultados!$A$1:$B$49,2,FALSE),"")</f>
        <v>Recursos donde se hizo lugar</v>
      </c>
      <c r="AC29" s="10">
        <f t="shared" si="20"/>
        <v>14</v>
      </c>
      <c r="AD29" s="10">
        <f t="shared" si="21"/>
        <v>7</v>
      </c>
      <c r="AE29" s="10">
        <f t="shared" si="22"/>
        <v>2023</v>
      </c>
      <c r="AF29" s="1">
        <f t="shared" si="2"/>
        <v>4</v>
      </c>
      <c r="AG29" s="1" t="str">
        <f t="shared" si="3"/>
        <v xml:space="preserve"> </v>
      </c>
      <c r="AH29" s="1" t="str">
        <f t="shared" si="4"/>
        <v xml:space="preserve"> </v>
      </c>
      <c r="AI29" s="1" t="str">
        <f t="shared" si="5"/>
        <v xml:space="preserve"> </v>
      </c>
      <c r="AJ29" s="1" t="str">
        <f t="shared" si="6"/>
        <v xml:space="preserve"> </v>
      </c>
      <c r="AK29" s="1" t="str">
        <f t="shared" si="7"/>
        <v xml:space="preserve"> </v>
      </c>
      <c r="AL29" s="1" t="str">
        <f t="shared" si="8"/>
        <v xml:space="preserve"> </v>
      </c>
      <c r="AM29" s="1" t="str">
        <f t="shared" si="9"/>
        <v xml:space="preserve"> </v>
      </c>
      <c r="AN29" s="1">
        <f t="shared" si="10"/>
        <v>4</v>
      </c>
      <c r="AO29" s="1" t="str">
        <f t="shared" si="11"/>
        <v xml:space="preserve"> </v>
      </c>
      <c r="AP29" s="1" t="str">
        <f t="shared" si="12"/>
        <v xml:space="preserve"> </v>
      </c>
      <c r="AQ29" s="1" t="str">
        <f t="shared" si="13"/>
        <v xml:space="preserve"> </v>
      </c>
      <c r="AR29" s="1" t="str">
        <f t="shared" si="14"/>
        <v xml:space="preserve"> </v>
      </c>
      <c r="AS29" s="1" t="str">
        <f t="shared" si="15"/>
        <v xml:space="preserve"> </v>
      </c>
      <c r="AT29" s="1" t="str">
        <f t="shared" si="16"/>
        <v xml:space="preserve"> </v>
      </c>
      <c r="AU29" s="1" t="str">
        <f t="shared" si="17"/>
        <v xml:space="preserve"> </v>
      </c>
    </row>
    <row r="30" spans="1:47" ht="89.25" hidden="1">
      <c r="A30" s="55">
        <v>28</v>
      </c>
      <c r="B30" s="52">
        <v>45118</v>
      </c>
      <c r="C30" s="162">
        <v>0.54166666666666663</v>
      </c>
      <c r="D30" s="38" t="s">
        <v>106</v>
      </c>
      <c r="E30" s="50" t="s">
        <v>290</v>
      </c>
      <c r="F30" s="50" t="s">
        <v>291</v>
      </c>
      <c r="G30" s="56">
        <v>30225211</v>
      </c>
      <c r="H30" s="50" t="s">
        <v>292</v>
      </c>
      <c r="I30" s="39" t="s">
        <v>295</v>
      </c>
      <c r="J30" s="39" t="s">
        <v>293</v>
      </c>
      <c r="K30" s="46">
        <v>27534430</v>
      </c>
      <c r="L30" s="39" t="s">
        <v>294</v>
      </c>
      <c r="M30" s="50" t="s">
        <v>296</v>
      </c>
      <c r="N30" s="38"/>
      <c r="O30" s="50" t="s">
        <v>297</v>
      </c>
      <c r="P30" s="38"/>
      <c r="Q30" s="50" t="s">
        <v>132</v>
      </c>
      <c r="R30" s="60">
        <v>45126</v>
      </c>
      <c r="S30" s="161">
        <v>0.39583333333333331</v>
      </c>
      <c r="T30" s="47" t="s">
        <v>393</v>
      </c>
      <c r="U30" s="183" t="s">
        <v>1060</v>
      </c>
      <c r="V30" s="64" t="s">
        <v>504</v>
      </c>
      <c r="W30" s="23" t="str">
        <f t="shared" ca="1" si="18"/>
        <v>SI</v>
      </c>
      <c r="X30" s="23" t="str">
        <f t="shared" si="19"/>
        <v>DIANOSOL</v>
      </c>
      <c r="Y30" s="50" t="s">
        <v>991</v>
      </c>
      <c r="Z30" s="111" t="s">
        <v>1016</v>
      </c>
      <c r="AA30" s="111" t="str">
        <f>IF(Z30&lt;&gt;"",VLOOKUP($Z30,Resultados!$A$1:$B$49,2,FALSE),"")</f>
        <v>Recursos donde se hizo lugar</v>
      </c>
      <c r="AC30" s="10">
        <f t="shared" si="20"/>
        <v>19</v>
      </c>
      <c r="AD30" s="10">
        <f t="shared" si="21"/>
        <v>7</v>
      </c>
      <c r="AE30" s="10">
        <f t="shared" si="22"/>
        <v>2023</v>
      </c>
      <c r="AF30" s="1">
        <f t="shared" si="2"/>
        <v>7</v>
      </c>
      <c r="AG30" s="1" t="str">
        <f t="shared" si="3"/>
        <v xml:space="preserve"> </v>
      </c>
      <c r="AH30" s="1" t="str">
        <f t="shared" si="4"/>
        <v xml:space="preserve"> </v>
      </c>
      <c r="AI30" s="1" t="str">
        <f t="shared" si="5"/>
        <v xml:space="preserve"> </v>
      </c>
      <c r="AJ30" s="1" t="str">
        <f t="shared" si="6"/>
        <v xml:space="preserve"> </v>
      </c>
      <c r="AK30" s="1" t="str">
        <f t="shared" si="7"/>
        <v xml:space="preserve"> </v>
      </c>
      <c r="AL30" s="1" t="str">
        <f t="shared" si="8"/>
        <v xml:space="preserve"> </v>
      </c>
      <c r="AM30" s="1" t="str">
        <f t="shared" si="9"/>
        <v xml:space="preserve"> </v>
      </c>
      <c r="AN30" s="1">
        <f t="shared" si="10"/>
        <v>7</v>
      </c>
      <c r="AO30" s="1" t="str">
        <f t="shared" si="11"/>
        <v xml:space="preserve"> </v>
      </c>
      <c r="AP30" s="1" t="str">
        <f t="shared" si="12"/>
        <v xml:space="preserve"> </v>
      </c>
      <c r="AQ30" s="1" t="str">
        <f t="shared" si="13"/>
        <v xml:space="preserve"> </v>
      </c>
      <c r="AR30" s="1" t="str">
        <f t="shared" si="14"/>
        <v xml:space="preserve"> </v>
      </c>
      <c r="AS30" s="1" t="str">
        <f t="shared" si="15"/>
        <v xml:space="preserve"> </v>
      </c>
      <c r="AT30" s="1" t="str">
        <f t="shared" si="16"/>
        <v xml:space="preserve"> </v>
      </c>
      <c r="AU30" s="1" t="str">
        <f t="shared" si="17"/>
        <v xml:space="preserve"> </v>
      </c>
    </row>
    <row r="31" spans="1:47" ht="76.5" hidden="1">
      <c r="A31" s="55">
        <v>29</v>
      </c>
      <c r="B31" s="52">
        <v>45120</v>
      </c>
      <c r="C31" s="162">
        <v>0.45833333333333331</v>
      </c>
      <c r="D31" s="38" t="s">
        <v>229</v>
      </c>
      <c r="E31" s="50" t="s">
        <v>309</v>
      </c>
      <c r="F31" s="50" t="s">
        <v>310</v>
      </c>
      <c r="G31" s="56">
        <v>45549582</v>
      </c>
      <c r="H31" s="38"/>
      <c r="I31" s="39" t="s">
        <v>311</v>
      </c>
      <c r="J31" s="39" t="s">
        <v>312</v>
      </c>
      <c r="K31" s="46">
        <v>46799871</v>
      </c>
      <c r="L31" s="39" t="s">
        <v>315</v>
      </c>
      <c r="M31" s="50" t="s">
        <v>313</v>
      </c>
      <c r="N31" s="50" t="s">
        <v>314</v>
      </c>
      <c r="O31" s="50" t="s">
        <v>361</v>
      </c>
      <c r="P31" s="38"/>
      <c r="Q31" s="50" t="s">
        <v>132</v>
      </c>
      <c r="R31" s="60">
        <v>45127</v>
      </c>
      <c r="S31" s="161">
        <v>0.39583333333333331</v>
      </c>
      <c r="T31" s="47" t="s">
        <v>306</v>
      </c>
      <c r="U31" s="183" t="s">
        <v>1046</v>
      </c>
      <c r="V31" s="64" t="s">
        <v>504</v>
      </c>
      <c r="W31" s="23" t="str">
        <f t="shared" ca="1" si="18"/>
        <v>SI</v>
      </c>
      <c r="X31" s="23" t="str">
        <f t="shared" si="19"/>
        <v>DIANOSOL</v>
      </c>
      <c r="Y31" s="50" t="s">
        <v>991</v>
      </c>
      <c r="Z31" s="111" t="s">
        <v>1015</v>
      </c>
      <c r="AA31" s="111" t="str">
        <f>IF(Z31&lt;&gt;"",VLOOKUP($Z31,Resultados!$A$1:$B$49,2,FALSE),"")</f>
        <v>Recursos Denegados</v>
      </c>
      <c r="AB31" s="23" t="str">
        <f t="shared" ref="AB31:AB32" ca="1" si="27">IF(R31&gt;TODAY(),"FIJADA","OTRO")</f>
        <v>OTRO</v>
      </c>
      <c r="AC31" s="10">
        <f t="shared" si="20"/>
        <v>20</v>
      </c>
      <c r="AD31" s="10">
        <f t="shared" si="21"/>
        <v>7</v>
      </c>
      <c r="AE31" s="10">
        <f t="shared" si="22"/>
        <v>2023</v>
      </c>
      <c r="AF31" s="1">
        <f t="shared" si="2"/>
        <v>6</v>
      </c>
      <c r="AG31" s="1" t="str">
        <f t="shared" si="3"/>
        <v xml:space="preserve"> </v>
      </c>
      <c r="AH31" s="1" t="str">
        <f t="shared" si="4"/>
        <v xml:space="preserve"> </v>
      </c>
      <c r="AI31" s="1" t="str">
        <f t="shared" si="5"/>
        <v xml:space="preserve"> </v>
      </c>
      <c r="AJ31" s="1" t="str">
        <f t="shared" si="6"/>
        <v xml:space="preserve"> </v>
      </c>
      <c r="AK31" s="1" t="str">
        <f t="shared" si="7"/>
        <v xml:space="preserve"> </v>
      </c>
      <c r="AL31" s="1" t="str">
        <f t="shared" si="8"/>
        <v xml:space="preserve"> </v>
      </c>
      <c r="AM31" s="1" t="str">
        <f t="shared" si="9"/>
        <v xml:space="preserve"> </v>
      </c>
      <c r="AN31" s="1">
        <f t="shared" si="10"/>
        <v>6</v>
      </c>
      <c r="AO31" s="1" t="str">
        <f t="shared" si="11"/>
        <v xml:space="preserve"> </v>
      </c>
      <c r="AP31" s="1" t="str">
        <f t="shared" si="12"/>
        <v xml:space="preserve"> </v>
      </c>
      <c r="AQ31" s="1" t="str">
        <f t="shared" si="13"/>
        <v xml:space="preserve"> </v>
      </c>
      <c r="AR31" s="1" t="str">
        <f t="shared" si="14"/>
        <v xml:space="preserve"> </v>
      </c>
      <c r="AS31" s="1" t="str">
        <f t="shared" si="15"/>
        <v xml:space="preserve"> </v>
      </c>
      <c r="AT31" s="1" t="str">
        <f t="shared" si="16"/>
        <v xml:space="preserve"> </v>
      </c>
      <c r="AU31" s="1" t="str">
        <f t="shared" si="17"/>
        <v xml:space="preserve"> </v>
      </c>
    </row>
    <row r="32" spans="1:47" ht="51" hidden="1">
      <c r="A32" s="55">
        <v>30</v>
      </c>
      <c r="B32" s="52">
        <v>45120</v>
      </c>
      <c r="C32" s="162">
        <v>0.54166666666666663</v>
      </c>
      <c r="D32" s="38" t="s">
        <v>229</v>
      </c>
      <c r="E32" s="50" t="s">
        <v>316</v>
      </c>
      <c r="F32" s="50" t="s">
        <v>317</v>
      </c>
      <c r="G32" s="38"/>
      <c r="H32" s="38"/>
      <c r="I32" s="39" t="s">
        <v>318</v>
      </c>
      <c r="J32" s="39" t="s">
        <v>319</v>
      </c>
      <c r="K32" s="58"/>
      <c r="L32" s="39" t="s">
        <v>408</v>
      </c>
      <c r="M32" s="50" t="s">
        <v>320</v>
      </c>
      <c r="N32" s="38"/>
      <c r="O32" s="50" t="s">
        <v>321</v>
      </c>
      <c r="P32" s="38"/>
      <c r="Q32" s="50" t="s">
        <v>132</v>
      </c>
      <c r="R32" s="60">
        <v>45128</v>
      </c>
      <c r="S32" s="161">
        <v>0.4375</v>
      </c>
      <c r="T32" s="47" t="s">
        <v>377</v>
      </c>
      <c r="U32" s="183" t="s">
        <v>1063</v>
      </c>
      <c r="V32" s="63"/>
      <c r="W32" s="23" t="str">
        <f t="shared" ca="1" si="18"/>
        <v>SI</v>
      </c>
      <c r="X32" s="23" t="str">
        <f t="shared" si="19"/>
        <v>DIANOSOL</v>
      </c>
      <c r="Y32" s="50" t="s">
        <v>991</v>
      </c>
      <c r="Z32" s="111" t="s">
        <v>1015</v>
      </c>
      <c r="AA32" s="111" t="str">
        <f>IF(Z32&lt;&gt;"",VLOOKUP($Z32,Resultados!$A$1:$B$49,2,FALSE),"")</f>
        <v>Recursos Denegados</v>
      </c>
      <c r="AB32" s="23" t="str">
        <f t="shared" ca="1" si="27"/>
        <v>OTRO</v>
      </c>
      <c r="AC32" s="10">
        <f t="shared" si="20"/>
        <v>21</v>
      </c>
      <c r="AD32" s="10">
        <f t="shared" si="21"/>
        <v>7</v>
      </c>
      <c r="AE32" s="10">
        <f t="shared" si="22"/>
        <v>2023</v>
      </c>
      <c r="AF32" s="1">
        <f t="shared" si="2"/>
        <v>7</v>
      </c>
      <c r="AG32" s="1" t="str">
        <f t="shared" si="3"/>
        <v xml:space="preserve"> </v>
      </c>
      <c r="AH32" s="1" t="str">
        <f t="shared" si="4"/>
        <v xml:space="preserve"> </v>
      </c>
      <c r="AI32" s="1" t="str">
        <f t="shared" si="5"/>
        <v xml:space="preserve"> </v>
      </c>
      <c r="AJ32" s="1" t="str">
        <f t="shared" si="6"/>
        <v xml:space="preserve"> </v>
      </c>
      <c r="AK32" s="1" t="str">
        <f t="shared" si="7"/>
        <v xml:space="preserve"> </v>
      </c>
      <c r="AL32" s="1" t="str">
        <f t="shared" si="8"/>
        <v xml:space="preserve"> </v>
      </c>
      <c r="AM32" s="1" t="str">
        <f t="shared" si="9"/>
        <v xml:space="preserve"> </v>
      </c>
      <c r="AN32" s="1">
        <f t="shared" si="10"/>
        <v>7</v>
      </c>
      <c r="AO32" s="1" t="str">
        <f t="shared" si="11"/>
        <v xml:space="preserve"> </v>
      </c>
      <c r="AP32" s="1" t="str">
        <f t="shared" si="12"/>
        <v xml:space="preserve"> </v>
      </c>
      <c r="AQ32" s="1" t="str">
        <f t="shared" si="13"/>
        <v xml:space="preserve"> </v>
      </c>
      <c r="AR32" s="1" t="str">
        <f t="shared" si="14"/>
        <v xml:space="preserve"> </v>
      </c>
      <c r="AS32" s="1" t="str">
        <f t="shared" si="15"/>
        <v xml:space="preserve"> </v>
      </c>
      <c r="AT32" s="1" t="str">
        <f t="shared" si="16"/>
        <v xml:space="preserve"> </v>
      </c>
      <c r="AU32" s="1" t="str">
        <f t="shared" si="17"/>
        <v xml:space="preserve"> </v>
      </c>
    </row>
    <row r="33" spans="1:47" ht="51" hidden="1">
      <c r="A33" s="55">
        <v>31</v>
      </c>
      <c r="B33" s="52">
        <v>45120</v>
      </c>
      <c r="C33" s="162">
        <v>0.54166666666666663</v>
      </c>
      <c r="D33" s="38" t="s">
        <v>106</v>
      </c>
      <c r="E33" s="50" t="s">
        <v>322</v>
      </c>
      <c r="F33" s="50" t="s">
        <v>323</v>
      </c>
      <c r="G33" s="56">
        <v>43760642</v>
      </c>
      <c r="H33" s="50" t="s">
        <v>324</v>
      </c>
      <c r="I33" s="39" t="s">
        <v>325</v>
      </c>
      <c r="J33" s="39" t="s">
        <v>326</v>
      </c>
      <c r="K33" s="46">
        <v>30235964</v>
      </c>
      <c r="L33" s="39" t="s">
        <v>327</v>
      </c>
      <c r="M33" s="50" t="s">
        <v>328</v>
      </c>
      <c r="N33" s="38"/>
      <c r="O33" s="38"/>
      <c r="P33" s="38"/>
      <c r="Q33" s="50" t="s">
        <v>132</v>
      </c>
      <c r="R33" s="60">
        <v>45128</v>
      </c>
      <c r="S33" s="161">
        <v>0.39583333333333331</v>
      </c>
      <c r="T33" s="47" t="s">
        <v>906</v>
      </c>
      <c r="U33" s="183"/>
      <c r="V33" s="63"/>
      <c r="W33" s="23" t="str">
        <f t="shared" ca="1" si="18"/>
        <v>SI</v>
      </c>
      <c r="X33" s="23" t="str">
        <f t="shared" si="19"/>
        <v>DIANOSOL</v>
      </c>
      <c r="Y33" s="50" t="s">
        <v>991</v>
      </c>
      <c r="Z33" s="111" t="s">
        <v>1016</v>
      </c>
      <c r="AA33" s="111" t="str">
        <f>IF(Z33&lt;&gt;"",VLOOKUP($Z33,Resultados!$A$1:$B$49,2,FALSE),"")</f>
        <v>Recursos donde se hizo lugar</v>
      </c>
      <c r="AC33" s="10">
        <f t="shared" si="20"/>
        <v>21</v>
      </c>
      <c r="AD33" s="10">
        <f t="shared" si="21"/>
        <v>7</v>
      </c>
      <c r="AE33" s="10">
        <f t="shared" si="22"/>
        <v>2023</v>
      </c>
      <c r="AF33" s="1">
        <f t="shared" si="2"/>
        <v>7</v>
      </c>
      <c r="AG33" s="1" t="str">
        <f t="shared" si="3"/>
        <v xml:space="preserve"> </v>
      </c>
      <c r="AH33" s="1" t="str">
        <f t="shared" si="4"/>
        <v xml:space="preserve"> </v>
      </c>
      <c r="AI33" s="1" t="str">
        <f t="shared" si="5"/>
        <v xml:space="preserve"> </v>
      </c>
      <c r="AJ33" s="1" t="str">
        <f t="shared" si="6"/>
        <v xml:space="preserve"> </v>
      </c>
      <c r="AK33" s="1" t="str">
        <f t="shared" si="7"/>
        <v xml:space="preserve"> </v>
      </c>
      <c r="AL33" s="1" t="str">
        <f t="shared" si="8"/>
        <v xml:space="preserve"> </v>
      </c>
      <c r="AM33" s="1" t="str">
        <f t="shared" si="9"/>
        <v xml:space="preserve"> </v>
      </c>
      <c r="AN33" s="1">
        <f t="shared" si="10"/>
        <v>7</v>
      </c>
      <c r="AO33" s="1" t="str">
        <f t="shared" si="11"/>
        <v xml:space="preserve"> </v>
      </c>
      <c r="AP33" s="1" t="str">
        <f t="shared" si="12"/>
        <v xml:space="preserve"> </v>
      </c>
      <c r="AQ33" s="1" t="str">
        <f t="shared" si="13"/>
        <v xml:space="preserve"> </v>
      </c>
      <c r="AR33" s="1" t="str">
        <f t="shared" si="14"/>
        <v xml:space="preserve"> </v>
      </c>
      <c r="AS33" s="1" t="str">
        <f t="shared" si="15"/>
        <v xml:space="preserve"> </v>
      </c>
      <c r="AT33" s="1" t="str">
        <f t="shared" si="16"/>
        <v xml:space="preserve"> </v>
      </c>
      <c r="AU33" s="1" t="str">
        <f t="shared" si="17"/>
        <v xml:space="preserve"> </v>
      </c>
    </row>
    <row r="34" spans="1:47" ht="107.25" hidden="1" customHeight="1">
      <c r="A34" s="61">
        <v>32</v>
      </c>
      <c r="B34" s="59">
        <v>45118</v>
      </c>
      <c r="C34" s="165">
        <v>0.54166666666666663</v>
      </c>
      <c r="D34" s="63" t="s">
        <v>107</v>
      </c>
      <c r="E34" s="63" t="s">
        <v>331</v>
      </c>
      <c r="F34" s="64" t="s">
        <v>399</v>
      </c>
      <c r="G34" s="65">
        <v>38342955</v>
      </c>
      <c r="H34" s="63" t="s">
        <v>332</v>
      </c>
      <c r="I34" s="70" t="s">
        <v>333</v>
      </c>
      <c r="J34" s="70" t="s">
        <v>334</v>
      </c>
      <c r="K34" s="70"/>
      <c r="L34" s="70"/>
      <c r="M34" s="63" t="s">
        <v>335</v>
      </c>
      <c r="N34" s="63"/>
      <c r="O34" s="63" t="s">
        <v>336</v>
      </c>
      <c r="P34" s="63"/>
      <c r="Q34" s="63" t="s">
        <v>132</v>
      </c>
      <c r="R34" s="60">
        <v>45138</v>
      </c>
      <c r="S34" s="170">
        <v>0.5</v>
      </c>
      <c r="T34" s="60" t="s">
        <v>501</v>
      </c>
      <c r="U34" s="183" t="s">
        <v>1095</v>
      </c>
      <c r="V34" s="64" t="s">
        <v>560</v>
      </c>
      <c r="W34" s="23" t="str">
        <f t="shared" ca="1" si="18"/>
        <v>SI</v>
      </c>
      <c r="X34" s="23" t="str">
        <f t="shared" si="19"/>
        <v>DIANOSOL</v>
      </c>
      <c r="Y34" s="50" t="s">
        <v>991</v>
      </c>
      <c r="Z34" s="111" t="s">
        <v>1015</v>
      </c>
      <c r="AA34" s="111" t="str">
        <f>IF(Z34&lt;&gt;"",VLOOKUP($Z34,Resultados!$A$1:$B$49,2,FALSE),"")</f>
        <v>Recursos Denegados</v>
      </c>
      <c r="AB34" s="23" t="str">
        <f t="shared" ref="AB34:AB40" ca="1" si="28">IF(R34&gt;TODAY(),"FIJADA","OTRO")</f>
        <v>OTRO</v>
      </c>
      <c r="AC34" s="10">
        <f t="shared" si="20"/>
        <v>31</v>
      </c>
      <c r="AD34" s="10">
        <f t="shared" si="21"/>
        <v>7</v>
      </c>
      <c r="AE34" s="10">
        <f t="shared" si="22"/>
        <v>2023</v>
      </c>
      <c r="AF34" s="1">
        <f t="shared" si="2"/>
        <v>15</v>
      </c>
      <c r="AG34" s="1" t="str">
        <f t="shared" si="3"/>
        <v xml:space="preserve"> </v>
      </c>
      <c r="AH34" s="1" t="str">
        <f t="shared" si="4"/>
        <v xml:space="preserve"> </v>
      </c>
      <c r="AI34" s="1" t="str">
        <f t="shared" si="5"/>
        <v xml:space="preserve"> </v>
      </c>
      <c r="AJ34" s="1" t="str">
        <f t="shared" si="6"/>
        <v xml:space="preserve"> </v>
      </c>
      <c r="AK34" s="1" t="str">
        <f t="shared" si="7"/>
        <v xml:space="preserve"> </v>
      </c>
      <c r="AL34" s="1" t="str">
        <f t="shared" si="8"/>
        <v xml:space="preserve"> </v>
      </c>
      <c r="AM34" s="1" t="str">
        <f t="shared" si="9"/>
        <v xml:space="preserve"> </v>
      </c>
      <c r="AN34" s="1">
        <f t="shared" si="10"/>
        <v>15</v>
      </c>
      <c r="AO34" s="1" t="str">
        <f t="shared" si="11"/>
        <v xml:space="preserve"> </v>
      </c>
      <c r="AP34" s="1" t="str">
        <f t="shared" si="12"/>
        <v xml:space="preserve"> </v>
      </c>
      <c r="AQ34" s="1" t="str">
        <f t="shared" si="13"/>
        <v xml:space="preserve"> </v>
      </c>
      <c r="AR34" s="1" t="str">
        <f t="shared" si="14"/>
        <v xml:space="preserve"> </v>
      </c>
      <c r="AS34" s="1" t="str">
        <f t="shared" si="15"/>
        <v xml:space="preserve"> </v>
      </c>
      <c r="AT34" s="1" t="str">
        <f t="shared" si="16"/>
        <v xml:space="preserve"> </v>
      </c>
      <c r="AU34" s="1" t="str">
        <f t="shared" si="17"/>
        <v xml:space="preserve"> </v>
      </c>
    </row>
    <row r="35" spans="1:47" ht="51" hidden="1">
      <c r="A35" s="61">
        <v>33</v>
      </c>
      <c r="B35" s="59">
        <v>45118</v>
      </c>
      <c r="C35" s="165">
        <v>0.54166666666666663</v>
      </c>
      <c r="D35" s="63" t="s">
        <v>227</v>
      </c>
      <c r="E35" s="64" t="s">
        <v>341</v>
      </c>
      <c r="F35" s="64" t="s">
        <v>342</v>
      </c>
      <c r="G35" s="65">
        <v>38651300</v>
      </c>
      <c r="H35" s="64" t="s">
        <v>345</v>
      </c>
      <c r="I35" s="66" t="s">
        <v>348</v>
      </c>
      <c r="J35" s="66" t="s">
        <v>349</v>
      </c>
      <c r="K35" s="70"/>
      <c r="L35" s="66" t="s">
        <v>350</v>
      </c>
      <c r="M35" s="64" t="s">
        <v>351</v>
      </c>
      <c r="N35" s="63"/>
      <c r="O35" s="63"/>
      <c r="P35" s="63"/>
      <c r="Q35" s="64" t="s">
        <v>353</v>
      </c>
      <c r="R35" s="60">
        <v>45138</v>
      </c>
      <c r="S35" s="170">
        <v>0.33333333333333331</v>
      </c>
      <c r="T35" s="60" t="s">
        <v>911</v>
      </c>
      <c r="U35" s="183" t="s">
        <v>1061</v>
      </c>
      <c r="V35" s="64" t="s">
        <v>560</v>
      </c>
      <c r="W35" s="23" t="str">
        <f t="shared" ca="1" si="18"/>
        <v>SI</v>
      </c>
      <c r="X35" s="23" t="str">
        <f t="shared" si="19"/>
        <v>DIANOSOL</v>
      </c>
      <c r="Y35" s="50" t="s">
        <v>991</v>
      </c>
      <c r="Z35" s="111" t="s">
        <v>1015</v>
      </c>
      <c r="AA35" s="111" t="str">
        <f>IF(Z35&lt;&gt;"",VLOOKUP($Z35,Resultados!$A$1:$B$49,2,FALSE),"")</f>
        <v>Recursos Denegados</v>
      </c>
      <c r="AB35" s="23" t="str">
        <f t="shared" ca="1" si="28"/>
        <v>OTRO</v>
      </c>
      <c r="AC35" s="10">
        <f t="shared" si="20"/>
        <v>31</v>
      </c>
      <c r="AD35" s="10">
        <f t="shared" si="21"/>
        <v>7</v>
      </c>
      <c r="AE35" s="10">
        <f t="shared" si="22"/>
        <v>2023</v>
      </c>
      <c r="AF35" s="1">
        <f t="shared" ref="AF35:AF66" si="29">IF(AND(NETWORKDAYS($B35,$R35)&gt;0,$AE35=2023),NETWORKDAYS($B35,$R35)," ")</f>
        <v>15</v>
      </c>
      <c r="AG35" s="1" t="str">
        <f t="shared" ref="AG35:AG66" si="30">IF(AND(NETWORKDAYS($B35,$R35)&gt;0,$AE35=2024),NETWORKDAYS($B35,$R35)," ")</f>
        <v xml:space="preserve"> </v>
      </c>
      <c r="AH35" s="1" t="str">
        <f t="shared" si="4"/>
        <v xml:space="preserve"> </v>
      </c>
      <c r="AI35" s="1" t="str">
        <f t="shared" si="5"/>
        <v xml:space="preserve"> </v>
      </c>
      <c r="AJ35" s="1" t="str">
        <f t="shared" si="6"/>
        <v xml:space="preserve"> </v>
      </c>
      <c r="AK35" s="1" t="str">
        <f t="shared" si="7"/>
        <v xml:space="preserve"> </v>
      </c>
      <c r="AL35" s="1" t="str">
        <f t="shared" si="8"/>
        <v xml:space="preserve"> </v>
      </c>
      <c r="AM35" s="1" t="str">
        <f t="shared" si="9"/>
        <v xml:space="preserve"> </v>
      </c>
      <c r="AN35" s="1">
        <f t="shared" si="10"/>
        <v>15</v>
      </c>
      <c r="AO35" s="1" t="str">
        <f t="shared" si="11"/>
        <v xml:space="preserve"> </v>
      </c>
      <c r="AP35" s="1" t="str">
        <f t="shared" si="12"/>
        <v xml:space="preserve"> </v>
      </c>
      <c r="AQ35" s="1" t="str">
        <f t="shared" si="13"/>
        <v xml:space="preserve"> </v>
      </c>
      <c r="AR35" s="1" t="str">
        <f t="shared" si="14"/>
        <v xml:space="preserve"> </v>
      </c>
      <c r="AS35" s="1" t="str">
        <f t="shared" si="15"/>
        <v xml:space="preserve"> </v>
      </c>
      <c r="AT35" s="1" t="str">
        <f t="shared" si="16"/>
        <v xml:space="preserve"> </v>
      </c>
      <c r="AU35" s="1" t="str">
        <f t="shared" si="17"/>
        <v xml:space="preserve"> </v>
      </c>
    </row>
    <row r="36" spans="1:47" ht="51" hidden="1">
      <c r="A36" s="61">
        <v>34</v>
      </c>
      <c r="B36" s="59">
        <v>45118</v>
      </c>
      <c r="C36" s="165">
        <v>0.54166666666666663</v>
      </c>
      <c r="D36" s="63" t="s">
        <v>227</v>
      </c>
      <c r="E36" s="64" t="s">
        <v>341</v>
      </c>
      <c r="F36" s="64" t="s">
        <v>343</v>
      </c>
      <c r="G36" s="65">
        <v>44754912</v>
      </c>
      <c r="H36" s="64" t="s">
        <v>346</v>
      </c>
      <c r="I36" s="66" t="s">
        <v>348</v>
      </c>
      <c r="J36" s="66" t="s">
        <v>349</v>
      </c>
      <c r="K36" s="70"/>
      <c r="L36" s="66" t="s">
        <v>350</v>
      </c>
      <c r="M36" s="64" t="s">
        <v>352</v>
      </c>
      <c r="N36" s="63"/>
      <c r="O36" s="63"/>
      <c r="P36" s="63"/>
      <c r="Q36" s="64" t="s">
        <v>353</v>
      </c>
      <c r="R36" s="60">
        <v>45138</v>
      </c>
      <c r="S36" s="170">
        <v>0.33333333333333331</v>
      </c>
      <c r="T36" s="60" t="s">
        <v>911</v>
      </c>
      <c r="U36" s="183" t="s">
        <v>934</v>
      </c>
      <c r="V36" s="63"/>
      <c r="W36" s="23" t="str">
        <f t="shared" ref="W36:W67" ca="1" si="31">IF(R36&lt;=TODAY(),"SI","NO")</f>
        <v>SI</v>
      </c>
      <c r="X36" s="23" t="str">
        <f t="shared" ref="X36:X67" si="32">IF($X$1=R36,"DIASOL", "DIANOSOL")</f>
        <v>DIANOSOL</v>
      </c>
      <c r="Y36" s="50" t="s">
        <v>991</v>
      </c>
      <c r="Z36" s="111" t="s">
        <v>1015</v>
      </c>
      <c r="AA36" s="111" t="str">
        <f>IF(Z36&lt;&gt;"",VLOOKUP($Z36,Resultados!$A$1:$B$49,2,FALSE),"")</f>
        <v>Recursos Denegados</v>
      </c>
      <c r="AB36" s="23" t="str">
        <f t="shared" ca="1" si="28"/>
        <v>OTRO</v>
      </c>
      <c r="AC36" s="10">
        <f t="shared" si="20"/>
        <v>31</v>
      </c>
      <c r="AD36" s="10">
        <f t="shared" si="21"/>
        <v>7</v>
      </c>
      <c r="AE36" s="10">
        <f t="shared" si="22"/>
        <v>2023</v>
      </c>
      <c r="AF36" s="1">
        <f t="shared" si="29"/>
        <v>15</v>
      </c>
      <c r="AG36" s="1" t="str">
        <f t="shared" si="30"/>
        <v xml:space="preserve"> </v>
      </c>
      <c r="AH36" s="1" t="str">
        <f t="shared" si="4"/>
        <v xml:space="preserve"> </v>
      </c>
      <c r="AI36" s="1" t="str">
        <f t="shared" si="5"/>
        <v xml:space="preserve"> </v>
      </c>
      <c r="AJ36" s="1" t="str">
        <f t="shared" si="6"/>
        <v xml:space="preserve"> </v>
      </c>
      <c r="AK36" s="1" t="str">
        <f t="shared" si="7"/>
        <v xml:space="preserve"> </v>
      </c>
      <c r="AL36" s="1" t="str">
        <f t="shared" si="8"/>
        <v xml:space="preserve"> </v>
      </c>
      <c r="AM36" s="1" t="str">
        <f t="shared" si="9"/>
        <v xml:space="preserve"> </v>
      </c>
      <c r="AN36" s="1">
        <f t="shared" si="10"/>
        <v>15</v>
      </c>
      <c r="AO36" s="1" t="str">
        <f t="shared" si="11"/>
        <v xml:space="preserve"> </v>
      </c>
      <c r="AP36" s="1" t="str">
        <f t="shared" si="12"/>
        <v xml:space="preserve"> </v>
      </c>
      <c r="AQ36" s="1" t="str">
        <f t="shared" si="13"/>
        <v xml:space="preserve"> </v>
      </c>
      <c r="AR36" s="1" t="str">
        <f t="shared" si="14"/>
        <v xml:space="preserve"> </v>
      </c>
      <c r="AS36" s="1" t="str">
        <f t="shared" si="15"/>
        <v xml:space="preserve"> </v>
      </c>
      <c r="AT36" s="1" t="str">
        <f t="shared" si="16"/>
        <v xml:space="preserve"> </v>
      </c>
      <c r="AU36" s="1" t="str">
        <f t="shared" si="17"/>
        <v xml:space="preserve"> </v>
      </c>
    </row>
    <row r="37" spans="1:47" ht="63.75" hidden="1">
      <c r="A37" s="61">
        <v>35</v>
      </c>
      <c r="B37" s="59">
        <v>45118</v>
      </c>
      <c r="C37" s="165">
        <v>0.54166666666666663</v>
      </c>
      <c r="D37" s="63" t="s">
        <v>227</v>
      </c>
      <c r="E37" s="64" t="s">
        <v>341</v>
      </c>
      <c r="F37" s="64" t="s">
        <v>344</v>
      </c>
      <c r="G37" s="65">
        <v>45850066</v>
      </c>
      <c r="H37" s="64" t="s">
        <v>347</v>
      </c>
      <c r="I37" s="66" t="s">
        <v>348</v>
      </c>
      <c r="J37" s="66" t="s">
        <v>349</v>
      </c>
      <c r="K37" s="70"/>
      <c r="L37" s="66" t="s">
        <v>350</v>
      </c>
      <c r="M37" s="64" t="s">
        <v>352</v>
      </c>
      <c r="N37" s="63"/>
      <c r="O37" s="63"/>
      <c r="P37" s="63"/>
      <c r="Q37" s="64" t="s">
        <v>353</v>
      </c>
      <c r="R37" s="60">
        <v>45138</v>
      </c>
      <c r="S37" s="170">
        <v>0.33333333333333331</v>
      </c>
      <c r="T37" s="60" t="s">
        <v>911</v>
      </c>
      <c r="U37" s="66" t="s">
        <v>1079</v>
      </c>
      <c r="V37" s="64" t="s">
        <v>560</v>
      </c>
      <c r="W37" s="23" t="str">
        <f t="shared" ca="1" si="31"/>
        <v>SI</v>
      </c>
      <c r="X37" s="23" t="str">
        <f t="shared" si="32"/>
        <v>DIANOSOL</v>
      </c>
      <c r="Y37" s="50" t="s">
        <v>991</v>
      </c>
      <c r="Z37" s="111" t="s">
        <v>1015</v>
      </c>
      <c r="AA37" s="111" t="str">
        <f>IF(Z37&lt;&gt;"",VLOOKUP($Z37,Resultados!$A$1:$B$49,2,FALSE),"")</f>
        <v>Recursos Denegados</v>
      </c>
      <c r="AB37" s="23" t="str">
        <f t="shared" ca="1" si="28"/>
        <v>OTRO</v>
      </c>
      <c r="AC37" s="10">
        <f t="shared" si="20"/>
        <v>31</v>
      </c>
      <c r="AD37" s="10">
        <f t="shared" si="21"/>
        <v>7</v>
      </c>
      <c r="AE37" s="10">
        <f t="shared" si="22"/>
        <v>2023</v>
      </c>
      <c r="AF37" s="1">
        <f t="shared" si="29"/>
        <v>15</v>
      </c>
      <c r="AG37" s="1" t="str">
        <f t="shared" si="30"/>
        <v xml:space="preserve"> </v>
      </c>
      <c r="AH37" s="1" t="str">
        <f t="shared" si="4"/>
        <v xml:space="preserve"> </v>
      </c>
      <c r="AI37" s="1" t="str">
        <f t="shared" si="5"/>
        <v xml:space="preserve"> </v>
      </c>
      <c r="AJ37" s="1" t="str">
        <f t="shared" si="6"/>
        <v xml:space="preserve"> </v>
      </c>
      <c r="AK37" s="1" t="str">
        <f t="shared" si="7"/>
        <v xml:space="preserve"> </v>
      </c>
      <c r="AL37" s="1" t="str">
        <f t="shared" si="8"/>
        <v xml:space="preserve"> </v>
      </c>
      <c r="AM37" s="1" t="str">
        <f t="shared" si="9"/>
        <v xml:space="preserve"> </v>
      </c>
      <c r="AN37" s="1">
        <f t="shared" si="10"/>
        <v>15</v>
      </c>
      <c r="AO37" s="1" t="str">
        <f t="shared" si="11"/>
        <v xml:space="preserve"> </v>
      </c>
      <c r="AP37" s="1" t="str">
        <f t="shared" si="12"/>
        <v xml:space="preserve"> </v>
      </c>
      <c r="AQ37" s="1" t="str">
        <f t="shared" si="13"/>
        <v xml:space="preserve"> </v>
      </c>
      <c r="AR37" s="1" t="str">
        <f t="shared" si="14"/>
        <v xml:space="preserve"> </v>
      </c>
      <c r="AS37" s="1" t="str">
        <f t="shared" si="15"/>
        <v xml:space="preserve"> </v>
      </c>
      <c r="AT37" s="1" t="str">
        <f t="shared" si="16"/>
        <v xml:space="preserve"> </v>
      </c>
      <c r="AU37" s="1" t="str">
        <f t="shared" si="17"/>
        <v xml:space="preserve"> </v>
      </c>
    </row>
    <row r="38" spans="1:47" ht="51" hidden="1">
      <c r="A38" s="55">
        <v>36</v>
      </c>
      <c r="B38" s="52">
        <v>45118</v>
      </c>
      <c r="C38" s="162">
        <v>0.54166666666666663</v>
      </c>
      <c r="D38" s="38" t="s">
        <v>225</v>
      </c>
      <c r="E38" s="50" t="s">
        <v>354</v>
      </c>
      <c r="F38" s="50" t="s">
        <v>358</v>
      </c>
      <c r="G38" s="56">
        <v>36280445</v>
      </c>
      <c r="H38" s="50" t="s">
        <v>355</v>
      </c>
      <c r="I38" s="39" t="s">
        <v>356</v>
      </c>
      <c r="J38" s="39" t="s">
        <v>357</v>
      </c>
      <c r="K38" s="58"/>
      <c r="L38" s="39" t="s">
        <v>396</v>
      </c>
      <c r="M38" s="50" t="s">
        <v>359</v>
      </c>
      <c r="N38" s="50" t="s">
        <v>395</v>
      </c>
      <c r="O38" s="38"/>
      <c r="P38" s="38"/>
      <c r="Q38" s="50" t="s">
        <v>353</v>
      </c>
      <c r="R38" s="60">
        <v>45127</v>
      </c>
      <c r="S38" s="161">
        <v>0.5</v>
      </c>
      <c r="T38" s="47" t="s">
        <v>397</v>
      </c>
      <c r="U38" s="183" t="s">
        <v>1099</v>
      </c>
      <c r="V38" s="64" t="s">
        <v>560</v>
      </c>
      <c r="W38" s="23" t="str">
        <f t="shared" ca="1" si="31"/>
        <v>SI</v>
      </c>
      <c r="X38" s="23" t="str">
        <f t="shared" si="32"/>
        <v>DIANOSOL</v>
      </c>
      <c r="Y38" s="50" t="s">
        <v>991</v>
      </c>
      <c r="Z38" s="111" t="s">
        <v>1015</v>
      </c>
      <c r="AA38" s="111" t="str">
        <f>IF(Z38&lt;&gt;"",VLOOKUP($Z38,Resultados!$A$1:$B$49,2,FALSE),"")</f>
        <v>Recursos Denegados</v>
      </c>
      <c r="AB38" s="23" t="str">
        <f t="shared" ca="1" si="28"/>
        <v>OTRO</v>
      </c>
      <c r="AC38" s="10">
        <f t="shared" si="20"/>
        <v>20</v>
      </c>
      <c r="AD38" s="10">
        <f t="shared" si="21"/>
        <v>7</v>
      </c>
      <c r="AE38" s="10">
        <f t="shared" si="22"/>
        <v>2023</v>
      </c>
      <c r="AF38" s="1">
        <f t="shared" si="29"/>
        <v>8</v>
      </c>
      <c r="AG38" s="1" t="str">
        <f t="shared" si="30"/>
        <v xml:space="preserve"> </v>
      </c>
      <c r="AH38" s="1" t="str">
        <f t="shared" si="4"/>
        <v xml:space="preserve"> </v>
      </c>
      <c r="AI38" s="1" t="str">
        <f t="shared" si="5"/>
        <v xml:space="preserve"> </v>
      </c>
      <c r="AJ38" s="1" t="str">
        <f t="shared" si="6"/>
        <v xml:space="preserve"> </v>
      </c>
      <c r="AK38" s="1" t="str">
        <f t="shared" si="7"/>
        <v xml:space="preserve"> </v>
      </c>
      <c r="AL38" s="1" t="str">
        <f t="shared" si="8"/>
        <v xml:space="preserve"> </v>
      </c>
      <c r="AM38" s="1" t="str">
        <f t="shared" si="9"/>
        <v xml:space="preserve"> </v>
      </c>
      <c r="AN38" s="1">
        <f t="shared" si="10"/>
        <v>8</v>
      </c>
      <c r="AO38" s="1" t="str">
        <f t="shared" si="11"/>
        <v xml:space="preserve"> </v>
      </c>
      <c r="AP38" s="1" t="str">
        <f t="shared" si="12"/>
        <v xml:space="preserve"> </v>
      </c>
      <c r="AQ38" s="1" t="str">
        <f t="shared" si="13"/>
        <v xml:space="preserve"> </v>
      </c>
      <c r="AR38" s="1" t="str">
        <f t="shared" si="14"/>
        <v xml:space="preserve"> </v>
      </c>
      <c r="AS38" s="1" t="str">
        <f t="shared" si="15"/>
        <v xml:space="preserve"> </v>
      </c>
      <c r="AT38" s="1" t="str">
        <f t="shared" si="16"/>
        <v xml:space="preserve"> </v>
      </c>
      <c r="AU38" s="1" t="str">
        <f t="shared" si="17"/>
        <v xml:space="preserve"> </v>
      </c>
    </row>
    <row r="39" spans="1:47" ht="63.75" hidden="1">
      <c r="A39" s="61">
        <v>37</v>
      </c>
      <c r="B39" s="59">
        <v>45121</v>
      </c>
      <c r="C39" s="165">
        <v>0.54166666666666663</v>
      </c>
      <c r="D39" s="63" t="s">
        <v>241</v>
      </c>
      <c r="E39" s="64" t="s">
        <v>362</v>
      </c>
      <c r="F39" s="64" t="s">
        <v>363</v>
      </c>
      <c r="G39" s="65">
        <v>21516166</v>
      </c>
      <c r="H39" s="64" t="s">
        <v>365</v>
      </c>
      <c r="I39" s="66" t="s">
        <v>364</v>
      </c>
      <c r="J39" s="66" t="s">
        <v>431</v>
      </c>
      <c r="K39" s="67">
        <v>13778236</v>
      </c>
      <c r="L39" s="66" t="s">
        <v>430</v>
      </c>
      <c r="M39" s="64" t="s">
        <v>366</v>
      </c>
      <c r="N39" s="63"/>
      <c r="O39" s="63"/>
      <c r="P39" s="64" t="s">
        <v>367</v>
      </c>
      <c r="Q39" s="64" t="s">
        <v>368</v>
      </c>
      <c r="R39" s="60">
        <v>45132</v>
      </c>
      <c r="S39" s="170">
        <v>0.39583333333333331</v>
      </c>
      <c r="T39" s="47" t="s">
        <v>428</v>
      </c>
      <c r="U39" s="183" t="s">
        <v>1047</v>
      </c>
      <c r="V39" s="64" t="s">
        <v>561</v>
      </c>
      <c r="W39" s="23" t="str">
        <f t="shared" ca="1" si="31"/>
        <v>SI</v>
      </c>
      <c r="X39" s="23" t="str">
        <f t="shared" si="32"/>
        <v>DIANOSOL</v>
      </c>
      <c r="Y39" s="50" t="s">
        <v>991</v>
      </c>
      <c r="Z39" s="111" t="s">
        <v>1015</v>
      </c>
      <c r="AA39" s="111" t="str">
        <f>IF(Z39&lt;&gt;"",VLOOKUP($Z39,Resultados!$A$1:$B$49,2,FALSE),"")</f>
        <v>Recursos Denegados</v>
      </c>
      <c r="AB39" s="23" t="str">
        <f t="shared" ca="1" si="28"/>
        <v>OTRO</v>
      </c>
      <c r="AC39" s="10">
        <f t="shared" si="20"/>
        <v>25</v>
      </c>
      <c r="AD39" s="10">
        <f t="shared" si="21"/>
        <v>7</v>
      </c>
      <c r="AE39" s="10">
        <f t="shared" si="22"/>
        <v>2023</v>
      </c>
      <c r="AF39" s="1">
        <f t="shared" si="29"/>
        <v>8</v>
      </c>
      <c r="AG39" s="1" t="str">
        <f t="shared" si="30"/>
        <v xml:space="preserve"> </v>
      </c>
      <c r="AH39" s="1" t="str">
        <f t="shared" si="4"/>
        <v xml:space="preserve"> </v>
      </c>
      <c r="AI39" s="1" t="str">
        <f t="shared" si="5"/>
        <v xml:space="preserve"> </v>
      </c>
      <c r="AJ39" s="1" t="str">
        <f t="shared" si="6"/>
        <v xml:space="preserve"> </v>
      </c>
      <c r="AK39" s="1" t="str">
        <f t="shared" si="7"/>
        <v xml:space="preserve"> </v>
      </c>
      <c r="AL39" s="1" t="str">
        <f t="shared" si="8"/>
        <v xml:space="preserve"> </v>
      </c>
      <c r="AM39" s="1" t="str">
        <f t="shared" si="9"/>
        <v xml:space="preserve"> </v>
      </c>
      <c r="AN39" s="1">
        <f t="shared" si="10"/>
        <v>8</v>
      </c>
      <c r="AO39" s="1" t="str">
        <f t="shared" si="11"/>
        <v xml:space="preserve"> </v>
      </c>
      <c r="AP39" s="1" t="str">
        <f t="shared" si="12"/>
        <v xml:space="preserve"> </v>
      </c>
      <c r="AQ39" s="1" t="str">
        <f t="shared" si="13"/>
        <v xml:space="preserve"> </v>
      </c>
      <c r="AR39" s="1" t="str">
        <f t="shared" si="14"/>
        <v xml:space="preserve"> </v>
      </c>
      <c r="AS39" s="1" t="str">
        <f t="shared" si="15"/>
        <v xml:space="preserve"> </v>
      </c>
      <c r="AT39" s="1" t="str">
        <f t="shared" si="16"/>
        <v xml:space="preserve"> </v>
      </c>
      <c r="AU39" s="1" t="str">
        <f t="shared" si="17"/>
        <v xml:space="preserve"> </v>
      </c>
    </row>
    <row r="40" spans="1:47" ht="89.25" hidden="1">
      <c r="A40" s="61">
        <v>38</v>
      </c>
      <c r="B40" s="59">
        <v>45121</v>
      </c>
      <c r="C40" s="165">
        <v>0.54166666666666663</v>
      </c>
      <c r="D40" s="63" t="s">
        <v>107</v>
      </c>
      <c r="E40" s="64" t="s">
        <v>369</v>
      </c>
      <c r="F40" s="64" t="s">
        <v>370</v>
      </c>
      <c r="G40" s="65">
        <v>11283803</v>
      </c>
      <c r="H40" s="64" t="s">
        <v>371</v>
      </c>
      <c r="I40" s="66" t="s">
        <v>372</v>
      </c>
      <c r="J40" s="66" t="s">
        <v>373</v>
      </c>
      <c r="K40" s="67">
        <v>30222229</v>
      </c>
      <c r="L40" s="66" t="s">
        <v>374</v>
      </c>
      <c r="M40" s="64" t="s">
        <v>375</v>
      </c>
      <c r="N40" s="63"/>
      <c r="O40" s="64" t="s">
        <v>376</v>
      </c>
      <c r="P40" s="63"/>
      <c r="Q40" s="64" t="s">
        <v>132</v>
      </c>
      <c r="R40" s="60">
        <v>45145</v>
      </c>
      <c r="S40" s="170">
        <v>0.39583333333333331</v>
      </c>
      <c r="T40" s="60" t="s">
        <v>911</v>
      </c>
      <c r="U40" s="183"/>
      <c r="V40" s="64" t="s">
        <v>560</v>
      </c>
      <c r="W40" s="23" t="str">
        <f t="shared" ca="1" si="31"/>
        <v>SI</v>
      </c>
      <c r="X40" s="23" t="str">
        <f t="shared" si="32"/>
        <v>DIANOSOL</v>
      </c>
      <c r="Y40" s="50" t="s">
        <v>991</v>
      </c>
      <c r="Z40" s="111" t="s">
        <v>1015</v>
      </c>
      <c r="AA40" s="111" t="str">
        <f>IF(Z40&lt;&gt;"",VLOOKUP($Z40,Resultados!$A$1:$B$49,2,FALSE),"")</f>
        <v>Recursos Denegados</v>
      </c>
      <c r="AB40" s="23" t="str">
        <f t="shared" ca="1" si="28"/>
        <v>OTRO</v>
      </c>
      <c r="AC40" s="10">
        <f t="shared" si="20"/>
        <v>7</v>
      </c>
      <c r="AD40" s="10">
        <f t="shared" si="21"/>
        <v>8</v>
      </c>
      <c r="AE40" s="10">
        <f t="shared" si="22"/>
        <v>2023</v>
      </c>
      <c r="AF40" s="1">
        <f t="shared" si="29"/>
        <v>17</v>
      </c>
      <c r="AG40" s="1" t="str">
        <f t="shared" si="30"/>
        <v xml:space="preserve"> </v>
      </c>
      <c r="AH40" s="1" t="str">
        <f t="shared" si="4"/>
        <v xml:space="preserve"> </v>
      </c>
      <c r="AI40" s="1" t="str">
        <f t="shared" si="5"/>
        <v xml:space="preserve"> </v>
      </c>
      <c r="AJ40" s="1" t="str">
        <f t="shared" si="6"/>
        <v xml:space="preserve"> </v>
      </c>
      <c r="AK40" s="1" t="str">
        <f t="shared" si="7"/>
        <v xml:space="preserve"> </v>
      </c>
      <c r="AL40" s="1" t="str">
        <f t="shared" si="8"/>
        <v xml:space="preserve"> </v>
      </c>
      <c r="AM40" s="1" t="str">
        <f t="shared" si="9"/>
        <v xml:space="preserve"> </v>
      </c>
      <c r="AN40" s="1" t="str">
        <f t="shared" si="10"/>
        <v xml:space="preserve"> </v>
      </c>
      <c r="AO40" s="1">
        <f t="shared" si="11"/>
        <v>17</v>
      </c>
      <c r="AP40" s="1" t="str">
        <f t="shared" si="12"/>
        <v xml:space="preserve"> </v>
      </c>
      <c r="AQ40" s="1" t="str">
        <f t="shared" si="13"/>
        <v xml:space="preserve"> </v>
      </c>
      <c r="AR40" s="1" t="str">
        <f t="shared" si="14"/>
        <v xml:space="preserve"> </v>
      </c>
      <c r="AS40" s="1" t="str">
        <f t="shared" si="15"/>
        <v xml:space="preserve"> </v>
      </c>
      <c r="AT40" s="1" t="str">
        <f t="shared" si="16"/>
        <v xml:space="preserve"> </v>
      </c>
      <c r="AU40" s="1" t="str">
        <f t="shared" si="17"/>
        <v xml:space="preserve"> </v>
      </c>
    </row>
    <row r="41" spans="1:47" ht="51" hidden="1">
      <c r="A41" s="61">
        <v>39</v>
      </c>
      <c r="B41" s="59">
        <v>45126</v>
      </c>
      <c r="C41" s="165">
        <v>0.54166666666666663</v>
      </c>
      <c r="D41" s="63" t="s">
        <v>241</v>
      </c>
      <c r="E41" s="64" t="s">
        <v>380</v>
      </c>
      <c r="F41" s="64" t="s">
        <v>381</v>
      </c>
      <c r="G41" s="65">
        <v>28050428</v>
      </c>
      <c r="H41" s="63"/>
      <c r="I41" s="66" t="s">
        <v>382</v>
      </c>
      <c r="J41" s="66" t="s">
        <v>383</v>
      </c>
      <c r="K41" s="67">
        <v>32514401</v>
      </c>
      <c r="L41" s="66" t="s">
        <v>384</v>
      </c>
      <c r="M41" s="64" t="s">
        <v>385</v>
      </c>
      <c r="N41" s="64" t="s">
        <v>442</v>
      </c>
      <c r="O41" s="63"/>
      <c r="P41" s="63"/>
      <c r="Q41" s="64" t="s">
        <v>131</v>
      </c>
      <c r="R41" s="60">
        <v>45133</v>
      </c>
      <c r="S41" s="170">
        <v>0.39583333333333331</v>
      </c>
      <c r="T41" s="60" t="s">
        <v>913</v>
      </c>
      <c r="U41" s="183" t="s">
        <v>1048</v>
      </c>
      <c r="V41" s="64" t="s">
        <v>583</v>
      </c>
      <c r="W41" s="23" t="str">
        <f t="shared" ca="1" si="31"/>
        <v>SI</v>
      </c>
      <c r="X41" s="23" t="str">
        <f t="shared" si="32"/>
        <v>DIANOSOL</v>
      </c>
      <c r="Y41" s="50" t="s">
        <v>991</v>
      </c>
      <c r="Z41" s="111" t="s">
        <v>1016</v>
      </c>
      <c r="AA41" s="111" t="str">
        <f>IF(Z41&lt;&gt;"",VLOOKUP($Z41,Resultados!$A$1:$B$49,2,FALSE),"")</f>
        <v>Recursos donde se hizo lugar</v>
      </c>
      <c r="AC41" s="10">
        <f t="shared" si="20"/>
        <v>26</v>
      </c>
      <c r="AD41" s="10">
        <f t="shared" si="21"/>
        <v>7</v>
      </c>
      <c r="AE41" s="10">
        <f t="shared" si="22"/>
        <v>2023</v>
      </c>
      <c r="AF41" s="1">
        <f t="shared" si="29"/>
        <v>6</v>
      </c>
      <c r="AG41" s="1" t="str">
        <f t="shared" si="30"/>
        <v xml:space="preserve"> </v>
      </c>
      <c r="AH41" s="1" t="str">
        <f t="shared" si="4"/>
        <v xml:space="preserve"> </v>
      </c>
      <c r="AI41" s="1" t="str">
        <f t="shared" si="5"/>
        <v xml:space="preserve"> </v>
      </c>
      <c r="AJ41" s="1" t="str">
        <f t="shared" si="6"/>
        <v xml:space="preserve"> </v>
      </c>
      <c r="AK41" s="1" t="str">
        <f t="shared" si="7"/>
        <v xml:space="preserve"> </v>
      </c>
      <c r="AL41" s="1" t="str">
        <f t="shared" si="8"/>
        <v xml:space="preserve"> </v>
      </c>
      <c r="AM41" s="1" t="str">
        <f t="shared" si="9"/>
        <v xml:space="preserve"> </v>
      </c>
      <c r="AN41" s="1">
        <f t="shared" si="10"/>
        <v>6</v>
      </c>
      <c r="AO41" s="1" t="str">
        <f t="shared" si="11"/>
        <v xml:space="preserve"> </v>
      </c>
      <c r="AP41" s="1" t="str">
        <f t="shared" si="12"/>
        <v xml:space="preserve"> </v>
      </c>
      <c r="AQ41" s="1" t="str">
        <f t="shared" si="13"/>
        <v xml:space="preserve"> </v>
      </c>
      <c r="AR41" s="1" t="str">
        <f t="shared" si="14"/>
        <v xml:space="preserve"> </v>
      </c>
      <c r="AS41" s="1" t="str">
        <f t="shared" si="15"/>
        <v xml:space="preserve"> </v>
      </c>
      <c r="AT41" s="1" t="str">
        <f t="shared" si="16"/>
        <v xml:space="preserve"> </v>
      </c>
      <c r="AU41" s="1" t="str">
        <f t="shared" si="17"/>
        <v xml:space="preserve"> </v>
      </c>
    </row>
    <row r="42" spans="1:47" ht="76.5" hidden="1">
      <c r="A42" s="61">
        <v>40</v>
      </c>
      <c r="B42" s="59">
        <v>45125</v>
      </c>
      <c r="C42" s="165">
        <v>0.54166666666666663</v>
      </c>
      <c r="D42" s="63" t="s">
        <v>228</v>
      </c>
      <c r="E42" s="64" t="s">
        <v>452</v>
      </c>
      <c r="F42" s="64" t="s">
        <v>386</v>
      </c>
      <c r="G42" s="65">
        <v>40157666</v>
      </c>
      <c r="H42" s="64" t="s">
        <v>388</v>
      </c>
      <c r="I42" s="66" t="s">
        <v>439</v>
      </c>
      <c r="J42" s="66" t="s">
        <v>390</v>
      </c>
      <c r="K42" s="66" t="s">
        <v>391</v>
      </c>
      <c r="L42" s="66" t="s">
        <v>392</v>
      </c>
      <c r="M42" s="64" t="s">
        <v>461</v>
      </c>
      <c r="N42" s="63"/>
      <c r="O42" s="63"/>
      <c r="P42" s="63"/>
      <c r="Q42" s="64" t="s">
        <v>131</v>
      </c>
      <c r="R42" s="60">
        <v>45134</v>
      </c>
      <c r="S42" s="170">
        <v>0.39583333333333331</v>
      </c>
      <c r="T42" s="60" t="s">
        <v>933</v>
      </c>
      <c r="U42" s="183" t="s">
        <v>1096</v>
      </c>
      <c r="V42" s="64" t="s">
        <v>583</v>
      </c>
      <c r="W42" s="23" t="str">
        <f t="shared" ca="1" si="31"/>
        <v>SI</v>
      </c>
      <c r="X42" s="23" t="str">
        <f t="shared" si="32"/>
        <v>DIANOSOL</v>
      </c>
      <c r="Y42" s="50" t="s">
        <v>991</v>
      </c>
      <c r="Z42" s="111" t="s">
        <v>1016</v>
      </c>
      <c r="AA42" s="111" t="str">
        <f>IF(Z42&lt;&gt;"",VLOOKUP($Z42,Resultados!$A$1:$B$49,2,FALSE),"")</f>
        <v>Recursos donde se hizo lugar</v>
      </c>
      <c r="AC42" s="10">
        <f t="shared" si="20"/>
        <v>27</v>
      </c>
      <c r="AD42" s="10">
        <f t="shared" si="21"/>
        <v>7</v>
      </c>
      <c r="AE42" s="10">
        <f t="shared" si="22"/>
        <v>2023</v>
      </c>
      <c r="AF42" s="1">
        <f t="shared" si="29"/>
        <v>8</v>
      </c>
      <c r="AG42" s="1" t="str">
        <f t="shared" si="30"/>
        <v xml:space="preserve"> </v>
      </c>
      <c r="AH42" s="1" t="str">
        <f t="shared" si="4"/>
        <v xml:space="preserve"> </v>
      </c>
      <c r="AI42" s="1" t="str">
        <f t="shared" si="5"/>
        <v xml:space="preserve"> </v>
      </c>
      <c r="AJ42" s="1" t="str">
        <f t="shared" si="6"/>
        <v xml:space="preserve"> </v>
      </c>
      <c r="AK42" s="1" t="str">
        <f t="shared" si="7"/>
        <v xml:space="preserve"> </v>
      </c>
      <c r="AL42" s="1" t="str">
        <f t="shared" si="8"/>
        <v xml:space="preserve"> </v>
      </c>
      <c r="AM42" s="1" t="str">
        <f t="shared" si="9"/>
        <v xml:space="preserve"> </v>
      </c>
      <c r="AN42" s="1">
        <f t="shared" si="10"/>
        <v>8</v>
      </c>
      <c r="AO42" s="1" t="str">
        <f t="shared" si="11"/>
        <v xml:space="preserve"> </v>
      </c>
      <c r="AP42" s="1" t="str">
        <f t="shared" si="12"/>
        <v xml:space="preserve"> </v>
      </c>
      <c r="AQ42" s="1" t="str">
        <f t="shared" si="13"/>
        <v xml:space="preserve"> </v>
      </c>
      <c r="AR42" s="1" t="str">
        <f t="shared" si="14"/>
        <v xml:space="preserve"> </v>
      </c>
      <c r="AS42" s="1" t="str">
        <f t="shared" si="15"/>
        <v xml:space="preserve"> </v>
      </c>
      <c r="AT42" s="1" t="str">
        <f t="shared" si="16"/>
        <v xml:space="preserve"> </v>
      </c>
      <c r="AU42" s="1" t="str">
        <f t="shared" si="17"/>
        <v xml:space="preserve"> </v>
      </c>
    </row>
    <row r="43" spans="1:47" ht="76.5" hidden="1">
      <c r="A43" s="61">
        <v>41</v>
      </c>
      <c r="B43" s="59">
        <v>45125</v>
      </c>
      <c r="C43" s="165">
        <v>0.54166666666666663</v>
      </c>
      <c r="D43" s="63" t="s">
        <v>228</v>
      </c>
      <c r="E43" s="64" t="s">
        <v>452</v>
      </c>
      <c r="F43" s="64" t="s">
        <v>387</v>
      </c>
      <c r="G43" s="65">
        <v>39361481</v>
      </c>
      <c r="H43" s="64" t="s">
        <v>389</v>
      </c>
      <c r="I43" s="66" t="s">
        <v>439</v>
      </c>
      <c r="J43" s="66" t="s">
        <v>390</v>
      </c>
      <c r="K43" s="66" t="s">
        <v>391</v>
      </c>
      <c r="L43" s="66" t="s">
        <v>392</v>
      </c>
      <c r="M43" s="64" t="s">
        <v>462</v>
      </c>
      <c r="N43" s="63"/>
      <c r="O43" s="63"/>
      <c r="P43" s="63"/>
      <c r="Q43" s="64" t="s">
        <v>131</v>
      </c>
      <c r="R43" s="60">
        <v>45134</v>
      </c>
      <c r="S43" s="170">
        <v>0.39583333333333331</v>
      </c>
      <c r="T43" s="60" t="s">
        <v>933</v>
      </c>
      <c r="U43" s="183" t="s">
        <v>1056</v>
      </c>
      <c r="V43" s="64" t="s">
        <v>592</v>
      </c>
      <c r="W43" s="23" t="str">
        <f t="shared" ca="1" si="31"/>
        <v>SI</v>
      </c>
      <c r="X43" s="23" t="str">
        <f t="shared" si="32"/>
        <v>DIANOSOL</v>
      </c>
      <c r="Y43" s="50" t="s">
        <v>991</v>
      </c>
      <c r="Z43" s="111" t="s">
        <v>1016</v>
      </c>
      <c r="AA43" s="111" t="str">
        <f>IF(Z43&lt;&gt;"",VLOOKUP($Z43,Resultados!$A$1:$B$49,2,FALSE),"")</f>
        <v>Recursos donde se hizo lugar</v>
      </c>
      <c r="AC43" s="10">
        <f t="shared" si="20"/>
        <v>27</v>
      </c>
      <c r="AD43" s="10">
        <f t="shared" si="21"/>
        <v>7</v>
      </c>
      <c r="AE43" s="10">
        <f t="shared" si="22"/>
        <v>2023</v>
      </c>
      <c r="AF43" s="1">
        <f t="shared" si="29"/>
        <v>8</v>
      </c>
      <c r="AG43" s="1" t="str">
        <f t="shared" si="30"/>
        <v xml:space="preserve"> </v>
      </c>
      <c r="AH43" s="1" t="str">
        <f t="shared" si="4"/>
        <v xml:space="preserve"> </v>
      </c>
      <c r="AI43" s="1" t="str">
        <f t="shared" si="5"/>
        <v xml:space="preserve"> </v>
      </c>
      <c r="AJ43" s="1" t="str">
        <f t="shared" si="6"/>
        <v xml:space="preserve"> </v>
      </c>
      <c r="AK43" s="1" t="str">
        <f t="shared" si="7"/>
        <v xml:space="preserve"> </v>
      </c>
      <c r="AL43" s="1" t="str">
        <f t="shared" si="8"/>
        <v xml:space="preserve"> </v>
      </c>
      <c r="AM43" s="1" t="str">
        <f t="shared" si="9"/>
        <v xml:space="preserve"> </v>
      </c>
      <c r="AN43" s="1">
        <f t="shared" si="10"/>
        <v>8</v>
      </c>
      <c r="AO43" s="1" t="str">
        <f t="shared" si="11"/>
        <v xml:space="preserve"> </v>
      </c>
      <c r="AP43" s="1" t="str">
        <f t="shared" si="12"/>
        <v xml:space="preserve"> </v>
      </c>
      <c r="AQ43" s="1" t="str">
        <f t="shared" si="13"/>
        <v xml:space="preserve"> </v>
      </c>
      <c r="AR43" s="1" t="str">
        <f t="shared" si="14"/>
        <v xml:space="preserve"> </v>
      </c>
      <c r="AS43" s="1" t="str">
        <f t="shared" si="15"/>
        <v xml:space="preserve"> </v>
      </c>
      <c r="AT43" s="1" t="str">
        <f t="shared" si="16"/>
        <v xml:space="preserve"> </v>
      </c>
      <c r="AU43" s="1" t="str">
        <f t="shared" si="17"/>
        <v xml:space="preserve"> </v>
      </c>
    </row>
    <row r="44" spans="1:47" ht="89.25" hidden="1">
      <c r="A44" s="61">
        <v>42</v>
      </c>
      <c r="B44" s="59">
        <v>45131</v>
      </c>
      <c r="C44" s="165">
        <v>0.33333333333333331</v>
      </c>
      <c r="D44" s="63" t="s">
        <v>107</v>
      </c>
      <c r="E44" s="64" t="s">
        <v>400</v>
      </c>
      <c r="F44" s="64" t="s">
        <v>401</v>
      </c>
      <c r="G44" s="65">
        <v>31548327</v>
      </c>
      <c r="H44" s="64" t="s">
        <v>402</v>
      </c>
      <c r="I44" s="66" t="s">
        <v>403</v>
      </c>
      <c r="J44" s="66" t="s">
        <v>443</v>
      </c>
      <c r="K44" s="70"/>
      <c r="L44" s="70"/>
      <c r="M44" s="64" t="s">
        <v>404</v>
      </c>
      <c r="N44" s="64" t="s">
        <v>405</v>
      </c>
      <c r="O44" s="63"/>
      <c r="P44" s="63"/>
      <c r="Q44" s="64" t="s">
        <v>406</v>
      </c>
      <c r="R44" s="60">
        <v>45134</v>
      </c>
      <c r="S44" s="170">
        <v>0.5</v>
      </c>
      <c r="T44" s="60" t="s">
        <v>925</v>
      </c>
      <c r="U44" s="183"/>
      <c r="V44" s="64" t="s">
        <v>592</v>
      </c>
      <c r="W44" s="23" t="str">
        <f t="shared" ca="1" si="31"/>
        <v>SI</v>
      </c>
      <c r="X44" s="23" t="str">
        <f t="shared" si="32"/>
        <v>DIANOSOL</v>
      </c>
      <c r="Y44" s="50" t="s">
        <v>991</v>
      </c>
      <c r="Z44" s="111" t="s">
        <v>1022</v>
      </c>
      <c r="AA44" s="111" t="str">
        <f>IF(Z44&lt;&gt;"",VLOOKUP($Z44,Resultados!$A$1:$B$49,2,FALSE),"")</f>
        <v>Recursos donde se hizo lugar</v>
      </c>
      <c r="AC44" s="10">
        <f t="shared" si="20"/>
        <v>27</v>
      </c>
      <c r="AD44" s="10">
        <f t="shared" si="21"/>
        <v>7</v>
      </c>
      <c r="AE44" s="10">
        <f t="shared" si="22"/>
        <v>2023</v>
      </c>
      <c r="AF44" s="1">
        <f t="shared" si="29"/>
        <v>4</v>
      </c>
      <c r="AG44" s="1" t="str">
        <f t="shared" si="30"/>
        <v xml:space="preserve"> </v>
      </c>
      <c r="AH44" s="1" t="str">
        <f t="shared" si="4"/>
        <v xml:space="preserve"> </v>
      </c>
      <c r="AI44" s="1" t="str">
        <f t="shared" si="5"/>
        <v xml:space="preserve"> </v>
      </c>
      <c r="AJ44" s="1" t="str">
        <f t="shared" si="6"/>
        <v xml:space="preserve"> </v>
      </c>
      <c r="AK44" s="1" t="str">
        <f t="shared" si="7"/>
        <v xml:space="preserve"> </v>
      </c>
      <c r="AL44" s="1" t="str">
        <f t="shared" si="8"/>
        <v xml:space="preserve"> </v>
      </c>
      <c r="AM44" s="1" t="str">
        <f t="shared" si="9"/>
        <v xml:space="preserve"> </v>
      </c>
      <c r="AN44" s="1">
        <f t="shared" si="10"/>
        <v>4</v>
      </c>
      <c r="AO44" s="1" t="str">
        <f t="shared" si="11"/>
        <v xml:space="preserve"> </v>
      </c>
      <c r="AP44" s="1" t="str">
        <f t="shared" si="12"/>
        <v xml:space="preserve"> </v>
      </c>
      <c r="AQ44" s="1" t="str">
        <f t="shared" si="13"/>
        <v xml:space="preserve"> </v>
      </c>
      <c r="AR44" s="1" t="str">
        <f t="shared" si="14"/>
        <v xml:space="preserve"> </v>
      </c>
      <c r="AS44" s="1" t="str">
        <f t="shared" si="15"/>
        <v xml:space="preserve"> </v>
      </c>
      <c r="AT44" s="1" t="str">
        <f t="shared" si="16"/>
        <v xml:space="preserve"> </v>
      </c>
      <c r="AU44" s="1" t="str">
        <f t="shared" si="17"/>
        <v xml:space="preserve"> </v>
      </c>
    </row>
    <row r="45" spans="1:47" ht="38.25" hidden="1">
      <c r="A45" s="55">
        <v>43</v>
      </c>
      <c r="B45" s="52">
        <v>45131</v>
      </c>
      <c r="C45" s="162">
        <v>0.54166666666666663</v>
      </c>
      <c r="D45" s="38" t="s">
        <v>105</v>
      </c>
      <c r="E45" s="50" t="s">
        <v>409</v>
      </c>
      <c r="F45" s="50" t="s">
        <v>410</v>
      </c>
      <c r="G45" s="56">
        <v>41051772</v>
      </c>
      <c r="H45" s="38"/>
      <c r="I45" s="39" t="s">
        <v>412</v>
      </c>
      <c r="J45" s="39" t="s">
        <v>413</v>
      </c>
      <c r="K45" s="46">
        <v>26899456</v>
      </c>
      <c r="L45" s="39" t="s">
        <v>414</v>
      </c>
      <c r="M45" s="50" t="s">
        <v>460</v>
      </c>
      <c r="N45" s="38"/>
      <c r="O45" s="38"/>
      <c r="P45" s="38"/>
      <c r="Q45" s="50" t="s">
        <v>132</v>
      </c>
      <c r="R45" s="47">
        <v>45135</v>
      </c>
      <c r="S45" s="161">
        <v>0.39583333333333331</v>
      </c>
      <c r="T45" s="47" t="s">
        <v>492</v>
      </c>
      <c r="U45" s="183"/>
      <c r="V45" s="64" t="s">
        <v>602</v>
      </c>
      <c r="W45" s="23" t="str">
        <f t="shared" ca="1" si="31"/>
        <v>SI</v>
      </c>
      <c r="X45" s="23" t="str">
        <f t="shared" si="32"/>
        <v>DIANOSOL</v>
      </c>
      <c r="Y45" s="50" t="s">
        <v>991</v>
      </c>
      <c r="Z45" s="111" t="s">
        <v>1015</v>
      </c>
      <c r="AA45" s="111" t="str">
        <f>IF(Z45&lt;&gt;"",VLOOKUP($Z45,Resultados!$A$1:$B$49,2,FALSE),"")</f>
        <v>Recursos Denegados</v>
      </c>
      <c r="AB45" s="23" t="str">
        <f t="shared" ref="AB45:AB47" ca="1" si="33">IF(R45&gt;TODAY(),"FIJADA","OTRO")</f>
        <v>OTRO</v>
      </c>
      <c r="AC45" s="10">
        <f t="shared" si="20"/>
        <v>28</v>
      </c>
      <c r="AD45" s="10">
        <f t="shared" si="21"/>
        <v>7</v>
      </c>
      <c r="AE45" s="10">
        <f t="shared" si="22"/>
        <v>2023</v>
      </c>
      <c r="AF45" s="1">
        <f t="shared" si="29"/>
        <v>5</v>
      </c>
      <c r="AG45" s="1" t="str">
        <f t="shared" si="30"/>
        <v xml:space="preserve"> </v>
      </c>
      <c r="AH45" s="1" t="str">
        <f t="shared" si="4"/>
        <v xml:space="preserve"> </v>
      </c>
      <c r="AI45" s="1" t="str">
        <f t="shared" si="5"/>
        <v xml:space="preserve"> </v>
      </c>
      <c r="AJ45" s="1" t="str">
        <f t="shared" si="6"/>
        <v xml:space="preserve"> </v>
      </c>
      <c r="AK45" s="1" t="str">
        <f t="shared" si="7"/>
        <v xml:space="preserve"> </v>
      </c>
      <c r="AL45" s="1" t="str">
        <f t="shared" si="8"/>
        <v xml:space="preserve"> </v>
      </c>
      <c r="AM45" s="1" t="str">
        <f t="shared" si="9"/>
        <v xml:space="preserve"> </v>
      </c>
      <c r="AN45" s="1">
        <f t="shared" si="10"/>
        <v>5</v>
      </c>
      <c r="AO45" s="1" t="str">
        <f t="shared" si="11"/>
        <v xml:space="preserve"> </v>
      </c>
      <c r="AP45" s="1" t="str">
        <f t="shared" si="12"/>
        <v xml:space="preserve"> </v>
      </c>
      <c r="AQ45" s="1" t="str">
        <f t="shared" si="13"/>
        <v xml:space="preserve"> </v>
      </c>
      <c r="AR45" s="1" t="str">
        <f t="shared" si="14"/>
        <v xml:space="preserve"> </v>
      </c>
      <c r="AS45" s="1" t="str">
        <f t="shared" si="15"/>
        <v xml:space="preserve"> </v>
      </c>
      <c r="AT45" s="1" t="str">
        <f t="shared" si="16"/>
        <v xml:space="preserve"> </v>
      </c>
      <c r="AU45" s="1" t="str">
        <f t="shared" si="17"/>
        <v xml:space="preserve"> </v>
      </c>
    </row>
    <row r="46" spans="1:47" ht="38.25" hidden="1">
      <c r="A46" s="55">
        <v>44</v>
      </c>
      <c r="B46" s="52">
        <v>45131</v>
      </c>
      <c r="C46" s="162">
        <v>0.54166666666666663</v>
      </c>
      <c r="D46" s="38" t="s">
        <v>105</v>
      </c>
      <c r="E46" s="50" t="s">
        <v>409</v>
      </c>
      <c r="F46" s="50" t="s">
        <v>411</v>
      </c>
      <c r="G46" s="56">
        <v>31545817</v>
      </c>
      <c r="H46" s="38"/>
      <c r="I46" s="39" t="s">
        <v>412</v>
      </c>
      <c r="J46" s="39" t="s">
        <v>413</v>
      </c>
      <c r="K46" s="46">
        <v>26899456</v>
      </c>
      <c r="L46" s="39" t="s">
        <v>414</v>
      </c>
      <c r="M46" s="50" t="s">
        <v>460</v>
      </c>
      <c r="N46" s="38"/>
      <c r="O46" s="38"/>
      <c r="P46" s="38"/>
      <c r="Q46" s="50" t="s">
        <v>132</v>
      </c>
      <c r="R46" s="47">
        <v>45135</v>
      </c>
      <c r="S46" s="161">
        <v>0.39583333333333331</v>
      </c>
      <c r="T46" s="47" t="s">
        <v>377</v>
      </c>
      <c r="U46" s="183" t="s">
        <v>1081</v>
      </c>
      <c r="V46" s="64" t="s">
        <v>647</v>
      </c>
      <c r="W46" s="23" t="str">
        <f t="shared" ca="1" si="31"/>
        <v>SI</v>
      </c>
      <c r="X46" s="23" t="str">
        <f t="shared" si="32"/>
        <v>DIANOSOL</v>
      </c>
      <c r="Y46" s="50" t="s">
        <v>991</v>
      </c>
      <c r="Z46" s="111" t="s">
        <v>1015</v>
      </c>
      <c r="AA46" s="111" t="str">
        <f>IF(Z46&lt;&gt;"",VLOOKUP($Z46,Resultados!$A$1:$B$49,2,FALSE),"")</f>
        <v>Recursos Denegados</v>
      </c>
      <c r="AB46" s="23" t="str">
        <f t="shared" ca="1" si="33"/>
        <v>OTRO</v>
      </c>
      <c r="AC46" s="10">
        <f t="shared" si="20"/>
        <v>28</v>
      </c>
      <c r="AD46" s="10">
        <f t="shared" si="21"/>
        <v>7</v>
      </c>
      <c r="AE46" s="10">
        <f t="shared" si="22"/>
        <v>2023</v>
      </c>
      <c r="AF46" s="1">
        <f t="shared" si="29"/>
        <v>5</v>
      </c>
      <c r="AG46" s="1" t="str">
        <f t="shared" si="30"/>
        <v xml:space="preserve"> </v>
      </c>
      <c r="AH46" s="1" t="str">
        <f t="shared" si="4"/>
        <v xml:space="preserve"> </v>
      </c>
      <c r="AI46" s="1" t="str">
        <f t="shared" si="5"/>
        <v xml:space="preserve"> </v>
      </c>
      <c r="AJ46" s="1" t="str">
        <f t="shared" si="6"/>
        <v xml:space="preserve"> </v>
      </c>
      <c r="AK46" s="1" t="str">
        <f t="shared" si="7"/>
        <v xml:space="preserve"> </v>
      </c>
      <c r="AL46" s="1" t="str">
        <f t="shared" si="8"/>
        <v xml:space="preserve"> </v>
      </c>
      <c r="AM46" s="1" t="str">
        <f t="shared" si="9"/>
        <v xml:space="preserve"> </v>
      </c>
      <c r="AN46" s="1">
        <f t="shared" si="10"/>
        <v>5</v>
      </c>
      <c r="AO46" s="1" t="str">
        <f t="shared" si="11"/>
        <v xml:space="preserve"> </v>
      </c>
      <c r="AP46" s="1" t="str">
        <f t="shared" si="12"/>
        <v xml:space="preserve"> </v>
      </c>
      <c r="AQ46" s="1" t="str">
        <f t="shared" si="13"/>
        <v xml:space="preserve"> </v>
      </c>
      <c r="AR46" s="1" t="str">
        <f t="shared" si="14"/>
        <v xml:space="preserve"> </v>
      </c>
      <c r="AS46" s="1" t="str">
        <f t="shared" si="15"/>
        <v xml:space="preserve"> </v>
      </c>
      <c r="AT46" s="1" t="str">
        <f t="shared" si="16"/>
        <v xml:space="preserve"> </v>
      </c>
      <c r="AU46" s="1" t="str">
        <f t="shared" si="17"/>
        <v xml:space="preserve"> </v>
      </c>
    </row>
    <row r="47" spans="1:47" ht="38.25" hidden="1">
      <c r="A47" s="61">
        <v>45</v>
      </c>
      <c r="B47" s="59">
        <v>45132</v>
      </c>
      <c r="C47" s="165">
        <v>0.45833333333333331</v>
      </c>
      <c r="D47" s="63" t="s">
        <v>228</v>
      </c>
      <c r="E47" s="64" t="s">
        <v>416</v>
      </c>
      <c r="F47" s="64" t="s">
        <v>417</v>
      </c>
      <c r="G47" s="65">
        <v>26645070</v>
      </c>
      <c r="H47" s="64" t="s">
        <v>418</v>
      </c>
      <c r="I47" s="66" t="s">
        <v>419</v>
      </c>
      <c r="J47" s="66" t="s">
        <v>420</v>
      </c>
      <c r="K47" s="70"/>
      <c r="L47" s="66" t="s">
        <v>572</v>
      </c>
      <c r="M47" s="64" t="s">
        <v>375</v>
      </c>
      <c r="N47" s="63"/>
      <c r="O47" s="63"/>
      <c r="P47" s="63"/>
      <c r="Q47" s="64" t="s">
        <v>131</v>
      </c>
      <c r="R47" s="59">
        <v>45145</v>
      </c>
      <c r="S47" s="170">
        <v>0.4375</v>
      </c>
      <c r="T47" s="60" t="s">
        <v>911</v>
      </c>
      <c r="U47" s="183" t="s">
        <v>1082</v>
      </c>
      <c r="V47" s="64" t="s">
        <v>647</v>
      </c>
      <c r="W47" s="23" t="str">
        <f t="shared" ca="1" si="31"/>
        <v>SI</v>
      </c>
      <c r="X47" s="23" t="str">
        <f t="shared" si="32"/>
        <v>DIANOSOL</v>
      </c>
      <c r="Y47" s="50" t="s">
        <v>991</v>
      </c>
      <c r="Z47" s="111" t="s">
        <v>1015</v>
      </c>
      <c r="AA47" s="111" t="str">
        <f>IF(Z47&lt;&gt;"",VLOOKUP($Z47,Resultados!$A$1:$B$49,2,FALSE),"")</f>
        <v>Recursos Denegados</v>
      </c>
      <c r="AB47" s="23" t="str">
        <f t="shared" ca="1" si="33"/>
        <v>OTRO</v>
      </c>
      <c r="AC47" s="10">
        <f t="shared" si="20"/>
        <v>7</v>
      </c>
      <c r="AD47" s="10">
        <f t="shared" si="21"/>
        <v>8</v>
      </c>
      <c r="AE47" s="10">
        <f t="shared" si="22"/>
        <v>2023</v>
      </c>
      <c r="AF47" s="1">
        <f t="shared" si="29"/>
        <v>10</v>
      </c>
      <c r="AG47" s="1" t="str">
        <f t="shared" si="30"/>
        <v xml:space="preserve"> </v>
      </c>
      <c r="AH47" s="1" t="str">
        <f t="shared" si="4"/>
        <v xml:space="preserve"> </v>
      </c>
      <c r="AI47" s="1" t="str">
        <f t="shared" si="5"/>
        <v xml:space="preserve"> </v>
      </c>
      <c r="AJ47" s="1" t="str">
        <f t="shared" si="6"/>
        <v xml:space="preserve"> </v>
      </c>
      <c r="AK47" s="1" t="str">
        <f t="shared" si="7"/>
        <v xml:space="preserve"> </v>
      </c>
      <c r="AL47" s="1" t="str">
        <f t="shared" si="8"/>
        <v xml:space="preserve"> </v>
      </c>
      <c r="AM47" s="1" t="str">
        <f t="shared" si="9"/>
        <v xml:space="preserve"> </v>
      </c>
      <c r="AN47" s="1" t="str">
        <f t="shared" si="10"/>
        <v xml:space="preserve"> </v>
      </c>
      <c r="AO47" s="1">
        <f t="shared" si="11"/>
        <v>10</v>
      </c>
      <c r="AP47" s="1" t="str">
        <f t="shared" si="12"/>
        <v xml:space="preserve"> </v>
      </c>
      <c r="AQ47" s="1" t="str">
        <f t="shared" si="13"/>
        <v xml:space="preserve"> </v>
      </c>
      <c r="AR47" s="1" t="str">
        <f t="shared" si="14"/>
        <v xml:space="preserve"> </v>
      </c>
      <c r="AS47" s="1" t="str">
        <f t="shared" si="15"/>
        <v xml:space="preserve"> </v>
      </c>
      <c r="AT47" s="1" t="str">
        <f t="shared" si="16"/>
        <v xml:space="preserve"> </v>
      </c>
      <c r="AU47" s="1" t="str">
        <f t="shared" si="17"/>
        <v xml:space="preserve"> </v>
      </c>
    </row>
    <row r="48" spans="1:47" ht="38.25" hidden="1">
      <c r="A48" s="61">
        <v>46</v>
      </c>
      <c r="B48" s="59">
        <v>45132</v>
      </c>
      <c r="C48" s="165">
        <v>0.45833333333333331</v>
      </c>
      <c r="D48" s="63" t="s">
        <v>229</v>
      </c>
      <c r="E48" s="64" t="s">
        <v>421</v>
      </c>
      <c r="F48" s="64" t="s">
        <v>422</v>
      </c>
      <c r="G48" s="65">
        <v>44565375</v>
      </c>
      <c r="H48" s="64" t="s">
        <v>423</v>
      </c>
      <c r="I48" s="66" t="s">
        <v>424</v>
      </c>
      <c r="J48" s="66" t="s">
        <v>425</v>
      </c>
      <c r="K48" s="67">
        <v>42916726</v>
      </c>
      <c r="L48" s="66" t="s">
        <v>426</v>
      </c>
      <c r="M48" s="64" t="s">
        <v>427</v>
      </c>
      <c r="N48" s="63"/>
      <c r="O48" s="63"/>
      <c r="P48" s="63"/>
      <c r="Q48" s="64" t="s">
        <v>132</v>
      </c>
      <c r="R48" s="59">
        <v>45138</v>
      </c>
      <c r="S48" s="170" t="s">
        <v>500</v>
      </c>
      <c r="T48" s="60" t="s">
        <v>907</v>
      </c>
      <c r="U48" s="184" t="s">
        <v>914</v>
      </c>
      <c r="V48" s="64" t="s">
        <v>665</v>
      </c>
      <c r="W48" s="23" t="str">
        <f t="shared" ca="1" si="31"/>
        <v>SI</v>
      </c>
      <c r="X48" s="23" t="str">
        <f t="shared" si="32"/>
        <v>DIANOSOL</v>
      </c>
      <c r="Y48" s="50" t="s">
        <v>991</v>
      </c>
      <c r="Z48" s="111" t="s">
        <v>1016</v>
      </c>
      <c r="AA48" s="111" t="str">
        <f>IF(Z48&lt;&gt;"",VLOOKUP($Z48,Resultados!$A$1:$B$49,2,FALSE),"")</f>
        <v>Recursos donde se hizo lugar</v>
      </c>
      <c r="AC48" s="10">
        <f t="shared" si="20"/>
        <v>31</v>
      </c>
      <c r="AD48" s="10">
        <f t="shared" si="21"/>
        <v>7</v>
      </c>
      <c r="AE48" s="10">
        <f t="shared" si="22"/>
        <v>2023</v>
      </c>
      <c r="AF48" s="1">
        <f t="shared" si="29"/>
        <v>5</v>
      </c>
      <c r="AG48" s="1" t="str">
        <f t="shared" si="30"/>
        <v xml:space="preserve"> </v>
      </c>
      <c r="AH48" s="1" t="str">
        <f t="shared" si="4"/>
        <v xml:space="preserve"> </v>
      </c>
      <c r="AI48" s="1" t="str">
        <f t="shared" si="5"/>
        <v xml:space="preserve"> </v>
      </c>
      <c r="AJ48" s="1" t="str">
        <f t="shared" si="6"/>
        <v xml:space="preserve"> </v>
      </c>
      <c r="AK48" s="1" t="str">
        <f t="shared" si="7"/>
        <v xml:space="preserve"> </v>
      </c>
      <c r="AL48" s="1" t="str">
        <f t="shared" si="8"/>
        <v xml:space="preserve"> </v>
      </c>
      <c r="AM48" s="1" t="str">
        <f t="shared" si="9"/>
        <v xml:space="preserve"> </v>
      </c>
      <c r="AN48" s="1">
        <f t="shared" si="10"/>
        <v>5</v>
      </c>
      <c r="AO48" s="1" t="str">
        <f t="shared" si="11"/>
        <v xml:space="preserve"> </v>
      </c>
      <c r="AP48" s="1" t="str">
        <f t="shared" si="12"/>
        <v xml:space="preserve"> </v>
      </c>
      <c r="AQ48" s="1" t="str">
        <f t="shared" si="13"/>
        <v xml:space="preserve"> </v>
      </c>
      <c r="AR48" s="1" t="str">
        <f t="shared" si="14"/>
        <v xml:space="preserve"> </v>
      </c>
      <c r="AS48" s="1" t="str">
        <f t="shared" si="15"/>
        <v xml:space="preserve"> </v>
      </c>
      <c r="AT48" s="1" t="str">
        <f t="shared" si="16"/>
        <v xml:space="preserve"> </v>
      </c>
      <c r="AU48" s="1" t="str">
        <f t="shared" si="17"/>
        <v xml:space="preserve"> </v>
      </c>
    </row>
    <row r="49" spans="1:47" ht="51" hidden="1">
      <c r="A49" s="61">
        <v>47</v>
      </c>
      <c r="B49" s="59">
        <v>45133</v>
      </c>
      <c r="C49" s="165">
        <v>0.33333333333333331</v>
      </c>
      <c r="D49" s="63" t="s">
        <v>432</v>
      </c>
      <c r="E49" s="64" t="s">
        <v>433</v>
      </c>
      <c r="F49" s="64" t="s">
        <v>434</v>
      </c>
      <c r="G49" s="65">
        <v>41984586</v>
      </c>
      <c r="H49" s="64" t="s">
        <v>435</v>
      </c>
      <c r="I49" s="66" t="s">
        <v>419</v>
      </c>
      <c r="J49" s="66" t="s">
        <v>436</v>
      </c>
      <c r="K49" s="70"/>
      <c r="L49" s="66" t="s">
        <v>507</v>
      </c>
      <c r="M49" s="64" t="s">
        <v>437</v>
      </c>
      <c r="N49" s="63"/>
      <c r="O49" s="64" t="s">
        <v>438</v>
      </c>
      <c r="P49" s="63"/>
      <c r="Q49" s="64" t="s">
        <v>440</v>
      </c>
      <c r="R49" s="59">
        <v>45140</v>
      </c>
      <c r="S49" s="170">
        <v>0.35416666666666669</v>
      </c>
      <c r="T49" s="60" t="s">
        <v>506</v>
      </c>
      <c r="U49" s="183" t="s">
        <v>1064</v>
      </c>
      <c r="V49" s="64" t="s">
        <v>665</v>
      </c>
      <c r="W49" s="23" t="str">
        <f t="shared" ca="1" si="31"/>
        <v>SI</v>
      </c>
      <c r="X49" s="23" t="str">
        <f t="shared" si="32"/>
        <v>DIANOSOL</v>
      </c>
      <c r="Y49" s="50" t="s">
        <v>991</v>
      </c>
      <c r="Z49" s="111" t="s">
        <v>1015</v>
      </c>
      <c r="AA49" s="111" t="str">
        <f>IF(Z49&lt;&gt;"",VLOOKUP($Z49,Resultados!$A$1:$B$49,2,FALSE),"")</f>
        <v>Recursos Denegados</v>
      </c>
      <c r="AB49" s="23" t="str">
        <f ca="1">IF(R49&gt;TODAY(),"FIJADA","OTRO")</f>
        <v>OTRO</v>
      </c>
      <c r="AC49" s="10">
        <f t="shared" si="20"/>
        <v>2</v>
      </c>
      <c r="AD49" s="10">
        <f t="shared" si="21"/>
        <v>8</v>
      </c>
      <c r="AE49" s="10">
        <f t="shared" si="22"/>
        <v>2023</v>
      </c>
      <c r="AF49" s="1">
        <f t="shared" si="29"/>
        <v>6</v>
      </c>
      <c r="AG49" s="1" t="str">
        <f t="shared" si="30"/>
        <v xml:space="preserve"> </v>
      </c>
      <c r="AH49" s="1" t="str">
        <f t="shared" si="4"/>
        <v xml:space="preserve"> </v>
      </c>
      <c r="AI49" s="1" t="str">
        <f t="shared" si="5"/>
        <v xml:space="preserve"> </v>
      </c>
      <c r="AJ49" s="1" t="str">
        <f t="shared" si="6"/>
        <v xml:space="preserve"> </v>
      </c>
      <c r="AK49" s="1" t="str">
        <f t="shared" si="7"/>
        <v xml:space="preserve"> </v>
      </c>
      <c r="AL49" s="1" t="str">
        <f t="shared" si="8"/>
        <v xml:space="preserve"> </v>
      </c>
      <c r="AM49" s="1" t="str">
        <f t="shared" si="9"/>
        <v xml:space="preserve"> </v>
      </c>
      <c r="AN49" s="1" t="str">
        <f t="shared" si="10"/>
        <v xml:space="preserve"> </v>
      </c>
      <c r="AO49" s="1">
        <f t="shared" si="11"/>
        <v>6</v>
      </c>
      <c r="AP49" s="1" t="str">
        <f t="shared" si="12"/>
        <v xml:space="preserve"> </v>
      </c>
      <c r="AQ49" s="1" t="str">
        <f t="shared" si="13"/>
        <v xml:space="preserve"> </v>
      </c>
      <c r="AR49" s="1" t="str">
        <f t="shared" si="14"/>
        <v xml:space="preserve"> </v>
      </c>
      <c r="AS49" s="1" t="str">
        <f t="shared" si="15"/>
        <v xml:space="preserve"> </v>
      </c>
      <c r="AT49" s="1" t="str">
        <f t="shared" si="16"/>
        <v xml:space="preserve"> </v>
      </c>
      <c r="AU49" s="1" t="str">
        <f t="shared" si="17"/>
        <v xml:space="preserve"> </v>
      </c>
    </row>
    <row r="50" spans="1:47" ht="76.5" hidden="1">
      <c r="A50" s="61">
        <v>48</v>
      </c>
      <c r="B50" s="59">
        <v>45133</v>
      </c>
      <c r="C50" s="165">
        <v>0.54166666666666663</v>
      </c>
      <c r="D50" s="63" t="s">
        <v>104</v>
      </c>
      <c r="E50" s="64" t="s">
        <v>445</v>
      </c>
      <c r="F50" s="64" t="s">
        <v>441</v>
      </c>
      <c r="G50" s="65">
        <v>12959004</v>
      </c>
      <c r="H50" s="64" t="s">
        <v>469</v>
      </c>
      <c r="I50" s="66" t="s">
        <v>467</v>
      </c>
      <c r="J50" s="66" t="s">
        <v>468</v>
      </c>
      <c r="K50" s="67">
        <v>14488542</v>
      </c>
      <c r="L50" s="66" t="s">
        <v>471</v>
      </c>
      <c r="M50" s="64" t="s">
        <v>470</v>
      </c>
      <c r="N50" s="63"/>
      <c r="O50" s="63"/>
      <c r="P50" s="63"/>
      <c r="Q50" s="64" t="s">
        <v>135</v>
      </c>
      <c r="R50" s="59">
        <v>45140</v>
      </c>
      <c r="S50" s="170">
        <v>0.5</v>
      </c>
      <c r="T50" s="60" t="s">
        <v>915</v>
      </c>
      <c r="U50" s="181"/>
      <c r="V50" s="64" t="s">
        <v>647</v>
      </c>
      <c r="W50" s="23" t="str">
        <f t="shared" ca="1" si="31"/>
        <v>SI</v>
      </c>
      <c r="X50" s="23" t="str">
        <f t="shared" si="32"/>
        <v>DIANOSOL</v>
      </c>
      <c r="Y50" s="50" t="s">
        <v>991</v>
      </c>
      <c r="Z50" s="111" t="s">
        <v>1039</v>
      </c>
      <c r="AA50" s="111" t="str">
        <f>IF(Z50&lt;&gt;"",VLOOKUP($Z50,Resultados!$A$1:$B$49,2,FALSE),"")</f>
        <v>Recursos Abstractos</v>
      </c>
      <c r="AC50" s="10">
        <f t="shared" si="20"/>
        <v>2</v>
      </c>
      <c r="AD50" s="10">
        <f t="shared" si="21"/>
        <v>8</v>
      </c>
      <c r="AE50" s="10">
        <f t="shared" si="22"/>
        <v>2023</v>
      </c>
      <c r="AF50" s="1">
        <f t="shared" si="29"/>
        <v>6</v>
      </c>
      <c r="AG50" s="1" t="str">
        <f t="shared" si="30"/>
        <v xml:space="preserve"> </v>
      </c>
      <c r="AH50" s="1" t="str">
        <f t="shared" si="4"/>
        <v xml:space="preserve"> </v>
      </c>
      <c r="AI50" s="1" t="str">
        <f t="shared" si="5"/>
        <v xml:space="preserve"> </v>
      </c>
      <c r="AJ50" s="1" t="str">
        <f t="shared" si="6"/>
        <v xml:space="preserve"> </v>
      </c>
      <c r="AK50" s="1" t="str">
        <f t="shared" si="7"/>
        <v xml:space="preserve"> </v>
      </c>
      <c r="AL50" s="1" t="str">
        <f t="shared" si="8"/>
        <v xml:space="preserve"> </v>
      </c>
      <c r="AM50" s="1" t="str">
        <f t="shared" si="9"/>
        <v xml:space="preserve"> </v>
      </c>
      <c r="AN50" s="1" t="str">
        <f t="shared" si="10"/>
        <v xml:space="preserve"> </v>
      </c>
      <c r="AO50" s="1">
        <f t="shared" si="11"/>
        <v>6</v>
      </c>
      <c r="AP50" s="1" t="str">
        <f t="shared" si="12"/>
        <v xml:space="preserve"> </v>
      </c>
      <c r="AQ50" s="1" t="str">
        <f t="shared" si="13"/>
        <v xml:space="preserve"> </v>
      </c>
      <c r="AR50" s="1" t="str">
        <f t="shared" si="14"/>
        <v xml:space="preserve"> </v>
      </c>
      <c r="AS50" s="1" t="str">
        <f t="shared" si="15"/>
        <v xml:space="preserve"> </v>
      </c>
      <c r="AT50" s="1" t="str">
        <f t="shared" si="16"/>
        <v xml:space="preserve"> </v>
      </c>
      <c r="AU50" s="1" t="str">
        <f t="shared" si="17"/>
        <v xml:space="preserve"> </v>
      </c>
    </row>
    <row r="51" spans="1:47" ht="114.75" hidden="1">
      <c r="A51" s="61">
        <v>49</v>
      </c>
      <c r="B51" s="59">
        <v>45133</v>
      </c>
      <c r="C51" s="165">
        <v>0.54166666666666663</v>
      </c>
      <c r="D51" s="63" t="s">
        <v>227</v>
      </c>
      <c r="E51" s="64" t="s">
        <v>444</v>
      </c>
      <c r="F51" s="64" t="s">
        <v>450</v>
      </c>
      <c r="G51" s="65">
        <v>36939827</v>
      </c>
      <c r="H51" s="64" t="s">
        <v>449</v>
      </c>
      <c r="I51" s="66" t="s">
        <v>446</v>
      </c>
      <c r="J51" s="66" t="s">
        <v>447</v>
      </c>
      <c r="K51" s="67">
        <v>30637537</v>
      </c>
      <c r="L51" s="66" t="s">
        <v>448</v>
      </c>
      <c r="M51" s="64" t="s">
        <v>531</v>
      </c>
      <c r="N51" s="64" t="s">
        <v>451</v>
      </c>
      <c r="O51" s="63"/>
      <c r="P51" s="63"/>
      <c r="Q51" s="64" t="s">
        <v>131</v>
      </c>
      <c r="R51" s="60">
        <v>45142</v>
      </c>
      <c r="S51" s="170">
        <v>0.35416666666666669</v>
      </c>
      <c r="T51" s="60" t="s">
        <v>926</v>
      </c>
      <c r="U51" s="183"/>
      <c r="V51" s="64" t="s">
        <v>666</v>
      </c>
      <c r="W51" s="23" t="str">
        <f t="shared" ca="1" si="31"/>
        <v>SI</v>
      </c>
      <c r="X51" s="23" t="str">
        <f t="shared" si="32"/>
        <v>DIANOSOL</v>
      </c>
      <c r="Y51" s="50" t="s">
        <v>991</v>
      </c>
      <c r="Z51" s="111" t="s">
        <v>1015</v>
      </c>
      <c r="AA51" s="111" t="str">
        <f>IF(Z51&lt;&gt;"",VLOOKUP($Z51,Resultados!$A$1:$B$49,2,FALSE),"")</f>
        <v>Recursos Denegados</v>
      </c>
      <c r="AB51" s="23" t="str">
        <f t="shared" ref="AB51:AB54" ca="1" si="34">IF(R51&gt;TODAY(),"FIJADA","OTRO")</f>
        <v>OTRO</v>
      </c>
      <c r="AC51" s="10">
        <f t="shared" si="20"/>
        <v>4</v>
      </c>
      <c r="AD51" s="10">
        <f t="shared" si="21"/>
        <v>8</v>
      </c>
      <c r="AE51" s="10">
        <f t="shared" si="22"/>
        <v>2023</v>
      </c>
      <c r="AF51" s="1">
        <f t="shared" si="29"/>
        <v>8</v>
      </c>
      <c r="AG51" s="1" t="str">
        <f t="shared" si="30"/>
        <v xml:space="preserve"> </v>
      </c>
      <c r="AH51" s="1" t="str">
        <f t="shared" si="4"/>
        <v xml:space="preserve"> </v>
      </c>
      <c r="AI51" s="1" t="str">
        <f t="shared" si="5"/>
        <v xml:space="preserve"> </v>
      </c>
      <c r="AJ51" s="1" t="str">
        <f t="shared" si="6"/>
        <v xml:space="preserve"> </v>
      </c>
      <c r="AK51" s="1" t="str">
        <f t="shared" si="7"/>
        <v xml:space="preserve"> </v>
      </c>
      <c r="AL51" s="1" t="str">
        <f t="shared" si="8"/>
        <v xml:space="preserve"> </v>
      </c>
      <c r="AM51" s="1" t="str">
        <f t="shared" si="9"/>
        <v xml:space="preserve"> </v>
      </c>
      <c r="AN51" s="1" t="str">
        <f t="shared" si="10"/>
        <v xml:space="preserve"> </v>
      </c>
      <c r="AO51" s="1">
        <f t="shared" si="11"/>
        <v>8</v>
      </c>
      <c r="AP51" s="1" t="str">
        <f t="shared" si="12"/>
        <v xml:space="preserve"> </v>
      </c>
      <c r="AQ51" s="1" t="str">
        <f t="shared" si="13"/>
        <v xml:space="preserve"> </v>
      </c>
      <c r="AR51" s="1" t="str">
        <f t="shared" si="14"/>
        <v xml:space="preserve"> </v>
      </c>
      <c r="AS51" s="1" t="str">
        <f t="shared" si="15"/>
        <v xml:space="preserve"> </v>
      </c>
      <c r="AT51" s="1" t="str">
        <f t="shared" si="16"/>
        <v xml:space="preserve"> </v>
      </c>
      <c r="AU51" s="1" t="str">
        <f t="shared" si="17"/>
        <v xml:space="preserve"> </v>
      </c>
    </row>
    <row r="52" spans="1:47" ht="38.25" hidden="1">
      <c r="A52" s="61">
        <v>50</v>
      </c>
      <c r="B52" s="59">
        <v>45134</v>
      </c>
      <c r="C52" s="165">
        <v>0.41666666666666669</v>
      </c>
      <c r="D52" s="63" t="s">
        <v>229</v>
      </c>
      <c r="E52" s="64" t="s">
        <v>453</v>
      </c>
      <c r="F52" s="64" t="s">
        <v>459</v>
      </c>
      <c r="G52" s="65">
        <v>30235295</v>
      </c>
      <c r="H52" s="64" t="s">
        <v>454</v>
      </c>
      <c r="I52" s="66" t="s">
        <v>455</v>
      </c>
      <c r="J52" s="66" t="s">
        <v>456</v>
      </c>
      <c r="K52" s="67">
        <v>39781915</v>
      </c>
      <c r="L52" s="66" t="s">
        <v>457</v>
      </c>
      <c r="M52" s="64" t="s">
        <v>458</v>
      </c>
      <c r="N52" s="63"/>
      <c r="O52" s="63"/>
      <c r="P52" s="63"/>
      <c r="Q52" s="64" t="s">
        <v>132</v>
      </c>
      <c r="R52" s="59">
        <v>45141</v>
      </c>
      <c r="S52" s="170">
        <v>0.39583333333333331</v>
      </c>
      <c r="T52" s="60" t="s">
        <v>306</v>
      </c>
      <c r="U52" s="183"/>
      <c r="V52" s="64" t="s">
        <v>665</v>
      </c>
      <c r="W52" s="23" t="str">
        <f t="shared" ca="1" si="31"/>
        <v>SI</v>
      </c>
      <c r="X52" s="23" t="str">
        <f t="shared" si="32"/>
        <v>DIANOSOL</v>
      </c>
      <c r="Y52" s="50" t="s">
        <v>991</v>
      </c>
      <c r="Z52" s="111" t="s">
        <v>1015</v>
      </c>
      <c r="AA52" s="111" t="str">
        <f>IF(Z52&lt;&gt;"",VLOOKUP($Z52,Resultados!$A$1:$B$49,2,FALSE),"")</f>
        <v>Recursos Denegados</v>
      </c>
      <c r="AB52" s="23" t="str">
        <f t="shared" ca="1" si="34"/>
        <v>OTRO</v>
      </c>
      <c r="AC52" s="10">
        <f t="shared" si="20"/>
        <v>3</v>
      </c>
      <c r="AD52" s="10">
        <f t="shared" si="21"/>
        <v>8</v>
      </c>
      <c r="AE52" s="10">
        <f t="shared" si="22"/>
        <v>2023</v>
      </c>
      <c r="AF52" s="1">
        <f t="shared" si="29"/>
        <v>6</v>
      </c>
      <c r="AG52" s="1" t="str">
        <f t="shared" si="30"/>
        <v xml:space="preserve"> </v>
      </c>
      <c r="AH52" s="1" t="str">
        <f t="shared" si="4"/>
        <v xml:space="preserve"> </v>
      </c>
      <c r="AI52" s="1" t="str">
        <f t="shared" si="5"/>
        <v xml:space="preserve"> </v>
      </c>
      <c r="AJ52" s="1" t="str">
        <f t="shared" si="6"/>
        <v xml:space="preserve"> </v>
      </c>
      <c r="AK52" s="1" t="str">
        <f t="shared" si="7"/>
        <v xml:space="preserve"> </v>
      </c>
      <c r="AL52" s="1" t="str">
        <f t="shared" si="8"/>
        <v xml:space="preserve"> </v>
      </c>
      <c r="AM52" s="1" t="str">
        <f t="shared" si="9"/>
        <v xml:space="preserve"> </v>
      </c>
      <c r="AN52" s="1" t="str">
        <f t="shared" si="10"/>
        <v xml:space="preserve"> </v>
      </c>
      <c r="AO52" s="1">
        <f t="shared" si="11"/>
        <v>6</v>
      </c>
      <c r="AP52" s="1" t="str">
        <f t="shared" si="12"/>
        <v xml:space="preserve"> </v>
      </c>
      <c r="AQ52" s="1" t="str">
        <f t="shared" si="13"/>
        <v xml:space="preserve"> </v>
      </c>
      <c r="AR52" s="1" t="str">
        <f t="shared" si="14"/>
        <v xml:space="preserve"> </v>
      </c>
      <c r="AS52" s="1" t="str">
        <f t="shared" si="15"/>
        <v xml:space="preserve"> </v>
      </c>
      <c r="AT52" s="1" t="str">
        <f t="shared" si="16"/>
        <v xml:space="preserve"> </v>
      </c>
      <c r="AU52" s="1" t="str">
        <f t="shared" si="17"/>
        <v xml:space="preserve"> </v>
      </c>
    </row>
    <row r="53" spans="1:47" ht="38.25" hidden="1">
      <c r="A53" s="61">
        <v>51</v>
      </c>
      <c r="B53" s="59">
        <v>45134</v>
      </c>
      <c r="C53" s="165">
        <v>0.45833333333333331</v>
      </c>
      <c r="D53" s="63" t="s">
        <v>104</v>
      </c>
      <c r="E53" s="64" t="s">
        <v>463</v>
      </c>
      <c r="F53" s="64" t="s">
        <v>464</v>
      </c>
      <c r="G53" s="65">
        <v>14276165</v>
      </c>
      <c r="H53" s="63"/>
      <c r="I53" s="66" t="s">
        <v>465</v>
      </c>
      <c r="J53" s="70"/>
      <c r="K53" s="70"/>
      <c r="L53" s="70"/>
      <c r="M53" s="64" t="s">
        <v>466</v>
      </c>
      <c r="N53" s="63"/>
      <c r="O53" s="63"/>
      <c r="P53" s="63"/>
      <c r="Q53" s="64" t="s">
        <v>131</v>
      </c>
      <c r="R53" s="59">
        <v>45142</v>
      </c>
      <c r="S53" s="170">
        <v>0.39583333333333331</v>
      </c>
      <c r="T53" s="60" t="s">
        <v>428</v>
      </c>
      <c r="U53" s="183" t="s">
        <v>1098</v>
      </c>
      <c r="V53" s="50" t="s">
        <v>748</v>
      </c>
      <c r="W53" s="23" t="str">
        <f t="shared" ca="1" si="31"/>
        <v>SI</v>
      </c>
      <c r="X53" s="23" t="str">
        <f t="shared" si="32"/>
        <v>DIANOSOL</v>
      </c>
      <c r="Y53" s="50" t="s">
        <v>991</v>
      </c>
      <c r="Z53" s="111" t="s">
        <v>1015</v>
      </c>
      <c r="AA53" s="111" t="str">
        <f>IF(Z53&lt;&gt;"",VLOOKUP($Z53,Resultados!$A$1:$B$49,2,FALSE),"")</f>
        <v>Recursos Denegados</v>
      </c>
      <c r="AB53" s="23" t="str">
        <f t="shared" ca="1" si="34"/>
        <v>OTRO</v>
      </c>
      <c r="AC53" s="10">
        <f t="shared" si="20"/>
        <v>4</v>
      </c>
      <c r="AD53" s="10">
        <f t="shared" si="21"/>
        <v>8</v>
      </c>
      <c r="AE53" s="10">
        <f t="shared" si="22"/>
        <v>2023</v>
      </c>
      <c r="AF53" s="1">
        <f t="shared" si="29"/>
        <v>7</v>
      </c>
      <c r="AG53" s="1" t="str">
        <f t="shared" si="30"/>
        <v xml:space="preserve"> </v>
      </c>
      <c r="AH53" s="1" t="str">
        <f t="shared" si="4"/>
        <v xml:space="preserve"> </v>
      </c>
      <c r="AI53" s="1" t="str">
        <f t="shared" si="5"/>
        <v xml:space="preserve"> </v>
      </c>
      <c r="AJ53" s="1" t="str">
        <f t="shared" si="6"/>
        <v xml:space="preserve"> </v>
      </c>
      <c r="AK53" s="1" t="str">
        <f t="shared" si="7"/>
        <v xml:space="preserve"> </v>
      </c>
      <c r="AL53" s="1" t="str">
        <f t="shared" si="8"/>
        <v xml:space="preserve"> </v>
      </c>
      <c r="AM53" s="1" t="str">
        <f t="shared" si="9"/>
        <v xml:space="preserve"> </v>
      </c>
      <c r="AN53" s="1" t="str">
        <f t="shared" si="10"/>
        <v xml:space="preserve"> </v>
      </c>
      <c r="AO53" s="1">
        <f t="shared" si="11"/>
        <v>7</v>
      </c>
      <c r="AP53" s="1" t="str">
        <f t="shared" si="12"/>
        <v xml:space="preserve"> </v>
      </c>
      <c r="AQ53" s="1" t="str">
        <f t="shared" si="13"/>
        <v xml:space="preserve"> </v>
      </c>
      <c r="AR53" s="1" t="str">
        <f t="shared" si="14"/>
        <v xml:space="preserve"> </v>
      </c>
      <c r="AS53" s="1" t="str">
        <f t="shared" si="15"/>
        <v xml:space="preserve"> </v>
      </c>
      <c r="AT53" s="1" t="str">
        <f t="shared" si="16"/>
        <v xml:space="preserve"> </v>
      </c>
      <c r="AU53" s="1" t="str">
        <f t="shared" si="17"/>
        <v xml:space="preserve"> </v>
      </c>
    </row>
    <row r="54" spans="1:47" ht="38.25" hidden="1">
      <c r="A54" s="61">
        <v>52</v>
      </c>
      <c r="B54" s="59">
        <v>45134</v>
      </c>
      <c r="C54" s="165">
        <v>0.5</v>
      </c>
      <c r="D54" s="63" t="s">
        <v>106</v>
      </c>
      <c r="E54" s="64" t="s">
        <v>472</v>
      </c>
      <c r="F54" s="64" t="s">
        <v>473</v>
      </c>
      <c r="G54" s="65">
        <v>12726711</v>
      </c>
      <c r="H54" s="64" t="s">
        <v>475</v>
      </c>
      <c r="I54" s="66" t="s">
        <v>474</v>
      </c>
      <c r="J54" s="66" t="s">
        <v>476</v>
      </c>
      <c r="K54" s="70"/>
      <c r="L54" s="70"/>
      <c r="M54" s="64" t="s">
        <v>458</v>
      </c>
      <c r="N54" s="63"/>
      <c r="O54" s="63"/>
      <c r="P54" s="63"/>
      <c r="Q54" s="64" t="s">
        <v>132</v>
      </c>
      <c r="R54" s="59">
        <v>45140</v>
      </c>
      <c r="S54" s="170">
        <v>0.45833333333333331</v>
      </c>
      <c r="T54" s="60" t="s">
        <v>503</v>
      </c>
      <c r="U54" s="183"/>
      <c r="V54" s="64" t="s">
        <v>699</v>
      </c>
      <c r="W54" s="23" t="str">
        <f t="shared" ca="1" si="31"/>
        <v>SI</v>
      </c>
      <c r="X54" s="23" t="str">
        <f t="shared" si="32"/>
        <v>DIANOSOL</v>
      </c>
      <c r="Y54" s="50" t="s">
        <v>991</v>
      </c>
      <c r="Z54" s="111" t="s">
        <v>1015</v>
      </c>
      <c r="AA54" s="111" t="str">
        <f>IF(Z54&lt;&gt;"",VLOOKUP($Z54,Resultados!$A$1:$B$49,2,FALSE),"")</f>
        <v>Recursos Denegados</v>
      </c>
      <c r="AB54" s="23" t="str">
        <f t="shared" ca="1" si="34"/>
        <v>OTRO</v>
      </c>
      <c r="AC54" s="10">
        <f t="shared" si="20"/>
        <v>2</v>
      </c>
      <c r="AD54" s="10">
        <f t="shared" si="21"/>
        <v>8</v>
      </c>
      <c r="AE54" s="10">
        <f t="shared" si="22"/>
        <v>2023</v>
      </c>
      <c r="AF54" s="1">
        <f t="shared" si="29"/>
        <v>5</v>
      </c>
      <c r="AG54" s="1" t="str">
        <f t="shared" si="30"/>
        <v xml:space="preserve"> </v>
      </c>
      <c r="AH54" s="1" t="str">
        <f t="shared" si="4"/>
        <v xml:space="preserve"> </v>
      </c>
      <c r="AI54" s="1" t="str">
        <f t="shared" si="5"/>
        <v xml:space="preserve"> </v>
      </c>
      <c r="AJ54" s="1" t="str">
        <f t="shared" si="6"/>
        <v xml:space="preserve"> </v>
      </c>
      <c r="AK54" s="1" t="str">
        <f t="shared" si="7"/>
        <v xml:space="preserve"> </v>
      </c>
      <c r="AL54" s="1" t="str">
        <f t="shared" si="8"/>
        <v xml:space="preserve"> </v>
      </c>
      <c r="AM54" s="1" t="str">
        <f t="shared" si="9"/>
        <v xml:space="preserve"> </v>
      </c>
      <c r="AN54" s="1" t="str">
        <f t="shared" si="10"/>
        <v xml:space="preserve"> </v>
      </c>
      <c r="AO54" s="1">
        <f t="shared" si="11"/>
        <v>5</v>
      </c>
      <c r="AP54" s="1" t="str">
        <f t="shared" si="12"/>
        <v xml:space="preserve"> </v>
      </c>
      <c r="AQ54" s="1" t="str">
        <f t="shared" si="13"/>
        <v xml:space="preserve"> </v>
      </c>
      <c r="AR54" s="1" t="str">
        <f t="shared" si="14"/>
        <v xml:space="preserve"> </v>
      </c>
      <c r="AS54" s="1" t="str">
        <f t="shared" si="15"/>
        <v xml:space="preserve"> </v>
      </c>
      <c r="AT54" s="1" t="str">
        <f t="shared" si="16"/>
        <v xml:space="preserve"> </v>
      </c>
      <c r="AU54" s="1" t="str">
        <f t="shared" si="17"/>
        <v xml:space="preserve"> </v>
      </c>
    </row>
    <row r="55" spans="1:47" ht="76.5" hidden="1">
      <c r="A55" s="61">
        <v>53</v>
      </c>
      <c r="B55" s="59">
        <v>45134</v>
      </c>
      <c r="C55" s="165">
        <v>0.5</v>
      </c>
      <c r="D55" s="63" t="s">
        <v>105</v>
      </c>
      <c r="E55" s="64" t="s">
        <v>477</v>
      </c>
      <c r="F55" s="64" t="s">
        <v>483</v>
      </c>
      <c r="G55" s="65">
        <v>36337610</v>
      </c>
      <c r="H55" s="64" t="s">
        <v>479</v>
      </c>
      <c r="I55" s="66" t="s">
        <v>478</v>
      </c>
      <c r="J55" s="66" t="s">
        <v>480</v>
      </c>
      <c r="K55" s="70"/>
      <c r="L55" s="66" t="s">
        <v>481</v>
      </c>
      <c r="M55" s="64" t="s">
        <v>482</v>
      </c>
      <c r="N55" s="63"/>
      <c r="O55" s="64" t="s">
        <v>573</v>
      </c>
      <c r="P55" s="63"/>
      <c r="Q55" s="64" t="s">
        <v>502</v>
      </c>
      <c r="R55" s="59">
        <v>45147</v>
      </c>
      <c r="S55" s="170">
        <v>0.39583333333333331</v>
      </c>
      <c r="T55" s="60" t="s">
        <v>935</v>
      </c>
      <c r="U55" s="182"/>
      <c r="V55" s="6" t="s">
        <v>699</v>
      </c>
      <c r="W55" s="23" t="str">
        <f t="shared" ca="1" si="31"/>
        <v>SI</v>
      </c>
      <c r="X55" s="23" t="str">
        <f t="shared" si="32"/>
        <v>DIANOSOL</v>
      </c>
      <c r="Y55" s="50" t="s">
        <v>991</v>
      </c>
      <c r="Z55" s="111" t="s">
        <v>1022</v>
      </c>
      <c r="AA55" s="111" t="str">
        <f>IF(Z55&lt;&gt;"",VLOOKUP($Z55,Resultados!$A$1:$B$49,2,FALSE),"")</f>
        <v>Recursos donde se hizo lugar</v>
      </c>
      <c r="AC55" s="10">
        <f t="shared" si="20"/>
        <v>9</v>
      </c>
      <c r="AD55" s="10">
        <f t="shared" si="21"/>
        <v>8</v>
      </c>
      <c r="AE55" s="10">
        <f t="shared" si="22"/>
        <v>2023</v>
      </c>
      <c r="AF55" s="1">
        <f t="shared" si="29"/>
        <v>10</v>
      </c>
      <c r="AG55" s="1" t="str">
        <f t="shared" si="30"/>
        <v xml:space="preserve"> </v>
      </c>
      <c r="AH55" s="1" t="str">
        <f t="shared" si="4"/>
        <v xml:space="preserve"> </v>
      </c>
      <c r="AI55" s="1" t="str">
        <f t="shared" si="5"/>
        <v xml:space="preserve"> </v>
      </c>
      <c r="AJ55" s="1" t="str">
        <f t="shared" si="6"/>
        <v xml:space="preserve"> </v>
      </c>
      <c r="AK55" s="1" t="str">
        <f t="shared" si="7"/>
        <v xml:space="preserve"> </v>
      </c>
      <c r="AL55" s="1" t="str">
        <f t="shared" si="8"/>
        <v xml:space="preserve"> </v>
      </c>
      <c r="AM55" s="1" t="str">
        <f t="shared" si="9"/>
        <v xml:space="preserve"> </v>
      </c>
      <c r="AN55" s="1" t="str">
        <f t="shared" si="10"/>
        <v xml:space="preserve"> </v>
      </c>
      <c r="AO55" s="1">
        <f t="shared" si="11"/>
        <v>10</v>
      </c>
      <c r="AP55" s="1" t="str">
        <f t="shared" si="12"/>
        <v xml:space="preserve"> </v>
      </c>
      <c r="AQ55" s="1" t="str">
        <f t="shared" si="13"/>
        <v xml:space="preserve"> </v>
      </c>
      <c r="AR55" s="1" t="str">
        <f t="shared" si="14"/>
        <v xml:space="preserve"> </v>
      </c>
      <c r="AS55" s="1" t="str">
        <f t="shared" si="15"/>
        <v xml:space="preserve"> </v>
      </c>
      <c r="AT55" s="1" t="str">
        <f t="shared" si="16"/>
        <v xml:space="preserve"> </v>
      </c>
      <c r="AU55" s="1" t="str">
        <f t="shared" si="17"/>
        <v xml:space="preserve"> </v>
      </c>
    </row>
    <row r="56" spans="1:47" ht="38.25" hidden="1">
      <c r="A56" s="61">
        <v>54</v>
      </c>
      <c r="B56" s="59">
        <v>45134</v>
      </c>
      <c r="C56" s="165">
        <v>0.54166666666666663</v>
      </c>
      <c r="D56" s="63" t="s">
        <v>228</v>
      </c>
      <c r="E56" s="64" t="s">
        <v>484</v>
      </c>
      <c r="F56" s="64" t="s">
        <v>485</v>
      </c>
      <c r="G56" s="65">
        <v>23749907</v>
      </c>
      <c r="H56" s="64" t="s">
        <v>486</v>
      </c>
      <c r="I56" s="66" t="s">
        <v>419</v>
      </c>
      <c r="J56" s="66" t="s">
        <v>487</v>
      </c>
      <c r="K56" s="66" t="s">
        <v>488</v>
      </c>
      <c r="L56" s="66" t="s">
        <v>489</v>
      </c>
      <c r="M56" s="64" t="s">
        <v>490</v>
      </c>
      <c r="N56" s="64" t="s">
        <v>491</v>
      </c>
      <c r="O56" s="63"/>
      <c r="P56" s="63"/>
      <c r="Q56" s="64" t="s">
        <v>131</v>
      </c>
      <c r="R56" s="59">
        <v>45147</v>
      </c>
      <c r="S56" s="170">
        <v>0.4375</v>
      </c>
      <c r="T56" s="60" t="s">
        <v>881</v>
      </c>
      <c r="U56" s="183" t="s">
        <v>916</v>
      </c>
      <c r="V56" s="5">
        <v>24082023</v>
      </c>
      <c r="W56" s="23" t="str">
        <f t="shared" ca="1" si="31"/>
        <v>SI</v>
      </c>
      <c r="X56" s="23" t="str">
        <f t="shared" si="32"/>
        <v>DIANOSOL</v>
      </c>
      <c r="Y56" s="50" t="s">
        <v>991</v>
      </c>
      <c r="Z56" s="111" t="s">
        <v>1015</v>
      </c>
      <c r="AA56" s="111" t="str">
        <f>IF(Z56&lt;&gt;"",VLOOKUP($Z56,Resultados!$A$1:$B$49,2,FALSE),"")</f>
        <v>Recursos Denegados</v>
      </c>
      <c r="AB56" s="23" t="str">
        <f t="shared" ref="AB56:AB63" ca="1" si="35">IF(R56&gt;TODAY(),"FIJADA","OTRO")</f>
        <v>OTRO</v>
      </c>
      <c r="AC56" s="10">
        <f t="shared" si="20"/>
        <v>9</v>
      </c>
      <c r="AD56" s="10">
        <f t="shared" si="21"/>
        <v>8</v>
      </c>
      <c r="AE56" s="10">
        <f t="shared" si="22"/>
        <v>2023</v>
      </c>
      <c r="AF56" s="1">
        <f t="shared" si="29"/>
        <v>10</v>
      </c>
      <c r="AG56" s="1" t="str">
        <f t="shared" si="30"/>
        <v xml:space="preserve"> </v>
      </c>
      <c r="AH56" s="1" t="str">
        <f t="shared" si="4"/>
        <v xml:space="preserve"> </v>
      </c>
      <c r="AI56" s="1" t="str">
        <f t="shared" si="5"/>
        <v xml:space="preserve"> </v>
      </c>
      <c r="AJ56" s="1" t="str">
        <f t="shared" si="6"/>
        <v xml:space="preserve"> </v>
      </c>
      <c r="AK56" s="1" t="str">
        <f t="shared" si="7"/>
        <v xml:space="preserve"> </v>
      </c>
      <c r="AL56" s="1" t="str">
        <f t="shared" si="8"/>
        <v xml:space="preserve"> </v>
      </c>
      <c r="AM56" s="1" t="str">
        <f t="shared" si="9"/>
        <v xml:space="preserve"> </v>
      </c>
      <c r="AN56" s="1" t="str">
        <f t="shared" si="10"/>
        <v xml:space="preserve"> </v>
      </c>
      <c r="AO56" s="1">
        <f t="shared" si="11"/>
        <v>10</v>
      </c>
      <c r="AP56" s="1" t="str">
        <f t="shared" si="12"/>
        <v xml:space="preserve"> </v>
      </c>
      <c r="AQ56" s="1" t="str">
        <f t="shared" si="13"/>
        <v xml:space="preserve"> </v>
      </c>
      <c r="AR56" s="1" t="str">
        <f t="shared" si="14"/>
        <v xml:space="preserve"> </v>
      </c>
      <c r="AS56" s="1" t="str">
        <f t="shared" si="15"/>
        <v xml:space="preserve"> </v>
      </c>
      <c r="AT56" s="1" t="str">
        <f t="shared" si="16"/>
        <v xml:space="preserve"> </v>
      </c>
      <c r="AU56" s="1" t="str">
        <f t="shared" si="17"/>
        <v xml:space="preserve"> </v>
      </c>
    </row>
    <row r="57" spans="1:47" ht="38.25" hidden="1">
      <c r="A57" s="61">
        <v>55</v>
      </c>
      <c r="B57" s="59">
        <v>45138</v>
      </c>
      <c r="C57" s="165">
        <v>0.41666666666666669</v>
      </c>
      <c r="D57" s="63" t="s">
        <v>228</v>
      </c>
      <c r="E57" s="64" t="s">
        <v>494</v>
      </c>
      <c r="F57" s="64" t="s">
        <v>495</v>
      </c>
      <c r="G57" s="65">
        <v>31948220</v>
      </c>
      <c r="H57" s="64" t="s">
        <v>496</v>
      </c>
      <c r="I57" s="66" t="s">
        <v>474</v>
      </c>
      <c r="J57" s="66" t="s">
        <v>497</v>
      </c>
      <c r="K57" s="67">
        <v>10493616</v>
      </c>
      <c r="L57" s="66" t="s">
        <v>498</v>
      </c>
      <c r="M57" s="64" t="s">
        <v>458</v>
      </c>
      <c r="N57" s="63"/>
      <c r="O57" s="63"/>
      <c r="P57" s="63"/>
      <c r="Q57" s="64" t="s">
        <v>499</v>
      </c>
      <c r="R57" s="59">
        <v>45148</v>
      </c>
      <c r="S57" s="170">
        <v>0.41666666666666669</v>
      </c>
      <c r="T57" s="60" t="s">
        <v>936</v>
      </c>
      <c r="U57" s="181" t="s">
        <v>1076</v>
      </c>
      <c r="V57" s="6" t="s">
        <v>699</v>
      </c>
      <c r="W57" s="23" t="str">
        <f t="shared" ca="1" si="31"/>
        <v>SI</v>
      </c>
      <c r="X57" s="23" t="str">
        <f t="shared" si="32"/>
        <v>DIANOSOL</v>
      </c>
      <c r="Y57" s="50" t="s">
        <v>991</v>
      </c>
      <c r="Z57" s="111" t="s">
        <v>1015</v>
      </c>
      <c r="AA57" s="111" t="str">
        <f>IF(Z57&lt;&gt;"",VLOOKUP($Z57,Resultados!$A$1:$B$49,2,FALSE),"")</f>
        <v>Recursos Denegados</v>
      </c>
      <c r="AB57" s="23" t="str">
        <f t="shared" ca="1" si="35"/>
        <v>OTRO</v>
      </c>
      <c r="AC57" s="10">
        <f t="shared" si="20"/>
        <v>10</v>
      </c>
      <c r="AD57" s="10">
        <f t="shared" si="21"/>
        <v>8</v>
      </c>
      <c r="AE57" s="10">
        <f t="shared" si="22"/>
        <v>2023</v>
      </c>
      <c r="AF57" s="1">
        <f t="shared" si="29"/>
        <v>9</v>
      </c>
      <c r="AG57" s="1" t="str">
        <f t="shared" si="30"/>
        <v xml:space="preserve"> </v>
      </c>
      <c r="AH57" s="1" t="str">
        <f t="shared" si="4"/>
        <v xml:space="preserve"> </v>
      </c>
      <c r="AI57" s="1" t="str">
        <f t="shared" si="5"/>
        <v xml:space="preserve"> </v>
      </c>
      <c r="AJ57" s="1" t="str">
        <f t="shared" si="6"/>
        <v xml:space="preserve"> </v>
      </c>
      <c r="AK57" s="1" t="str">
        <f t="shared" si="7"/>
        <v xml:space="preserve"> </v>
      </c>
      <c r="AL57" s="1" t="str">
        <f t="shared" si="8"/>
        <v xml:space="preserve"> </v>
      </c>
      <c r="AM57" s="1" t="str">
        <f t="shared" si="9"/>
        <v xml:space="preserve"> </v>
      </c>
      <c r="AN57" s="1" t="str">
        <f t="shared" si="10"/>
        <v xml:space="preserve"> </v>
      </c>
      <c r="AO57" s="1">
        <f t="shared" si="11"/>
        <v>9</v>
      </c>
      <c r="AP57" s="1" t="str">
        <f t="shared" si="12"/>
        <v xml:space="preserve"> </v>
      </c>
      <c r="AQ57" s="1" t="str">
        <f t="shared" si="13"/>
        <v xml:space="preserve"> </v>
      </c>
      <c r="AR57" s="1" t="str">
        <f t="shared" si="14"/>
        <v xml:space="preserve"> </v>
      </c>
      <c r="AS57" s="1" t="str">
        <f t="shared" si="15"/>
        <v xml:space="preserve"> </v>
      </c>
      <c r="AT57" s="1" t="str">
        <f t="shared" si="16"/>
        <v xml:space="preserve"> </v>
      </c>
      <c r="AU57" s="1" t="str">
        <f t="shared" si="17"/>
        <v xml:space="preserve"> </v>
      </c>
    </row>
    <row r="58" spans="1:47" ht="63.75" hidden="1">
      <c r="A58" s="61">
        <v>56</v>
      </c>
      <c r="B58" s="59">
        <v>45139</v>
      </c>
      <c r="C58" s="165">
        <v>0.5</v>
      </c>
      <c r="D58" s="63" t="s">
        <v>226</v>
      </c>
      <c r="E58" s="64" t="s">
        <v>1097</v>
      </c>
      <c r="F58" s="64" t="s">
        <v>563</v>
      </c>
      <c r="G58" s="65">
        <v>32165072</v>
      </c>
      <c r="H58" s="64" t="s">
        <v>566</v>
      </c>
      <c r="I58" s="66" t="s">
        <v>565</v>
      </c>
      <c r="J58" s="70"/>
      <c r="K58" s="70"/>
      <c r="L58" s="70"/>
      <c r="M58" s="64" t="s">
        <v>568</v>
      </c>
      <c r="N58" s="64" t="s">
        <v>607</v>
      </c>
      <c r="O58" s="64" t="s">
        <v>569</v>
      </c>
      <c r="P58" s="63"/>
      <c r="Q58" s="64" t="s">
        <v>571</v>
      </c>
      <c r="R58" s="59">
        <v>45153</v>
      </c>
      <c r="S58" s="170">
        <v>0.39583333333333331</v>
      </c>
      <c r="T58" s="60" t="s">
        <v>936</v>
      </c>
      <c r="U58" s="183"/>
      <c r="V58" s="64" t="s">
        <v>732</v>
      </c>
      <c r="W58" s="23" t="str">
        <f t="shared" ca="1" si="31"/>
        <v>SI</v>
      </c>
      <c r="X58" s="23" t="str">
        <f t="shared" si="32"/>
        <v>DIANOSOL</v>
      </c>
      <c r="Y58" s="50" t="s">
        <v>991</v>
      </c>
      <c r="Z58" s="111" t="s">
        <v>1015</v>
      </c>
      <c r="AA58" s="111" t="str">
        <f>IF(Z58&lt;&gt;"",VLOOKUP($Z58,Resultados!$A$1:$B$49,2,FALSE),"")</f>
        <v>Recursos Denegados</v>
      </c>
      <c r="AB58" s="23" t="str">
        <f t="shared" ca="1" si="35"/>
        <v>OTRO</v>
      </c>
      <c r="AC58" s="10">
        <f t="shared" si="20"/>
        <v>15</v>
      </c>
      <c r="AD58" s="10">
        <f t="shared" si="21"/>
        <v>8</v>
      </c>
      <c r="AE58" s="10">
        <f t="shared" si="22"/>
        <v>2023</v>
      </c>
      <c r="AF58" s="1">
        <f t="shared" si="29"/>
        <v>11</v>
      </c>
      <c r="AG58" s="1" t="str">
        <f t="shared" si="30"/>
        <v xml:space="preserve"> </v>
      </c>
      <c r="AH58" s="1" t="str">
        <f t="shared" si="4"/>
        <v xml:space="preserve"> </v>
      </c>
      <c r="AI58" s="1" t="str">
        <f t="shared" si="5"/>
        <v xml:space="preserve"> </v>
      </c>
      <c r="AJ58" s="1" t="str">
        <f t="shared" si="6"/>
        <v xml:space="preserve"> </v>
      </c>
      <c r="AK58" s="1" t="str">
        <f t="shared" si="7"/>
        <v xml:space="preserve"> </v>
      </c>
      <c r="AL58" s="1" t="str">
        <f t="shared" si="8"/>
        <v xml:space="preserve"> </v>
      </c>
      <c r="AM58" s="1" t="str">
        <f t="shared" si="9"/>
        <v xml:space="preserve"> </v>
      </c>
      <c r="AN58" s="1" t="str">
        <f t="shared" si="10"/>
        <v xml:space="preserve"> </v>
      </c>
      <c r="AO58" s="1">
        <f t="shared" si="11"/>
        <v>11</v>
      </c>
      <c r="AP58" s="1" t="str">
        <f t="shared" si="12"/>
        <v xml:space="preserve"> </v>
      </c>
      <c r="AQ58" s="1" t="str">
        <f t="shared" si="13"/>
        <v xml:space="preserve"> </v>
      </c>
      <c r="AR58" s="1" t="str">
        <f t="shared" si="14"/>
        <v xml:space="preserve"> </v>
      </c>
      <c r="AS58" s="1" t="str">
        <f t="shared" si="15"/>
        <v xml:space="preserve"> </v>
      </c>
      <c r="AT58" s="1" t="str">
        <f t="shared" si="16"/>
        <v xml:space="preserve"> </v>
      </c>
      <c r="AU58" s="1" t="str">
        <f t="shared" si="17"/>
        <v xml:space="preserve"> </v>
      </c>
    </row>
    <row r="59" spans="1:47" ht="63.75" hidden="1">
      <c r="A59" s="61">
        <v>57</v>
      </c>
      <c r="B59" s="59">
        <v>45139</v>
      </c>
      <c r="C59" s="165">
        <v>0.5</v>
      </c>
      <c r="D59" s="63" t="s">
        <v>226</v>
      </c>
      <c r="E59" s="64" t="s">
        <v>1097</v>
      </c>
      <c r="F59" s="64" t="s">
        <v>564</v>
      </c>
      <c r="G59" s="65">
        <v>35281473</v>
      </c>
      <c r="H59" s="64" t="s">
        <v>567</v>
      </c>
      <c r="I59" s="66" t="s">
        <v>565</v>
      </c>
      <c r="J59" s="70"/>
      <c r="K59" s="70"/>
      <c r="L59" s="70"/>
      <c r="M59" s="64" t="s">
        <v>568</v>
      </c>
      <c r="N59" s="64" t="s">
        <v>607</v>
      </c>
      <c r="O59" s="64" t="s">
        <v>569</v>
      </c>
      <c r="P59" s="63"/>
      <c r="Q59" s="64" t="s">
        <v>570</v>
      </c>
      <c r="R59" s="59">
        <v>45153</v>
      </c>
      <c r="S59" s="170">
        <v>0.39583333333333331</v>
      </c>
      <c r="T59" s="60" t="s">
        <v>937</v>
      </c>
      <c r="U59" s="182"/>
      <c r="V59" s="63"/>
      <c r="W59" s="23" t="str">
        <f t="shared" ca="1" si="31"/>
        <v>SI</v>
      </c>
      <c r="X59" s="23" t="str">
        <f t="shared" si="32"/>
        <v>DIANOSOL</v>
      </c>
      <c r="Y59" s="50" t="s">
        <v>991</v>
      </c>
      <c r="Z59" s="111" t="s">
        <v>1015</v>
      </c>
      <c r="AA59" s="111" t="str">
        <f>IF(Z59&lt;&gt;"",VLOOKUP($Z59,Resultados!$A$1:$B$49,2,FALSE),"")</f>
        <v>Recursos Denegados</v>
      </c>
      <c r="AB59" s="23" t="str">
        <f t="shared" ca="1" si="35"/>
        <v>OTRO</v>
      </c>
      <c r="AC59" s="10">
        <f t="shared" si="20"/>
        <v>15</v>
      </c>
      <c r="AD59" s="10">
        <f t="shared" si="21"/>
        <v>8</v>
      </c>
      <c r="AE59" s="10">
        <f t="shared" si="22"/>
        <v>2023</v>
      </c>
      <c r="AF59" s="1">
        <f t="shared" si="29"/>
        <v>11</v>
      </c>
      <c r="AG59" s="1" t="str">
        <f t="shared" si="30"/>
        <v xml:space="preserve"> </v>
      </c>
      <c r="AH59" s="1" t="str">
        <f t="shared" si="4"/>
        <v xml:space="preserve"> </v>
      </c>
      <c r="AI59" s="1" t="str">
        <f t="shared" si="5"/>
        <v xml:space="preserve"> </v>
      </c>
      <c r="AJ59" s="1" t="str">
        <f t="shared" si="6"/>
        <v xml:space="preserve"> </v>
      </c>
      <c r="AK59" s="1" t="str">
        <f t="shared" si="7"/>
        <v xml:space="preserve"> </v>
      </c>
      <c r="AL59" s="1" t="str">
        <f t="shared" si="8"/>
        <v xml:space="preserve"> </v>
      </c>
      <c r="AM59" s="1" t="str">
        <f t="shared" si="9"/>
        <v xml:space="preserve"> </v>
      </c>
      <c r="AN59" s="1" t="str">
        <f t="shared" si="10"/>
        <v xml:space="preserve"> </v>
      </c>
      <c r="AO59" s="1">
        <f t="shared" si="11"/>
        <v>11</v>
      </c>
      <c r="AP59" s="1" t="str">
        <f t="shared" si="12"/>
        <v xml:space="preserve"> </v>
      </c>
      <c r="AQ59" s="1" t="str">
        <f t="shared" si="13"/>
        <v xml:space="preserve"> </v>
      </c>
      <c r="AR59" s="1" t="str">
        <f t="shared" si="14"/>
        <v xml:space="preserve"> </v>
      </c>
      <c r="AS59" s="1" t="str">
        <f t="shared" si="15"/>
        <v xml:space="preserve"> </v>
      </c>
      <c r="AT59" s="1" t="str">
        <f t="shared" si="16"/>
        <v xml:space="preserve"> </v>
      </c>
      <c r="AU59" s="1" t="str">
        <f t="shared" si="17"/>
        <v xml:space="preserve"> </v>
      </c>
    </row>
    <row r="60" spans="1:47" ht="38.25" hidden="1">
      <c r="A60" s="61">
        <v>58</v>
      </c>
      <c r="B60" s="59">
        <v>45141</v>
      </c>
      <c r="C60" s="62">
        <v>0.33333333333333331</v>
      </c>
      <c r="D60" s="63" t="s">
        <v>225</v>
      </c>
      <c r="E60" s="64" t="s">
        <v>508</v>
      </c>
      <c r="F60" s="64" t="s">
        <v>509</v>
      </c>
      <c r="G60" s="65">
        <v>31436737</v>
      </c>
      <c r="H60" s="64" t="s">
        <v>511</v>
      </c>
      <c r="I60" s="66" t="s">
        <v>513</v>
      </c>
      <c r="J60" s="66" t="s">
        <v>515</v>
      </c>
      <c r="K60" s="67">
        <v>8174871</v>
      </c>
      <c r="L60" s="66" t="s">
        <v>516</v>
      </c>
      <c r="M60" s="64" t="s">
        <v>517</v>
      </c>
      <c r="N60" s="63"/>
      <c r="O60" s="63"/>
      <c r="P60" s="63"/>
      <c r="Q60" s="64" t="s">
        <v>135</v>
      </c>
      <c r="R60" s="60">
        <v>45145</v>
      </c>
      <c r="S60" s="163">
        <v>0.4375</v>
      </c>
      <c r="T60" s="60" t="s">
        <v>908</v>
      </c>
      <c r="U60" s="183" t="s">
        <v>927</v>
      </c>
      <c r="V60" s="5">
        <v>23082023</v>
      </c>
      <c r="W60" s="23" t="str">
        <f t="shared" ca="1" si="31"/>
        <v>SI</v>
      </c>
      <c r="X60" s="23" t="str">
        <f t="shared" si="32"/>
        <v>DIANOSOL</v>
      </c>
      <c r="Y60" s="50" t="s">
        <v>991</v>
      </c>
      <c r="Z60" s="111" t="s">
        <v>1015</v>
      </c>
      <c r="AA60" s="111" t="str">
        <f>IF(Z60&lt;&gt;"",VLOOKUP($Z60,Resultados!$A$1:$B$49,2,FALSE),"")</f>
        <v>Recursos Denegados</v>
      </c>
      <c r="AB60" s="23" t="str">
        <f t="shared" ca="1" si="35"/>
        <v>OTRO</v>
      </c>
      <c r="AC60" s="10">
        <f t="shared" si="20"/>
        <v>7</v>
      </c>
      <c r="AD60" s="10">
        <f t="shared" si="21"/>
        <v>8</v>
      </c>
      <c r="AE60" s="10">
        <f t="shared" si="22"/>
        <v>2023</v>
      </c>
      <c r="AF60" s="1">
        <f t="shared" si="29"/>
        <v>3</v>
      </c>
      <c r="AG60" s="1" t="str">
        <f t="shared" si="30"/>
        <v xml:space="preserve"> </v>
      </c>
      <c r="AH60" s="1" t="str">
        <f t="shared" si="4"/>
        <v xml:space="preserve"> </v>
      </c>
      <c r="AI60" s="1" t="str">
        <f t="shared" si="5"/>
        <v xml:space="preserve"> </v>
      </c>
      <c r="AJ60" s="1" t="str">
        <f t="shared" si="6"/>
        <v xml:space="preserve"> </v>
      </c>
      <c r="AK60" s="1" t="str">
        <f t="shared" si="7"/>
        <v xml:space="preserve"> </v>
      </c>
      <c r="AL60" s="1" t="str">
        <f t="shared" si="8"/>
        <v xml:space="preserve"> </v>
      </c>
      <c r="AM60" s="1" t="str">
        <f t="shared" si="9"/>
        <v xml:space="preserve"> </v>
      </c>
      <c r="AN60" s="1" t="str">
        <f t="shared" si="10"/>
        <v xml:space="preserve"> </v>
      </c>
      <c r="AO60" s="1">
        <f t="shared" si="11"/>
        <v>3</v>
      </c>
      <c r="AP60" s="1" t="str">
        <f t="shared" si="12"/>
        <v xml:space="preserve"> </v>
      </c>
      <c r="AQ60" s="1" t="str">
        <f t="shared" si="13"/>
        <v xml:space="preserve"> </v>
      </c>
      <c r="AR60" s="1" t="str">
        <f t="shared" si="14"/>
        <v xml:space="preserve"> </v>
      </c>
      <c r="AS60" s="1" t="str">
        <f t="shared" si="15"/>
        <v xml:space="preserve"> </v>
      </c>
      <c r="AT60" s="1" t="str">
        <f t="shared" si="16"/>
        <v xml:space="preserve"> </v>
      </c>
      <c r="AU60" s="1" t="str">
        <f t="shared" si="17"/>
        <v xml:space="preserve"> </v>
      </c>
    </row>
    <row r="61" spans="1:47" ht="38.25" hidden="1">
      <c r="A61" s="61">
        <v>59</v>
      </c>
      <c r="B61" s="59">
        <v>45141</v>
      </c>
      <c r="C61" s="62">
        <v>0.33333333333333331</v>
      </c>
      <c r="D61" s="63" t="s">
        <v>225</v>
      </c>
      <c r="E61" s="64" t="s">
        <v>508</v>
      </c>
      <c r="F61" s="64" t="s">
        <v>510</v>
      </c>
      <c r="G61" s="65">
        <v>28260958</v>
      </c>
      <c r="H61" s="64" t="s">
        <v>512</v>
      </c>
      <c r="I61" s="66" t="s">
        <v>514</v>
      </c>
      <c r="J61" s="66" t="s">
        <v>515</v>
      </c>
      <c r="K61" s="67">
        <v>8174871</v>
      </c>
      <c r="L61" s="66" t="s">
        <v>516</v>
      </c>
      <c r="M61" s="64" t="s">
        <v>517</v>
      </c>
      <c r="N61" s="63"/>
      <c r="O61" s="63"/>
      <c r="P61" s="63"/>
      <c r="Q61" s="64" t="s">
        <v>135</v>
      </c>
      <c r="R61" s="60">
        <v>45145</v>
      </c>
      <c r="S61" s="163">
        <v>0.4375</v>
      </c>
      <c r="T61" s="60" t="s">
        <v>909</v>
      </c>
      <c r="U61" s="183" t="s">
        <v>927</v>
      </c>
      <c r="V61" s="63"/>
      <c r="W61" s="23" t="str">
        <f t="shared" ca="1" si="31"/>
        <v>SI</v>
      </c>
      <c r="X61" s="23" t="str">
        <f t="shared" si="32"/>
        <v>DIANOSOL</v>
      </c>
      <c r="Y61" s="50" t="s">
        <v>991</v>
      </c>
      <c r="Z61" s="111" t="s">
        <v>1015</v>
      </c>
      <c r="AA61" s="111" t="str">
        <f>IF(Z61&lt;&gt;"",VLOOKUP($Z61,Resultados!$A$1:$B$49,2,FALSE),"")</f>
        <v>Recursos Denegados</v>
      </c>
      <c r="AB61" s="23" t="str">
        <f t="shared" ca="1" si="35"/>
        <v>OTRO</v>
      </c>
      <c r="AC61" s="10">
        <f t="shared" si="20"/>
        <v>7</v>
      </c>
      <c r="AD61" s="10">
        <f t="shared" si="21"/>
        <v>8</v>
      </c>
      <c r="AE61" s="10">
        <f t="shared" si="22"/>
        <v>2023</v>
      </c>
      <c r="AF61" s="1">
        <f t="shared" si="29"/>
        <v>3</v>
      </c>
      <c r="AG61" s="1" t="str">
        <f t="shared" si="30"/>
        <v xml:space="preserve"> </v>
      </c>
      <c r="AH61" s="1" t="str">
        <f t="shared" si="4"/>
        <v xml:space="preserve"> </v>
      </c>
      <c r="AI61" s="1" t="str">
        <f t="shared" si="5"/>
        <v xml:space="preserve"> </v>
      </c>
      <c r="AJ61" s="1" t="str">
        <f t="shared" si="6"/>
        <v xml:space="preserve"> </v>
      </c>
      <c r="AK61" s="1" t="str">
        <f t="shared" si="7"/>
        <v xml:space="preserve"> </v>
      </c>
      <c r="AL61" s="1" t="str">
        <f t="shared" si="8"/>
        <v xml:space="preserve"> </v>
      </c>
      <c r="AM61" s="1" t="str">
        <f t="shared" si="9"/>
        <v xml:space="preserve"> </v>
      </c>
      <c r="AN61" s="1" t="str">
        <f t="shared" si="10"/>
        <v xml:space="preserve"> </v>
      </c>
      <c r="AO61" s="1">
        <f t="shared" si="11"/>
        <v>3</v>
      </c>
      <c r="AP61" s="1" t="str">
        <f t="shared" si="12"/>
        <v xml:space="preserve"> </v>
      </c>
      <c r="AQ61" s="1" t="str">
        <f t="shared" si="13"/>
        <v xml:space="preserve"> </v>
      </c>
      <c r="AR61" s="1" t="str">
        <f t="shared" si="14"/>
        <v xml:space="preserve"> </v>
      </c>
      <c r="AS61" s="1" t="str">
        <f t="shared" si="15"/>
        <v xml:space="preserve"> </v>
      </c>
      <c r="AT61" s="1" t="str">
        <f t="shared" si="16"/>
        <v xml:space="preserve"> </v>
      </c>
      <c r="AU61" s="1" t="str">
        <f t="shared" si="17"/>
        <v xml:space="preserve"> </v>
      </c>
    </row>
    <row r="62" spans="1:47" ht="153" hidden="1">
      <c r="A62" s="61">
        <v>60</v>
      </c>
      <c r="B62" s="59">
        <v>45141</v>
      </c>
      <c r="C62" s="62">
        <v>0.33333333333333331</v>
      </c>
      <c r="D62" s="63" t="s">
        <v>229</v>
      </c>
      <c r="E62" s="64" t="s">
        <v>518</v>
      </c>
      <c r="F62" s="64" t="s">
        <v>519</v>
      </c>
      <c r="G62" s="65">
        <v>42520231</v>
      </c>
      <c r="H62" s="64" t="s">
        <v>520</v>
      </c>
      <c r="I62" s="66" t="s">
        <v>521</v>
      </c>
      <c r="J62" s="66" t="s">
        <v>522</v>
      </c>
      <c r="K62" s="67">
        <v>28473192</v>
      </c>
      <c r="L62" s="66" t="s">
        <v>523</v>
      </c>
      <c r="M62" s="64" t="s">
        <v>458</v>
      </c>
      <c r="N62" s="63"/>
      <c r="O62" s="63"/>
      <c r="P62" s="63"/>
      <c r="Q62" s="64" t="s">
        <v>135</v>
      </c>
      <c r="R62" s="59">
        <v>45148</v>
      </c>
      <c r="S62" s="163">
        <v>0.45833333333333331</v>
      </c>
      <c r="T62" s="60" t="s">
        <v>591</v>
      </c>
      <c r="U62" s="181"/>
      <c r="V62" s="50" t="s">
        <v>732</v>
      </c>
      <c r="W62" s="23" t="str">
        <f t="shared" ca="1" si="31"/>
        <v>SI</v>
      </c>
      <c r="X62" s="23" t="str">
        <f t="shared" si="32"/>
        <v>DIANOSOL</v>
      </c>
      <c r="Y62" s="50" t="s">
        <v>991</v>
      </c>
      <c r="Z62" s="111" t="s">
        <v>1015</v>
      </c>
      <c r="AA62" s="111" t="str">
        <f>IF(Z62&lt;&gt;"",VLOOKUP($Z62,Resultados!$A$1:$B$49,2,FALSE),"")</f>
        <v>Recursos Denegados</v>
      </c>
      <c r="AB62" s="23" t="str">
        <f t="shared" ca="1" si="35"/>
        <v>OTRO</v>
      </c>
      <c r="AC62" s="10">
        <f t="shared" si="20"/>
        <v>10</v>
      </c>
      <c r="AD62" s="10">
        <f t="shared" si="21"/>
        <v>8</v>
      </c>
      <c r="AE62" s="10">
        <f t="shared" si="22"/>
        <v>2023</v>
      </c>
      <c r="AF62" s="1">
        <f t="shared" si="29"/>
        <v>6</v>
      </c>
      <c r="AG62" s="1" t="str">
        <f t="shared" si="30"/>
        <v xml:space="preserve"> </v>
      </c>
      <c r="AH62" s="1" t="str">
        <f t="shared" si="4"/>
        <v xml:space="preserve"> </v>
      </c>
      <c r="AI62" s="1" t="str">
        <f t="shared" si="5"/>
        <v xml:space="preserve"> </v>
      </c>
      <c r="AJ62" s="1" t="str">
        <f t="shared" si="6"/>
        <v xml:space="preserve"> </v>
      </c>
      <c r="AK62" s="1" t="str">
        <f t="shared" si="7"/>
        <v xml:space="preserve"> </v>
      </c>
      <c r="AL62" s="1" t="str">
        <f t="shared" si="8"/>
        <v xml:space="preserve"> </v>
      </c>
      <c r="AM62" s="1" t="str">
        <f t="shared" si="9"/>
        <v xml:space="preserve"> </v>
      </c>
      <c r="AN62" s="1" t="str">
        <f t="shared" si="10"/>
        <v xml:space="preserve"> </v>
      </c>
      <c r="AO62" s="1">
        <f t="shared" si="11"/>
        <v>6</v>
      </c>
      <c r="AP62" s="1" t="str">
        <f t="shared" si="12"/>
        <v xml:space="preserve"> </v>
      </c>
      <c r="AQ62" s="1" t="str">
        <f t="shared" si="13"/>
        <v xml:space="preserve"> </v>
      </c>
      <c r="AR62" s="1" t="str">
        <f t="shared" si="14"/>
        <v xml:space="preserve"> </v>
      </c>
      <c r="AS62" s="1" t="str">
        <f t="shared" si="15"/>
        <v xml:space="preserve"> </v>
      </c>
      <c r="AT62" s="1" t="str">
        <f t="shared" si="16"/>
        <v xml:space="preserve"> </v>
      </c>
      <c r="AU62" s="1" t="str">
        <f t="shared" si="17"/>
        <v xml:space="preserve"> </v>
      </c>
    </row>
    <row r="63" spans="1:47" ht="51" hidden="1">
      <c r="A63" s="61">
        <v>61</v>
      </c>
      <c r="B63" s="59">
        <v>45141</v>
      </c>
      <c r="C63" s="165">
        <v>0.41666666666666669</v>
      </c>
      <c r="D63" s="63" t="s">
        <v>107</v>
      </c>
      <c r="E63" s="64" t="s">
        <v>524</v>
      </c>
      <c r="F63" s="64" t="s">
        <v>525</v>
      </c>
      <c r="G63" s="65">
        <v>34913942</v>
      </c>
      <c r="H63" s="64" t="s">
        <v>526</v>
      </c>
      <c r="I63" s="66" t="s">
        <v>527</v>
      </c>
      <c r="J63" s="66" t="s">
        <v>528</v>
      </c>
      <c r="K63" s="70"/>
      <c r="L63" s="66" t="s">
        <v>529</v>
      </c>
      <c r="M63" s="64" t="s">
        <v>530</v>
      </c>
      <c r="N63" s="63"/>
      <c r="O63" s="63"/>
      <c r="P63" s="63"/>
      <c r="Q63" s="64" t="s">
        <v>598</v>
      </c>
      <c r="R63" s="59">
        <v>45152</v>
      </c>
      <c r="S63" s="170">
        <v>0.47916666666666669</v>
      </c>
      <c r="T63" s="60" t="s">
        <v>377</v>
      </c>
      <c r="U63" s="183"/>
      <c r="V63" s="64" t="s">
        <v>772</v>
      </c>
      <c r="W63" s="23" t="str">
        <f t="shared" ca="1" si="31"/>
        <v>SI</v>
      </c>
      <c r="X63" s="23" t="str">
        <f t="shared" si="32"/>
        <v>DIANOSOL</v>
      </c>
      <c r="Y63" s="50" t="s">
        <v>991</v>
      </c>
      <c r="Z63" s="111" t="s">
        <v>1015</v>
      </c>
      <c r="AA63" s="111" t="str">
        <f>IF(Z63&lt;&gt;"",VLOOKUP($Z63,Resultados!$A$1:$B$49,2,FALSE),"")</f>
        <v>Recursos Denegados</v>
      </c>
      <c r="AB63" s="23" t="str">
        <f t="shared" ca="1" si="35"/>
        <v>OTRO</v>
      </c>
      <c r="AC63" s="10">
        <f t="shared" si="20"/>
        <v>14</v>
      </c>
      <c r="AD63" s="10">
        <f t="shared" si="21"/>
        <v>8</v>
      </c>
      <c r="AE63" s="10">
        <f t="shared" si="22"/>
        <v>2023</v>
      </c>
      <c r="AF63" s="1">
        <f t="shared" si="29"/>
        <v>8</v>
      </c>
      <c r="AG63" s="1" t="str">
        <f t="shared" si="30"/>
        <v xml:space="preserve"> </v>
      </c>
      <c r="AH63" s="1" t="str">
        <f t="shared" si="4"/>
        <v xml:space="preserve"> </v>
      </c>
      <c r="AI63" s="1" t="str">
        <f t="shared" si="5"/>
        <v xml:space="preserve"> </v>
      </c>
      <c r="AJ63" s="1" t="str">
        <f t="shared" si="6"/>
        <v xml:space="preserve"> </v>
      </c>
      <c r="AK63" s="1" t="str">
        <f t="shared" si="7"/>
        <v xml:space="preserve"> </v>
      </c>
      <c r="AL63" s="1" t="str">
        <f t="shared" si="8"/>
        <v xml:space="preserve"> </v>
      </c>
      <c r="AM63" s="1" t="str">
        <f t="shared" si="9"/>
        <v xml:space="preserve"> </v>
      </c>
      <c r="AN63" s="1" t="str">
        <f t="shared" si="10"/>
        <v xml:space="preserve"> </v>
      </c>
      <c r="AO63" s="1">
        <f t="shared" si="11"/>
        <v>8</v>
      </c>
      <c r="AP63" s="1" t="str">
        <f t="shared" si="12"/>
        <v xml:space="preserve"> </v>
      </c>
      <c r="AQ63" s="1" t="str">
        <f t="shared" si="13"/>
        <v xml:space="preserve"> </v>
      </c>
      <c r="AR63" s="1" t="str">
        <f t="shared" si="14"/>
        <v xml:space="preserve"> </v>
      </c>
      <c r="AS63" s="1" t="str">
        <f t="shared" si="15"/>
        <v xml:space="preserve"> </v>
      </c>
      <c r="AT63" s="1" t="str">
        <f t="shared" si="16"/>
        <v xml:space="preserve"> </v>
      </c>
      <c r="AU63" s="1" t="str">
        <f t="shared" si="17"/>
        <v xml:space="preserve"> </v>
      </c>
    </row>
    <row r="64" spans="1:47" ht="51" hidden="1">
      <c r="A64" s="61">
        <v>62</v>
      </c>
      <c r="B64" s="59">
        <v>45142</v>
      </c>
      <c r="C64" s="165">
        <v>0.41666666666666669</v>
      </c>
      <c r="D64" s="63" t="s">
        <v>105</v>
      </c>
      <c r="E64" s="64" t="s">
        <v>532</v>
      </c>
      <c r="F64" s="64" t="s">
        <v>167</v>
      </c>
      <c r="G64" s="65">
        <v>43950336</v>
      </c>
      <c r="H64" s="64" t="s">
        <v>168</v>
      </c>
      <c r="I64" s="66" t="s">
        <v>169</v>
      </c>
      <c r="J64" s="66" t="s">
        <v>170</v>
      </c>
      <c r="K64" s="72">
        <v>42503697</v>
      </c>
      <c r="L64" s="66" t="s">
        <v>171</v>
      </c>
      <c r="M64" s="64" t="s">
        <v>593</v>
      </c>
      <c r="N64" s="64" t="s">
        <v>173</v>
      </c>
      <c r="O64" s="64"/>
      <c r="P64" s="64" t="s">
        <v>14</v>
      </c>
      <c r="Q64" s="64" t="s">
        <v>131</v>
      </c>
      <c r="R64" s="60">
        <v>45153</v>
      </c>
      <c r="S64" s="170">
        <v>0.4375</v>
      </c>
      <c r="T64" s="60" t="s">
        <v>164</v>
      </c>
      <c r="U64" s="183" t="s">
        <v>1086</v>
      </c>
      <c r="V64" s="64" t="s">
        <v>772</v>
      </c>
      <c r="W64" s="23" t="str">
        <f t="shared" ca="1" si="31"/>
        <v>SI</v>
      </c>
      <c r="X64" s="23" t="str">
        <f t="shared" si="32"/>
        <v>DIANOSOL</v>
      </c>
      <c r="Y64" s="50" t="s">
        <v>991</v>
      </c>
      <c r="Z64" s="111" t="s">
        <v>1022</v>
      </c>
      <c r="AA64" s="111" t="str">
        <f>IF(Z64&lt;&gt;"",VLOOKUP($Z64,Resultados!$A$1:$B$49,2,FALSE),"")</f>
        <v>Recursos donde se hizo lugar</v>
      </c>
      <c r="AC64" s="10">
        <f t="shared" si="20"/>
        <v>15</v>
      </c>
      <c r="AD64" s="10">
        <f t="shared" si="21"/>
        <v>8</v>
      </c>
      <c r="AE64" s="10">
        <f t="shared" si="22"/>
        <v>2023</v>
      </c>
      <c r="AF64" s="1">
        <f t="shared" si="29"/>
        <v>8</v>
      </c>
      <c r="AG64" s="1" t="str">
        <f t="shared" si="30"/>
        <v xml:space="preserve"> </v>
      </c>
      <c r="AH64" s="1" t="str">
        <f t="shared" si="4"/>
        <v xml:space="preserve"> </v>
      </c>
      <c r="AI64" s="1" t="str">
        <f t="shared" si="5"/>
        <v xml:space="preserve"> </v>
      </c>
      <c r="AJ64" s="1" t="str">
        <f t="shared" si="6"/>
        <v xml:space="preserve"> </v>
      </c>
      <c r="AK64" s="1" t="str">
        <f t="shared" si="7"/>
        <v xml:space="preserve"> </v>
      </c>
      <c r="AL64" s="1" t="str">
        <f t="shared" si="8"/>
        <v xml:space="preserve"> </v>
      </c>
      <c r="AM64" s="1" t="str">
        <f t="shared" si="9"/>
        <v xml:space="preserve"> </v>
      </c>
      <c r="AN64" s="1" t="str">
        <f t="shared" si="10"/>
        <v xml:space="preserve"> </v>
      </c>
      <c r="AO64" s="1">
        <f t="shared" si="11"/>
        <v>8</v>
      </c>
      <c r="AP64" s="1" t="str">
        <f t="shared" si="12"/>
        <v xml:space="preserve"> </v>
      </c>
      <c r="AQ64" s="1" t="str">
        <f t="shared" si="13"/>
        <v xml:space="preserve"> </v>
      </c>
      <c r="AR64" s="1" t="str">
        <f t="shared" si="14"/>
        <v xml:space="preserve"> </v>
      </c>
      <c r="AS64" s="1" t="str">
        <f t="shared" si="15"/>
        <v xml:space="preserve"> </v>
      </c>
      <c r="AT64" s="1" t="str">
        <f t="shared" si="16"/>
        <v xml:space="preserve"> </v>
      </c>
      <c r="AU64" s="1" t="str">
        <f t="shared" si="17"/>
        <v xml:space="preserve"> </v>
      </c>
    </row>
    <row r="65" spans="1:47" ht="38.25" hidden="1">
      <c r="A65" s="61">
        <v>63</v>
      </c>
      <c r="B65" s="59">
        <v>45142</v>
      </c>
      <c r="C65" s="63"/>
      <c r="D65" s="63" t="s">
        <v>228</v>
      </c>
      <c r="E65" s="64" t="s">
        <v>534</v>
      </c>
      <c r="F65" s="64" t="s">
        <v>533</v>
      </c>
      <c r="G65" s="65">
        <v>12959004</v>
      </c>
      <c r="H65" s="63"/>
      <c r="I65" s="70"/>
      <c r="J65" s="70"/>
      <c r="K65" s="70"/>
      <c r="L65" s="70"/>
      <c r="M65" s="64" t="s">
        <v>535</v>
      </c>
      <c r="N65" s="63"/>
      <c r="O65" s="63"/>
      <c r="P65" s="63"/>
      <c r="Q65" s="64" t="s">
        <v>135</v>
      </c>
      <c r="R65" s="59">
        <v>45142</v>
      </c>
      <c r="S65" s="163">
        <v>0.4375</v>
      </c>
      <c r="T65" s="60" t="s">
        <v>562</v>
      </c>
      <c r="U65" s="183" t="s">
        <v>1062</v>
      </c>
      <c r="V65" s="64" t="s">
        <v>772</v>
      </c>
      <c r="W65" s="23" t="str">
        <f t="shared" ca="1" si="31"/>
        <v>SI</v>
      </c>
      <c r="X65" s="23" t="str">
        <f t="shared" si="32"/>
        <v>DIANOSOL</v>
      </c>
      <c r="Y65" s="50"/>
      <c r="Z65" s="111" t="s">
        <v>1016</v>
      </c>
      <c r="AA65" s="111" t="str">
        <f>IF(Z65&lt;&gt;"",VLOOKUP($Z65,Resultados!$A$1:$B$49,2,FALSE),"")</f>
        <v>Recursos donde se hizo lugar</v>
      </c>
      <c r="AC65" s="10">
        <f t="shared" si="20"/>
        <v>4</v>
      </c>
      <c r="AD65" s="10">
        <f t="shared" si="21"/>
        <v>8</v>
      </c>
      <c r="AE65" s="10">
        <f t="shared" si="22"/>
        <v>2023</v>
      </c>
      <c r="AF65" s="1">
        <f t="shared" si="29"/>
        <v>1</v>
      </c>
      <c r="AG65" s="1" t="str">
        <f t="shared" si="30"/>
        <v xml:space="preserve"> </v>
      </c>
      <c r="AH65" s="1" t="str">
        <f t="shared" si="4"/>
        <v xml:space="preserve"> </v>
      </c>
      <c r="AI65" s="1" t="str">
        <f t="shared" si="5"/>
        <v xml:space="preserve"> </v>
      </c>
      <c r="AJ65" s="1" t="str">
        <f t="shared" si="6"/>
        <v xml:space="preserve"> </v>
      </c>
      <c r="AK65" s="1" t="str">
        <f t="shared" si="7"/>
        <v xml:space="preserve"> </v>
      </c>
      <c r="AL65" s="1" t="str">
        <f t="shared" si="8"/>
        <v xml:space="preserve"> </v>
      </c>
      <c r="AM65" s="1" t="str">
        <f t="shared" si="9"/>
        <v xml:space="preserve"> </v>
      </c>
      <c r="AN65" s="1" t="str">
        <f t="shared" si="10"/>
        <v xml:space="preserve"> </v>
      </c>
      <c r="AO65" s="1">
        <f t="shared" si="11"/>
        <v>1</v>
      </c>
      <c r="AP65" s="1" t="str">
        <f t="shared" si="12"/>
        <v xml:space="preserve"> </v>
      </c>
      <c r="AQ65" s="1" t="str">
        <f t="shared" si="13"/>
        <v xml:space="preserve"> </v>
      </c>
      <c r="AR65" s="1" t="str">
        <f t="shared" si="14"/>
        <v xml:space="preserve"> </v>
      </c>
      <c r="AS65" s="1" t="str">
        <f t="shared" si="15"/>
        <v xml:space="preserve"> </v>
      </c>
      <c r="AT65" s="1" t="str">
        <f t="shared" si="16"/>
        <v xml:space="preserve"> </v>
      </c>
      <c r="AU65" s="1" t="str">
        <f t="shared" si="17"/>
        <v xml:space="preserve"> </v>
      </c>
    </row>
    <row r="66" spans="1:47" ht="38.25" hidden="1">
      <c r="A66" s="61">
        <v>64</v>
      </c>
      <c r="B66" s="59">
        <v>45142</v>
      </c>
      <c r="C66" s="62">
        <v>0.41666666666666669</v>
      </c>
      <c r="D66" s="63" t="s">
        <v>106</v>
      </c>
      <c r="E66" s="64" t="s">
        <v>536</v>
      </c>
      <c r="F66" s="64" t="s">
        <v>537</v>
      </c>
      <c r="G66" s="65">
        <v>27571017</v>
      </c>
      <c r="H66" s="64" t="s">
        <v>538</v>
      </c>
      <c r="I66" s="66" t="s">
        <v>513</v>
      </c>
      <c r="J66" s="66" t="s">
        <v>539</v>
      </c>
      <c r="K66" s="67">
        <v>33753033</v>
      </c>
      <c r="L66" s="66" t="s">
        <v>540</v>
      </c>
      <c r="M66" s="64" t="s">
        <v>427</v>
      </c>
      <c r="N66" s="63"/>
      <c r="O66" s="63"/>
      <c r="P66" s="63"/>
      <c r="Q66" s="64" t="s">
        <v>131</v>
      </c>
      <c r="R66" s="59">
        <v>45149</v>
      </c>
      <c r="S66" s="163">
        <v>0.4375</v>
      </c>
      <c r="T66" s="60" t="s">
        <v>1256</v>
      </c>
      <c r="U66" s="185" t="s">
        <v>814</v>
      </c>
      <c r="V66" s="64" t="s">
        <v>772</v>
      </c>
      <c r="W66" s="23" t="str">
        <f t="shared" ca="1" si="31"/>
        <v>SI</v>
      </c>
      <c r="X66" s="23" t="str">
        <f t="shared" si="32"/>
        <v>DIANOSOL</v>
      </c>
      <c r="Y66" s="50" t="s">
        <v>991</v>
      </c>
      <c r="Z66" s="111" t="s">
        <v>1059</v>
      </c>
      <c r="AA66" s="111" t="str">
        <f>IF(Z66&lt;&gt;"",VLOOKUP($Z66,Resultados!$A$1:$B$49,2,FALSE),"")</f>
        <v>Recursos donde se hizo lugar</v>
      </c>
      <c r="AC66" s="10">
        <f t="shared" si="20"/>
        <v>11</v>
      </c>
      <c r="AD66" s="10">
        <f t="shared" si="21"/>
        <v>8</v>
      </c>
      <c r="AE66" s="10">
        <f t="shared" si="22"/>
        <v>2023</v>
      </c>
      <c r="AF66" s="1">
        <f t="shared" si="29"/>
        <v>6</v>
      </c>
      <c r="AG66" s="1" t="str">
        <f t="shared" si="30"/>
        <v xml:space="preserve"> </v>
      </c>
      <c r="AH66" s="1" t="str">
        <f t="shared" si="4"/>
        <v xml:space="preserve"> </v>
      </c>
      <c r="AI66" s="1" t="str">
        <f t="shared" si="5"/>
        <v xml:space="preserve"> </v>
      </c>
      <c r="AJ66" s="1" t="str">
        <f t="shared" si="6"/>
        <v xml:space="preserve"> </v>
      </c>
      <c r="AK66" s="1" t="str">
        <f t="shared" si="7"/>
        <v xml:space="preserve"> </v>
      </c>
      <c r="AL66" s="1" t="str">
        <f t="shared" si="8"/>
        <v xml:space="preserve"> </v>
      </c>
      <c r="AM66" s="1" t="str">
        <f t="shared" si="9"/>
        <v xml:space="preserve"> </v>
      </c>
      <c r="AN66" s="1" t="str">
        <f t="shared" si="10"/>
        <v xml:space="preserve"> </v>
      </c>
      <c r="AO66" s="1">
        <f t="shared" si="11"/>
        <v>6</v>
      </c>
      <c r="AP66" s="1" t="str">
        <f t="shared" si="12"/>
        <v xml:space="preserve"> </v>
      </c>
      <c r="AQ66" s="1" t="str">
        <f t="shared" si="13"/>
        <v xml:space="preserve"> </v>
      </c>
      <c r="AR66" s="1" t="str">
        <f t="shared" si="14"/>
        <v xml:space="preserve"> </v>
      </c>
      <c r="AS66" s="1" t="str">
        <f t="shared" si="15"/>
        <v xml:space="preserve"> </v>
      </c>
      <c r="AT66" s="1" t="str">
        <f t="shared" si="16"/>
        <v xml:space="preserve"> </v>
      </c>
      <c r="AU66" s="1" t="str">
        <f t="shared" si="17"/>
        <v xml:space="preserve"> </v>
      </c>
    </row>
    <row r="67" spans="1:47" ht="51" hidden="1">
      <c r="A67" s="61">
        <v>65</v>
      </c>
      <c r="B67" s="59">
        <v>45142</v>
      </c>
      <c r="C67" s="165">
        <v>0.5</v>
      </c>
      <c r="D67" s="63" t="s">
        <v>104</v>
      </c>
      <c r="E67" s="64" t="s">
        <v>541</v>
      </c>
      <c r="F67" s="64" t="s">
        <v>542</v>
      </c>
      <c r="G67" s="65">
        <v>31093314</v>
      </c>
      <c r="H67" s="64" t="s">
        <v>543</v>
      </c>
      <c r="I67" s="66" t="s">
        <v>544</v>
      </c>
      <c r="J67" s="66" t="s">
        <v>545</v>
      </c>
      <c r="K67" s="67">
        <v>32232470</v>
      </c>
      <c r="L67" s="66" t="s">
        <v>546</v>
      </c>
      <c r="M67" s="64" t="s">
        <v>458</v>
      </c>
      <c r="N67" s="63"/>
      <c r="O67" s="63"/>
      <c r="P67" s="63"/>
      <c r="Q67" s="64" t="s">
        <v>131</v>
      </c>
      <c r="R67" s="59">
        <v>45153</v>
      </c>
      <c r="S67" s="170">
        <v>0.39583333333333331</v>
      </c>
      <c r="T67" s="60" t="s">
        <v>503</v>
      </c>
      <c r="U67" s="183" t="s">
        <v>1065</v>
      </c>
      <c r="V67" s="64" t="s">
        <v>802</v>
      </c>
      <c r="W67" s="23" t="str">
        <f t="shared" ca="1" si="31"/>
        <v>SI</v>
      </c>
      <c r="X67" s="23" t="str">
        <f t="shared" si="32"/>
        <v>DIANOSOL</v>
      </c>
      <c r="Y67" s="50" t="s">
        <v>991</v>
      </c>
      <c r="Z67" s="111" t="s">
        <v>1015</v>
      </c>
      <c r="AA67" s="111" t="str">
        <f>IF(Z67&lt;&gt;"",VLOOKUP($Z67,Resultados!$A$1:$B$49,2,FALSE),"")</f>
        <v>Recursos Denegados</v>
      </c>
      <c r="AB67" s="23" t="str">
        <f ca="1">IF(R67&gt;TODAY(),"FIJADA","OTRO")</f>
        <v>OTRO</v>
      </c>
      <c r="AC67" s="10">
        <f t="shared" si="20"/>
        <v>15</v>
      </c>
      <c r="AD67" s="10">
        <f t="shared" si="21"/>
        <v>8</v>
      </c>
      <c r="AE67" s="10">
        <f t="shared" si="22"/>
        <v>2023</v>
      </c>
      <c r="AF67" s="1">
        <f t="shared" ref="AF67:AF98" si="36">IF(AND(NETWORKDAYS($B67,$R67)&gt;0,$AE67=2023),NETWORKDAYS($B67,$R67)," ")</f>
        <v>8</v>
      </c>
      <c r="AG67" s="1" t="str">
        <f t="shared" ref="AG67:AG98" si="37">IF(AND(NETWORKDAYS($B67,$R67)&gt;0,$AE67=2024),NETWORKDAYS($B67,$R67)," ")</f>
        <v xml:space="preserve"> </v>
      </c>
      <c r="AH67" s="1" t="str">
        <f t="shared" ref="AH67:AH130" si="38">IF(AND(NETWORKDAYS($B67,$R67)&gt;0,$AE67=2023,$AD67=$AH$1),NETWORKDAYS($B67,$R67)," ")</f>
        <v xml:space="preserve"> </v>
      </c>
      <c r="AI67" s="1" t="str">
        <f t="shared" ref="AI67:AI130" si="39">IF(AND(NETWORKDAYS($B67,$R67)&gt;0,$AE67=2023,$AD67=$AI$1),NETWORKDAYS($B67,$R67)," ")</f>
        <v xml:space="preserve"> </v>
      </c>
      <c r="AJ67" s="1" t="str">
        <f t="shared" ref="AJ67:AJ130" si="40">IF(AND(NETWORKDAYS($B67,$R67)&gt;0,$AE67=2023,$AD67=$AJ$1),NETWORKDAYS($B67,$R67)," ")</f>
        <v xml:space="preserve"> </v>
      </c>
      <c r="AK67" s="1" t="str">
        <f t="shared" ref="AK67:AK130" si="41">IF(AND(NETWORKDAYS($B67,$R67)&gt;0,$AE67=2023,$AD67=$AK$1),NETWORKDAYS($B67,$R67)," ")</f>
        <v xml:space="preserve"> </v>
      </c>
      <c r="AL67" s="1" t="str">
        <f t="shared" ref="AL67:AL130" si="42">IF(AND(NETWORKDAYS($B67,$R67)&gt;0,$AE67=2023,$AD67=$AL$1),NETWORKDAYS($B67,$R67)," ")</f>
        <v xml:space="preserve"> </v>
      </c>
      <c r="AM67" s="1" t="str">
        <f t="shared" ref="AM67:AM130" si="43">IF(AND(NETWORKDAYS($B67,$R67)&gt;0,$AE67=2023,$AD67=$AM$1),NETWORKDAYS($B67,$R67)," ")</f>
        <v xml:space="preserve"> </v>
      </c>
      <c r="AN67" s="1" t="str">
        <f t="shared" ref="AN67:AN130" si="44">IF(AND(NETWORKDAYS($B67,$R67)&gt;0,$AE67=2023,$AD67=$AN$1),NETWORKDAYS($B67,$R67)," ")</f>
        <v xml:space="preserve"> </v>
      </c>
      <c r="AO67" s="1">
        <f t="shared" ref="AO67:AO130" si="45">IF(AND(NETWORKDAYS($B67,$R67)&gt;0,$AE67=2023,$AD67=$AO$1),NETWORKDAYS($B67,$R67)," ")</f>
        <v>8</v>
      </c>
      <c r="AP67" s="1" t="str">
        <f t="shared" ref="AP67:AP130" si="46">IF(AND(NETWORKDAYS($B67,$R67)&gt;0,$AE67=2023,$AD67=$AP$1),NETWORKDAYS($B67,$R67)," ")</f>
        <v xml:space="preserve"> </v>
      </c>
      <c r="AQ67" s="1" t="str">
        <f t="shared" ref="AQ67:AQ130" si="47">IF(AND(NETWORKDAYS($B67,$R67)&gt;0,$AE67=2023,$AD67=$AQ$1),NETWORKDAYS($B67,$R67)," ")</f>
        <v xml:space="preserve"> </v>
      </c>
      <c r="AR67" s="1" t="str">
        <f t="shared" ref="AR67:AR130" si="48">IF(AND(NETWORKDAYS($B67,$R67)&gt;0,$AE67=2023,$AD67=$AR$1),NETWORKDAYS($B67,$R67)," ")</f>
        <v xml:space="preserve"> </v>
      </c>
      <c r="AS67" s="1" t="str">
        <f t="shared" ref="AS67:AS130" si="49">IF(AND(NETWORKDAYS($B67,$R67)&gt;0,$AE67=2023,$AD67=$AS$1),NETWORKDAYS($B67,$R67)," ")</f>
        <v xml:space="preserve"> </v>
      </c>
      <c r="AT67" s="1" t="str">
        <f t="shared" ref="AT67:AT130" si="50">IF(AND(NETWORKDAYS($B67,$R67)&gt;0,$AE67=2023,$AD67=$AT$1),NETWORKDAYS($B67,$R67)," ")</f>
        <v xml:space="preserve"> </v>
      </c>
      <c r="AU67" s="1" t="str">
        <f t="shared" ref="AU67:AU130" si="51">IF(AND(NETWORKDAYS($B67,$R67)&gt;0,$AE67=2023,$AD67=$AU$1),NETWORKDAYS($B67,$R67)," ")</f>
        <v xml:space="preserve"> </v>
      </c>
    </row>
    <row r="68" spans="1:47" ht="89.25" hidden="1">
      <c r="A68" s="61">
        <v>66</v>
      </c>
      <c r="B68" s="59">
        <v>45142</v>
      </c>
      <c r="C68" s="165">
        <v>0.5</v>
      </c>
      <c r="D68" s="63" t="s">
        <v>432</v>
      </c>
      <c r="E68" s="64" t="s">
        <v>547</v>
      </c>
      <c r="F68" s="64" t="s">
        <v>548</v>
      </c>
      <c r="G68" s="65">
        <v>22146036</v>
      </c>
      <c r="H68" s="64" t="s">
        <v>551</v>
      </c>
      <c r="I68" s="66" t="s">
        <v>549</v>
      </c>
      <c r="J68" s="66" t="s">
        <v>550</v>
      </c>
      <c r="K68" s="67">
        <v>39399277</v>
      </c>
      <c r="L68" s="66" t="s">
        <v>552</v>
      </c>
      <c r="M68" s="64" t="s">
        <v>553</v>
      </c>
      <c r="N68" s="64" t="s">
        <v>554</v>
      </c>
      <c r="O68" s="63"/>
      <c r="P68" s="63"/>
      <c r="Q68" s="64" t="s">
        <v>555</v>
      </c>
      <c r="R68" s="59">
        <v>45160</v>
      </c>
      <c r="S68" s="170">
        <v>0.39583333333333331</v>
      </c>
      <c r="T68" s="60" t="s">
        <v>1049</v>
      </c>
      <c r="U68" s="183" t="s">
        <v>1084</v>
      </c>
      <c r="V68" s="63"/>
      <c r="W68" s="23" t="str">
        <f t="shared" ref="W68:W99" ca="1" si="52">IF(R68&lt;=TODAY(),"SI","NO")</f>
        <v>SI</v>
      </c>
      <c r="X68" s="23" t="str">
        <f t="shared" ref="X68:X99" si="53">IF($X$1=R68,"DIASOL", "DIANOSOL")</f>
        <v>DIANOSOL</v>
      </c>
      <c r="Y68" s="50" t="s">
        <v>999</v>
      </c>
      <c r="Z68" s="111" t="s">
        <v>1011</v>
      </c>
      <c r="AA68" s="111" t="str">
        <f>IF(Z68&lt;&gt;"",VLOOKUP($Z68,Resultados!$A$1:$B$49,2,FALSE),"")</f>
        <v>Recursos Denegados</v>
      </c>
      <c r="AC68" s="10">
        <f t="shared" ref="AC68:AC131" si="54">DAY($R68)</f>
        <v>22</v>
      </c>
      <c r="AD68" s="10">
        <f t="shared" ref="AD68:AD131" si="55">MONTH($R68)</f>
        <v>8</v>
      </c>
      <c r="AE68" s="10">
        <f t="shared" ref="AE68:AE131" si="56">YEAR(R68)</f>
        <v>2023</v>
      </c>
      <c r="AF68" s="1">
        <f t="shared" si="36"/>
        <v>13</v>
      </c>
      <c r="AG68" s="1" t="str">
        <f t="shared" si="37"/>
        <v xml:space="preserve"> </v>
      </c>
      <c r="AH68" s="1" t="str">
        <f t="shared" si="38"/>
        <v xml:space="preserve"> </v>
      </c>
      <c r="AI68" s="1" t="str">
        <f t="shared" si="39"/>
        <v xml:space="preserve"> </v>
      </c>
      <c r="AJ68" s="1" t="str">
        <f t="shared" si="40"/>
        <v xml:space="preserve"> </v>
      </c>
      <c r="AK68" s="1" t="str">
        <f t="shared" si="41"/>
        <v xml:space="preserve"> </v>
      </c>
      <c r="AL68" s="1" t="str">
        <f t="shared" si="42"/>
        <v xml:space="preserve"> </v>
      </c>
      <c r="AM68" s="1" t="str">
        <f t="shared" si="43"/>
        <v xml:space="preserve"> </v>
      </c>
      <c r="AN68" s="1" t="str">
        <f t="shared" si="44"/>
        <v xml:space="preserve"> </v>
      </c>
      <c r="AO68" s="1">
        <f t="shared" si="45"/>
        <v>13</v>
      </c>
      <c r="AP68" s="1" t="str">
        <f t="shared" si="46"/>
        <v xml:space="preserve"> </v>
      </c>
      <c r="AQ68" s="1" t="str">
        <f t="shared" si="47"/>
        <v xml:space="preserve"> </v>
      </c>
      <c r="AR68" s="1" t="str">
        <f t="shared" si="48"/>
        <v xml:space="preserve"> </v>
      </c>
      <c r="AS68" s="1" t="str">
        <f t="shared" si="49"/>
        <v xml:space="preserve"> </v>
      </c>
      <c r="AT68" s="1" t="str">
        <f t="shared" si="50"/>
        <v xml:space="preserve"> </v>
      </c>
      <c r="AU68" s="1" t="str">
        <f t="shared" si="51"/>
        <v xml:space="preserve"> </v>
      </c>
    </row>
    <row r="69" spans="1:47" ht="89.25" hidden="1">
      <c r="A69" s="61">
        <v>67</v>
      </c>
      <c r="B69" s="59">
        <v>45143</v>
      </c>
      <c r="C69" s="165">
        <v>0.5</v>
      </c>
      <c r="D69" s="63" t="s">
        <v>241</v>
      </c>
      <c r="E69" s="64" t="s">
        <v>556</v>
      </c>
      <c r="F69" s="64" t="s">
        <v>557</v>
      </c>
      <c r="G69" s="65">
        <v>34867746</v>
      </c>
      <c r="H69" s="63"/>
      <c r="I69" s="66" t="s">
        <v>558</v>
      </c>
      <c r="J69" s="66" t="s">
        <v>559</v>
      </c>
      <c r="K69" s="67">
        <v>34190419</v>
      </c>
      <c r="L69" s="66" t="s">
        <v>648</v>
      </c>
      <c r="M69" s="64" t="s">
        <v>462</v>
      </c>
      <c r="N69" s="63"/>
      <c r="O69" s="64" t="s">
        <v>594</v>
      </c>
      <c r="P69" s="63"/>
      <c r="Q69" s="64" t="s">
        <v>555</v>
      </c>
      <c r="R69" s="59">
        <v>45152</v>
      </c>
      <c r="S69" s="170">
        <v>0.4375</v>
      </c>
      <c r="T69" s="60" t="s">
        <v>591</v>
      </c>
      <c r="U69" s="183" t="s">
        <v>1050</v>
      </c>
      <c r="V69" s="64" t="s">
        <v>741</v>
      </c>
      <c r="W69" s="23" t="str">
        <f t="shared" ca="1" si="52"/>
        <v>SI</v>
      </c>
      <c r="X69" s="23" t="str">
        <f t="shared" si="53"/>
        <v>DIANOSOL</v>
      </c>
      <c r="Y69" s="50" t="s">
        <v>991</v>
      </c>
      <c r="Z69" s="111" t="s">
        <v>1015</v>
      </c>
      <c r="AA69" s="111" t="str">
        <f>IF(Z69&lt;&gt;"",VLOOKUP($Z69,Resultados!$A$1:$B$49,2,FALSE),"")</f>
        <v>Recursos Denegados</v>
      </c>
      <c r="AB69" s="23" t="str">
        <f t="shared" ref="AB69:AB70" ca="1" si="57">IF(R69&gt;TODAY(),"FIJADA","OTRO")</f>
        <v>OTRO</v>
      </c>
      <c r="AC69" s="10">
        <f t="shared" si="54"/>
        <v>14</v>
      </c>
      <c r="AD69" s="10">
        <f t="shared" si="55"/>
        <v>8</v>
      </c>
      <c r="AE69" s="10">
        <f t="shared" si="56"/>
        <v>2023</v>
      </c>
      <c r="AF69" s="1">
        <f t="shared" si="36"/>
        <v>6</v>
      </c>
      <c r="AG69" s="1" t="str">
        <f t="shared" si="37"/>
        <v xml:space="preserve"> </v>
      </c>
      <c r="AH69" s="1" t="str">
        <f t="shared" si="38"/>
        <v xml:space="preserve"> </v>
      </c>
      <c r="AI69" s="1" t="str">
        <f t="shared" si="39"/>
        <v xml:space="preserve"> </v>
      </c>
      <c r="AJ69" s="1" t="str">
        <f t="shared" si="40"/>
        <v xml:space="preserve"> </v>
      </c>
      <c r="AK69" s="1" t="str">
        <f t="shared" si="41"/>
        <v xml:space="preserve"> </v>
      </c>
      <c r="AL69" s="1" t="str">
        <f t="shared" si="42"/>
        <v xml:space="preserve"> </v>
      </c>
      <c r="AM69" s="1" t="str">
        <f t="shared" si="43"/>
        <v xml:space="preserve"> </v>
      </c>
      <c r="AN69" s="1" t="str">
        <f t="shared" si="44"/>
        <v xml:space="preserve"> </v>
      </c>
      <c r="AO69" s="1">
        <f t="shared" si="45"/>
        <v>6</v>
      </c>
      <c r="AP69" s="1" t="str">
        <f t="shared" si="46"/>
        <v xml:space="preserve"> </v>
      </c>
      <c r="AQ69" s="1" t="str">
        <f t="shared" si="47"/>
        <v xml:space="preserve"> </v>
      </c>
      <c r="AR69" s="1" t="str">
        <f t="shared" si="48"/>
        <v xml:space="preserve"> </v>
      </c>
      <c r="AS69" s="1" t="str">
        <f t="shared" si="49"/>
        <v xml:space="preserve"> </v>
      </c>
      <c r="AT69" s="1" t="str">
        <f t="shared" si="50"/>
        <v xml:space="preserve"> </v>
      </c>
      <c r="AU69" s="1" t="str">
        <f t="shared" si="51"/>
        <v xml:space="preserve"> </v>
      </c>
    </row>
    <row r="70" spans="1:47" ht="76.5" hidden="1">
      <c r="A70" s="61">
        <v>68</v>
      </c>
      <c r="B70" s="59">
        <v>45147</v>
      </c>
      <c r="C70" s="165">
        <v>0.5</v>
      </c>
      <c r="D70" s="63" t="s">
        <v>227</v>
      </c>
      <c r="E70" s="64" t="s">
        <v>574</v>
      </c>
      <c r="F70" s="64" t="s">
        <v>575</v>
      </c>
      <c r="G70" s="71" t="s">
        <v>577</v>
      </c>
      <c r="H70" s="64" t="s">
        <v>579</v>
      </c>
      <c r="I70" s="66" t="s">
        <v>582</v>
      </c>
      <c r="J70" s="66" t="s">
        <v>581</v>
      </c>
      <c r="K70" s="70"/>
      <c r="L70" s="70"/>
      <c r="M70" s="64" t="s">
        <v>427</v>
      </c>
      <c r="N70" s="63"/>
      <c r="O70" s="63"/>
      <c r="P70" s="63"/>
      <c r="Q70" s="64" t="s">
        <v>625</v>
      </c>
      <c r="R70" s="59">
        <v>45162</v>
      </c>
      <c r="S70" s="170">
        <v>0.39583333333333331</v>
      </c>
      <c r="T70" s="60" t="s">
        <v>306</v>
      </c>
      <c r="U70" s="182" t="s">
        <v>1140</v>
      </c>
      <c r="V70" s="64" t="s">
        <v>802</v>
      </c>
      <c r="W70" s="23" t="str">
        <f t="shared" ca="1" si="52"/>
        <v>SI</v>
      </c>
      <c r="X70" s="23" t="str">
        <f t="shared" si="53"/>
        <v>DIANOSOL</v>
      </c>
      <c r="Y70" s="50" t="s">
        <v>991</v>
      </c>
      <c r="Z70" s="111" t="s">
        <v>1015</v>
      </c>
      <c r="AA70" s="111" t="str">
        <f>IF(Z70&lt;&gt;"",VLOOKUP($Z70,Resultados!$A$1:$B$49,2,FALSE),"")</f>
        <v>Recursos Denegados</v>
      </c>
      <c r="AB70" s="23" t="str">
        <f t="shared" ca="1" si="57"/>
        <v>OTRO</v>
      </c>
      <c r="AC70" s="10">
        <f t="shared" si="54"/>
        <v>24</v>
      </c>
      <c r="AD70" s="10">
        <f t="shared" si="55"/>
        <v>8</v>
      </c>
      <c r="AE70" s="10">
        <f t="shared" si="56"/>
        <v>2023</v>
      </c>
      <c r="AF70" s="1">
        <f t="shared" si="36"/>
        <v>12</v>
      </c>
      <c r="AG70" s="1" t="str">
        <f t="shared" si="37"/>
        <v xml:space="preserve"> </v>
      </c>
      <c r="AH70" s="1" t="str">
        <f t="shared" si="38"/>
        <v xml:space="preserve"> </v>
      </c>
      <c r="AI70" s="1" t="str">
        <f t="shared" si="39"/>
        <v xml:space="preserve"> </v>
      </c>
      <c r="AJ70" s="1" t="str">
        <f t="shared" si="40"/>
        <v xml:space="preserve"> </v>
      </c>
      <c r="AK70" s="1" t="str">
        <f t="shared" si="41"/>
        <v xml:space="preserve"> </v>
      </c>
      <c r="AL70" s="1" t="str">
        <f t="shared" si="42"/>
        <v xml:space="preserve"> </v>
      </c>
      <c r="AM70" s="1" t="str">
        <f t="shared" si="43"/>
        <v xml:space="preserve"> </v>
      </c>
      <c r="AN70" s="1" t="str">
        <f t="shared" si="44"/>
        <v xml:space="preserve"> </v>
      </c>
      <c r="AO70" s="1">
        <f t="shared" si="45"/>
        <v>12</v>
      </c>
      <c r="AP70" s="1" t="str">
        <f t="shared" si="46"/>
        <v xml:space="preserve"> </v>
      </c>
      <c r="AQ70" s="1" t="str">
        <f t="shared" si="47"/>
        <v xml:space="preserve"> </v>
      </c>
      <c r="AR70" s="1" t="str">
        <f t="shared" si="48"/>
        <v xml:space="preserve"> </v>
      </c>
      <c r="AS70" s="1" t="str">
        <f t="shared" si="49"/>
        <v xml:space="preserve"> </v>
      </c>
      <c r="AT70" s="1" t="str">
        <f t="shared" si="50"/>
        <v xml:space="preserve"> </v>
      </c>
      <c r="AU70" s="1" t="str">
        <f t="shared" si="51"/>
        <v xml:space="preserve"> </v>
      </c>
    </row>
    <row r="71" spans="1:47" ht="76.5" hidden="1">
      <c r="A71" s="41">
        <v>69</v>
      </c>
      <c r="B71" s="73">
        <v>45147</v>
      </c>
      <c r="C71" s="74">
        <v>0.5</v>
      </c>
      <c r="D71" s="5" t="s">
        <v>227</v>
      </c>
      <c r="E71" s="6" t="s">
        <v>574</v>
      </c>
      <c r="F71" s="6" t="s">
        <v>576</v>
      </c>
      <c r="G71" s="49" t="s">
        <v>578</v>
      </c>
      <c r="H71" s="6" t="s">
        <v>580</v>
      </c>
      <c r="I71" s="35" t="s">
        <v>582</v>
      </c>
      <c r="J71" s="35" t="s">
        <v>581</v>
      </c>
      <c r="K71" s="75"/>
      <c r="L71" s="75"/>
      <c r="M71" s="6" t="s">
        <v>697</v>
      </c>
      <c r="N71" s="5"/>
      <c r="O71" s="5"/>
      <c r="P71" s="5"/>
      <c r="Q71" s="6" t="s">
        <v>698</v>
      </c>
      <c r="R71" s="73">
        <v>45162</v>
      </c>
      <c r="S71" s="158">
        <v>0.39583333333333331</v>
      </c>
      <c r="T71" s="34" t="s">
        <v>881</v>
      </c>
      <c r="U71" s="183" t="s">
        <v>1083</v>
      </c>
      <c r="V71" s="64" t="s">
        <v>802</v>
      </c>
      <c r="W71" s="23" t="str">
        <f t="shared" ca="1" si="52"/>
        <v>SI</v>
      </c>
      <c r="X71" s="23" t="str">
        <f t="shared" si="53"/>
        <v>DIANOSOL</v>
      </c>
      <c r="Y71" s="50" t="s">
        <v>991</v>
      </c>
      <c r="Z71" s="111" t="s">
        <v>1011</v>
      </c>
      <c r="AA71" s="111" t="str">
        <f>IF(Z71&lt;&gt;"",VLOOKUP($Z71,Resultados!$A$1:$B$49,2,FALSE),"")</f>
        <v>Recursos Denegados</v>
      </c>
      <c r="AC71" s="10">
        <f t="shared" si="54"/>
        <v>24</v>
      </c>
      <c r="AD71" s="10">
        <f t="shared" si="55"/>
        <v>8</v>
      </c>
      <c r="AE71" s="10">
        <f t="shared" si="56"/>
        <v>2023</v>
      </c>
      <c r="AF71" s="1">
        <f t="shared" si="36"/>
        <v>12</v>
      </c>
      <c r="AG71" s="1" t="str">
        <f t="shared" si="37"/>
        <v xml:space="preserve"> </v>
      </c>
      <c r="AH71" s="1" t="str">
        <f t="shared" si="38"/>
        <v xml:space="preserve"> </v>
      </c>
      <c r="AI71" s="1" t="str">
        <f t="shared" si="39"/>
        <v xml:space="preserve"> </v>
      </c>
      <c r="AJ71" s="1" t="str">
        <f t="shared" si="40"/>
        <v xml:space="preserve"> </v>
      </c>
      <c r="AK71" s="1" t="str">
        <f t="shared" si="41"/>
        <v xml:space="preserve"> </v>
      </c>
      <c r="AL71" s="1" t="str">
        <f t="shared" si="42"/>
        <v xml:space="preserve"> </v>
      </c>
      <c r="AM71" s="1" t="str">
        <f t="shared" si="43"/>
        <v xml:space="preserve"> </v>
      </c>
      <c r="AN71" s="1" t="str">
        <f t="shared" si="44"/>
        <v xml:space="preserve"> </v>
      </c>
      <c r="AO71" s="1">
        <f t="shared" si="45"/>
        <v>12</v>
      </c>
      <c r="AP71" s="1" t="str">
        <f t="shared" si="46"/>
        <v xml:space="preserve"> </v>
      </c>
      <c r="AQ71" s="1" t="str">
        <f t="shared" si="47"/>
        <v xml:space="preserve"> </v>
      </c>
      <c r="AR71" s="1" t="str">
        <f t="shared" si="48"/>
        <v xml:space="preserve"> </v>
      </c>
      <c r="AS71" s="1" t="str">
        <f t="shared" si="49"/>
        <v xml:space="preserve"> </v>
      </c>
      <c r="AT71" s="1" t="str">
        <f t="shared" si="50"/>
        <v xml:space="preserve"> </v>
      </c>
      <c r="AU71" s="1" t="str">
        <f t="shared" si="51"/>
        <v xml:space="preserve"> </v>
      </c>
    </row>
    <row r="72" spans="1:47" ht="38.25" hidden="1">
      <c r="A72" s="41">
        <v>70</v>
      </c>
      <c r="B72" s="73">
        <v>45148</v>
      </c>
      <c r="C72" s="74">
        <v>0.5</v>
      </c>
      <c r="D72" s="5" t="s">
        <v>226</v>
      </c>
      <c r="E72" s="6" t="s">
        <v>584</v>
      </c>
      <c r="F72" s="6" t="s">
        <v>585</v>
      </c>
      <c r="G72" s="76">
        <v>39365037</v>
      </c>
      <c r="H72" s="6" t="s">
        <v>586</v>
      </c>
      <c r="I72" s="35" t="s">
        <v>587</v>
      </c>
      <c r="J72" s="35" t="s">
        <v>588</v>
      </c>
      <c r="K72" s="77">
        <v>37088009</v>
      </c>
      <c r="L72" s="75"/>
      <c r="M72" s="6" t="s">
        <v>589</v>
      </c>
      <c r="N72" s="5"/>
      <c r="O72" s="6" t="s">
        <v>590</v>
      </c>
      <c r="P72" s="5"/>
      <c r="Q72" s="6" t="s">
        <v>135</v>
      </c>
      <c r="R72" s="73">
        <v>45160</v>
      </c>
      <c r="S72" s="158">
        <v>0.47916666666666669</v>
      </c>
      <c r="T72" s="34" t="s">
        <v>881</v>
      </c>
      <c r="U72" s="183" t="s">
        <v>1068</v>
      </c>
      <c r="V72" s="64" t="s">
        <v>815</v>
      </c>
      <c r="W72" s="23" t="str">
        <f t="shared" ca="1" si="52"/>
        <v>SI</v>
      </c>
      <c r="X72" s="23" t="str">
        <f t="shared" si="53"/>
        <v>DIANOSOL</v>
      </c>
      <c r="Y72" s="50" t="s">
        <v>991</v>
      </c>
      <c r="Z72" s="111" t="s">
        <v>1015</v>
      </c>
      <c r="AA72" s="111" t="str">
        <f>IF(Z72&lt;&gt;"",VLOOKUP($Z72,Resultados!$A$1:$B$49,2,FALSE),"")</f>
        <v>Recursos Denegados</v>
      </c>
      <c r="AB72" s="23" t="str">
        <f ca="1">IF(R72&gt;TODAY(),"FIJADA","OTRO")</f>
        <v>OTRO</v>
      </c>
      <c r="AC72" s="10">
        <f t="shared" si="54"/>
        <v>22</v>
      </c>
      <c r="AD72" s="10">
        <f t="shared" si="55"/>
        <v>8</v>
      </c>
      <c r="AE72" s="10">
        <f t="shared" si="56"/>
        <v>2023</v>
      </c>
      <c r="AF72" s="1">
        <f t="shared" si="36"/>
        <v>9</v>
      </c>
      <c r="AG72" s="1" t="str">
        <f t="shared" si="37"/>
        <v xml:space="preserve"> </v>
      </c>
      <c r="AH72" s="1" t="str">
        <f t="shared" si="38"/>
        <v xml:space="preserve"> </v>
      </c>
      <c r="AI72" s="1" t="str">
        <f t="shared" si="39"/>
        <v xml:space="preserve"> </v>
      </c>
      <c r="AJ72" s="1" t="str">
        <f t="shared" si="40"/>
        <v xml:space="preserve"> </v>
      </c>
      <c r="AK72" s="1" t="str">
        <f t="shared" si="41"/>
        <v xml:space="preserve"> </v>
      </c>
      <c r="AL72" s="1" t="str">
        <f t="shared" si="42"/>
        <v xml:space="preserve"> </v>
      </c>
      <c r="AM72" s="1" t="str">
        <f t="shared" si="43"/>
        <v xml:space="preserve"> </v>
      </c>
      <c r="AN72" s="1" t="str">
        <f t="shared" si="44"/>
        <v xml:space="preserve"> </v>
      </c>
      <c r="AO72" s="1">
        <f t="shared" si="45"/>
        <v>9</v>
      </c>
      <c r="AP72" s="1" t="str">
        <f t="shared" si="46"/>
        <v xml:space="preserve"> </v>
      </c>
      <c r="AQ72" s="1" t="str">
        <f t="shared" si="47"/>
        <v xml:space="preserve"> </v>
      </c>
      <c r="AR72" s="1" t="str">
        <f t="shared" si="48"/>
        <v xml:space="preserve"> </v>
      </c>
      <c r="AS72" s="1" t="str">
        <f t="shared" si="49"/>
        <v xml:space="preserve"> </v>
      </c>
      <c r="AT72" s="1" t="str">
        <f t="shared" si="50"/>
        <v xml:space="preserve"> </v>
      </c>
      <c r="AU72" s="1" t="str">
        <f t="shared" si="51"/>
        <v xml:space="preserve"> </v>
      </c>
    </row>
    <row r="73" spans="1:47" ht="102" hidden="1">
      <c r="A73" s="55">
        <v>71</v>
      </c>
      <c r="B73" s="52">
        <v>45152</v>
      </c>
      <c r="C73" s="162">
        <v>0.45833333333333331</v>
      </c>
      <c r="D73" s="38" t="s">
        <v>228</v>
      </c>
      <c r="E73" s="50" t="s">
        <v>595</v>
      </c>
      <c r="F73" s="50" t="s">
        <v>596</v>
      </c>
      <c r="G73" s="56">
        <v>18901810</v>
      </c>
      <c r="H73" s="50" t="s">
        <v>597</v>
      </c>
      <c r="I73" s="39" t="s">
        <v>599</v>
      </c>
      <c r="J73" s="58"/>
      <c r="K73" s="58"/>
      <c r="L73" s="58"/>
      <c r="M73" s="50" t="s">
        <v>600</v>
      </c>
      <c r="N73" s="38"/>
      <c r="O73" s="50" t="s">
        <v>601</v>
      </c>
      <c r="P73" s="38"/>
      <c r="Q73" s="50" t="s">
        <v>131</v>
      </c>
      <c r="R73" s="47"/>
      <c r="S73" s="162"/>
      <c r="T73" s="47" t="s">
        <v>938</v>
      </c>
      <c r="U73" s="183" t="s">
        <v>1087</v>
      </c>
      <c r="V73" s="64" t="s">
        <v>816</v>
      </c>
      <c r="W73" s="23" t="str">
        <f t="shared" ca="1" si="52"/>
        <v>SI</v>
      </c>
      <c r="X73" s="23" t="str">
        <f t="shared" si="53"/>
        <v>DIANOSOL</v>
      </c>
      <c r="Y73" s="50" t="s">
        <v>991</v>
      </c>
      <c r="Z73" s="111" t="s">
        <v>1035</v>
      </c>
      <c r="AA73" s="111" t="str">
        <f>IF(Z73&lt;&gt;"",VLOOKUP($Z73,Resultados!$A$1:$B$49,2,FALSE),"")</f>
        <v>Recursos Inadmisibles</v>
      </c>
      <c r="AC73" s="10">
        <f t="shared" si="54"/>
        <v>0</v>
      </c>
      <c r="AD73" s="10">
        <f t="shared" si="55"/>
        <v>1</v>
      </c>
      <c r="AE73" s="10">
        <f t="shared" si="56"/>
        <v>1900</v>
      </c>
      <c r="AF73" s="1" t="str">
        <f t="shared" si="36"/>
        <v xml:space="preserve"> </v>
      </c>
      <c r="AG73" s="1" t="str">
        <f t="shared" si="37"/>
        <v xml:space="preserve"> </v>
      </c>
      <c r="AH73" s="1" t="str">
        <f t="shared" si="38"/>
        <v xml:space="preserve"> </v>
      </c>
      <c r="AI73" s="1" t="str">
        <f t="shared" si="39"/>
        <v xml:space="preserve"> </v>
      </c>
      <c r="AJ73" s="1" t="str">
        <f t="shared" si="40"/>
        <v xml:space="preserve"> </v>
      </c>
      <c r="AK73" s="1" t="str">
        <f t="shared" si="41"/>
        <v xml:space="preserve"> </v>
      </c>
      <c r="AL73" s="1" t="str">
        <f t="shared" si="42"/>
        <v xml:space="preserve"> </v>
      </c>
      <c r="AM73" s="1" t="str">
        <f t="shared" si="43"/>
        <v xml:space="preserve"> </v>
      </c>
      <c r="AN73" s="1" t="str">
        <f t="shared" si="44"/>
        <v xml:space="preserve"> </v>
      </c>
      <c r="AO73" s="1" t="str">
        <f t="shared" si="45"/>
        <v xml:space="preserve"> </v>
      </c>
      <c r="AP73" s="1" t="str">
        <f t="shared" si="46"/>
        <v xml:space="preserve"> </v>
      </c>
      <c r="AQ73" s="1" t="str">
        <f t="shared" si="47"/>
        <v xml:space="preserve"> </v>
      </c>
      <c r="AR73" s="1" t="str">
        <f t="shared" si="48"/>
        <v xml:space="preserve"> </v>
      </c>
      <c r="AS73" s="1" t="str">
        <f t="shared" si="49"/>
        <v xml:space="preserve"> </v>
      </c>
      <c r="AT73" s="1" t="str">
        <f t="shared" si="50"/>
        <v xml:space="preserve"> </v>
      </c>
      <c r="AU73" s="1" t="str">
        <f t="shared" si="51"/>
        <v xml:space="preserve"> </v>
      </c>
    </row>
    <row r="74" spans="1:47" ht="102" hidden="1">
      <c r="A74" s="41">
        <v>72</v>
      </c>
      <c r="B74" s="73">
        <v>45153</v>
      </c>
      <c r="C74" s="74">
        <v>0.375</v>
      </c>
      <c r="D74" s="5" t="s">
        <v>228</v>
      </c>
      <c r="E74" s="6" t="s">
        <v>603</v>
      </c>
      <c r="F74" s="6" t="s">
        <v>608</v>
      </c>
      <c r="G74" s="76">
        <v>33979335</v>
      </c>
      <c r="H74" s="6" t="s">
        <v>604</v>
      </c>
      <c r="I74" s="35" t="s">
        <v>605</v>
      </c>
      <c r="J74" s="35" t="s">
        <v>606</v>
      </c>
      <c r="K74" s="77">
        <v>33705261</v>
      </c>
      <c r="L74" s="75" t="s">
        <v>609</v>
      </c>
      <c r="M74" s="5" t="s">
        <v>610</v>
      </c>
      <c r="N74" s="5"/>
      <c r="O74" s="5" t="s">
        <v>611</v>
      </c>
      <c r="P74" s="5"/>
      <c r="Q74" s="5" t="s">
        <v>135</v>
      </c>
      <c r="R74" s="73">
        <v>45162</v>
      </c>
      <c r="S74" s="158">
        <v>0.4375</v>
      </c>
      <c r="T74" s="34" t="s">
        <v>911</v>
      </c>
      <c r="U74" s="181" t="s">
        <v>1177</v>
      </c>
      <c r="V74" s="63" t="s">
        <v>815</v>
      </c>
      <c r="W74" s="23" t="str">
        <f t="shared" ca="1" si="52"/>
        <v>SI</v>
      </c>
      <c r="X74" s="23" t="str">
        <f t="shared" si="53"/>
        <v>DIANOSOL</v>
      </c>
      <c r="Y74" s="50" t="s">
        <v>991</v>
      </c>
      <c r="Z74" s="111" t="s">
        <v>1015</v>
      </c>
      <c r="AA74" s="111" t="str">
        <f>IF(Z74&lt;&gt;"",VLOOKUP($Z74,Resultados!$A$1:$B$49,2,FALSE),"")</f>
        <v>Recursos Denegados</v>
      </c>
      <c r="AB74" s="23" t="str">
        <f ca="1">IF(R74&gt;TODAY(),"FIJADA","OTRO")</f>
        <v>OTRO</v>
      </c>
      <c r="AC74" s="10">
        <f t="shared" si="54"/>
        <v>24</v>
      </c>
      <c r="AD74" s="10">
        <f t="shared" si="55"/>
        <v>8</v>
      </c>
      <c r="AE74" s="10">
        <f t="shared" si="56"/>
        <v>2023</v>
      </c>
      <c r="AF74" s="1">
        <f t="shared" si="36"/>
        <v>8</v>
      </c>
      <c r="AG74" s="1" t="str">
        <f t="shared" si="37"/>
        <v xml:space="preserve"> </v>
      </c>
      <c r="AH74" s="1" t="str">
        <f t="shared" si="38"/>
        <v xml:space="preserve"> </v>
      </c>
      <c r="AI74" s="1" t="str">
        <f t="shared" si="39"/>
        <v xml:space="preserve"> </v>
      </c>
      <c r="AJ74" s="1" t="str">
        <f t="shared" si="40"/>
        <v xml:space="preserve"> </v>
      </c>
      <c r="AK74" s="1" t="str">
        <f t="shared" si="41"/>
        <v xml:space="preserve"> </v>
      </c>
      <c r="AL74" s="1" t="str">
        <f t="shared" si="42"/>
        <v xml:space="preserve"> </v>
      </c>
      <c r="AM74" s="1" t="str">
        <f t="shared" si="43"/>
        <v xml:space="preserve"> </v>
      </c>
      <c r="AN74" s="1" t="str">
        <f t="shared" si="44"/>
        <v xml:space="preserve"> </v>
      </c>
      <c r="AO74" s="1">
        <f t="shared" si="45"/>
        <v>8</v>
      </c>
      <c r="AP74" s="1" t="str">
        <f t="shared" si="46"/>
        <v xml:space="preserve"> </v>
      </c>
      <c r="AQ74" s="1" t="str">
        <f t="shared" si="47"/>
        <v xml:space="preserve"> </v>
      </c>
      <c r="AR74" s="1" t="str">
        <f t="shared" si="48"/>
        <v xml:space="preserve"> </v>
      </c>
      <c r="AS74" s="1" t="str">
        <f t="shared" si="49"/>
        <v xml:space="preserve"> </v>
      </c>
      <c r="AT74" s="1" t="str">
        <f t="shared" si="50"/>
        <v xml:space="preserve"> </v>
      </c>
      <c r="AU74" s="1" t="str">
        <f t="shared" si="51"/>
        <v xml:space="preserve"> </v>
      </c>
    </row>
    <row r="75" spans="1:47" ht="38.25" hidden="1">
      <c r="A75" s="61">
        <v>73</v>
      </c>
      <c r="B75" s="59">
        <v>45153</v>
      </c>
      <c r="C75" s="165">
        <v>0.41666666666666669</v>
      </c>
      <c r="D75" s="63" t="s">
        <v>104</v>
      </c>
      <c r="E75" s="63" t="s">
        <v>612</v>
      </c>
      <c r="F75" s="63" t="s">
        <v>613</v>
      </c>
      <c r="G75" s="65">
        <v>39003460</v>
      </c>
      <c r="H75" s="63" t="s">
        <v>614</v>
      </c>
      <c r="I75" s="70" t="s">
        <v>615</v>
      </c>
      <c r="J75" s="70" t="s">
        <v>616</v>
      </c>
      <c r="K75" s="67">
        <v>34846931</v>
      </c>
      <c r="L75" s="70" t="s">
        <v>617</v>
      </c>
      <c r="M75" s="64" t="s">
        <v>773</v>
      </c>
      <c r="N75" s="63"/>
      <c r="O75" s="63"/>
      <c r="P75" s="63"/>
      <c r="Q75" s="63" t="s">
        <v>135</v>
      </c>
      <c r="R75" s="60">
        <v>45169</v>
      </c>
      <c r="S75" s="170">
        <v>0.39583333333333331</v>
      </c>
      <c r="T75" s="60" t="s">
        <v>917</v>
      </c>
      <c r="U75" s="183"/>
      <c r="V75" s="63" t="s">
        <v>815</v>
      </c>
      <c r="W75" s="23" t="str">
        <f t="shared" ca="1" si="52"/>
        <v>SI</v>
      </c>
      <c r="X75" s="23" t="str">
        <f t="shared" si="53"/>
        <v>DIANOSOL</v>
      </c>
      <c r="Y75" s="50" t="s">
        <v>991</v>
      </c>
      <c r="Z75" s="111" t="s">
        <v>1032</v>
      </c>
      <c r="AA75" s="111" t="str">
        <f>IF(Z75&lt;&gt;"",VLOOKUP($Z75,Resultados!$A$1:$B$49,2,FALSE),"")</f>
        <v>Desestimientos de Recursos</v>
      </c>
      <c r="AC75" s="10">
        <f t="shared" si="54"/>
        <v>31</v>
      </c>
      <c r="AD75" s="10">
        <f t="shared" si="55"/>
        <v>8</v>
      </c>
      <c r="AE75" s="10">
        <f t="shared" si="56"/>
        <v>2023</v>
      </c>
      <c r="AF75" s="1">
        <f t="shared" si="36"/>
        <v>13</v>
      </c>
      <c r="AG75" s="1" t="str">
        <f t="shared" si="37"/>
        <v xml:space="preserve"> </v>
      </c>
      <c r="AH75" s="1" t="str">
        <f t="shared" si="38"/>
        <v xml:space="preserve"> </v>
      </c>
      <c r="AI75" s="1" t="str">
        <f t="shared" si="39"/>
        <v xml:space="preserve"> </v>
      </c>
      <c r="AJ75" s="1" t="str">
        <f t="shared" si="40"/>
        <v xml:space="preserve"> </v>
      </c>
      <c r="AK75" s="1" t="str">
        <f t="shared" si="41"/>
        <v xml:space="preserve"> </v>
      </c>
      <c r="AL75" s="1" t="str">
        <f t="shared" si="42"/>
        <v xml:space="preserve"> </v>
      </c>
      <c r="AM75" s="1" t="str">
        <f t="shared" si="43"/>
        <v xml:space="preserve"> </v>
      </c>
      <c r="AN75" s="1" t="str">
        <f t="shared" si="44"/>
        <v xml:space="preserve"> </v>
      </c>
      <c r="AO75" s="1">
        <f t="shared" si="45"/>
        <v>13</v>
      </c>
      <c r="AP75" s="1" t="str">
        <f t="shared" si="46"/>
        <v xml:space="preserve"> </v>
      </c>
      <c r="AQ75" s="1" t="str">
        <f t="shared" si="47"/>
        <v xml:space="preserve"> </v>
      </c>
      <c r="AR75" s="1" t="str">
        <f t="shared" si="48"/>
        <v xml:space="preserve"> </v>
      </c>
      <c r="AS75" s="1" t="str">
        <f t="shared" si="49"/>
        <v xml:space="preserve"> </v>
      </c>
      <c r="AT75" s="1" t="str">
        <f t="shared" si="50"/>
        <v xml:space="preserve"> </v>
      </c>
      <c r="AU75" s="1" t="str">
        <f t="shared" si="51"/>
        <v xml:space="preserve"> </v>
      </c>
    </row>
    <row r="76" spans="1:47" ht="102" hidden="1">
      <c r="A76" s="41">
        <v>74</v>
      </c>
      <c r="B76" s="73">
        <v>45153</v>
      </c>
      <c r="C76" s="74">
        <v>0.45833333333333331</v>
      </c>
      <c r="D76" s="5" t="s">
        <v>229</v>
      </c>
      <c r="E76" s="6" t="s">
        <v>618</v>
      </c>
      <c r="F76" s="6" t="s">
        <v>619</v>
      </c>
      <c r="G76" s="76">
        <v>38032530</v>
      </c>
      <c r="H76" s="6" t="s">
        <v>621</v>
      </c>
      <c r="I76" s="35" t="s">
        <v>620</v>
      </c>
      <c r="J76" s="35" t="s">
        <v>622</v>
      </c>
      <c r="K76" s="77">
        <v>46801905</v>
      </c>
      <c r="L76" s="75"/>
      <c r="M76" s="6" t="s">
        <v>623</v>
      </c>
      <c r="N76" s="5"/>
      <c r="O76" s="6" t="s">
        <v>624</v>
      </c>
      <c r="P76" s="5"/>
      <c r="Q76" s="5"/>
      <c r="R76" s="73">
        <v>45160</v>
      </c>
      <c r="S76" s="158">
        <v>0.39583333333333331</v>
      </c>
      <c r="T76" s="34" t="s">
        <v>881</v>
      </c>
      <c r="U76" s="186" t="s">
        <v>1004</v>
      </c>
      <c r="V76" s="63"/>
      <c r="W76" s="23" t="str">
        <f t="shared" ca="1" si="52"/>
        <v>SI</v>
      </c>
      <c r="X76" s="23" t="str">
        <f t="shared" si="53"/>
        <v>DIANOSOL</v>
      </c>
      <c r="Y76" s="50" t="s">
        <v>991</v>
      </c>
      <c r="Z76" s="111" t="s">
        <v>1015</v>
      </c>
      <c r="AA76" s="111" t="str">
        <f>IF(Z76&lt;&gt;"",VLOOKUP($Z76,Resultados!$A$1:$B$49,2,FALSE),"")</f>
        <v>Recursos Denegados</v>
      </c>
      <c r="AB76" s="23" t="str">
        <f ca="1">IF(R76&gt;TODAY(),"FIJADA","OTRO")</f>
        <v>OTRO</v>
      </c>
      <c r="AC76" s="10">
        <f t="shared" si="54"/>
        <v>22</v>
      </c>
      <c r="AD76" s="10">
        <f t="shared" si="55"/>
        <v>8</v>
      </c>
      <c r="AE76" s="10">
        <f t="shared" si="56"/>
        <v>2023</v>
      </c>
      <c r="AF76" s="1">
        <f t="shared" si="36"/>
        <v>6</v>
      </c>
      <c r="AG76" s="1" t="str">
        <f t="shared" si="37"/>
        <v xml:space="preserve"> </v>
      </c>
      <c r="AH76" s="1" t="str">
        <f t="shared" si="38"/>
        <v xml:space="preserve"> </v>
      </c>
      <c r="AI76" s="1" t="str">
        <f t="shared" si="39"/>
        <v xml:space="preserve"> </v>
      </c>
      <c r="AJ76" s="1" t="str">
        <f t="shared" si="40"/>
        <v xml:space="preserve"> </v>
      </c>
      <c r="AK76" s="1" t="str">
        <f t="shared" si="41"/>
        <v xml:space="preserve"> </v>
      </c>
      <c r="AL76" s="1" t="str">
        <f t="shared" si="42"/>
        <v xml:space="preserve"> </v>
      </c>
      <c r="AM76" s="1" t="str">
        <f t="shared" si="43"/>
        <v xml:space="preserve"> </v>
      </c>
      <c r="AN76" s="1" t="str">
        <f t="shared" si="44"/>
        <v xml:space="preserve"> </v>
      </c>
      <c r="AO76" s="1">
        <f t="shared" si="45"/>
        <v>6</v>
      </c>
      <c r="AP76" s="1" t="str">
        <f t="shared" si="46"/>
        <v xml:space="preserve"> </v>
      </c>
      <c r="AQ76" s="1" t="str">
        <f t="shared" si="47"/>
        <v xml:space="preserve"> </v>
      </c>
      <c r="AR76" s="1" t="str">
        <f t="shared" si="48"/>
        <v xml:space="preserve"> </v>
      </c>
      <c r="AS76" s="1" t="str">
        <f t="shared" si="49"/>
        <v xml:space="preserve"> </v>
      </c>
      <c r="AT76" s="1" t="str">
        <f t="shared" si="50"/>
        <v xml:space="preserve"> </v>
      </c>
      <c r="AU76" s="1" t="str">
        <f t="shared" si="51"/>
        <v xml:space="preserve"> </v>
      </c>
    </row>
    <row r="77" spans="1:47" ht="38.25" hidden="1">
      <c r="A77" s="61">
        <v>75</v>
      </c>
      <c r="B77" s="59">
        <v>45153</v>
      </c>
      <c r="C77" s="170">
        <v>0.45833333333333331</v>
      </c>
      <c r="D77" s="63" t="s">
        <v>225</v>
      </c>
      <c r="E77" s="64" t="s">
        <v>626</v>
      </c>
      <c r="F77" s="64" t="s">
        <v>627</v>
      </c>
      <c r="G77" s="63"/>
      <c r="H77" s="63"/>
      <c r="I77" s="66" t="s">
        <v>628</v>
      </c>
      <c r="J77" s="70"/>
      <c r="K77" s="70"/>
      <c r="L77" s="70"/>
      <c r="M77" s="64" t="s">
        <v>461</v>
      </c>
      <c r="N77" s="63"/>
      <c r="O77" s="63"/>
      <c r="P77" s="63"/>
      <c r="Q77" s="64" t="s">
        <v>625</v>
      </c>
      <c r="R77" s="59">
        <v>45154</v>
      </c>
      <c r="S77" s="170">
        <v>0.4375</v>
      </c>
      <c r="T77" s="60" t="s">
        <v>664</v>
      </c>
      <c r="U77" s="183" t="s">
        <v>988</v>
      </c>
      <c r="V77" s="63"/>
      <c r="W77" s="23" t="str">
        <f t="shared" ca="1" si="52"/>
        <v>SI</v>
      </c>
      <c r="X77" s="23" t="str">
        <f t="shared" si="53"/>
        <v>DIANOSOL</v>
      </c>
      <c r="Y77" s="50"/>
      <c r="Z77" s="111" t="s">
        <v>1037</v>
      </c>
      <c r="AA77" s="111" t="str">
        <f>IF(Z77&lt;&gt;"",VLOOKUP($Z77,Resultados!$A$1:$B$49,2,FALSE),"")</f>
        <v>Audiencias de Visu</v>
      </c>
      <c r="AC77" s="10">
        <f t="shared" si="54"/>
        <v>16</v>
      </c>
      <c r="AD77" s="10">
        <f t="shared" si="55"/>
        <v>8</v>
      </c>
      <c r="AE77" s="10">
        <f t="shared" si="56"/>
        <v>2023</v>
      </c>
      <c r="AF77" s="1">
        <f t="shared" si="36"/>
        <v>2</v>
      </c>
      <c r="AG77" s="1" t="str">
        <f t="shared" si="37"/>
        <v xml:space="preserve"> </v>
      </c>
      <c r="AH77" s="1" t="str">
        <f t="shared" si="38"/>
        <v xml:space="preserve"> </v>
      </c>
      <c r="AI77" s="1" t="str">
        <f t="shared" si="39"/>
        <v xml:space="preserve"> </v>
      </c>
      <c r="AJ77" s="1" t="str">
        <f t="shared" si="40"/>
        <v xml:space="preserve"> </v>
      </c>
      <c r="AK77" s="1" t="str">
        <f t="shared" si="41"/>
        <v xml:space="preserve"> </v>
      </c>
      <c r="AL77" s="1" t="str">
        <f t="shared" si="42"/>
        <v xml:space="preserve"> </v>
      </c>
      <c r="AM77" s="1" t="str">
        <f t="shared" si="43"/>
        <v xml:space="preserve"> </v>
      </c>
      <c r="AN77" s="1" t="str">
        <f t="shared" si="44"/>
        <v xml:space="preserve"> </v>
      </c>
      <c r="AO77" s="1">
        <f t="shared" si="45"/>
        <v>2</v>
      </c>
      <c r="AP77" s="1" t="str">
        <f t="shared" si="46"/>
        <v xml:space="preserve"> </v>
      </c>
      <c r="AQ77" s="1" t="str">
        <f t="shared" si="47"/>
        <v xml:space="preserve"> </v>
      </c>
      <c r="AR77" s="1" t="str">
        <f t="shared" si="48"/>
        <v xml:space="preserve"> </v>
      </c>
      <c r="AS77" s="1" t="str">
        <f t="shared" si="49"/>
        <v xml:space="preserve"> </v>
      </c>
      <c r="AT77" s="1" t="str">
        <f t="shared" si="50"/>
        <v xml:space="preserve"> </v>
      </c>
      <c r="AU77" s="1" t="str">
        <f t="shared" si="51"/>
        <v xml:space="preserve"> </v>
      </c>
    </row>
    <row r="78" spans="1:47" ht="51" hidden="1">
      <c r="A78" s="61">
        <v>76</v>
      </c>
      <c r="B78" s="59">
        <v>45153</v>
      </c>
      <c r="C78" s="165">
        <v>0.5</v>
      </c>
      <c r="D78" s="63" t="s">
        <v>104</v>
      </c>
      <c r="E78" s="64" t="s">
        <v>629</v>
      </c>
      <c r="F78" s="64" t="s">
        <v>630</v>
      </c>
      <c r="G78" s="65">
        <v>14994961</v>
      </c>
      <c r="H78" s="64" t="s">
        <v>631</v>
      </c>
      <c r="I78" s="66" t="s">
        <v>632</v>
      </c>
      <c r="J78" s="66" t="s">
        <v>633</v>
      </c>
      <c r="K78" s="70"/>
      <c r="L78" s="70"/>
      <c r="M78" s="64" t="s">
        <v>634</v>
      </c>
      <c r="N78" s="64" t="s">
        <v>635</v>
      </c>
      <c r="O78" s="63"/>
      <c r="P78" s="63"/>
      <c r="Q78" s="64" t="s">
        <v>598</v>
      </c>
      <c r="R78" s="59">
        <v>45162</v>
      </c>
      <c r="S78" s="170">
        <v>0.47916666666666669</v>
      </c>
      <c r="T78" s="60" t="s">
        <v>918</v>
      </c>
      <c r="U78" s="181"/>
      <c r="V78" s="50" t="s">
        <v>379</v>
      </c>
      <c r="W78" s="23" t="str">
        <f t="shared" ca="1" si="52"/>
        <v>SI</v>
      </c>
      <c r="X78" s="23" t="str">
        <f t="shared" si="53"/>
        <v>DIANOSOL</v>
      </c>
      <c r="Y78" s="50" t="s">
        <v>991</v>
      </c>
      <c r="Z78" s="111" t="s">
        <v>1022</v>
      </c>
      <c r="AA78" s="111" t="str">
        <f>IF(Z78&lt;&gt;"",VLOOKUP($Z78,Resultados!$A$1:$B$49,2,FALSE),"")</f>
        <v>Recursos donde se hizo lugar</v>
      </c>
      <c r="AC78" s="10">
        <f t="shared" si="54"/>
        <v>24</v>
      </c>
      <c r="AD78" s="10">
        <f t="shared" si="55"/>
        <v>8</v>
      </c>
      <c r="AE78" s="10">
        <f t="shared" si="56"/>
        <v>2023</v>
      </c>
      <c r="AF78" s="1">
        <f t="shared" si="36"/>
        <v>8</v>
      </c>
      <c r="AG78" s="1" t="str">
        <f t="shared" si="37"/>
        <v xml:space="preserve"> </v>
      </c>
      <c r="AH78" s="1" t="str">
        <f t="shared" si="38"/>
        <v xml:space="preserve"> </v>
      </c>
      <c r="AI78" s="1" t="str">
        <f t="shared" si="39"/>
        <v xml:space="preserve"> </v>
      </c>
      <c r="AJ78" s="1" t="str">
        <f t="shared" si="40"/>
        <v xml:space="preserve"> </v>
      </c>
      <c r="AK78" s="1" t="str">
        <f t="shared" si="41"/>
        <v xml:space="preserve"> </v>
      </c>
      <c r="AL78" s="1" t="str">
        <f t="shared" si="42"/>
        <v xml:space="preserve"> </v>
      </c>
      <c r="AM78" s="1" t="str">
        <f t="shared" si="43"/>
        <v xml:space="preserve"> </v>
      </c>
      <c r="AN78" s="1" t="str">
        <f t="shared" si="44"/>
        <v xml:space="preserve"> </v>
      </c>
      <c r="AO78" s="1">
        <f t="shared" si="45"/>
        <v>8</v>
      </c>
      <c r="AP78" s="1" t="str">
        <f t="shared" si="46"/>
        <v xml:space="preserve"> </v>
      </c>
      <c r="AQ78" s="1" t="str">
        <f t="shared" si="47"/>
        <v xml:space="preserve"> </v>
      </c>
      <c r="AR78" s="1" t="str">
        <f t="shared" si="48"/>
        <v xml:space="preserve"> </v>
      </c>
      <c r="AS78" s="1" t="str">
        <f t="shared" si="49"/>
        <v xml:space="preserve"> </v>
      </c>
      <c r="AT78" s="1" t="str">
        <f t="shared" si="50"/>
        <v xml:space="preserve"> </v>
      </c>
      <c r="AU78" s="1" t="str">
        <f t="shared" si="51"/>
        <v xml:space="preserve"> </v>
      </c>
    </row>
    <row r="79" spans="1:47" ht="38.25" hidden="1">
      <c r="A79" s="78">
        <v>77</v>
      </c>
      <c r="B79" s="79">
        <v>45153</v>
      </c>
      <c r="C79" s="80">
        <v>0.5</v>
      </c>
      <c r="D79" s="81" t="s">
        <v>103</v>
      </c>
      <c r="E79" s="82" t="s">
        <v>636</v>
      </c>
      <c r="F79" s="82" t="s">
        <v>637</v>
      </c>
      <c r="G79" s="83">
        <v>39535870</v>
      </c>
      <c r="H79" s="82" t="s">
        <v>638</v>
      </c>
      <c r="I79" s="84" t="s">
        <v>639</v>
      </c>
      <c r="J79" s="85"/>
      <c r="K79" s="85"/>
      <c r="L79" s="85"/>
      <c r="M79" s="82" t="s">
        <v>458</v>
      </c>
      <c r="N79" s="81"/>
      <c r="O79" s="81"/>
      <c r="P79" s="81"/>
      <c r="Q79" s="82" t="s">
        <v>598</v>
      </c>
      <c r="R79" s="86">
        <v>45163</v>
      </c>
      <c r="S79" s="164">
        <v>0.375</v>
      </c>
      <c r="T79" s="86" t="s">
        <v>928</v>
      </c>
      <c r="U79" s="182" t="s">
        <v>1262</v>
      </c>
      <c r="V79" s="82" t="s">
        <v>394</v>
      </c>
      <c r="W79" s="23" t="str">
        <f t="shared" ca="1" si="52"/>
        <v>SI</v>
      </c>
      <c r="X79" s="23" t="str">
        <f t="shared" si="53"/>
        <v>DIANOSOL</v>
      </c>
      <c r="Y79" s="50" t="s">
        <v>991</v>
      </c>
      <c r="Z79" s="111" t="s">
        <v>1041</v>
      </c>
      <c r="AA79" s="111" t="str">
        <f>IF(Z79&lt;&gt;"",VLOOKUP($Z79,Resultados!$A$1:$B$49,2,FALSE),"")</f>
        <v xml:space="preserve">Otros </v>
      </c>
      <c r="AC79" s="10">
        <f t="shared" si="54"/>
        <v>25</v>
      </c>
      <c r="AD79" s="10">
        <f t="shared" si="55"/>
        <v>8</v>
      </c>
      <c r="AE79" s="10">
        <f t="shared" si="56"/>
        <v>2023</v>
      </c>
      <c r="AF79" s="1">
        <f t="shared" si="36"/>
        <v>9</v>
      </c>
      <c r="AG79" s="1" t="str">
        <f t="shared" si="37"/>
        <v xml:space="preserve"> </v>
      </c>
      <c r="AH79" s="1" t="str">
        <f t="shared" si="38"/>
        <v xml:space="preserve"> </v>
      </c>
      <c r="AI79" s="1" t="str">
        <f t="shared" si="39"/>
        <v xml:space="preserve"> </v>
      </c>
      <c r="AJ79" s="1" t="str">
        <f t="shared" si="40"/>
        <v xml:space="preserve"> </v>
      </c>
      <c r="AK79" s="1" t="str">
        <f t="shared" si="41"/>
        <v xml:space="preserve"> </v>
      </c>
      <c r="AL79" s="1" t="str">
        <f t="shared" si="42"/>
        <v xml:space="preserve"> </v>
      </c>
      <c r="AM79" s="1" t="str">
        <f t="shared" si="43"/>
        <v xml:space="preserve"> </v>
      </c>
      <c r="AN79" s="1" t="str">
        <f t="shared" si="44"/>
        <v xml:space="preserve"> </v>
      </c>
      <c r="AO79" s="1">
        <f t="shared" si="45"/>
        <v>9</v>
      </c>
      <c r="AP79" s="1" t="str">
        <f t="shared" si="46"/>
        <v xml:space="preserve"> </v>
      </c>
      <c r="AQ79" s="1" t="str">
        <f t="shared" si="47"/>
        <v xml:space="preserve"> </v>
      </c>
      <c r="AR79" s="1" t="str">
        <f t="shared" si="48"/>
        <v xml:space="preserve"> </v>
      </c>
      <c r="AS79" s="1" t="str">
        <f t="shared" si="49"/>
        <v xml:space="preserve"> </v>
      </c>
      <c r="AT79" s="1" t="str">
        <f t="shared" si="50"/>
        <v xml:space="preserve"> </v>
      </c>
      <c r="AU79" s="1" t="str">
        <f t="shared" si="51"/>
        <v xml:space="preserve"> </v>
      </c>
    </row>
    <row r="80" spans="1:47" ht="51" hidden="1">
      <c r="A80" s="61">
        <v>78</v>
      </c>
      <c r="B80" s="59">
        <v>45153</v>
      </c>
      <c r="C80" s="165">
        <v>0.5</v>
      </c>
      <c r="D80" s="63" t="s">
        <v>107</v>
      </c>
      <c r="E80" s="64" t="s">
        <v>640</v>
      </c>
      <c r="F80" s="64" t="s">
        <v>641</v>
      </c>
      <c r="G80" s="65">
        <v>41422147</v>
      </c>
      <c r="H80" s="64" t="s">
        <v>642</v>
      </c>
      <c r="I80" s="66" t="s">
        <v>643</v>
      </c>
      <c r="J80" s="66" t="s">
        <v>644</v>
      </c>
      <c r="K80" s="67">
        <v>44696273</v>
      </c>
      <c r="L80" s="66" t="s">
        <v>645</v>
      </c>
      <c r="M80" s="64" t="s">
        <v>646</v>
      </c>
      <c r="N80" s="63"/>
      <c r="O80" s="63"/>
      <c r="P80" s="63"/>
      <c r="Q80" s="64" t="s">
        <v>570</v>
      </c>
      <c r="R80" s="59">
        <v>45167</v>
      </c>
      <c r="S80" s="170">
        <v>0.52083333333333337</v>
      </c>
      <c r="T80" s="60" t="s">
        <v>929</v>
      </c>
      <c r="U80" s="187"/>
      <c r="V80" s="50" t="s">
        <v>398</v>
      </c>
      <c r="W80" s="23" t="str">
        <f t="shared" ca="1" si="52"/>
        <v>SI</v>
      </c>
      <c r="X80" s="23" t="str">
        <f t="shared" si="53"/>
        <v>DIANOSOL</v>
      </c>
      <c r="Y80" s="50" t="s">
        <v>991</v>
      </c>
      <c r="Z80" s="111" t="s">
        <v>1022</v>
      </c>
      <c r="AA80" s="111" t="str">
        <f>IF(Z80&lt;&gt;"",VLOOKUP($Z80,Resultados!$A$1:$B$49,2,FALSE),"")</f>
        <v>Recursos donde se hizo lugar</v>
      </c>
      <c r="AC80" s="10">
        <f t="shared" si="54"/>
        <v>29</v>
      </c>
      <c r="AD80" s="10">
        <f t="shared" si="55"/>
        <v>8</v>
      </c>
      <c r="AE80" s="10">
        <f t="shared" si="56"/>
        <v>2023</v>
      </c>
      <c r="AF80" s="1">
        <f t="shared" si="36"/>
        <v>11</v>
      </c>
      <c r="AG80" s="1" t="str">
        <f t="shared" si="37"/>
        <v xml:space="preserve"> </v>
      </c>
      <c r="AH80" s="1" t="str">
        <f t="shared" si="38"/>
        <v xml:space="preserve"> </v>
      </c>
      <c r="AI80" s="1" t="str">
        <f t="shared" si="39"/>
        <v xml:space="preserve"> </v>
      </c>
      <c r="AJ80" s="1" t="str">
        <f t="shared" si="40"/>
        <v xml:space="preserve"> </v>
      </c>
      <c r="AK80" s="1" t="str">
        <f t="shared" si="41"/>
        <v xml:space="preserve"> </v>
      </c>
      <c r="AL80" s="1" t="str">
        <f t="shared" si="42"/>
        <v xml:space="preserve"> </v>
      </c>
      <c r="AM80" s="1" t="str">
        <f t="shared" si="43"/>
        <v xml:space="preserve"> </v>
      </c>
      <c r="AN80" s="1" t="str">
        <f t="shared" si="44"/>
        <v xml:space="preserve"> </v>
      </c>
      <c r="AO80" s="1">
        <f t="shared" si="45"/>
        <v>11</v>
      </c>
      <c r="AP80" s="1" t="str">
        <f t="shared" si="46"/>
        <v xml:space="preserve"> </v>
      </c>
      <c r="AQ80" s="1" t="str">
        <f t="shared" si="47"/>
        <v xml:space="preserve"> </v>
      </c>
      <c r="AR80" s="1" t="str">
        <f t="shared" si="48"/>
        <v xml:space="preserve"> </v>
      </c>
      <c r="AS80" s="1" t="str">
        <f t="shared" si="49"/>
        <v xml:space="preserve"> </v>
      </c>
      <c r="AT80" s="1" t="str">
        <f t="shared" si="50"/>
        <v xml:space="preserve"> </v>
      </c>
      <c r="AU80" s="1" t="str">
        <f t="shared" si="51"/>
        <v xml:space="preserve"> </v>
      </c>
    </row>
    <row r="81" spans="1:47" ht="76.5" hidden="1">
      <c r="A81" s="55">
        <v>79</v>
      </c>
      <c r="B81" s="52">
        <v>45153</v>
      </c>
      <c r="C81" s="162">
        <v>0.45833333333333331</v>
      </c>
      <c r="D81" s="38" t="s">
        <v>227</v>
      </c>
      <c r="E81" s="50" t="s">
        <v>649</v>
      </c>
      <c r="F81" s="50" t="s">
        <v>650</v>
      </c>
      <c r="G81" s="38"/>
      <c r="H81" s="38"/>
      <c r="I81" s="39" t="s">
        <v>651</v>
      </c>
      <c r="J81" s="39" t="s">
        <v>652</v>
      </c>
      <c r="K81" s="58"/>
      <c r="L81" s="58"/>
      <c r="M81" s="50" t="s">
        <v>634</v>
      </c>
      <c r="N81" s="38"/>
      <c r="O81" s="38"/>
      <c r="P81" s="50" t="s">
        <v>598</v>
      </c>
      <c r="Q81" s="50" t="s">
        <v>598</v>
      </c>
      <c r="R81" s="52">
        <v>45155</v>
      </c>
      <c r="S81" s="161">
        <v>0.47916666666666669</v>
      </c>
      <c r="T81" s="47" t="s">
        <v>749</v>
      </c>
      <c r="U81" s="182" t="s">
        <v>1165</v>
      </c>
      <c r="V81" s="50" t="s">
        <v>407</v>
      </c>
      <c r="W81" s="23" t="str">
        <f t="shared" ca="1" si="52"/>
        <v>SI</v>
      </c>
      <c r="X81" s="23" t="str">
        <f t="shared" si="53"/>
        <v>DIANOSOL</v>
      </c>
      <c r="Y81" s="50"/>
      <c r="Z81" s="111" t="s">
        <v>1037</v>
      </c>
      <c r="AA81" s="111" t="str">
        <f>IF(Z81&lt;&gt;"",VLOOKUP($Z81,Resultados!$A$1:$B$49,2,FALSE),"")</f>
        <v>Audiencias de Visu</v>
      </c>
      <c r="AC81" s="10">
        <f t="shared" si="54"/>
        <v>17</v>
      </c>
      <c r="AD81" s="10">
        <f t="shared" si="55"/>
        <v>8</v>
      </c>
      <c r="AE81" s="10">
        <f t="shared" si="56"/>
        <v>2023</v>
      </c>
      <c r="AF81" s="1">
        <f t="shared" si="36"/>
        <v>3</v>
      </c>
      <c r="AG81" s="1" t="str">
        <f t="shared" si="37"/>
        <v xml:space="preserve"> </v>
      </c>
      <c r="AH81" s="1" t="str">
        <f t="shared" si="38"/>
        <v xml:space="preserve"> </v>
      </c>
      <c r="AI81" s="1" t="str">
        <f t="shared" si="39"/>
        <v xml:space="preserve"> </v>
      </c>
      <c r="AJ81" s="1" t="str">
        <f t="shared" si="40"/>
        <v xml:space="preserve"> </v>
      </c>
      <c r="AK81" s="1" t="str">
        <f t="shared" si="41"/>
        <v xml:space="preserve"> </v>
      </c>
      <c r="AL81" s="1" t="str">
        <f t="shared" si="42"/>
        <v xml:space="preserve"> </v>
      </c>
      <c r="AM81" s="1" t="str">
        <f t="shared" si="43"/>
        <v xml:space="preserve"> </v>
      </c>
      <c r="AN81" s="1" t="str">
        <f t="shared" si="44"/>
        <v xml:space="preserve"> </v>
      </c>
      <c r="AO81" s="1">
        <f t="shared" si="45"/>
        <v>3</v>
      </c>
      <c r="AP81" s="1" t="str">
        <f t="shared" si="46"/>
        <v xml:space="preserve"> </v>
      </c>
      <c r="AQ81" s="1" t="str">
        <f t="shared" si="47"/>
        <v xml:space="preserve"> </v>
      </c>
      <c r="AR81" s="1" t="str">
        <f t="shared" si="48"/>
        <v xml:space="preserve"> </v>
      </c>
      <c r="AS81" s="1" t="str">
        <f t="shared" si="49"/>
        <v xml:space="preserve"> </v>
      </c>
      <c r="AT81" s="1" t="str">
        <f t="shared" si="50"/>
        <v xml:space="preserve"> </v>
      </c>
      <c r="AU81" s="1" t="str">
        <f t="shared" si="51"/>
        <v xml:space="preserve"> </v>
      </c>
    </row>
    <row r="82" spans="1:47" ht="38.25" hidden="1">
      <c r="A82" s="55">
        <v>80</v>
      </c>
      <c r="B82" s="52">
        <v>45153</v>
      </c>
      <c r="C82" s="162">
        <v>0.54166666666666663</v>
      </c>
      <c r="D82" s="38" t="s">
        <v>225</v>
      </c>
      <c r="E82" s="50" t="s">
        <v>653</v>
      </c>
      <c r="F82" s="50" t="s">
        <v>654</v>
      </c>
      <c r="G82" s="56">
        <v>36805855</v>
      </c>
      <c r="H82" s="50" t="s">
        <v>655</v>
      </c>
      <c r="I82" s="39" t="s">
        <v>656</v>
      </c>
      <c r="J82" s="39" t="s">
        <v>657</v>
      </c>
      <c r="K82" s="46">
        <v>25200848</v>
      </c>
      <c r="L82" s="39" t="s">
        <v>658</v>
      </c>
      <c r="M82" s="50" t="s">
        <v>470</v>
      </c>
      <c r="N82" s="38"/>
      <c r="O82" s="38"/>
      <c r="P82" s="38"/>
      <c r="Q82" s="50" t="s">
        <v>598</v>
      </c>
      <c r="R82" s="52">
        <v>45163</v>
      </c>
      <c r="S82" s="161">
        <v>0.39583333333333331</v>
      </c>
      <c r="T82" s="47" t="s">
        <v>742</v>
      </c>
      <c r="U82" s="188"/>
      <c r="V82" s="50" t="s">
        <v>407</v>
      </c>
      <c r="W82" s="23" t="str">
        <f t="shared" ca="1" si="52"/>
        <v>SI</v>
      </c>
      <c r="X82" s="23" t="str">
        <f t="shared" si="53"/>
        <v>DIANOSOL</v>
      </c>
      <c r="Y82" s="50" t="s">
        <v>991</v>
      </c>
      <c r="Z82" s="111" t="s">
        <v>1015</v>
      </c>
      <c r="AA82" s="111" t="str">
        <f>IF(Z82&lt;&gt;"",VLOOKUP($Z82,Resultados!$A$1:$B$49,2,FALSE),"")</f>
        <v>Recursos Denegados</v>
      </c>
      <c r="AB82" s="23" t="str">
        <f ca="1">IF(R82&gt;TODAY(),"FIJADA","OTRO")</f>
        <v>OTRO</v>
      </c>
      <c r="AC82" s="10">
        <f t="shared" si="54"/>
        <v>25</v>
      </c>
      <c r="AD82" s="10">
        <f t="shared" si="55"/>
        <v>8</v>
      </c>
      <c r="AE82" s="10">
        <f t="shared" si="56"/>
        <v>2023</v>
      </c>
      <c r="AF82" s="1">
        <f t="shared" si="36"/>
        <v>9</v>
      </c>
      <c r="AG82" s="1" t="str">
        <f t="shared" si="37"/>
        <v xml:space="preserve"> </v>
      </c>
      <c r="AH82" s="1" t="str">
        <f t="shared" si="38"/>
        <v xml:space="preserve"> </v>
      </c>
      <c r="AI82" s="1" t="str">
        <f t="shared" si="39"/>
        <v xml:space="preserve"> </v>
      </c>
      <c r="AJ82" s="1" t="str">
        <f t="shared" si="40"/>
        <v xml:space="preserve"> </v>
      </c>
      <c r="AK82" s="1" t="str">
        <f t="shared" si="41"/>
        <v xml:space="preserve"> </v>
      </c>
      <c r="AL82" s="1" t="str">
        <f t="shared" si="42"/>
        <v xml:space="preserve"> </v>
      </c>
      <c r="AM82" s="1" t="str">
        <f t="shared" si="43"/>
        <v xml:space="preserve"> </v>
      </c>
      <c r="AN82" s="1" t="str">
        <f t="shared" si="44"/>
        <v xml:space="preserve"> </v>
      </c>
      <c r="AO82" s="1">
        <f t="shared" si="45"/>
        <v>9</v>
      </c>
      <c r="AP82" s="1" t="str">
        <f t="shared" si="46"/>
        <v xml:space="preserve"> </v>
      </c>
      <c r="AQ82" s="1" t="str">
        <f t="shared" si="47"/>
        <v xml:space="preserve"> </v>
      </c>
      <c r="AR82" s="1" t="str">
        <f t="shared" si="48"/>
        <v xml:space="preserve"> </v>
      </c>
      <c r="AS82" s="1" t="str">
        <f t="shared" si="49"/>
        <v xml:space="preserve"> </v>
      </c>
      <c r="AT82" s="1" t="str">
        <f t="shared" si="50"/>
        <v xml:space="preserve"> </v>
      </c>
      <c r="AU82" s="1" t="str">
        <f t="shared" si="51"/>
        <v xml:space="preserve"> </v>
      </c>
    </row>
    <row r="83" spans="1:47" ht="51" hidden="1">
      <c r="A83" s="61">
        <v>81</v>
      </c>
      <c r="B83" s="59">
        <v>45156</v>
      </c>
      <c r="C83" s="165">
        <v>0.54166666666666663</v>
      </c>
      <c r="D83" s="63" t="s">
        <v>226</v>
      </c>
      <c r="E83" s="64" t="s">
        <v>659</v>
      </c>
      <c r="F83" s="64" t="s">
        <v>660</v>
      </c>
      <c r="G83" s="65">
        <v>27514536</v>
      </c>
      <c r="H83" s="63"/>
      <c r="I83" s="66" t="s">
        <v>661</v>
      </c>
      <c r="J83" s="66" t="s">
        <v>662</v>
      </c>
      <c r="K83" s="70"/>
      <c r="L83" s="70"/>
      <c r="M83" s="64" t="s">
        <v>375</v>
      </c>
      <c r="N83" s="63"/>
      <c r="O83" s="63"/>
      <c r="P83" s="63"/>
      <c r="Q83" s="64" t="s">
        <v>663</v>
      </c>
      <c r="R83" s="60">
        <v>45170</v>
      </c>
      <c r="S83" s="170">
        <v>0.52083333333333337</v>
      </c>
      <c r="T83" s="60" t="s">
        <v>917</v>
      </c>
      <c r="U83" s="179"/>
      <c r="V83" s="50" t="s">
        <v>429</v>
      </c>
      <c r="W83" s="23" t="str">
        <f t="shared" ca="1" si="52"/>
        <v>SI</v>
      </c>
      <c r="X83" s="23" t="str">
        <f t="shared" si="53"/>
        <v>DIANOSOL</v>
      </c>
      <c r="Y83" s="50" t="s">
        <v>991</v>
      </c>
      <c r="Z83" s="111" t="s">
        <v>1032</v>
      </c>
      <c r="AA83" s="111" t="str">
        <f>IF(Z83&lt;&gt;"",VLOOKUP($Z83,Resultados!$A$1:$B$49,2,FALSE),"")</f>
        <v>Desestimientos de Recursos</v>
      </c>
      <c r="AC83" s="10">
        <f t="shared" si="54"/>
        <v>1</v>
      </c>
      <c r="AD83" s="10">
        <f t="shared" si="55"/>
        <v>9</v>
      </c>
      <c r="AE83" s="10">
        <f t="shared" si="56"/>
        <v>2023</v>
      </c>
      <c r="AF83" s="1">
        <f t="shared" si="36"/>
        <v>11</v>
      </c>
      <c r="AG83" s="1" t="str">
        <f t="shared" si="37"/>
        <v xml:space="preserve"> </v>
      </c>
      <c r="AH83" s="1" t="str">
        <f t="shared" si="38"/>
        <v xml:space="preserve"> </v>
      </c>
      <c r="AI83" s="1" t="str">
        <f t="shared" si="39"/>
        <v xml:space="preserve"> </v>
      </c>
      <c r="AJ83" s="1" t="str">
        <f t="shared" si="40"/>
        <v xml:space="preserve"> </v>
      </c>
      <c r="AK83" s="1" t="str">
        <f t="shared" si="41"/>
        <v xml:space="preserve"> </v>
      </c>
      <c r="AL83" s="1" t="str">
        <f t="shared" si="42"/>
        <v xml:space="preserve"> </v>
      </c>
      <c r="AM83" s="1" t="str">
        <f t="shared" si="43"/>
        <v xml:space="preserve"> </v>
      </c>
      <c r="AN83" s="1" t="str">
        <f t="shared" si="44"/>
        <v xml:space="preserve"> </v>
      </c>
      <c r="AO83" s="1" t="str">
        <f t="shared" si="45"/>
        <v xml:space="preserve"> </v>
      </c>
      <c r="AP83" s="1">
        <f t="shared" si="46"/>
        <v>11</v>
      </c>
      <c r="AQ83" s="1" t="str">
        <f t="shared" si="47"/>
        <v xml:space="preserve"> </v>
      </c>
      <c r="AR83" s="1" t="str">
        <f t="shared" si="48"/>
        <v xml:space="preserve"> </v>
      </c>
      <c r="AS83" s="1" t="str">
        <f t="shared" si="49"/>
        <v xml:space="preserve"> </v>
      </c>
      <c r="AT83" s="1" t="str">
        <f t="shared" si="50"/>
        <v xml:space="preserve"> </v>
      </c>
      <c r="AU83" s="1" t="str">
        <f t="shared" si="51"/>
        <v xml:space="preserve"> </v>
      </c>
    </row>
    <row r="84" spans="1:47" ht="89.25" hidden="1">
      <c r="A84" s="55">
        <v>82</v>
      </c>
      <c r="B84" s="52">
        <v>45155</v>
      </c>
      <c r="C84" s="162">
        <v>0.55208333333333337</v>
      </c>
      <c r="D84" s="38" t="s">
        <v>227</v>
      </c>
      <c r="E84" s="38" t="s">
        <v>667</v>
      </c>
      <c r="F84" s="38" t="s">
        <v>668</v>
      </c>
      <c r="G84" s="56">
        <v>30419111</v>
      </c>
      <c r="H84" s="38" t="s">
        <v>669</v>
      </c>
      <c r="I84" s="58" t="s">
        <v>670</v>
      </c>
      <c r="J84" s="58" t="s">
        <v>671</v>
      </c>
      <c r="K84" s="46">
        <v>29733626</v>
      </c>
      <c r="L84" s="58" t="s">
        <v>672</v>
      </c>
      <c r="M84" s="38" t="s">
        <v>673</v>
      </c>
      <c r="N84" s="38"/>
      <c r="O84" s="38"/>
      <c r="P84" s="38" t="s">
        <v>674</v>
      </c>
      <c r="Q84" s="50" t="s">
        <v>675</v>
      </c>
      <c r="R84" s="47"/>
      <c r="S84" s="161"/>
      <c r="T84" s="209" t="s">
        <v>915</v>
      </c>
      <c r="U84" s="183" t="s">
        <v>932</v>
      </c>
      <c r="V84" s="64" t="s">
        <v>415</v>
      </c>
      <c r="W84" s="23" t="str">
        <f t="shared" ca="1" si="52"/>
        <v>SI</v>
      </c>
      <c r="X84" s="23" t="str">
        <f t="shared" si="53"/>
        <v>DIANOSOL</v>
      </c>
      <c r="Y84" s="50" t="s">
        <v>999</v>
      </c>
      <c r="Z84" s="111" t="s">
        <v>1039</v>
      </c>
      <c r="AA84" s="111" t="str">
        <f>IF(Z84&lt;&gt;"",VLOOKUP($Z84,Resultados!$A$1:$B$49,2,FALSE),"")</f>
        <v>Recursos Abstractos</v>
      </c>
      <c r="AC84" s="10">
        <f t="shared" si="54"/>
        <v>0</v>
      </c>
      <c r="AD84" s="10">
        <f t="shared" si="55"/>
        <v>1</v>
      </c>
      <c r="AE84" s="10">
        <f t="shared" si="56"/>
        <v>1900</v>
      </c>
      <c r="AF84" s="1" t="str">
        <f t="shared" si="36"/>
        <v xml:space="preserve"> </v>
      </c>
      <c r="AG84" s="1" t="str">
        <f t="shared" si="37"/>
        <v xml:space="preserve"> </v>
      </c>
      <c r="AH84" s="1" t="str">
        <f t="shared" si="38"/>
        <v xml:space="preserve"> </v>
      </c>
      <c r="AI84" s="1" t="str">
        <f t="shared" si="39"/>
        <v xml:space="preserve"> </v>
      </c>
      <c r="AJ84" s="1" t="str">
        <f t="shared" si="40"/>
        <v xml:space="preserve"> </v>
      </c>
      <c r="AK84" s="1" t="str">
        <f t="shared" si="41"/>
        <v xml:space="preserve"> </v>
      </c>
      <c r="AL84" s="1" t="str">
        <f t="shared" si="42"/>
        <v xml:space="preserve"> </v>
      </c>
      <c r="AM84" s="1" t="str">
        <f t="shared" si="43"/>
        <v xml:space="preserve"> </v>
      </c>
      <c r="AN84" s="1" t="str">
        <f t="shared" si="44"/>
        <v xml:space="preserve"> </v>
      </c>
      <c r="AO84" s="1" t="str">
        <f t="shared" si="45"/>
        <v xml:space="preserve"> </v>
      </c>
      <c r="AP84" s="1" t="str">
        <f t="shared" si="46"/>
        <v xml:space="preserve"> </v>
      </c>
      <c r="AQ84" s="1" t="str">
        <f t="shared" si="47"/>
        <v xml:space="preserve"> </v>
      </c>
      <c r="AR84" s="1" t="str">
        <f t="shared" si="48"/>
        <v xml:space="preserve"> </v>
      </c>
      <c r="AS84" s="1" t="str">
        <f t="shared" si="49"/>
        <v xml:space="preserve"> </v>
      </c>
      <c r="AT84" s="1" t="str">
        <f t="shared" si="50"/>
        <v xml:space="preserve"> </v>
      </c>
      <c r="AU84" s="1" t="str">
        <f t="shared" si="51"/>
        <v xml:space="preserve"> </v>
      </c>
    </row>
    <row r="85" spans="1:47" ht="89.25" hidden="1">
      <c r="A85" s="61">
        <v>83</v>
      </c>
      <c r="B85" s="59">
        <v>45155</v>
      </c>
      <c r="C85" s="63"/>
      <c r="D85" s="63" t="s">
        <v>1695</v>
      </c>
      <c r="E85" s="64" t="s">
        <v>676</v>
      </c>
      <c r="F85" s="64" t="s">
        <v>677</v>
      </c>
      <c r="G85" s="71">
        <v>45327862</v>
      </c>
      <c r="H85" s="64" t="s">
        <v>678</v>
      </c>
      <c r="I85" s="66" t="s">
        <v>679</v>
      </c>
      <c r="J85" s="70" t="s">
        <v>680</v>
      </c>
      <c r="K85" s="67">
        <v>44445327</v>
      </c>
      <c r="L85" s="66" t="s">
        <v>681</v>
      </c>
      <c r="M85" s="64" t="s">
        <v>682</v>
      </c>
      <c r="N85" s="63"/>
      <c r="O85" s="63"/>
      <c r="P85" s="64" t="s">
        <v>683</v>
      </c>
      <c r="Q85" s="64" t="s">
        <v>750</v>
      </c>
      <c r="R85" s="59">
        <v>45173</v>
      </c>
      <c r="S85" s="170">
        <v>0.47916666666666669</v>
      </c>
      <c r="T85" s="60" t="s">
        <v>910</v>
      </c>
      <c r="U85" s="183"/>
      <c r="V85" s="63"/>
      <c r="W85" s="23" t="str">
        <f t="shared" ca="1" si="52"/>
        <v>SI</v>
      </c>
      <c r="X85" s="23" t="str">
        <f t="shared" si="53"/>
        <v>DIANOSOL</v>
      </c>
      <c r="Y85" s="50" t="s">
        <v>991</v>
      </c>
      <c r="Z85" s="111" t="s">
        <v>1015</v>
      </c>
      <c r="AA85" s="111" t="str">
        <f>IF(Z85&lt;&gt;"",VLOOKUP($Z85,Resultados!$A$1:$B$49,2,FALSE),"")</f>
        <v>Recursos Denegados</v>
      </c>
      <c r="AB85" s="23" t="str">
        <f t="shared" ref="AB85:AB86" ca="1" si="58">IF(R85&gt;TODAY(),"FIJADA","OTRO")</f>
        <v>OTRO</v>
      </c>
      <c r="AC85" s="10">
        <f t="shared" si="54"/>
        <v>4</v>
      </c>
      <c r="AD85" s="10">
        <f t="shared" si="55"/>
        <v>9</v>
      </c>
      <c r="AE85" s="10">
        <f t="shared" si="56"/>
        <v>2023</v>
      </c>
      <c r="AF85" s="1">
        <f t="shared" si="36"/>
        <v>13</v>
      </c>
      <c r="AG85" s="1" t="str">
        <f t="shared" si="37"/>
        <v xml:space="preserve"> </v>
      </c>
      <c r="AH85" s="1" t="str">
        <f t="shared" si="38"/>
        <v xml:space="preserve"> </v>
      </c>
      <c r="AI85" s="1" t="str">
        <f t="shared" si="39"/>
        <v xml:space="preserve"> </v>
      </c>
      <c r="AJ85" s="1" t="str">
        <f t="shared" si="40"/>
        <v xml:space="preserve"> </v>
      </c>
      <c r="AK85" s="1" t="str">
        <f t="shared" si="41"/>
        <v xml:space="preserve"> </v>
      </c>
      <c r="AL85" s="1" t="str">
        <f t="shared" si="42"/>
        <v xml:space="preserve"> </v>
      </c>
      <c r="AM85" s="1" t="str">
        <f t="shared" si="43"/>
        <v xml:space="preserve"> </v>
      </c>
      <c r="AN85" s="1" t="str">
        <f t="shared" si="44"/>
        <v xml:space="preserve"> </v>
      </c>
      <c r="AO85" s="1" t="str">
        <f t="shared" si="45"/>
        <v xml:space="preserve"> </v>
      </c>
      <c r="AP85" s="1">
        <f t="shared" si="46"/>
        <v>13</v>
      </c>
      <c r="AQ85" s="1" t="str">
        <f t="shared" si="47"/>
        <v xml:space="preserve"> </v>
      </c>
      <c r="AR85" s="1" t="str">
        <f t="shared" si="48"/>
        <v xml:space="preserve"> </v>
      </c>
      <c r="AS85" s="1" t="str">
        <f t="shared" si="49"/>
        <v xml:space="preserve"> </v>
      </c>
      <c r="AT85" s="1" t="str">
        <f t="shared" si="50"/>
        <v xml:space="preserve"> </v>
      </c>
      <c r="AU85" s="1" t="str">
        <f t="shared" si="51"/>
        <v xml:space="preserve"> </v>
      </c>
    </row>
    <row r="86" spans="1:47" ht="51" hidden="1">
      <c r="A86" s="61">
        <v>84</v>
      </c>
      <c r="B86" s="59">
        <v>45155</v>
      </c>
      <c r="C86" s="63"/>
      <c r="D86" s="63" t="s">
        <v>226</v>
      </c>
      <c r="E86" s="64" t="s">
        <v>684</v>
      </c>
      <c r="F86" s="64" t="s">
        <v>685</v>
      </c>
      <c r="G86" s="64" t="s">
        <v>686</v>
      </c>
      <c r="H86" s="63"/>
      <c r="I86" s="66" t="s">
        <v>687</v>
      </c>
      <c r="J86" s="70"/>
      <c r="K86" s="70"/>
      <c r="L86" s="70"/>
      <c r="M86" s="64" t="s">
        <v>825</v>
      </c>
      <c r="N86" s="63"/>
      <c r="O86" s="63"/>
      <c r="P86" s="63"/>
      <c r="Q86" s="64" t="s">
        <v>502</v>
      </c>
      <c r="R86" s="59">
        <v>45177</v>
      </c>
      <c r="S86" s="170">
        <v>0.38541666666666669</v>
      </c>
      <c r="T86" s="60" t="s">
        <v>911</v>
      </c>
      <c r="U86" s="183" t="s">
        <v>775</v>
      </c>
      <c r="V86" s="63"/>
      <c r="W86" s="23" t="str">
        <f t="shared" ca="1" si="52"/>
        <v>SI</v>
      </c>
      <c r="X86" s="23" t="str">
        <f t="shared" si="53"/>
        <v>DIANOSOL</v>
      </c>
      <c r="Y86" s="50" t="s">
        <v>991</v>
      </c>
      <c r="Z86" s="111" t="s">
        <v>1015</v>
      </c>
      <c r="AA86" s="111" t="str">
        <f>IF(Z86&lt;&gt;"",VLOOKUP($Z86,Resultados!$A$1:$B$49,2,FALSE),"")</f>
        <v>Recursos Denegados</v>
      </c>
      <c r="AB86" s="23" t="str">
        <f t="shared" ca="1" si="58"/>
        <v>OTRO</v>
      </c>
      <c r="AC86" s="10">
        <f t="shared" si="54"/>
        <v>8</v>
      </c>
      <c r="AD86" s="10">
        <f t="shared" si="55"/>
        <v>9</v>
      </c>
      <c r="AE86" s="10">
        <f t="shared" si="56"/>
        <v>2023</v>
      </c>
      <c r="AF86" s="1">
        <f t="shared" si="36"/>
        <v>17</v>
      </c>
      <c r="AG86" s="1" t="str">
        <f t="shared" si="37"/>
        <v xml:space="preserve"> </v>
      </c>
      <c r="AH86" s="1" t="str">
        <f t="shared" si="38"/>
        <v xml:space="preserve"> </v>
      </c>
      <c r="AI86" s="1" t="str">
        <f t="shared" si="39"/>
        <v xml:space="preserve"> </v>
      </c>
      <c r="AJ86" s="1" t="str">
        <f t="shared" si="40"/>
        <v xml:space="preserve"> </v>
      </c>
      <c r="AK86" s="1" t="str">
        <f t="shared" si="41"/>
        <v xml:space="preserve"> </v>
      </c>
      <c r="AL86" s="1" t="str">
        <f t="shared" si="42"/>
        <v xml:space="preserve"> </v>
      </c>
      <c r="AM86" s="1" t="str">
        <f t="shared" si="43"/>
        <v xml:space="preserve"> </v>
      </c>
      <c r="AN86" s="1" t="str">
        <f t="shared" si="44"/>
        <v xml:space="preserve"> </v>
      </c>
      <c r="AO86" s="1" t="str">
        <f t="shared" si="45"/>
        <v xml:space="preserve"> </v>
      </c>
      <c r="AP86" s="1">
        <f t="shared" si="46"/>
        <v>17</v>
      </c>
      <c r="AQ86" s="1" t="str">
        <f t="shared" si="47"/>
        <v xml:space="preserve"> </v>
      </c>
      <c r="AR86" s="1" t="str">
        <f t="shared" si="48"/>
        <v xml:space="preserve"> </v>
      </c>
      <c r="AS86" s="1" t="str">
        <f t="shared" si="49"/>
        <v xml:space="preserve"> </v>
      </c>
      <c r="AT86" s="1" t="str">
        <f t="shared" si="50"/>
        <v xml:space="preserve"> </v>
      </c>
      <c r="AU86" s="1" t="str">
        <f t="shared" si="51"/>
        <v xml:space="preserve"> </v>
      </c>
    </row>
    <row r="87" spans="1:47" ht="38.25" hidden="1">
      <c r="A87" s="61">
        <v>85</v>
      </c>
      <c r="B87" s="59">
        <v>45153</v>
      </c>
      <c r="C87" s="165">
        <v>0.5541666666666667</v>
      </c>
      <c r="D87" s="63" t="s">
        <v>107</v>
      </c>
      <c r="E87" s="64" t="s">
        <v>688</v>
      </c>
      <c r="F87" s="64" t="s">
        <v>689</v>
      </c>
      <c r="G87" s="65">
        <v>25218008</v>
      </c>
      <c r="H87" s="64" t="s">
        <v>690</v>
      </c>
      <c r="I87" s="66" t="s">
        <v>694</v>
      </c>
      <c r="J87" s="66" t="s">
        <v>695</v>
      </c>
      <c r="K87" s="72">
        <v>23316838</v>
      </c>
      <c r="L87" s="66" t="s">
        <v>696</v>
      </c>
      <c r="M87" s="64" t="s">
        <v>691</v>
      </c>
      <c r="N87" s="64" t="s">
        <v>930</v>
      </c>
      <c r="O87" s="63"/>
      <c r="P87" s="64" t="s">
        <v>692</v>
      </c>
      <c r="Q87" s="64" t="s">
        <v>693</v>
      </c>
      <c r="R87" s="59">
        <v>45194</v>
      </c>
      <c r="S87" s="170">
        <v>0.4375</v>
      </c>
      <c r="T87" s="60" t="s">
        <v>958</v>
      </c>
      <c r="U87" s="182" t="s">
        <v>1085</v>
      </c>
      <c r="V87" s="63"/>
      <c r="W87" s="23" t="str">
        <f t="shared" ca="1" si="52"/>
        <v>SI</v>
      </c>
      <c r="X87" s="23" t="str">
        <f t="shared" si="53"/>
        <v>DIANOSOL</v>
      </c>
      <c r="Y87" s="50" t="s">
        <v>999</v>
      </c>
      <c r="Z87" s="111" t="s">
        <v>1013</v>
      </c>
      <c r="AA87" s="111" t="str">
        <f>IF(Z87&lt;&gt;"",VLOOKUP($Z87,Resultados!$A$1:$B$49,2,FALSE),"")</f>
        <v>Recursos donde se hizo lugar</v>
      </c>
      <c r="AC87" s="10">
        <f t="shared" si="54"/>
        <v>25</v>
      </c>
      <c r="AD87" s="10">
        <f t="shared" si="55"/>
        <v>9</v>
      </c>
      <c r="AE87" s="10">
        <f t="shared" si="56"/>
        <v>2023</v>
      </c>
      <c r="AF87" s="1">
        <f t="shared" si="36"/>
        <v>30</v>
      </c>
      <c r="AG87" s="1" t="str">
        <f t="shared" si="37"/>
        <v xml:space="preserve"> </v>
      </c>
      <c r="AH87" s="1" t="str">
        <f t="shared" si="38"/>
        <v xml:space="preserve"> </v>
      </c>
      <c r="AI87" s="1" t="str">
        <f t="shared" si="39"/>
        <v xml:space="preserve"> </v>
      </c>
      <c r="AJ87" s="1" t="str">
        <f t="shared" si="40"/>
        <v xml:space="preserve"> </v>
      </c>
      <c r="AK87" s="1" t="str">
        <f t="shared" si="41"/>
        <v xml:space="preserve"> </v>
      </c>
      <c r="AL87" s="1" t="str">
        <f t="shared" si="42"/>
        <v xml:space="preserve"> </v>
      </c>
      <c r="AM87" s="1" t="str">
        <f t="shared" si="43"/>
        <v xml:space="preserve"> </v>
      </c>
      <c r="AN87" s="1" t="str">
        <f t="shared" si="44"/>
        <v xml:space="preserve"> </v>
      </c>
      <c r="AO87" s="1" t="str">
        <f t="shared" si="45"/>
        <v xml:space="preserve"> </v>
      </c>
      <c r="AP87" s="1">
        <f t="shared" si="46"/>
        <v>30</v>
      </c>
      <c r="AQ87" s="1" t="str">
        <f t="shared" si="47"/>
        <v xml:space="preserve"> </v>
      </c>
      <c r="AR87" s="1" t="str">
        <f t="shared" si="48"/>
        <v xml:space="preserve"> </v>
      </c>
      <c r="AS87" s="1" t="str">
        <f t="shared" si="49"/>
        <v xml:space="preserve"> </v>
      </c>
      <c r="AT87" s="1" t="str">
        <f t="shared" si="50"/>
        <v xml:space="preserve"> </v>
      </c>
      <c r="AU87" s="1" t="str">
        <f t="shared" si="51"/>
        <v xml:space="preserve"> </v>
      </c>
    </row>
    <row r="88" spans="1:47" ht="38.25" hidden="1">
      <c r="A88" s="61">
        <v>86</v>
      </c>
      <c r="B88" s="59">
        <v>45154</v>
      </c>
      <c r="C88" s="165">
        <v>0.55555555555555558</v>
      </c>
      <c r="D88" s="63" t="s">
        <v>241</v>
      </c>
      <c r="E88" s="64" t="s">
        <v>700</v>
      </c>
      <c r="F88" s="64" t="s">
        <v>701</v>
      </c>
      <c r="G88" s="71" t="s">
        <v>702</v>
      </c>
      <c r="H88" s="64" t="s">
        <v>703</v>
      </c>
      <c r="I88" s="66" t="s">
        <v>704</v>
      </c>
      <c r="J88" s="66" t="s">
        <v>705</v>
      </c>
      <c r="K88" s="72" t="s">
        <v>706</v>
      </c>
      <c r="L88" s="66" t="s">
        <v>703</v>
      </c>
      <c r="M88" s="64" t="s">
        <v>707</v>
      </c>
      <c r="N88" s="63"/>
      <c r="O88" s="63"/>
      <c r="P88" s="64" t="s">
        <v>708</v>
      </c>
      <c r="Q88" s="64" t="s">
        <v>709</v>
      </c>
      <c r="R88" s="59">
        <v>45169</v>
      </c>
      <c r="S88" s="170">
        <v>0.39583333333333331</v>
      </c>
      <c r="T88" s="60" t="s">
        <v>911</v>
      </c>
      <c r="U88" s="183" t="s">
        <v>1080</v>
      </c>
      <c r="V88" s="50" t="s">
        <v>493</v>
      </c>
      <c r="W88" s="23" t="str">
        <f t="shared" ca="1" si="52"/>
        <v>SI</v>
      </c>
      <c r="X88" s="23" t="str">
        <f t="shared" si="53"/>
        <v>DIANOSOL</v>
      </c>
      <c r="Y88" s="50" t="s">
        <v>991</v>
      </c>
      <c r="Z88" s="111" t="s">
        <v>1015</v>
      </c>
      <c r="AA88" s="111" t="str">
        <f>IF(Z88&lt;&gt;"",VLOOKUP($Z88,Resultados!$A$1:$B$49,2,FALSE),"")</f>
        <v>Recursos Denegados</v>
      </c>
      <c r="AB88" s="23" t="str">
        <f ca="1">IF(R88&gt;TODAY(),"FIJADA","OTRO")</f>
        <v>OTRO</v>
      </c>
      <c r="AC88" s="10">
        <f t="shared" si="54"/>
        <v>31</v>
      </c>
      <c r="AD88" s="10">
        <f t="shared" si="55"/>
        <v>8</v>
      </c>
      <c r="AE88" s="10">
        <f t="shared" si="56"/>
        <v>2023</v>
      </c>
      <c r="AF88" s="1">
        <f t="shared" si="36"/>
        <v>12</v>
      </c>
      <c r="AG88" s="1" t="str">
        <f t="shared" si="37"/>
        <v xml:space="preserve"> </v>
      </c>
      <c r="AH88" s="1" t="str">
        <f t="shared" si="38"/>
        <v xml:space="preserve"> </v>
      </c>
      <c r="AI88" s="1" t="str">
        <f t="shared" si="39"/>
        <v xml:space="preserve"> </v>
      </c>
      <c r="AJ88" s="1" t="str">
        <f t="shared" si="40"/>
        <v xml:space="preserve"> </v>
      </c>
      <c r="AK88" s="1" t="str">
        <f t="shared" si="41"/>
        <v xml:space="preserve"> </v>
      </c>
      <c r="AL88" s="1" t="str">
        <f t="shared" si="42"/>
        <v xml:space="preserve"> </v>
      </c>
      <c r="AM88" s="1" t="str">
        <f t="shared" si="43"/>
        <v xml:space="preserve"> </v>
      </c>
      <c r="AN88" s="1" t="str">
        <f t="shared" si="44"/>
        <v xml:space="preserve"> </v>
      </c>
      <c r="AO88" s="1">
        <f t="shared" si="45"/>
        <v>12</v>
      </c>
      <c r="AP88" s="1" t="str">
        <f t="shared" si="46"/>
        <v xml:space="preserve"> </v>
      </c>
      <c r="AQ88" s="1" t="str">
        <f t="shared" si="47"/>
        <v xml:space="preserve"> </v>
      </c>
      <c r="AR88" s="1" t="str">
        <f t="shared" si="48"/>
        <v xml:space="preserve"> </v>
      </c>
      <c r="AS88" s="1" t="str">
        <f t="shared" si="49"/>
        <v xml:space="preserve"> </v>
      </c>
      <c r="AT88" s="1" t="str">
        <f t="shared" si="50"/>
        <v xml:space="preserve"> </v>
      </c>
      <c r="AU88" s="1" t="str">
        <f t="shared" si="51"/>
        <v xml:space="preserve"> </v>
      </c>
    </row>
    <row r="89" spans="1:47" ht="51" hidden="1">
      <c r="A89" s="61">
        <v>87</v>
      </c>
      <c r="B89" s="59">
        <v>45155</v>
      </c>
      <c r="C89" s="165">
        <v>0.55555555555555558</v>
      </c>
      <c r="D89" s="63" t="s">
        <v>104</v>
      </c>
      <c r="E89" s="64" t="s">
        <v>710</v>
      </c>
      <c r="F89" s="64" t="s">
        <v>764</v>
      </c>
      <c r="G89" s="64" t="s">
        <v>711</v>
      </c>
      <c r="H89" s="64" t="s">
        <v>716</v>
      </c>
      <c r="I89" s="66" t="s">
        <v>713</v>
      </c>
      <c r="J89" s="66" t="s">
        <v>712</v>
      </c>
      <c r="K89" s="66" t="s">
        <v>715</v>
      </c>
      <c r="L89" s="66" t="s">
        <v>714</v>
      </c>
      <c r="M89" s="64" t="s">
        <v>718</v>
      </c>
      <c r="N89" s="63"/>
      <c r="O89" s="63"/>
      <c r="P89" s="64" t="s">
        <v>717</v>
      </c>
      <c r="Q89" s="64" t="s">
        <v>131</v>
      </c>
      <c r="R89" s="59">
        <v>45174</v>
      </c>
      <c r="S89" s="170">
        <v>0.39583333333333331</v>
      </c>
      <c r="T89" s="60" t="s">
        <v>919</v>
      </c>
      <c r="U89" s="183" t="s">
        <v>889</v>
      </c>
      <c r="V89" s="50" t="s">
        <v>493</v>
      </c>
      <c r="W89" s="23" t="str">
        <f t="shared" ca="1" si="52"/>
        <v>SI</v>
      </c>
      <c r="X89" s="23" t="str">
        <f t="shared" si="53"/>
        <v>DIANOSOL</v>
      </c>
      <c r="Y89" s="50" t="s">
        <v>991</v>
      </c>
      <c r="Z89" s="155" t="s">
        <v>1059</v>
      </c>
      <c r="AA89" s="111" t="str">
        <f>IF(Z89&lt;&gt;"",VLOOKUP($Z89,Resultados!$A$1:$B$49,2,FALSE),"")</f>
        <v>Recursos donde se hizo lugar</v>
      </c>
      <c r="AC89" s="10">
        <f t="shared" si="54"/>
        <v>5</v>
      </c>
      <c r="AD89" s="10">
        <f t="shared" si="55"/>
        <v>9</v>
      </c>
      <c r="AE89" s="10">
        <f t="shared" si="56"/>
        <v>2023</v>
      </c>
      <c r="AF89" s="1">
        <f t="shared" si="36"/>
        <v>14</v>
      </c>
      <c r="AG89" s="1" t="str">
        <f t="shared" si="37"/>
        <v xml:space="preserve"> </v>
      </c>
      <c r="AH89" s="1" t="str">
        <f t="shared" si="38"/>
        <v xml:space="preserve"> </v>
      </c>
      <c r="AI89" s="1" t="str">
        <f t="shared" si="39"/>
        <v xml:space="preserve"> </v>
      </c>
      <c r="AJ89" s="1" t="str">
        <f t="shared" si="40"/>
        <v xml:space="preserve"> </v>
      </c>
      <c r="AK89" s="1" t="str">
        <f t="shared" si="41"/>
        <v xml:space="preserve"> </v>
      </c>
      <c r="AL89" s="1" t="str">
        <f t="shared" si="42"/>
        <v xml:space="preserve"> </v>
      </c>
      <c r="AM89" s="1" t="str">
        <f t="shared" si="43"/>
        <v xml:space="preserve"> </v>
      </c>
      <c r="AN89" s="1" t="str">
        <f t="shared" si="44"/>
        <v xml:space="preserve"> </v>
      </c>
      <c r="AO89" s="1" t="str">
        <f t="shared" si="45"/>
        <v xml:space="preserve"> </v>
      </c>
      <c r="AP89" s="1">
        <f t="shared" si="46"/>
        <v>14</v>
      </c>
      <c r="AQ89" s="1" t="str">
        <f t="shared" si="47"/>
        <v xml:space="preserve"> </v>
      </c>
      <c r="AR89" s="1" t="str">
        <f t="shared" si="48"/>
        <v xml:space="preserve"> </v>
      </c>
      <c r="AS89" s="1" t="str">
        <f t="shared" si="49"/>
        <v xml:space="preserve"> </v>
      </c>
      <c r="AT89" s="1" t="str">
        <f t="shared" si="50"/>
        <v xml:space="preserve"> </v>
      </c>
      <c r="AU89" s="1" t="str">
        <f t="shared" si="51"/>
        <v xml:space="preserve"> </v>
      </c>
    </row>
    <row r="90" spans="1:47" ht="38.25" hidden="1">
      <c r="A90" s="61">
        <v>88</v>
      </c>
      <c r="B90" s="59">
        <v>45160</v>
      </c>
      <c r="C90" s="165">
        <v>0.55555555555555558</v>
      </c>
      <c r="D90" s="63" t="s">
        <v>103</v>
      </c>
      <c r="E90" s="64" t="s">
        <v>719</v>
      </c>
      <c r="F90" s="64" t="s">
        <v>843</v>
      </c>
      <c r="G90" s="64" t="s">
        <v>720</v>
      </c>
      <c r="H90" s="64" t="s">
        <v>721</v>
      </c>
      <c r="I90" s="66" t="s">
        <v>722</v>
      </c>
      <c r="J90" s="66" t="s">
        <v>723</v>
      </c>
      <c r="K90" s="70"/>
      <c r="L90" s="70"/>
      <c r="M90" s="64" t="s">
        <v>763</v>
      </c>
      <c r="N90" s="63"/>
      <c r="O90" s="63"/>
      <c r="P90" s="63"/>
      <c r="Q90" s="64" t="s">
        <v>135</v>
      </c>
      <c r="R90" s="59">
        <v>45180</v>
      </c>
      <c r="S90" s="163">
        <v>0.39583333333333331</v>
      </c>
      <c r="T90" s="60" t="s">
        <v>890</v>
      </c>
      <c r="U90" s="187"/>
      <c r="V90" s="64" t="s">
        <v>178</v>
      </c>
      <c r="W90" s="23" t="str">
        <f t="shared" ca="1" si="52"/>
        <v>SI</v>
      </c>
      <c r="X90" s="23" t="str">
        <f t="shared" si="53"/>
        <v>DIANOSOL</v>
      </c>
      <c r="Y90" s="50" t="s">
        <v>999</v>
      </c>
      <c r="Z90" s="115" t="s">
        <v>1059</v>
      </c>
      <c r="AA90" s="111" t="str">
        <f>IF(Z90&lt;&gt;"",VLOOKUP($Z90,Resultados!$A$1:$B$49,2,FALSE),"")</f>
        <v>Recursos donde se hizo lugar</v>
      </c>
      <c r="AC90" s="10">
        <f t="shared" si="54"/>
        <v>11</v>
      </c>
      <c r="AD90" s="10">
        <f t="shared" si="55"/>
        <v>9</v>
      </c>
      <c r="AE90" s="10">
        <f t="shared" si="56"/>
        <v>2023</v>
      </c>
      <c r="AF90" s="1">
        <f t="shared" si="36"/>
        <v>15</v>
      </c>
      <c r="AG90" s="1" t="str">
        <f t="shared" si="37"/>
        <v xml:space="preserve"> </v>
      </c>
      <c r="AH90" s="1" t="str">
        <f t="shared" si="38"/>
        <v xml:space="preserve"> </v>
      </c>
      <c r="AI90" s="1" t="str">
        <f t="shared" si="39"/>
        <v xml:space="preserve"> </v>
      </c>
      <c r="AJ90" s="1" t="str">
        <f t="shared" si="40"/>
        <v xml:space="preserve"> </v>
      </c>
      <c r="AK90" s="1" t="str">
        <f t="shared" si="41"/>
        <v xml:space="preserve"> </v>
      </c>
      <c r="AL90" s="1" t="str">
        <f t="shared" si="42"/>
        <v xml:space="preserve"> </v>
      </c>
      <c r="AM90" s="1" t="str">
        <f t="shared" si="43"/>
        <v xml:space="preserve"> </v>
      </c>
      <c r="AN90" s="1" t="str">
        <f t="shared" si="44"/>
        <v xml:space="preserve"> </v>
      </c>
      <c r="AO90" s="1" t="str">
        <f t="shared" si="45"/>
        <v xml:space="preserve"> </v>
      </c>
      <c r="AP90" s="1">
        <f t="shared" si="46"/>
        <v>15</v>
      </c>
      <c r="AQ90" s="1" t="str">
        <f t="shared" si="47"/>
        <v xml:space="preserve"> </v>
      </c>
      <c r="AR90" s="1" t="str">
        <f t="shared" si="48"/>
        <v xml:space="preserve"> </v>
      </c>
      <c r="AS90" s="1" t="str">
        <f t="shared" si="49"/>
        <v xml:space="preserve"> </v>
      </c>
      <c r="AT90" s="1" t="str">
        <f t="shared" si="50"/>
        <v xml:space="preserve"> </v>
      </c>
      <c r="AU90" s="1" t="str">
        <f t="shared" si="51"/>
        <v xml:space="preserve"> </v>
      </c>
    </row>
    <row r="91" spans="1:47" ht="63.75" hidden="1">
      <c r="A91" s="61">
        <v>89</v>
      </c>
      <c r="B91" s="59">
        <v>45162</v>
      </c>
      <c r="C91" s="165">
        <v>0.55555555555555558</v>
      </c>
      <c r="D91" s="63" t="s">
        <v>241</v>
      </c>
      <c r="E91" s="64" t="s">
        <v>724</v>
      </c>
      <c r="F91" s="64" t="s">
        <v>725</v>
      </c>
      <c r="G91" s="64" t="s">
        <v>728</v>
      </c>
      <c r="H91" s="64" t="s">
        <v>729</v>
      </c>
      <c r="I91" s="66" t="s">
        <v>726</v>
      </c>
      <c r="J91" s="66" t="s">
        <v>727</v>
      </c>
      <c r="K91" s="66" t="s">
        <v>730</v>
      </c>
      <c r="L91" s="66" t="s">
        <v>731</v>
      </c>
      <c r="M91" s="64" t="s">
        <v>776</v>
      </c>
      <c r="N91" s="63"/>
      <c r="O91" s="63"/>
      <c r="P91" s="63"/>
      <c r="Q91" s="64" t="s">
        <v>131</v>
      </c>
      <c r="R91" s="59">
        <v>45176</v>
      </c>
      <c r="S91" s="170">
        <v>0.47916666666666669</v>
      </c>
      <c r="T91" s="60" t="s">
        <v>920</v>
      </c>
      <c r="U91" s="183" t="s">
        <v>1057</v>
      </c>
      <c r="V91" s="6" t="s">
        <v>178</v>
      </c>
      <c r="W91" s="23" t="str">
        <f t="shared" ca="1" si="52"/>
        <v>SI</v>
      </c>
      <c r="X91" s="23" t="str">
        <f t="shared" si="53"/>
        <v>DIANOSOL</v>
      </c>
      <c r="Y91" s="50" t="s">
        <v>991</v>
      </c>
      <c r="Z91" s="111" t="s">
        <v>1059</v>
      </c>
      <c r="AA91" s="111" t="str">
        <f>IF(Z91&lt;&gt;"",VLOOKUP($Z91,Resultados!$A$1:$B$49,2,FALSE),"")</f>
        <v>Recursos donde se hizo lugar</v>
      </c>
      <c r="AC91" s="10">
        <f t="shared" si="54"/>
        <v>7</v>
      </c>
      <c r="AD91" s="10">
        <f t="shared" si="55"/>
        <v>9</v>
      </c>
      <c r="AE91" s="10">
        <f t="shared" si="56"/>
        <v>2023</v>
      </c>
      <c r="AF91" s="1">
        <f t="shared" si="36"/>
        <v>11</v>
      </c>
      <c r="AG91" s="1" t="str">
        <f t="shared" si="37"/>
        <v xml:space="preserve"> </v>
      </c>
      <c r="AH91" s="1" t="str">
        <f t="shared" si="38"/>
        <v xml:space="preserve"> </v>
      </c>
      <c r="AI91" s="1" t="str">
        <f t="shared" si="39"/>
        <v xml:space="preserve"> </v>
      </c>
      <c r="AJ91" s="1" t="str">
        <f t="shared" si="40"/>
        <v xml:space="preserve"> </v>
      </c>
      <c r="AK91" s="1" t="str">
        <f t="shared" si="41"/>
        <v xml:space="preserve"> </v>
      </c>
      <c r="AL91" s="1" t="str">
        <f t="shared" si="42"/>
        <v xml:space="preserve"> </v>
      </c>
      <c r="AM91" s="1" t="str">
        <f t="shared" si="43"/>
        <v xml:space="preserve"> </v>
      </c>
      <c r="AN91" s="1" t="str">
        <f t="shared" si="44"/>
        <v xml:space="preserve"> </v>
      </c>
      <c r="AO91" s="1" t="str">
        <f t="shared" si="45"/>
        <v xml:space="preserve"> </v>
      </c>
      <c r="AP91" s="1">
        <f t="shared" si="46"/>
        <v>11</v>
      </c>
      <c r="AQ91" s="1" t="str">
        <f t="shared" si="47"/>
        <v xml:space="preserve"> </v>
      </c>
      <c r="AR91" s="1" t="str">
        <f t="shared" si="48"/>
        <v xml:space="preserve"> </v>
      </c>
      <c r="AS91" s="1" t="str">
        <f t="shared" si="49"/>
        <v xml:space="preserve"> </v>
      </c>
      <c r="AT91" s="1" t="str">
        <f t="shared" si="50"/>
        <v xml:space="preserve"> </v>
      </c>
      <c r="AU91" s="1" t="str">
        <f t="shared" si="51"/>
        <v xml:space="preserve"> </v>
      </c>
    </row>
    <row r="92" spans="1:47" ht="25.5" hidden="1">
      <c r="A92" s="61">
        <v>90</v>
      </c>
      <c r="B92" s="59">
        <v>45167</v>
      </c>
      <c r="C92" s="165">
        <v>0.41666666666666669</v>
      </c>
      <c r="D92" s="63" t="s">
        <v>107</v>
      </c>
      <c r="E92" s="64" t="s">
        <v>733</v>
      </c>
      <c r="F92" s="64" t="s">
        <v>734</v>
      </c>
      <c r="G92" s="63"/>
      <c r="H92" s="64"/>
      <c r="I92" s="66" t="s">
        <v>735</v>
      </c>
      <c r="J92" s="70"/>
      <c r="K92" s="70"/>
      <c r="L92" s="70"/>
      <c r="M92" s="64" t="s">
        <v>736</v>
      </c>
      <c r="N92" s="63"/>
      <c r="O92" s="63"/>
      <c r="P92" s="63"/>
      <c r="Q92" s="64" t="s">
        <v>132</v>
      </c>
      <c r="R92" s="60">
        <v>45167</v>
      </c>
      <c r="S92" s="170">
        <v>0.47916666666666669</v>
      </c>
      <c r="T92" s="60" t="s">
        <v>774</v>
      </c>
      <c r="U92" s="187"/>
      <c r="V92" s="63"/>
      <c r="W92" s="23" t="str">
        <f t="shared" ca="1" si="52"/>
        <v>SI</v>
      </c>
      <c r="X92" s="23" t="str">
        <f t="shared" si="53"/>
        <v>DIANOSOL</v>
      </c>
      <c r="Y92" s="50"/>
      <c r="Z92" s="111" t="s">
        <v>1037</v>
      </c>
      <c r="AA92" s="111" t="str">
        <f>IF(Z92&lt;&gt;"",VLOOKUP($Z92,Resultados!$A$1:$B$49,2,FALSE),"")</f>
        <v>Audiencias de Visu</v>
      </c>
      <c r="AC92" s="10">
        <f t="shared" si="54"/>
        <v>29</v>
      </c>
      <c r="AD92" s="10">
        <f t="shared" si="55"/>
        <v>8</v>
      </c>
      <c r="AE92" s="10">
        <f t="shared" si="56"/>
        <v>2023</v>
      </c>
      <c r="AF92" s="1">
        <f t="shared" si="36"/>
        <v>1</v>
      </c>
      <c r="AG92" s="1" t="str">
        <f t="shared" si="37"/>
        <v xml:space="preserve"> </v>
      </c>
      <c r="AH92" s="1" t="str">
        <f t="shared" si="38"/>
        <v xml:space="preserve"> </v>
      </c>
      <c r="AI92" s="1" t="str">
        <f t="shared" si="39"/>
        <v xml:space="preserve"> </v>
      </c>
      <c r="AJ92" s="1" t="str">
        <f t="shared" si="40"/>
        <v xml:space="preserve"> </v>
      </c>
      <c r="AK92" s="1" t="str">
        <f t="shared" si="41"/>
        <v xml:space="preserve"> </v>
      </c>
      <c r="AL92" s="1" t="str">
        <f t="shared" si="42"/>
        <v xml:space="preserve"> </v>
      </c>
      <c r="AM92" s="1" t="str">
        <f t="shared" si="43"/>
        <v xml:space="preserve"> </v>
      </c>
      <c r="AN92" s="1" t="str">
        <f t="shared" si="44"/>
        <v xml:space="preserve"> </v>
      </c>
      <c r="AO92" s="1">
        <f t="shared" si="45"/>
        <v>1</v>
      </c>
      <c r="AP92" s="1" t="str">
        <f t="shared" si="46"/>
        <v xml:space="preserve"> </v>
      </c>
      <c r="AQ92" s="1" t="str">
        <f t="shared" si="47"/>
        <v xml:space="preserve"> </v>
      </c>
      <c r="AR92" s="1" t="str">
        <f t="shared" si="48"/>
        <v xml:space="preserve"> </v>
      </c>
      <c r="AS92" s="1" t="str">
        <f t="shared" si="49"/>
        <v xml:space="preserve"> </v>
      </c>
      <c r="AT92" s="1" t="str">
        <f t="shared" si="50"/>
        <v xml:space="preserve"> </v>
      </c>
      <c r="AU92" s="1" t="str">
        <f t="shared" si="51"/>
        <v xml:space="preserve"> </v>
      </c>
    </row>
    <row r="93" spans="1:47" ht="38.25" hidden="1">
      <c r="A93" s="61">
        <v>91</v>
      </c>
      <c r="B93" s="59">
        <v>45167</v>
      </c>
      <c r="C93" s="165">
        <v>0.41666666666666669</v>
      </c>
      <c r="D93" s="63" t="s">
        <v>106</v>
      </c>
      <c r="E93" s="63" t="s">
        <v>737</v>
      </c>
      <c r="F93" s="63" t="s">
        <v>738</v>
      </c>
      <c r="G93" s="63"/>
      <c r="H93" s="63"/>
      <c r="I93" s="70"/>
      <c r="J93" s="70"/>
      <c r="K93" s="70"/>
      <c r="L93" s="70"/>
      <c r="M93" s="63" t="s">
        <v>739</v>
      </c>
      <c r="N93" s="63"/>
      <c r="O93" s="63" t="s">
        <v>740</v>
      </c>
      <c r="P93" s="63"/>
      <c r="Q93" s="63" t="s">
        <v>132</v>
      </c>
      <c r="R93" s="60">
        <v>45167</v>
      </c>
      <c r="S93" s="165">
        <v>0.45833333333333331</v>
      </c>
      <c r="T93" s="60" t="s">
        <v>774</v>
      </c>
      <c r="U93" s="182" t="s">
        <v>1069</v>
      </c>
      <c r="V93" s="63"/>
      <c r="W93" s="23" t="str">
        <f t="shared" ca="1" si="52"/>
        <v>SI</v>
      </c>
      <c r="X93" s="23" t="str">
        <f t="shared" si="53"/>
        <v>DIANOSOL</v>
      </c>
      <c r="Y93" s="50"/>
      <c r="Z93" s="111" t="s">
        <v>1037</v>
      </c>
      <c r="AA93" s="111" t="str">
        <f>IF(Z93&lt;&gt;"",VLOOKUP($Z93,Resultados!$A$1:$B$49,2,FALSE),"")</f>
        <v>Audiencias de Visu</v>
      </c>
      <c r="AC93" s="10">
        <f t="shared" si="54"/>
        <v>29</v>
      </c>
      <c r="AD93" s="10">
        <f t="shared" si="55"/>
        <v>8</v>
      </c>
      <c r="AE93" s="10">
        <f t="shared" si="56"/>
        <v>2023</v>
      </c>
      <c r="AF93" s="1">
        <f t="shared" si="36"/>
        <v>1</v>
      </c>
      <c r="AG93" s="1" t="str">
        <f t="shared" si="37"/>
        <v xml:space="preserve"> </v>
      </c>
      <c r="AH93" s="1" t="str">
        <f t="shared" si="38"/>
        <v xml:space="preserve"> </v>
      </c>
      <c r="AI93" s="1" t="str">
        <f t="shared" si="39"/>
        <v xml:space="preserve"> </v>
      </c>
      <c r="AJ93" s="1" t="str">
        <f t="shared" si="40"/>
        <v xml:space="preserve"> </v>
      </c>
      <c r="AK93" s="1" t="str">
        <f t="shared" si="41"/>
        <v xml:space="preserve"> </v>
      </c>
      <c r="AL93" s="1" t="str">
        <f t="shared" si="42"/>
        <v xml:space="preserve"> </v>
      </c>
      <c r="AM93" s="1" t="str">
        <f t="shared" si="43"/>
        <v xml:space="preserve"> </v>
      </c>
      <c r="AN93" s="1" t="str">
        <f t="shared" si="44"/>
        <v xml:space="preserve"> </v>
      </c>
      <c r="AO93" s="1">
        <f t="shared" si="45"/>
        <v>1</v>
      </c>
      <c r="AP93" s="1" t="str">
        <f t="shared" si="46"/>
        <v xml:space="preserve"> </v>
      </c>
      <c r="AQ93" s="1" t="str">
        <f t="shared" si="47"/>
        <v xml:space="preserve"> </v>
      </c>
      <c r="AR93" s="1" t="str">
        <f t="shared" si="48"/>
        <v xml:space="preserve"> </v>
      </c>
      <c r="AS93" s="1" t="str">
        <f t="shared" si="49"/>
        <v xml:space="preserve"> </v>
      </c>
      <c r="AT93" s="1" t="str">
        <f t="shared" si="50"/>
        <v xml:space="preserve"> </v>
      </c>
      <c r="AU93" s="1" t="str">
        <f t="shared" si="51"/>
        <v xml:space="preserve"> </v>
      </c>
    </row>
    <row r="94" spans="1:47" ht="38.25" hidden="1">
      <c r="A94" s="61">
        <v>92</v>
      </c>
      <c r="B94" s="60">
        <v>45167</v>
      </c>
      <c r="C94" s="165">
        <v>0.53125</v>
      </c>
      <c r="D94" s="63" t="s">
        <v>226</v>
      </c>
      <c r="E94" s="64" t="s">
        <v>743</v>
      </c>
      <c r="F94" s="64" t="s">
        <v>744</v>
      </c>
      <c r="G94" s="65">
        <v>28634204</v>
      </c>
      <c r="H94" s="64" t="s">
        <v>745</v>
      </c>
      <c r="I94" s="66" t="s">
        <v>746</v>
      </c>
      <c r="J94" s="66" t="s">
        <v>747</v>
      </c>
      <c r="K94" s="70"/>
      <c r="L94" s="70"/>
      <c r="M94" s="64" t="s">
        <v>375</v>
      </c>
      <c r="N94" s="63"/>
      <c r="O94" s="63"/>
      <c r="P94" s="63"/>
      <c r="Q94" s="64" t="s">
        <v>132</v>
      </c>
      <c r="R94" s="60">
        <v>45180</v>
      </c>
      <c r="S94" s="170">
        <v>0.39583333333333331</v>
      </c>
      <c r="T94" s="60" t="s">
        <v>939</v>
      </c>
      <c r="U94" s="189"/>
      <c r="V94" s="64" t="s">
        <v>847</v>
      </c>
      <c r="W94" s="23" t="str">
        <f t="shared" ca="1" si="52"/>
        <v>SI</v>
      </c>
      <c r="X94" s="23" t="str">
        <f t="shared" si="53"/>
        <v>DIANOSOL</v>
      </c>
      <c r="Y94" s="50" t="s">
        <v>991</v>
      </c>
      <c r="Z94" s="111" t="s">
        <v>1015</v>
      </c>
      <c r="AA94" s="111" t="str">
        <f>IF(Z94&lt;&gt;"",VLOOKUP($Z94,Resultados!$A$1:$B$49,2,FALSE),"")</f>
        <v>Recursos Denegados</v>
      </c>
      <c r="AB94" s="23" t="str">
        <f t="shared" ref="AB94:AB96" ca="1" si="59">IF(R94&gt;TODAY(),"FIJADA","OTRO")</f>
        <v>OTRO</v>
      </c>
      <c r="AC94" s="10">
        <f t="shared" si="54"/>
        <v>11</v>
      </c>
      <c r="AD94" s="10">
        <f t="shared" si="55"/>
        <v>9</v>
      </c>
      <c r="AE94" s="10">
        <f t="shared" si="56"/>
        <v>2023</v>
      </c>
      <c r="AF94" s="1">
        <f t="shared" si="36"/>
        <v>10</v>
      </c>
      <c r="AG94" s="1" t="str">
        <f t="shared" si="37"/>
        <v xml:space="preserve"> </v>
      </c>
      <c r="AH94" s="1" t="str">
        <f t="shared" si="38"/>
        <v xml:space="preserve"> </v>
      </c>
      <c r="AI94" s="1" t="str">
        <f t="shared" si="39"/>
        <v xml:space="preserve"> </v>
      </c>
      <c r="AJ94" s="1" t="str">
        <f t="shared" si="40"/>
        <v xml:space="preserve"> </v>
      </c>
      <c r="AK94" s="1" t="str">
        <f t="shared" si="41"/>
        <v xml:space="preserve"> </v>
      </c>
      <c r="AL94" s="1" t="str">
        <f t="shared" si="42"/>
        <v xml:space="preserve"> </v>
      </c>
      <c r="AM94" s="1" t="str">
        <f t="shared" si="43"/>
        <v xml:space="preserve"> </v>
      </c>
      <c r="AN94" s="1" t="str">
        <f t="shared" si="44"/>
        <v xml:space="preserve"> </v>
      </c>
      <c r="AO94" s="1" t="str">
        <f t="shared" si="45"/>
        <v xml:space="preserve"> </v>
      </c>
      <c r="AP94" s="1">
        <f t="shared" si="46"/>
        <v>10</v>
      </c>
      <c r="AQ94" s="1" t="str">
        <f t="shared" si="47"/>
        <v xml:space="preserve"> </v>
      </c>
      <c r="AR94" s="1" t="str">
        <f t="shared" si="48"/>
        <v xml:space="preserve"> </v>
      </c>
      <c r="AS94" s="1" t="str">
        <f t="shared" si="49"/>
        <v xml:space="preserve"> </v>
      </c>
      <c r="AT94" s="1" t="str">
        <f t="shared" si="50"/>
        <v xml:space="preserve"> </v>
      </c>
      <c r="AU94" s="1" t="str">
        <f t="shared" si="51"/>
        <v xml:space="preserve"> </v>
      </c>
    </row>
    <row r="95" spans="1:47" ht="89.25" hidden="1">
      <c r="A95" s="61">
        <v>93</v>
      </c>
      <c r="B95" s="60">
        <v>45168</v>
      </c>
      <c r="C95" s="64" t="s">
        <v>751</v>
      </c>
      <c r="D95" s="63" t="s">
        <v>107</v>
      </c>
      <c r="E95" s="64" t="s">
        <v>752</v>
      </c>
      <c r="F95" s="64" t="s">
        <v>753</v>
      </c>
      <c r="G95" s="65">
        <v>11283803</v>
      </c>
      <c r="H95" s="64" t="s">
        <v>371</v>
      </c>
      <c r="I95" s="66" t="s">
        <v>372</v>
      </c>
      <c r="J95" s="66" t="s">
        <v>373</v>
      </c>
      <c r="K95" s="70"/>
      <c r="L95" s="66" t="s">
        <v>374</v>
      </c>
      <c r="M95" s="64" t="s">
        <v>375</v>
      </c>
      <c r="N95" s="63"/>
      <c r="O95" s="64" t="s">
        <v>754</v>
      </c>
      <c r="P95" s="63"/>
      <c r="Q95" s="64" t="s">
        <v>135</v>
      </c>
      <c r="R95" s="59">
        <v>45181</v>
      </c>
      <c r="S95" s="170">
        <v>0.39583333333333331</v>
      </c>
      <c r="T95" s="60" t="s">
        <v>849</v>
      </c>
      <c r="U95" s="183" t="s">
        <v>1057</v>
      </c>
      <c r="V95" s="64" t="s">
        <v>850</v>
      </c>
      <c r="W95" s="23" t="str">
        <f t="shared" ca="1" si="52"/>
        <v>SI</v>
      </c>
      <c r="X95" s="23" t="str">
        <f t="shared" si="53"/>
        <v>DIANOSOL</v>
      </c>
      <c r="Y95" s="50" t="s">
        <v>991</v>
      </c>
      <c r="Z95" s="111" t="s">
        <v>1015</v>
      </c>
      <c r="AA95" s="111" t="str">
        <f>IF(Z95&lt;&gt;"",VLOOKUP($Z95,Resultados!$A$1:$B$49,2,FALSE),"")</f>
        <v>Recursos Denegados</v>
      </c>
      <c r="AB95" s="23" t="str">
        <f t="shared" ca="1" si="59"/>
        <v>OTRO</v>
      </c>
      <c r="AC95" s="10">
        <f t="shared" si="54"/>
        <v>12</v>
      </c>
      <c r="AD95" s="10">
        <f t="shared" si="55"/>
        <v>9</v>
      </c>
      <c r="AE95" s="10">
        <f t="shared" si="56"/>
        <v>2023</v>
      </c>
      <c r="AF95" s="1">
        <f t="shared" si="36"/>
        <v>10</v>
      </c>
      <c r="AG95" s="1" t="str">
        <f t="shared" si="37"/>
        <v xml:space="preserve"> </v>
      </c>
      <c r="AH95" s="1" t="str">
        <f t="shared" si="38"/>
        <v xml:space="preserve"> </v>
      </c>
      <c r="AI95" s="1" t="str">
        <f t="shared" si="39"/>
        <v xml:space="preserve"> </v>
      </c>
      <c r="AJ95" s="1" t="str">
        <f t="shared" si="40"/>
        <v xml:space="preserve"> </v>
      </c>
      <c r="AK95" s="1" t="str">
        <f t="shared" si="41"/>
        <v xml:space="preserve"> </v>
      </c>
      <c r="AL95" s="1" t="str">
        <f t="shared" si="42"/>
        <v xml:space="preserve"> </v>
      </c>
      <c r="AM95" s="1" t="str">
        <f t="shared" si="43"/>
        <v xml:space="preserve"> </v>
      </c>
      <c r="AN95" s="1" t="str">
        <f t="shared" si="44"/>
        <v xml:space="preserve"> </v>
      </c>
      <c r="AO95" s="1" t="str">
        <f t="shared" si="45"/>
        <v xml:space="preserve"> </v>
      </c>
      <c r="AP95" s="1">
        <f t="shared" si="46"/>
        <v>10</v>
      </c>
      <c r="AQ95" s="1" t="str">
        <f t="shared" si="47"/>
        <v xml:space="preserve"> </v>
      </c>
      <c r="AR95" s="1" t="str">
        <f t="shared" si="48"/>
        <v xml:space="preserve"> </v>
      </c>
      <c r="AS95" s="1" t="str">
        <f t="shared" si="49"/>
        <v xml:space="preserve"> </v>
      </c>
      <c r="AT95" s="1" t="str">
        <f t="shared" si="50"/>
        <v xml:space="preserve"> </v>
      </c>
      <c r="AU95" s="1" t="str">
        <f t="shared" si="51"/>
        <v xml:space="preserve"> </v>
      </c>
    </row>
    <row r="96" spans="1:47" ht="102" hidden="1">
      <c r="A96" s="61">
        <v>94</v>
      </c>
      <c r="B96" s="60">
        <v>45168</v>
      </c>
      <c r="C96" s="165">
        <v>0.52152777777777781</v>
      </c>
      <c r="D96" s="63" t="s">
        <v>106</v>
      </c>
      <c r="E96" s="64" t="s">
        <v>755</v>
      </c>
      <c r="F96" s="64" t="s">
        <v>756</v>
      </c>
      <c r="G96" s="64" t="s">
        <v>757</v>
      </c>
      <c r="H96" s="64" t="s">
        <v>758</v>
      </c>
      <c r="I96" s="66" t="s">
        <v>759</v>
      </c>
      <c r="J96" s="70"/>
      <c r="K96" s="70"/>
      <c r="L96" s="70"/>
      <c r="M96" s="64" t="s">
        <v>760</v>
      </c>
      <c r="N96" s="63"/>
      <c r="O96" s="63"/>
      <c r="P96" s="63"/>
      <c r="Q96" s="64" t="s">
        <v>777</v>
      </c>
      <c r="R96" s="59">
        <v>45188</v>
      </c>
      <c r="S96" s="170">
        <v>0.39583333333333331</v>
      </c>
      <c r="T96" s="60" t="s">
        <v>911</v>
      </c>
      <c r="U96" s="182" t="s">
        <v>1251</v>
      </c>
      <c r="V96" s="64" t="s">
        <v>959</v>
      </c>
      <c r="W96" s="23" t="str">
        <f t="shared" ca="1" si="52"/>
        <v>SI</v>
      </c>
      <c r="X96" s="23" t="str">
        <f t="shared" si="53"/>
        <v>DIANOSOL</v>
      </c>
      <c r="Y96" s="50" t="s">
        <v>991</v>
      </c>
      <c r="Z96" s="111" t="s">
        <v>1015</v>
      </c>
      <c r="AA96" s="111" t="str">
        <f>IF(Z96&lt;&gt;"",VLOOKUP($Z96,Resultados!$A$1:$B$49,2,FALSE),"")</f>
        <v>Recursos Denegados</v>
      </c>
      <c r="AB96" s="23" t="str">
        <f t="shared" ca="1" si="59"/>
        <v>OTRO</v>
      </c>
      <c r="AC96" s="10">
        <f t="shared" si="54"/>
        <v>19</v>
      </c>
      <c r="AD96" s="10">
        <f t="shared" si="55"/>
        <v>9</v>
      </c>
      <c r="AE96" s="10">
        <f t="shared" si="56"/>
        <v>2023</v>
      </c>
      <c r="AF96" s="1">
        <f t="shared" si="36"/>
        <v>15</v>
      </c>
      <c r="AG96" s="1" t="str">
        <f t="shared" si="37"/>
        <v xml:space="preserve"> </v>
      </c>
      <c r="AH96" s="1" t="str">
        <f t="shared" si="38"/>
        <v xml:space="preserve"> </v>
      </c>
      <c r="AI96" s="1" t="str">
        <f t="shared" si="39"/>
        <v xml:space="preserve"> </v>
      </c>
      <c r="AJ96" s="1" t="str">
        <f t="shared" si="40"/>
        <v xml:space="preserve"> </v>
      </c>
      <c r="AK96" s="1" t="str">
        <f t="shared" si="41"/>
        <v xml:space="preserve"> </v>
      </c>
      <c r="AL96" s="1" t="str">
        <f t="shared" si="42"/>
        <v xml:space="preserve"> </v>
      </c>
      <c r="AM96" s="1" t="str">
        <f t="shared" si="43"/>
        <v xml:space="preserve"> </v>
      </c>
      <c r="AN96" s="1" t="str">
        <f t="shared" si="44"/>
        <v xml:space="preserve"> </v>
      </c>
      <c r="AO96" s="1" t="str">
        <f t="shared" si="45"/>
        <v xml:space="preserve"> </v>
      </c>
      <c r="AP96" s="1">
        <f t="shared" si="46"/>
        <v>15</v>
      </c>
      <c r="AQ96" s="1" t="str">
        <f t="shared" si="47"/>
        <v xml:space="preserve"> </v>
      </c>
      <c r="AR96" s="1" t="str">
        <f t="shared" si="48"/>
        <v xml:space="preserve"> </v>
      </c>
      <c r="AS96" s="1" t="str">
        <f t="shared" si="49"/>
        <v xml:space="preserve"> </v>
      </c>
      <c r="AT96" s="1" t="str">
        <f t="shared" si="50"/>
        <v xml:space="preserve"> </v>
      </c>
      <c r="AU96" s="1" t="str">
        <f t="shared" si="51"/>
        <v xml:space="preserve"> </v>
      </c>
    </row>
    <row r="97" spans="1:47" ht="51" hidden="1">
      <c r="A97" s="61">
        <v>95</v>
      </c>
      <c r="B97" s="59">
        <v>45168</v>
      </c>
      <c r="C97" s="165">
        <v>0.53611111111111109</v>
      </c>
      <c r="D97" s="63" t="s">
        <v>104</v>
      </c>
      <c r="E97" s="64" t="s">
        <v>761</v>
      </c>
      <c r="F97" s="64" t="s">
        <v>762</v>
      </c>
      <c r="G97" s="65">
        <v>16662992</v>
      </c>
      <c r="H97" s="63"/>
      <c r="I97" s="66" t="s">
        <v>812</v>
      </c>
      <c r="J97" s="66" t="s">
        <v>813</v>
      </c>
      <c r="K97" s="70"/>
      <c r="L97" s="70"/>
      <c r="M97" s="64" t="s">
        <v>385</v>
      </c>
      <c r="N97" s="63"/>
      <c r="O97" s="63"/>
      <c r="P97" s="63"/>
      <c r="Q97" s="64" t="s">
        <v>132</v>
      </c>
      <c r="R97" s="60">
        <v>45177</v>
      </c>
      <c r="S97" s="170">
        <v>0.33333333333333331</v>
      </c>
      <c r="T97" s="60" t="s">
        <v>921</v>
      </c>
      <c r="U97" s="183"/>
      <c r="V97" s="63"/>
      <c r="W97" s="23" t="str">
        <f t="shared" ca="1" si="52"/>
        <v>SI</v>
      </c>
      <c r="X97" s="23" t="str">
        <f t="shared" si="53"/>
        <v>DIANOSOL</v>
      </c>
      <c r="Y97" s="50" t="s">
        <v>991</v>
      </c>
      <c r="Z97" s="111" t="s">
        <v>1059</v>
      </c>
      <c r="AA97" s="111" t="str">
        <f>IF(Z97&lt;&gt;"",VLOOKUP($Z97,Resultados!$A$1:$B$49,2,FALSE),"")</f>
        <v>Recursos donde se hizo lugar</v>
      </c>
      <c r="AC97" s="10">
        <f t="shared" si="54"/>
        <v>8</v>
      </c>
      <c r="AD97" s="10">
        <f t="shared" si="55"/>
        <v>9</v>
      </c>
      <c r="AE97" s="10">
        <f t="shared" si="56"/>
        <v>2023</v>
      </c>
      <c r="AF97" s="1">
        <f t="shared" si="36"/>
        <v>8</v>
      </c>
      <c r="AG97" s="1" t="str">
        <f t="shared" si="37"/>
        <v xml:space="preserve"> </v>
      </c>
      <c r="AH97" s="1" t="str">
        <f t="shared" si="38"/>
        <v xml:space="preserve"> </v>
      </c>
      <c r="AI97" s="1" t="str">
        <f t="shared" si="39"/>
        <v xml:space="preserve"> </v>
      </c>
      <c r="AJ97" s="1" t="str">
        <f t="shared" si="40"/>
        <v xml:space="preserve"> </v>
      </c>
      <c r="AK97" s="1" t="str">
        <f t="shared" si="41"/>
        <v xml:space="preserve"> </v>
      </c>
      <c r="AL97" s="1" t="str">
        <f t="shared" si="42"/>
        <v xml:space="preserve"> </v>
      </c>
      <c r="AM97" s="1" t="str">
        <f t="shared" si="43"/>
        <v xml:space="preserve"> </v>
      </c>
      <c r="AN97" s="1" t="str">
        <f t="shared" si="44"/>
        <v xml:space="preserve"> </v>
      </c>
      <c r="AO97" s="1" t="str">
        <f t="shared" si="45"/>
        <v xml:space="preserve"> </v>
      </c>
      <c r="AP97" s="1">
        <f t="shared" si="46"/>
        <v>8</v>
      </c>
      <c r="AQ97" s="1" t="str">
        <f t="shared" si="47"/>
        <v xml:space="preserve"> </v>
      </c>
      <c r="AR97" s="1" t="str">
        <f t="shared" si="48"/>
        <v xml:space="preserve"> </v>
      </c>
      <c r="AS97" s="1" t="str">
        <f t="shared" si="49"/>
        <v xml:space="preserve"> </v>
      </c>
      <c r="AT97" s="1" t="str">
        <f t="shared" si="50"/>
        <v xml:space="preserve"> </v>
      </c>
      <c r="AU97" s="1" t="str">
        <f t="shared" si="51"/>
        <v xml:space="preserve"> </v>
      </c>
    </row>
    <row r="98" spans="1:47" ht="89.25" hidden="1">
      <c r="A98" s="61">
        <v>96</v>
      </c>
      <c r="B98" s="59">
        <v>45169</v>
      </c>
      <c r="C98" s="165">
        <v>0.47222222222222227</v>
      </c>
      <c r="D98" s="63" t="s">
        <v>228</v>
      </c>
      <c r="E98" s="64" t="s">
        <v>765</v>
      </c>
      <c r="F98" s="64" t="s">
        <v>766</v>
      </c>
      <c r="G98" s="65">
        <v>32543978</v>
      </c>
      <c r="H98" s="64" t="s">
        <v>767</v>
      </c>
      <c r="I98" s="66" t="s">
        <v>768</v>
      </c>
      <c r="J98" s="66" t="s">
        <v>769</v>
      </c>
      <c r="K98" s="70"/>
      <c r="L98" s="70"/>
      <c r="M98" s="64" t="s">
        <v>770</v>
      </c>
      <c r="N98" s="64" t="s">
        <v>771</v>
      </c>
      <c r="O98" s="63"/>
      <c r="P98" s="63"/>
      <c r="Q98" s="64" t="s">
        <v>131</v>
      </c>
      <c r="R98" s="59">
        <v>45176</v>
      </c>
      <c r="S98" s="170">
        <v>0.39583333333333331</v>
      </c>
      <c r="T98" s="60" t="s">
        <v>940</v>
      </c>
      <c r="U98" s="187"/>
      <c r="V98" s="38"/>
      <c r="W98" s="23" t="str">
        <f t="shared" ca="1" si="52"/>
        <v>SI</v>
      </c>
      <c r="X98" s="23" t="str">
        <f t="shared" si="53"/>
        <v>DIANOSOL</v>
      </c>
      <c r="Y98" s="50" t="s">
        <v>991</v>
      </c>
      <c r="Z98" s="111" t="s">
        <v>1015</v>
      </c>
      <c r="AA98" s="111" t="str">
        <f>IF(Z98&lt;&gt;"",VLOOKUP($Z98,Resultados!$A$1:$B$49,2,FALSE),"")</f>
        <v>Recursos Denegados</v>
      </c>
      <c r="AB98" s="23" t="str">
        <f t="shared" ref="AB98:AB99" ca="1" si="60">IF(R98&gt;TODAY(),"FIJADA","OTRO")</f>
        <v>OTRO</v>
      </c>
      <c r="AC98" s="10">
        <f t="shared" si="54"/>
        <v>7</v>
      </c>
      <c r="AD98" s="10">
        <f t="shared" si="55"/>
        <v>9</v>
      </c>
      <c r="AE98" s="10">
        <f t="shared" si="56"/>
        <v>2023</v>
      </c>
      <c r="AF98" s="1">
        <f t="shared" si="36"/>
        <v>6</v>
      </c>
      <c r="AG98" s="1" t="str">
        <f t="shared" si="37"/>
        <v xml:space="preserve"> </v>
      </c>
      <c r="AH98" s="1" t="str">
        <f t="shared" si="38"/>
        <v xml:space="preserve"> </v>
      </c>
      <c r="AI98" s="1" t="str">
        <f t="shared" si="39"/>
        <v xml:space="preserve"> </v>
      </c>
      <c r="AJ98" s="1" t="str">
        <f t="shared" si="40"/>
        <v xml:space="preserve"> </v>
      </c>
      <c r="AK98" s="1" t="str">
        <f t="shared" si="41"/>
        <v xml:space="preserve"> </v>
      </c>
      <c r="AL98" s="1" t="str">
        <f t="shared" si="42"/>
        <v xml:space="preserve"> </v>
      </c>
      <c r="AM98" s="1" t="str">
        <f t="shared" si="43"/>
        <v xml:space="preserve"> </v>
      </c>
      <c r="AN98" s="1" t="str">
        <f t="shared" si="44"/>
        <v xml:space="preserve"> </v>
      </c>
      <c r="AO98" s="1" t="str">
        <f t="shared" si="45"/>
        <v xml:space="preserve"> </v>
      </c>
      <c r="AP98" s="1">
        <f t="shared" si="46"/>
        <v>6</v>
      </c>
      <c r="AQ98" s="1" t="str">
        <f t="shared" si="47"/>
        <v xml:space="preserve"> </v>
      </c>
      <c r="AR98" s="1" t="str">
        <f t="shared" si="48"/>
        <v xml:space="preserve"> </v>
      </c>
      <c r="AS98" s="1" t="str">
        <f t="shared" si="49"/>
        <v xml:space="preserve"> </v>
      </c>
      <c r="AT98" s="1" t="str">
        <f t="shared" si="50"/>
        <v xml:space="preserve"> </v>
      </c>
      <c r="AU98" s="1" t="str">
        <f t="shared" si="51"/>
        <v xml:space="preserve"> </v>
      </c>
    </row>
    <row r="99" spans="1:47" ht="38.25" hidden="1">
      <c r="A99" s="61">
        <v>97</v>
      </c>
      <c r="B99" s="59">
        <v>45173</v>
      </c>
      <c r="C99" s="165">
        <v>0.51180555555555551</v>
      </c>
      <c r="D99" s="63" t="s">
        <v>103</v>
      </c>
      <c r="E99" s="64" t="s">
        <v>778</v>
      </c>
      <c r="F99" s="64" t="s">
        <v>779</v>
      </c>
      <c r="G99" s="65">
        <v>32630135</v>
      </c>
      <c r="H99" s="63"/>
      <c r="I99" s="66" t="s">
        <v>780</v>
      </c>
      <c r="J99" s="66" t="s">
        <v>781</v>
      </c>
      <c r="K99" s="67">
        <v>26400276</v>
      </c>
      <c r="L99" s="70"/>
      <c r="M99" s="64" t="s">
        <v>385</v>
      </c>
      <c r="N99" s="63"/>
      <c r="O99" s="63"/>
      <c r="P99" s="63"/>
      <c r="Q99" s="64" t="s">
        <v>811</v>
      </c>
      <c r="R99" s="59">
        <v>45181</v>
      </c>
      <c r="S99" s="165">
        <v>0.4375</v>
      </c>
      <c r="T99" s="60" t="s">
        <v>911</v>
      </c>
      <c r="U99" s="183" t="s">
        <v>987</v>
      </c>
      <c r="V99" s="64" t="s">
        <v>850</v>
      </c>
      <c r="W99" s="23" t="str">
        <f t="shared" ca="1" si="52"/>
        <v>SI</v>
      </c>
      <c r="X99" s="23" t="str">
        <f t="shared" si="53"/>
        <v>DIANOSOL</v>
      </c>
      <c r="Y99" s="50" t="s">
        <v>991</v>
      </c>
      <c r="Z99" s="111" t="s">
        <v>1015</v>
      </c>
      <c r="AA99" s="111" t="str">
        <f>IF(Z99&lt;&gt;"",VLOOKUP($Z99,Resultados!$A$1:$B$49,2,FALSE),"")</f>
        <v>Recursos Denegados</v>
      </c>
      <c r="AB99" s="23" t="str">
        <f t="shared" ca="1" si="60"/>
        <v>OTRO</v>
      </c>
      <c r="AC99" s="10">
        <f t="shared" si="54"/>
        <v>12</v>
      </c>
      <c r="AD99" s="10">
        <f t="shared" si="55"/>
        <v>9</v>
      </c>
      <c r="AE99" s="10">
        <f t="shared" si="56"/>
        <v>2023</v>
      </c>
      <c r="AF99" s="1">
        <f t="shared" ref="AF99:AF130" si="61">IF(AND(NETWORKDAYS($B99,$R99)&gt;0,$AE99=2023),NETWORKDAYS($B99,$R99)," ")</f>
        <v>7</v>
      </c>
      <c r="AG99" s="1" t="str">
        <f t="shared" ref="AG99:AG130" si="62">IF(AND(NETWORKDAYS($B99,$R99)&gt;0,$AE99=2024),NETWORKDAYS($B99,$R99)," ")</f>
        <v xml:space="preserve"> </v>
      </c>
      <c r="AH99" s="1" t="str">
        <f t="shared" si="38"/>
        <v xml:space="preserve"> </v>
      </c>
      <c r="AI99" s="1" t="str">
        <f t="shared" si="39"/>
        <v xml:space="preserve"> </v>
      </c>
      <c r="AJ99" s="1" t="str">
        <f t="shared" si="40"/>
        <v xml:space="preserve"> </v>
      </c>
      <c r="AK99" s="1" t="str">
        <f t="shared" si="41"/>
        <v xml:space="preserve"> </v>
      </c>
      <c r="AL99" s="1" t="str">
        <f t="shared" si="42"/>
        <v xml:space="preserve"> </v>
      </c>
      <c r="AM99" s="1" t="str">
        <f t="shared" si="43"/>
        <v xml:space="preserve"> </v>
      </c>
      <c r="AN99" s="1" t="str">
        <f t="shared" si="44"/>
        <v xml:space="preserve"> </v>
      </c>
      <c r="AO99" s="1" t="str">
        <f t="shared" si="45"/>
        <v xml:space="preserve"> </v>
      </c>
      <c r="AP99" s="1">
        <f t="shared" si="46"/>
        <v>7</v>
      </c>
      <c r="AQ99" s="1" t="str">
        <f t="shared" si="47"/>
        <v xml:space="preserve"> </v>
      </c>
      <c r="AR99" s="1" t="str">
        <f t="shared" si="48"/>
        <v xml:space="preserve"> </v>
      </c>
      <c r="AS99" s="1" t="str">
        <f t="shared" si="49"/>
        <v xml:space="preserve"> </v>
      </c>
      <c r="AT99" s="1" t="str">
        <f t="shared" si="50"/>
        <v xml:space="preserve"> </v>
      </c>
      <c r="AU99" s="1" t="str">
        <f t="shared" si="51"/>
        <v xml:space="preserve"> </v>
      </c>
    </row>
    <row r="100" spans="1:47" ht="63.75" hidden="1">
      <c r="A100" s="55">
        <v>98</v>
      </c>
      <c r="B100" s="52">
        <v>45174</v>
      </c>
      <c r="C100" s="162">
        <v>0.36180555555555555</v>
      </c>
      <c r="D100" s="38" t="s">
        <v>107</v>
      </c>
      <c r="E100" s="50" t="s">
        <v>782</v>
      </c>
      <c r="F100" s="50" t="s">
        <v>783</v>
      </c>
      <c r="G100" s="56">
        <v>21319295</v>
      </c>
      <c r="H100" s="50" t="s">
        <v>784</v>
      </c>
      <c r="I100" s="39" t="s">
        <v>785</v>
      </c>
      <c r="J100" s="39" t="s">
        <v>786</v>
      </c>
      <c r="K100" s="46">
        <v>22455033</v>
      </c>
      <c r="L100" s="39" t="s">
        <v>784</v>
      </c>
      <c r="M100" s="50" t="s">
        <v>787</v>
      </c>
      <c r="N100" s="50" t="s">
        <v>788</v>
      </c>
      <c r="O100" s="38"/>
      <c r="P100" s="38"/>
      <c r="Q100" s="50" t="s">
        <v>832</v>
      </c>
      <c r="R100" s="52">
        <v>45190</v>
      </c>
      <c r="S100" s="161">
        <v>0.45833333333333331</v>
      </c>
      <c r="T100" s="47" t="s">
        <v>915</v>
      </c>
      <c r="U100" s="182"/>
      <c r="V100" s="38"/>
      <c r="W100" s="23" t="str">
        <f t="shared" ref="W100:W131" ca="1" si="63">IF(R100&lt;=TODAY(),"SI","NO")</f>
        <v>SI</v>
      </c>
      <c r="X100" s="23" t="str">
        <f t="shared" ref="X100:X121" si="64">IF($X$1=R100,"DIASOL", "DIANOSOL")</f>
        <v>DIANOSOL</v>
      </c>
      <c r="Y100" s="50" t="s">
        <v>991</v>
      </c>
      <c r="Z100" s="111" t="s">
        <v>1039</v>
      </c>
      <c r="AA100" s="111" t="str">
        <f>IF(Z100&lt;&gt;"",VLOOKUP($Z100,Resultados!$A$1:$B$49,2,FALSE),"")</f>
        <v>Recursos Abstractos</v>
      </c>
      <c r="AC100" s="10">
        <f t="shared" si="54"/>
        <v>21</v>
      </c>
      <c r="AD100" s="10">
        <f t="shared" si="55"/>
        <v>9</v>
      </c>
      <c r="AE100" s="10">
        <f t="shared" si="56"/>
        <v>2023</v>
      </c>
      <c r="AF100" s="1">
        <f t="shared" si="61"/>
        <v>13</v>
      </c>
      <c r="AG100" s="1" t="str">
        <f t="shared" si="62"/>
        <v xml:space="preserve"> </v>
      </c>
      <c r="AH100" s="1" t="str">
        <f t="shared" si="38"/>
        <v xml:space="preserve"> </v>
      </c>
      <c r="AI100" s="1" t="str">
        <f t="shared" si="39"/>
        <v xml:space="preserve"> </v>
      </c>
      <c r="AJ100" s="1" t="str">
        <f t="shared" si="40"/>
        <v xml:space="preserve"> </v>
      </c>
      <c r="AK100" s="1" t="str">
        <f t="shared" si="41"/>
        <v xml:space="preserve"> </v>
      </c>
      <c r="AL100" s="1" t="str">
        <f t="shared" si="42"/>
        <v xml:space="preserve"> </v>
      </c>
      <c r="AM100" s="1" t="str">
        <f t="shared" si="43"/>
        <v xml:space="preserve"> </v>
      </c>
      <c r="AN100" s="1" t="str">
        <f t="shared" si="44"/>
        <v xml:space="preserve"> </v>
      </c>
      <c r="AO100" s="1" t="str">
        <f t="shared" si="45"/>
        <v xml:space="preserve"> </v>
      </c>
      <c r="AP100" s="1">
        <f t="shared" si="46"/>
        <v>13</v>
      </c>
      <c r="AQ100" s="1" t="str">
        <f t="shared" si="47"/>
        <v xml:space="preserve"> </v>
      </c>
      <c r="AR100" s="1" t="str">
        <f t="shared" si="48"/>
        <v xml:space="preserve"> </v>
      </c>
      <c r="AS100" s="1" t="str">
        <f t="shared" si="49"/>
        <v xml:space="preserve"> </v>
      </c>
      <c r="AT100" s="1" t="str">
        <f t="shared" si="50"/>
        <v xml:space="preserve"> </v>
      </c>
      <c r="AU100" s="1" t="str">
        <f t="shared" si="51"/>
        <v xml:space="preserve"> </v>
      </c>
    </row>
    <row r="101" spans="1:47" ht="76.5" hidden="1">
      <c r="A101" s="55">
        <v>99</v>
      </c>
      <c r="B101" s="52">
        <v>45173</v>
      </c>
      <c r="C101" s="162">
        <v>0.37222222222222223</v>
      </c>
      <c r="D101" s="38" t="s">
        <v>241</v>
      </c>
      <c r="E101" s="50" t="s">
        <v>789</v>
      </c>
      <c r="F101" s="50" t="s">
        <v>794</v>
      </c>
      <c r="G101" s="56">
        <v>36129699</v>
      </c>
      <c r="H101" s="50" t="s">
        <v>790</v>
      </c>
      <c r="I101" s="39" t="s">
        <v>364</v>
      </c>
      <c r="J101" s="39" t="s">
        <v>791</v>
      </c>
      <c r="K101" s="46">
        <v>47450455</v>
      </c>
      <c r="L101" s="39" t="s">
        <v>792</v>
      </c>
      <c r="M101" s="50" t="s">
        <v>793</v>
      </c>
      <c r="N101" s="38"/>
      <c r="O101" s="50" t="s">
        <v>801</v>
      </c>
      <c r="P101" s="38"/>
      <c r="Q101" s="50" t="s">
        <v>844</v>
      </c>
      <c r="R101" s="52"/>
      <c r="S101" s="161"/>
      <c r="T101" s="47" t="s">
        <v>1248</v>
      </c>
      <c r="U101" s="181" t="s">
        <v>1189</v>
      </c>
      <c r="V101" s="38"/>
      <c r="W101" s="23" t="str">
        <f t="shared" ca="1" si="63"/>
        <v>SI</v>
      </c>
      <c r="X101" s="23" t="str">
        <f t="shared" si="64"/>
        <v>DIANOSOL</v>
      </c>
      <c r="Y101" s="50"/>
      <c r="Z101" s="111" t="s">
        <v>1015</v>
      </c>
      <c r="AA101" s="111" t="str">
        <f>IF(Z101&lt;&gt;"",VLOOKUP($Z101,Resultados!$A$1:$B$49,2,FALSE),"")</f>
        <v>Recursos Denegados</v>
      </c>
      <c r="AB101" s="23" t="str">
        <f t="shared" ref="AB101:AB102" ca="1" si="65">IF(R101&gt;TODAY(),"FIJADA","OTRO")</f>
        <v>OTRO</v>
      </c>
      <c r="AC101" s="10">
        <f t="shared" si="54"/>
        <v>0</v>
      </c>
      <c r="AD101" s="10">
        <f t="shared" si="55"/>
        <v>1</v>
      </c>
      <c r="AE101" s="10">
        <f t="shared" si="56"/>
        <v>1900</v>
      </c>
      <c r="AF101" s="1" t="str">
        <f t="shared" si="61"/>
        <v xml:space="preserve"> </v>
      </c>
      <c r="AG101" s="1" t="str">
        <f t="shared" si="62"/>
        <v xml:space="preserve"> </v>
      </c>
      <c r="AH101" s="1" t="str">
        <f t="shared" si="38"/>
        <v xml:space="preserve"> </v>
      </c>
      <c r="AI101" s="1" t="str">
        <f t="shared" si="39"/>
        <v xml:space="preserve"> </v>
      </c>
      <c r="AJ101" s="1" t="str">
        <f t="shared" si="40"/>
        <v xml:space="preserve"> </v>
      </c>
      <c r="AK101" s="1" t="str">
        <f t="shared" si="41"/>
        <v xml:space="preserve"> </v>
      </c>
      <c r="AL101" s="1" t="str">
        <f t="shared" si="42"/>
        <v xml:space="preserve"> </v>
      </c>
      <c r="AM101" s="1" t="str">
        <f t="shared" si="43"/>
        <v xml:space="preserve"> </v>
      </c>
      <c r="AN101" s="1" t="str">
        <f t="shared" si="44"/>
        <v xml:space="preserve"> </v>
      </c>
      <c r="AO101" s="1" t="str">
        <f t="shared" si="45"/>
        <v xml:space="preserve"> </v>
      </c>
      <c r="AP101" s="1" t="str">
        <f t="shared" si="46"/>
        <v xml:space="preserve"> </v>
      </c>
      <c r="AQ101" s="1" t="str">
        <f t="shared" si="47"/>
        <v xml:space="preserve"> </v>
      </c>
      <c r="AR101" s="1" t="str">
        <f t="shared" si="48"/>
        <v xml:space="preserve"> </v>
      </c>
      <c r="AS101" s="1" t="str">
        <f t="shared" si="49"/>
        <v xml:space="preserve"> </v>
      </c>
      <c r="AT101" s="1" t="str">
        <f t="shared" si="50"/>
        <v xml:space="preserve"> </v>
      </c>
      <c r="AU101" s="1" t="str">
        <f t="shared" si="51"/>
        <v xml:space="preserve"> </v>
      </c>
    </row>
    <row r="102" spans="1:47" ht="102" hidden="1">
      <c r="A102" s="61">
        <v>100</v>
      </c>
      <c r="B102" s="59">
        <v>45174</v>
      </c>
      <c r="C102" s="165">
        <v>0.5</v>
      </c>
      <c r="D102" s="63" t="s">
        <v>226</v>
      </c>
      <c r="E102" s="64" t="s">
        <v>795</v>
      </c>
      <c r="F102" s="64" t="s">
        <v>796</v>
      </c>
      <c r="G102" s="65">
        <v>96164712</v>
      </c>
      <c r="H102" s="63"/>
      <c r="I102" s="66" t="s">
        <v>797</v>
      </c>
      <c r="J102" s="66" t="s">
        <v>798</v>
      </c>
      <c r="K102" s="70"/>
      <c r="L102" s="66" t="s">
        <v>800</v>
      </c>
      <c r="M102" s="64" t="s">
        <v>972</v>
      </c>
      <c r="N102" s="64" t="s">
        <v>992</v>
      </c>
      <c r="O102" s="64" t="s">
        <v>799</v>
      </c>
      <c r="P102" s="63"/>
      <c r="Q102" s="64" t="s">
        <v>872</v>
      </c>
      <c r="R102" s="59">
        <v>45198</v>
      </c>
      <c r="S102" s="170">
        <v>0.39583333333333331</v>
      </c>
      <c r="T102" s="60" t="s">
        <v>1254</v>
      </c>
      <c r="U102" s="182" t="s">
        <v>1055</v>
      </c>
      <c r="V102" s="102"/>
      <c r="W102" s="23" t="str">
        <f t="shared" ca="1" si="63"/>
        <v>SI</v>
      </c>
      <c r="X102" s="135" t="str">
        <f t="shared" si="64"/>
        <v>DIANOSOL</v>
      </c>
      <c r="Y102" s="134" t="s">
        <v>991</v>
      </c>
      <c r="Z102" s="136" t="s">
        <v>1015</v>
      </c>
      <c r="AA102" s="111" t="str">
        <f>IF(Z102&lt;&gt;"",VLOOKUP($Z102,Resultados!$A$1:$B$49,2,FALSE),"")</f>
        <v>Recursos Denegados</v>
      </c>
      <c r="AB102" s="23" t="str">
        <f t="shared" ca="1" si="65"/>
        <v>OTRO</v>
      </c>
      <c r="AC102" s="10">
        <f t="shared" si="54"/>
        <v>29</v>
      </c>
      <c r="AD102" s="10">
        <f t="shared" si="55"/>
        <v>9</v>
      </c>
      <c r="AE102" s="10">
        <f t="shared" si="56"/>
        <v>2023</v>
      </c>
      <c r="AF102" s="1">
        <f t="shared" si="61"/>
        <v>19</v>
      </c>
      <c r="AG102" s="1" t="str">
        <f t="shared" si="62"/>
        <v xml:space="preserve"> </v>
      </c>
      <c r="AH102" s="1" t="str">
        <f t="shared" si="38"/>
        <v xml:space="preserve"> </v>
      </c>
      <c r="AI102" s="1" t="str">
        <f t="shared" si="39"/>
        <v xml:space="preserve"> </v>
      </c>
      <c r="AJ102" s="1" t="str">
        <f t="shared" si="40"/>
        <v xml:space="preserve"> </v>
      </c>
      <c r="AK102" s="1" t="str">
        <f t="shared" si="41"/>
        <v xml:space="preserve"> </v>
      </c>
      <c r="AL102" s="1" t="str">
        <f t="shared" si="42"/>
        <v xml:space="preserve"> </v>
      </c>
      <c r="AM102" s="1" t="str">
        <f t="shared" si="43"/>
        <v xml:space="preserve"> </v>
      </c>
      <c r="AN102" s="1" t="str">
        <f t="shared" si="44"/>
        <v xml:space="preserve"> </v>
      </c>
      <c r="AO102" s="1" t="str">
        <f t="shared" si="45"/>
        <v xml:space="preserve"> </v>
      </c>
      <c r="AP102" s="1">
        <f t="shared" si="46"/>
        <v>19</v>
      </c>
      <c r="AQ102" s="1" t="str">
        <f t="shared" si="47"/>
        <v xml:space="preserve"> </v>
      </c>
      <c r="AR102" s="1" t="str">
        <f t="shared" si="48"/>
        <v xml:space="preserve"> </v>
      </c>
      <c r="AS102" s="1" t="str">
        <f t="shared" si="49"/>
        <v xml:space="preserve"> </v>
      </c>
      <c r="AT102" s="1" t="str">
        <f t="shared" si="50"/>
        <v xml:space="preserve"> </v>
      </c>
      <c r="AU102" s="1" t="str">
        <f t="shared" si="51"/>
        <v xml:space="preserve"> </v>
      </c>
    </row>
    <row r="103" spans="1:47" ht="51" hidden="1">
      <c r="A103" s="61">
        <v>101</v>
      </c>
      <c r="B103" s="59">
        <v>45176</v>
      </c>
      <c r="C103" s="165">
        <v>0.3840277777777778</v>
      </c>
      <c r="D103" s="63" t="s">
        <v>432</v>
      </c>
      <c r="E103" s="64" t="s">
        <v>803</v>
      </c>
      <c r="F103" s="64" t="s">
        <v>804</v>
      </c>
      <c r="G103" s="65">
        <v>40741379</v>
      </c>
      <c r="H103" s="64" t="s">
        <v>805</v>
      </c>
      <c r="I103" s="66" t="s">
        <v>806</v>
      </c>
      <c r="J103" s="66" t="s">
        <v>807</v>
      </c>
      <c r="K103" s="67">
        <v>43548569</v>
      </c>
      <c r="L103" s="66" t="s">
        <v>808</v>
      </c>
      <c r="M103" s="64" t="s">
        <v>809</v>
      </c>
      <c r="N103" s="64" t="s">
        <v>810</v>
      </c>
      <c r="O103" s="63"/>
      <c r="P103" s="63"/>
      <c r="Q103" s="64" t="s">
        <v>135</v>
      </c>
      <c r="R103" s="59">
        <v>45189</v>
      </c>
      <c r="S103" s="170">
        <v>0.4375</v>
      </c>
      <c r="T103" s="60"/>
      <c r="U103" s="183" t="s">
        <v>1051</v>
      </c>
      <c r="V103" s="64" t="s">
        <v>873</v>
      </c>
      <c r="W103" s="23" t="str">
        <f t="shared" ca="1" si="63"/>
        <v>SI</v>
      </c>
      <c r="X103" s="23" t="str">
        <f t="shared" si="64"/>
        <v>DIANOSOL</v>
      </c>
      <c r="Y103" s="50" t="s">
        <v>991</v>
      </c>
      <c r="Z103" s="111" t="s">
        <v>1016</v>
      </c>
      <c r="AA103" s="111" t="str">
        <f>IF(Z103&lt;&gt;"",VLOOKUP($Z103,Resultados!$A$1:$B$49,2,FALSE),"")</f>
        <v>Recursos donde se hizo lugar</v>
      </c>
      <c r="AC103" s="10">
        <f t="shared" si="54"/>
        <v>20</v>
      </c>
      <c r="AD103" s="10">
        <f t="shared" si="55"/>
        <v>9</v>
      </c>
      <c r="AE103" s="10">
        <f t="shared" si="56"/>
        <v>2023</v>
      </c>
      <c r="AF103" s="1">
        <f t="shared" si="61"/>
        <v>10</v>
      </c>
      <c r="AG103" s="1" t="str">
        <f t="shared" si="62"/>
        <v xml:space="preserve"> </v>
      </c>
      <c r="AH103" s="1" t="str">
        <f t="shared" si="38"/>
        <v xml:space="preserve"> </v>
      </c>
      <c r="AI103" s="1" t="str">
        <f t="shared" si="39"/>
        <v xml:space="preserve"> </v>
      </c>
      <c r="AJ103" s="1" t="str">
        <f t="shared" si="40"/>
        <v xml:space="preserve"> </v>
      </c>
      <c r="AK103" s="1" t="str">
        <f t="shared" si="41"/>
        <v xml:space="preserve"> </v>
      </c>
      <c r="AL103" s="1" t="str">
        <f t="shared" si="42"/>
        <v xml:space="preserve"> </v>
      </c>
      <c r="AM103" s="1" t="str">
        <f t="shared" si="43"/>
        <v xml:space="preserve"> </v>
      </c>
      <c r="AN103" s="1" t="str">
        <f t="shared" si="44"/>
        <v xml:space="preserve"> </v>
      </c>
      <c r="AO103" s="1" t="str">
        <f t="shared" si="45"/>
        <v xml:space="preserve"> </v>
      </c>
      <c r="AP103" s="1">
        <f t="shared" si="46"/>
        <v>10</v>
      </c>
      <c r="AQ103" s="1" t="str">
        <f t="shared" si="47"/>
        <v xml:space="preserve"> </v>
      </c>
      <c r="AR103" s="1" t="str">
        <f t="shared" si="48"/>
        <v xml:space="preserve"> </v>
      </c>
      <c r="AS103" s="1" t="str">
        <f t="shared" si="49"/>
        <v xml:space="preserve"> </v>
      </c>
      <c r="AT103" s="1" t="str">
        <f t="shared" si="50"/>
        <v xml:space="preserve"> </v>
      </c>
      <c r="AU103" s="1" t="str">
        <f t="shared" si="51"/>
        <v xml:space="preserve"> </v>
      </c>
    </row>
    <row r="104" spans="1:47" ht="89.25" hidden="1">
      <c r="A104" s="61">
        <v>103</v>
      </c>
      <c r="B104" s="59">
        <v>45176</v>
      </c>
      <c r="C104" s="165">
        <v>0.5</v>
      </c>
      <c r="D104" s="63" t="s">
        <v>103</v>
      </c>
      <c r="E104" s="64" t="s">
        <v>821</v>
      </c>
      <c r="F104" s="64" t="s">
        <v>822</v>
      </c>
      <c r="G104" s="65">
        <v>30636137</v>
      </c>
      <c r="H104" s="63"/>
      <c r="I104" s="66" t="s">
        <v>823</v>
      </c>
      <c r="J104" s="66" t="s">
        <v>824</v>
      </c>
      <c r="K104" s="70"/>
      <c r="L104" s="70"/>
      <c r="M104" s="64" t="s">
        <v>826</v>
      </c>
      <c r="N104" s="64" t="s">
        <v>385</v>
      </c>
      <c r="O104" s="64" t="s">
        <v>799</v>
      </c>
      <c r="P104" s="63"/>
      <c r="Q104" s="64" t="s">
        <v>848</v>
      </c>
      <c r="R104" s="59">
        <v>45189</v>
      </c>
      <c r="S104" s="170">
        <v>0.39583333333333331</v>
      </c>
      <c r="T104" s="60" t="s">
        <v>911</v>
      </c>
      <c r="U104" s="185" t="s">
        <v>987</v>
      </c>
      <c r="V104" s="64" t="s">
        <v>882</v>
      </c>
      <c r="W104" s="23" t="str">
        <f t="shared" ca="1" si="63"/>
        <v>SI</v>
      </c>
      <c r="X104" s="23" t="str">
        <f t="shared" si="64"/>
        <v>DIANOSOL</v>
      </c>
      <c r="Y104" s="50" t="s">
        <v>991</v>
      </c>
      <c r="Z104" s="111" t="s">
        <v>1015</v>
      </c>
      <c r="AA104" s="111" t="str">
        <f>IF(Z104&lt;&gt;"",VLOOKUP($Z104,Resultados!$A$1:$B$49,2,FALSE),"")</f>
        <v>Recursos Denegados</v>
      </c>
      <c r="AB104" s="23" t="str">
        <f t="shared" ref="AB104:AB106" ca="1" si="66">IF(R104&gt;TODAY(),"FIJADA","OTRO")</f>
        <v>OTRO</v>
      </c>
      <c r="AC104" s="10">
        <f t="shared" si="54"/>
        <v>20</v>
      </c>
      <c r="AD104" s="10">
        <f t="shared" si="55"/>
        <v>9</v>
      </c>
      <c r="AE104" s="10">
        <f t="shared" si="56"/>
        <v>2023</v>
      </c>
      <c r="AF104" s="1">
        <f t="shared" si="61"/>
        <v>10</v>
      </c>
      <c r="AG104" s="1" t="str">
        <f t="shared" si="62"/>
        <v xml:space="preserve"> </v>
      </c>
      <c r="AH104" s="1" t="str">
        <f t="shared" si="38"/>
        <v xml:space="preserve"> </v>
      </c>
      <c r="AI104" s="1" t="str">
        <f t="shared" si="39"/>
        <v xml:space="preserve"> </v>
      </c>
      <c r="AJ104" s="1" t="str">
        <f t="shared" si="40"/>
        <v xml:space="preserve"> </v>
      </c>
      <c r="AK104" s="1" t="str">
        <f t="shared" si="41"/>
        <v xml:space="preserve"> </v>
      </c>
      <c r="AL104" s="1" t="str">
        <f t="shared" si="42"/>
        <v xml:space="preserve"> </v>
      </c>
      <c r="AM104" s="1" t="str">
        <f t="shared" si="43"/>
        <v xml:space="preserve"> </v>
      </c>
      <c r="AN104" s="1" t="str">
        <f t="shared" si="44"/>
        <v xml:space="preserve"> </v>
      </c>
      <c r="AO104" s="1" t="str">
        <f t="shared" si="45"/>
        <v xml:space="preserve"> </v>
      </c>
      <c r="AP104" s="1">
        <f t="shared" si="46"/>
        <v>10</v>
      </c>
      <c r="AQ104" s="1" t="str">
        <f t="shared" si="47"/>
        <v xml:space="preserve"> </v>
      </c>
      <c r="AR104" s="1" t="str">
        <f t="shared" si="48"/>
        <v xml:space="preserve"> </v>
      </c>
      <c r="AS104" s="1" t="str">
        <f t="shared" si="49"/>
        <v xml:space="preserve"> </v>
      </c>
      <c r="AT104" s="1" t="str">
        <f t="shared" si="50"/>
        <v xml:space="preserve"> </v>
      </c>
      <c r="AU104" s="1" t="str">
        <f t="shared" si="51"/>
        <v xml:space="preserve"> </v>
      </c>
    </row>
    <row r="105" spans="1:47" ht="51" hidden="1">
      <c r="A105" s="61">
        <v>104</v>
      </c>
      <c r="B105" s="59">
        <v>45176</v>
      </c>
      <c r="C105" s="165">
        <v>0.5</v>
      </c>
      <c r="D105" s="63" t="s">
        <v>241</v>
      </c>
      <c r="E105" s="64" t="s">
        <v>827</v>
      </c>
      <c r="F105" s="64" t="s">
        <v>828</v>
      </c>
      <c r="G105" s="65">
        <v>21576610</v>
      </c>
      <c r="H105" s="64" t="s">
        <v>829</v>
      </c>
      <c r="I105" s="66" t="s">
        <v>830</v>
      </c>
      <c r="J105" s="66" t="s">
        <v>831</v>
      </c>
      <c r="K105" s="72" t="s">
        <v>834</v>
      </c>
      <c r="L105" s="66" t="s">
        <v>833</v>
      </c>
      <c r="M105" s="64" t="s">
        <v>835</v>
      </c>
      <c r="N105" s="63"/>
      <c r="O105" s="64" t="s">
        <v>973</v>
      </c>
      <c r="P105" s="63"/>
      <c r="Q105" s="64" t="s">
        <v>845</v>
      </c>
      <c r="R105" s="59">
        <v>45201</v>
      </c>
      <c r="S105" s="170">
        <v>0.39583333333333331</v>
      </c>
      <c r="T105" s="60" t="s">
        <v>1111</v>
      </c>
      <c r="U105" s="183" t="s">
        <v>932</v>
      </c>
      <c r="V105" s="64" t="s">
        <v>882</v>
      </c>
      <c r="W105" s="23" t="str">
        <f t="shared" ca="1" si="63"/>
        <v>SI</v>
      </c>
      <c r="X105" s="23" t="str">
        <f t="shared" si="64"/>
        <v>DIANOSOL</v>
      </c>
      <c r="Y105" s="50" t="s">
        <v>991</v>
      </c>
      <c r="Z105" s="111" t="s">
        <v>1015</v>
      </c>
      <c r="AA105" s="111" t="str">
        <f>IF(Z105&lt;&gt;"",VLOOKUP($Z105,Resultados!$A$1:$B$49,2,FALSE),"")</f>
        <v>Recursos Denegados</v>
      </c>
      <c r="AB105" s="23" t="str">
        <f t="shared" ca="1" si="66"/>
        <v>OTRO</v>
      </c>
      <c r="AC105" s="10">
        <f t="shared" si="54"/>
        <v>2</v>
      </c>
      <c r="AD105" s="10">
        <f t="shared" si="55"/>
        <v>10</v>
      </c>
      <c r="AE105" s="10">
        <f t="shared" si="56"/>
        <v>2023</v>
      </c>
      <c r="AF105" s="1">
        <f t="shared" si="61"/>
        <v>18</v>
      </c>
      <c r="AG105" s="1" t="str">
        <f t="shared" si="62"/>
        <v xml:space="preserve"> </v>
      </c>
      <c r="AH105" s="1" t="str">
        <f t="shared" si="38"/>
        <v xml:space="preserve"> </v>
      </c>
      <c r="AI105" s="1" t="str">
        <f t="shared" si="39"/>
        <v xml:space="preserve"> </v>
      </c>
      <c r="AJ105" s="1" t="str">
        <f t="shared" si="40"/>
        <v xml:space="preserve"> </v>
      </c>
      <c r="AK105" s="1" t="str">
        <f t="shared" si="41"/>
        <v xml:space="preserve"> </v>
      </c>
      <c r="AL105" s="1" t="str">
        <f t="shared" si="42"/>
        <v xml:space="preserve"> </v>
      </c>
      <c r="AM105" s="1" t="str">
        <f t="shared" si="43"/>
        <v xml:space="preserve"> </v>
      </c>
      <c r="AN105" s="1" t="str">
        <f t="shared" si="44"/>
        <v xml:space="preserve"> </v>
      </c>
      <c r="AO105" s="1" t="str">
        <f t="shared" si="45"/>
        <v xml:space="preserve"> </v>
      </c>
      <c r="AP105" s="1" t="str">
        <f t="shared" si="46"/>
        <v xml:space="preserve"> </v>
      </c>
      <c r="AQ105" s="1">
        <f t="shared" si="47"/>
        <v>18</v>
      </c>
      <c r="AR105" s="1" t="str">
        <f t="shared" si="48"/>
        <v xml:space="preserve"> </v>
      </c>
      <c r="AS105" s="1" t="str">
        <f t="shared" si="49"/>
        <v xml:space="preserve"> </v>
      </c>
      <c r="AT105" s="1" t="str">
        <f t="shared" si="50"/>
        <v xml:space="preserve"> </v>
      </c>
      <c r="AU105" s="1" t="str">
        <f t="shared" si="51"/>
        <v xml:space="preserve"> </v>
      </c>
    </row>
    <row r="106" spans="1:47" ht="63.75" hidden="1">
      <c r="A106" s="61">
        <v>105</v>
      </c>
      <c r="B106" s="59">
        <v>45176</v>
      </c>
      <c r="C106" s="165">
        <v>0.5</v>
      </c>
      <c r="D106" s="63" t="s">
        <v>1695</v>
      </c>
      <c r="E106" s="64" t="s">
        <v>836</v>
      </c>
      <c r="F106" s="64" t="s">
        <v>837</v>
      </c>
      <c r="G106" s="65">
        <v>42815518</v>
      </c>
      <c r="H106" s="64" t="s">
        <v>838</v>
      </c>
      <c r="I106" s="66" t="s">
        <v>839</v>
      </c>
      <c r="J106" s="66" t="s">
        <v>840</v>
      </c>
      <c r="K106" s="66"/>
      <c r="L106" s="70" t="s">
        <v>841</v>
      </c>
      <c r="M106" s="64" t="s">
        <v>842</v>
      </c>
      <c r="N106" s="63"/>
      <c r="O106" s="64" t="s">
        <v>857</v>
      </c>
      <c r="P106" s="63"/>
      <c r="Q106" s="64" t="s">
        <v>846</v>
      </c>
      <c r="R106" s="59">
        <v>45191</v>
      </c>
      <c r="S106" s="165"/>
      <c r="T106" s="60" t="s">
        <v>911</v>
      </c>
      <c r="U106" s="181"/>
      <c r="V106" s="63"/>
      <c r="W106" s="23" t="str">
        <f t="shared" ca="1" si="63"/>
        <v>SI</v>
      </c>
      <c r="X106" s="23" t="str">
        <f t="shared" si="64"/>
        <v>DIANOSOL</v>
      </c>
      <c r="Y106" s="64" t="s">
        <v>991</v>
      </c>
      <c r="Z106" s="126" t="s">
        <v>1015</v>
      </c>
      <c r="AA106" s="111" t="str">
        <f>IF(Z106&lt;&gt;"",VLOOKUP($Z106,Resultados!$A$1:$B$49,2,FALSE),"")</f>
        <v>Recursos Denegados</v>
      </c>
      <c r="AB106" s="23" t="str">
        <f t="shared" ca="1" si="66"/>
        <v>OTRO</v>
      </c>
      <c r="AC106" s="10">
        <f t="shared" si="54"/>
        <v>22</v>
      </c>
      <c r="AD106" s="10">
        <f t="shared" si="55"/>
        <v>9</v>
      </c>
      <c r="AE106" s="10">
        <f t="shared" si="56"/>
        <v>2023</v>
      </c>
      <c r="AF106" s="1">
        <f t="shared" si="61"/>
        <v>12</v>
      </c>
      <c r="AG106" s="1" t="str">
        <f t="shared" si="62"/>
        <v xml:space="preserve"> </v>
      </c>
      <c r="AH106" s="1" t="str">
        <f t="shared" si="38"/>
        <v xml:space="preserve"> </v>
      </c>
      <c r="AI106" s="1" t="str">
        <f t="shared" si="39"/>
        <v xml:space="preserve"> </v>
      </c>
      <c r="AJ106" s="1" t="str">
        <f t="shared" si="40"/>
        <v xml:space="preserve"> </v>
      </c>
      <c r="AK106" s="1" t="str">
        <f t="shared" si="41"/>
        <v xml:space="preserve"> </v>
      </c>
      <c r="AL106" s="1" t="str">
        <f t="shared" si="42"/>
        <v xml:space="preserve"> </v>
      </c>
      <c r="AM106" s="1" t="str">
        <f t="shared" si="43"/>
        <v xml:space="preserve"> </v>
      </c>
      <c r="AN106" s="1" t="str">
        <f t="shared" si="44"/>
        <v xml:space="preserve"> </v>
      </c>
      <c r="AO106" s="1" t="str">
        <f t="shared" si="45"/>
        <v xml:space="preserve"> </v>
      </c>
      <c r="AP106" s="1">
        <f t="shared" si="46"/>
        <v>12</v>
      </c>
      <c r="AQ106" s="1" t="str">
        <f t="shared" si="47"/>
        <v xml:space="preserve"> </v>
      </c>
      <c r="AR106" s="1" t="str">
        <f t="shared" si="48"/>
        <v xml:space="preserve"> </v>
      </c>
      <c r="AS106" s="1" t="str">
        <f t="shared" si="49"/>
        <v xml:space="preserve"> </v>
      </c>
      <c r="AT106" s="1" t="str">
        <f t="shared" si="50"/>
        <v xml:space="preserve"> </v>
      </c>
      <c r="AU106" s="1" t="str">
        <f t="shared" si="51"/>
        <v xml:space="preserve"> </v>
      </c>
    </row>
    <row r="107" spans="1:47" ht="63.75" hidden="1">
      <c r="A107" s="55">
        <v>106</v>
      </c>
      <c r="B107" s="52">
        <v>45181</v>
      </c>
      <c r="C107" s="162">
        <v>0.53888888888888886</v>
      </c>
      <c r="D107" s="38" t="s">
        <v>241</v>
      </c>
      <c r="E107" s="50" t="s">
        <v>851</v>
      </c>
      <c r="F107" s="50" t="s">
        <v>852</v>
      </c>
      <c r="G107" s="56">
        <v>36552308</v>
      </c>
      <c r="H107" s="50" t="s">
        <v>853</v>
      </c>
      <c r="I107" s="39" t="s">
        <v>854</v>
      </c>
      <c r="J107" s="39" t="s">
        <v>855</v>
      </c>
      <c r="K107" s="58"/>
      <c r="L107" s="58"/>
      <c r="M107" s="50" t="s">
        <v>856</v>
      </c>
      <c r="N107" s="38"/>
      <c r="O107" s="38"/>
      <c r="P107" s="38"/>
      <c r="Q107" s="50" t="s">
        <v>135</v>
      </c>
      <c r="R107" s="79"/>
      <c r="S107" s="162"/>
      <c r="T107" s="47" t="s">
        <v>1249</v>
      </c>
      <c r="U107" s="182" t="s">
        <v>1045</v>
      </c>
      <c r="V107" s="63"/>
      <c r="W107" s="215" t="str">
        <f t="shared" ca="1" si="63"/>
        <v>SI</v>
      </c>
      <c r="X107" s="23" t="str">
        <f t="shared" si="64"/>
        <v>DIANOSOL</v>
      </c>
      <c r="Y107" s="50" t="s">
        <v>991</v>
      </c>
      <c r="Z107" s="111" t="s">
        <v>1059</v>
      </c>
      <c r="AA107" s="111" t="str">
        <f>IF(Z107&lt;&gt;"",VLOOKUP($Z107,Resultados!$A$1:$B$49,2,FALSE),"")</f>
        <v>Recursos donde se hizo lugar</v>
      </c>
      <c r="AC107" s="10">
        <f t="shared" si="54"/>
        <v>0</v>
      </c>
      <c r="AD107" s="10">
        <f t="shared" si="55"/>
        <v>1</v>
      </c>
      <c r="AE107" s="10">
        <f t="shared" si="56"/>
        <v>1900</v>
      </c>
      <c r="AF107" s="1" t="str">
        <f t="shared" si="61"/>
        <v xml:space="preserve"> </v>
      </c>
      <c r="AG107" s="1" t="str">
        <f t="shared" si="62"/>
        <v xml:space="preserve"> </v>
      </c>
      <c r="AH107" s="1" t="str">
        <f t="shared" si="38"/>
        <v xml:space="preserve"> </v>
      </c>
      <c r="AI107" s="1" t="str">
        <f t="shared" si="39"/>
        <v xml:space="preserve"> </v>
      </c>
      <c r="AJ107" s="1" t="str">
        <f t="shared" si="40"/>
        <v xml:space="preserve"> </v>
      </c>
      <c r="AK107" s="1" t="str">
        <f t="shared" si="41"/>
        <v xml:space="preserve"> </v>
      </c>
      <c r="AL107" s="1" t="str">
        <f t="shared" si="42"/>
        <v xml:space="preserve"> </v>
      </c>
      <c r="AM107" s="1" t="str">
        <f t="shared" si="43"/>
        <v xml:space="preserve"> </v>
      </c>
      <c r="AN107" s="1" t="str">
        <f t="shared" si="44"/>
        <v xml:space="preserve"> </v>
      </c>
      <c r="AO107" s="1" t="str">
        <f t="shared" si="45"/>
        <v xml:space="preserve"> </v>
      </c>
      <c r="AP107" s="1" t="str">
        <f t="shared" si="46"/>
        <v xml:space="preserve"> </v>
      </c>
      <c r="AQ107" s="1" t="str">
        <f t="shared" si="47"/>
        <v xml:space="preserve"> </v>
      </c>
      <c r="AR107" s="1" t="str">
        <f t="shared" si="48"/>
        <v xml:space="preserve"> </v>
      </c>
      <c r="AS107" s="1" t="str">
        <f t="shared" si="49"/>
        <v xml:space="preserve"> </v>
      </c>
      <c r="AT107" s="1" t="str">
        <f t="shared" si="50"/>
        <v xml:space="preserve"> </v>
      </c>
      <c r="AU107" s="1" t="str">
        <f t="shared" si="51"/>
        <v xml:space="preserve"> </v>
      </c>
    </row>
    <row r="108" spans="1:47" ht="38.25" hidden="1">
      <c r="A108" s="61">
        <v>107</v>
      </c>
      <c r="B108" s="59">
        <v>45187</v>
      </c>
      <c r="C108" s="165">
        <v>0.86111111111111116</v>
      </c>
      <c r="D108" s="63" t="s">
        <v>104</v>
      </c>
      <c r="E108" s="64" t="s">
        <v>858</v>
      </c>
      <c r="F108" s="64" t="s">
        <v>865</v>
      </c>
      <c r="G108" s="64" t="s">
        <v>859</v>
      </c>
      <c r="H108" s="64" t="s">
        <v>862</v>
      </c>
      <c r="I108" s="66" t="s">
        <v>860</v>
      </c>
      <c r="J108" s="66" t="s">
        <v>861</v>
      </c>
      <c r="K108" s="67">
        <v>18077790</v>
      </c>
      <c r="L108" s="66" t="s">
        <v>863</v>
      </c>
      <c r="M108" s="64" t="s">
        <v>864</v>
      </c>
      <c r="N108" s="63"/>
      <c r="O108" s="63"/>
      <c r="P108" s="63"/>
      <c r="Q108" s="64" t="s">
        <v>131</v>
      </c>
      <c r="R108" s="59">
        <v>45196</v>
      </c>
      <c r="S108" s="170">
        <v>0.39583333333333331</v>
      </c>
      <c r="T108" s="60" t="s">
        <v>919</v>
      </c>
      <c r="U108" s="66"/>
      <c r="V108" s="38"/>
      <c r="W108" s="23" t="str">
        <f t="shared" ca="1" si="63"/>
        <v>SI</v>
      </c>
      <c r="X108" s="23" t="str">
        <f t="shared" si="64"/>
        <v>DIANOSOL</v>
      </c>
      <c r="Y108" s="50"/>
      <c r="Z108" s="111" t="s">
        <v>1059</v>
      </c>
      <c r="AA108" s="111" t="str">
        <f>IF(Z108&lt;&gt;"",VLOOKUP($Z108,Resultados!$A$1:$B$49,2,FALSE),"")</f>
        <v>Recursos donde se hizo lugar</v>
      </c>
      <c r="AC108" s="10">
        <f t="shared" si="54"/>
        <v>27</v>
      </c>
      <c r="AD108" s="10">
        <f t="shared" si="55"/>
        <v>9</v>
      </c>
      <c r="AE108" s="10">
        <f t="shared" si="56"/>
        <v>2023</v>
      </c>
      <c r="AF108" s="1">
        <f t="shared" si="61"/>
        <v>8</v>
      </c>
      <c r="AG108" s="1" t="str">
        <f t="shared" si="62"/>
        <v xml:space="preserve"> </v>
      </c>
      <c r="AH108" s="1" t="str">
        <f t="shared" si="38"/>
        <v xml:space="preserve"> </v>
      </c>
      <c r="AI108" s="1" t="str">
        <f t="shared" si="39"/>
        <v xml:space="preserve"> </v>
      </c>
      <c r="AJ108" s="1" t="str">
        <f t="shared" si="40"/>
        <v xml:space="preserve"> </v>
      </c>
      <c r="AK108" s="1" t="str">
        <f t="shared" si="41"/>
        <v xml:space="preserve"> </v>
      </c>
      <c r="AL108" s="1" t="str">
        <f t="shared" si="42"/>
        <v xml:space="preserve"> </v>
      </c>
      <c r="AM108" s="1" t="str">
        <f t="shared" si="43"/>
        <v xml:space="preserve"> </v>
      </c>
      <c r="AN108" s="1" t="str">
        <f t="shared" si="44"/>
        <v xml:space="preserve"> </v>
      </c>
      <c r="AO108" s="1" t="str">
        <f t="shared" si="45"/>
        <v xml:space="preserve"> </v>
      </c>
      <c r="AP108" s="1">
        <f t="shared" si="46"/>
        <v>8</v>
      </c>
      <c r="AQ108" s="1" t="str">
        <f t="shared" si="47"/>
        <v xml:space="preserve"> </v>
      </c>
      <c r="AR108" s="1" t="str">
        <f t="shared" si="48"/>
        <v xml:space="preserve"> </v>
      </c>
      <c r="AS108" s="1" t="str">
        <f t="shared" si="49"/>
        <v xml:space="preserve"> </v>
      </c>
      <c r="AT108" s="1" t="str">
        <f t="shared" si="50"/>
        <v xml:space="preserve"> </v>
      </c>
      <c r="AU108" s="1" t="str">
        <f t="shared" si="51"/>
        <v xml:space="preserve"> </v>
      </c>
    </row>
    <row r="109" spans="1:47" ht="51" hidden="1">
      <c r="A109" s="55">
        <v>108</v>
      </c>
      <c r="B109" s="52">
        <v>45187</v>
      </c>
      <c r="C109" s="162">
        <v>0.51041666666666663</v>
      </c>
      <c r="D109" s="38" t="s">
        <v>229</v>
      </c>
      <c r="E109" s="50" t="s">
        <v>866</v>
      </c>
      <c r="F109" s="50" t="s">
        <v>867</v>
      </c>
      <c r="G109" s="56">
        <v>39782867</v>
      </c>
      <c r="H109" s="50" t="s">
        <v>868</v>
      </c>
      <c r="I109" s="39" t="s">
        <v>713</v>
      </c>
      <c r="J109" s="39" t="s">
        <v>869</v>
      </c>
      <c r="K109" s="46">
        <v>17134484</v>
      </c>
      <c r="L109" s="39" t="s">
        <v>870</v>
      </c>
      <c r="M109" s="50" t="s">
        <v>871</v>
      </c>
      <c r="N109" s="38"/>
      <c r="O109" s="38"/>
      <c r="P109" s="38"/>
      <c r="Q109" s="50" t="s">
        <v>571</v>
      </c>
      <c r="R109" s="52">
        <v>45191</v>
      </c>
      <c r="S109" s="161">
        <v>0.39583333333333331</v>
      </c>
      <c r="T109" s="47" t="s">
        <v>1052</v>
      </c>
      <c r="U109" s="183" t="s">
        <v>1100</v>
      </c>
      <c r="V109" s="102"/>
      <c r="W109" s="23" t="str">
        <f t="shared" ca="1" si="63"/>
        <v>SI</v>
      </c>
      <c r="X109" s="23" t="str">
        <f t="shared" si="64"/>
        <v>DIANOSOL</v>
      </c>
      <c r="Y109" s="50" t="s">
        <v>999</v>
      </c>
      <c r="Z109" s="111" t="s">
        <v>1015</v>
      </c>
      <c r="AA109" s="111" t="str">
        <f>IF(Z109&lt;&gt;"",VLOOKUP($Z109,Resultados!$A$1:$B$49,2,FALSE),"")</f>
        <v>Recursos Denegados</v>
      </c>
      <c r="AB109" s="23" t="str">
        <f t="shared" ref="AB109:AB111" ca="1" si="67">IF(R109&gt;TODAY(),"FIJADA","OTRO")</f>
        <v>OTRO</v>
      </c>
      <c r="AC109" s="10">
        <f t="shared" si="54"/>
        <v>22</v>
      </c>
      <c r="AD109" s="10">
        <f t="shared" si="55"/>
        <v>9</v>
      </c>
      <c r="AE109" s="10">
        <f t="shared" si="56"/>
        <v>2023</v>
      </c>
      <c r="AF109" s="1">
        <f t="shared" si="61"/>
        <v>5</v>
      </c>
      <c r="AG109" s="1" t="str">
        <f t="shared" si="62"/>
        <v xml:space="preserve"> </v>
      </c>
      <c r="AH109" s="1" t="str">
        <f t="shared" si="38"/>
        <v xml:space="preserve"> </v>
      </c>
      <c r="AI109" s="1" t="str">
        <f t="shared" si="39"/>
        <v xml:space="preserve"> </v>
      </c>
      <c r="AJ109" s="1" t="str">
        <f t="shared" si="40"/>
        <v xml:space="preserve"> </v>
      </c>
      <c r="AK109" s="1" t="str">
        <f t="shared" si="41"/>
        <v xml:space="preserve"> </v>
      </c>
      <c r="AL109" s="1" t="str">
        <f t="shared" si="42"/>
        <v xml:space="preserve"> </v>
      </c>
      <c r="AM109" s="1" t="str">
        <f t="shared" si="43"/>
        <v xml:space="preserve"> </v>
      </c>
      <c r="AN109" s="1" t="str">
        <f t="shared" si="44"/>
        <v xml:space="preserve"> </v>
      </c>
      <c r="AO109" s="1" t="str">
        <f t="shared" si="45"/>
        <v xml:space="preserve"> </v>
      </c>
      <c r="AP109" s="1">
        <f t="shared" si="46"/>
        <v>5</v>
      </c>
      <c r="AQ109" s="1" t="str">
        <f t="shared" si="47"/>
        <v xml:space="preserve"> </v>
      </c>
      <c r="AR109" s="1" t="str">
        <f t="shared" si="48"/>
        <v xml:space="preserve"> </v>
      </c>
      <c r="AS109" s="1" t="str">
        <f t="shared" si="49"/>
        <v xml:space="preserve"> </v>
      </c>
      <c r="AT109" s="1" t="str">
        <f t="shared" si="50"/>
        <v xml:space="preserve"> </v>
      </c>
      <c r="AU109" s="1" t="str">
        <f t="shared" si="51"/>
        <v xml:space="preserve"> </v>
      </c>
    </row>
    <row r="110" spans="1:47" ht="89.25" hidden="1">
      <c r="A110" s="61">
        <v>109</v>
      </c>
      <c r="B110" s="59">
        <v>45189</v>
      </c>
      <c r="C110" s="165">
        <v>0.35416666666666669</v>
      </c>
      <c r="D110" s="63" t="s">
        <v>228</v>
      </c>
      <c r="E110" s="64" t="s">
        <v>874</v>
      </c>
      <c r="F110" s="64" t="s">
        <v>875</v>
      </c>
      <c r="G110" s="65">
        <v>40934600</v>
      </c>
      <c r="H110" s="64" t="s">
        <v>876</v>
      </c>
      <c r="I110" s="66" t="s">
        <v>877</v>
      </c>
      <c r="J110" s="66" t="s">
        <v>878</v>
      </c>
      <c r="K110" s="70"/>
      <c r="L110" s="70"/>
      <c r="M110" s="64" t="s">
        <v>879</v>
      </c>
      <c r="N110" s="64" t="s">
        <v>880</v>
      </c>
      <c r="O110" s="63"/>
      <c r="P110" s="63"/>
      <c r="Q110" s="64" t="s">
        <v>598</v>
      </c>
      <c r="R110" s="59">
        <v>45196</v>
      </c>
      <c r="S110" s="170">
        <v>0.39583333333333331</v>
      </c>
      <c r="T110" s="60" t="s">
        <v>881</v>
      </c>
      <c r="U110" s="181" t="s">
        <v>1070</v>
      </c>
      <c r="V110" s="38"/>
      <c r="W110" s="23" t="str">
        <f t="shared" ca="1" si="63"/>
        <v>SI</v>
      </c>
      <c r="X110" s="23" t="str">
        <f t="shared" si="64"/>
        <v>DIANOSOL</v>
      </c>
      <c r="Y110" s="50" t="s">
        <v>991</v>
      </c>
      <c r="Z110" s="111" t="s">
        <v>1015</v>
      </c>
      <c r="AA110" s="111" t="str">
        <f>IF(Z110&lt;&gt;"",VLOOKUP($Z110,Resultados!$A$1:$B$49,2,FALSE),"")</f>
        <v>Recursos Denegados</v>
      </c>
      <c r="AB110" s="23" t="str">
        <f t="shared" ca="1" si="67"/>
        <v>OTRO</v>
      </c>
      <c r="AC110" s="10">
        <f t="shared" si="54"/>
        <v>27</v>
      </c>
      <c r="AD110" s="10">
        <f t="shared" si="55"/>
        <v>9</v>
      </c>
      <c r="AE110" s="10">
        <f t="shared" si="56"/>
        <v>2023</v>
      </c>
      <c r="AF110" s="1">
        <f t="shared" si="61"/>
        <v>6</v>
      </c>
      <c r="AG110" s="1" t="str">
        <f t="shared" si="62"/>
        <v xml:space="preserve"> </v>
      </c>
      <c r="AH110" s="1" t="str">
        <f t="shared" si="38"/>
        <v xml:space="preserve"> </v>
      </c>
      <c r="AI110" s="1" t="str">
        <f t="shared" si="39"/>
        <v xml:space="preserve"> </v>
      </c>
      <c r="AJ110" s="1" t="str">
        <f t="shared" si="40"/>
        <v xml:space="preserve"> </v>
      </c>
      <c r="AK110" s="1" t="str">
        <f t="shared" si="41"/>
        <v xml:space="preserve"> </v>
      </c>
      <c r="AL110" s="1" t="str">
        <f t="shared" si="42"/>
        <v xml:space="preserve"> </v>
      </c>
      <c r="AM110" s="1" t="str">
        <f t="shared" si="43"/>
        <v xml:space="preserve"> </v>
      </c>
      <c r="AN110" s="1" t="str">
        <f t="shared" si="44"/>
        <v xml:space="preserve"> </v>
      </c>
      <c r="AO110" s="1" t="str">
        <f t="shared" si="45"/>
        <v xml:space="preserve"> </v>
      </c>
      <c r="AP110" s="1">
        <f t="shared" si="46"/>
        <v>6</v>
      </c>
      <c r="AQ110" s="1" t="str">
        <f t="shared" si="47"/>
        <v xml:space="preserve"> </v>
      </c>
      <c r="AR110" s="1" t="str">
        <f t="shared" si="48"/>
        <v xml:space="preserve"> </v>
      </c>
      <c r="AS110" s="1" t="str">
        <f t="shared" si="49"/>
        <v xml:space="preserve"> </v>
      </c>
      <c r="AT110" s="1" t="str">
        <f t="shared" si="50"/>
        <v xml:space="preserve"> </v>
      </c>
      <c r="AU110" s="1" t="str">
        <f t="shared" si="51"/>
        <v xml:space="preserve"> </v>
      </c>
    </row>
    <row r="111" spans="1:47" ht="63.75" hidden="1">
      <c r="A111" s="55">
        <v>110</v>
      </c>
      <c r="B111" s="52">
        <v>45191</v>
      </c>
      <c r="C111" s="162">
        <v>0.38472222222222219</v>
      </c>
      <c r="D111" s="38" t="s">
        <v>229</v>
      </c>
      <c r="E111" s="50" t="s">
        <v>891</v>
      </c>
      <c r="F111" s="50" t="s">
        <v>893</v>
      </c>
      <c r="G111" s="50" t="s">
        <v>892</v>
      </c>
      <c r="H111" s="38"/>
      <c r="I111" s="39" t="s">
        <v>894</v>
      </c>
      <c r="J111" s="39" t="s">
        <v>896</v>
      </c>
      <c r="K111" s="58"/>
      <c r="L111" s="58"/>
      <c r="M111" s="50" t="s">
        <v>895</v>
      </c>
      <c r="N111" s="38"/>
      <c r="O111" s="38"/>
      <c r="P111" s="38"/>
      <c r="Q111" s="50" t="s">
        <v>131</v>
      </c>
      <c r="R111" s="79"/>
      <c r="S111" s="162"/>
      <c r="T111" s="47" t="s">
        <v>306</v>
      </c>
      <c r="U111" s="182" t="s">
        <v>1187</v>
      </c>
      <c r="V111" s="102"/>
      <c r="W111" s="23" t="str">
        <f t="shared" ca="1" si="63"/>
        <v>SI</v>
      </c>
      <c r="X111" s="23" t="str">
        <f t="shared" si="64"/>
        <v>DIANOSOL</v>
      </c>
      <c r="Y111" s="50" t="s">
        <v>991</v>
      </c>
      <c r="Z111" s="111" t="s">
        <v>1015</v>
      </c>
      <c r="AA111" s="111" t="str">
        <f>IF(Z111&lt;&gt;"",VLOOKUP($Z111,Resultados!$A$1:$B$49,2,FALSE),"")</f>
        <v>Recursos Denegados</v>
      </c>
      <c r="AB111" s="23" t="str">
        <f t="shared" ca="1" si="67"/>
        <v>OTRO</v>
      </c>
      <c r="AC111" s="10">
        <f t="shared" si="54"/>
        <v>0</v>
      </c>
      <c r="AD111" s="10">
        <f t="shared" si="55"/>
        <v>1</v>
      </c>
      <c r="AE111" s="10">
        <f t="shared" si="56"/>
        <v>1900</v>
      </c>
      <c r="AF111" s="1" t="str">
        <f t="shared" si="61"/>
        <v xml:space="preserve"> </v>
      </c>
      <c r="AG111" s="1" t="str">
        <f t="shared" si="62"/>
        <v xml:space="preserve"> </v>
      </c>
      <c r="AH111" s="1" t="str">
        <f t="shared" si="38"/>
        <v xml:space="preserve"> </v>
      </c>
      <c r="AI111" s="1" t="str">
        <f t="shared" si="39"/>
        <v xml:space="preserve"> </v>
      </c>
      <c r="AJ111" s="1" t="str">
        <f t="shared" si="40"/>
        <v xml:space="preserve"> </v>
      </c>
      <c r="AK111" s="1" t="str">
        <f t="shared" si="41"/>
        <v xml:space="preserve"> </v>
      </c>
      <c r="AL111" s="1" t="str">
        <f t="shared" si="42"/>
        <v xml:space="preserve"> </v>
      </c>
      <c r="AM111" s="1" t="str">
        <f t="shared" si="43"/>
        <v xml:space="preserve"> </v>
      </c>
      <c r="AN111" s="1" t="str">
        <f t="shared" si="44"/>
        <v xml:space="preserve"> </v>
      </c>
      <c r="AO111" s="1" t="str">
        <f t="shared" si="45"/>
        <v xml:space="preserve"> </v>
      </c>
      <c r="AP111" s="1" t="str">
        <f t="shared" si="46"/>
        <v xml:space="preserve"> </v>
      </c>
      <c r="AQ111" s="1" t="str">
        <f t="shared" si="47"/>
        <v xml:space="preserve"> </v>
      </c>
      <c r="AR111" s="1" t="str">
        <f t="shared" si="48"/>
        <v xml:space="preserve"> </v>
      </c>
      <c r="AS111" s="1" t="str">
        <f t="shared" si="49"/>
        <v xml:space="preserve"> </v>
      </c>
      <c r="AT111" s="1" t="str">
        <f t="shared" si="50"/>
        <v xml:space="preserve"> </v>
      </c>
      <c r="AU111" s="1" t="str">
        <f t="shared" si="51"/>
        <v xml:space="preserve"> </v>
      </c>
    </row>
    <row r="112" spans="1:47" ht="51" hidden="1">
      <c r="A112" s="61">
        <v>111</v>
      </c>
      <c r="B112" s="59">
        <v>45194</v>
      </c>
      <c r="C112" s="165">
        <v>0.35347222222222219</v>
      </c>
      <c r="D112" s="63" t="s">
        <v>104</v>
      </c>
      <c r="E112" s="64" t="s">
        <v>941</v>
      </c>
      <c r="F112" s="64" t="s">
        <v>989</v>
      </c>
      <c r="G112" s="64" t="s">
        <v>990</v>
      </c>
      <c r="H112" s="63"/>
      <c r="I112" s="66" t="s">
        <v>942</v>
      </c>
      <c r="J112" s="70"/>
      <c r="K112" s="70"/>
      <c r="L112" s="70"/>
      <c r="M112" s="64" t="s">
        <v>943</v>
      </c>
      <c r="N112" s="63"/>
      <c r="O112" s="63"/>
      <c r="P112" s="63"/>
      <c r="Q112" s="64" t="s">
        <v>944</v>
      </c>
      <c r="R112" s="59">
        <v>45198</v>
      </c>
      <c r="S112" s="170">
        <v>0.39583333333333331</v>
      </c>
      <c r="T112" s="60" t="s">
        <v>1067</v>
      </c>
      <c r="U112" s="66"/>
      <c r="V112" s="38"/>
      <c r="W112" s="23" t="str">
        <f t="shared" ca="1" si="63"/>
        <v>SI</v>
      </c>
      <c r="X112" s="23" t="str">
        <f t="shared" si="64"/>
        <v>DIANOSOL</v>
      </c>
      <c r="Y112" s="50" t="s">
        <v>991</v>
      </c>
      <c r="Z112" s="111" t="s">
        <v>1059</v>
      </c>
      <c r="AA112" s="111" t="str">
        <f>IF(Z112&lt;&gt;"",VLOOKUP($Z112,Resultados!$A$1:$B$49,2,FALSE),"")</f>
        <v>Recursos donde se hizo lugar</v>
      </c>
      <c r="AC112" s="10">
        <f t="shared" si="54"/>
        <v>29</v>
      </c>
      <c r="AD112" s="10">
        <f t="shared" si="55"/>
        <v>9</v>
      </c>
      <c r="AE112" s="10">
        <f t="shared" si="56"/>
        <v>2023</v>
      </c>
      <c r="AF112" s="1">
        <f t="shared" si="61"/>
        <v>5</v>
      </c>
      <c r="AG112" s="1" t="str">
        <f t="shared" si="62"/>
        <v xml:space="preserve"> </v>
      </c>
      <c r="AH112" s="1" t="str">
        <f t="shared" si="38"/>
        <v xml:space="preserve"> </v>
      </c>
      <c r="AI112" s="1" t="str">
        <f t="shared" si="39"/>
        <v xml:space="preserve"> </v>
      </c>
      <c r="AJ112" s="1" t="str">
        <f t="shared" si="40"/>
        <v xml:space="preserve"> </v>
      </c>
      <c r="AK112" s="1" t="str">
        <f t="shared" si="41"/>
        <v xml:space="preserve"> </v>
      </c>
      <c r="AL112" s="1" t="str">
        <f t="shared" si="42"/>
        <v xml:space="preserve"> </v>
      </c>
      <c r="AM112" s="1" t="str">
        <f t="shared" si="43"/>
        <v xml:space="preserve"> </v>
      </c>
      <c r="AN112" s="1" t="str">
        <f t="shared" si="44"/>
        <v xml:space="preserve"> </v>
      </c>
      <c r="AO112" s="1" t="str">
        <f t="shared" si="45"/>
        <v xml:space="preserve"> </v>
      </c>
      <c r="AP112" s="1">
        <f t="shared" si="46"/>
        <v>5</v>
      </c>
      <c r="AQ112" s="1" t="str">
        <f t="shared" si="47"/>
        <v xml:space="preserve"> </v>
      </c>
      <c r="AR112" s="1" t="str">
        <f t="shared" si="48"/>
        <v xml:space="preserve"> </v>
      </c>
      <c r="AS112" s="1" t="str">
        <f t="shared" si="49"/>
        <v xml:space="preserve"> </v>
      </c>
      <c r="AT112" s="1" t="str">
        <f t="shared" si="50"/>
        <v xml:space="preserve"> </v>
      </c>
      <c r="AU112" s="1" t="str">
        <f t="shared" si="51"/>
        <v xml:space="preserve"> </v>
      </c>
    </row>
    <row r="113" spans="1:47" ht="127.5" hidden="1">
      <c r="A113" s="61">
        <v>112</v>
      </c>
      <c r="B113" s="59">
        <v>45194</v>
      </c>
      <c r="C113" s="165">
        <v>0.42430555555555555</v>
      </c>
      <c r="D113" s="63" t="s">
        <v>228</v>
      </c>
      <c r="E113" s="64" t="s">
        <v>945</v>
      </c>
      <c r="F113" s="64" t="s">
        <v>946</v>
      </c>
      <c r="G113" s="65">
        <v>29276766</v>
      </c>
      <c r="H113" s="63"/>
      <c r="I113" s="66" t="s">
        <v>947</v>
      </c>
      <c r="J113" s="66" t="s">
        <v>948</v>
      </c>
      <c r="K113" s="70"/>
      <c r="L113" s="70"/>
      <c r="M113" s="64" t="s">
        <v>949</v>
      </c>
      <c r="N113" s="63"/>
      <c r="O113" s="63"/>
      <c r="P113" s="63"/>
      <c r="Q113" s="64" t="s">
        <v>135</v>
      </c>
      <c r="R113" s="59">
        <v>45198</v>
      </c>
      <c r="S113" s="170">
        <v>0.4375</v>
      </c>
      <c r="T113" s="60" t="s">
        <v>1101</v>
      </c>
      <c r="U113" s="181" t="s">
        <v>1236</v>
      </c>
      <c r="V113" s="63"/>
      <c r="W113" s="23" t="str">
        <f t="shared" ca="1" si="63"/>
        <v>SI</v>
      </c>
      <c r="X113" s="23" t="str">
        <f t="shared" si="64"/>
        <v>DIANOSOL</v>
      </c>
      <c r="Y113" s="64" t="s">
        <v>991</v>
      </c>
      <c r="Z113" s="126" t="s">
        <v>1015</v>
      </c>
      <c r="AA113" s="111" t="str">
        <f>IF(Z113&lt;&gt;"",VLOOKUP($Z113,Resultados!$A$1:$B$49,2,FALSE),"")</f>
        <v>Recursos Denegados</v>
      </c>
      <c r="AB113" s="23" t="str">
        <f t="shared" ref="AB113:AB114" ca="1" si="68">IF(R113&gt;TODAY(),"FIJADA","OTRO")</f>
        <v>OTRO</v>
      </c>
      <c r="AC113" s="10">
        <f t="shared" si="54"/>
        <v>29</v>
      </c>
      <c r="AD113" s="10">
        <f t="shared" si="55"/>
        <v>9</v>
      </c>
      <c r="AE113" s="10">
        <f t="shared" si="56"/>
        <v>2023</v>
      </c>
      <c r="AF113" s="1">
        <f t="shared" si="61"/>
        <v>5</v>
      </c>
      <c r="AG113" s="1" t="str">
        <f t="shared" si="62"/>
        <v xml:space="preserve"> </v>
      </c>
      <c r="AH113" s="1" t="str">
        <f t="shared" si="38"/>
        <v xml:space="preserve"> </v>
      </c>
      <c r="AI113" s="1" t="str">
        <f t="shared" si="39"/>
        <v xml:space="preserve"> </v>
      </c>
      <c r="AJ113" s="1" t="str">
        <f t="shared" si="40"/>
        <v xml:space="preserve"> </v>
      </c>
      <c r="AK113" s="1" t="str">
        <f t="shared" si="41"/>
        <v xml:space="preserve"> </v>
      </c>
      <c r="AL113" s="1" t="str">
        <f t="shared" si="42"/>
        <v xml:space="preserve"> </v>
      </c>
      <c r="AM113" s="1" t="str">
        <f t="shared" si="43"/>
        <v xml:space="preserve"> </v>
      </c>
      <c r="AN113" s="1" t="str">
        <f t="shared" si="44"/>
        <v xml:space="preserve"> </v>
      </c>
      <c r="AO113" s="1" t="str">
        <f t="shared" si="45"/>
        <v xml:space="preserve"> </v>
      </c>
      <c r="AP113" s="1">
        <f t="shared" si="46"/>
        <v>5</v>
      </c>
      <c r="AQ113" s="1" t="str">
        <f t="shared" si="47"/>
        <v xml:space="preserve"> </v>
      </c>
      <c r="AR113" s="1" t="str">
        <f t="shared" si="48"/>
        <v xml:space="preserve"> </v>
      </c>
      <c r="AS113" s="1" t="str">
        <f t="shared" si="49"/>
        <v xml:space="preserve"> </v>
      </c>
      <c r="AT113" s="1" t="str">
        <f t="shared" si="50"/>
        <v xml:space="preserve"> </v>
      </c>
      <c r="AU113" s="1" t="str">
        <f t="shared" si="51"/>
        <v xml:space="preserve"> </v>
      </c>
    </row>
    <row r="114" spans="1:47" ht="76.5" hidden="1">
      <c r="A114" s="55">
        <v>113</v>
      </c>
      <c r="B114" s="52">
        <v>45194</v>
      </c>
      <c r="C114" s="162">
        <v>0.42430555555555555</v>
      </c>
      <c r="D114" s="38" t="s">
        <v>229</v>
      </c>
      <c r="E114" s="38" t="s">
        <v>950</v>
      </c>
      <c r="F114" s="38" t="s">
        <v>951</v>
      </c>
      <c r="G114" s="56">
        <v>10579695</v>
      </c>
      <c r="H114" s="38" t="s">
        <v>952</v>
      </c>
      <c r="I114" s="58" t="s">
        <v>953</v>
      </c>
      <c r="J114" s="58" t="s">
        <v>954</v>
      </c>
      <c r="K114" s="58" t="s">
        <v>955</v>
      </c>
      <c r="L114" s="58"/>
      <c r="M114" s="38" t="s">
        <v>956</v>
      </c>
      <c r="N114" s="38" t="s">
        <v>957</v>
      </c>
      <c r="O114" s="38"/>
      <c r="P114" s="38"/>
      <c r="Q114" s="38" t="s">
        <v>135</v>
      </c>
      <c r="R114" s="52">
        <v>45208</v>
      </c>
      <c r="S114" s="161">
        <v>0.39583333333333331</v>
      </c>
      <c r="T114" s="47" t="s">
        <v>306</v>
      </c>
      <c r="U114" s="183"/>
      <c r="V114" s="63"/>
      <c r="W114" s="23" t="str">
        <f t="shared" ca="1" si="63"/>
        <v>SI</v>
      </c>
      <c r="X114" s="23" t="str">
        <f t="shared" si="64"/>
        <v>DIANOSOL</v>
      </c>
      <c r="Y114" s="64" t="s">
        <v>991</v>
      </c>
      <c r="Z114" s="126" t="s">
        <v>1015</v>
      </c>
      <c r="AA114" s="111" t="str">
        <f>IF(Z114&lt;&gt;"",VLOOKUP($Z114,Resultados!$A$1:$B$49,2,FALSE),"")</f>
        <v>Recursos Denegados</v>
      </c>
      <c r="AB114" s="23" t="str">
        <f t="shared" ca="1" si="68"/>
        <v>OTRO</v>
      </c>
      <c r="AC114" s="10">
        <f t="shared" si="54"/>
        <v>9</v>
      </c>
      <c r="AD114" s="10">
        <f t="shared" si="55"/>
        <v>10</v>
      </c>
      <c r="AE114" s="10">
        <f t="shared" si="56"/>
        <v>2023</v>
      </c>
      <c r="AF114" s="1">
        <f t="shared" si="61"/>
        <v>11</v>
      </c>
      <c r="AG114" s="1" t="str">
        <f t="shared" si="62"/>
        <v xml:space="preserve"> </v>
      </c>
      <c r="AH114" s="1" t="str">
        <f t="shared" si="38"/>
        <v xml:space="preserve"> </v>
      </c>
      <c r="AI114" s="1" t="str">
        <f t="shared" si="39"/>
        <v xml:space="preserve"> </v>
      </c>
      <c r="AJ114" s="1" t="str">
        <f t="shared" si="40"/>
        <v xml:space="preserve"> </v>
      </c>
      <c r="AK114" s="1" t="str">
        <f t="shared" si="41"/>
        <v xml:space="preserve"> </v>
      </c>
      <c r="AL114" s="1" t="str">
        <f t="shared" si="42"/>
        <v xml:space="preserve"> </v>
      </c>
      <c r="AM114" s="1" t="str">
        <f t="shared" si="43"/>
        <v xml:space="preserve"> </v>
      </c>
      <c r="AN114" s="1" t="str">
        <f t="shared" si="44"/>
        <v xml:space="preserve"> </v>
      </c>
      <c r="AO114" s="1" t="str">
        <f t="shared" si="45"/>
        <v xml:space="preserve"> </v>
      </c>
      <c r="AP114" s="1" t="str">
        <f t="shared" si="46"/>
        <v xml:space="preserve"> </v>
      </c>
      <c r="AQ114" s="1">
        <f t="shared" si="47"/>
        <v>11</v>
      </c>
      <c r="AR114" s="1" t="str">
        <f t="shared" si="48"/>
        <v xml:space="preserve"> </v>
      </c>
      <c r="AS114" s="1" t="str">
        <f t="shared" si="49"/>
        <v xml:space="preserve"> </v>
      </c>
      <c r="AT114" s="1" t="str">
        <f t="shared" si="50"/>
        <v xml:space="preserve"> </v>
      </c>
      <c r="AU114" s="1" t="str">
        <f t="shared" si="51"/>
        <v xml:space="preserve"> </v>
      </c>
    </row>
    <row r="115" spans="1:47" ht="38.25" hidden="1">
      <c r="A115" s="61">
        <v>114</v>
      </c>
      <c r="B115" s="59">
        <v>45194</v>
      </c>
      <c r="C115" s="165">
        <v>0.52083333333333337</v>
      </c>
      <c r="D115" s="63" t="s">
        <v>1695</v>
      </c>
      <c r="E115" s="64" t="s">
        <v>960</v>
      </c>
      <c r="F115" s="64" t="s">
        <v>966</v>
      </c>
      <c r="G115" s="65">
        <v>95780581</v>
      </c>
      <c r="H115" s="64" t="s">
        <v>961</v>
      </c>
      <c r="I115" s="66" t="s">
        <v>962</v>
      </c>
      <c r="J115" s="66" t="s">
        <v>963</v>
      </c>
      <c r="K115" s="67">
        <v>95591436</v>
      </c>
      <c r="L115" s="66" t="s">
        <v>965</v>
      </c>
      <c r="M115" s="64" t="s">
        <v>964</v>
      </c>
      <c r="N115" s="63"/>
      <c r="O115" s="63"/>
      <c r="P115" s="63"/>
      <c r="Q115" s="64" t="s">
        <v>555</v>
      </c>
      <c r="R115" s="59">
        <v>45197</v>
      </c>
      <c r="S115" s="170">
        <v>0.39583333333333331</v>
      </c>
      <c r="T115" s="60" t="s">
        <v>994</v>
      </c>
      <c r="U115" s="187"/>
      <c r="V115" s="38"/>
      <c r="W115" s="23" t="str">
        <f t="shared" ca="1" si="63"/>
        <v>SI</v>
      </c>
      <c r="X115" s="23" t="str">
        <f t="shared" si="64"/>
        <v>DIANOSOL</v>
      </c>
      <c r="Y115" s="50" t="s">
        <v>991</v>
      </c>
      <c r="Z115" s="111" t="s">
        <v>1039</v>
      </c>
      <c r="AA115" s="111" t="str">
        <f>IF(Z115&lt;&gt;"",VLOOKUP($Z115,Resultados!$A$1:$B$49,2,FALSE),"")</f>
        <v>Recursos Abstractos</v>
      </c>
      <c r="AC115" s="10">
        <f t="shared" si="54"/>
        <v>28</v>
      </c>
      <c r="AD115" s="10">
        <f t="shared" si="55"/>
        <v>9</v>
      </c>
      <c r="AE115" s="10">
        <f t="shared" si="56"/>
        <v>2023</v>
      </c>
      <c r="AF115" s="1">
        <f t="shared" si="61"/>
        <v>4</v>
      </c>
      <c r="AG115" s="1" t="str">
        <f t="shared" si="62"/>
        <v xml:space="preserve"> </v>
      </c>
      <c r="AH115" s="1" t="str">
        <f t="shared" si="38"/>
        <v xml:space="preserve"> </v>
      </c>
      <c r="AI115" s="1" t="str">
        <f t="shared" si="39"/>
        <v xml:space="preserve"> </v>
      </c>
      <c r="AJ115" s="1" t="str">
        <f t="shared" si="40"/>
        <v xml:space="preserve"> </v>
      </c>
      <c r="AK115" s="1" t="str">
        <f t="shared" si="41"/>
        <v xml:space="preserve"> </v>
      </c>
      <c r="AL115" s="1" t="str">
        <f t="shared" si="42"/>
        <v xml:space="preserve"> </v>
      </c>
      <c r="AM115" s="1" t="str">
        <f t="shared" si="43"/>
        <v xml:space="preserve"> </v>
      </c>
      <c r="AN115" s="1" t="str">
        <f t="shared" si="44"/>
        <v xml:space="preserve"> </v>
      </c>
      <c r="AO115" s="1" t="str">
        <f t="shared" si="45"/>
        <v xml:space="preserve"> </v>
      </c>
      <c r="AP115" s="1">
        <f t="shared" si="46"/>
        <v>4</v>
      </c>
      <c r="AQ115" s="1" t="str">
        <f t="shared" si="47"/>
        <v xml:space="preserve"> </v>
      </c>
      <c r="AR115" s="1" t="str">
        <f t="shared" si="48"/>
        <v xml:space="preserve"> </v>
      </c>
      <c r="AS115" s="1" t="str">
        <f t="shared" si="49"/>
        <v xml:space="preserve"> </v>
      </c>
      <c r="AT115" s="1" t="str">
        <f t="shared" si="50"/>
        <v xml:space="preserve"> </v>
      </c>
      <c r="AU115" s="1" t="str">
        <f t="shared" si="51"/>
        <v xml:space="preserve"> </v>
      </c>
    </row>
    <row r="116" spans="1:47" ht="38.25" hidden="1">
      <c r="A116" s="55">
        <v>115</v>
      </c>
      <c r="B116" s="52">
        <v>45194</v>
      </c>
      <c r="C116" s="162">
        <v>0.52083333333333337</v>
      </c>
      <c r="D116" s="38" t="s">
        <v>107</v>
      </c>
      <c r="E116" s="50" t="s">
        <v>967</v>
      </c>
      <c r="F116" s="50" t="s">
        <v>971</v>
      </c>
      <c r="G116" s="56">
        <v>30905288</v>
      </c>
      <c r="H116" s="50" t="s">
        <v>968</v>
      </c>
      <c r="I116" s="39" t="s">
        <v>969</v>
      </c>
      <c r="J116" s="39" t="s">
        <v>820</v>
      </c>
      <c r="K116" s="58"/>
      <c r="L116" s="58"/>
      <c r="M116" s="50" t="s">
        <v>970</v>
      </c>
      <c r="N116" s="38"/>
      <c r="O116" s="38"/>
      <c r="P116" s="38"/>
      <c r="Q116" s="50" t="s">
        <v>131</v>
      </c>
      <c r="R116" s="52">
        <v>45211</v>
      </c>
      <c r="S116" s="161">
        <v>0.4375</v>
      </c>
      <c r="T116" s="47" t="s">
        <v>1188</v>
      </c>
      <c r="U116" s="181" t="s">
        <v>1070</v>
      </c>
      <c r="V116" s="63"/>
      <c r="W116" s="23" t="str">
        <f t="shared" ca="1" si="63"/>
        <v>SI</v>
      </c>
      <c r="X116" s="23" t="str">
        <f t="shared" si="64"/>
        <v>DIANOSOL</v>
      </c>
      <c r="Y116" s="64" t="s">
        <v>991</v>
      </c>
      <c r="Z116" s="126" t="s">
        <v>1015</v>
      </c>
      <c r="AA116" s="111" t="str">
        <f>IF(Z116&lt;&gt;"",VLOOKUP($Z116,Resultados!$A$1:$B$49,2,FALSE),"")</f>
        <v>Recursos Denegados</v>
      </c>
      <c r="AB116" s="23" t="str">
        <f ca="1">IF(R116&gt;TODAY(),"FIJADA","OTRO")</f>
        <v>OTRO</v>
      </c>
      <c r="AC116" s="10">
        <f t="shared" si="54"/>
        <v>12</v>
      </c>
      <c r="AD116" s="10">
        <f t="shared" si="55"/>
        <v>10</v>
      </c>
      <c r="AE116" s="10">
        <f t="shared" si="56"/>
        <v>2023</v>
      </c>
      <c r="AF116" s="1">
        <f t="shared" si="61"/>
        <v>14</v>
      </c>
      <c r="AG116" s="1" t="str">
        <f t="shared" si="62"/>
        <v xml:space="preserve"> </v>
      </c>
      <c r="AH116" s="1" t="str">
        <f t="shared" si="38"/>
        <v xml:space="preserve"> </v>
      </c>
      <c r="AI116" s="1" t="str">
        <f t="shared" si="39"/>
        <v xml:space="preserve"> </v>
      </c>
      <c r="AJ116" s="1" t="str">
        <f t="shared" si="40"/>
        <v xml:space="preserve"> </v>
      </c>
      <c r="AK116" s="1" t="str">
        <f t="shared" si="41"/>
        <v xml:space="preserve"> </v>
      </c>
      <c r="AL116" s="1" t="str">
        <f t="shared" si="42"/>
        <v xml:space="preserve"> </v>
      </c>
      <c r="AM116" s="1" t="str">
        <f t="shared" si="43"/>
        <v xml:space="preserve"> </v>
      </c>
      <c r="AN116" s="1" t="str">
        <f t="shared" si="44"/>
        <v xml:space="preserve"> </v>
      </c>
      <c r="AO116" s="1" t="str">
        <f t="shared" si="45"/>
        <v xml:space="preserve"> </v>
      </c>
      <c r="AP116" s="1" t="str">
        <f t="shared" si="46"/>
        <v xml:space="preserve"> </v>
      </c>
      <c r="AQ116" s="1">
        <f t="shared" si="47"/>
        <v>14</v>
      </c>
      <c r="AR116" s="1" t="str">
        <f t="shared" si="48"/>
        <v xml:space="preserve"> </v>
      </c>
      <c r="AS116" s="1" t="str">
        <f t="shared" si="49"/>
        <v xml:space="preserve"> </v>
      </c>
      <c r="AT116" s="1" t="str">
        <f t="shared" si="50"/>
        <v xml:space="preserve"> </v>
      </c>
      <c r="AU116" s="1" t="str">
        <f t="shared" si="51"/>
        <v xml:space="preserve"> </v>
      </c>
    </row>
    <row r="117" spans="1:47" ht="89.25" hidden="1">
      <c r="A117" s="103">
        <v>116</v>
      </c>
      <c r="B117" s="104">
        <v>45196</v>
      </c>
      <c r="C117" s="105">
        <v>0.52083333333333337</v>
      </c>
      <c r="D117" s="106" t="s">
        <v>432</v>
      </c>
      <c r="E117" s="107" t="s">
        <v>974</v>
      </c>
      <c r="F117" s="107" t="s">
        <v>975</v>
      </c>
      <c r="G117" s="108">
        <v>36805093</v>
      </c>
      <c r="H117" s="107" t="s">
        <v>978</v>
      </c>
      <c r="I117" s="201" t="s">
        <v>976</v>
      </c>
      <c r="J117" s="201" t="s">
        <v>977</v>
      </c>
      <c r="K117" s="109"/>
      <c r="L117" s="201" t="s">
        <v>979</v>
      </c>
      <c r="M117" s="107" t="s">
        <v>980</v>
      </c>
      <c r="N117" s="106"/>
      <c r="O117" s="106"/>
      <c r="P117" s="106"/>
      <c r="Q117" s="107" t="s">
        <v>499</v>
      </c>
      <c r="R117" s="104">
        <v>45204</v>
      </c>
      <c r="S117" s="168">
        <v>0.39583333333333331</v>
      </c>
      <c r="T117" s="152" t="s">
        <v>1138</v>
      </c>
      <c r="U117" s="191" t="s">
        <v>1057</v>
      </c>
      <c r="V117" s="38"/>
      <c r="W117" s="23" t="str">
        <f t="shared" ca="1" si="63"/>
        <v>SI</v>
      </c>
      <c r="X117" s="23" t="str">
        <f t="shared" si="64"/>
        <v>DIANOSOL</v>
      </c>
      <c r="Y117" s="50" t="s">
        <v>991</v>
      </c>
      <c r="Z117" s="111" t="s">
        <v>1039</v>
      </c>
      <c r="AA117" s="111" t="str">
        <f>IF(Z117&lt;&gt;"",VLOOKUP($Z117,Resultados!$A$1:$B$49,2,FALSE),"")</f>
        <v>Recursos Abstractos</v>
      </c>
      <c r="AC117" s="10">
        <f t="shared" si="54"/>
        <v>5</v>
      </c>
      <c r="AD117" s="10">
        <f t="shared" si="55"/>
        <v>10</v>
      </c>
      <c r="AE117" s="10">
        <f t="shared" si="56"/>
        <v>2023</v>
      </c>
      <c r="AF117" s="1">
        <f t="shared" si="61"/>
        <v>7</v>
      </c>
      <c r="AG117" s="1" t="str">
        <f t="shared" si="62"/>
        <v xml:space="preserve"> </v>
      </c>
      <c r="AH117" s="1" t="str">
        <f t="shared" si="38"/>
        <v xml:space="preserve"> </v>
      </c>
      <c r="AI117" s="1" t="str">
        <f t="shared" si="39"/>
        <v xml:space="preserve"> </v>
      </c>
      <c r="AJ117" s="1" t="str">
        <f t="shared" si="40"/>
        <v xml:space="preserve"> </v>
      </c>
      <c r="AK117" s="1" t="str">
        <f t="shared" si="41"/>
        <v xml:space="preserve"> </v>
      </c>
      <c r="AL117" s="1" t="str">
        <f t="shared" si="42"/>
        <v xml:space="preserve"> </v>
      </c>
      <c r="AM117" s="1" t="str">
        <f t="shared" si="43"/>
        <v xml:space="preserve"> </v>
      </c>
      <c r="AN117" s="1" t="str">
        <f t="shared" si="44"/>
        <v xml:space="preserve"> </v>
      </c>
      <c r="AO117" s="1" t="str">
        <f t="shared" si="45"/>
        <v xml:space="preserve"> </v>
      </c>
      <c r="AP117" s="1" t="str">
        <f t="shared" si="46"/>
        <v xml:space="preserve"> </v>
      </c>
      <c r="AQ117" s="1">
        <f t="shared" si="47"/>
        <v>7</v>
      </c>
      <c r="AR117" s="1" t="str">
        <f t="shared" si="48"/>
        <v xml:space="preserve"> </v>
      </c>
      <c r="AS117" s="1" t="str">
        <f t="shared" si="49"/>
        <v xml:space="preserve"> </v>
      </c>
      <c r="AT117" s="1" t="str">
        <f t="shared" si="50"/>
        <v xml:space="preserve"> </v>
      </c>
      <c r="AU117" s="1" t="str">
        <f t="shared" si="51"/>
        <v xml:space="preserve"> </v>
      </c>
    </row>
    <row r="118" spans="1:47" ht="102" hidden="1">
      <c r="A118" s="127">
        <v>117</v>
      </c>
      <c r="B118" s="128">
        <v>45197</v>
      </c>
      <c r="C118" s="167">
        <v>0.52083333333333337</v>
      </c>
      <c r="D118" s="129" t="s">
        <v>103</v>
      </c>
      <c r="E118" s="130" t="s">
        <v>993</v>
      </c>
      <c r="F118" s="130" t="s">
        <v>1102</v>
      </c>
      <c r="G118" s="131">
        <v>29788698</v>
      </c>
      <c r="H118" s="130" t="s">
        <v>1000</v>
      </c>
      <c r="I118" s="132" t="s">
        <v>995</v>
      </c>
      <c r="J118" s="132" t="s">
        <v>996</v>
      </c>
      <c r="K118" s="133"/>
      <c r="L118" s="132" t="s">
        <v>997</v>
      </c>
      <c r="M118" s="130" t="s">
        <v>998</v>
      </c>
      <c r="N118" s="129"/>
      <c r="O118" s="129"/>
      <c r="P118" s="129"/>
      <c r="Q118" s="130" t="s">
        <v>131</v>
      </c>
      <c r="R118" s="128">
        <v>45202</v>
      </c>
      <c r="S118" s="166">
        <v>0.39583333333333331</v>
      </c>
      <c r="T118" s="150" t="s">
        <v>306</v>
      </c>
      <c r="U118" s="190"/>
      <c r="W118" s="23" t="str">
        <f t="shared" ca="1" si="63"/>
        <v>SI</v>
      </c>
      <c r="X118" s="23" t="str">
        <f t="shared" si="64"/>
        <v>DIANOSOL</v>
      </c>
      <c r="Y118" s="115" t="s">
        <v>999</v>
      </c>
      <c r="Z118" s="111" t="s">
        <v>1015</v>
      </c>
      <c r="AA118" s="111" t="str">
        <f>IF(Z118&lt;&gt;"",VLOOKUP($Z118,Resultados!$A$1:$B$49,2,FALSE),"")</f>
        <v>Recursos Denegados</v>
      </c>
      <c r="AB118" s="23" t="str">
        <f ca="1">IF(R118&gt;TODAY(),"FIJADA","OTRO")</f>
        <v>OTRO</v>
      </c>
      <c r="AC118" s="10">
        <f t="shared" si="54"/>
        <v>3</v>
      </c>
      <c r="AD118" s="10">
        <f t="shared" si="55"/>
        <v>10</v>
      </c>
      <c r="AE118" s="10">
        <f t="shared" si="56"/>
        <v>2023</v>
      </c>
      <c r="AF118" s="1">
        <f t="shared" si="61"/>
        <v>4</v>
      </c>
      <c r="AG118" s="1" t="str">
        <f t="shared" si="62"/>
        <v xml:space="preserve"> </v>
      </c>
      <c r="AH118" s="1" t="str">
        <f t="shared" si="38"/>
        <v xml:space="preserve"> </v>
      </c>
      <c r="AI118" s="1" t="str">
        <f t="shared" si="39"/>
        <v xml:space="preserve"> </v>
      </c>
      <c r="AJ118" s="1" t="str">
        <f t="shared" si="40"/>
        <v xml:space="preserve"> </v>
      </c>
      <c r="AK118" s="1" t="str">
        <f t="shared" si="41"/>
        <v xml:space="preserve"> </v>
      </c>
      <c r="AL118" s="1" t="str">
        <f t="shared" si="42"/>
        <v xml:space="preserve"> </v>
      </c>
      <c r="AM118" s="1" t="str">
        <f t="shared" si="43"/>
        <v xml:space="preserve"> </v>
      </c>
      <c r="AN118" s="1" t="str">
        <f t="shared" si="44"/>
        <v xml:space="preserve"> </v>
      </c>
      <c r="AO118" s="1" t="str">
        <f t="shared" si="45"/>
        <v xml:space="preserve"> </v>
      </c>
      <c r="AP118" s="1" t="str">
        <f t="shared" si="46"/>
        <v xml:space="preserve"> </v>
      </c>
      <c r="AQ118" s="1">
        <f t="shared" si="47"/>
        <v>4</v>
      </c>
      <c r="AR118" s="1" t="str">
        <f t="shared" si="48"/>
        <v xml:space="preserve"> </v>
      </c>
      <c r="AS118" s="1" t="str">
        <f t="shared" si="49"/>
        <v xml:space="preserve"> </v>
      </c>
      <c r="AT118" s="1" t="str">
        <f t="shared" si="50"/>
        <v xml:space="preserve"> </v>
      </c>
      <c r="AU118" s="1" t="str">
        <f t="shared" si="51"/>
        <v xml:space="preserve"> </v>
      </c>
    </row>
    <row r="119" spans="1:47" ht="39.950000000000003" hidden="1" customHeight="1">
      <c r="A119" s="127">
        <v>118</v>
      </c>
      <c r="B119" s="128">
        <v>45197</v>
      </c>
      <c r="C119" s="167">
        <v>0.52083333333333337</v>
      </c>
      <c r="D119" s="129" t="s">
        <v>107</v>
      </c>
      <c r="E119" s="130" t="s">
        <v>1001</v>
      </c>
      <c r="F119" s="130" t="s">
        <v>1002</v>
      </c>
      <c r="G119" s="131">
        <v>19079034</v>
      </c>
      <c r="H119" s="129"/>
      <c r="I119" s="132" t="s">
        <v>969</v>
      </c>
      <c r="J119" s="132" t="s">
        <v>820</v>
      </c>
      <c r="K119" s="133"/>
      <c r="L119" s="132" t="s">
        <v>965</v>
      </c>
      <c r="M119" s="130" t="s">
        <v>1003</v>
      </c>
      <c r="N119" s="129"/>
      <c r="O119" s="129"/>
      <c r="P119" s="129"/>
      <c r="Q119" s="130" t="s">
        <v>131</v>
      </c>
      <c r="R119" s="128">
        <v>45211</v>
      </c>
      <c r="S119" s="166">
        <v>0.4375</v>
      </c>
      <c r="T119" s="150" t="s">
        <v>1191</v>
      </c>
      <c r="U119" s="191"/>
      <c r="W119" s="23" t="str">
        <f t="shared" ca="1" si="63"/>
        <v>SI</v>
      </c>
      <c r="X119" s="23" t="str">
        <f t="shared" si="64"/>
        <v>DIANOSOL</v>
      </c>
      <c r="Y119" s="115" t="s">
        <v>991</v>
      </c>
      <c r="Z119" s="111" t="s">
        <v>1032</v>
      </c>
      <c r="AA119" s="111" t="str">
        <f>IF(Z119&lt;&gt;"",VLOOKUP($Z119,Resultados!$A$1:$B$49,2,FALSE),"")</f>
        <v>Desestimientos de Recursos</v>
      </c>
      <c r="AC119" s="10">
        <f t="shared" si="54"/>
        <v>12</v>
      </c>
      <c r="AD119" s="10">
        <f t="shared" si="55"/>
        <v>10</v>
      </c>
      <c r="AE119" s="10">
        <f t="shared" si="56"/>
        <v>2023</v>
      </c>
      <c r="AF119" s="1">
        <f t="shared" si="61"/>
        <v>11</v>
      </c>
      <c r="AG119" s="1" t="str">
        <f t="shared" si="62"/>
        <v xml:space="preserve"> </v>
      </c>
      <c r="AH119" s="1" t="str">
        <f t="shared" si="38"/>
        <v xml:space="preserve"> </v>
      </c>
      <c r="AI119" s="1" t="str">
        <f t="shared" si="39"/>
        <v xml:space="preserve"> </v>
      </c>
      <c r="AJ119" s="1" t="str">
        <f t="shared" si="40"/>
        <v xml:space="preserve"> </v>
      </c>
      <c r="AK119" s="1" t="str">
        <f t="shared" si="41"/>
        <v xml:space="preserve"> </v>
      </c>
      <c r="AL119" s="1" t="str">
        <f t="shared" si="42"/>
        <v xml:space="preserve"> </v>
      </c>
      <c r="AM119" s="1" t="str">
        <f t="shared" si="43"/>
        <v xml:space="preserve"> </v>
      </c>
      <c r="AN119" s="1" t="str">
        <f t="shared" si="44"/>
        <v xml:space="preserve"> </v>
      </c>
      <c r="AO119" s="1" t="str">
        <f t="shared" si="45"/>
        <v xml:space="preserve"> </v>
      </c>
      <c r="AP119" s="1" t="str">
        <f t="shared" si="46"/>
        <v xml:space="preserve"> </v>
      </c>
      <c r="AQ119" s="1">
        <f t="shared" si="47"/>
        <v>11</v>
      </c>
      <c r="AR119" s="1" t="str">
        <f t="shared" si="48"/>
        <v xml:space="preserve"> </v>
      </c>
      <c r="AS119" s="1" t="str">
        <f t="shared" si="49"/>
        <v xml:space="preserve"> </v>
      </c>
      <c r="AT119" s="1" t="str">
        <f t="shared" si="50"/>
        <v xml:space="preserve"> </v>
      </c>
      <c r="AU119" s="1" t="str">
        <f t="shared" si="51"/>
        <v xml:space="preserve"> </v>
      </c>
    </row>
    <row r="120" spans="1:47" ht="39.950000000000003" hidden="1" customHeight="1">
      <c r="A120" s="127">
        <v>119</v>
      </c>
      <c r="B120" s="128">
        <v>45198</v>
      </c>
      <c r="C120" s="167">
        <v>0.46875</v>
      </c>
      <c r="D120" s="129" t="s">
        <v>229</v>
      </c>
      <c r="E120" s="130" t="s">
        <v>1005</v>
      </c>
      <c r="F120" s="130" t="s">
        <v>1006</v>
      </c>
      <c r="G120" s="131">
        <v>36791896</v>
      </c>
      <c r="H120" s="130" t="s">
        <v>1007</v>
      </c>
      <c r="I120" s="132" t="s">
        <v>419</v>
      </c>
      <c r="J120" s="132" t="s">
        <v>1008</v>
      </c>
      <c r="K120" s="151">
        <v>29251911</v>
      </c>
      <c r="L120" s="132" t="s">
        <v>1009</v>
      </c>
      <c r="M120" s="130" t="s">
        <v>949</v>
      </c>
      <c r="N120" s="129"/>
      <c r="O120" s="130" t="s">
        <v>1010</v>
      </c>
      <c r="P120" s="129"/>
      <c r="Q120" s="130" t="s">
        <v>570</v>
      </c>
      <c r="R120" s="128">
        <v>45216</v>
      </c>
      <c r="S120" s="166">
        <v>0.39583333333333331</v>
      </c>
      <c r="T120" s="150" t="s">
        <v>1252</v>
      </c>
      <c r="U120" s="192"/>
      <c r="W120" s="23" t="str">
        <f t="shared" ca="1" si="63"/>
        <v>SI</v>
      </c>
      <c r="X120" s="23" t="str">
        <f t="shared" si="64"/>
        <v>DIANOSOL</v>
      </c>
      <c r="Y120" s="115" t="s">
        <v>991</v>
      </c>
      <c r="Z120" s="111" t="s">
        <v>1015</v>
      </c>
      <c r="AA120" s="111" t="str">
        <f>IF(Z120&lt;&gt;"",VLOOKUP($Z120,Resultados!$A$1:$B$49,2,FALSE),"")</f>
        <v>Recursos Denegados</v>
      </c>
      <c r="AB120" s="23" t="str">
        <f ca="1">IF(R120&gt;TODAY(),"FIJADA","OTRO")</f>
        <v>OTRO</v>
      </c>
      <c r="AC120" s="10">
        <f t="shared" si="54"/>
        <v>17</v>
      </c>
      <c r="AD120" s="10">
        <f t="shared" si="55"/>
        <v>10</v>
      </c>
      <c r="AE120" s="10">
        <f t="shared" si="56"/>
        <v>2023</v>
      </c>
      <c r="AF120" s="1">
        <f t="shared" si="61"/>
        <v>13</v>
      </c>
      <c r="AG120" s="1" t="str">
        <f t="shared" si="62"/>
        <v xml:space="preserve"> </v>
      </c>
      <c r="AH120" s="1" t="str">
        <f t="shared" si="38"/>
        <v xml:space="preserve"> </v>
      </c>
      <c r="AI120" s="1" t="str">
        <f t="shared" si="39"/>
        <v xml:space="preserve"> </v>
      </c>
      <c r="AJ120" s="1" t="str">
        <f t="shared" si="40"/>
        <v xml:space="preserve"> </v>
      </c>
      <c r="AK120" s="1" t="str">
        <f t="shared" si="41"/>
        <v xml:space="preserve"> </v>
      </c>
      <c r="AL120" s="1" t="str">
        <f t="shared" si="42"/>
        <v xml:space="preserve"> </v>
      </c>
      <c r="AM120" s="1" t="str">
        <f t="shared" si="43"/>
        <v xml:space="preserve"> </v>
      </c>
      <c r="AN120" s="1" t="str">
        <f t="shared" si="44"/>
        <v xml:space="preserve"> </v>
      </c>
      <c r="AO120" s="1" t="str">
        <f t="shared" si="45"/>
        <v xml:space="preserve"> </v>
      </c>
      <c r="AP120" s="1" t="str">
        <f t="shared" si="46"/>
        <v xml:space="preserve"> </v>
      </c>
      <c r="AQ120" s="1">
        <f t="shared" si="47"/>
        <v>13</v>
      </c>
      <c r="AR120" s="1" t="str">
        <f t="shared" si="48"/>
        <v xml:space="preserve"> </v>
      </c>
      <c r="AS120" s="1" t="str">
        <f t="shared" si="49"/>
        <v xml:space="preserve"> </v>
      </c>
      <c r="AT120" s="1" t="str">
        <f t="shared" si="50"/>
        <v xml:space="preserve"> </v>
      </c>
      <c r="AU120" s="1" t="str">
        <f t="shared" si="51"/>
        <v xml:space="preserve"> </v>
      </c>
    </row>
    <row r="121" spans="1:47" ht="39.950000000000003" hidden="1" customHeight="1">
      <c r="A121" s="41">
        <v>120</v>
      </c>
      <c r="B121" s="128">
        <v>45202</v>
      </c>
      <c r="C121" s="167">
        <v>0.38541666666666669</v>
      </c>
      <c r="D121" s="129" t="s">
        <v>105</v>
      </c>
      <c r="E121" s="130" t="s">
        <v>1104</v>
      </c>
      <c r="F121" s="130" t="s">
        <v>1105</v>
      </c>
      <c r="G121" s="131">
        <v>37004021</v>
      </c>
      <c r="H121" s="130" t="s">
        <v>1110</v>
      </c>
      <c r="I121" s="132" t="s">
        <v>1106</v>
      </c>
      <c r="J121" s="132" t="s">
        <v>1107</v>
      </c>
      <c r="K121" s="151">
        <v>34242062</v>
      </c>
      <c r="L121" s="132" t="s">
        <v>1108</v>
      </c>
      <c r="M121" s="130" t="s">
        <v>1109</v>
      </c>
      <c r="N121" s="129"/>
      <c r="O121" s="129"/>
      <c r="P121" s="129"/>
      <c r="Q121" s="130" t="s">
        <v>135</v>
      </c>
      <c r="R121" s="128"/>
      <c r="S121" s="167"/>
      <c r="T121" s="150" t="s">
        <v>1141</v>
      </c>
      <c r="U121" s="193"/>
      <c r="W121" s="23" t="str">
        <f t="shared" ca="1" si="63"/>
        <v>SI</v>
      </c>
      <c r="X121" s="23" t="str">
        <f t="shared" si="64"/>
        <v>DIANOSOL</v>
      </c>
      <c r="Y121" s="153" t="s">
        <v>991</v>
      </c>
      <c r="Z121" s="154" t="s">
        <v>1039</v>
      </c>
      <c r="AA121" s="111" t="str">
        <f>IF(Z121&lt;&gt;"",VLOOKUP($Z121,Resultados!$A$1:$B$49,2,FALSE),"")</f>
        <v>Recursos Abstractos</v>
      </c>
      <c r="AC121" s="10">
        <f t="shared" si="54"/>
        <v>0</v>
      </c>
      <c r="AD121" s="10">
        <f t="shared" si="55"/>
        <v>1</v>
      </c>
      <c r="AE121" s="10">
        <f t="shared" si="56"/>
        <v>1900</v>
      </c>
      <c r="AF121" s="1" t="str">
        <f t="shared" si="61"/>
        <v xml:space="preserve"> </v>
      </c>
      <c r="AG121" s="1" t="str">
        <f t="shared" si="62"/>
        <v xml:space="preserve"> </v>
      </c>
      <c r="AH121" s="1" t="str">
        <f t="shared" si="38"/>
        <v xml:space="preserve"> </v>
      </c>
      <c r="AI121" s="1" t="str">
        <f t="shared" si="39"/>
        <v xml:space="preserve"> </v>
      </c>
      <c r="AJ121" s="1" t="str">
        <f t="shared" si="40"/>
        <v xml:space="preserve"> </v>
      </c>
      <c r="AK121" s="1" t="str">
        <f t="shared" si="41"/>
        <v xml:space="preserve"> </v>
      </c>
      <c r="AL121" s="1" t="str">
        <f t="shared" si="42"/>
        <v xml:space="preserve"> </v>
      </c>
      <c r="AM121" s="1" t="str">
        <f t="shared" si="43"/>
        <v xml:space="preserve"> </v>
      </c>
      <c r="AN121" s="1" t="str">
        <f t="shared" si="44"/>
        <v xml:space="preserve"> </v>
      </c>
      <c r="AO121" s="1" t="str">
        <f t="shared" si="45"/>
        <v xml:space="preserve"> </v>
      </c>
      <c r="AP121" s="1" t="str">
        <f t="shared" si="46"/>
        <v xml:space="preserve"> </v>
      </c>
      <c r="AQ121" s="1" t="str">
        <f t="shared" si="47"/>
        <v xml:space="preserve"> </v>
      </c>
      <c r="AR121" s="1" t="str">
        <f t="shared" si="48"/>
        <v xml:space="preserve"> </v>
      </c>
      <c r="AS121" s="1" t="str">
        <f t="shared" si="49"/>
        <v xml:space="preserve"> </v>
      </c>
      <c r="AT121" s="1" t="str">
        <f t="shared" si="50"/>
        <v xml:space="preserve"> </v>
      </c>
      <c r="AU121" s="1" t="str">
        <f t="shared" si="51"/>
        <v xml:space="preserve"> </v>
      </c>
    </row>
    <row r="122" spans="1:47" ht="51" hidden="1">
      <c r="A122" s="42">
        <v>121</v>
      </c>
      <c r="B122" s="104">
        <v>45203</v>
      </c>
      <c r="C122" s="105">
        <v>0.51874999999999993</v>
      </c>
      <c r="D122" s="106" t="s">
        <v>106</v>
      </c>
      <c r="E122" s="106" t="s">
        <v>1112</v>
      </c>
      <c r="F122" s="106" t="s">
        <v>1113</v>
      </c>
      <c r="G122" s="108">
        <v>31853763</v>
      </c>
      <c r="H122" s="106" t="s">
        <v>1114</v>
      </c>
      <c r="I122" s="109" t="s">
        <v>1115</v>
      </c>
      <c r="J122" s="109"/>
      <c r="K122" s="109"/>
      <c r="L122" s="109"/>
      <c r="M122" s="106" t="s">
        <v>1116</v>
      </c>
      <c r="N122" s="106"/>
      <c r="O122" s="106"/>
      <c r="P122" s="106"/>
      <c r="Q122" s="106" t="s">
        <v>131</v>
      </c>
      <c r="R122" s="104">
        <v>45217</v>
      </c>
      <c r="S122" s="168">
        <v>0.45833333333333331</v>
      </c>
      <c r="T122" s="152" t="s">
        <v>938</v>
      </c>
      <c r="U122" s="193" t="s">
        <v>1247</v>
      </c>
      <c r="V122" s="38"/>
      <c r="W122" s="23" t="str">
        <f t="shared" ca="1" si="63"/>
        <v>SI</v>
      </c>
      <c r="X122" s="64"/>
      <c r="Y122" s="50" t="s">
        <v>991</v>
      </c>
      <c r="Z122" s="155" t="s">
        <v>1035</v>
      </c>
      <c r="AA122" s="111" t="str">
        <f>IF(Z122&lt;&gt;"",VLOOKUP($Z122,Resultados!$A$1:$B$49,2,FALSE),"")</f>
        <v>Recursos Inadmisibles</v>
      </c>
      <c r="AC122" s="10">
        <f t="shared" si="54"/>
        <v>18</v>
      </c>
      <c r="AD122" s="10">
        <f t="shared" si="55"/>
        <v>10</v>
      </c>
      <c r="AE122" s="10">
        <f t="shared" si="56"/>
        <v>2023</v>
      </c>
      <c r="AF122" s="1">
        <f t="shared" si="61"/>
        <v>11</v>
      </c>
      <c r="AG122" s="1" t="str">
        <f t="shared" si="62"/>
        <v xml:space="preserve"> </v>
      </c>
      <c r="AH122" s="1" t="str">
        <f t="shared" si="38"/>
        <v xml:space="preserve"> </v>
      </c>
      <c r="AI122" s="1" t="str">
        <f t="shared" si="39"/>
        <v xml:space="preserve"> </v>
      </c>
      <c r="AJ122" s="1" t="str">
        <f t="shared" si="40"/>
        <v xml:space="preserve"> </v>
      </c>
      <c r="AK122" s="1" t="str">
        <f t="shared" si="41"/>
        <v xml:space="preserve"> </v>
      </c>
      <c r="AL122" s="1" t="str">
        <f t="shared" si="42"/>
        <v xml:space="preserve"> </v>
      </c>
      <c r="AM122" s="1" t="str">
        <f t="shared" si="43"/>
        <v xml:space="preserve"> </v>
      </c>
      <c r="AN122" s="1" t="str">
        <f t="shared" si="44"/>
        <v xml:space="preserve"> </v>
      </c>
      <c r="AO122" s="1" t="str">
        <f t="shared" si="45"/>
        <v xml:space="preserve"> </v>
      </c>
      <c r="AP122" s="1" t="str">
        <f t="shared" si="46"/>
        <v xml:space="preserve"> </v>
      </c>
      <c r="AQ122" s="1">
        <f t="shared" si="47"/>
        <v>11</v>
      </c>
      <c r="AR122" s="1" t="str">
        <f t="shared" si="48"/>
        <v xml:space="preserve"> </v>
      </c>
      <c r="AS122" s="1" t="str">
        <f t="shared" si="49"/>
        <v xml:space="preserve"> </v>
      </c>
      <c r="AT122" s="1" t="str">
        <f t="shared" si="50"/>
        <v xml:space="preserve"> </v>
      </c>
      <c r="AU122" s="1" t="str">
        <f t="shared" si="51"/>
        <v xml:space="preserve"> </v>
      </c>
    </row>
    <row r="123" spans="1:47" ht="51" hidden="1">
      <c r="A123" s="127">
        <v>122</v>
      </c>
      <c r="B123" s="128">
        <v>45203</v>
      </c>
      <c r="C123" s="167">
        <v>0.51874999999999993</v>
      </c>
      <c r="D123" s="129" t="s">
        <v>227</v>
      </c>
      <c r="E123" s="130" t="s">
        <v>1117</v>
      </c>
      <c r="F123" s="130" t="s">
        <v>1118</v>
      </c>
      <c r="G123" s="131">
        <v>31870270</v>
      </c>
      <c r="H123" s="130" t="s">
        <v>1119</v>
      </c>
      <c r="I123" s="132" t="s">
        <v>1120</v>
      </c>
      <c r="J123" s="132" t="s">
        <v>1121</v>
      </c>
      <c r="K123" s="133"/>
      <c r="L123" s="133"/>
      <c r="M123" s="130" t="s">
        <v>1122</v>
      </c>
      <c r="N123" s="129"/>
      <c r="O123" s="129"/>
      <c r="P123" s="129"/>
      <c r="Q123" s="130" t="s">
        <v>131</v>
      </c>
      <c r="R123" s="128"/>
      <c r="S123" s="167"/>
      <c r="T123" s="150" t="s">
        <v>591</v>
      </c>
      <c r="U123" s="194" t="s">
        <v>987</v>
      </c>
      <c r="W123" s="23" t="str">
        <f t="shared" ca="1" si="63"/>
        <v>SI</v>
      </c>
      <c r="Y123" s="115" t="s">
        <v>991</v>
      </c>
      <c r="Z123" s="111" t="s">
        <v>1015</v>
      </c>
      <c r="AA123" s="111" t="str">
        <f>IF(Z123&lt;&gt;"",VLOOKUP($Z123,Resultados!$A$1:$B$49,2,FALSE),"")</f>
        <v>Recursos Denegados</v>
      </c>
      <c r="AB123" s="23" t="str">
        <f ca="1">IF(R123&gt;TODAY(),"FIJADA","OTRO")</f>
        <v>OTRO</v>
      </c>
      <c r="AC123" s="10">
        <f t="shared" si="54"/>
        <v>0</v>
      </c>
      <c r="AD123" s="10">
        <f t="shared" si="55"/>
        <v>1</v>
      </c>
      <c r="AE123" s="10">
        <f t="shared" si="56"/>
        <v>1900</v>
      </c>
      <c r="AF123" s="1" t="str">
        <f t="shared" si="61"/>
        <v xml:space="preserve"> </v>
      </c>
      <c r="AG123" s="1" t="str">
        <f t="shared" si="62"/>
        <v xml:space="preserve"> </v>
      </c>
      <c r="AH123" s="1" t="str">
        <f t="shared" si="38"/>
        <v xml:space="preserve"> </v>
      </c>
      <c r="AI123" s="1" t="str">
        <f t="shared" si="39"/>
        <v xml:space="preserve"> </v>
      </c>
      <c r="AJ123" s="1" t="str">
        <f t="shared" si="40"/>
        <v xml:space="preserve"> </v>
      </c>
      <c r="AK123" s="1" t="str">
        <f t="shared" si="41"/>
        <v xml:space="preserve"> </v>
      </c>
      <c r="AL123" s="1" t="str">
        <f t="shared" si="42"/>
        <v xml:space="preserve"> </v>
      </c>
      <c r="AM123" s="1" t="str">
        <f t="shared" si="43"/>
        <v xml:space="preserve"> </v>
      </c>
      <c r="AN123" s="1" t="str">
        <f t="shared" si="44"/>
        <v xml:space="preserve"> </v>
      </c>
      <c r="AO123" s="1" t="str">
        <f t="shared" si="45"/>
        <v xml:space="preserve"> </v>
      </c>
      <c r="AP123" s="1" t="str">
        <f t="shared" si="46"/>
        <v xml:space="preserve"> </v>
      </c>
      <c r="AQ123" s="1" t="str">
        <f t="shared" si="47"/>
        <v xml:space="preserve"> </v>
      </c>
      <c r="AR123" s="1" t="str">
        <f t="shared" si="48"/>
        <v xml:space="preserve"> </v>
      </c>
      <c r="AS123" s="1" t="str">
        <f t="shared" si="49"/>
        <v xml:space="preserve"> </v>
      </c>
      <c r="AT123" s="1" t="str">
        <f t="shared" si="50"/>
        <v xml:space="preserve"> </v>
      </c>
      <c r="AU123" s="1" t="str">
        <f t="shared" si="51"/>
        <v xml:space="preserve"> </v>
      </c>
    </row>
    <row r="124" spans="1:47" ht="51" hidden="1">
      <c r="A124" s="127">
        <v>123</v>
      </c>
      <c r="B124" s="128">
        <v>45203</v>
      </c>
      <c r="C124" s="167">
        <v>0.51874999999999993</v>
      </c>
      <c r="D124" s="129" t="s">
        <v>226</v>
      </c>
      <c r="E124" s="130" t="s">
        <v>1123</v>
      </c>
      <c r="F124" s="130" t="s">
        <v>1124</v>
      </c>
      <c r="G124" s="130" t="s">
        <v>1125</v>
      </c>
      <c r="H124" s="129"/>
      <c r="I124" s="132" t="s">
        <v>1126</v>
      </c>
      <c r="J124" s="132" t="s">
        <v>1127</v>
      </c>
      <c r="K124" s="151">
        <v>37720452</v>
      </c>
      <c r="L124" s="132" t="s">
        <v>1128</v>
      </c>
      <c r="M124" s="130" t="s">
        <v>1129</v>
      </c>
      <c r="N124" s="129"/>
      <c r="O124" s="129"/>
      <c r="P124" s="129"/>
      <c r="Q124" s="130" t="s">
        <v>135</v>
      </c>
      <c r="R124" s="128">
        <v>45209</v>
      </c>
      <c r="S124" s="167">
        <v>0.39583333333333331</v>
      </c>
      <c r="T124" s="150" t="s">
        <v>1176</v>
      </c>
      <c r="U124" s="193" t="s">
        <v>987</v>
      </c>
      <c r="W124" s="23" t="str">
        <f t="shared" ca="1" si="63"/>
        <v>SI</v>
      </c>
      <c r="Y124" s="153" t="s">
        <v>991</v>
      </c>
      <c r="Z124" s="111" t="s">
        <v>1059</v>
      </c>
      <c r="AA124" s="111" t="str">
        <f>IF(Z124&lt;&gt;"",VLOOKUP($Z124,Resultados!$A$1:$B$49,2,FALSE),"")</f>
        <v>Recursos donde se hizo lugar</v>
      </c>
      <c r="AC124" s="10">
        <f t="shared" si="54"/>
        <v>10</v>
      </c>
      <c r="AD124" s="10">
        <f t="shared" si="55"/>
        <v>10</v>
      </c>
      <c r="AE124" s="10">
        <f t="shared" si="56"/>
        <v>2023</v>
      </c>
      <c r="AF124" s="1">
        <f t="shared" si="61"/>
        <v>5</v>
      </c>
      <c r="AG124" s="1" t="str">
        <f t="shared" si="62"/>
        <v xml:space="preserve"> </v>
      </c>
      <c r="AH124" s="1" t="str">
        <f t="shared" si="38"/>
        <v xml:space="preserve"> </v>
      </c>
      <c r="AI124" s="1" t="str">
        <f t="shared" si="39"/>
        <v xml:space="preserve"> </v>
      </c>
      <c r="AJ124" s="1" t="str">
        <f t="shared" si="40"/>
        <v xml:space="preserve"> </v>
      </c>
      <c r="AK124" s="1" t="str">
        <f t="shared" si="41"/>
        <v xml:space="preserve"> </v>
      </c>
      <c r="AL124" s="1" t="str">
        <f t="shared" si="42"/>
        <v xml:space="preserve"> </v>
      </c>
      <c r="AM124" s="1" t="str">
        <f t="shared" si="43"/>
        <v xml:space="preserve"> </v>
      </c>
      <c r="AN124" s="1" t="str">
        <f t="shared" si="44"/>
        <v xml:space="preserve"> </v>
      </c>
      <c r="AO124" s="1" t="str">
        <f t="shared" si="45"/>
        <v xml:space="preserve"> </v>
      </c>
      <c r="AP124" s="1" t="str">
        <f t="shared" si="46"/>
        <v xml:space="preserve"> </v>
      </c>
      <c r="AQ124" s="1">
        <f t="shared" si="47"/>
        <v>5</v>
      </c>
      <c r="AR124" s="1" t="str">
        <f t="shared" si="48"/>
        <v xml:space="preserve"> </v>
      </c>
      <c r="AS124" s="1" t="str">
        <f t="shared" si="49"/>
        <v xml:space="preserve"> </v>
      </c>
      <c r="AT124" s="1" t="str">
        <f t="shared" si="50"/>
        <v xml:space="preserve"> </v>
      </c>
      <c r="AU124" s="1" t="str">
        <f t="shared" si="51"/>
        <v xml:space="preserve"> </v>
      </c>
    </row>
    <row r="125" spans="1:47" ht="38.25" hidden="1">
      <c r="A125" s="103">
        <v>124</v>
      </c>
      <c r="B125" s="104">
        <v>45203</v>
      </c>
      <c r="C125" s="105">
        <v>0.41666666666666669</v>
      </c>
      <c r="D125" s="63" t="s">
        <v>1695</v>
      </c>
      <c r="E125" s="106" t="s">
        <v>1130</v>
      </c>
      <c r="F125" s="106" t="s">
        <v>1131</v>
      </c>
      <c r="G125" s="108">
        <v>17708885</v>
      </c>
      <c r="H125" s="106" t="s">
        <v>1132</v>
      </c>
      <c r="I125" s="109" t="s">
        <v>1133</v>
      </c>
      <c r="J125" s="109" t="s">
        <v>1134</v>
      </c>
      <c r="K125" s="109"/>
      <c r="L125" s="109" t="s">
        <v>1135</v>
      </c>
      <c r="M125" s="106" t="s">
        <v>1136</v>
      </c>
      <c r="N125" s="106" t="s">
        <v>1137</v>
      </c>
      <c r="O125" s="106"/>
      <c r="P125" s="106"/>
      <c r="Q125" s="107" t="s">
        <v>135</v>
      </c>
      <c r="R125" s="104">
        <v>45211</v>
      </c>
      <c r="S125" s="168">
        <v>0.39583333333333331</v>
      </c>
      <c r="T125" s="152" t="s">
        <v>1186</v>
      </c>
      <c r="U125" s="193" t="s">
        <v>1192</v>
      </c>
      <c r="V125" s="38"/>
      <c r="W125" s="23" t="str">
        <f t="shared" ca="1" si="63"/>
        <v>SI</v>
      </c>
      <c r="X125" s="64"/>
      <c r="Y125" s="50" t="s">
        <v>991</v>
      </c>
      <c r="Z125" s="155" t="s">
        <v>1059</v>
      </c>
      <c r="AA125" s="111" t="str">
        <f>IF(Z125&lt;&gt;"",VLOOKUP($Z125,Resultados!$A$1:$B$49,2,FALSE),"")</f>
        <v>Recursos donde se hizo lugar</v>
      </c>
      <c r="AC125" s="10">
        <f t="shared" si="54"/>
        <v>12</v>
      </c>
      <c r="AD125" s="10">
        <f t="shared" si="55"/>
        <v>10</v>
      </c>
      <c r="AE125" s="10">
        <f t="shared" si="56"/>
        <v>2023</v>
      </c>
      <c r="AF125" s="1">
        <f t="shared" si="61"/>
        <v>7</v>
      </c>
      <c r="AG125" s="1" t="str">
        <f t="shared" si="62"/>
        <v xml:space="preserve"> </v>
      </c>
      <c r="AH125" s="1" t="str">
        <f t="shared" si="38"/>
        <v xml:space="preserve"> </v>
      </c>
      <c r="AI125" s="1" t="str">
        <f t="shared" si="39"/>
        <v xml:space="preserve"> </v>
      </c>
      <c r="AJ125" s="1" t="str">
        <f t="shared" si="40"/>
        <v xml:space="preserve"> </v>
      </c>
      <c r="AK125" s="1" t="str">
        <f t="shared" si="41"/>
        <v xml:space="preserve"> </v>
      </c>
      <c r="AL125" s="1" t="str">
        <f t="shared" si="42"/>
        <v xml:space="preserve"> </v>
      </c>
      <c r="AM125" s="1" t="str">
        <f t="shared" si="43"/>
        <v xml:space="preserve"> </v>
      </c>
      <c r="AN125" s="1" t="str">
        <f t="shared" si="44"/>
        <v xml:space="preserve"> </v>
      </c>
      <c r="AO125" s="1" t="str">
        <f t="shared" si="45"/>
        <v xml:space="preserve"> </v>
      </c>
      <c r="AP125" s="1" t="str">
        <f t="shared" si="46"/>
        <v xml:space="preserve"> </v>
      </c>
      <c r="AQ125" s="1">
        <f t="shared" si="47"/>
        <v>7</v>
      </c>
      <c r="AR125" s="1" t="str">
        <f t="shared" si="48"/>
        <v xml:space="preserve"> </v>
      </c>
      <c r="AS125" s="1" t="str">
        <f t="shared" si="49"/>
        <v xml:space="preserve"> </v>
      </c>
      <c r="AT125" s="1" t="str">
        <f t="shared" si="50"/>
        <v xml:space="preserve"> </v>
      </c>
      <c r="AU125" s="1" t="str">
        <f t="shared" si="51"/>
        <v xml:space="preserve"> </v>
      </c>
    </row>
    <row r="126" spans="1:47" ht="39.950000000000003" hidden="1" customHeight="1">
      <c r="A126" s="127">
        <v>125</v>
      </c>
      <c r="B126" s="128">
        <v>45205</v>
      </c>
      <c r="C126" s="167">
        <v>0.45833333333333331</v>
      </c>
      <c r="D126" s="129" t="s">
        <v>105</v>
      </c>
      <c r="E126" s="130" t="s">
        <v>1139</v>
      </c>
      <c r="F126" s="130" t="s">
        <v>1143</v>
      </c>
      <c r="G126" s="130" t="s">
        <v>1142</v>
      </c>
      <c r="H126" s="129"/>
      <c r="I126" s="132" t="s">
        <v>830</v>
      </c>
      <c r="J126" s="132" t="s">
        <v>1145</v>
      </c>
      <c r="K126" s="133"/>
      <c r="L126" s="132" t="s">
        <v>1144</v>
      </c>
      <c r="M126" s="130" t="s">
        <v>1146</v>
      </c>
      <c r="N126" s="130" t="s">
        <v>1147</v>
      </c>
      <c r="O126" s="129"/>
      <c r="P126" s="129"/>
      <c r="Q126" s="130" t="s">
        <v>132</v>
      </c>
      <c r="R126" s="128"/>
      <c r="S126" s="167"/>
      <c r="T126" s="150" t="s">
        <v>1186</v>
      </c>
      <c r="U126" s="193"/>
      <c r="W126" s="23" t="str">
        <f t="shared" ca="1" si="63"/>
        <v>SI</v>
      </c>
      <c r="Y126" s="115" t="s">
        <v>991</v>
      </c>
      <c r="Z126" s="111" t="s">
        <v>1059</v>
      </c>
      <c r="AA126" s="111" t="str">
        <f>IF(Z126&lt;&gt;"",VLOOKUP($Z126,Resultados!$A$1:$B$49,2,FALSE),"")</f>
        <v>Recursos donde se hizo lugar</v>
      </c>
      <c r="AC126" s="10">
        <f t="shared" si="54"/>
        <v>0</v>
      </c>
      <c r="AD126" s="10">
        <f t="shared" si="55"/>
        <v>1</v>
      </c>
      <c r="AE126" s="10">
        <f t="shared" si="56"/>
        <v>1900</v>
      </c>
      <c r="AF126" s="1" t="str">
        <f t="shared" si="61"/>
        <v xml:space="preserve"> </v>
      </c>
      <c r="AG126" s="1" t="str">
        <f t="shared" si="62"/>
        <v xml:space="preserve"> </v>
      </c>
      <c r="AH126" s="1" t="str">
        <f t="shared" si="38"/>
        <v xml:space="preserve"> </v>
      </c>
      <c r="AI126" s="1" t="str">
        <f t="shared" si="39"/>
        <v xml:space="preserve"> </v>
      </c>
      <c r="AJ126" s="1" t="str">
        <f t="shared" si="40"/>
        <v xml:space="preserve"> </v>
      </c>
      <c r="AK126" s="1" t="str">
        <f t="shared" si="41"/>
        <v xml:space="preserve"> </v>
      </c>
      <c r="AL126" s="1" t="str">
        <f t="shared" si="42"/>
        <v xml:space="preserve"> </v>
      </c>
      <c r="AM126" s="1" t="str">
        <f t="shared" si="43"/>
        <v xml:space="preserve"> </v>
      </c>
      <c r="AN126" s="1" t="str">
        <f t="shared" si="44"/>
        <v xml:space="preserve"> </v>
      </c>
      <c r="AO126" s="1" t="str">
        <f t="shared" si="45"/>
        <v xml:space="preserve"> </v>
      </c>
      <c r="AP126" s="1" t="str">
        <f t="shared" si="46"/>
        <v xml:space="preserve"> </v>
      </c>
      <c r="AQ126" s="1" t="str">
        <f t="shared" si="47"/>
        <v xml:space="preserve"> </v>
      </c>
      <c r="AR126" s="1" t="str">
        <f t="shared" si="48"/>
        <v xml:space="preserve"> </v>
      </c>
      <c r="AS126" s="1" t="str">
        <f t="shared" si="49"/>
        <v xml:space="preserve"> </v>
      </c>
      <c r="AT126" s="1" t="str">
        <f t="shared" si="50"/>
        <v xml:space="preserve"> </v>
      </c>
      <c r="AU126" s="1" t="str">
        <f t="shared" si="51"/>
        <v xml:space="preserve"> </v>
      </c>
    </row>
    <row r="127" spans="1:47" ht="39.950000000000003" hidden="1" customHeight="1">
      <c r="A127" s="127">
        <v>126</v>
      </c>
      <c r="B127" s="128">
        <v>45205</v>
      </c>
      <c r="C127" s="167">
        <v>0.45833333333333331</v>
      </c>
      <c r="D127" s="129" t="s">
        <v>432</v>
      </c>
      <c r="E127" s="130" t="s">
        <v>1148</v>
      </c>
      <c r="F127" s="130" t="s">
        <v>1149</v>
      </c>
      <c r="G127" s="131">
        <v>42553616</v>
      </c>
      <c r="H127" s="130" t="s">
        <v>1150</v>
      </c>
      <c r="I127" s="132" t="s">
        <v>419</v>
      </c>
      <c r="J127" s="132" t="s">
        <v>1151</v>
      </c>
      <c r="K127" s="151">
        <v>45362777</v>
      </c>
      <c r="L127" s="132" t="s">
        <v>1152</v>
      </c>
      <c r="M127" s="130" t="s">
        <v>385</v>
      </c>
      <c r="N127" s="130" t="s">
        <v>1178</v>
      </c>
      <c r="O127" s="130"/>
      <c r="P127" s="129"/>
      <c r="Q127" s="130" t="s">
        <v>131</v>
      </c>
      <c r="R127" s="128">
        <v>45216</v>
      </c>
      <c r="S127" s="166">
        <v>0.39583333333333331</v>
      </c>
      <c r="T127" s="150" t="s">
        <v>306</v>
      </c>
      <c r="U127" s="177"/>
      <c r="W127" s="23" t="str">
        <f t="shared" ca="1" si="63"/>
        <v>SI</v>
      </c>
      <c r="Y127" s="115" t="s">
        <v>991</v>
      </c>
      <c r="Z127" s="111" t="s">
        <v>1015</v>
      </c>
      <c r="AA127" s="111" t="str">
        <f>IF(Z127&lt;&gt;"",VLOOKUP($Z127,Resultados!$A$1:$B$49,2,FALSE),"")</f>
        <v>Recursos Denegados</v>
      </c>
      <c r="AB127" s="23" t="str">
        <f ca="1">IF(R127&gt;TODAY(),"FIJADA","OTRO")</f>
        <v>OTRO</v>
      </c>
      <c r="AC127" s="10">
        <f t="shared" si="54"/>
        <v>17</v>
      </c>
      <c r="AD127" s="10">
        <f t="shared" si="55"/>
        <v>10</v>
      </c>
      <c r="AE127" s="10">
        <f t="shared" si="56"/>
        <v>2023</v>
      </c>
      <c r="AF127" s="1">
        <f t="shared" si="61"/>
        <v>8</v>
      </c>
      <c r="AG127" s="1" t="str">
        <f t="shared" si="62"/>
        <v xml:space="preserve"> </v>
      </c>
      <c r="AH127" s="1" t="str">
        <f t="shared" si="38"/>
        <v xml:space="preserve"> </v>
      </c>
      <c r="AI127" s="1" t="str">
        <f t="shared" si="39"/>
        <v xml:space="preserve"> </v>
      </c>
      <c r="AJ127" s="1" t="str">
        <f t="shared" si="40"/>
        <v xml:space="preserve"> </v>
      </c>
      <c r="AK127" s="1" t="str">
        <f t="shared" si="41"/>
        <v xml:space="preserve"> </v>
      </c>
      <c r="AL127" s="1" t="str">
        <f t="shared" si="42"/>
        <v xml:space="preserve"> </v>
      </c>
      <c r="AM127" s="1" t="str">
        <f t="shared" si="43"/>
        <v xml:space="preserve"> </v>
      </c>
      <c r="AN127" s="1" t="str">
        <f t="shared" si="44"/>
        <v xml:space="preserve"> </v>
      </c>
      <c r="AO127" s="1" t="str">
        <f t="shared" si="45"/>
        <v xml:space="preserve"> </v>
      </c>
      <c r="AP127" s="1" t="str">
        <f t="shared" si="46"/>
        <v xml:space="preserve"> </v>
      </c>
      <c r="AQ127" s="1">
        <f t="shared" si="47"/>
        <v>8</v>
      </c>
      <c r="AR127" s="1" t="str">
        <f t="shared" si="48"/>
        <v xml:space="preserve"> </v>
      </c>
      <c r="AS127" s="1" t="str">
        <f t="shared" si="49"/>
        <v xml:space="preserve"> </v>
      </c>
      <c r="AT127" s="1" t="str">
        <f t="shared" si="50"/>
        <v xml:space="preserve"> </v>
      </c>
      <c r="AU127" s="1" t="str">
        <f t="shared" si="51"/>
        <v xml:space="preserve"> </v>
      </c>
    </row>
    <row r="128" spans="1:47" ht="39.950000000000003" hidden="1" customHeight="1">
      <c r="A128" s="127">
        <v>127</v>
      </c>
      <c r="B128" s="128">
        <v>45209</v>
      </c>
      <c r="C128" s="167">
        <v>0.33333333333333331</v>
      </c>
      <c r="D128" s="63" t="s">
        <v>1695</v>
      </c>
      <c r="E128" s="130" t="s">
        <v>1153</v>
      </c>
      <c r="F128" s="130" t="s">
        <v>1154</v>
      </c>
      <c r="G128" s="131">
        <v>45179575</v>
      </c>
      <c r="H128" s="130" t="s">
        <v>1155</v>
      </c>
      <c r="I128" s="132" t="s">
        <v>1156</v>
      </c>
      <c r="J128" s="132" t="s">
        <v>1157</v>
      </c>
      <c r="K128" s="151">
        <v>26876117</v>
      </c>
      <c r="L128" s="132" t="s">
        <v>1158</v>
      </c>
      <c r="M128" s="130" t="s">
        <v>1159</v>
      </c>
      <c r="N128" s="129"/>
      <c r="O128" s="129"/>
      <c r="P128" s="129"/>
      <c r="Q128" s="130" t="s">
        <v>135</v>
      </c>
      <c r="R128" s="128"/>
      <c r="S128" s="167"/>
      <c r="T128" s="128"/>
      <c r="U128" s="193" t="s">
        <v>1250</v>
      </c>
      <c r="W128" s="23" t="str">
        <f t="shared" ca="1" si="63"/>
        <v>SI</v>
      </c>
      <c r="Y128" s="115" t="s">
        <v>991</v>
      </c>
      <c r="Z128" s="111" t="s">
        <v>1041</v>
      </c>
      <c r="AA128" s="111" t="str">
        <f>IF(Z128&lt;&gt;"",VLOOKUP($Z128,Resultados!$A$1:$B$49,2,FALSE),"")</f>
        <v xml:space="preserve">Otros </v>
      </c>
      <c r="AC128" s="10">
        <f t="shared" si="54"/>
        <v>0</v>
      </c>
      <c r="AD128" s="10">
        <f t="shared" si="55"/>
        <v>1</v>
      </c>
      <c r="AE128" s="10">
        <f t="shared" si="56"/>
        <v>1900</v>
      </c>
      <c r="AF128" s="1" t="str">
        <f t="shared" si="61"/>
        <v xml:space="preserve"> </v>
      </c>
      <c r="AG128" s="1" t="str">
        <f t="shared" si="62"/>
        <v xml:space="preserve"> </v>
      </c>
      <c r="AH128" s="1" t="str">
        <f t="shared" si="38"/>
        <v xml:space="preserve"> </v>
      </c>
      <c r="AI128" s="1" t="str">
        <f t="shared" si="39"/>
        <v xml:space="preserve"> </v>
      </c>
      <c r="AJ128" s="1" t="str">
        <f t="shared" si="40"/>
        <v xml:space="preserve"> </v>
      </c>
      <c r="AK128" s="1" t="str">
        <f t="shared" si="41"/>
        <v xml:space="preserve"> </v>
      </c>
      <c r="AL128" s="1" t="str">
        <f t="shared" si="42"/>
        <v xml:space="preserve"> </v>
      </c>
      <c r="AM128" s="1" t="str">
        <f t="shared" si="43"/>
        <v xml:space="preserve"> </v>
      </c>
      <c r="AN128" s="1" t="str">
        <f t="shared" si="44"/>
        <v xml:space="preserve"> </v>
      </c>
      <c r="AO128" s="1" t="str">
        <f t="shared" si="45"/>
        <v xml:space="preserve"> </v>
      </c>
      <c r="AP128" s="1" t="str">
        <f t="shared" si="46"/>
        <v xml:space="preserve"> </v>
      </c>
      <c r="AQ128" s="1" t="str">
        <f t="shared" si="47"/>
        <v xml:space="preserve"> </v>
      </c>
      <c r="AR128" s="1" t="str">
        <f t="shared" si="48"/>
        <v xml:space="preserve"> </v>
      </c>
      <c r="AS128" s="1" t="str">
        <f t="shared" si="49"/>
        <v xml:space="preserve"> </v>
      </c>
      <c r="AT128" s="1" t="str">
        <f t="shared" si="50"/>
        <v xml:space="preserve"> </v>
      </c>
      <c r="AU128" s="1" t="str">
        <f t="shared" si="51"/>
        <v xml:space="preserve"> </v>
      </c>
    </row>
    <row r="129" spans="1:47" ht="39.950000000000003" hidden="1" customHeight="1">
      <c r="A129" s="127">
        <v>128</v>
      </c>
      <c r="B129" s="128">
        <v>45209</v>
      </c>
      <c r="C129" s="167">
        <v>0.37708333333333338</v>
      </c>
      <c r="D129" s="129" t="s">
        <v>105</v>
      </c>
      <c r="E129" s="130" t="s">
        <v>1160</v>
      </c>
      <c r="F129" s="130" t="s">
        <v>1161</v>
      </c>
      <c r="G129" s="129"/>
      <c r="H129" s="130" t="s">
        <v>1162</v>
      </c>
      <c r="I129" s="132" t="s">
        <v>129</v>
      </c>
      <c r="J129" s="133"/>
      <c r="K129" s="133"/>
      <c r="L129" s="133"/>
      <c r="M129" s="130" t="s">
        <v>1163</v>
      </c>
      <c r="N129" s="129"/>
      <c r="O129" s="129"/>
      <c r="P129" s="129"/>
      <c r="Q129" s="130" t="s">
        <v>135</v>
      </c>
      <c r="R129" s="128">
        <v>45230</v>
      </c>
      <c r="S129" s="167">
        <v>0.39583333333333331</v>
      </c>
      <c r="T129" s="150" t="s">
        <v>1263</v>
      </c>
      <c r="U129" s="193"/>
      <c r="W129" s="23" t="str">
        <f t="shared" ca="1" si="63"/>
        <v>SI</v>
      </c>
      <c r="Y129" s="115" t="s">
        <v>991</v>
      </c>
      <c r="Z129" s="111" t="s">
        <v>1015</v>
      </c>
      <c r="AA129" s="111" t="str">
        <f>IF(Z129&lt;&gt;"",VLOOKUP($Z129,Resultados!$A$1:$B$49,2,FALSE),"")</f>
        <v>Recursos Denegados</v>
      </c>
      <c r="AB129" s="23" t="str">
        <f t="shared" ref="AB129:AB130" ca="1" si="69">IF(R129&gt;TODAY(),"FIJADA","OTRO")</f>
        <v>OTRO</v>
      </c>
      <c r="AC129" s="10">
        <f t="shared" si="54"/>
        <v>31</v>
      </c>
      <c r="AD129" s="10">
        <f t="shared" si="55"/>
        <v>10</v>
      </c>
      <c r="AE129" s="10">
        <f t="shared" si="56"/>
        <v>2023</v>
      </c>
      <c r="AF129" s="1">
        <f t="shared" si="61"/>
        <v>16</v>
      </c>
      <c r="AG129" s="1" t="str">
        <f t="shared" si="62"/>
        <v xml:space="preserve"> </v>
      </c>
      <c r="AH129" s="1" t="str">
        <f t="shared" si="38"/>
        <v xml:space="preserve"> </v>
      </c>
      <c r="AI129" s="1" t="str">
        <f t="shared" si="39"/>
        <v xml:space="preserve"> </v>
      </c>
      <c r="AJ129" s="1" t="str">
        <f t="shared" si="40"/>
        <v xml:space="preserve"> </v>
      </c>
      <c r="AK129" s="1" t="str">
        <f t="shared" si="41"/>
        <v xml:space="preserve"> </v>
      </c>
      <c r="AL129" s="1" t="str">
        <f t="shared" si="42"/>
        <v xml:space="preserve"> </v>
      </c>
      <c r="AM129" s="1" t="str">
        <f t="shared" si="43"/>
        <v xml:space="preserve"> </v>
      </c>
      <c r="AN129" s="1" t="str">
        <f t="shared" si="44"/>
        <v xml:space="preserve"> </v>
      </c>
      <c r="AO129" s="1" t="str">
        <f t="shared" si="45"/>
        <v xml:space="preserve"> </v>
      </c>
      <c r="AP129" s="1" t="str">
        <f t="shared" si="46"/>
        <v xml:space="preserve"> </v>
      </c>
      <c r="AQ129" s="1">
        <f t="shared" si="47"/>
        <v>16</v>
      </c>
      <c r="AR129" s="1" t="str">
        <f t="shared" si="48"/>
        <v xml:space="preserve"> </v>
      </c>
      <c r="AS129" s="1" t="str">
        <f t="shared" si="49"/>
        <v xml:space="preserve"> </v>
      </c>
      <c r="AT129" s="1" t="str">
        <f t="shared" si="50"/>
        <v xml:space="preserve"> </v>
      </c>
      <c r="AU129" s="1" t="str">
        <f t="shared" si="51"/>
        <v xml:space="preserve"> </v>
      </c>
    </row>
    <row r="130" spans="1:47" ht="63.75" hidden="1">
      <c r="A130" s="127">
        <v>129</v>
      </c>
      <c r="B130" s="128">
        <v>45209</v>
      </c>
      <c r="C130" s="167">
        <v>0.37708333333333338</v>
      </c>
      <c r="D130" s="129" t="s">
        <v>241</v>
      </c>
      <c r="E130" s="130" t="s">
        <v>1164</v>
      </c>
      <c r="F130" s="130" t="s">
        <v>1166</v>
      </c>
      <c r="G130" s="131">
        <v>43688523</v>
      </c>
      <c r="H130" s="129"/>
      <c r="I130" s="133" t="s">
        <v>1167</v>
      </c>
      <c r="J130" s="133" t="s">
        <v>1168</v>
      </c>
      <c r="K130" s="133" t="s">
        <v>1169</v>
      </c>
      <c r="L130" s="133" t="s">
        <v>1170</v>
      </c>
      <c r="M130" s="129" t="s">
        <v>1171</v>
      </c>
      <c r="N130" s="129"/>
      <c r="O130" s="129" t="s">
        <v>1172</v>
      </c>
      <c r="P130" s="129"/>
      <c r="Q130" s="129" t="s">
        <v>1173</v>
      </c>
      <c r="R130" s="128">
        <v>45217</v>
      </c>
      <c r="S130" s="167">
        <v>0.39583333333333331</v>
      </c>
      <c r="T130" s="150" t="s">
        <v>849</v>
      </c>
      <c r="U130" s="192"/>
      <c r="W130" s="23" t="str">
        <f t="shared" ca="1" si="63"/>
        <v>SI</v>
      </c>
      <c r="Y130" s="115" t="s">
        <v>991</v>
      </c>
      <c r="Z130" s="111" t="s">
        <v>1015</v>
      </c>
      <c r="AA130" s="111" t="str">
        <f>IF(Z130&lt;&gt;"",VLOOKUP($Z130,Resultados!$A$1:$B$49,2,FALSE),"")</f>
        <v>Recursos Denegados</v>
      </c>
      <c r="AB130" s="23" t="str">
        <f t="shared" ca="1" si="69"/>
        <v>OTRO</v>
      </c>
      <c r="AC130" s="10">
        <f t="shared" si="54"/>
        <v>18</v>
      </c>
      <c r="AD130" s="10">
        <f t="shared" si="55"/>
        <v>10</v>
      </c>
      <c r="AE130" s="10">
        <f t="shared" si="56"/>
        <v>2023</v>
      </c>
      <c r="AF130" s="1">
        <f t="shared" si="61"/>
        <v>7</v>
      </c>
      <c r="AG130" s="1" t="str">
        <f t="shared" si="62"/>
        <v xml:space="preserve"> </v>
      </c>
      <c r="AH130" s="1" t="str">
        <f t="shared" si="38"/>
        <v xml:space="preserve"> </v>
      </c>
      <c r="AI130" s="1" t="str">
        <f t="shared" si="39"/>
        <v xml:space="preserve"> </v>
      </c>
      <c r="AJ130" s="1" t="str">
        <f t="shared" si="40"/>
        <v xml:space="preserve"> </v>
      </c>
      <c r="AK130" s="1" t="str">
        <f t="shared" si="41"/>
        <v xml:space="preserve"> </v>
      </c>
      <c r="AL130" s="1" t="str">
        <f t="shared" si="42"/>
        <v xml:space="preserve"> </v>
      </c>
      <c r="AM130" s="1" t="str">
        <f t="shared" si="43"/>
        <v xml:space="preserve"> </v>
      </c>
      <c r="AN130" s="1" t="str">
        <f t="shared" si="44"/>
        <v xml:space="preserve"> </v>
      </c>
      <c r="AO130" s="1" t="str">
        <f t="shared" si="45"/>
        <v xml:space="preserve"> </v>
      </c>
      <c r="AP130" s="1" t="str">
        <f t="shared" si="46"/>
        <v xml:space="preserve"> </v>
      </c>
      <c r="AQ130" s="1">
        <f t="shared" si="47"/>
        <v>7</v>
      </c>
      <c r="AR130" s="1" t="str">
        <f t="shared" si="48"/>
        <v xml:space="preserve"> </v>
      </c>
      <c r="AS130" s="1" t="str">
        <f t="shared" si="49"/>
        <v xml:space="preserve"> </v>
      </c>
      <c r="AT130" s="1" t="str">
        <f t="shared" si="50"/>
        <v xml:space="preserve"> </v>
      </c>
      <c r="AU130" s="1" t="str">
        <f t="shared" si="51"/>
        <v xml:space="preserve"> </v>
      </c>
    </row>
    <row r="131" spans="1:47" ht="39.950000000000003" hidden="1" customHeight="1">
      <c r="A131" s="127">
        <v>130</v>
      </c>
      <c r="B131" s="128">
        <v>45205</v>
      </c>
      <c r="C131" s="167">
        <v>0.5</v>
      </c>
      <c r="D131" s="129" t="s">
        <v>107</v>
      </c>
      <c r="E131" s="130" t="s">
        <v>1174</v>
      </c>
      <c r="F131" s="130" t="s">
        <v>1175</v>
      </c>
      <c r="G131" s="131">
        <v>34993106</v>
      </c>
      <c r="H131" s="129"/>
      <c r="I131" s="132" t="s">
        <v>969</v>
      </c>
      <c r="J131" s="132" t="s">
        <v>820</v>
      </c>
      <c r="K131" s="133"/>
      <c r="L131" s="133"/>
      <c r="M131" s="130" t="s">
        <v>214</v>
      </c>
      <c r="N131" s="129"/>
      <c r="O131" s="129"/>
      <c r="P131" s="129"/>
      <c r="Q131" s="130" t="s">
        <v>131</v>
      </c>
      <c r="R131" s="128">
        <v>45211</v>
      </c>
      <c r="S131" s="166">
        <v>0.4375</v>
      </c>
      <c r="T131" s="150" t="s">
        <v>1190</v>
      </c>
      <c r="U131" s="190" t="s">
        <v>1066</v>
      </c>
      <c r="W131" s="23" t="str">
        <f t="shared" ca="1" si="63"/>
        <v>SI</v>
      </c>
      <c r="Y131" s="115" t="s">
        <v>991</v>
      </c>
      <c r="Z131" s="111" t="s">
        <v>1022</v>
      </c>
      <c r="AA131" s="111" t="str">
        <f>IF(Z131&lt;&gt;"",VLOOKUP($Z131,Resultados!$A$1:$B$49,2,FALSE),"")</f>
        <v>Recursos donde se hizo lugar</v>
      </c>
      <c r="AC131" s="10">
        <f t="shared" si="54"/>
        <v>12</v>
      </c>
      <c r="AD131" s="10">
        <f t="shared" si="55"/>
        <v>10</v>
      </c>
      <c r="AE131" s="10">
        <f t="shared" si="56"/>
        <v>2023</v>
      </c>
      <c r="AF131" s="1">
        <f t="shared" ref="AF131:AF159" si="70">IF(AND(NETWORKDAYS($B131,$R131)&gt;0,$AE131=2023),NETWORKDAYS($B131,$R131)," ")</f>
        <v>5</v>
      </c>
      <c r="AG131" s="1" t="str">
        <f t="shared" ref="AG131:AG162" si="71">IF(AND(NETWORKDAYS($B131,$R131)&gt;0,$AE131=2024),NETWORKDAYS($B131,$R131)," ")</f>
        <v xml:space="preserve"> </v>
      </c>
      <c r="AH131" s="1" t="str">
        <f t="shared" ref="AH131:AH194" si="72">IF(AND(NETWORKDAYS($B131,$R131)&gt;0,$AE131=2023,$AD131=$AH$1),NETWORKDAYS($B131,$R131)," ")</f>
        <v xml:space="preserve"> </v>
      </c>
      <c r="AI131" s="1" t="str">
        <f t="shared" ref="AI131:AI194" si="73">IF(AND(NETWORKDAYS($B131,$R131)&gt;0,$AE131=2023,$AD131=$AI$1),NETWORKDAYS($B131,$R131)," ")</f>
        <v xml:space="preserve"> </v>
      </c>
      <c r="AJ131" s="1" t="str">
        <f t="shared" ref="AJ131:AJ194" si="74">IF(AND(NETWORKDAYS($B131,$R131)&gt;0,$AE131=2023,$AD131=$AJ$1),NETWORKDAYS($B131,$R131)," ")</f>
        <v xml:space="preserve"> </v>
      </c>
      <c r="AK131" s="1" t="str">
        <f t="shared" ref="AK131:AK194" si="75">IF(AND(NETWORKDAYS($B131,$R131)&gt;0,$AE131=2023,$AD131=$AK$1),NETWORKDAYS($B131,$R131)," ")</f>
        <v xml:space="preserve"> </v>
      </c>
      <c r="AL131" s="1" t="str">
        <f t="shared" ref="AL131:AL194" si="76">IF(AND(NETWORKDAYS($B131,$R131)&gt;0,$AE131=2023,$AD131=$AL$1),NETWORKDAYS($B131,$R131)," ")</f>
        <v xml:space="preserve"> </v>
      </c>
      <c r="AM131" s="1" t="str">
        <f t="shared" ref="AM131:AM194" si="77">IF(AND(NETWORKDAYS($B131,$R131)&gt;0,$AE131=2023,$AD131=$AM$1),NETWORKDAYS($B131,$R131)," ")</f>
        <v xml:space="preserve"> </v>
      </c>
      <c r="AN131" s="1" t="str">
        <f t="shared" ref="AN131:AN194" si="78">IF(AND(NETWORKDAYS($B131,$R131)&gt;0,$AE131=2023,$AD131=$AN$1),NETWORKDAYS($B131,$R131)," ")</f>
        <v xml:space="preserve"> </v>
      </c>
      <c r="AO131" s="1" t="str">
        <f t="shared" ref="AO131:AO194" si="79">IF(AND(NETWORKDAYS($B131,$R131)&gt;0,$AE131=2023,$AD131=$AO$1),NETWORKDAYS($B131,$R131)," ")</f>
        <v xml:space="preserve"> </v>
      </c>
      <c r="AP131" s="1" t="str">
        <f t="shared" ref="AP131:AP194" si="80">IF(AND(NETWORKDAYS($B131,$R131)&gt;0,$AE131=2023,$AD131=$AP$1),NETWORKDAYS($B131,$R131)," ")</f>
        <v xml:space="preserve"> </v>
      </c>
      <c r="AQ131" s="1">
        <f t="shared" ref="AQ131:AQ194" si="81">IF(AND(NETWORKDAYS($B131,$R131)&gt;0,$AE131=2023,$AD131=$AQ$1),NETWORKDAYS($B131,$R131)," ")</f>
        <v>5</v>
      </c>
      <c r="AR131" s="1" t="str">
        <f t="shared" ref="AR131:AR194" si="82">IF(AND(NETWORKDAYS($B131,$R131)&gt;0,$AE131=2023,$AD131=$AR$1),NETWORKDAYS($B131,$R131)," ")</f>
        <v xml:space="preserve"> </v>
      </c>
      <c r="AS131" s="1" t="str">
        <f t="shared" ref="AS131:AS194" si="83">IF(AND(NETWORKDAYS($B131,$R131)&gt;0,$AE131=2023,$AD131=$AS$1),NETWORKDAYS($B131,$R131)," ")</f>
        <v xml:space="preserve"> </v>
      </c>
      <c r="AT131" s="1" t="str">
        <f t="shared" ref="AT131:AT194" si="84">IF(AND(NETWORKDAYS($B131,$R131)&gt;0,$AE131=2023,$AD131=$AT$1),NETWORKDAYS($B131,$R131)," ")</f>
        <v xml:space="preserve"> </v>
      </c>
      <c r="AU131" s="1" t="str">
        <f t="shared" ref="AU131:AU194" si="85">IF(AND(NETWORKDAYS($B131,$R131)&gt;0,$AE131=2023,$AD131=$AU$1),NETWORKDAYS($B131,$R131)," ")</f>
        <v xml:space="preserve"> </v>
      </c>
    </row>
    <row r="132" spans="1:47" ht="38.25" hidden="1">
      <c r="A132" s="127">
        <v>131</v>
      </c>
      <c r="B132" s="128">
        <v>45216</v>
      </c>
      <c r="C132" s="167">
        <v>0.37083333333333335</v>
      </c>
      <c r="D132" s="129" t="s">
        <v>227</v>
      </c>
      <c r="E132" s="130" t="s">
        <v>1179</v>
      </c>
      <c r="F132" s="130" t="s">
        <v>1180</v>
      </c>
      <c r="G132" s="129"/>
      <c r="H132" s="129"/>
      <c r="I132" s="132" t="s">
        <v>1181</v>
      </c>
      <c r="J132" s="133"/>
      <c r="K132" s="133"/>
      <c r="L132" s="133"/>
      <c r="M132" s="130" t="s">
        <v>385</v>
      </c>
      <c r="N132" s="129"/>
      <c r="O132" s="129"/>
      <c r="P132" s="129"/>
      <c r="Q132" s="130" t="s">
        <v>502</v>
      </c>
      <c r="R132" s="128"/>
      <c r="S132" s="167"/>
      <c r="T132" s="150" t="s">
        <v>1253</v>
      </c>
      <c r="U132" s="191" t="s">
        <v>1093</v>
      </c>
      <c r="W132" s="23" t="str">
        <f t="shared" ref="W132:W163" ca="1" si="86">IF(R132&lt;=TODAY(),"SI","NO")</f>
        <v>SI</v>
      </c>
      <c r="Y132" s="115" t="s">
        <v>991</v>
      </c>
      <c r="Z132" s="111" t="s">
        <v>1015</v>
      </c>
      <c r="AA132" s="111" t="str">
        <f>IF(Z132&lt;&gt;"",VLOOKUP($Z132,Resultados!$A$1:$B$49,2,FALSE),"")</f>
        <v>Recursos Denegados</v>
      </c>
      <c r="AB132" s="23" t="str">
        <f t="shared" ref="AB132:AB133" ca="1" si="87">IF(R132&gt;TODAY(),"FIJADA","OTRO")</f>
        <v>OTRO</v>
      </c>
      <c r="AC132" s="10">
        <f t="shared" ref="AC132:AC195" si="88">DAY($R132)</f>
        <v>0</v>
      </c>
      <c r="AD132" s="10">
        <f t="shared" ref="AD132:AD195" si="89">MONTH($R132)</f>
        <v>1</v>
      </c>
      <c r="AE132" s="10">
        <f t="shared" ref="AE132:AE195" si="90">YEAR(R132)</f>
        <v>1900</v>
      </c>
      <c r="AF132" s="1" t="str">
        <f t="shared" si="70"/>
        <v xml:space="preserve"> </v>
      </c>
      <c r="AG132" s="1" t="str">
        <f t="shared" si="71"/>
        <v xml:space="preserve"> </v>
      </c>
      <c r="AH132" s="1" t="str">
        <f t="shared" si="72"/>
        <v xml:space="preserve"> </v>
      </c>
      <c r="AI132" s="1" t="str">
        <f t="shared" si="73"/>
        <v xml:space="preserve"> </v>
      </c>
      <c r="AJ132" s="1" t="str">
        <f t="shared" si="74"/>
        <v xml:space="preserve"> </v>
      </c>
      <c r="AK132" s="1" t="str">
        <f t="shared" si="75"/>
        <v xml:space="preserve"> </v>
      </c>
      <c r="AL132" s="1" t="str">
        <f t="shared" si="76"/>
        <v xml:space="preserve"> </v>
      </c>
      <c r="AM132" s="1" t="str">
        <f t="shared" si="77"/>
        <v xml:space="preserve"> </v>
      </c>
      <c r="AN132" s="1" t="str">
        <f t="shared" si="78"/>
        <v xml:space="preserve"> </v>
      </c>
      <c r="AO132" s="1" t="str">
        <f t="shared" si="79"/>
        <v xml:space="preserve"> </v>
      </c>
      <c r="AP132" s="1" t="str">
        <f t="shared" si="80"/>
        <v xml:space="preserve"> </v>
      </c>
      <c r="AQ132" s="1" t="str">
        <f t="shared" si="81"/>
        <v xml:space="preserve"> </v>
      </c>
      <c r="AR132" s="1" t="str">
        <f t="shared" si="82"/>
        <v xml:space="preserve"> </v>
      </c>
      <c r="AS132" s="1" t="str">
        <f t="shared" si="83"/>
        <v xml:space="preserve"> </v>
      </c>
      <c r="AT132" s="1" t="str">
        <f t="shared" si="84"/>
        <v xml:space="preserve"> </v>
      </c>
      <c r="AU132" s="1" t="str">
        <f t="shared" si="85"/>
        <v xml:space="preserve"> </v>
      </c>
    </row>
    <row r="133" spans="1:47" ht="51" hidden="1">
      <c r="A133" s="127">
        <v>132</v>
      </c>
      <c r="B133" s="128">
        <v>45216</v>
      </c>
      <c r="C133" s="167">
        <v>0.37083333333333335</v>
      </c>
      <c r="D133" s="129" t="s">
        <v>228</v>
      </c>
      <c r="E133" s="130" t="s">
        <v>1182</v>
      </c>
      <c r="F133" s="130" t="s">
        <v>1183</v>
      </c>
      <c r="G133" s="131">
        <v>32857444</v>
      </c>
      <c r="H133" s="130" t="s">
        <v>1184</v>
      </c>
      <c r="I133" s="132" t="s">
        <v>244</v>
      </c>
      <c r="J133" s="133"/>
      <c r="K133" s="133"/>
      <c r="L133" s="133"/>
      <c r="M133" s="130" t="s">
        <v>1185</v>
      </c>
      <c r="N133" s="129"/>
      <c r="O133" s="129"/>
      <c r="P133" s="129"/>
      <c r="Q133" s="130" t="s">
        <v>135</v>
      </c>
      <c r="R133" s="128">
        <v>45218</v>
      </c>
      <c r="S133" s="166">
        <v>0.39583333333333331</v>
      </c>
      <c r="T133" s="150" t="s">
        <v>881</v>
      </c>
      <c r="U133" s="195"/>
      <c r="W133" s="23" t="str">
        <f t="shared" ca="1" si="86"/>
        <v>SI</v>
      </c>
      <c r="Y133" s="115" t="s">
        <v>991</v>
      </c>
      <c r="Z133" s="111" t="s">
        <v>1015</v>
      </c>
      <c r="AA133" s="111" t="str">
        <f>IF(Z133&lt;&gt;"",VLOOKUP($Z133,Resultados!$A$1:$B$49,2,FALSE),"")</f>
        <v>Recursos Denegados</v>
      </c>
      <c r="AB133" s="23" t="str">
        <f t="shared" ca="1" si="87"/>
        <v>OTRO</v>
      </c>
      <c r="AC133" s="10">
        <f t="shared" si="88"/>
        <v>19</v>
      </c>
      <c r="AD133" s="10">
        <f t="shared" si="89"/>
        <v>10</v>
      </c>
      <c r="AE133" s="10">
        <f t="shared" si="90"/>
        <v>2023</v>
      </c>
      <c r="AF133" s="1">
        <f t="shared" si="70"/>
        <v>3</v>
      </c>
      <c r="AG133" s="1" t="str">
        <f t="shared" si="71"/>
        <v xml:space="preserve"> </v>
      </c>
      <c r="AH133" s="1" t="str">
        <f t="shared" si="72"/>
        <v xml:space="preserve"> </v>
      </c>
      <c r="AI133" s="1" t="str">
        <f t="shared" si="73"/>
        <v xml:space="preserve"> </v>
      </c>
      <c r="AJ133" s="1" t="str">
        <f t="shared" si="74"/>
        <v xml:space="preserve"> </v>
      </c>
      <c r="AK133" s="1" t="str">
        <f t="shared" si="75"/>
        <v xml:space="preserve"> </v>
      </c>
      <c r="AL133" s="1" t="str">
        <f t="shared" si="76"/>
        <v xml:space="preserve"> </v>
      </c>
      <c r="AM133" s="1" t="str">
        <f t="shared" si="77"/>
        <v xml:space="preserve"> </v>
      </c>
      <c r="AN133" s="1" t="str">
        <f t="shared" si="78"/>
        <v xml:space="preserve"> </v>
      </c>
      <c r="AO133" s="1" t="str">
        <f t="shared" si="79"/>
        <v xml:space="preserve"> </v>
      </c>
      <c r="AP133" s="1" t="str">
        <f t="shared" si="80"/>
        <v xml:space="preserve"> </v>
      </c>
      <c r="AQ133" s="1">
        <f t="shared" si="81"/>
        <v>3</v>
      </c>
      <c r="AR133" s="1" t="str">
        <f t="shared" si="82"/>
        <v xml:space="preserve"> </v>
      </c>
      <c r="AS133" s="1" t="str">
        <f t="shared" si="83"/>
        <v xml:space="preserve"> </v>
      </c>
      <c r="AT133" s="1" t="str">
        <f t="shared" si="84"/>
        <v xml:space="preserve"> </v>
      </c>
      <c r="AU133" s="1" t="str">
        <f t="shared" si="85"/>
        <v xml:space="preserve"> </v>
      </c>
    </row>
    <row r="134" spans="1:47" ht="38.25" hidden="1">
      <c r="A134" s="172">
        <v>132</v>
      </c>
      <c r="B134" s="173">
        <v>45217</v>
      </c>
      <c r="C134" s="174">
        <v>0.39583333333333331</v>
      </c>
      <c r="D134" s="175" t="s">
        <v>106</v>
      </c>
      <c r="E134" s="156" t="s">
        <v>1193</v>
      </c>
      <c r="F134" s="156" t="s">
        <v>1237</v>
      </c>
      <c r="G134" s="176">
        <v>42446496</v>
      </c>
      <c r="H134" s="175" t="s">
        <v>1194</v>
      </c>
      <c r="I134" s="177" t="s">
        <v>587</v>
      </c>
      <c r="J134" s="178" t="s">
        <v>1195</v>
      </c>
      <c r="K134" s="178"/>
      <c r="L134" s="178"/>
      <c r="M134" s="156" t="s">
        <v>1163</v>
      </c>
      <c r="N134" s="156" t="s">
        <v>1245</v>
      </c>
      <c r="O134" s="175"/>
      <c r="P134" s="175"/>
      <c r="Q134" s="156" t="s">
        <v>132</v>
      </c>
      <c r="R134" s="173">
        <v>45231</v>
      </c>
      <c r="S134" s="174">
        <v>0.39583333333333331</v>
      </c>
      <c r="T134" s="171" t="s">
        <v>1320</v>
      </c>
      <c r="U134" s="191" t="s">
        <v>1321</v>
      </c>
      <c r="W134" s="23" t="str">
        <f t="shared" ca="1" si="86"/>
        <v>SI</v>
      </c>
      <c r="Y134" s="115" t="s">
        <v>991</v>
      </c>
      <c r="Z134" s="111" t="s">
        <v>1059</v>
      </c>
      <c r="AA134" s="111" t="str">
        <f>IF(Z134&lt;&gt;"",VLOOKUP($Z134,Resultados!$A$1:$B$49,2,FALSE),"")</f>
        <v>Recursos donde se hizo lugar</v>
      </c>
      <c r="AC134" s="10">
        <f t="shared" si="88"/>
        <v>1</v>
      </c>
      <c r="AD134" s="10">
        <f t="shared" si="89"/>
        <v>11</v>
      </c>
      <c r="AE134" s="10">
        <f t="shared" si="90"/>
        <v>2023</v>
      </c>
      <c r="AF134" s="1">
        <f t="shared" si="70"/>
        <v>11</v>
      </c>
      <c r="AG134" s="1" t="str">
        <f t="shared" si="71"/>
        <v xml:space="preserve"> </v>
      </c>
      <c r="AH134" s="1" t="str">
        <f t="shared" si="72"/>
        <v xml:space="preserve"> </v>
      </c>
      <c r="AI134" s="1" t="str">
        <f t="shared" si="73"/>
        <v xml:space="preserve"> </v>
      </c>
      <c r="AJ134" s="1" t="str">
        <f t="shared" si="74"/>
        <v xml:space="preserve"> </v>
      </c>
      <c r="AK134" s="1" t="str">
        <f t="shared" si="75"/>
        <v xml:space="preserve"> </v>
      </c>
      <c r="AL134" s="1" t="str">
        <f t="shared" si="76"/>
        <v xml:space="preserve"> </v>
      </c>
      <c r="AM134" s="1" t="str">
        <f t="shared" si="77"/>
        <v xml:space="preserve"> </v>
      </c>
      <c r="AN134" s="1" t="str">
        <f t="shared" si="78"/>
        <v xml:space="preserve"> </v>
      </c>
      <c r="AO134" s="1" t="str">
        <f t="shared" si="79"/>
        <v xml:space="preserve"> </v>
      </c>
      <c r="AP134" s="1" t="str">
        <f t="shared" si="80"/>
        <v xml:space="preserve"> </v>
      </c>
      <c r="AQ134" s="1" t="str">
        <f t="shared" si="81"/>
        <v xml:space="preserve"> </v>
      </c>
      <c r="AR134" s="1">
        <f t="shared" si="82"/>
        <v>11</v>
      </c>
      <c r="AS134" s="1" t="str">
        <f t="shared" si="83"/>
        <v xml:space="preserve"> </v>
      </c>
      <c r="AT134" s="1" t="str">
        <f t="shared" si="84"/>
        <v xml:space="preserve"> </v>
      </c>
      <c r="AU134" s="1" t="str">
        <f t="shared" si="85"/>
        <v xml:space="preserve"> </v>
      </c>
    </row>
    <row r="135" spans="1:47" ht="51" hidden="1">
      <c r="A135" s="127">
        <v>134</v>
      </c>
      <c r="B135" s="128">
        <v>45217</v>
      </c>
      <c r="C135" s="167">
        <v>0.4236111111111111</v>
      </c>
      <c r="D135" s="63" t="s">
        <v>1695</v>
      </c>
      <c r="E135" s="130" t="s">
        <v>1196</v>
      </c>
      <c r="F135" s="130" t="s">
        <v>1197</v>
      </c>
      <c r="G135" s="131">
        <v>42606284</v>
      </c>
      <c r="H135" s="130" t="s">
        <v>1199</v>
      </c>
      <c r="I135" s="132" t="s">
        <v>1198</v>
      </c>
      <c r="J135" s="133"/>
      <c r="K135" s="133"/>
      <c r="L135" s="133"/>
      <c r="M135" s="130" t="s">
        <v>1129</v>
      </c>
      <c r="N135" s="129"/>
      <c r="O135" s="129"/>
      <c r="P135" s="129"/>
      <c r="Q135" s="130" t="s">
        <v>135</v>
      </c>
      <c r="R135" s="128">
        <v>45223</v>
      </c>
      <c r="S135" s="167">
        <v>0.39583333333333331</v>
      </c>
      <c r="T135" s="150" t="s">
        <v>1235</v>
      </c>
      <c r="U135" s="191" t="s">
        <v>1246</v>
      </c>
      <c r="W135" s="23" t="str">
        <f t="shared" ca="1" si="86"/>
        <v>SI</v>
      </c>
      <c r="Y135" s="115" t="s">
        <v>991</v>
      </c>
      <c r="Z135" s="111" t="s">
        <v>1015</v>
      </c>
      <c r="AA135" s="111" t="str">
        <f>IF(Z135&lt;&gt;"",VLOOKUP($Z135,Resultados!$A$1:$B$49,2,FALSE),"")</f>
        <v>Recursos Denegados</v>
      </c>
      <c r="AB135" s="23" t="str">
        <f ca="1">IF(R135&gt;TODAY(),"FIJADA","OTRO")</f>
        <v>OTRO</v>
      </c>
      <c r="AC135" s="10">
        <f t="shared" si="88"/>
        <v>24</v>
      </c>
      <c r="AD135" s="10">
        <f t="shared" si="89"/>
        <v>10</v>
      </c>
      <c r="AE135" s="10">
        <f t="shared" si="90"/>
        <v>2023</v>
      </c>
      <c r="AF135" s="1">
        <f t="shared" si="70"/>
        <v>5</v>
      </c>
      <c r="AG135" s="1" t="str">
        <f t="shared" si="71"/>
        <v xml:space="preserve"> </v>
      </c>
      <c r="AH135" s="1" t="str">
        <f t="shared" si="72"/>
        <v xml:space="preserve"> </v>
      </c>
      <c r="AI135" s="1" t="str">
        <f t="shared" si="73"/>
        <v xml:space="preserve"> </v>
      </c>
      <c r="AJ135" s="1" t="str">
        <f t="shared" si="74"/>
        <v xml:space="preserve"> </v>
      </c>
      <c r="AK135" s="1" t="str">
        <f t="shared" si="75"/>
        <v xml:space="preserve"> </v>
      </c>
      <c r="AL135" s="1" t="str">
        <f t="shared" si="76"/>
        <v xml:space="preserve"> </v>
      </c>
      <c r="AM135" s="1" t="str">
        <f t="shared" si="77"/>
        <v xml:space="preserve"> </v>
      </c>
      <c r="AN135" s="1" t="str">
        <f t="shared" si="78"/>
        <v xml:space="preserve"> </v>
      </c>
      <c r="AO135" s="1" t="str">
        <f t="shared" si="79"/>
        <v xml:space="preserve"> </v>
      </c>
      <c r="AP135" s="1" t="str">
        <f t="shared" si="80"/>
        <v xml:space="preserve"> </v>
      </c>
      <c r="AQ135" s="1">
        <f t="shared" si="81"/>
        <v>5</v>
      </c>
      <c r="AR135" s="1" t="str">
        <f t="shared" si="82"/>
        <v xml:space="preserve"> </v>
      </c>
      <c r="AS135" s="1" t="str">
        <f t="shared" si="83"/>
        <v xml:space="preserve"> </v>
      </c>
      <c r="AT135" s="1" t="str">
        <f t="shared" si="84"/>
        <v xml:space="preserve"> </v>
      </c>
      <c r="AU135" s="1" t="str">
        <f t="shared" si="85"/>
        <v xml:space="preserve"> </v>
      </c>
    </row>
    <row r="136" spans="1:47" ht="51" hidden="1">
      <c r="A136" s="172">
        <v>135</v>
      </c>
      <c r="B136" s="173">
        <v>45176</v>
      </c>
      <c r="C136" s="174">
        <v>0.5</v>
      </c>
      <c r="D136" s="175" t="s">
        <v>107</v>
      </c>
      <c r="E136" s="156" t="s">
        <v>817</v>
      </c>
      <c r="F136" s="156" t="s">
        <v>818</v>
      </c>
      <c r="G136" s="176">
        <v>29892834</v>
      </c>
      <c r="H136" s="175"/>
      <c r="I136" s="177" t="s">
        <v>819</v>
      </c>
      <c r="J136" s="177" t="s">
        <v>820</v>
      </c>
      <c r="K136" s="178"/>
      <c r="L136" s="178"/>
      <c r="M136" s="156" t="s">
        <v>385</v>
      </c>
      <c r="N136" s="175"/>
      <c r="O136" s="175"/>
      <c r="P136" s="175"/>
      <c r="Q136" s="156" t="s">
        <v>598</v>
      </c>
      <c r="R136" s="173">
        <v>45188</v>
      </c>
      <c r="S136" s="208">
        <v>0.35416666666666669</v>
      </c>
      <c r="T136" s="171" t="s">
        <v>931</v>
      </c>
      <c r="U136" s="190"/>
      <c r="W136" s="23" t="str">
        <f t="shared" ca="1" si="86"/>
        <v>SI</v>
      </c>
      <c r="Y136" s="115" t="s">
        <v>991</v>
      </c>
      <c r="Z136" s="111" t="s">
        <v>1022</v>
      </c>
      <c r="AA136" s="111" t="str">
        <f>IF(Z136&lt;&gt;"",VLOOKUP($Z136,Resultados!$A$1:$B$49,2,FALSE),"")</f>
        <v>Recursos donde se hizo lugar</v>
      </c>
      <c r="AC136" s="10">
        <f t="shared" si="88"/>
        <v>19</v>
      </c>
      <c r="AD136" s="10">
        <f t="shared" si="89"/>
        <v>9</v>
      </c>
      <c r="AE136" s="10">
        <f t="shared" si="90"/>
        <v>2023</v>
      </c>
      <c r="AF136" s="1">
        <f t="shared" si="70"/>
        <v>9</v>
      </c>
      <c r="AG136" s="1" t="str">
        <f t="shared" si="71"/>
        <v xml:space="preserve"> </v>
      </c>
      <c r="AH136" s="1" t="str">
        <f t="shared" si="72"/>
        <v xml:space="preserve"> </v>
      </c>
      <c r="AI136" s="1" t="str">
        <f t="shared" si="73"/>
        <v xml:space="preserve"> </v>
      </c>
      <c r="AJ136" s="1" t="str">
        <f t="shared" si="74"/>
        <v xml:space="preserve"> </v>
      </c>
      <c r="AK136" s="1" t="str">
        <f t="shared" si="75"/>
        <v xml:space="preserve"> </v>
      </c>
      <c r="AL136" s="1" t="str">
        <f t="shared" si="76"/>
        <v xml:space="preserve"> </v>
      </c>
      <c r="AM136" s="1" t="str">
        <f t="shared" si="77"/>
        <v xml:space="preserve"> </v>
      </c>
      <c r="AN136" s="1" t="str">
        <f t="shared" si="78"/>
        <v xml:space="preserve"> </v>
      </c>
      <c r="AO136" s="1" t="str">
        <f t="shared" si="79"/>
        <v xml:space="preserve"> </v>
      </c>
      <c r="AP136" s="1">
        <f t="shared" si="80"/>
        <v>9</v>
      </c>
      <c r="AQ136" s="1" t="str">
        <f t="shared" si="81"/>
        <v xml:space="preserve"> </v>
      </c>
      <c r="AR136" s="1" t="str">
        <f t="shared" si="82"/>
        <v xml:space="preserve"> </v>
      </c>
      <c r="AS136" s="1" t="str">
        <f t="shared" si="83"/>
        <v xml:space="preserve"> </v>
      </c>
      <c r="AT136" s="1" t="str">
        <f t="shared" si="84"/>
        <v xml:space="preserve"> </v>
      </c>
      <c r="AU136" s="1" t="str">
        <f t="shared" si="85"/>
        <v xml:space="preserve"> </v>
      </c>
    </row>
    <row r="137" spans="1:47" ht="76.5" hidden="1">
      <c r="A137" s="172">
        <v>135</v>
      </c>
      <c r="B137" s="173">
        <v>45219</v>
      </c>
      <c r="C137" s="174">
        <v>0.40972222222222227</v>
      </c>
      <c r="D137" s="175" t="s">
        <v>241</v>
      </c>
      <c r="E137" s="156" t="s">
        <v>1202</v>
      </c>
      <c r="F137" s="156" t="s">
        <v>1203</v>
      </c>
      <c r="G137" s="156" t="s">
        <v>1204</v>
      </c>
      <c r="H137" s="156" t="s">
        <v>1210</v>
      </c>
      <c r="I137" s="177" t="s">
        <v>1205</v>
      </c>
      <c r="J137" s="177" t="s">
        <v>1206</v>
      </c>
      <c r="K137" s="203">
        <v>11374413</v>
      </c>
      <c r="L137" s="177" t="s">
        <v>1207</v>
      </c>
      <c r="M137" s="156" t="s">
        <v>1208</v>
      </c>
      <c r="N137" s="175"/>
      <c r="O137" s="175"/>
      <c r="P137" s="175"/>
      <c r="Q137" s="156" t="s">
        <v>1209</v>
      </c>
      <c r="R137" s="173">
        <v>45231</v>
      </c>
      <c r="S137" s="174">
        <v>0.375</v>
      </c>
      <c r="T137" s="171" t="s">
        <v>1264</v>
      </c>
      <c r="U137" s="190"/>
      <c r="W137" s="23" t="str">
        <f t="shared" ca="1" si="86"/>
        <v>SI</v>
      </c>
      <c r="Y137" s="115" t="s">
        <v>999</v>
      </c>
      <c r="Z137" s="111" t="s">
        <v>1011</v>
      </c>
      <c r="AA137" s="111" t="str">
        <f>IF(Z137&lt;&gt;"",VLOOKUP($Z137,Resultados!$A$1:$B$49,2,FALSE),"")</f>
        <v>Recursos Denegados</v>
      </c>
      <c r="AC137" s="10">
        <f t="shared" si="88"/>
        <v>1</v>
      </c>
      <c r="AD137" s="10">
        <f t="shared" si="89"/>
        <v>11</v>
      </c>
      <c r="AE137" s="10">
        <f t="shared" si="90"/>
        <v>2023</v>
      </c>
      <c r="AF137" s="1">
        <f t="shared" si="70"/>
        <v>9</v>
      </c>
      <c r="AG137" s="1" t="str">
        <f t="shared" si="71"/>
        <v xml:space="preserve"> </v>
      </c>
      <c r="AH137" s="1" t="str">
        <f t="shared" si="72"/>
        <v xml:space="preserve"> </v>
      </c>
      <c r="AI137" s="1" t="str">
        <f t="shared" si="73"/>
        <v xml:space="preserve"> </v>
      </c>
      <c r="AJ137" s="1" t="str">
        <f t="shared" si="74"/>
        <v xml:space="preserve"> </v>
      </c>
      <c r="AK137" s="1" t="str">
        <f t="shared" si="75"/>
        <v xml:space="preserve"> </v>
      </c>
      <c r="AL137" s="1" t="str">
        <f t="shared" si="76"/>
        <v xml:space="preserve"> </v>
      </c>
      <c r="AM137" s="1" t="str">
        <f t="shared" si="77"/>
        <v xml:space="preserve"> </v>
      </c>
      <c r="AN137" s="1" t="str">
        <f t="shared" si="78"/>
        <v xml:space="preserve"> </v>
      </c>
      <c r="AO137" s="1" t="str">
        <f t="shared" si="79"/>
        <v xml:space="preserve"> </v>
      </c>
      <c r="AP137" s="1" t="str">
        <f t="shared" si="80"/>
        <v xml:space="preserve"> </v>
      </c>
      <c r="AQ137" s="1" t="str">
        <f t="shared" si="81"/>
        <v xml:space="preserve"> </v>
      </c>
      <c r="AR137" s="1">
        <f t="shared" si="82"/>
        <v>9</v>
      </c>
      <c r="AS137" s="1" t="str">
        <f t="shared" si="83"/>
        <v xml:space="preserve"> </v>
      </c>
      <c r="AT137" s="1" t="str">
        <f t="shared" si="84"/>
        <v xml:space="preserve"> </v>
      </c>
      <c r="AU137" s="1" t="str">
        <f t="shared" si="85"/>
        <v xml:space="preserve"> </v>
      </c>
    </row>
    <row r="138" spans="1:47" ht="51" hidden="1">
      <c r="A138" s="127">
        <v>136</v>
      </c>
      <c r="B138" s="128">
        <v>45222</v>
      </c>
      <c r="C138" s="167">
        <v>0.375</v>
      </c>
      <c r="D138" s="129" t="s">
        <v>432</v>
      </c>
      <c r="E138" s="130" t="s">
        <v>1211</v>
      </c>
      <c r="F138" s="130" t="s">
        <v>1212</v>
      </c>
      <c r="G138" s="131">
        <v>45261023</v>
      </c>
      <c r="H138" s="130" t="s">
        <v>1213</v>
      </c>
      <c r="I138" s="132" t="s">
        <v>1214</v>
      </c>
      <c r="J138" s="132" t="s">
        <v>1215</v>
      </c>
      <c r="K138" s="151">
        <v>40156929</v>
      </c>
      <c r="L138" s="132" t="s">
        <v>1216</v>
      </c>
      <c r="M138" s="130" t="s">
        <v>1217</v>
      </c>
      <c r="N138" s="129"/>
      <c r="O138" s="129"/>
      <c r="P138" s="129"/>
      <c r="Q138" s="130" t="s">
        <v>135</v>
      </c>
      <c r="R138" s="128">
        <v>45232</v>
      </c>
      <c r="S138" s="167">
        <v>0.39583333333333331</v>
      </c>
      <c r="T138" s="150" t="s">
        <v>958</v>
      </c>
      <c r="U138" s="190"/>
      <c r="W138" s="23" t="str">
        <f t="shared" ca="1" si="86"/>
        <v>SI</v>
      </c>
      <c r="Y138" s="115" t="s">
        <v>991</v>
      </c>
      <c r="Z138" s="111" t="s">
        <v>1016</v>
      </c>
      <c r="AA138" s="111" t="str">
        <f>IF(Z138&lt;&gt;"",VLOOKUP($Z138,Resultados!$A$1:$B$49,2,FALSE),"")</f>
        <v>Recursos donde se hizo lugar</v>
      </c>
      <c r="AC138" s="10">
        <f t="shared" si="88"/>
        <v>2</v>
      </c>
      <c r="AD138" s="10">
        <f t="shared" si="89"/>
        <v>11</v>
      </c>
      <c r="AE138" s="10">
        <f t="shared" si="90"/>
        <v>2023</v>
      </c>
      <c r="AF138" s="1">
        <f t="shared" si="70"/>
        <v>9</v>
      </c>
      <c r="AG138" s="1" t="str">
        <f t="shared" si="71"/>
        <v xml:space="preserve"> </v>
      </c>
      <c r="AH138" s="1" t="str">
        <f t="shared" si="72"/>
        <v xml:space="preserve"> </v>
      </c>
      <c r="AI138" s="1" t="str">
        <f t="shared" si="73"/>
        <v xml:space="preserve"> </v>
      </c>
      <c r="AJ138" s="1" t="str">
        <f t="shared" si="74"/>
        <v xml:space="preserve"> </v>
      </c>
      <c r="AK138" s="1" t="str">
        <f t="shared" si="75"/>
        <v xml:space="preserve"> </v>
      </c>
      <c r="AL138" s="1" t="str">
        <f t="shared" si="76"/>
        <v xml:space="preserve"> </v>
      </c>
      <c r="AM138" s="1" t="str">
        <f t="shared" si="77"/>
        <v xml:space="preserve"> </v>
      </c>
      <c r="AN138" s="1" t="str">
        <f t="shared" si="78"/>
        <v xml:space="preserve"> </v>
      </c>
      <c r="AO138" s="1" t="str">
        <f t="shared" si="79"/>
        <v xml:space="preserve"> </v>
      </c>
      <c r="AP138" s="1" t="str">
        <f t="shared" si="80"/>
        <v xml:space="preserve"> </v>
      </c>
      <c r="AQ138" s="1" t="str">
        <f t="shared" si="81"/>
        <v xml:space="preserve"> </v>
      </c>
      <c r="AR138" s="1">
        <f t="shared" si="82"/>
        <v>9</v>
      </c>
      <c r="AS138" s="1" t="str">
        <f t="shared" si="83"/>
        <v xml:space="preserve"> </v>
      </c>
      <c r="AT138" s="1" t="str">
        <f t="shared" si="84"/>
        <v xml:space="preserve"> </v>
      </c>
      <c r="AU138" s="1" t="str">
        <f t="shared" si="85"/>
        <v xml:space="preserve"> </v>
      </c>
    </row>
    <row r="139" spans="1:47" ht="76.5" hidden="1">
      <c r="A139" s="127">
        <v>137</v>
      </c>
      <c r="B139" s="128">
        <v>45219</v>
      </c>
      <c r="C139" s="167">
        <v>0.41666666666666669</v>
      </c>
      <c r="D139" s="129" t="s">
        <v>106</v>
      </c>
      <c r="E139" s="130" t="s">
        <v>1218</v>
      </c>
      <c r="F139" s="130" t="s">
        <v>1219</v>
      </c>
      <c r="G139" s="131">
        <v>32045159</v>
      </c>
      <c r="H139" s="129"/>
      <c r="I139" s="132" t="s">
        <v>1220</v>
      </c>
      <c r="J139" s="132" t="s">
        <v>1221</v>
      </c>
      <c r="K139" s="151">
        <v>22554066</v>
      </c>
      <c r="L139" s="132" t="s">
        <v>1222</v>
      </c>
      <c r="M139" s="130" t="s">
        <v>1223</v>
      </c>
      <c r="N139" s="129"/>
      <c r="O139" s="129"/>
      <c r="P139" s="129"/>
      <c r="Q139" s="130" t="s">
        <v>131</v>
      </c>
      <c r="R139" s="128">
        <v>45229</v>
      </c>
      <c r="S139" s="167">
        <v>0.39583333333333331</v>
      </c>
      <c r="T139" s="150" t="s">
        <v>1254</v>
      </c>
      <c r="U139" s="190"/>
      <c r="W139" s="23" t="str">
        <f t="shared" ca="1" si="86"/>
        <v>SI</v>
      </c>
      <c r="Y139" s="115" t="s">
        <v>991</v>
      </c>
      <c r="Z139" s="111" t="s">
        <v>1015</v>
      </c>
      <c r="AA139" s="111" t="str">
        <f>IF(Z139&lt;&gt;"",VLOOKUP($Z139,Resultados!$A$1:$B$49,2,FALSE),"")</f>
        <v>Recursos Denegados</v>
      </c>
      <c r="AB139" s="23" t="str">
        <f t="shared" ref="AB139:AB140" ca="1" si="91">IF(R139&gt;TODAY(),"FIJADA","OTRO")</f>
        <v>OTRO</v>
      </c>
      <c r="AC139" s="10">
        <f t="shared" si="88"/>
        <v>30</v>
      </c>
      <c r="AD139" s="10">
        <f t="shared" si="89"/>
        <v>10</v>
      </c>
      <c r="AE139" s="10">
        <f t="shared" si="90"/>
        <v>2023</v>
      </c>
      <c r="AF139" s="1">
        <f t="shared" si="70"/>
        <v>7</v>
      </c>
      <c r="AG139" s="1" t="str">
        <f t="shared" si="71"/>
        <v xml:space="preserve"> </v>
      </c>
      <c r="AH139" s="1" t="str">
        <f t="shared" si="72"/>
        <v xml:space="preserve"> </v>
      </c>
      <c r="AI139" s="1" t="str">
        <f t="shared" si="73"/>
        <v xml:space="preserve"> </v>
      </c>
      <c r="AJ139" s="1" t="str">
        <f t="shared" si="74"/>
        <v xml:space="preserve"> </v>
      </c>
      <c r="AK139" s="1" t="str">
        <f t="shared" si="75"/>
        <v xml:space="preserve"> </v>
      </c>
      <c r="AL139" s="1" t="str">
        <f t="shared" si="76"/>
        <v xml:space="preserve"> </v>
      </c>
      <c r="AM139" s="1" t="str">
        <f t="shared" si="77"/>
        <v xml:space="preserve"> </v>
      </c>
      <c r="AN139" s="1" t="str">
        <f t="shared" si="78"/>
        <v xml:space="preserve"> </v>
      </c>
      <c r="AO139" s="1" t="str">
        <f t="shared" si="79"/>
        <v xml:space="preserve"> </v>
      </c>
      <c r="AP139" s="1" t="str">
        <f t="shared" si="80"/>
        <v xml:space="preserve"> </v>
      </c>
      <c r="AQ139" s="1">
        <f t="shared" si="81"/>
        <v>7</v>
      </c>
      <c r="AR139" s="1" t="str">
        <f t="shared" si="82"/>
        <v xml:space="preserve"> </v>
      </c>
      <c r="AS139" s="1" t="str">
        <f t="shared" si="83"/>
        <v xml:space="preserve"> </v>
      </c>
      <c r="AT139" s="1" t="str">
        <f t="shared" si="84"/>
        <v xml:space="preserve"> </v>
      </c>
      <c r="AU139" s="1" t="str">
        <f t="shared" si="85"/>
        <v xml:space="preserve"> </v>
      </c>
    </row>
    <row r="140" spans="1:47" ht="140.25" hidden="1">
      <c r="A140" s="172">
        <v>138</v>
      </c>
      <c r="B140" s="173">
        <v>45222</v>
      </c>
      <c r="C140" s="174">
        <v>0.47916666666666669</v>
      </c>
      <c r="D140" s="175" t="s">
        <v>104</v>
      </c>
      <c r="E140" s="156" t="s">
        <v>1224</v>
      </c>
      <c r="F140" s="156" t="s">
        <v>1225</v>
      </c>
      <c r="G140" s="156" t="s">
        <v>1226</v>
      </c>
      <c r="H140" s="175"/>
      <c r="I140" s="177" t="s">
        <v>1227</v>
      </c>
      <c r="J140" s="178"/>
      <c r="K140" s="178"/>
      <c r="L140" s="178"/>
      <c r="M140" s="156" t="s">
        <v>1228</v>
      </c>
      <c r="N140" s="175"/>
      <c r="O140" s="175"/>
      <c r="P140" s="175"/>
      <c r="Q140" s="156" t="s">
        <v>132</v>
      </c>
      <c r="R140" s="173">
        <v>45226</v>
      </c>
      <c r="S140" s="174">
        <v>0.41666666666666669</v>
      </c>
      <c r="T140" s="171" t="s">
        <v>1255</v>
      </c>
      <c r="U140" s="193"/>
      <c r="W140" s="23" t="str">
        <f t="shared" ca="1" si="86"/>
        <v>SI</v>
      </c>
      <c r="Y140" s="115" t="s">
        <v>991</v>
      </c>
      <c r="Z140" s="111" t="s">
        <v>1015</v>
      </c>
      <c r="AA140" s="111" t="str">
        <f>IF(Z140&lt;&gt;"",VLOOKUP($Z140,Resultados!$A$1:$B$49,2,FALSE),"")</f>
        <v>Recursos Denegados</v>
      </c>
      <c r="AB140" s="23" t="str">
        <f t="shared" ca="1" si="91"/>
        <v>OTRO</v>
      </c>
      <c r="AC140" s="10">
        <f t="shared" si="88"/>
        <v>27</v>
      </c>
      <c r="AD140" s="10">
        <f t="shared" si="89"/>
        <v>10</v>
      </c>
      <c r="AE140" s="10">
        <f t="shared" si="90"/>
        <v>2023</v>
      </c>
      <c r="AF140" s="1">
        <f t="shared" si="70"/>
        <v>5</v>
      </c>
      <c r="AG140" s="1" t="str">
        <f t="shared" si="71"/>
        <v xml:space="preserve"> </v>
      </c>
      <c r="AH140" s="1" t="str">
        <f t="shared" si="72"/>
        <v xml:space="preserve"> </v>
      </c>
      <c r="AI140" s="1" t="str">
        <f t="shared" si="73"/>
        <v xml:space="preserve"> </v>
      </c>
      <c r="AJ140" s="1" t="str">
        <f t="shared" si="74"/>
        <v xml:space="preserve"> </v>
      </c>
      <c r="AK140" s="1" t="str">
        <f t="shared" si="75"/>
        <v xml:space="preserve"> </v>
      </c>
      <c r="AL140" s="1" t="str">
        <f t="shared" si="76"/>
        <v xml:space="preserve"> </v>
      </c>
      <c r="AM140" s="1" t="str">
        <f t="shared" si="77"/>
        <v xml:space="preserve"> </v>
      </c>
      <c r="AN140" s="1" t="str">
        <f t="shared" si="78"/>
        <v xml:space="preserve"> </v>
      </c>
      <c r="AO140" s="1" t="str">
        <f t="shared" si="79"/>
        <v xml:space="preserve"> </v>
      </c>
      <c r="AP140" s="1" t="str">
        <f t="shared" si="80"/>
        <v xml:space="preserve"> </v>
      </c>
      <c r="AQ140" s="1">
        <f t="shared" si="81"/>
        <v>5</v>
      </c>
      <c r="AR140" s="1" t="str">
        <f t="shared" si="82"/>
        <v xml:space="preserve"> </v>
      </c>
      <c r="AS140" s="1" t="str">
        <f t="shared" si="83"/>
        <v xml:space="preserve"> </v>
      </c>
      <c r="AT140" s="1" t="str">
        <f t="shared" si="84"/>
        <v xml:space="preserve"> </v>
      </c>
      <c r="AU140" s="1" t="str">
        <f t="shared" si="85"/>
        <v xml:space="preserve"> </v>
      </c>
    </row>
    <row r="141" spans="1:47" ht="38.25" hidden="1">
      <c r="A141" s="127">
        <v>139</v>
      </c>
      <c r="B141" s="128">
        <v>45223</v>
      </c>
      <c r="C141" s="167">
        <v>0.53472222222222221</v>
      </c>
      <c r="D141" s="129" t="s">
        <v>229</v>
      </c>
      <c r="E141" s="130" t="s">
        <v>1229</v>
      </c>
      <c r="F141" s="130" t="s">
        <v>1230</v>
      </c>
      <c r="G141" s="131">
        <v>30638483</v>
      </c>
      <c r="H141" s="130" t="s">
        <v>1234</v>
      </c>
      <c r="I141" s="132" t="s">
        <v>894</v>
      </c>
      <c r="J141" s="132" t="s">
        <v>1231</v>
      </c>
      <c r="K141" s="151">
        <v>94051866</v>
      </c>
      <c r="L141" s="132" t="s">
        <v>1232</v>
      </c>
      <c r="M141" s="130" t="s">
        <v>1233</v>
      </c>
      <c r="N141" s="129"/>
      <c r="O141" s="129"/>
      <c r="P141" s="129"/>
      <c r="Q141" s="129" t="s">
        <v>135</v>
      </c>
      <c r="R141" s="128">
        <v>45237</v>
      </c>
      <c r="S141" s="167">
        <v>0.4375</v>
      </c>
      <c r="T141" s="150" t="s">
        <v>1327</v>
      </c>
      <c r="U141" s="193"/>
      <c r="W141" s="23" t="str">
        <f t="shared" ca="1" si="86"/>
        <v>SI</v>
      </c>
      <c r="Y141" s="115" t="s">
        <v>999</v>
      </c>
      <c r="Z141" s="111" t="s">
        <v>1011</v>
      </c>
      <c r="AA141" s="111" t="str">
        <f>IF(Z141&lt;&gt;"",VLOOKUP($Z141,Resultados!$A$1:$B$49,2,FALSE),"")</f>
        <v>Recursos Denegados</v>
      </c>
      <c r="AC141" s="10">
        <f t="shared" si="88"/>
        <v>7</v>
      </c>
      <c r="AD141" s="10">
        <f t="shared" si="89"/>
        <v>11</v>
      </c>
      <c r="AE141" s="10">
        <f t="shared" si="90"/>
        <v>2023</v>
      </c>
      <c r="AF141" s="1">
        <f t="shared" si="70"/>
        <v>11</v>
      </c>
      <c r="AG141" s="1" t="str">
        <f t="shared" si="71"/>
        <v xml:space="preserve"> </v>
      </c>
      <c r="AH141" s="1" t="str">
        <f t="shared" si="72"/>
        <v xml:space="preserve"> </v>
      </c>
      <c r="AI141" s="1" t="str">
        <f t="shared" si="73"/>
        <v xml:space="preserve"> </v>
      </c>
      <c r="AJ141" s="1" t="str">
        <f t="shared" si="74"/>
        <v xml:space="preserve"> </v>
      </c>
      <c r="AK141" s="1" t="str">
        <f t="shared" si="75"/>
        <v xml:space="preserve"> </v>
      </c>
      <c r="AL141" s="1" t="str">
        <f t="shared" si="76"/>
        <v xml:space="preserve"> </v>
      </c>
      <c r="AM141" s="1" t="str">
        <f t="shared" si="77"/>
        <v xml:space="preserve"> </v>
      </c>
      <c r="AN141" s="1" t="str">
        <f t="shared" si="78"/>
        <v xml:space="preserve"> </v>
      </c>
      <c r="AO141" s="1" t="str">
        <f t="shared" si="79"/>
        <v xml:space="preserve"> </v>
      </c>
      <c r="AP141" s="1" t="str">
        <f t="shared" si="80"/>
        <v xml:space="preserve"> </v>
      </c>
      <c r="AQ141" s="1" t="str">
        <f t="shared" si="81"/>
        <v xml:space="preserve"> </v>
      </c>
      <c r="AR141" s="1">
        <f t="shared" si="82"/>
        <v>11</v>
      </c>
      <c r="AS141" s="1" t="str">
        <f t="shared" si="83"/>
        <v xml:space="preserve"> </v>
      </c>
      <c r="AT141" s="1" t="str">
        <f t="shared" si="84"/>
        <v xml:space="preserve"> </v>
      </c>
      <c r="AU141" s="1" t="str">
        <f t="shared" si="85"/>
        <v xml:space="preserve"> </v>
      </c>
    </row>
    <row r="142" spans="1:47" ht="76.5" hidden="1">
      <c r="A142" s="127">
        <v>140</v>
      </c>
      <c r="B142" s="128">
        <v>45224</v>
      </c>
      <c r="C142" s="167">
        <v>0.39583333333333331</v>
      </c>
      <c r="D142" s="129" t="s">
        <v>226</v>
      </c>
      <c r="E142" s="130" t="s">
        <v>1238</v>
      </c>
      <c r="F142" s="130" t="s">
        <v>1239</v>
      </c>
      <c r="G142" s="131">
        <v>40150172</v>
      </c>
      <c r="H142" s="130" t="s">
        <v>1240</v>
      </c>
      <c r="I142" s="132" t="s">
        <v>1241</v>
      </c>
      <c r="J142" s="132" t="s">
        <v>1242</v>
      </c>
      <c r="K142" s="151">
        <v>34184752</v>
      </c>
      <c r="L142" s="132" t="s">
        <v>1244</v>
      </c>
      <c r="M142" s="130" t="s">
        <v>1243</v>
      </c>
      <c r="N142" s="129"/>
      <c r="O142" s="129"/>
      <c r="P142" s="129"/>
      <c r="Q142" s="130" t="s">
        <v>131</v>
      </c>
      <c r="R142" s="128">
        <v>45237</v>
      </c>
      <c r="S142" s="167">
        <v>0.35416666666666669</v>
      </c>
      <c r="T142" s="150" t="s">
        <v>1319</v>
      </c>
      <c r="U142" s="193" t="s">
        <v>1316</v>
      </c>
      <c r="W142" s="23" t="str">
        <f t="shared" ca="1" si="86"/>
        <v>SI</v>
      </c>
      <c r="Y142" s="153" t="s">
        <v>991</v>
      </c>
      <c r="Z142" s="154" t="s">
        <v>1016</v>
      </c>
      <c r="AA142" s="154" t="str">
        <f>IF(Z142&lt;&gt;"",VLOOKUP($Z142,Resultados!$A$1:$B$49,2,FALSE),"")</f>
        <v>Recursos donde se hizo lugar</v>
      </c>
      <c r="AC142" s="10">
        <f t="shared" si="88"/>
        <v>7</v>
      </c>
      <c r="AD142" s="10">
        <f t="shared" si="89"/>
        <v>11</v>
      </c>
      <c r="AE142" s="10">
        <f t="shared" si="90"/>
        <v>2023</v>
      </c>
      <c r="AF142" s="1">
        <f t="shared" si="70"/>
        <v>10</v>
      </c>
      <c r="AG142" s="1" t="str">
        <f t="shared" si="71"/>
        <v xml:space="preserve"> </v>
      </c>
      <c r="AH142" s="1" t="str">
        <f t="shared" si="72"/>
        <v xml:space="preserve"> </v>
      </c>
      <c r="AI142" s="1" t="str">
        <f t="shared" si="73"/>
        <v xml:space="preserve"> </v>
      </c>
      <c r="AJ142" s="1" t="str">
        <f t="shared" si="74"/>
        <v xml:space="preserve"> </v>
      </c>
      <c r="AK142" s="1" t="str">
        <f t="shared" si="75"/>
        <v xml:space="preserve"> </v>
      </c>
      <c r="AL142" s="1" t="str">
        <f t="shared" si="76"/>
        <v xml:space="preserve"> </v>
      </c>
      <c r="AM142" s="1" t="str">
        <f t="shared" si="77"/>
        <v xml:space="preserve"> </v>
      </c>
      <c r="AN142" s="1" t="str">
        <f t="shared" si="78"/>
        <v xml:space="preserve"> </v>
      </c>
      <c r="AO142" s="1" t="str">
        <f t="shared" si="79"/>
        <v xml:space="preserve"> </v>
      </c>
      <c r="AP142" s="1" t="str">
        <f t="shared" si="80"/>
        <v xml:space="preserve"> </v>
      </c>
      <c r="AQ142" s="1" t="str">
        <f t="shared" si="81"/>
        <v xml:space="preserve"> </v>
      </c>
      <c r="AR142" s="1">
        <f t="shared" si="82"/>
        <v>10</v>
      </c>
      <c r="AS142" s="1" t="str">
        <f t="shared" si="83"/>
        <v xml:space="preserve"> </v>
      </c>
      <c r="AT142" s="1" t="str">
        <f t="shared" si="84"/>
        <v xml:space="preserve"> </v>
      </c>
      <c r="AU142" s="1" t="str">
        <f t="shared" si="85"/>
        <v xml:space="preserve"> </v>
      </c>
    </row>
    <row r="143" spans="1:47" ht="39.950000000000003" hidden="1" customHeight="1">
      <c r="A143" s="127">
        <v>141</v>
      </c>
      <c r="B143" s="128">
        <v>45170</v>
      </c>
      <c r="C143" s="129"/>
      <c r="D143" s="129" t="s">
        <v>227</v>
      </c>
      <c r="E143" s="130" t="s">
        <v>1257</v>
      </c>
      <c r="F143" s="129"/>
      <c r="G143" s="129"/>
      <c r="H143" s="129"/>
      <c r="I143" s="133"/>
      <c r="J143" s="133"/>
      <c r="K143" s="133"/>
      <c r="L143" s="133"/>
      <c r="M143" s="129"/>
      <c r="N143" s="129"/>
      <c r="O143" s="129"/>
      <c r="P143" s="129"/>
      <c r="Q143" s="129"/>
      <c r="R143" s="128">
        <v>45173</v>
      </c>
      <c r="S143" s="167">
        <v>0.41666666666666669</v>
      </c>
      <c r="T143" s="150" t="s">
        <v>1370</v>
      </c>
      <c r="U143" s="192"/>
      <c r="V143" s="106"/>
      <c r="W143" s="23" t="str">
        <f t="shared" ca="1" si="86"/>
        <v>SI</v>
      </c>
      <c r="X143" s="156"/>
      <c r="Y143" s="107" t="s">
        <v>991</v>
      </c>
      <c r="Z143" s="197" t="s">
        <v>1037</v>
      </c>
      <c r="AA143" s="197" t="str">
        <f>IF(Z143&lt;&gt;"",VLOOKUP($Z143,Resultados!$A$1:$B$49,2,FALSE),"")</f>
        <v>Audiencias de Visu</v>
      </c>
      <c r="AC143" s="10">
        <f t="shared" si="88"/>
        <v>4</v>
      </c>
      <c r="AD143" s="10">
        <f t="shared" si="89"/>
        <v>9</v>
      </c>
      <c r="AE143" s="10">
        <f t="shared" si="90"/>
        <v>2023</v>
      </c>
      <c r="AF143" s="1">
        <f t="shared" si="70"/>
        <v>2</v>
      </c>
      <c r="AG143" s="1" t="str">
        <f t="shared" si="71"/>
        <v xml:space="preserve"> </v>
      </c>
      <c r="AH143" s="1" t="str">
        <f t="shared" si="72"/>
        <v xml:space="preserve"> </v>
      </c>
      <c r="AI143" s="1" t="str">
        <f t="shared" si="73"/>
        <v xml:space="preserve"> </v>
      </c>
      <c r="AJ143" s="1" t="str">
        <f t="shared" si="74"/>
        <v xml:space="preserve"> </v>
      </c>
      <c r="AK143" s="1" t="str">
        <f t="shared" si="75"/>
        <v xml:space="preserve"> </v>
      </c>
      <c r="AL143" s="1" t="str">
        <f t="shared" si="76"/>
        <v xml:space="preserve"> </v>
      </c>
      <c r="AM143" s="1" t="str">
        <f t="shared" si="77"/>
        <v xml:space="preserve"> </v>
      </c>
      <c r="AN143" s="1" t="str">
        <f t="shared" si="78"/>
        <v xml:space="preserve"> </v>
      </c>
      <c r="AO143" s="1" t="str">
        <f t="shared" si="79"/>
        <v xml:space="preserve"> </v>
      </c>
      <c r="AP143" s="1">
        <f t="shared" si="80"/>
        <v>2</v>
      </c>
      <c r="AQ143" s="1" t="str">
        <f t="shared" si="81"/>
        <v xml:space="preserve"> </v>
      </c>
      <c r="AR143" s="1" t="str">
        <f t="shared" si="82"/>
        <v xml:space="preserve"> </v>
      </c>
      <c r="AS143" s="1" t="str">
        <f t="shared" si="83"/>
        <v xml:space="preserve"> </v>
      </c>
      <c r="AT143" s="1" t="str">
        <f t="shared" si="84"/>
        <v xml:space="preserve"> </v>
      </c>
      <c r="AU143" s="1" t="str">
        <f t="shared" si="85"/>
        <v xml:space="preserve"> </v>
      </c>
    </row>
    <row r="144" spans="1:47" ht="39.950000000000003" hidden="1" customHeight="1">
      <c r="A144" s="127">
        <v>142</v>
      </c>
      <c r="B144" s="128">
        <v>45175</v>
      </c>
      <c r="C144" s="129"/>
      <c r="D144" s="129" t="s">
        <v>241</v>
      </c>
      <c r="E144" s="130" t="s">
        <v>1258</v>
      </c>
      <c r="F144" s="129"/>
      <c r="G144" s="129"/>
      <c r="H144" s="129"/>
      <c r="I144" s="133"/>
      <c r="J144" s="133"/>
      <c r="K144" s="133"/>
      <c r="L144" s="133"/>
      <c r="M144" s="129"/>
      <c r="N144" s="129"/>
      <c r="O144" s="129"/>
      <c r="P144" s="129"/>
      <c r="Q144" s="129"/>
      <c r="R144" s="128">
        <v>45177</v>
      </c>
      <c r="S144" s="167">
        <v>0.45833333333333331</v>
      </c>
      <c r="T144" s="150" t="s">
        <v>1370</v>
      </c>
      <c r="U144" s="192"/>
      <c r="V144" s="129"/>
      <c r="W144" s="23" t="str">
        <f t="shared" ca="1" si="86"/>
        <v>SI</v>
      </c>
      <c r="X144" s="130"/>
      <c r="Y144" s="130"/>
      <c r="Z144" s="197" t="s">
        <v>1037</v>
      </c>
      <c r="AA144" s="197" t="str">
        <f>IF(Z144&lt;&gt;"",VLOOKUP($Z144,Resultados!$A$1:$B$49,2,FALSE),"")</f>
        <v>Audiencias de Visu</v>
      </c>
      <c r="AC144" s="10">
        <f t="shared" si="88"/>
        <v>8</v>
      </c>
      <c r="AD144" s="10">
        <f t="shared" si="89"/>
        <v>9</v>
      </c>
      <c r="AE144" s="10">
        <f t="shared" si="90"/>
        <v>2023</v>
      </c>
      <c r="AF144" s="1">
        <f t="shared" si="70"/>
        <v>3</v>
      </c>
      <c r="AG144" s="1" t="str">
        <f t="shared" si="71"/>
        <v xml:space="preserve"> </v>
      </c>
      <c r="AH144" s="1" t="str">
        <f t="shared" si="72"/>
        <v xml:space="preserve"> </v>
      </c>
      <c r="AI144" s="1" t="str">
        <f t="shared" si="73"/>
        <v xml:space="preserve"> </v>
      </c>
      <c r="AJ144" s="1" t="str">
        <f t="shared" si="74"/>
        <v xml:space="preserve"> </v>
      </c>
      <c r="AK144" s="1" t="str">
        <f t="shared" si="75"/>
        <v xml:space="preserve"> </v>
      </c>
      <c r="AL144" s="1" t="str">
        <f t="shared" si="76"/>
        <v xml:space="preserve"> </v>
      </c>
      <c r="AM144" s="1" t="str">
        <f t="shared" si="77"/>
        <v xml:space="preserve"> </v>
      </c>
      <c r="AN144" s="1" t="str">
        <f t="shared" si="78"/>
        <v xml:space="preserve"> </v>
      </c>
      <c r="AO144" s="1" t="str">
        <f t="shared" si="79"/>
        <v xml:space="preserve"> </v>
      </c>
      <c r="AP144" s="1">
        <f t="shared" si="80"/>
        <v>3</v>
      </c>
      <c r="AQ144" s="1" t="str">
        <f t="shared" si="81"/>
        <v xml:space="preserve"> </v>
      </c>
      <c r="AR144" s="1" t="str">
        <f t="shared" si="82"/>
        <v xml:space="preserve"> </v>
      </c>
      <c r="AS144" s="1" t="str">
        <f t="shared" si="83"/>
        <v xml:space="preserve"> </v>
      </c>
      <c r="AT144" s="1" t="str">
        <f t="shared" si="84"/>
        <v xml:space="preserve"> </v>
      </c>
      <c r="AU144" s="1" t="str">
        <f t="shared" si="85"/>
        <v xml:space="preserve"> </v>
      </c>
    </row>
    <row r="145" spans="1:47" ht="39.950000000000003" hidden="1" customHeight="1">
      <c r="A145" s="127">
        <v>143</v>
      </c>
      <c r="B145" s="128">
        <v>45175</v>
      </c>
      <c r="C145" s="129"/>
      <c r="D145" s="129" t="s">
        <v>104</v>
      </c>
      <c r="E145" s="130" t="s">
        <v>1259</v>
      </c>
      <c r="F145" s="129"/>
      <c r="G145" s="129"/>
      <c r="H145" s="129"/>
      <c r="I145" s="133"/>
      <c r="J145" s="133"/>
      <c r="K145" s="133"/>
      <c r="L145" s="133"/>
      <c r="M145" s="129"/>
      <c r="N145" s="129"/>
      <c r="O145" s="129"/>
      <c r="P145" s="129"/>
      <c r="Q145" s="129"/>
      <c r="R145" s="128">
        <v>45177</v>
      </c>
      <c r="S145" s="167">
        <v>0.5</v>
      </c>
      <c r="T145" s="150" t="s">
        <v>1370</v>
      </c>
      <c r="U145" s="192"/>
      <c r="V145" s="129"/>
      <c r="W145" s="23" t="str">
        <f t="shared" ca="1" si="86"/>
        <v>SI</v>
      </c>
      <c r="X145" s="130"/>
      <c r="Y145" s="130"/>
      <c r="Z145" s="197" t="s">
        <v>1037</v>
      </c>
      <c r="AA145" s="197" t="str">
        <f>IF(Z145&lt;&gt;"",VLOOKUP($Z145,Resultados!$A$1:$B$49,2,FALSE),"")</f>
        <v>Audiencias de Visu</v>
      </c>
      <c r="AC145" s="10">
        <f t="shared" si="88"/>
        <v>8</v>
      </c>
      <c r="AD145" s="10">
        <f t="shared" si="89"/>
        <v>9</v>
      </c>
      <c r="AE145" s="10">
        <f t="shared" si="90"/>
        <v>2023</v>
      </c>
      <c r="AF145" s="1">
        <f t="shared" si="70"/>
        <v>3</v>
      </c>
      <c r="AG145" s="1" t="str">
        <f t="shared" si="71"/>
        <v xml:space="preserve"> </v>
      </c>
      <c r="AH145" s="1" t="str">
        <f t="shared" si="72"/>
        <v xml:space="preserve"> </v>
      </c>
      <c r="AI145" s="1" t="str">
        <f t="shared" si="73"/>
        <v xml:space="preserve"> </v>
      </c>
      <c r="AJ145" s="1" t="str">
        <f t="shared" si="74"/>
        <v xml:space="preserve"> </v>
      </c>
      <c r="AK145" s="1" t="str">
        <f t="shared" si="75"/>
        <v xml:space="preserve"> </v>
      </c>
      <c r="AL145" s="1" t="str">
        <f t="shared" si="76"/>
        <v xml:space="preserve"> </v>
      </c>
      <c r="AM145" s="1" t="str">
        <f t="shared" si="77"/>
        <v xml:space="preserve"> </v>
      </c>
      <c r="AN145" s="1" t="str">
        <f t="shared" si="78"/>
        <v xml:space="preserve"> </v>
      </c>
      <c r="AO145" s="1" t="str">
        <f t="shared" si="79"/>
        <v xml:space="preserve"> </v>
      </c>
      <c r="AP145" s="1">
        <f t="shared" si="80"/>
        <v>3</v>
      </c>
      <c r="AQ145" s="1" t="str">
        <f t="shared" si="81"/>
        <v xml:space="preserve"> </v>
      </c>
      <c r="AR145" s="1" t="str">
        <f t="shared" si="82"/>
        <v xml:space="preserve"> </v>
      </c>
      <c r="AS145" s="1" t="str">
        <f t="shared" si="83"/>
        <v xml:space="preserve"> </v>
      </c>
      <c r="AT145" s="1" t="str">
        <f t="shared" si="84"/>
        <v xml:space="preserve"> </v>
      </c>
      <c r="AU145" s="1" t="str">
        <f t="shared" si="85"/>
        <v xml:space="preserve"> </v>
      </c>
    </row>
    <row r="146" spans="1:47" ht="39.950000000000003" hidden="1" customHeight="1">
      <c r="A146" s="127">
        <v>144</v>
      </c>
      <c r="B146" s="128">
        <v>45194</v>
      </c>
      <c r="C146" s="129"/>
      <c r="D146" s="129" t="s">
        <v>229</v>
      </c>
      <c r="E146" s="130" t="s">
        <v>1260</v>
      </c>
      <c r="F146" s="129"/>
      <c r="G146" s="129"/>
      <c r="H146" s="129"/>
      <c r="I146" s="133"/>
      <c r="J146" s="133"/>
      <c r="K146" s="133"/>
      <c r="L146" s="133"/>
      <c r="M146" s="129"/>
      <c r="N146" s="129"/>
      <c r="O146" s="129"/>
      <c r="P146" s="129"/>
      <c r="Q146" s="129"/>
      <c r="R146" s="128">
        <v>45196</v>
      </c>
      <c r="S146" s="167">
        <v>0.45833333333333331</v>
      </c>
      <c r="T146" s="150" t="s">
        <v>1370</v>
      </c>
      <c r="U146" s="192"/>
      <c r="V146" s="129"/>
      <c r="W146" s="23" t="str">
        <f t="shared" ca="1" si="86"/>
        <v>SI</v>
      </c>
      <c r="X146" s="130"/>
      <c r="Y146" s="130"/>
      <c r="Z146" s="197" t="s">
        <v>1037</v>
      </c>
      <c r="AA146" s="197" t="str">
        <f>IF(Z146&lt;&gt;"",VLOOKUP($Z146,Resultados!$A$1:$B$49,2,FALSE),"")</f>
        <v>Audiencias de Visu</v>
      </c>
      <c r="AC146" s="10">
        <f t="shared" si="88"/>
        <v>27</v>
      </c>
      <c r="AD146" s="10">
        <f t="shared" si="89"/>
        <v>9</v>
      </c>
      <c r="AE146" s="10">
        <f t="shared" si="90"/>
        <v>2023</v>
      </c>
      <c r="AF146" s="1">
        <f t="shared" si="70"/>
        <v>3</v>
      </c>
      <c r="AG146" s="1" t="str">
        <f t="shared" si="71"/>
        <v xml:space="preserve"> </v>
      </c>
      <c r="AH146" s="1" t="str">
        <f t="shared" si="72"/>
        <v xml:space="preserve"> </v>
      </c>
      <c r="AI146" s="1" t="str">
        <f t="shared" si="73"/>
        <v xml:space="preserve"> </v>
      </c>
      <c r="AJ146" s="1" t="str">
        <f t="shared" si="74"/>
        <v xml:space="preserve"> </v>
      </c>
      <c r="AK146" s="1" t="str">
        <f t="shared" si="75"/>
        <v xml:space="preserve"> </v>
      </c>
      <c r="AL146" s="1" t="str">
        <f t="shared" si="76"/>
        <v xml:space="preserve"> </v>
      </c>
      <c r="AM146" s="1" t="str">
        <f t="shared" si="77"/>
        <v xml:space="preserve"> </v>
      </c>
      <c r="AN146" s="1" t="str">
        <f t="shared" si="78"/>
        <v xml:space="preserve"> </v>
      </c>
      <c r="AO146" s="1" t="str">
        <f t="shared" si="79"/>
        <v xml:space="preserve"> </v>
      </c>
      <c r="AP146" s="1">
        <f t="shared" si="80"/>
        <v>3</v>
      </c>
      <c r="AQ146" s="1" t="str">
        <f t="shared" si="81"/>
        <v xml:space="preserve"> </v>
      </c>
      <c r="AR146" s="1" t="str">
        <f t="shared" si="82"/>
        <v xml:space="preserve"> </v>
      </c>
      <c r="AS146" s="1" t="str">
        <f t="shared" si="83"/>
        <v xml:space="preserve"> </v>
      </c>
      <c r="AT146" s="1" t="str">
        <f t="shared" si="84"/>
        <v xml:space="preserve"> </v>
      </c>
      <c r="AU146" s="1" t="str">
        <f t="shared" si="85"/>
        <v xml:space="preserve"> </v>
      </c>
    </row>
    <row r="147" spans="1:47" ht="38.25" hidden="1">
      <c r="A147" s="127">
        <v>145</v>
      </c>
      <c r="B147" s="128">
        <v>45203</v>
      </c>
      <c r="C147" s="129"/>
      <c r="D147" s="129" t="s">
        <v>104</v>
      </c>
      <c r="E147" s="130" t="s">
        <v>1261</v>
      </c>
      <c r="F147" s="129"/>
      <c r="G147" s="129"/>
      <c r="H147" s="129"/>
      <c r="I147" s="133"/>
      <c r="J147" s="133"/>
      <c r="K147" s="133"/>
      <c r="L147" s="133"/>
      <c r="M147" s="129"/>
      <c r="N147" s="129"/>
      <c r="O147" s="129"/>
      <c r="P147" s="129"/>
      <c r="Q147" s="129"/>
      <c r="R147" s="128">
        <v>45205</v>
      </c>
      <c r="S147" s="167">
        <v>0.45833333333333331</v>
      </c>
      <c r="T147" s="150" t="s">
        <v>1370</v>
      </c>
      <c r="U147" s="192"/>
      <c r="V147" s="129"/>
      <c r="W147" s="23" t="str">
        <f t="shared" ca="1" si="86"/>
        <v>SI</v>
      </c>
      <c r="X147" s="130"/>
      <c r="Y147" s="130"/>
      <c r="Z147" s="197" t="s">
        <v>1037</v>
      </c>
      <c r="AA147" s="197" t="str">
        <f>IF(Z147&lt;&gt;"",VLOOKUP($Z147,Resultados!$A$1:$B$49,2,FALSE),"")</f>
        <v>Audiencias de Visu</v>
      </c>
      <c r="AC147" s="10">
        <f t="shared" si="88"/>
        <v>6</v>
      </c>
      <c r="AD147" s="10">
        <f t="shared" si="89"/>
        <v>10</v>
      </c>
      <c r="AE147" s="10">
        <f t="shared" si="90"/>
        <v>2023</v>
      </c>
      <c r="AF147" s="1">
        <f t="shared" si="70"/>
        <v>3</v>
      </c>
      <c r="AG147" s="1" t="str">
        <f t="shared" si="71"/>
        <v xml:space="preserve"> </v>
      </c>
      <c r="AH147" s="1" t="str">
        <f t="shared" si="72"/>
        <v xml:space="preserve"> </v>
      </c>
      <c r="AI147" s="1" t="str">
        <f t="shared" si="73"/>
        <v xml:space="preserve"> </v>
      </c>
      <c r="AJ147" s="1" t="str">
        <f t="shared" si="74"/>
        <v xml:space="preserve"> </v>
      </c>
      <c r="AK147" s="1" t="str">
        <f t="shared" si="75"/>
        <v xml:space="preserve"> </v>
      </c>
      <c r="AL147" s="1" t="str">
        <f t="shared" si="76"/>
        <v xml:space="preserve"> </v>
      </c>
      <c r="AM147" s="1" t="str">
        <f t="shared" si="77"/>
        <v xml:space="preserve"> </v>
      </c>
      <c r="AN147" s="1" t="str">
        <f t="shared" si="78"/>
        <v xml:space="preserve"> </v>
      </c>
      <c r="AO147" s="1" t="str">
        <f t="shared" si="79"/>
        <v xml:space="preserve"> </v>
      </c>
      <c r="AP147" s="1" t="str">
        <f t="shared" si="80"/>
        <v xml:space="preserve"> </v>
      </c>
      <c r="AQ147" s="1">
        <f t="shared" si="81"/>
        <v>3</v>
      </c>
      <c r="AR147" s="1" t="str">
        <f t="shared" si="82"/>
        <v xml:space="preserve"> </v>
      </c>
      <c r="AS147" s="1" t="str">
        <f t="shared" si="83"/>
        <v xml:space="preserve"> </v>
      </c>
      <c r="AT147" s="1" t="str">
        <f t="shared" si="84"/>
        <v xml:space="preserve"> </v>
      </c>
      <c r="AU147" s="1" t="str">
        <f t="shared" si="85"/>
        <v xml:space="preserve"> </v>
      </c>
    </row>
    <row r="148" spans="1:47" ht="63.75" hidden="1">
      <c r="A148" s="127">
        <v>146</v>
      </c>
      <c r="B148" s="128">
        <v>45231</v>
      </c>
      <c r="C148" s="167">
        <v>0.4375</v>
      </c>
      <c r="D148" s="129" t="s">
        <v>105</v>
      </c>
      <c r="E148" s="130" t="s">
        <v>1265</v>
      </c>
      <c r="F148" s="130" t="s">
        <v>1266</v>
      </c>
      <c r="G148" s="131">
        <v>34287480</v>
      </c>
      <c r="H148" s="130" t="s">
        <v>1267</v>
      </c>
      <c r="I148" s="132" t="s">
        <v>1268</v>
      </c>
      <c r="J148" s="132" t="s">
        <v>1269</v>
      </c>
      <c r="K148" s="132" t="s">
        <v>1270</v>
      </c>
      <c r="L148" s="132" t="s">
        <v>1271</v>
      </c>
      <c r="M148" s="130" t="s">
        <v>385</v>
      </c>
      <c r="N148" s="130" t="s">
        <v>1272</v>
      </c>
      <c r="O148" s="129"/>
      <c r="P148" s="129"/>
      <c r="Q148" s="130" t="s">
        <v>131</v>
      </c>
      <c r="R148" s="128">
        <v>45238</v>
      </c>
      <c r="S148" s="167">
        <v>0.39583333333333331</v>
      </c>
      <c r="T148" s="150" t="s">
        <v>1253</v>
      </c>
      <c r="U148" s="193" t="s">
        <v>1328</v>
      </c>
      <c r="V148" s="129"/>
      <c r="W148" s="23" t="str">
        <f t="shared" ca="1" si="86"/>
        <v>SI</v>
      </c>
      <c r="X148" s="130"/>
      <c r="Y148" s="130" t="s">
        <v>991</v>
      </c>
      <c r="Z148" s="197" t="s">
        <v>1015</v>
      </c>
      <c r="AA148" s="197" t="str">
        <f>IF(Z148&lt;&gt;"",VLOOKUP($Z148,Resultados!$A$1:$B$49,2,FALSE),"")</f>
        <v>Recursos Denegados</v>
      </c>
      <c r="AB148" s="23" t="str">
        <f ca="1">IF(R148&gt;TODAY(),"FIJADA","OTRO")</f>
        <v>OTRO</v>
      </c>
      <c r="AC148" s="10">
        <f t="shared" si="88"/>
        <v>8</v>
      </c>
      <c r="AD148" s="10">
        <f t="shared" si="89"/>
        <v>11</v>
      </c>
      <c r="AE148" s="10">
        <f t="shared" si="90"/>
        <v>2023</v>
      </c>
      <c r="AF148" s="1">
        <f t="shared" si="70"/>
        <v>6</v>
      </c>
      <c r="AG148" s="1" t="str">
        <f t="shared" si="71"/>
        <v xml:space="preserve"> </v>
      </c>
      <c r="AH148" s="1" t="str">
        <f t="shared" si="72"/>
        <v xml:space="preserve"> </v>
      </c>
      <c r="AI148" s="1" t="str">
        <f t="shared" si="73"/>
        <v xml:space="preserve"> </v>
      </c>
      <c r="AJ148" s="1" t="str">
        <f t="shared" si="74"/>
        <v xml:space="preserve"> </v>
      </c>
      <c r="AK148" s="1" t="str">
        <f t="shared" si="75"/>
        <v xml:space="preserve"> </v>
      </c>
      <c r="AL148" s="1" t="str">
        <f t="shared" si="76"/>
        <v xml:space="preserve"> </v>
      </c>
      <c r="AM148" s="1" t="str">
        <f t="shared" si="77"/>
        <v xml:space="preserve"> </v>
      </c>
      <c r="AN148" s="1" t="str">
        <f t="shared" si="78"/>
        <v xml:space="preserve"> </v>
      </c>
      <c r="AO148" s="1" t="str">
        <f t="shared" si="79"/>
        <v xml:space="preserve"> </v>
      </c>
      <c r="AP148" s="1" t="str">
        <f t="shared" si="80"/>
        <v xml:space="preserve"> </v>
      </c>
      <c r="AQ148" s="1" t="str">
        <f t="shared" si="81"/>
        <v xml:space="preserve"> </v>
      </c>
      <c r="AR148" s="1">
        <f t="shared" si="82"/>
        <v>6</v>
      </c>
      <c r="AS148" s="1" t="str">
        <f t="shared" si="83"/>
        <v xml:space="preserve"> </v>
      </c>
      <c r="AT148" s="1" t="str">
        <f t="shared" si="84"/>
        <v xml:space="preserve"> </v>
      </c>
      <c r="AU148" s="1" t="str">
        <f t="shared" si="85"/>
        <v xml:space="preserve"> </v>
      </c>
    </row>
    <row r="149" spans="1:47" ht="165.75" hidden="1">
      <c r="A149" s="127">
        <v>147</v>
      </c>
      <c r="B149" s="128">
        <v>45231</v>
      </c>
      <c r="C149" s="167">
        <v>0.4375</v>
      </c>
      <c r="D149" s="129" t="s">
        <v>241</v>
      </c>
      <c r="E149" s="130" t="s">
        <v>1273</v>
      </c>
      <c r="F149" s="130" t="s">
        <v>1274</v>
      </c>
      <c r="G149" s="131">
        <v>33186876</v>
      </c>
      <c r="H149" s="130" t="s">
        <v>1275</v>
      </c>
      <c r="I149" s="132" t="s">
        <v>1276</v>
      </c>
      <c r="J149" s="132" t="s">
        <v>1277</v>
      </c>
      <c r="K149" s="151">
        <v>35188079</v>
      </c>
      <c r="L149" s="132" t="s">
        <v>1278</v>
      </c>
      <c r="M149" s="130" t="s">
        <v>76</v>
      </c>
      <c r="N149" s="130" t="s">
        <v>1279</v>
      </c>
      <c r="O149" s="130" t="s">
        <v>1317</v>
      </c>
      <c r="P149" s="129"/>
      <c r="Q149" s="130" t="s">
        <v>135</v>
      </c>
      <c r="R149" s="128">
        <v>45245</v>
      </c>
      <c r="S149" s="167">
        <v>0.39583333333333331</v>
      </c>
      <c r="T149" s="150" t="s">
        <v>1365</v>
      </c>
      <c r="U149" s="193" t="s">
        <v>1340</v>
      </c>
      <c r="V149" s="129"/>
      <c r="W149" s="23" t="str">
        <f t="shared" ca="1" si="86"/>
        <v>SI</v>
      </c>
      <c r="X149" s="130"/>
      <c r="Y149" s="130" t="s">
        <v>991</v>
      </c>
      <c r="Z149" s="197" t="s">
        <v>1016</v>
      </c>
      <c r="AA149" s="197" t="str">
        <f>IF(Z149&lt;&gt;"",VLOOKUP($Z149,Resultados!$A$1:$B$49,2,FALSE),"")</f>
        <v>Recursos donde se hizo lugar</v>
      </c>
      <c r="AC149" s="10">
        <f t="shared" si="88"/>
        <v>15</v>
      </c>
      <c r="AD149" s="10">
        <f t="shared" si="89"/>
        <v>11</v>
      </c>
      <c r="AE149" s="10">
        <f t="shared" si="90"/>
        <v>2023</v>
      </c>
      <c r="AF149" s="1">
        <f t="shared" si="70"/>
        <v>11</v>
      </c>
      <c r="AG149" s="1" t="str">
        <f t="shared" si="71"/>
        <v xml:space="preserve"> </v>
      </c>
      <c r="AH149" s="1" t="str">
        <f t="shared" si="72"/>
        <v xml:space="preserve"> </v>
      </c>
      <c r="AI149" s="1" t="str">
        <f t="shared" si="73"/>
        <v xml:space="preserve"> </v>
      </c>
      <c r="AJ149" s="1" t="str">
        <f t="shared" si="74"/>
        <v xml:space="preserve"> </v>
      </c>
      <c r="AK149" s="1" t="str">
        <f t="shared" si="75"/>
        <v xml:space="preserve"> </v>
      </c>
      <c r="AL149" s="1" t="str">
        <f t="shared" si="76"/>
        <v xml:space="preserve"> </v>
      </c>
      <c r="AM149" s="1" t="str">
        <f t="shared" si="77"/>
        <v xml:space="preserve"> </v>
      </c>
      <c r="AN149" s="1" t="str">
        <f t="shared" si="78"/>
        <v xml:space="preserve"> </v>
      </c>
      <c r="AO149" s="1" t="str">
        <f t="shared" si="79"/>
        <v xml:space="preserve"> </v>
      </c>
      <c r="AP149" s="1" t="str">
        <f t="shared" si="80"/>
        <v xml:space="preserve"> </v>
      </c>
      <c r="AQ149" s="1" t="str">
        <f t="shared" si="81"/>
        <v xml:space="preserve"> </v>
      </c>
      <c r="AR149" s="1">
        <f t="shared" si="82"/>
        <v>11</v>
      </c>
      <c r="AS149" s="1" t="str">
        <f t="shared" si="83"/>
        <v xml:space="preserve"> </v>
      </c>
      <c r="AT149" s="1" t="str">
        <f t="shared" si="84"/>
        <v xml:space="preserve"> </v>
      </c>
      <c r="AU149" s="1" t="str">
        <f t="shared" si="85"/>
        <v xml:space="preserve"> </v>
      </c>
    </row>
    <row r="150" spans="1:47" ht="89.25" hidden="1">
      <c r="A150" s="127">
        <v>148</v>
      </c>
      <c r="B150" s="128">
        <v>45230</v>
      </c>
      <c r="C150" s="129"/>
      <c r="D150" s="129" t="s">
        <v>241</v>
      </c>
      <c r="E150" s="130" t="s">
        <v>1280</v>
      </c>
      <c r="F150" s="130" t="s">
        <v>1281</v>
      </c>
      <c r="G150" s="129"/>
      <c r="H150" s="129"/>
      <c r="I150" s="132" t="s">
        <v>1282</v>
      </c>
      <c r="J150" s="132" t="s">
        <v>1283</v>
      </c>
      <c r="K150" s="133"/>
      <c r="L150" s="133"/>
      <c r="M150" s="130" t="s">
        <v>461</v>
      </c>
      <c r="N150" s="129"/>
      <c r="O150" s="129"/>
      <c r="P150" s="129"/>
      <c r="Q150" s="130" t="s">
        <v>132</v>
      </c>
      <c r="R150" s="128">
        <v>45232</v>
      </c>
      <c r="S150" s="167">
        <v>0.41666666666666669</v>
      </c>
      <c r="T150" s="150" t="s">
        <v>1405</v>
      </c>
      <c r="U150" s="192"/>
      <c r="V150" s="129"/>
      <c r="W150" s="23" t="str">
        <f t="shared" ca="1" si="86"/>
        <v>SI</v>
      </c>
      <c r="X150" s="130"/>
      <c r="Y150" s="130" t="s">
        <v>999</v>
      </c>
      <c r="Z150" s="197" t="s">
        <v>1037</v>
      </c>
      <c r="AA150" s="197" t="str">
        <f>IF(Z150&lt;&gt;"",VLOOKUP($Z150,Resultados!$A$1:$B$49,2,FALSE),"")</f>
        <v>Audiencias de Visu</v>
      </c>
      <c r="AC150" s="10">
        <f t="shared" si="88"/>
        <v>2</v>
      </c>
      <c r="AD150" s="10">
        <f t="shared" si="89"/>
        <v>11</v>
      </c>
      <c r="AE150" s="10">
        <f t="shared" si="90"/>
        <v>2023</v>
      </c>
      <c r="AF150" s="1">
        <f t="shared" si="70"/>
        <v>3</v>
      </c>
      <c r="AG150" s="1" t="str">
        <f t="shared" si="71"/>
        <v xml:space="preserve"> </v>
      </c>
      <c r="AH150" s="1" t="str">
        <f t="shared" si="72"/>
        <v xml:space="preserve"> </v>
      </c>
      <c r="AI150" s="1" t="str">
        <f t="shared" si="73"/>
        <v xml:space="preserve"> </v>
      </c>
      <c r="AJ150" s="1" t="str">
        <f t="shared" si="74"/>
        <v xml:space="preserve"> </v>
      </c>
      <c r="AK150" s="1" t="str">
        <f t="shared" si="75"/>
        <v xml:space="preserve"> </v>
      </c>
      <c r="AL150" s="1" t="str">
        <f t="shared" si="76"/>
        <v xml:space="preserve"> </v>
      </c>
      <c r="AM150" s="1" t="str">
        <f t="shared" si="77"/>
        <v xml:space="preserve"> </v>
      </c>
      <c r="AN150" s="1" t="str">
        <f t="shared" si="78"/>
        <v xml:space="preserve"> </v>
      </c>
      <c r="AO150" s="1" t="str">
        <f t="shared" si="79"/>
        <v xml:space="preserve"> </v>
      </c>
      <c r="AP150" s="1" t="str">
        <f t="shared" si="80"/>
        <v xml:space="preserve"> </v>
      </c>
      <c r="AQ150" s="1" t="str">
        <f t="shared" si="81"/>
        <v xml:space="preserve"> </v>
      </c>
      <c r="AR150" s="1">
        <f t="shared" si="82"/>
        <v>3</v>
      </c>
      <c r="AS150" s="1" t="str">
        <f t="shared" si="83"/>
        <v xml:space="preserve"> </v>
      </c>
      <c r="AT150" s="1" t="str">
        <f t="shared" si="84"/>
        <v xml:space="preserve"> </v>
      </c>
      <c r="AU150" s="1" t="str">
        <f t="shared" si="85"/>
        <v xml:space="preserve"> </v>
      </c>
    </row>
    <row r="151" spans="1:47" ht="178.5" hidden="1">
      <c r="A151" s="127">
        <v>149</v>
      </c>
      <c r="B151" s="128">
        <v>45232</v>
      </c>
      <c r="C151" s="129"/>
      <c r="D151" s="129" t="s">
        <v>226</v>
      </c>
      <c r="E151" s="130" t="s">
        <v>1284</v>
      </c>
      <c r="F151" s="130" t="s">
        <v>1285</v>
      </c>
      <c r="G151" s="129"/>
      <c r="H151" s="129"/>
      <c r="I151" s="132" t="s">
        <v>1286</v>
      </c>
      <c r="J151" s="132" t="s">
        <v>1287</v>
      </c>
      <c r="K151" s="133"/>
      <c r="L151" s="133"/>
      <c r="M151" s="130" t="s">
        <v>1288</v>
      </c>
      <c r="N151" s="129"/>
      <c r="O151" s="129"/>
      <c r="P151" s="129"/>
      <c r="Q151" s="130" t="s">
        <v>132</v>
      </c>
      <c r="R151" s="128">
        <v>45237</v>
      </c>
      <c r="S151" s="167">
        <v>0.47916666666666669</v>
      </c>
      <c r="T151" s="128"/>
      <c r="U151" s="192"/>
      <c r="V151" s="129"/>
      <c r="W151" s="23" t="str">
        <f t="shared" ca="1" si="86"/>
        <v>SI</v>
      </c>
      <c r="X151" s="130"/>
      <c r="Y151" s="130" t="s">
        <v>991</v>
      </c>
      <c r="Z151" s="197" t="s">
        <v>1037</v>
      </c>
      <c r="AA151" s="197" t="str">
        <f>IF(Z151&lt;&gt;"",VLOOKUP($Z151,Resultados!$A$1:$B$49,2,FALSE),"")</f>
        <v>Audiencias de Visu</v>
      </c>
      <c r="AC151" s="10">
        <f t="shared" si="88"/>
        <v>7</v>
      </c>
      <c r="AD151" s="10">
        <f t="shared" si="89"/>
        <v>11</v>
      </c>
      <c r="AE151" s="10">
        <f t="shared" si="90"/>
        <v>2023</v>
      </c>
      <c r="AF151" s="1">
        <f t="shared" si="70"/>
        <v>4</v>
      </c>
      <c r="AG151" s="1" t="str">
        <f t="shared" si="71"/>
        <v xml:space="preserve"> </v>
      </c>
      <c r="AH151" s="1" t="str">
        <f t="shared" si="72"/>
        <v xml:space="preserve"> </v>
      </c>
      <c r="AI151" s="1" t="str">
        <f t="shared" si="73"/>
        <v xml:space="preserve"> </v>
      </c>
      <c r="AJ151" s="1" t="str">
        <f t="shared" si="74"/>
        <v xml:space="preserve"> </v>
      </c>
      <c r="AK151" s="1" t="str">
        <f t="shared" si="75"/>
        <v xml:space="preserve"> </v>
      </c>
      <c r="AL151" s="1" t="str">
        <f t="shared" si="76"/>
        <v xml:space="preserve"> </v>
      </c>
      <c r="AM151" s="1" t="str">
        <f t="shared" si="77"/>
        <v xml:space="preserve"> </v>
      </c>
      <c r="AN151" s="1" t="str">
        <f t="shared" si="78"/>
        <v xml:space="preserve"> </v>
      </c>
      <c r="AO151" s="1" t="str">
        <f t="shared" si="79"/>
        <v xml:space="preserve"> </v>
      </c>
      <c r="AP151" s="1" t="str">
        <f t="shared" si="80"/>
        <v xml:space="preserve"> </v>
      </c>
      <c r="AQ151" s="1" t="str">
        <f t="shared" si="81"/>
        <v xml:space="preserve"> </v>
      </c>
      <c r="AR151" s="1">
        <f t="shared" si="82"/>
        <v>4</v>
      </c>
      <c r="AS151" s="1" t="str">
        <f t="shared" si="83"/>
        <v xml:space="preserve"> </v>
      </c>
      <c r="AT151" s="1" t="str">
        <f t="shared" si="84"/>
        <v xml:space="preserve"> </v>
      </c>
      <c r="AU151" s="1" t="str">
        <f t="shared" si="85"/>
        <v xml:space="preserve"> </v>
      </c>
    </row>
    <row r="152" spans="1:47" ht="39.950000000000003" hidden="1" customHeight="1">
      <c r="A152" s="127">
        <v>150</v>
      </c>
      <c r="B152" s="128">
        <v>45232</v>
      </c>
      <c r="C152" s="167">
        <v>0.39583333333333331</v>
      </c>
      <c r="D152" s="129" t="s">
        <v>105</v>
      </c>
      <c r="E152" s="130" t="s">
        <v>1289</v>
      </c>
      <c r="F152" s="130" t="s">
        <v>1290</v>
      </c>
      <c r="G152" s="131">
        <v>38506460</v>
      </c>
      <c r="H152" s="130" t="s">
        <v>1291</v>
      </c>
      <c r="I152" s="132" t="s">
        <v>1292</v>
      </c>
      <c r="J152" s="133"/>
      <c r="K152" s="133"/>
      <c r="L152" s="133"/>
      <c r="M152" s="130" t="s">
        <v>810</v>
      </c>
      <c r="N152" s="129"/>
      <c r="O152" s="130" t="s">
        <v>1293</v>
      </c>
      <c r="P152" s="129"/>
      <c r="Q152" s="130" t="s">
        <v>1294</v>
      </c>
      <c r="R152" s="128">
        <v>45239</v>
      </c>
      <c r="S152" s="167">
        <v>0.39583333333333331</v>
      </c>
      <c r="T152" s="128"/>
      <c r="U152" s="193" t="s">
        <v>1335</v>
      </c>
      <c r="V152" s="129"/>
      <c r="W152" s="23" t="str">
        <f t="shared" ca="1" si="86"/>
        <v>SI</v>
      </c>
      <c r="X152" s="130"/>
      <c r="Y152" s="130" t="s">
        <v>991</v>
      </c>
      <c r="Z152" s="197" t="s">
        <v>1041</v>
      </c>
      <c r="AA152" s="197" t="str">
        <f>IF(Z152&lt;&gt;"",VLOOKUP($Z152,Resultados!$A$1:$B$49,2,FALSE),"")</f>
        <v xml:space="preserve">Otros </v>
      </c>
      <c r="AC152" s="10">
        <f t="shared" si="88"/>
        <v>9</v>
      </c>
      <c r="AD152" s="10">
        <f t="shared" si="89"/>
        <v>11</v>
      </c>
      <c r="AE152" s="10">
        <f t="shared" si="90"/>
        <v>2023</v>
      </c>
      <c r="AF152" s="1">
        <f t="shared" si="70"/>
        <v>6</v>
      </c>
      <c r="AG152" s="1" t="str">
        <f t="shared" si="71"/>
        <v xml:space="preserve"> </v>
      </c>
      <c r="AH152" s="1" t="str">
        <f t="shared" si="72"/>
        <v xml:space="preserve"> </v>
      </c>
      <c r="AI152" s="1" t="str">
        <f t="shared" si="73"/>
        <v xml:space="preserve"> </v>
      </c>
      <c r="AJ152" s="1" t="str">
        <f t="shared" si="74"/>
        <v xml:space="preserve"> </v>
      </c>
      <c r="AK152" s="1" t="str">
        <f t="shared" si="75"/>
        <v xml:space="preserve"> </v>
      </c>
      <c r="AL152" s="1" t="str">
        <f t="shared" si="76"/>
        <v xml:space="preserve"> </v>
      </c>
      <c r="AM152" s="1" t="str">
        <f t="shared" si="77"/>
        <v xml:space="preserve"> </v>
      </c>
      <c r="AN152" s="1" t="str">
        <f t="shared" si="78"/>
        <v xml:space="preserve"> </v>
      </c>
      <c r="AO152" s="1" t="str">
        <f t="shared" si="79"/>
        <v xml:space="preserve"> </v>
      </c>
      <c r="AP152" s="1" t="str">
        <f t="shared" si="80"/>
        <v xml:space="preserve"> </v>
      </c>
      <c r="AQ152" s="1" t="str">
        <f t="shared" si="81"/>
        <v xml:space="preserve"> </v>
      </c>
      <c r="AR152" s="1">
        <f t="shared" si="82"/>
        <v>6</v>
      </c>
      <c r="AS152" s="1" t="str">
        <f t="shared" si="83"/>
        <v xml:space="preserve"> </v>
      </c>
      <c r="AT152" s="1" t="str">
        <f t="shared" si="84"/>
        <v xml:space="preserve"> </v>
      </c>
      <c r="AU152" s="1" t="str">
        <f t="shared" si="85"/>
        <v xml:space="preserve"> </v>
      </c>
    </row>
    <row r="153" spans="1:47" ht="63.75" hidden="1">
      <c r="A153" s="127">
        <v>151</v>
      </c>
      <c r="B153" s="128">
        <v>45233</v>
      </c>
      <c r="C153" s="167">
        <v>0.375</v>
      </c>
      <c r="D153" s="129" t="s">
        <v>241</v>
      </c>
      <c r="E153" s="130" t="s">
        <v>1295</v>
      </c>
      <c r="F153" s="130" t="s">
        <v>1296</v>
      </c>
      <c r="G153" s="131">
        <v>28938229</v>
      </c>
      <c r="H153" s="130" t="s">
        <v>1297</v>
      </c>
      <c r="I153" s="132" t="s">
        <v>1298</v>
      </c>
      <c r="J153" s="132" t="s">
        <v>1299</v>
      </c>
      <c r="K153" s="151">
        <v>23101063</v>
      </c>
      <c r="L153" s="132" t="s">
        <v>1300</v>
      </c>
      <c r="M153" s="130" t="s">
        <v>461</v>
      </c>
      <c r="N153" s="130" t="s">
        <v>1301</v>
      </c>
      <c r="O153" s="129"/>
      <c r="P153" s="129"/>
      <c r="Q153" s="130" t="s">
        <v>135</v>
      </c>
      <c r="R153" s="128">
        <v>45244</v>
      </c>
      <c r="S153" s="167">
        <v>0.39583333333333331</v>
      </c>
      <c r="T153" s="150" t="s">
        <v>1359</v>
      </c>
      <c r="U153" s="193" t="s">
        <v>1318</v>
      </c>
      <c r="V153" s="129"/>
      <c r="W153" s="23" t="str">
        <f t="shared" ca="1" si="86"/>
        <v>SI</v>
      </c>
      <c r="X153" s="130"/>
      <c r="Y153" s="130" t="s">
        <v>991</v>
      </c>
      <c r="Z153" s="197" t="s">
        <v>1015</v>
      </c>
      <c r="AA153" s="197" t="str">
        <f>IF(Z153&lt;&gt;"",VLOOKUP($Z153,Resultados!$A$1:$B$49,2,FALSE),"")</f>
        <v>Recursos Denegados</v>
      </c>
      <c r="AB153" s="23" t="str">
        <f ca="1">IF(R153&gt;TODAY(),"FIJADA","OTRO")</f>
        <v>OTRO</v>
      </c>
      <c r="AC153" s="10">
        <f t="shared" si="88"/>
        <v>14</v>
      </c>
      <c r="AD153" s="10">
        <f t="shared" si="89"/>
        <v>11</v>
      </c>
      <c r="AE153" s="10">
        <f t="shared" si="90"/>
        <v>2023</v>
      </c>
      <c r="AF153" s="1">
        <f t="shared" si="70"/>
        <v>8</v>
      </c>
      <c r="AG153" s="1" t="str">
        <f t="shared" si="71"/>
        <v xml:space="preserve"> </v>
      </c>
      <c r="AH153" s="1" t="str">
        <f t="shared" si="72"/>
        <v xml:space="preserve"> </v>
      </c>
      <c r="AI153" s="1" t="str">
        <f t="shared" si="73"/>
        <v xml:space="preserve"> </v>
      </c>
      <c r="AJ153" s="1" t="str">
        <f t="shared" si="74"/>
        <v xml:space="preserve"> </v>
      </c>
      <c r="AK153" s="1" t="str">
        <f t="shared" si="75"/>
        <v xml:space="preserve"> </v>
      </c>
      <c r="AL153" s="1" t="str">
        <f t="shared" si="76"/>
        <v xml:space="preserve"> </v>
      </c>
      <c r="AM153" s="1" t="str">
        <f t="shared" si="77"/>
        <v xml:space="preserve"> </v>
      </c>
      <c r="AN153" s="1" t="str">
        <f t="shared" si="78"/>
        <v xml:space="preserve"> </v>
      </c>
      <c r="AO153" s="1" t="str">
        <f t="shared" si="79"/>
        <v xml:space="preserve"> </v>
      </c>
      <c r="AP153" s="1" t="str">
        <f t="shared" si="80"/>
        <v xml:space="preserve"> </v>
      </c>
      <c r="AQ153" s="1" t="str">
        <f t="shared" si="81"/>
        <v xml:space="preserve"> </v>
      </c>
      <c r="AR153" s="1">
        <f t="shared" si="82"/>
        <v>8</v>
      </c>
      <c r="AS153" s="1" t="str">
        <f t="shared" si="83"/>
        <v xml:space="preserve"> </v>
      </c>
      <c r="AT153" s="1" t="str">
        <f t="shared" si="84"/>
        <v xml:space="preserve"> </v>
      </c>
      <c r="AU153" s="1" t="str">
        <f t="shared" si="85"/>
        <v xml:space="preserve"> </v>
      </c>
    </row>
    <row r="154" spans="1:47" ht="63.75" hidden="1">
      <c r="A154" s="127">
        <v>152</v>
      </c>
      <c r="B154" s="128">
        <v>45236</v>
      </c>
      <c r="C154" s="129"/>
      <c r="D154" s="130" t="s">
        <v>1302</v>
      </c>
      <c r="E154" s="130" t="s">
        <v>1303</v>
      </c>
      <c r="F154" s="130" t="s">
        <v>1304</v>
      </c>
      <c r="G154" s="129"/>
      <c r="H154" s="129"/>
      <c r="I154" s="132" t="s">
        <v>1305</v>
      </c>
      <c r="J154" s="132" t="s">
        <v>1306</v>
      </c>
      <c r="K154" s="133"/>
      <c r="L154" s="133"/>
      <c r="M154" s="130" t="s">
        <v>461</v>
      </c>
      <c r="N154" s="130" t="s">
        <v>1307</v>
      </c>
      <c r="O154" s="129"/>
      <c r="P154" s="129"/>
      <c r="Q154" s="130" t="s">
        <v>131</v>
      </c>
      <c r="R154" s="128">
        <v>45236</v>
      </c>
      <c r="S154" s="167">
        <v>0.4375</v>
      </c>
      <c r="T154" s="150" t="s">
        <v>1405</v>
      </c>
      <c r="U154" s="192"/>
      <c r="V154" s="129"/>
      <c r="W154" s="23" t="str">
        <f t="shared" ca="1" si="86"/>
        <v>SI</v>
      </c>
      <c r="X154" s="130"/>
      <c r="Y154" s="130" t="s">
        <v>991</v>
      </c>
      <c r="Z154" s="197" t="s">
        <v>1037</v>
      </c>
      <c r="AA154" s="197" t="str">
        <f>IF(Z154&lt;&gt;"",VLOOKUP($Z154,Resultados!$A$1:$B$49,2,FALSE),"")</f>
        <v>Audiencias de Visu</v>
      </c>
      <c r="AC154" s="10">
        <f t="shared" si="88"/>
        <v>6</v>
      </c>
      <c r="AD154" s="10">
        <f t="shared" si="89"/>
        <v>11</v>
      </c>
      <c r="AE154" s="10">
        <f t="shared" si="90"/>
        <v>2023</v>
      </c>
      <c r="AF154" s="1">
        <f t="shared" si="70"/>
        <v>1</v>
      </c>
      <c r="AG154" s="1" t="str">
        <f t="shared" si="71"/>
        <v xml:space="preserve"> </v>
      </c>
      <c r="AH154" s="1" t="str">
        <f t="shared" si="72"/>
        <v xml:space="preserve"> </v>
      </c>
      <c r="AI154" s="1" t="str">
        <f t="shared" si="73"/>
        <v xml:space="preserve"> </v>
      </c>
      <c r="AJ154" s="1" t="str">
        <f t="shared" si="74"/>
        <v xml:space="preserve"> </v>
      </c>
      <c r="AK154" s="1" t="str">
        <f t="shared" si="75"/>
        <v xml:space="preserve"> </v>
      </c>
      <c r="AL154" s="1" t="str">
        <f t="shared" si="76"/>
        <v xml:space="preserve"> </v>
      </c>
      <c r="AM154" s="1" t="str">
        <f t="shared" si="77"/>
        <v xml:space="preserve"> </v>
      </c>
      <c r="AN154" s="1" t="str">
        <f t="shared" si="78"/>
        <v xml:space="preserve"> </v>
      </c>
      <c r="AO154" s="1" t="str">
        <f t="shared" si="79"/>
        <v xml:space="preserve"> </v>
      </c>
      <c r="AP154" s="1" t="str">
        <f t="shared" si="80"/>
        <v xml:space="preserve"> </v>
      </c>
      <c r="AQ154" s="1" t="str">
        <f t="shared" si="81"/>
        <v xml:space="preserve"> </v>
      </c>
      <c r="AR154" s="1">
        <f t="shared" si="82"/>
        <v>1</v>
      </c>
      <c r="AS154" s="1" t="str">
        <f t="shared" si="83"/>
        <v xml:space="preserve"> </v>
      </c>
      <c r="AT154" s="1" t="str">
        <f t="shared" si="84"/>
        <v xml:space="preserve"> </v>
      </c>
      <c r="AU154" s="1" t="str">
        <f t="shared" si="85"/>
        <v xml:space="preserve"> </v>
      </c>
    </row>
    <row r="155" spans="1:47" ht="102" hidden="1">
      <c r="A155" s="127">
        <v>153</v>
      </c>
      <c r="B155" s="128">
        <v>45236</v>
      </c>
      <c r="C155" s="167">
        <v>0.51041666666666663</v>
      </c>
      <c r="D155" s="130" t="s">
        <v>104</v>
      </c>
      <c r="E155" s="130" t="s">
        <v>1308</v>
      </c>
      <c r="F155" s="130" t="s">
        <v>1309</v>
      </c>
      <c r="G155" s="130" t="s">
        <v>1310</v>
      </c>
      <c r="H155" s="130" t="s">
        <v>1311</v>
      </c>
      <c r="I155" s="132" t="s">
        <v>1312</v>
      </c>
      <c r="J155" s="132" t="s">
        <v>1313</v>
      </c>
      <c r="K155" s="133"/>
      <c r="L155" s="133"/>
      <c r="M155" s="130" t="s">
        <v>1314</v>
      </c>
      <c r="N155" s="129"/>
      <c r="O155" s="129"/>
      <c r="P155" s="129"/>
      <c r="Q155" s="130" t="s">
        <v>777</v>
      </c>
      <c r="R155" s="128">
        <v>45245</v>
      </c>
      <c r="S155" s="167">
        <v>0.4375</v>
      </c>
      <c r="T155" s="150" t="s">
        <v>1248</v>
      </c>
      <c r="U155" s="193" t="s">
        <v>1315</v>
      </c>
      <c r="V155" s="129"/>
      <c r="W155" s="23" t="str">
        <f t="shared" ca="1" si="86"/>
        <v>SI</v>
      </c>
      <c r="X155" s="130"/>
      <c r="Y155" s="130" t="s">
        <v>991</v>
      </c>
      <c r="Z155" s="197" t="s">
        <v>1015</v>
      </c>
      <c r="AA155" s="197" t="str">
        <f>IF(Z155&lt;&gt;"",VLOOKUP($Z155,Resultados!$A$1:$B$49,2,FALSE),"")</f>
        <v>Recursos Denegados</v>
      </c>
      <c r="AB155" s="23" t="str">
        <f ca="1">IF(R155&gt;TODAY(),"FIJADA","OTRO")</f>
        <v>OTRO</v>
      </c>
      <c r="AC155" s="10">
        <f t="shared" si="88"/>
        <v>15</v>
      </c>
      <c r="AD155" s="10">
        <f t="shared" si="89"/>
        <v>11</v>
      </c>
      <c r="AE155" s="10">
        <f t="shared" si="90"/>
        <v>2023</v>
      </c>
      <c r="AF155" s="1">
        <f t="shared" si="70"/>
        <v>8</v>
      </c>
      <c r="AG155" s="1" t="str">
        <f t="shared" si="71"/>
        <v xml:space="preserve"> </v>
      </c>
      <c r="AH155" s="1" t="str">
        <f t="shared" si="72"/>
        <v xml:space="preserve"> </v>
      </c>
      <c r="AI155" s="1" t="str">
        <f t="shared" si="73"/>
        <v xml:space="preserve"> </v>
      </c>
      <c r="AJ155" s="1" t="str">
        <f t="shared" si="74"/>
        <v xml:space="preserve"> </v>
      </c>
      <c r="AK155" s="1" t="str">
        <f t="shared" si="75"/>
        <v xml:space="preserve"> </v>
      </c>
      <c r="AL155" s="1" t="str">
        <f t="shared" si="76"/>
        <v xml:space="preserve"> </v>
      </c>
      <c r="AM155" s="1" t="str">
        <f t="shared" si="77"/>
        <v xml:space="preserve"> </v>
      </c>
      <c r="AN155" s="1" t="str">
        <f t="shared" si="78"/>
        <v xml:space="preserve"> </v>
      </c>
      <c r="AO155" s="1" t="str">
        <f t="shared" si="79"/>
        <v xml:space="preserve"> </v>
      </c>
      <c r="AP155" s="1" t="str">
        <f t="shared" si="80"/>
        <v xml:space="preserve"> </v>
      </c>
      <c r="AQ155" s="1" t="str">
        <f t="shared" si="81"/>
        <v xml:space="preserve"> </v>
      </c>
      <c r="AR155" s="1">
        <f t="shared" si="82"/>
        <v>8</v>
      </c>
      <c r="AS155" s="1" t="str">
        <f t="shared" si="83"/>
        <v xml:space="preserve"> </v>
      </c>
      <c r="AT155" s="1" t="str">
        <f t="shared" si="84"/>
        <v xml:space="preserve"> </v>
      </c>
      <c r="AU155" s="1" t="str">
        <f t="shared" si="85"/>
        <v xml:space="preserve"> </v>
      </c>
    </row>
    <row r="156" spans="1:47" ht="38.25" hidden="1">
      <c r="A156" s="127">
        <v>154</v>
      </c>
      <c r="B156" s="128">
        <v>45238</v>
      </c>
      <c r="C156" s="167">
        <v>0.33333333333333331</v>
      </c>
      <c r="D156" s="130" t="s">
        <v>241</v>
      </c>
      <c r="E156" s="130" t="s">
        <v>1322</v>
      </c>
      <c r="F156" s="130" t="s">
        <v>1324</v>
      </c>
      <c r="G156" s="131">
        <v>33929745</v>
      </c>
      <c r="H156" s="130" t="s">
        <v>1325</v>
      </c>
      <c r="I156" s="132" t="s">
        <v>419</v>
      </c>
      <c r="J156" s="132" t="s">
        <v>1326</v>
      </c>
      <c r="K156" s="133"/>
      <c r="L156" s="133"/>
      <c r="M156" s="130" t="s">
        <v>1323</v>
      </c>
      <c r="N156" s="129"/>
      <c r="O156" s="129"/>
      <c r="P156" s="129"/>
      <c r="Q156" s="130" t="s">
        <v>131</v>
      </c>
      <c r="R156" s="128"/>
      <c r="S156" s="167"/>
      <c r="T156" s="150" t="s">
        <v>1372</v>
      </c>
      <c r="U156" s="192"/>
      <c r="V156" s="129"/>
      <c r="W156" s="23" t="str">
        <f t="shared" ca="1" si="86"/>
        <v>SI</v>
      </c>
      <c r="X156" s="130"/>
      <c r="Y156" s="130" t="s">
        <v>991</v>
      </c>
      <c r="Z156" s="197" t="s">
        <v>1039</v>
      </c>
      <c r="AA156" s="197" t="str">
        <f>IF(Z156&lt;&gt;"",VLOOKUP($Z156,Resultados!$A$1:$B$49,2,FALSE),"")</f>
        <v>Recursos Abstractos</v>
      </c>
      <c r="AC156" s="10">
        <f t="shared" si="88"/>
        <v>0</v>
      </c>
      <c r="AD156" s="10">
        <f t="shared" si="89"/>
        <v>1</v>
      </c>
      <c r="AE156" s="10">
        <f t="shared" si="90"/>
        <v>1900</v>
      </c>
      <c r="AF156" s="1" t="str">
        <f t="shared" si="70"/>
        <v xml:space="preserve"> </v>
      </c>
      <c r="AG156" s="1" t="str">
        <f t="shared" si="71"/>
        <v xml:space="preserve"> </v>
      </c>
      <c r="AH156" s="1" t="str">
        <f t="shared" si="72"/>
        <v xml:space="preserve"> </v>
      </c>
      <c r="AI156" s="1" t="str">
        <f t="shared" si="73"/>
        <v xml:space="preserve"> </v>
      </c>
      <c r="AJ156" s="1" t="str">
        <f t="shared" si="74"/>
        <v xml:space="preserve"> </v>
      </c>
      <c r="AK156" s="1" t="str">
        <f t="shared" si="75"/>
        <v xml:space="preserve"> </v>
      </c>
      <c r="AL156" s="1" t="str">
        <f t="shared" si="76"/>
        <v xml:space="preserve"> </v>
      </c>
      <c r="AM156" s="1" t="str">
        <f t="shared" si="77"/>
        <v xml:space="preserve"> </v>
      </c>
      <c r="AN156" s="1" t="str">
        <f t="shared" si="78"/>
        <v xml:space="preserve"> </v>
      </c>
      <c r="AO156" s="1" t="str">
        <f t="shared" si="79"/>
        <v xml:space="preserve"> </v>
      </c>
      <c r="AP156" s="1" t="str">
        <f t="shared" si="80"/>
        <v xml:space="preserve"> </v>
      </c>
      <c r="AQ156" s="1" t="str">
        <f t="shared" si="81"/>
        <v xml:space="preserve"> </v>
      </c>
      <c r="AR156" s="1" t="str">
        <f t="shared" si="82"/>
        <v xml:space="preserve"> </v>
      </c>
      <c r="AS156" s="1" t="str">
        <f t="shared" si="83"/>
        <v xml:space="preserve"> </v>
      </c>
      <c r="AT156" s="1" t="str">
        <f t="shared" si="84"/>
        <v xml:space="preserve"> </v>
      </c>
      <c r="AU156" s="1" t="str">
        <f t="shared" si="85"/>
        <v xml:space="preserve"> </v>
      </c>
    </row>
    <row r="157" spans="1:47" ht="76.5" hidden="1">
      <c r="A157" s="127">
        <v>155</v>
      </c>
      <c r="B157" s="128">
        <v>45239</v>
      </c>
      <c r="C157" s="167">
        <v>0.41666666666666669</v>
      </c>
      <c r="D157" s="63" t="s">
        <v>1695</v>
      </c>
      <c r="E157" s="130" t="s">
        <v>1329</v>
      </c>
      <c r="F157" s="130" t="s">
        <v>1330</v>
      </c>
      <c r="G157" s="131">
        <v>26713324</v>
      </c>
      <c r="H157" s="130" t="s">
        <v>1331</v>
      </c>
      <c r="I157" s="132" t="s">
        <v>1332</v>
      </c>
      <c r="J157" s="133"/>
      <c r="K157" s="133"/>
      <c r="L157" s="133"/>
      <c r="M157" s="130" t="s">
        <v>385</v>
      </c>
      <c r="N157" s="129" t="s">
        <v>1333</v>
      </c>
      <c r="O157" s="129"/>
      <c r="P157" s="129"/>
      <c r="Q157" s="130" t="s">
        <v>555</v>
      </c>
      <c r="R157" s="128">
        <v>45246</v>
      </c>
      <c r="S157" s="167">
        <v>0.39583333333333331</v>
      </c>
      <c r="T157" s="150" t="s">
        <v>1371</v>
      </c>
      <c r="U157" s="193" t="s">
        <v>1334</v>
      </c>
      <c r="V157" s="129"/>
      <c r="W157" s="23" t="str">
        <f t="shared" ca="1" si="86"/>
        <v>SI</v>
      </c>
      <c r="X157" s="130"/>
      <c r="Y157" s="130" t="s">
        <v>991</v>
      </c>
      <c r="Z157" s="197" t="s">
        <v>1015</v>
      </c>
      <c r="AA157" s="197" t="str">
        <f>IF(Z157&lt;&gt;"",VLOOKUP($Z157,Resultados!$A$1:$B$49,2,FALSE),"")</f>
        <v>Recursos Denegados</v>
      </c>
      <c r="AB157" s="23" t="str">
        <f ca="1">IF(R157&gt;TODAY(),"FIJADA","OTRO")</f>
        <v>OTRO</v>
      </c>
      <c r="AC157" s="10">
        <f t="shared" si="88"/>
        <v>16</v>
      </c>
      <c r="AD157" s="10">
        <f t="shared" si="89"/>
        <v>11</v>
      </c>
      <c r="AE157" s="10">
        <f t="shared" si="90"/>
        <v>2023</v>
      </c>
      <c r="AF157" s="1">
        <f t="shared" si="70"/>
        <v>6</v>
      </c>
      <c r="AG157" s="1" t="str">
        <f t="shared" si="71"/>
        <v xml:space="preserve"> </v>
      </c>
      <c r="AH157" s="1" t="str">
        <f t="shared" si="72"/>
        <v xml:space="preserve"> </v>
      </c>
      <c r="AI157" s="1" t="str">
        <f t="shared" si="73"/>
        <v xml:space="preserve"> </v>
      </c>
      <c r="AJ157" s="1" t="str">
        <f t="shared" si="74"/>
        <v xml:space="preserve"> </v>
      </c>
      <c r="AK157" s="1" t="str">
        <f t="shared" si="75"/>
        <v xml:space="preserve"> </v>
      </c>
      <c r="AL157" s="1" t="str">
        <f t="shared" si="76"/>
        <v xml:space="preserve"> </v>
      </c>
      <c r="AM157" s="1" t="str">
        <f t="shared" si="77"/>
        <v xml:space="preserve"> </v>
      </c>
      <c r="AN157" s="1" t="str">
        <f t="shared" si="78"/>
        <v xml:space="preserve"> </v>
      </c>
      <c r="AO157" s="1" t="str">
        <f t="shared" si="79"/>
        <v xml:space="preserve"> </v>
      </c>
      <c r="AP157" s="1" t="str">
        <f t="shared" si="80"/>
        <v xml:space="preserve"> </v>
      </c>
      <c r="AQ157" s="1" t="str">
        <f t="shared" si="81"/>
        <v xml:space="preserve"> </v>
      </c>
      <c r="AR157" s="1">
        <f t="shared" si="82"/>
        <v>6</v>
      </c>
      <c r="AS157" s="1" t="str">
        <f t="shared" si="83"/>
        <v xml:space="preserve"> </v>
      </c>
      <c r="AT157" s="1" t="str">
        <f t="shared" si="84"/>
        <v xml:space="preserve"> </v>
      </c>
      <c r="AU157" s="1" t="str">
        <f t="shared" si="85"/>
        <v xml:space="preserve"> </v>
      </c>
    </row>
    <row r="158" spans="1:47" ht="51" hidden="1">
      <c r="A158" s="127">
        <v>157</v>
      </c>
      <c r="B158" s="128">
        <v>45240</v>
      </c>
      <c r="C158" s="167">
        <v>0.45833333333333331</v>
      </c>
      <c r="D158" s="130" t="s">
        <v>103</v>
      </c>
      <c r="E158" s="130" t="s">
        <v>1341</v>
      </c>
      <c r="F158" s="130" t="s">
        <v>1342</v>
      </c>
      <c r="G158" s="130" t="s">
        <v>1343</v>
      </c>
      <c r="H158" s="130" t="s">
        <v>1344</v>
      </c>
      <c r="I158" s="132" t="s">
        <v>1345</v>
      </c>
      <c r="J158" s="132" t="s">
        <v>1346</v>
      </c>
      <c r="K158" s="133"/>
      <c r="L158" s="133"/>
      <c r="M158" s="130" t="s">
        <v>1347</v>
      </c>
      <c r="N158" s="129"/>
      <c r="O158" s="129"/>
      <c r="P158" s="129"/>
      <c r="Q158" s="130" t="s">
        <v>135</v>
      </c>
      <c r="R158" s="128">
        <v>45251</v>
      </c>
      <c r="S158" s="167">
        <v>0.39583333333333331</v>
      </c>
      <c r="T158" s="150" t="s">
        <v>958</v>
      </c>
      <c r="U158" s="193" t="s">
        <v>1348</v>
      </c>
      <c r="V158" s="129"/>
      <c r="W158" s="23" t="str">
        <f t="shared" ca="1" si="86"/>
        <v>SI</v>
      </c>
      <c r="X158" s="130"/>
      <c r="Y158" s="130" t="s">
        <v>991</v>
      </c>
      <c r="Z158" s="197" t="s">
        <v>1016</v>
      </c>
      <c r="AA158" s="197" t="str">
        <f>IF(Z158&lt;&gt;"",VLOOKUP($Z158,Resultados!$A$1:$B$49,2,FALSE),"")</f>
        <v>Recursos donde se hizo lugar</v>
      </c>
      <c r="AC158" s="10">
        <f t="shared" si="88"/>
        <v>21</v>
      </c>
      <c r="AD158" s="10">
        <f t="shared" si="89"/>
        <v>11</v>
      </c>
      <c r="AE158" s="10">
        <f t="shared" si="90"/>
        <v>2023</v>
      </c>
      <c r="AF158" s="1">
        <f t="shared" si="70"/>
        <v>8</v>
      </c>
      <c r="AG158" s="1" t="str">
        <f t="shared" si="71"/>
        <v xml:space="preserve"> </v>
      </c>
      <c r="AH158" s="1" t="str">
        <f t="shared" si="72"/>
        <v xml:space="preserve"> </v>
      </c>
      <c r="AI158" s="1" t="str">
        <f t="shared" si="73"/>
        <v xml:space="preserve"> </v>
      </c>
      <c r="AJ158" s="1" t="str">
        <f t="shared" si="74"/>
        <v xml:space="preserve"> </v>
      </c>
      <c r="AK158" s="1" t="str">
        <f t="shared" si="75"/>
        <v xml:space="preserve"> </v>
      </c>
      <c r="AL158" s="1" t="str">
        <f t="shared" si="76"/>
        <v xml:space="preserve"> </v>
      </c>
      <c r="AM158" s="1" t="str">
        <f t="shared" si="77"/>
        <v xml:space="preserve"> </v>
      </c>
      <c r="AN158" s="1" t="str">
        <f t="shared" si="78"/>
        <v xml:space="preserve"> </v>
      </c>
      <c r="AO158" s="1" t="str">
        <f t="shared" si="79"/>
        <v xml:space="preserve"> </v>
      </c>
      <c r="AP158" s="1" t="str">
        <f t="shared" si="80"/>
        <v xml:space="preserve"> </v>
      </c>
      <c r="AQ158" s="1" t="str">
        <f t="shared" si="81"/>
        <v xml:space="preserve"> </v>
      </c>
      <c r="AR158" s="1">
        <f t="shared" si="82"/>
        <v>8</v>
      </c>
      <c r="AS158" s="1" t="str">
        <f t="shared" si="83"/>
        <v xml:space="preserve"> </v>
      </c>
      <c r="AT158" s="1" t="str">
        <f t="shared" si="84"/>
        <v xml:space="preserve"> </v>
      </c>
      <c r="AU158" s="1" t="str">
        <f t="shared" si="85"/>
        <v xml:space="preserve"> </v>
      </c>
    </row>
    <row r="159" spans="1:47" ht="89.25" hidden="1">
      <c r="A159" s="127">
        <v>158</v>
      </c>
      <c r="B159" s="128">
        <v>45243</v>
      </c>
      <c r="C159" s="167">
        <v>0.39583333333333331</v>
      </c>
      <c r="D159" s="130" t="s">
        <v>226</v>
      </c>
      <c r="E159" s="130" t="s">
        <v>1349</v>
      </c>
      <c r="F159" s="130" t="s">
        <v>1350</v>
      </c>
      <c r="G159" s="131">
        <v>28886037</v>
      </c>
      <c r="H159" s="130" t="s">
        <v>1354</v>
      </c>
      <c r="I159" s="132" t="s">
        <v>1355</v>
      </c>
      <c r="J159" s="132" t="s">
        <v>1351</v>
      </c>
      <c r="K159" s="132" t="s">
        <v>1352</v>
      </c>
      <c r="L159" s="132" t="s">
        <v>1353</v>
      </c>
      <c r="M159" s="130" t="s">
        <v>1356</v>
      </c>
      <c r="N159" s="129"/>
      <c r="O159" s="129"/>
      <c r="P159" s="129"/>
      <c r="Q159" s="130" t="s">
        <v>131</v>
      </c>
      <c r="R159" s="128">
        <v>45252</v>
      </c>
      <c r="S159" s="167">
        <v>0.39583333333333331</v>
      </c>
      <c r="T159" s="150" t="s">
        <v>1389</v>
      </c>
      <c r="U159" s="193" t="s">
        <v>1357</v>
      </c>
      <c r="V159" s="129"/>
      <c r="W159" s="23" t="str">
        <f t="shared" ca="1" si="86"/>
        <v>SI</v>
      </c>
      <c r="X159" s="130"/>
      <c r="Y159" s="130" t="s">
        <v>999</v>
      </c>
      <c r="Z159" s="197" t="s">
        <v>1013</v>
      </c>
      <c r="AA159" s="197" t="str">
        <f>IF(Z159&lt;&gt;"",VLOOKUP($Z159,Resultados!$A$1:$B$49,2,FALSE),"")</f>
        <v>Recursos donde se hizo lugar</v>
      </c>
      <c r="AC159" s="10">
        <f t="shared" si="88"/>
        <v>22</v>
      </c>
      <c r="AD159" s="10">
        <f t="shared" si="89"/>
        <v>11</v>
      </c>
      <c r="AE159" s="10">
        <f t="shared" si="90"/>
        <v>2023</v>
      </c>
      <c r="AF159" s="1">
        <f t="shared" si="70"/>
        <v>8</v>
      </c>
      <c r="AG159" s="1" t="str">
        <f t="shared" si="71"/>
        <v xml:space="preserve"> </v>
      </c>
      <c r="AH159" s="1" t="str">
        <f t="shared" si="72"/>
        <v xml:space="preserve"> </v>
      </c>
      <c r="AI159" s="1" t="str">
        <f t="shared" si="73"/>
        <v xml:space="preserve"> </v>
      </c>
      <c r="AJ159" s="1" t="str">
        <f t="shared" si="74"/>
        <v xml:space="preserve"> </v>
      </c>
      <c r="AK159" s="1" t="str">
        <f t="shared" si="75"/>
        <v xml:space="preserve"> </v>
      </c>
      <c r="AL159" s="1" t="str">
        <f t="shared" si="76"/>
        <v xml:space="preserve"> </v>
      </c>
      <c r="AM159" s="1" t="str">
        <f t="shared" si="77"/>
        <v xml:space="preserve"> </v>
      </c>
      <c r="AN159" s="1" t="str">
        <f t="shared" si="78"/>
        <v xml:space="preserve"> </v>
      </c>
      <c r="AO159" s="1" t="str">
        <f t="shared" si="79"/>
        <v xml:space="preserve"> </v>
      </c>
      <c r="AP159" s="1" t="str">
        <f t="shared" si="80"/>
        <v xml:space="preserve"> </v>
      </c>
      <c r="AQ159" s="1" t="str">
        <f t="shared" si="81"/>
        <v xml:space="preserve"> </v>
      </c>
      <c r="AR159" s="1">
        <f t="shared" si="82"/>
        <v>8</v>
      </c>
      <c r="AS159" s="1" t="str">
        <f t="shared" si="83"/>
        <v xml:space="preserve"> </v>
      </c>
      <c r="AT159" s="1" t="str">
        <f t="shared" si="84"/>
        <v xml:space="preserve"> </v>
      </c>
      <c r="AU159" s="1" t="str">
        <f t="shared" si="85"/>
        <v xml:space="preserve"> </v>
      </c>
    </row>
    <row r="160" spans="1:47" ht="39.950000000000003" hidden="1" customHeight="1">
      <c r="A160" s="127">
        <v>159</v>
      </c>
      <c r="B160" s="128">
        <v>44939</v>
      </c>
      <c r="C160" s="167">
        <v>0.51388888888888895</v>
      </c>
      <c r="D160" s="130" t="s">
        <v>241</v>
      </c>
      <c r="E160" s="129" t="s">
        <v>1358</v>
      </c>
      <c r="F160" s="130" t="s">
        <v>1360</v>
      </c>
      <c r="G160" s="131">
        <v>23749907</v>
      </c>
      <c r="H160" s="130" t="s">
        <v>1361</v>
      </c>
      <c r="I160" s="132" t="s">
        <v>1362</v>
      </c>
      <c r="J160" s="132" t="s">
        <v>1363</v>
      </c>
      <c r="K160" s="133"/>
      <c r="L160" s="133"/>
      <c r="M160" s="130" t="s">
        <v>1364</v>
      </c>
      <c r="N160" s="129"/>
      <c r="O160" s="129"/>
      <c r="P160" s="129"/>
      <c r="Q160" s="130" t="s">
        <v>131</v>
      </c>
      <c r="R160" s="128">
        <v>45254</v>
      </c>
      <c r="S160" s="167">
        <v>0.39583333333333331</v>
      </c>
      <c r="T160" s="128"/>
      <c r="U160" s="193" t="s">
        <v>1380</v>
      </c>
      <c r="V160" s="129"/>
      <c r="W160" s="23" t="str">
        <f t="shared" ca="1" si="86"/>
        <v>SI</v>
      </c>
      <c r="X160" s="130"/>
      <c r="Y160" s="130" t="s">
        <v>991</v>
      </c>
      <c r="Z160" s="197" t="s">
        <v>1091</v>
      </c>
      <c r="AA160" s="197" t="str">
        <f>IF(Z160&lt;&gt;"",VLOOKUP($Z160,Resultados!$A$1:$B$49,2,FALSE),"")</f>
        <v>Audiencias Suspendidas</v>
      </c>
      <c r="AC160" s="10">
        <f t="shared" si="88"/>
        <v>24</v>
      </c>
      <c r="AD160" s="10">
        <f t="shared" si="89"/>
        <v>11</v>
      </c>
      <c r="AE160" s="10">
        <f t="shared" si="90"/>
        <v>2023</v>
      </c>
      <c r="AF160" s="1">
        <v>0</v>
      </c>
      <c r="AG160" s="1" t="str">
        <f t="shared" si="71"/>
        <v xml:space="preserve"> </v>
      </c>
      <c r="AH160" s="1" t="str">
        <f t="shared" si="72"/>
        <v xml:space="preserve"> </v>
      </c>
      <c r="AI160" s="1" t="str">
        <f t="shared" si="73"/>
        <v xml:space="preserve"> </v>
      </c>
      <c r="AJ160" s="1" t="str">
        <f t="shared" si="74"/>
        <v xml:space="preserve"> </v>
      </c>
      <c r="AK160" s="1" t="str">
        <f t="shared" si="75"/>
        <v xml:space="preserve"> </v>
      </c>
      <c r="AL160" s="1" t="str">
        <f t="shared" si="76"/>
        <v xml:space="preserve"> </v>
      </c>
      <c r="AM160" s="1" t="str">
        <f t="shared" si="77"/>
        <v xml:space="preserve"> </v>
      </c>
      <c r="AN160" s="1" t="str">
        <f t="shared" si="78"/>
        <v xml:space="preserve"> </v>
      </c>
      <c r="AO160" s="1" t="str">
        <f t="shared" si="79"/>
        <v xml:space="preserve"> </v>
      </c>
      <c r="AP160" s="1" t="str">
        <f t="shared" si="80"/>
        <v xml:space="preserve"> </v>
      </c>
      <c r="AQ160" s="1" t="str">
        <f t="shared" si="81"/>
        <v xml:space="preserve"> </v>
      </c>
      <c r="AR160" s="1">
        <f t="shared" si="82"/>
        <v>226</v>
      </c>
      <c r="AS160" s="1" t="str">
        <f t="shared" si="83"/>
        <v xml:space="preserve"> </v>
      </c>
      <c r="AT160" s="1" t="str">
        <f t="shared" si="84"/>
        <v xml:space="preserve"> </v>
      </c>
      <c r="AU160" s="1" t="str">
        <f t="shared" si="85"/>
        <v xml:space="preserve"> </v>
      </c>
    </row>
    <row r="161" spans="1:47" ht="89.25" hidden="1">
      <c r="A161" s="127">
        <v>160</v>
      </c>
      <c r="B161" s="128">
        <v>45251</v>
      </c>
      <c r="C161" s="167">
        <v>0.41666666666666669</v>
      </c>
      <c r="D161" s="130" t="s">
        <v>228</v>
      </c>
      <c r="E161" s="130" t="s">
        <v>1366</v>
      </c>
      <c r="F161" s="130" t="s">
        <v>766</v>
      </c>
      <c r="G161" s="129"/>
      <c r="H161" s="129"/>
      <c r="I161" s="132" t="s">
        <v>768</v>
      </c>
      <c r="J161" s="132" t="s">
        <v>1367</v>
      </c>
      <c r="K161" s="133"/>
      <c r="L161" s="133"/>
      <c r="M161" s="130" t="s">
        <v>1368</v>
      </c>
      <c r="N161" s="130" t="s">
        <v>1369</v>
      </c>
      <c r="O161" s="129"/>
      <c r="P161" s="129"/>
      <c r="Q161" s="130" t="s">
        <v>598</v>
      </c>
      <c r="R161" s="128">
        <v>45261</v>
      </c>
      <c r="S161" s="167">
        <v>0.39583333333333331</v>
      </c>
      <c r="T161" s="150" t="s">
        <v>1253</v>
      </c>
      <c r="U161" s="193" t="s">
        <v>1440</v>
      </c>
      <c r="V161" s="129"/>
      <c r="W161" s="23" t="str">
        <f t="shared" ca="1" si="86"/>
        <v>SI</v>
      </c>
      <c r="X161" s="130"/>
      <c r="Y161" s="130" t="s">
        <v>991</v>
      </c>
      <c r="Z161" s="197" t="s">
        <v>1015</v>
      </c>
      <c r="AA161" s="197" t="str">
        <f>IF(Z161&lt;&gt;"",VLOOKUP($Z161,Resultados!$A$1:$B$49,2,FALSE),"")</f>
        <v>Recursos Denegados</v>
      </c>
      <c r="AB161" s="23" t="str">
        <f ca="1">IF(R161&gt;TODAY(),"FIJADA","OTRO")</f>
        <v>OTRO</v>
      </c>
      <c r="AC161" s="10">
        <f t="shared" si="88"/>
        <v>1</v>
      </c>
      <c r="AD161" s="10">
        <f t="shared" si="89"/>
        <v>12</v>
      </c>
      <c r="AE161" s="10">
        <f t="shared" si="90"/>
        <v>2023</v>
      </c>
      <c r="AF161" s="1">
        <f t="shared" ref="AF161:AF192" si="92">IF(AND(NETWORKDAYS($B161,$R161)&gt;0,$AE161=2023),NETWORKDAYS($B161,$R161)," ")</f>
        <v>9</v>
      </c>
      <c r="AG161" s="1" t="str">
        <f t="shared" si="71"/>
        <v xml:space="preserve"> </v>
      </c>
      <c r="AH161" s="1" t="str">
        <f t="shared" si="72"/>
        <v xml:space="preserve"> </v>
      </c>
      <c r="AI161" s="1" t="str">
        <f t="shared" si="73"/>
        <v xml:space="preserve"> </v>
      </c>
      <c r="AJ161" s="1" t="str">
        <f t="shared" si="74"/>
        <v xml:space="preserve"> </v>
      </c>
      <c r="AK161" s="1" t="str">
        <f t="shared" si="75"/>
        <v xml:space="preserve"> </v>
      </c>
      <c r="AL161" s="1" t="str">
        <f t="shared" si="76"/>
        <v xml:space="preserve"> </v>
      </c>
      <c r="AM161" s="1" t="str">
        <f t="shared" si="77"/>
        <v xml:space="preserve"> </v>
      </c>
      <c r="AN161" s="1" t="str">
        <f t="shared" si="78"/>
        <v xml:space="preserve"> </v>
      </c>
      <c r="AO161" s="1" t="str">
        <f t="shared" si="79"/>
        <v xml:space="preserve"> </v>
      </c>
      <c r="AP161" s="1" t="str">
        <f t="shared" si="80"/>
        <v xml:space="preserve"> </v>
      </c>
      <c r="AQ161" s="1" t="str">
        <f t="shared" si="81"/>
        <v xml:space="preserve"> </v>
      </c>
      <c r="AR161" s="1" t="str">
        <f t="shared" si="82"/>
        <v xml:space="preserve"> </v>
      </c>
      <c r="AS161" s="1">
        <f t="shared" si="83"/>
        <v>9</v>
      </c>
      <c r="AT161" s="1" t="str">
        <f t="shared" si="84"/>
        <v xml:space="preserve"> </v>
      </c>
      <c r="AU161" s="1" t="str">
        <f t="shared" si="85"/>
        <v xml:space="preserve"> </v>
      </c>
    </row>
    <row r="162" spans="1:47" ht="51" hidden="1">
      <c r="A162" s="127">
        <v>161</v>
      </c>
      <c r="B162" s="128">
        <v>45252</v>
      </c>
      <c r="C162" s="167">
        <v>0.45833333333333331</v>
      </c>
      <c r="D162" s="130" t="s">
        <v>229</v>
      </c>
      <c r="E162" s="130" t="s">
        <v>1373</v>
      </c>
      <c r="F162" s="130" t="s">
        <v>1374</v>
      </c>
      <c r="G162" s="131">
        <v>37777016</v>
      </c>
      <c r="H162" s="130" t="s">
        <v>1375</v>
      </c>
      <c r="I162" s="132" t="s">
        <v>1376</v>
      </c>
      <c r="J162" s="132" t="s">
        <v>1377</v>
      </c>
      <c r="K162" s="133"/>
      <c r="L162" s="133"/>
      <c r="M162" s="130" t="s">
        <v>1378</v>
      </c>
      <c r="N162" s="129"/>
      <c r="O162" s="130" t="s">
        <v>1379</v>
      </c>
      <c r="P162" s="129"/>
      <c r="Q162" s="130" t="s">
        <v>571</v>
      </c>
      <c r="R162" s="128">
        <v>45257</v>
      </c>
      <c r="S162" s="167">
        <v>0.45833333333333331</v>
      </c>
      <c r="T162" s="150" t="s">
        <v>1370</v>
      </c>
      <c r="U162" s="192"/>
      <c r="V162" s="129"/>
      <c r="W162" s="23" t="str">
        <f t="shared" ca="1" si="86"/>
        <v>SI</v>
      </c>
      <c r="X162" s="130"/>
      <c r="Y162" s="130" t="s">
        <v>991</v>
      </c>
      <c r="Z162" s="197" t="s">
        <v>1037</v>
      </c>
      <c r="AA162" s="197" t="str">
        <f>IF(Z162&lt;&gt;"",VLOOKUP($Z162,Resultados!$A$1:$B$49,2,FALSE),"")</f>
        <v>Audiencias de Visu</v>
      </c>
      <c r="AC162" s="10">
        <f t="shared" si="88"/>
        <v>27</v>
      </c>
      <c r="AD162" s="10">
        <f t="shared" si="89"/>
        <v>11</v>
      </c>
      <c r="AE162" s="10">
        <f t="shared" si="90"/>
        <v>2023</v>
      </c>
      <c r="AF162" s="1">
        <f t="shared" si="92"/>
        <v>4</v>
      </c>
      <c r="AG162" s="1" t="str">
        <f t="shared" si="71"/>
        <v xml:space="preserve"> </v>
      </c>
      <c r="AH162" s="1" t="str">
        <f t="shared" si="72"/>
        <v xml:space="preserve"> </v>
      </c>
      <c r="AI162" s="1" t="str">
        <f t="shared" si="73"/>
        <v xml:space="preserve"> </v>
      </c>
      <c r="AJ162" s="1" t="str">
        <f t="shared" si="74"/>
        <v xml:space="preserve"> </v>
      </c>
      <c r="AK162" s="1" t="str">
        <f t="shared" si="75"/>
        <v xml:space="preserve"> </v>
      </c>
      <c r="AL162" s="1" t="str">
        <f t="shared" si="76"/>
        <v xml:space="preserve"> </v>
      </c>
      <c r="AM162" s="1" t="str">
        <f t="shared" si="77"/>
        <v xml:space="preserve"> </v>
      </c>
      <c r="AN162" s="1" t="str">
        <f t="shared" si="78"/>
        <v xml:space="preserve"> </v>
      </c>
      <c r="AO162" s="1" t="str">
        <f t="shared" si="79"/>
        <v xml:space="preserve"> </v>
      </c>
      <c r="AP162" s="1" t="str">
        <f t="shared" si="80"/>
        <v xml:space="preserve"> </v>
      </c>
      <c r="AQ162" s="1" t="str">
        <f t="shared" si="81"/>
        <v xml:space="preserve"> </v>
      </c>
      <c r="AR162" s="1">
        <f t="shared" si="82"/>
        <v>4</v>
      </c>
      <c r="AS162" s="1" t="str">
        <f t="shared" si="83"/>
        <v xml:space="preserve"> </v>
      </c>
      <c r="AT162" s="1" t="str">
        <f t="shared" si="84"/>
        <v xml:space="preserve"> </v>
      </c>
      <c r="AU162" s="1" t="str">
        <f t="shared" si="85"/>
        <v xml:space="preserve"> </v>
      </c>
    </row>
    <row r="163" spans="1:47" ht="39.950000000000003" hidden="1" customHeight="1">
      <c r="A163" s="127">
        <v>162</v>
      </c>
      <c r="B163" s="128">
        <v>45253</v>
      </c>
      <c r="C163" s="167">
        <v>0.4375</v>
      </c>
      <c r="D163" s="130" t="s">
        <v>1381</v>
      </c>
      <c r="E163" s="130" t="s">
        <v>1382</v>
      </c>
      <c r="F163" s="130" t="s">
        <v>1383</v>
      </c>
      <c r="G163" s="129"/>
      <c r="H163" s="129"/>
      <c r="I163" s="132" t="s">
        <v>1384</v>
      </c>
      <c r="J163" s="132" t="s">
        <v>1385</v>
      </c>
      <c r="K163" s="133"/>
      <c r="L163" s="133"/>
      <c r="M163" s="130" t="s">
        <v>1386</v>
      </c>
      <c r="N163" s="130" t="s">
        <v>1387</v>
      </c>
      <c r="O163" s="129"/>
      <c r="P163" s="129"/>
      <c r="Q163" s="130" t="s">
        <v>1388</v>
      </c>
      <c r="R163" s="128">
        <v>45253</v>
      </c>
      <c r="S163" s="167">
        <v>0.4375</v>
      </c>
      <c r="T163" s="150" t="s">
        <v>1370</v>
      </c>
      <c r="U163" s="192"/>
      <c r="V163" s="129"/>
      <c r="W163" s="23" t="str">
        <f t="shared" ca="1" si="86"/>
        <v>SI</v>
      </c>
      <c r="X163" s="130"/>
      <c r="Y163" s="130" t="s">
        <v>991</v>
      </c>
      <c r="Z163" s="197" t="s">
        <v>1037</v>
      </c>
      <c r="AA163" s="197" t="str">
        <f>IF(Z163&lt;&gt;"",VLOOKUP($Z163,Resultados!$A$1:$B$49,2,FALSE),"")</f>
        <v>Audiencias de Visu</v>
      </c>
      <c r="AC163" s="10">
        <f t="shared" si="88"/>
        <v>23</v>
      </c>
      <c r="AD163" s="10">
        <f t="shared" si="89"/>
        <v>11</v>
      </c>
      <c r="AE163" s="10">
        <f t="shared" si="90"/>
        <v>2023</v>
      </c>
      <c r="AF163" s="1">
        <f t="shared" si="92"/>
        <v>1</v>
      </c>
      <c r="AG163" s="1" t="str">
        <f t="shared" ref="AG163:AG174" si="93">IF(AND(NETWORKDAYS($B163,$R163)&gt;0,$AE163=2024),NETWORKDAYS($B163,$R163)," ")</f>
        <v xml:space="preserve"> </v>
      </c>
      <c r="AH163" s="1" t="str">
        <f t="shared" si="72"/>
        <v xml:space="preserve"> </v>
      </c>
      <c r="AI163" s="1" t="str">
        <f t="shared" si="73"/>
        <v xml:space="preserve"> </v>
      </c>
      <c r="AJ163" s="1" t="str">
        <f t="shared" si="74"/>
        <v xml:space="preserve"> </v>
      </c>
      <c r="AK163" s="1" t="str">
        <f t="shared" si="75"/>
        <v xml:space="preserve"> </v>
      </c>
      <c r="AL163" s="1" t="str">
        <f t="shared" si="76"/>
        <v xml:space="preserve"> </v>
      </c>
      <c r="AM163" s="1" t="str">
        <f t="shared" si="77"/>
        <v xml:space="preserve"> </v>
      </c>
      <c r="AN163" s="1" t="str">
        <f t="shared" si="78"/>
        <v xml:space="preserve"> </v>
      </c>
      <c r="AO163" s="1" t="str">
        <f t="shared" si="79"/>
        <v xml:space="preserve"> </v>
      </c>
      <c r="AP163" s="1" t="str">
        <f t="shared" si="80"/>
        <v xml:space="preserve"> </v>
      </c>
      <c r="AQ163" s="1" t="str">
        <f t="shared" si="81"/>
        <v xml:space="preserve"> </v>
      </c>
      <c r="AR163" s="1">
        <f t="shared" si="82"/>
        <v>1</v>
      </c>
      <c r="AS163" s="1" t="str">
        <f t="shared" si="83"/>
        <v xml:space="preserve"> </v>
      </c>
      <c r="AT163" s="1" t="str">
        <f t="shared" si="84"/>
        <v xml:space="preserve"> </v>
      </c>
      <c r="AU163" s="1" t="str">
        <f t="shared" si="85"/>
        <v xml:space="preserve"> </v>
      </c>
    </row>
    <row r="164" spans="1:47" ht="89.25" hidden="1">
      <c r="A164" s="127">
        <v>163</v>
      </c>
      <c r="B164" s="128">
        <v>45252</v>
      </c>
      <c r="C164" s="167">
        <v>0.41666666666666669</v>
      </c>
      <c r="D164" s="130" t="s">
        <v>229</v>
      </c>
      <c r="E164" s="130" t="s">
        <v>1390</v>
      </c>
      <c r="F164" s="130" t="s">
        <v>1391</v>
      </c>
      <c r="G164" s="131">
        <v>38737981</v>
      </c>
      <c r="H164" s="130" t="s">
        <v>1392</v>
      </c>
      <c r="I164" s="132" t="s">
        <v>1393</v>
      </c>
      <c r="J164" s="132" t="s">
        <v>1394</v>
      </c>
      <c r="K164" s="132" t="s">
        <v>1395</v>
      </c>
      <c r="L164" s="132" t="s">
        <v>1396</v>
      </c>
      <c r="M164" s="130" t="s">
        <v>1159</v>
      </c>
      <c r="N164" s="130" t="s">
        <v>1398</v>
      </c>
      <c r="O164" s="129"/>
      <c r="P164" s="129"/>
      <c r="Q164" s="130" t="s">
        <v>1397</v>
      </c>
      <c r="R164" s="128">
        <v>45259</v>
      </c>
      <c r="S164" s="167">
        <v>0.39583333333333331</v>
      </c>
      <c r="T164" s="150" t="s">
        <v>1406</v>
      </c>
      <c r="U164" s="193" t="s">
        <v>1407</v>
      </c>
      <c r="V164" s="129"/>
      <c r="W164" s="23" t="str">
        <f t="shared" ref="W164:W194" ca="1" si="94">IF(R164&lt;=TODAY(),"SI","NO")</f>
        <v>SI</v>
      </c>
      <c r="X164" s="130"/>
      <c r="Y164" s="130" t="s">
        <v>991</v>
      </c>
      <c r="Z164" s="197" t="s">
        <v>1015</v>
      </c>
      <c r="AA164" s="197" t="str">
        <f>IF(Z164&lt;&gt;"",VLOOKUP($Z164,Resultados!$A$1:$B$49,2,FALSE),"")</f>
        <v>Recursos Denegados</v>
      </c>
      <c r="AB164" s="23" t="str">
        <f ca="1">IF(R164&gt;TODAY(),"FIJADA","OTRO")</f>
        <v>OTRO</v>
      </c>
      <c r="AC164" s="10">
        <f t="shared" si="88"/>
        <v>29</v>
      </c>
      <c r="AD164" s="10">
        <f t="shared" si="89"/>
        <v>11</v>
      </c>
      <c r="AE164" s="10">
        <f t="shared" si="90"/>
        <v>2023</v>
      </c>
      <c r="AF164" s="1">
        <f t="shared" si="92"/>
        <v>6</v>
      </c>
      <c r="AG164" s="1" t="str">
        <f t="shared" si="93"/>
        <v xml:space="preserve"> </v>
      </c>
      <c r="AH164" s="1" t="str">
        <f t="shared" si="72"/>
        <v xml:space="preserve"> </v>
      </c>
      <c r="AI164" s="1" t="str">
        <f t="shared" si="73"/>
        <v xml:space="preserve"> </v>
      </c>
      <c r="AJ164" s="1" t="str">
        <f t="shared" si="74"/>
        <v xml:space="preserve"> </v>
      </c>
      <c r="AK164" s="1" t="str">
        <f t="shared" si="75"/>
        <v xml:space="preserve"> </v>
      </c>
      <c r="AL164" s="1" t="str">
        <f t="shared" si="76"/>
        <v xml:space="preserve"> </v>
      </c>
      <c r="AM164" s="1" t="str">
        <f t="shared" si="77"/>
        <v xml:space="preserve"> </v>
      </c>
      <c r="AN164" s="1" t="str">
        <f t="shared" si="78"/>
        <v xml:space="preserve"> </v>
      </c>
      <c r="AO164" s="1" t="str">
        <f t="shared" si="79"/>
        <v xml:space="preserve"> </v>
      </c>
      <c r="AP164" s="1" t="str">
        <f t="shared" si="80"/>
        <v xml:space="preserve"> </v>
      </c>
      <c r="AQ164" s="1" t="str">
        <f t="shared" si="81"/>
        <v xml:space="preserve"> </v>
      </c>
      <c r="AR164" s="1">
        <f t="shared" si="82"/>
        <v>6</v>
      </c>
      <c r="AS164" s="1" t="str">
        <f t="shared" si="83"/>
        <v xml:space="preserve"> </v>
      </c>
      <c r="AT164" s="1" t="str">
        <f t="shared" si="84"/>
        <v xml:space="preserve"> </v>
      </c>
      <c r="AU164" s="1" t="str">
        <f t="shared" si="85"/>
        <v xml:space="preserve"> </v>
      </c>
    </row>
    <row r="165" spans="1:47" ht="39.950000000000003" hidden="1" customHeight="1">
      <c r="A165" s="172">
        <v>164</v>
      </c>
      <c r="B165" s="173">
        <v>45257</v>
      </c>
      <c r="C165" s="174">
        <v>0.35416666666666669</v>
      </c>
      <c r="D165" s="156" t="s">
        <v>432</v>
      </c>
      <c r="E165" s="156" t="s">
        <v>1399</v>
      </c>
      <c r="F165" s="156" t="s">
        <v>1400</v>
      </c>
      <c r="G165" s="176">
        <v>33666628</v>
      </c>
      <c r="H165" s="175"/>
      <c r="I165" s="178"/>
      <c r="J165" s="177" t="s">
        <v>1401</v>
      </c>
      <c r="K165" s="203">
        <v>38507769</v>
      </c>
      <c r="L165" s="177" t="s">
        <v>1402</v>
      </c>
      <c r="M165" s="156" t="s">
        <v>1403</v>
      </c>
      <c r="N165" s="175"/>
      <c r="O165" s="175"/>
      <c r="P165" s="175"/>
      <c r="Q165" s="156" t="s">
        <v>131</v>
      </c>
      <c r="R165" s="173">
        <v>45266</v>
      </c>
      <c r="S165" s="174">
        <v>0.39583333333333331</v>
      </c>
      <c r="T165" s="171" t="s">
        <v>898</v>
      </c>
      <c r="U165" s="190"/>
      <c r="V165" s="175"/>
      <c r="W165" s="23" t="str">
        <f t="shared" ca="1" si="94"/>
        <v>SI</v>
      </c>
      <c r="X165" s="156"/>
      <c r="Y165" s="156" t="s">
        <v>1404</v>
      </c>
      <c r="Z165" s="204" t="s">
        <v>1025</v>
      </c>
      <c r="AA165" s="204" t="str">
        <f>IF(Z165&lt;&gt;"",VLOOKUP($Z165,Resultados!$A$1:$B$49,2,FALSE),"")</f>
        <v>Recursos rechazados</v>
      </c>
      <c r="AC165" s="10">
        <f t="shared" si="88"/>
        <v>6</v>
      </c>
      <c r="AD165" s="10">
        <f t="shared" si="89"/>
        <v>12</v>
      </c>
      <c r="AE165" s="10">
        <f t="shared" si="90"/>
        <v>2023</v>
      </c>
      <c r="AF165" s="1">
        <f t="shared" si="92"/>
        <v>8</v>
      </c>
      <c r="AG165" s="1" t="str">
        <f t="shared" si="93"/>
        <v xml:space="preserve"> </v>
      </c>
      <c r="AH165" s="1" t="str">
        <f t="shared" si="72"/>
        <v xml:space="preserve"> </v>
      </c>
      <c r="AI165" s="1" t="str">
        <f t="shared" si="73"/>
        <v xml:space="preserve"> </v>
      </c>
      <c r="AJ165" s="1" t="str">
        <f t="shared" si="74"/>
        <v xml:space="preserve"> </v>
      </c>
      <c r="AK165" s="1" t="str">
        <f t="shared" si="75"/>
        <v xml:space="preserve"> </v>
      </c>
      <c r="AL165" s="1" t="str">
        <f t="shared" si="76"/>
        <v xml:space="preserve"> </v>
      </c>
      <c r="AM165" s="1" t="str">
        <f t="shared" si="77"/>
        <v xml:space="preserve"> </v>
      </c>
      <c r="AN165" s="1" t="str">
        <f t="shared" si="78"/>
        <v xml:space="preserve"> </v>
      </c>
      <c r="AO165" s="1" t="str">
        <f t="shared" si="79"/>
        <v xml:space="preserve"> </v>
      </c>
      <c r="AP165" s="1" t="str">
        <f t="shared" si="80"/>
        <v xml:space="preserve"> </v>
      </c>
      <c r="AQ165" s="1" t="str">
        <f t="shared" si="81"/>
        <v xml:space="preserve"> </v>
      </c>
      <c r="AR165" s="1" t="str">
        <f t="shared" si="82"/>
        <v xml:space="preserve"> </v>
      </c>
      <c r="AS165" s="1">
        <f t="shared" si="83"/>
        <v>8</v>
      </c>
      <c r="AT165" s="1" t="str">
        <f t="shared" si="84"/>
        <v xml:space="preserve"> </v>
      </c>
      <c r="AU165" s="1" t="str">
        <f t="shared" si="85"/>
        <v xml:space="preserve"> </v>
      </c>
    </row>
    <row r="166" spans="1:47" ht="51" hidden="1">
      <c r="A166" s="127">
        <v>165</v>
      </c>
      <c r="B166" s="128">
        <v>45261</v>
      </c>
      <c r="C166" s="167">
        <v>0.40277777777777773</v>
      </c>
      <c r="D166" s="63" t="s">
        <v>1695</v>
      </c>
      <c r="E166" s="130" t="s">
        <v>1408</v>
      </c>
      <c r="F166" s="130" t="s">
        <v>1409</v>
      </c>
      <c r="G166" s="131">
        <v>42132044</v>
      </c>
      <c r="H166" s="130" t="s">
        <v>1410</v>
      </c>
      <c r="I166" s="132" t="s">
        <v>1411</v>
      </c>
      <c r="J166" s="132" t="s">
        <v>1412</v>
      </c>
      <c r="K166" s="133"/>
      <c r="L166" s="132" t="s">
        <v>1413</v>
      </c>
      <c r="M166" s="130" t="s">
        <v>1414</v>
      </c>
      <c r="N166" s="129"/>
      <c r="O166" s="129"/>
      <c r="P166" s="129"/>
      <c r="Q166" s="130" t="s">
        <v>777</v>
      </c>
      <c r="R166" s="128"/>
      <c r="S166" s="167"/>
      <c r="T166" s="150" t="s">
        <v>987</v>
      </c>
      <c r="U166" s="193" t="s">
        <v>1445</v>
      </c>
      <c r="V166" s="129"/>
      <c r="W166" s="23" t="str">
        <f t="shared" ca="1" si="94"/>
        <v>SI</v>
      </c>
      <c r="X166" s="130"/>
      <c r="Y166" s="130" t="s">
        <v>999</v>
      </c>
      <c r="Z166" s="197" t="s">
        <v>1041</v>
      </c>
      <c r="AA166" s="197" t="str">
        <f>IF(Z166&lt;&gt;"",VLOOKUP($Z166,Resultados!$A$1:$B$49,2,FALSE),"")</f>
        <v xml:space="preserve">Otros </v>
      </c>
      <c r="AC166" s="10">
        <f t="shared" si="88"/>
        <v>0</v>
      </c>
      <c r="AD166" s="10">
        <f t="shared" si="89"/>
        <v>1</v>
      </c>
      <c r="AE166" s="10">
        <f t="shared" si="90"/>
        <v>1900</v>
      </c>
      <c r="AF166" s="1" t="str">
        <f t="shared" si="92"/>
        <v xml:space="preserve"> </v>
      </c>
      <c r="AG166" s="1" t="str">
        <f t="shared" si="93"/>
        <v xml:space="preserve"> </v>
      </c>
      <c r="AH166" s="1" t="str">
        <f t="shared" si="72"/>
        <v xml:space="preserve"> </v>
      </c>
      <c r="AI166" s="1" t="str">
        <f t="shared" si="73"/>
        <v xml:space="preserve"> </v>
      </c>
      <c r="AJ166" s="1" t="str">
        <f t="shared" si="74"/>
        <v xml:space="preserve"> </v>
      </c>
      <c r="AK166" s="1" t="str">
        <f t="shared" si="75"/>
        <v xml:space="preserve"> </v>
      </c>
      <c r="AL166" s="1" t="str">
        <f t="shared" si="76"/>
        <v xml:space="preserve"> </v>
      </c>
      <c r="AM166" s="1" t="str">
        <f t="shared" si="77"/>
        <v xml:space="preserve"> </v>
      </c>
      <c r="AN166" s="1" t="str">
        <f t="shared" si="78"/>
        <v xml:space="preserve"> </v>
      </c>
      <c r="AO166" s="1" t="str">
        <f t="shared" si="79"/>
        <v xml:space="preserve"> </v>
      </c>
      <c r="AP166" s="1" t="str">
        <f t="shared" si="80"/>
        <v xml:space="preserve"> </v>
      </c>
      <c r="AQ166" s="1" t="str">
        <f t="shared" si="81"/>
        <v xml:space="preserve"> </v>
      </c>
      <c r="AR166" s="1" t="str">
        <f t="shared" si="82"/>
        <v xml:space="preserve"> </v>
      </c>
      <c r="AS166" s="1" t="str">
        <f t="shared" si="83"/>
        <v xml:space="preserve"> </v>
      </c>
      <c r="AT166" s="1" t="str">
        <f t="shared" si="84"/>
        <v xml:space="preserve"> </v>
      </c>
      <c r="AU166" s="1" t="str">
        <f t="shared" si="85"/>
        <v xml:space="preserve"> </v>
      </c>
    </row>
    <row r="167" spans="1:47" ht="39.950000000000003" hidden="1" customHeight="1">
      <c r="A167" s="127">
        <v>166</v>
      </c>
      <c r="B167" s="128">
        <v>45261</v>
      </c>
      <c r="C167" s="167">
        <v>0.40277777777777773</v>
      </c>
      <c r="D167" s="130" t="s">
        <v>228</v>
      </c>
      <c r="E167" s="130" t="s">
        <v>1415</v>
      </c>
      <c r="F167" s="130" t="s">
        <v>1416</v>
      </c>
      <c r="G167" s="131">
        <v>35928372</v>
      </c>
      <c r="H167" s="130" t="s">
        <v>1419</v>
      </c>
      <c r="I167" s="132" t="s">
        <v>1417</v>
      </c>
      <c r="J167" s="132"/>
      <c r="K167" s="133"/>
      <c r="L167" s="133"/>
      <c r="M167" s="130" t="s">
        <v>1418</v>
      </c>
      <c r="N167" s="129"/>
      <c r="O167" s="129"/>
      <c r="P167" s="129"/>
      <c r="Q167" s="130" t="s">
        <v>135</v>
      </c>
      <c r="R167" s="128">
        <v>45274</v>
      </c>
      <c r="S167" s="167">
        <v>0.39583333333333331</v>
      </c>
      <c r="T167" s="150" t="s">
        <v>1463</v>
      </c>
      <c r="U167" s="192"/>
      <c r="V167" s="129"/>
      <c r="W167" s="23" t="str">
        <f t="shared" ca="1" si="94"/>
        <v>SI</v>
      </c>
      <c r="X167" s="130"/>
      <c r="Y167" s="130" t="s">
        <v>991</v>
      </c>
      <c r="Z167" s="197" t="s">
        <v>1015</v>
      </c>
      <c r="AA167" s="197" t="str">
        <f>IF(Z167&lt;&gt;"",VLOOKUP($Z167,Resultados!$A$1:$B$49,2,FALSE),"")</f>
        <v>Recursos Denegados</v>
      </c>
      <c r="AB167" s="23" t="str">
        <f ca="1">IF(R167&gt;TODAY(),"FIJADA","OTRO")</f>
        <v>OTRO</v>
      </c>
      <c r="AC167" s="10">
        <f t="shared" si="88"/>
        <v>14</v>
      </c>
      <c r="AD167" s="10">
        <f t="shared" si="89"/>
        <v>12</v>
      </c>
      <c r="AE167" s="10">
        <f t="shared" si="90"/>
        <v>2023</v>
      </c>
      <c r="AF167" s="1">
        <f t="shared" si="92"/>
        <v>10</v>
      </c>
      <c r="AG167" s="1" t="str">
        <f t="shared" si="93"/>
        <v xml:space="preserve"> </v>
      </c>
      <c r="AH167" s="1" t="str">
        <f t="shared" si="72"/>
        <v xml:space="preserve"> </v>
      </c>
      <c r="AI167" s="1" t="str">
        <f t="shared" si="73"/>
        <v xml:space="preserve"> </v>
      </c>
      <c r="AJ167" s="1" t="str">
        <f t="shared" si="74"/>
        <v xml:space="preserve"> </v>
      </c>
      <c r="AK167" s="1" t="str">
        <f t="shared" si="75"/>
        <v xml:space="preserve"> </v>
      </c>
      <c r="AL167" s="1" t="str">
        <f t="shared" si="76"/>
        <v xml:space="preserve"> </v>
      </c>
      <c r="AM167" s="1" t="str">
        <f t="shared" si="77"/>
        <v xml:space="preserve"> </v>
      </c>
      <c r="AN167" s="1" t="str">
        <f t="shared" si="78"/>
        <v xml:space="preserve"> </v>
      </c>
      <c r="AO167" s="1" t="str">
        <f t="shared" si="79"/>
        <v xml:space="preserve"> </v>
      </c>
      <c r="AP167" s="1" t="str">
        <f t="shared" si="80"/>
        <v xml:space="preserve"> </v>
      </c>
      <c r="AQ167" s="1" t="str">
        <f t="shared" si="81"/>
        <v xml:space="preserve"> </v>
      </c>
      <c r="AR167" s="1" t="str">
        <f t="shared" si="82"/>
        <v xml:space="preserve"> </v>
      </c>
      <c r="AS167" s="1">
        <f t="shared" si="83"/>
        <v>10</v>
      </c>
      <c r="AT167" s="1" t="str">
        <f t="shared" si="84"/>
        <v xml:space="preserve"> </v>
      </c>
      <c r="AU167" s="1" t="str">
        <f t="shared" si="85"/>
        <v xml:space="preserve"> </v>
      </c>
    </row>
    <row r="168" spans="1:47" ht="63.75" hidden="1">
      <c r="A168" s="127">
        <v>167</v>
      </c>
      <c r="B168" s="128">
        <v>45261</v>
      </c>
      <c r="C168" s="167">
        <v>0.3923611111111111</v>
      </c>
      <c r="D168" s="130" t="s">
        <v>226</v>
      </c>
      <c r="E168" s="130" t="s">
        <v>1420</v>
      </c>
      <c r="F168" s="130" t="s">
        <v>1421</v>
      </c>
      <c r="G168" s="131">
        <v>36037669</v>
      </c>
      <c r="H168" s="130" t="s">
        <v>1422</v>
      </c>
      <c r="I168" s="132" t="s">
        <v>1423</v>
      </c>
      <c r="J168" s="132" t="s">
        <v>1425</v>
      </c>
      <c r="K168" s="151" t="s">
        <v>1426</v>
      </c>
      <c r="L168" s="133" t="s">
        <v>1424</v>
      </c>
      <c r="M168" s="129" t="s">
        <v>1003</v>
      </c>
      <c r="N168" s="129"/>
      <c r="O168" s="129" t="s">
        <v>1427</v>
      </c>
      <c r="P168" s="129"/>
      <c r="Q168" s="129" t="s">
        <v>131</v>
      </c>
      <c r="R168" s="128">
        <v>45272</v>
      </c>
      <c r="S168" s="167">
        <v>0.39583333333333331</v>
      </c>
      <c r="T168" s="150" t="s">
        <v>1446</v>
      </c>
      <c r="U168" s="193" t="s">
        <v>1447</v>
      </c>
      <c r="V168" s="129"/>
      <c r="W168" s="23" t="str">
        <f t="shared" ca="1" si="94"/>
        <v>SI</v>
      </c>
      <c r="X168" s="130"/>
      <c r="Y168" s="130" t="s">
        <v>991</v>
      </c>
      <c r="Z168" s="197" t="s">
        <v>1059</v>
      </c>
      <c r="AA168" s="197" t="str">
        <f>IF(Z168&lt;&gt;"",VLOOKUP($Z168,Resultados!$A$1:$B$49,2,FALSE),"")</f>
        <v>Recursos donde se hizo lugar</v>
      </c>
      <c r="AC168" s="10">
        <f t="shared" si="88"/>
        <v>12</v>
      </c>
      <c r="AD168" s="10">
        <f t="shared" si="89"/>
        <v>12</v>
      </c>
      <c r="AE168" s="10">
        <f t="shared" si="90"/>
        <v>2023</v>
      </c>
      <c r="AF168" s="1">
        <f t="shared" si="92"/>
        <v>8</v>
      </c>
      <c r="AG168" s="1" t="str">
        <f t="shared" si="93"/>
        <v xml:space="preserve"> </v>
      </c>
      <c r="AH168" s="1" t="str">
        <f t="shared" si="72"/>
        <v xml:space="preserve"> </v>
      </c>
      <c r="AI168" s="1" t="str">
        <f t="shared" si="73"/>
        <v xml:space="preserve"> </v>
      </c>
      <c r="AJ168" s="1" t="str">
        <f t="shared" si="74"/>
        <v xml:space="preserve"> </v>
      </c>
      <c r="AK168" s="1" t="str">
        <f t="shared" si="75"/>
        <v xml:space="preserve"> </v>
      </c>
      <c r="AL168" s="1" t="str">
        <f t="shared" si="76"/>
        <v xml:space="preserve"> </v>
      </c>
      <c r="AM168" s="1" t="str">
        <f t="shared" si="77"/>
        <v xml:space="preserve"> </v>
      </c>
      <c r="AN168" s="1" t="str">
        <f t="shared" si="78"/>
        <v xml:space="preserve"> </v>
      </c>
      <c r="AO168" s="1" t="str">
        <f t="shared" si="79"/>
        <v xml:space="preserve"> </v>
      </c>
      <c r="AP168" s="1" t="str">
        <f t="shared" si="80"/>
        <v xml:space="preserve"> </v>
      </c>
      <c r="AQ168" s="1" t="str">
        <f t="shared" si="81"/>
        <v xml:space="preserve"> </v>
      </c>
      <c r="AR168" s="1" t="str">
        <f t="shared" si="82"/>
        <v xml:space="preserve"> </v>
      </c>
      <c r="AS168" s="1">
        <f t="shared" si="83"/>
        <v>8</v>
      </c>
      <c r="AT168" s="1" t="str">
        <f t="shared" si="84"/>
        <v xml:space="preserve"> </v>
      </c>
      <c r="AU168" s="1" t="str">
        <f t="shared" si="85"/>
        <v xml:space="preserve"> </v>
      </c>
    </row>
    <row r="169" spans="1:47" ht="102" hidden="1">
      <c r="A169" s="127">
        <v>168</v>
      </c>
      <c r="B169" s="128">
        <v>45264</v>
      </c>
      <c r="C169" s="167">
        <v>0.33333333333333331</v>
      </c>
      <c r="D169" s="129" t="s">
        <v>1302</v>
      </c>
      <c r="E169" s="129" t="s">
        <v>1428</v>
      </c>
      <c r="F169" s="129" t="s">
        <v>1429</v>
      </c>
      <c r="G169" s="131">
        <v>35929827</v>
      </c>
      <c r="H169" s="129" t="s">
        <v>1430</v>
      </c>
      <c r="I169" s="133" t="s">
        <v>1431</v>
      </c>
      <c r="J169" s="133" t="s">
        <v>1432</v>
      </c>
      <c r="K169" s="151">
        <v>40660270</v>
      </c>
      <c r="L169" s="133"/>
      <c r="M169" s="129" t="s">
        <v>1434</v>
      </c>
      <c r="N169" s="129" t="s">
        <v>1433</v>
      </c>
      <c r="O169" s="129"/>
      <c r="P169" s="129"/>
      <c r="Q169" s="129" t="s">
        <v>555</v>
      </c>
      <c r="R169" s="128">
        <v>45272</v>
      </c>
      <c r="S169" s="167">
        <v>0.4375</v>
      </c>
      <c r="T169" s="150" t="s">
        <v>1446</v>
      </c>
      <c r="U169" s="193" t="s">
        <v>1464</v>
      </c>
      <c r="V169" s="129"/>
      <c r="W169" s="23" t="str">
        <f t="shared" ca="1" si="94"/>
        <v>SI</v>
      </c>
      <c r="X169" s="130"/>
      <c r="Y169" s="130" t="s">
        <v>991</v>
      </c>
      <c r="Z169" s="197" t="s">
        <v>1059</v>
      </c>
      <c r="AA169" s="197" t="str">
        <f>IF(Z169&lt;&gt;"",VLOOKUP($Z169,Resultados!$A$1:$B$49,2,FALSE),"")</f>
        <v>Recursos donde se hizo lugar</v>
      </c>
      <c r="AC169" s="10">
        <f t="shared" si="88"/>
        <v>12</v>
      </c>
      <c r="AD169" s="10">
        <f t="shared" si="89"/>
        <v>12</v>
      </c>
      <c r="AE169" s="10">
        <f t="shared" si="90"/>
        <v>2023</v>
      </c>
      <c r="AF169" s="1">
        <f t="shared" si="92"/>
        <v>7</v>
      </c>
      <c r="AG169" s="1" t="str">
        <f t="shared" si="93"/>
        <v xml:space="preserve"> </v>
      </c>
      <c r="AH169" s="1" t="str">
        <f t="shared" si="72"/>
        <v xml:space="preserve"> </v>
      </c>
      <c r="AI169" s="1" t="str">
        <f t="shared" si="73"/>
        <v xml:space="preserve"> </v>
      </c>
      <c r="AJ169" s="1" t="str">
        <f t="shared" si="74"/>
        <v xml:space="preserve"> </v>
      </c>
      <c r="AK169" s="1" t="str">
        <f t="shared" si="75"/>
        <v xml:space="preserve"> </v>
      </c>
      <c r="AL169" s="1" t="str">
        <f t="shared" si="76"/>
        <v xml:space="preserve"> </v>
      </c>
      <c r="AM169" s="1" t="str">
        <f t="shared" si="77"/>
        <v xml:space="preserve"> </v>
      </c>
      <c r="AN169" s="1" t="str">
        <f t="shared" si="78"/>
        <v xml:space="preserve"> </v>
      </c>
      <c r="AO169" s="1" t="str">
        <f t="shared" si="79"/>
        <v xml:space="preserve"> </v>
      </c>
      <c r="AP169" s="1" t="str">
        <f t="shared" si="80"/>
        <v xml:space="preserve"> </v>
      </c>
      <c r="AQ169" s="1" t="str">
        <f t="shared" si="81"/>
        <v xml:space="preserve"> </v>
      </c>
      <c r="AR169" s="1" t="str">
        <f t="shared" si="82"/>
        <v xml:space="preserve"> </v>
      </c>
      <c r="AS169" s="1">
        <f t="shared" si="83"/>
        <v>7</v>
      </c>
      <c r="AT169" s="1" t="str">
        <f t="shared" si="84"/>
        <v xml:space="preserve"> </v>
      </c>
      <c r="AU169" s="1" t="str">
        <f t="shared" si="85"/>
        <v xml:space="preserve"> </v>
      </c>
    </row>
    <row r="170" spans="1:47" ht="63.75" hidden="1">
      <c r="A170" s="127">
        <v>169</v>
      </c>
      <c r="B170" s="128">
        <v>45265</v>
      </c>
      <c r="C170" s="167">
        <v>0.47916666666666669</v>
      </c>
      <c r="D170" s="130" t="s">
        <v>226</v>
      </c>
      <c r="E170" s="130" t="s">
        <v>1435</v>
      </c>
      <c r="F170" s="130" t="s">
        <v>1436</v>
      </c>
      <c r="G170" s="131">
        <v>32165072</v>
      </c>
      <c r="H170" s="130" t="s">
        <v>1437</v>
      </c>
      <c r="I170" s="132" t="s">
        <v>565</v>
      </c>
      <c r="J170" s="133"/>
      <c r="K170" s="133"/>
      <c r="L170" s="133"/>
      <c r="M170" s="130" t="s">
        <v>1438</v>
      </c>
      <c r="N170" s="156" t="s">
        <v>607</v>
      </c>
      <c r="O170" s="130" t="s">
        <v>1439</v>
      </c>
      <c r="P170" s="129"/>
      <c r="Q170" s="130" t="s">
        <v>132</v>
      </c>
      <c r="R170" s="128">
        <v>45273</v>
      </c>
      <c r="S170" s="167">
        <v>0.39583333333333331</v>
      </c>
      <c r="T170" s="150" t="s">
        <v>1463</v>
      </c>
      <c r="U170" s="193" t="s">
        <v>1497</v>
      </c>
      <c r="V170" s="129"/>
      <c r="W170" s="23" t="str">
        <f t="shared" ca="1" si="94"/>
        <v>SI</v>
      </c>
      <c r="X170" s="130"/>
      <c r="Y170" s="130" t="s">
        <v>991</v>
      </c>
      <c r="Z170" s="197" t="s">
        <v>1027</v>
      </c>
      <c r="AA170" s="197" t="str">
        <f>IF(Z170&lt;&gt;"",VLOOKUP($Z170,Resultados!$A$1:$B$49,2,FALSE),"")</f>
        <v>Recursos rechazados</v>
      </c>
      <c r="AC170" s="10">
        <f t="shared" si="88"/>
        <v>13</v>
      </c>
      <c r="AD170" s="10">
        <f t="shared" si="89"/>
        <v>12</v>
      </c>
      <c r="AE170" s="10">
        <f t="shared" si="90"/>
        <v>2023</v>
      </c>
      <c r="AF170" s="1">
        <f t="shared" si="92"/>
        <v>7</v>
      </c>
      <c r="AG170" s="1" t="str">
        <f t="shared" si="93"/>
        <v xml:space="preserve"> </v>
      </c>
      <c r="AH170" s="1" t="str">
        <f t="shared" si="72"/>
        <v xml:space="preserve"> </v>
      </c>
      <c r="AI170" s="1" t="str">
        <f t="shared" si="73"/>
        <v xml:space="preserve"> </v>
      </c>
      <c r="AJ170" s="1" t="str">
        <f t="shared" si="74"/>
        <v xml:space="preserve"> </v>
      </c>
      <c r="AK170" s="1" t="str">
        <f t="shared" si="75"/>
        <v xml:space="preserve"> </v>
      </c>
      <c r="AL170" s="1" t="str">
        <f t="shared" si="76"/>
        <v xml:space="preserve"> </v>
      </c>
      <c r="AM170" s="1" t="str">
        <f t="shared" si="77"/>
        <v xml:space="preserve"> </v>
      </c>
      <c r="AN170" s="1" t="str">
        <f t="shared" si="78"/>
        <v xml:space="preserve"> </v>
      </c>
      <c r="AO170" s="1" t="str">
        <f t="shared" si="79"/>
        <v xml:space="preserve"> </v>
      </c>
      <c r="AP170" s="1" t="str">
        <f t="shared" si="80"/>
        <v xml:space="preserve"> </v>
      </c>
      <c r="AQ170" s="1" t="str">
        <f t="shared" si="81"/>
        <v xml:space="preserve"> </v>
      </c>
      <c r="AR170" s="1" t="str">
        <f t="shared" si="82"/>
        <v xml:space="preserve"> </v>
      </c>
      <c r="AS170" s="1">
        <f t="shared" si="83"/>
        <v>7</v>
      </c>
      <c r="AT170" s="1" t="str">
        <f t="shared" si="84"/>
        <v xml:space="preserve"> </v>
      </c>
      <c r="AU170" s="1" t="str">
        <f t="shared" si="85"/>
        <v xml:space="preserve"> </v>
      </c>
    </row>
    <row r="171" spans="1:47" ht="39.950000000000003" hidden="1" customHeight="1">
      <c r="A171" s="127">
        <v>170</v>
      </c>
      <c r="B171" s="128">
        <v>45267</v>
      </c>
      <c r="C171" s="167">
        <v>0.46597222222222223</v>
      </c>
      <c r="D171" s="130" t="s">
        <v>1694</v>
      </c>
      <c r="E171" s="130" t="s">
        <v>1441</v>
      </c>
      <c r="F171" s="130" t="s">
        <v>1442</v>
      </c>
      <c r="G171" s="129"/>
      <c r="H171" s="129"/>
      <c r="I171" s="132" t="s">
        <v>687</v>
      </c>
      <c r="J171" s="132" t="s">
        <v>1443</v>
      </c>
      <c r="K171" s="133"/>
      <c r="L171" s="133"/>
      <c r="M171" s="130" t="s">
        <v>1444</v>
      </c>
      <c r="N171" s="129"/>
      <c r="O171" s="129"/>
      <c r="P171" s="129"/>
      <c r="Q171" s="130" t="s">
        <v>555</v>
      </c>
      <c r="R171" s="128">
        <v>45278</v>
      </c>
      <c r="S171" s="167">
        <v>0.4375</v>
      </c>
      <c r="T171" s="128"/>
      <c r="U171" s="192"/>
      <c r="V171" s="129"/>
      <c r="W171" s="23" t="str">
        <f t="shared" ca="1" si="94"/>
        <v>SI</v>
      </c>
      <c r="X171" s="130"/>
      <c r="Y171" s="130"/>
      <c r="Z171" s="197" t="s">
        <v>1037</v>
      </c>
      <c r="AA171" s="197" t="str">
        <f>IF(Z171&lt;&gt;"",VLOOKUP($Z171,Resultados!$A$1:$B$49,2,FALSE),"")</f>
        <v>Audiencias de Visu</v>
      </c>
      <c r="AC171" s="10">
        <f t="shared" si="88"/>
        <v>18</v>
      </c>
      <c r="AD171" s="10">
        <f t="shared" si="89"/>
        <v>12</v>
      </c>
      <c r="AE171" s="10">
        <f t="shared" si="90"/>
        <v>2023</v>
      </c>
      <c r="AF171" s="1">
        <f t="shared" si="92"/>
        <v>8</v>
      </c>
      <c r="AG171" s="1" t="str">
        <f t="shared" si="93"/>
        <v xml:space="preserve"> </v>
      </c>
      <c r="AH171" s="1" t="str">
        <f t="shared" si="72"/>
        <v xml:space="preserve"> </v>
      </c>
      <c r="AI171" s="1" t="str">
        <f t="shared" si="73"/>
        <v xml:space="preserve"> </v>
      </c>
      <c r="AJ171" s="1" t="str">
        <f t="shared" si="74"/>
        <v xml:space="preserve"> </v>
      </c>
      <c r="AK171" s="1" t="str">
        <f t="shared" si="75"/>
        <v xml:space="preserve"> </v>
      </c>
      <c r="AL171" s="1" t="str">
        <f t="shared" si="76"/>
        <v xml:space="preserve"> </v>
      </c>
      <c r="AM171" s="1" t="str">
        <f t="shared" si="77"/>
        <v xml:space="preserve"> </v>
      </c>
      <c r="AN171" s="1" t="str">
        <f t="shared" si="78"/>
        <v xml:space="preserve"> </v>
      </c>
      <c r="AO171" s="1" t="str">
        <f t="shared" si="79"/>
        <v xml:space="preserve"> </v>
      </c>
      <c r="AP171" s="1" t="str">
        <f t="shared" si="80"/>
        <v xml:space="preserve"> </v>
      </c>
      <c r="AQ171" s="1" t="str">
        <f t="shared" si="81"/>
        <v xml:space="preserve"> </v>
      </c>
      <c r="AR171" s="1" t="str">
        <f t="shared" si="82"/>
        <v xml:space="preserve"> </v>
      </c>
      <c r="AS171" s="1">
        <f t="shared" si="83"/>
        <v>8</v>
      </c>
      <c r="AT171" s="1" t="str">
        <f t="shared" si="84"/>
        <v xml:space="preserve"> </v>
      </c>
      <c r="AU171" s="1" t="str">
        <f t="shared" si="85"/>
        <v xml:space="preserve"> </v>
      </c>
    </row>
    <row r="172" spans="1:47" ht="39.950000000000003" hidden="1" customHeight="1">
      <c r="A172" s="127">
        <v>171</v>
      </c>
      <c r="B172" s="128">
        <v>45272</v>
      </c>
      <c r="C172" s="167">
        <v>0.51388888888888895</v>
      </c>
      <c r="D172" s="130" t="s">
        <v>107</v>
      </c>
      <c r="E172" s="130" t="s">
        <v>1448</v>
      </c>
      <c r="F172" s="130" t="s">
        <v>1449</v>
      </c>
      <c r="G172" s="131">
        <v>30222218</v>
      </c>
      <c r="H172" s="130"/>
      <c r="I172" s="130" t="s">
        <v>1450</v>
      </c>
      <c r="J172" s="133"/>
      <c r="K172" s="133"/>
      <c r="L172" s="133"/>
      <c r="M172" s="130" t="s">
        <v>1451</v>
      </c>
      <c r="N172" s="129"/>
      <c r="O172" s="129"/>
      <c r="P172" s="129"/>
      <c r="Q172" s="130" t="s">
        <v>131</v>
      </c>
      <c r="R172" s="128">
        <v>45279</v>
      </c>
      <c r="S172" s="167">
        <v>0.45833333333333331</v>
      </c>
      <c r="T172" s="150" t="s">
        <v>915</v>
      </c>
      <c r="U172" s="192"/>
      <c r="V172" s="129"/>
      <c r="W172" s="23" t="str">
        <f t="shared" ca="1" si="94"/>
        <v>SI</v>
      </c>
      <c r="X172" s="130"/>
      <c r="Y172" s="130" t="s">
        <v>991</v>
      </c>
      <c r="Z172" s="197" t="s">
        <v>1039</v>
      </c>
      <c r="AA172" s="197" t="str">
        <f>IF(Z172&lt;&gt;"",VLOOKUP($Z172,Resultados!$A$1:$B$49,2,FALSE),"")</f>
        <v>Recursos Abstractos</v>
      </c>
      <c r="AC172" s="10">
        <f t="shared" si="88"/>
        <v>19</v>
      </c>
      <c r="AD172" s="10">
        <f t="shared" si="89"/>
        <v>12</v>
      </c>
      <c r="AE172" s="10">
        <f t="shared" si="90"/>
        <v>2023</v>
      </c>
      <c r="AF172" s="1">
        <f t="shared" si="92"/>
        <v>6</v>
      </c>
      <c r="AG172" s="1" t="str">
        <f t="shared" si="93"/>
        <v xml:space="preserve"> </v>
      </c>
      <c r="AH172" s="1" t="str">
        <f t="shared" si="72"/>
        <v xml:space="preserve"> </v>
      </c>
      <c r="AI172" s="1" t="str">
        <f t="shared" si="73"/>
        <v xml:space="preserve"> </v>
      </c>
      <c r="AJ172" s="1" t="str">
        <f t="shared" si="74"/>
        <v xml:space="preserve"> </v>
      </c>
      <c r="AK172" s="1" t="str">
        <f t="shared" si="75"/>
        <v xml:space="preserve"> </v>
      </c>
      <c r="AL172" s="1" t="str">
        <f t="shared" si="76"/>
        <v xml:space="preserve"> </v>
      </c>
      <c r="AM172" s="1" t="str">
        <f t="shared" si="77"/>
        <v xml:space="preserve"> </v>
      </c>
      <c r="AN172" s="1" t="str">
        <f t="shared" si="78"/>
        <v xml:space="preserve"> </v>
      </c>
      <c r="AO172" s="1" t="str">
        <f t="shared" si="79"/>
        <v xml:space="preserve"> </v>
      </c>
      <c r="AP172" s="1" t="str">
        <f t="shared" si="80"/>
        <v xml:space="preserve"> </v>
      </c>
      <c r="AQ172" s="1" t="str">
        <f t="shared" si="81"/>
        <v xml:space="preserve"> </v>
      </c>
      <c r="AR172" s="1" t="str">
        <f t="shared" si="82"/>
        <v xml:space="preserve"> </v>
      </c>
      <c r="AS172" s="1">
        <f t="shared" si="83"/>
        <v>6</v>
      </c>
      <c r="AT172" s="1" t="str">
        <f t="shared" si="84"/>
        <v xml:space="preserve"> </v>
      </c>
      <c r="AU172" s="1" t="str">
        <f t="shared" si="85"/>
        <v xml:space="preserve"> </v>
      </c>
    </row>
    <row r="173" spans="1:47" ht="39.950000000000003" hidden="1" customHeight="1">
      <c r="A173" s="127">
        <v>172</v>
      </c>
      <c r="B173" s="128">
        <v>45272</v>
      </c>
      <c r="C173" s="167">
        <v>0.51388888888888895</v>
      </c>
      <c r="D173" s="130" t="s">
        <v>432</v>
      </c>
      <c r="E173" s="130" t="s">
        <v>1452</v>
      </c>
      <c r="F173" s="130" t="s">
        <v>1453</v>
      </c>
      <c r="G173" s="131">
        <v>29645223</v>
      </c>
      <c r="H173" s="130"/>
      <c r="I173" s="130" t="s">
        <v>1454</v>
      </c>
      <c r="J173" s="133"/>
      <c r="K173" s="133"/>
      <c r="L173" s="133"/>
      <c r="M173" s="130" t="s">
        <v>1455</v>
      </c>
      <c r="N173" s="130" t="s">
        <v>1456</v>
      </c>
      <c r="O173" s="129"/>
      <c r="P173" s="129"/>
      <c r="Q173" s="130" t="s">
        <v>131</v>
      </c>
      <c r="R173" s="128"/>
      <c r="S173" s="167"/>
      <c r="T173" s="128"/>
      <c r="U173" s="193" t="s">
        <v>987</v>
      </c>
      <c r="V173" s="129"/>
      <c r="W173" s="23" t="str">
        <f t="shared" ca="1" si="94"/>
        <v>SI</v>
      </c>
      <c r="X173" s="130"/>
      <c r="Y173" s="130" t="s">
        <v>999</v>
      </c>
      <c r="Z173" s="197" t="s">
        <v>1011</v>
      </c>
      <c r="AA173" s="197" t="str">
        <f>IF(Z173&lt;&gt;"",VLOOKUP($Z173,Resultados!$A$1:$B$49,2,FALSE),"")</f>
        <v>Recursos Denegados</v>
      </c>
      <c r="AC173" s="10">
        <f t="shared" si="88"/>
        <v>0</v>
      </c>
      <c r="AD173" s="10">
        <f t="shared" si="89"/>
        <v>1</v>
      </c>
      <c r="AE173" s="10">
        <f t="shared" si="90"/>
        <v>1900</v>
      </c>
      <c r="AF173" s="1" t="str">
        <f t="shared" si="92"/>
        <v xml:space="preserve"> </v>
      </c>
      <c r="AG173" s="1" t="str">
        <f t="shared" si="93"/>
        <v xml:space="preserve"> </v>
      </c>
      <c r="AH173" s="1" t="str">
        <f t="shared" si="72"/>
        <v xml:space="preserve"> </v>
      </c>
      <c r="AI173" s="1" t="str">
        <f t="shared" si="73"/>
        <v xml:space="preserve"> </v>
      </c>
      <c r="AJ173" s="1" t="str">
        <f t="shared" si="74"/>
        <v xml:space="preserve"> </v>
      </c>
      <c r="AK173" s="1" t="str">
        <f t="shared" si="75"/>
        <v xml:space="preserve"> </v>
      </c>
      <c r="AL173" s="1" t="str">
        <f t="shared" si="76"/>
        <v xml:space="preserve"> </v>
      </c>
      <c r="AM173" s="1" t="str">
        <f t="shared" si="77"/>
        <v xml:space="preserve"> </v>
      </c>
      <c r="AN173" s="1" t="str">
        <f t="shared" si="78"/>
        <v xml:space="preserve"> </v>
      </c>
      <c r="AO173" s="1" t="str">
        <f t="shared" si="79"/>
        <v xml:space="preserve"> </v>
      </c>
      <c r="AP173" s="1" t="str">
        <f t="shared" si="80"/>
        <v xml:space="preserve"> </v>
      </c>
      <c r="AQ173" s="1" t="str">
        <f t="shared" si="81"/>
        <v xml:space="preserve"> </v>
      </c>
      <c r="AR173" s="1" t="str">
        <f t="shared" si="82"/>
        <v xml:space="preserve"> </v>
      </c>
      <c r="AS173" s="1" t="str">
        <f t="shared" si="83"/>
        <v xml:space="preserve"> </v>
      </c>
      <c r="AT173" s="1" t="str">
        <f t="shared" si="84"/>
        <v xml:space="preserve"> </v>
      </c>
      <c r="AU173" s="1" t="str">
        <f t="shared" si="85"/>
        <v xml:space="preserve"> </v>
      </c>
    </row>
    <row r="174" spans="1:47" ht="39.950000000000003" hidden="1" customHeight="1">
      <c r="A174" s="127">
        <v>173</v>
      </c>
      <c r="B174" s="128">
        <v>45274</v>
      </c>
      <c r="C174" s="167">
        <v>0.35416666666666669</v>
      </c>
      <c r="D174" s="130" t="s">
        <v>103</v>
      </c>
      <c r="E174" s="130" t="s">
        <v>1457</v>
      </c>
      <c r="F174" s="130" t="s">
        <v>1458</v>
      </c>
      <c r="G174" s="131">
        <v>42488569</v>
      </c>
      <c r="H174" s="130" t="s">
        <v>1459</v>
      </c>
      <c r="I174" s="130" t="s">
        <v>1460</v>
      </c>
      <c r="J174" s="130" t="s">
        <v>1461</v>
      </c>
      <c r="K174" s="131">
        <v>42608014</v>
      </c>
      <c r="L174" s="132" t="s">
        <v>1462</v>
      </c>
      <c r="M174" s="130" t="s">
        <v>517</v>
      </c>
      <c r="N174" s="129"/>
      <c r="O174" s="129"/>
      <c r="P174" s="129"/>
      <c r="Q174" s="130" t="s">
        <v>132</v>
      </c>
      <c r="R174" s="128">
        <v>45280</v>
      </c>
      <c r="S174" s="167">
        <v>0.39583333333333331</v>
      </c>
      <c r="T174" s="150" t="s">
        <v>1406</v>
      </c>
      <c r="U174" s="192"/>
      <c r="V174" s="129"/>
      <c r="W174" s="23" t="str">
        <f t="shared" ca="1" si="94"/>
        <v>SI</v>
      </c>
      <c r="X174" s="130"/>
      <c r="Y174" s="130" t="s">
        <v>991</v>
      </c>
      <c r="Z174" s="197" t="s">
        <v>1015</v>
      </c>
      <c r="AA174" s="197" t="str">
        <f>IF(Z174&lt;&gt;"",VLOOKUP($Z174,Resultados!$A$1:$B$49,2,FALSE),"")</f>
        <v>Recursos Denegados</v>
      </c>
      <c r="AB174" s="23" t="str">
        <f ca="1">IF(R174&gt;TODAY(),"FIJADA","OTRO")</f>
        <v>OTRO</v>
      </c>
      <c r="AC174" s="10">
        <f t="shared" si="88"/>
        <v>20</v>
      </c>
      <c r="AD174" s="10">
        <f t="shared" si="89"/>
        <v>12</v>
      </c>
      <c r="AE174" s="10">
        <f t="shared" si="90"/>
        <v>2023</v>
      </c>
      <c r="AF174" s="1">
        <f t="shared" si="92"/>
        <v>5</v>
      </c>
      <c r="AG174" s="1" t="str">
        <f t="shared" si="93"/>
        <v xml:space="preserve"> </v>
      </c>
      <c r="AH174" s="1" t="str">
        <f t="shared" si="72"/>
        <v xml:space="preserve"> </v>
      </c>
      <c r="AI174" s="1" t="str">
        <f t="shared" si="73"/>
        <v xml:space="preserve"> </v>
      </c>
      <c r="AJ174" s="1" t="str">
        <f t="shared" si="74"/>
        <v xml:space="preserve"> </v>
      </c>
      <c r="AK174" s="1" t="str">
        <f t="shared" si="75"/>
        <v xml:space="preserve"> </v>
      </c>
      <c r="AL174" s="1" t="str">
        <f t="shared" si="76"/>
        <v xml:space="preserve"> </v>
      </c>
      <c r="AM174" s="1" t="str">
        <f t="shared" si="77"/>
        <v xml:space="preserve"> </v>
      </c>
      <c r="AN174" s="1" t="str">
        <f t="shared" si="78"/>
        <v xml:space="preserve"> </v>
      </c>
      <c r="AO174" s="1" t="str">
        <f t="shared" si="79"/>
        <v xml:space="preserve"> </v>
      </c>
      <c r="AP174" s="1" t="str">
        <f t="shared" si="80"/>
        <v xml:space="preserve"> </v>
      </c>
      <c r="AQ174" s="1" t="str">
        <f t="shared" si="81"/>
        <v xml:space="preserve"> </v>
      </c>
      <c r="AR174" s="1" t="str">
        <f t="shared" si="82"/>
        <v xml:space="preserve"> </v>
      </c>
      <c r="AS174" s="1">
        <f t="shared" si="83"/>
        <v>5</v>
      </c>
      <c r="AT174" s="1" t="str">
        <f t="shared" si="84"/>
        <v xml:space="preserve"> </v>
      </c>
      <c r="AU174" s="1" t="str">
        <f t="shared" si="85"/>
        <v xml:space="preserve"> </v>
      </c>
    </row>
    <row r="175" spans="1:47" ht="39.950000000000003" hidden="1" customHeight="1">
      <c r="A175" s="127">
        <v>174</v>
      </c>
      <c r="B175" s="128">
        <v>45278</v>
      </c>
      <c r="C175" s="167">
        <v>0.33333333333333331</v>
      </c>
      <c r="D175" s="130" t="s">
        <v>1302</v>
      </c>
      <c r="E175" s="130" t="s">
        <v>1465</v>
      </c>
      <c r="F175" s="130" t="s">
        <v>1466</v>
      </c>
      <c r="G175" s="131">
        <v>34097732</v>
      </c>
      <c r="H175" s="130" t="s">
        <v>1467</v>
      </c>
      <c r="I175" s="132" t="s">
        <v>1411</v>
      </c>
      <c r="J175" s="132" t="s">
        <v>1468</v>
      </c>
      <c r="K175" s="151">
        <v>31948403</v>
      </c>
      <c r="L175" s="132" t="s">
        <v>1469</v>
      </c>
      <c r="M175" s="130" t="s">
        <v>1470</v>
      </c>
      <c r="N175" s="129"/>
      <c r="O175" s="130" t="s">
        <v>1471</v>
      </c>
      <c r="P175" s="129"/>
      <c r="Q175" s="130" t="s">
        <v>131</v>
      </c>
      <c r="R175" s="128">
        <v>45306</v>
      </c>
      <c r="S175" s="167">
        <v>0.39583333333333331</v>
      </c>
      <c r="T175" s="150" t="s">
        <v>1638</v>
      </c>
      <c r="U175" s="193" t="s">
        <v>1639</v>
      </c>
      <c r="V175" s="129"/>
      <c r="W175" s="23" t="str">
        <f t="shared" ca="1" si="94"/>
        <v>SI</v>
      </c>
      <c r="X175" s="130"/>
      <c r="Y175" s="130" t="s">
        <v>991</v>
      </c>
      <c r="Z175" s="197" t="s">
        <v>1059</v>
      </c>
      <c r="AA175" s="197" t="str">
        <f>IF(Z175&lt;&gt;"",VLOOKUP($Z175,Resultados!$A$1:$B$49,2,FALSE),"")</f>
        <v>Recursos donde se hizo lugar</v>
      </c>
      <c r="AC175" s="10">
        <f t="shared" si="88"/>
        <v>15</v>
      </c>
      <c r="AD175" s="10">
        <f t="shared" si="89"/>
        <v>1</v>
      </c>
      <c r="AE175" s="10">
        <f t="shared" si="90"/>
        <v>2024</v>
      </c>
      <c r="AF175" s="1" t="str">
        <f t="shared" si="92"/>
        <v xml:space="preserve"> </v>
      </c>
      <c r="AG175" s="1">
        <v>10</v>
      </c>
      <c r="AH175" s="1" t="str">
        <f t="shared" si="72"/>
        <v xml:space="preserve"> </v>
      </c>
      <c r="AI175" s="1" t="str">
        <f t="shared" si="73"/>
        <v xml:space="preserve"> </v>
      </c>
      <c r="AJ175" s="1" t="str">
        <f t="shared" si="74"/>
        <v xml:space="preserve"> </v>
      </c>
      <c r="AK175" s="1" t="str">
        <f t="shared" si="75"/>
        <v xml:space="preserve"> </v>
      </c>
      <c r="AL175" s="1" t="str">
        <f t="shared" si="76"/>
        <v xml:space="preserve"> </v>
      </c>
      <c r="AM175" s="1" t="str">
        <f t="shared" si="77"/>
        <v xml:space="preserve"> </v>
      </c>
      <c r="AN175" s="1" t="str">
        <f t="shared" si="78"/>
        <v xml:space="preserve"> </v>
      </c>
      <c r="AO175" s="1" t="str">
        <f t="shared" si="79"/>
        <v xml:space="preserve"> </v>
      </c>
      <c r="AP175" s="1" t="str">
        <f t="shared" si="80"/>
        <v xml:space="preserve"> </v>
      </c>
      <c r="AQ175" s="1" t="str">
        <f t="shared" si="81"/>
        <v xml:space="preserve"> </v>
      </c>
      <c r="AR175" s="1" t="str">
        <f t="shared" si="82"/>
        <v xml:space="preserve"> </v>
      </c>
      <c r="AS175" s="1" t="str">
        <f t="shared" si="83"/>
        <v xml:space="preserve"> </v>
      </c>
      <c r="AT175" s="1" t="str">
        <f t="shared" si="84"/>
        <v xml:space="preserve"> </v>
      </c>
      <c r="AU175" s="1" t="str">
        <f t="shared" si="85"/>
        <v xml:space="preserve"> </v>
      </c>
    </row>
    <row r="176" spans="1:47" ht="39.950000000000003" hidden="1" customHeight="1">
      <c r="A176" s="127">
        <v>175</v>
      </c>
      <c r="B176" s="128">
        <v>45278</v>
      </c>
      <c r="C176" s="167">
        <v>0.33333333333333331</v>
      </c>
      <c r="D176" s="130" t="s">
        <v>432</v>
      </c>
      <c r="E176" s="130" t="s">
        <v>1472</v>
      </c>
      <c r="F176" s="130" t="s">
        <v>1473</v>
      </c>
      <c r="G176" s="131">
        <v>39219100</v>
      </c>
      <c r="H176" s="130" t="s">
        <v>1476</v>
      </c>
      <c r="I176" s="132" t="s">
        <v>1474</v>
      </c>
      <c r="J176" s="132" t="s">
        <v>1475</v>
      </c>
      <c r="K176" s="151">
        <v>25993888</v>
      </c>
      <c r="L176" s="130" t="s">
        <v>1477</v>
      </c>
      <c r="M176" s="130" t="s">
        <v>517</v>
      </c>
      <c r="N176" s="129"/>
      <c r="O176" s="129"/>
      <c r="P176" s="129"/>
      <c r="Q176" s="130" t="s">
        <v>132</v>
      </c>
      <c r="R176" s="128">
        <v>45282</v>
      </c>
      <c r="S176" s="167">
        <v>0.375</v>
      </c>
      <c r="T176" s="150" t="s">
        <v>1365</v>
      </c>
      <c r="U176" s="193" t="s">
        <v>1517</v>
      </c>
      <c r="V176" s="129"/>
      <c r="W176" s="23" t="str">
        <f t="shared" ca="1" si="94"/>
        <v>SI</v>
      </c>
      <c r="X176" s="130"/>
      <c r="Y176" s="130" t="s">
        <v>991</v>
      </c>
      <c r="Z176" s="197" t="s">
        <v>1059</v>
      </c>
      <c r="AA176" s="197" t="str">
        <f>IF(Z176&lt;&gt;"",VLOOKUP($Z176,Resultados!$A$1:$B$49,2,FALSE),"")</f>
        <v>Recursos donde se hizo lugar</v>
      </c>
      <c r="AC176" s="10">
        <f t="shared" si="88"/>
        <v>22</v>
      </c>
      <c r="AD176" s="10">
        <f t="shared" si="89"/>
        <v>12</v>
      </c>
      <c r="AE176" s="10">
        <f t="shared" si="90"/>
        <v>2023</v>
      </c>
      <c r="AF176" s="1">
        <f t="shared" si="92"/>
        <v>5</v>
      </c>
      <c r="AG176" s="1" t="str">
        <f t="shared" ref="AG176:AG185" si="95">IF(AND(NETWORKDAYS($B176,$R176)&gt;0,$AE176=2024),NETWORKDAYS($B176,$R176)," ")</f>
        <v xml:space="preserve"> </v>
      </c>
      <c r="AH176" s="1" t="str">
        <f t="shared" si="72"/>
        <v xml:space="preserve"> </v>
      </c>
      <c r="AI176" s="1" t="str">
        <f t="shared" si="73"/>
        <v xml:space="preserve"> </v>
      </c>
      <c r="AJ176" s="1" t="str">
        <f t="shared" si="74"/>
        <v xml:space="preserve"> </v>
      </c>
      <c r="AK176" s="1" t="str">
        <f t="shared" si="75"/>
        <v xml:space="preserve"> </v>
      </c>
      <c r="AL176" s="1" t="str">
        <f t="shared" si="76"/>
        <v xml:space="preserve"> </v>
      </c>
      <c r="AM176" s="1" t="str">
        <f t="shared" si="77"/>
        <v xml:space="preserve"> </v>
      </c>
      <c r="AN176" s="1" t="str">
        <f t="shared" si="78"/>
        <v xml:space="preserve"> </v>
      </c>
      <c r="AO176" s="1" t="str">
        <f t="shared" si="79"/>
        <v xml:space="preserve"> </v>
      </c>
      <c r="AP176" s="1" t="str">
        <f t="shared" si="80"/>
        <v xml:space="preserve"> </v>
      </c>
      <c r="AQ176" s="1" t="str">
        <f t="shared" si="81"/>
        <v xml:space="preserve"> </v>
      </c>
      <c r="AR176" s="1" t="str">
        <f t="shared" si="82"/>
        <v xml:space="preserve"> </v>
      </c>
      <c r="AS176" s="1">
        <f t="shared" si="83"/>
        <v>5</v>
      </c>
      <c r="AT176" s="1" t="str">
        <f t="shared" si="84"/>
        <v xml:space="preserve"> </v>
      </c>
      <c r="AU176" s="1" t="str">
        <f t="shared" si="85"/>
        <v xml:space="preserve"> </v>
      </c>
    </row>
    <row r="177" spans="1:47" ht="39.950000000000003" hidden="1" customHeight="1">
      <c r="A177" s="41">
        <v>176</v>
      </c>
      <c r="B177" s="73">
        <v>45278</v>
      </c>
      <c r="C177" s="74">
        <v>0.33333333333333331</v>
      </c>
      <c r="D177" s="6" t="s">
        <v>228</v>
      </c>
      <c r="E177" s="6" t="s">
        <v>1478</v>
      </c>
      <c r="F177" s="6" t="s">
        <v>1498</v>
      </c>
      <c r="G177" s="76">
        <v>22777217</v>
      </c>
      <c r="H177" s="6"/>
      <c r="I177" s="35" t="s">
        <v>419</v>
      </c>
      <c r="J177" s="35" t="s">
        <v>1479</v>
      </c>
      <c r="K177" s="75"/>
      <c r="L177" s="75"/>
      <c r="M177" s="6" t="s">
        <v>1438</v>
      </c>
      <c r="N177" s="6" t="s">
        <v>1486</v>
      </c>
      <c r="O177" s="5"/>
      <c r="P177" s="5"/>
      <c r="Q177" s="6" t="s">
        <v>131</v>
      </c>
      <c r="R177" s="73">
        <v>45280</v>
      </c>
      <c r="S177" s="74">
        <v>0.39583333333333331</v>
      </c>
      <c r="T177" s="34" t="s">
        <v>1406</v>
      </c>
      <c r="U177" s="187"/>
      <c r="V177" s="5"/>
      <c r="W177" s="23" t="str">
        <f t="shared" ca="1" si="94"/>
        <v>SI</v>
      </c>
      <c r="X177" s="6"/>
      <c r="Y177" s="6" t="s">
        <v>991</v>
      </c>
      <c r="Z177" s="155" t="s">
        <v>1015</v>
      </c>
      <c r="AA177" s="155" t="str">
        <f>IF(Z177&lt;&gt;"",VLOOKUP($Z177,Resultados!$A$1:$B$49,2,FALSE),"")</f>
        <v>Recursos Denegados</v>
      </c>
      <c r="AB177" s="23" t="str">
        <f t="shared" ref="AB177:AB178" ca="1" si="96">IF(R177&gt;TODAY(),"FIJADA","OTRO")</f>
        <v>OTRO</v>
      </c>
      <c r="AC177" s="10">
        <f t="shared" si="88"/>
        <v>20</v>
      </c>
      <c r="AD177" s="10">
        <f t="shared" si="89"/>
        <v>12</v>
      </c>
      <c r="AE177" s="10">
        <f t="shared" si="90"/>
        <v>2023</v>
      </c>
      <c r="AF177" s="1">
        <f t="shared" si="92"/>
        <v>3</v>
      </c>
      <c r="AG177" s="1" t="str">
        <f t="shared" si="95"/>
        <v xml:space="preserve"> </v>
      </c>
      <c r="AH177" s="1" t="str">
        <f t="shared" si="72"/>
        <v xml:space="preserve"> </v>
      </c>
      <c r="AI177" s="1" t="str">
        <f t="shared" si="73"/>
        <v xml:space="preserve"> </v>
      </c>
      <c r="AJ177" s="1" t="str">
        <f t="shared" si="74"/>
        <v xml:space="preserve"> </v>
      </c>
      <c r="AK177" s="1" t="str">
        <f t="shared" si="75"/>
        <v xml:space="preserve"> </v>
      </c>
      <c r="AL177" s="1" t="str">
        <f t="shared" si="76"/>
        <v xml:space="preserve"> </v>
      </c>
      <c r="AM177" s="1" t="str">
        <f t="shared" si="77"/>
        <v xml:space="preserve"> </v>
      </c>
      <c r="AN177" s="1" t="str">
        <f t="shared" si="78"/>
        <v xml:space="preserve"> </v>
      </c>
      <c r="AO177" s="1" t="str">
        <f t="shared" si="79"/>
        <v xml:space="preserve"> </v>
      </c>
      <c r="AP177" s="1" t="str">
        <f t="shared" si="80"/>
        <v xml:space="preserve"> </v>
      </c>
      <c r="AQ177" s="1" t="str">
        <f t="shared" si="81"/>
        <v xml:space="preserve"> </v>
      </c>
      <c r="AR177" s="1" t="str">
        <f t="shared" si="82"/>
        <v xml:space="preserve"> </v>
      </c>
      <c r="AS177" s="1">
        <f t="shared" si="83"/>
        <v>3</v>
      </c>
      <c r="AT177" s="1" t="str">
        <f t="shared" si="84"/>
        <v xml:space="preserve"> </v>
      </c>
      <c r="AU177" s="1" t="str">
        <f t="shared" si="85"/>
        <v xml:space="preserve"> </v>
      </c>
    </row>
    <row r="178" spans="1:47" ht="38.25" hidden="1">
      <c r="A178" s="103">
        <v>177</v>
      </c>
      <c r="B178" s="104">
        <v>45278</v>
      </c>
      <c r="C178" s="105">
        <v>0.41666666666666669</v>
      </c>
      <c r="D178" s="106" t="s">
        <v>227</v>
      </c>
      <c r="E178" s="106" t="s">
        <v>1480</v>
      </c>
      <c r="F178" s="106" t="s">
        <v>1481</v>
      </c>
      <c r="G178" s="108">
        <v>33543374</v>
      </c>
      <c r="H178" s="106" t="s">
        <v>1482</v>
      </c>
      <c r="I178" s="109" t="s">
        <v>412</v>
      </c>
      <c r="J178" s="109" t="s">
        <v>1483</v>
      </c>
      <c r="K178" s="202">
        <v>39363538</v>
      </c>
      <c r="L178" s="109" t="s">
        <v>1484</v>
      </c>
      <c r="M178" s="106" t="s">
        <v>1485</v>
      </c>
      <c r="N178" s="106"/>
      <c r="O178" s="106"/>
      <c r="P178" s="106"/>
      <c r="Q178" s="106" t="s">
        <v>135</v>
      </c>
      <c r="R178" s="104">
        <v>45287</v>
      </c>
      <c r="S178" s="105">
        <v>0.375</v>
      </c>
      <c r="T178" s="152" t="s">
        <v>1541</v>
      </c>
      <c r="U178" s="195"/>
      <c r="V178" s="106"/>
      <c r="W178" s="23" t="str">
        <f t="shared" ca="1" si="94"/>
        <v>SI</v>
      </c>
      <c r="X178" s="156"/>
      <c r="Y178" s="107" t="s">
        <v>991</v>
      </c>
      <c r="Z178" s="155" t="s">
        <v>1015</v>
      </c>
      <c r="AA178" s="155" t="str">
        <f>IF(Z178&lt;&gt;"",VLOOKUP($Z178,Resultados!$A$1:$B$49,2,FALSE),"")</f>
        <v>Recursos Denegados</v>
      </c>
      <c r="AB178" s="23" t="str">
        <f t="shared" ca="1" si="96"/>
        <v>OTRO</v>
      </c>
      <c r="AC178" s="10">
        <f t="shared" si="88"/>
        <v>27</v>
      </c>
      <c r="AD178" s="10">
        <f t="shared" si="89"/>
        <v>12</v>
      </c>
      <c r="AE178" s="10">
        <f t="shared" si="90"/>
        <v>2023</v>
      </c>
      <c r="AF178" s="1">
        <f t="shared" si="92"/>
        <v>8</v>
      </c>
      <c r="AG178" s="1" t="str">
        <f t="shared" si="95"/>
        <v xml:space="preserve"> </v>
      </c>
      <c r="AH178" s="1" t="str">
        <f t="shared" si="72"/>
        <v xml:space="preserve"> </v>
      </c>
      <c r="AI178" s="1" t="str">
        <f t="shared" si="73"/>
        <v xml:space="preserve"> </v>
      </c>
      <c r="AJ178" s="1" t="str">
        <f t="shared" si="74"/>
        <v xml:space="preserve"> </v>
      </c>
      <c r="AK178" s="1" t="str">
        <f t="shared" si="75"/>
        <v xml:space="preserve"> </v>
      </c>
      <c r="AL178" s="1" t="str">
        <f t="shared" si="76"/>
        <v xml:space="preserve"> </v>
      </c>
      <c r="AM178" s="1" t="str">
        <f t="shared" si="77"/>
        <v xml:space="preserve"> </v>
      </c>
      <c r="AN178" s="1" t="str">
        <f t="shared" si="78"/>
        <v xml:space="preserve"> </v>
      </c>
      <c r="AO178" s="1" t="str">
        <f t="shared" si="79"/>
        <v xml:space="preserve"> </v>
      </c>
      <c r="AP178" s="1" t="str">
        <f t="shared" si="80"/>
        <v xml:space="preserve"> </v>
      </c>
      <c r="AQ178" s="1" t="str">
        <f t="shared" si="81"/>
        <v xml:space="preserve"> </v>
      </c>
      <c r="AR178" s="1" t="str">
        <f t="shared" si="82"/>
        <v xml:space="preserve"> </v>
      </c>
      <c r="AS178" s="1">
        <f t="shared" si="83"/>
        <v>8</v>
      </c>
      <c r="AT178" s="1" t="str">
        <f t="shared" si="84"/>
        <v xml:space="preserve"> </v>
      </c>
      <c r="AU178" s="1" t="str">
        <f t="shared" si="85"/>
        <v xml:space="preserve"> </v>
      </c>
    </row>
    <row r="179" spans="1:47" ht="89.25" hidden="1">
      <c r="A179" s="127">
        <v>178</v>
      </c>
      <c r="B179" s="128">
        <v>45279</v>
      </c>
      <c r="C179" s="167">
        <v>0.45833333333333331</v>
      </c>
      <c r="D179" s="130" t="s">
        <v>229</v>
      </c>
      <c r="E179" s="130" t="s">
        <v>1487</v>
      </c>
      <c r="F179" s="130" t="s">
        <v>1488</v>
      </c>
      <c r="G179" s="129"/>
      <c r="H179" s="129"/>
      <c r="I179" s="132" t="s">
        <v>1489</v>
      </c>
      <c r="J179" s="132" t="s">
        <v>1490</v>
      </c>
      <c r="K179" s="133"/>
      <c r="L179" s="133"/>
      <c r="M179" s="130" t="s">
        <v>1491</v>
      </c>
      <c r="N179" s="129"/>
      <c r="O179" s="129"/>
      <c r="P179" s="129"/>
      <c r="Q179" s="129"/>
      <c r="R179" s="128">
        <v>45288</v>
      </c>
      <c r="S179" s="167">
        <v>0.45833333333333331</v>
      </c>
      <c r="T179" s="128"/>
      <c r="U179" s="192"/>
      <c r="V179" s="129"/>
      <c r="W179" s="23" t="str">
        <f t="shared" ca="1" si="94"/>
        <v>SI</v>
      </c>
      <c r="X179" s="130"/>
      <c r="Y179" s="130" t="s">
        <v>999</v>
      </c>
      <c r="Z179" s="197" t="s">
        <v>1037</v>
      </c>
      <c r="AA179" s="197" t="str">
        <f>IF(Z179&lt;&gt;"",VLOOKUP($Z179,Resultados!$A$1:$B$49,2,FALSE),"")</f>
        <v>Audiencias de Visu</v>
      </c>
      <c r="AC179" s="10">
        <f t="shared" si="88"/>
        <v>28</v>
      </c>
      <c r="AD179" s="10">
        <f t="shared" si="89"/>
        <v>12</v>
      </c>
      <c r="AE179" s="10">
        <f t="shared" si="90"/>
        <v>2023</v>
      </c>
      <c r="AF179" s="1">
        <f t="shared" si="92"/>
        <v>8</v>
      </c>
      <c r="AG179" s="1" t="str">
        <f t="shared" si="95"/>
        <v xml:space="preserve"> </v>
      </c>
      <c r="AH179" s="1" t="str">
        <f t="shared" si="72"/>
        <v xml:space="preserve"> </v>
      </c>
      <c r="AI179" s="1" t="str">
        <f t="shared" si="73"/>
        <v xml:space="preserve"> </v>
      </c>
      <c r="AJ179" s="1" t="str">
        <f t="shared" si="74"/>
        <v xml:space="preserve"> </v>
      </c>
      <c r="AK179" s="1" t="str">
        <f t="shared" si="75"/>
        <v xml:space="preserve"> </v>
      </c>
      <c r="AL179" s="1" t="str">
        <f t="shared" si="76"/>
        <v xml:space="preserve"> </v>
      </c>
      <c r="AM179" s="1" t="str">
        <f t="shared" si="77"/>
        <v xml:space="preserve"> </v>
      </c>
      <c r="AN179" s="1" t="str">
        <f t="shared" si="78"/>
        <v xml:space="preserve"> </v>
      </c>
      <c r="AO179" s="1" t="str">
        <f t="shared" si="79"/>
        <v xml:space="preserve"> </v>
      </c>
      <c r="AP179" s="1" t="str">
        <f t="shared" si="80"/>
        <v xml:space="preserve"> </v>
      </c>
      <c r="AQ179" s="1" t="str">
        <f t="shared" si="81"/>
        <v xml:space="preserve"> </v>
      </c>
      <c r="AR179" s="1" t="str">
        <f t="shared" si="82"/>
        <v xml:space="preserve"> </v>
      </c>
      <c r="AS179" s="1">
        <f t="shared" si="83"/>
        <v>8</v>
      </c>
      <c r="AT179" s="1" t="str">
        <f t="shared" si="84"/>
        <v xml:space="preserve"> </v>
      </c>
      <c r="AU179" s="1" t="str">
        <f t="shared" si="85"/>
        <v xml:space="preserve"> </v>
      </c>
    </row>
    <row r="180" spans="1:47" ht="102" hidden="1">
      <c r="A180" s="127">
        <v>179</v>
      </c>
      <c r="B180" s="128">
        <v>45280</v>
      </c>
      <c r="C180" s="167">
        <v>0.33333333333333331</v>
      </c>
      <c r="D180" s="130" t="s">
        <v>228</v>
      </c>
      <c r="E180" s="130" t="s">
        <v>1492</v>
      </c>
      <c r="F180" s="130" t="s">
        <v>1493</v>
      </c>
      <c r="G180" s="129"/>
      <c r="H180" s="129"/>
      <c r="I180" s="132" t="s">
        <v>1494</v>
      </c>
      <c r="J180" s="132" t="s">
        <v>1495</v>
      </c>
      <c r="K180" s="133"/>
      <c r="L180" s="133"/>
      <c r="M180" s="130" t="s">
        <v>461</v>
      </c>
      <c r="N180" s="130" t="s">
        <v>1496</v>
      </c>
      <c r="O180" s="129"/>
      <c r="P180" s="129"/>
      <c r="Q180" s="130" t="s">
        <v>135</v>
      </c>
      <c r="R180" s="128">
        <v>45281</v>
      </c>
      <c r="S180" s="167">
        <v>0.39583333333333331</v>
      </c>
      <c r="T180" s="128"/>
      <c r="U180" s="192"/>
      <c r="V180" s="129"/>
      <c r="W180" s="23" t="str">
        <f t="shared" ca="1" si="94"/>
        <v>SI</v>
      </c>
      <c r="X180" s="130"/>
      <c r="Y180" s="130" t="s">
        <v>991</v>
      </c>
      <c r="Z180" s="197" t="s">
        <v>1037</v>
      </c>
      <c r="AA180" s="197" t="str">
        <f>IF(Z180&lt;&gt;"",VLOOKUP($Z180,Resultados!$A$1:$B$49,2,FALSE),"")</f>
        <v>Audiencias de Visu</v>
      </c>
      <c r="AC180" s="10">
        <f t="shared" si="88"/>
        <v>21</v>
      </c>
      <c r="AD180" s="10">
        <f t="shared" si="89"/>
        <v>12</v>
      </c>
      <c r="AE180" s="10">
        <f t="shared" si="90"/>
        <v>2023</v>
      </c>
      <c r="AF180" s="1">
        <f t="shared" si="92"/>
        <v>2</v>
      </c>
      <c r="AG180" s="1" t="str">
        <f t="shared" si="95"/>
        <v xml:space="preserve"> </v>
      </c>
      <c r="AH180" s="1" t="str">
        <f t="shared" si="72"/>
        <v xml:space="preserve"> </v>
      </c>
      <c r="AI180" s="1" t="str">
        <f t="shared" si="73"/>
        <v xml:space="preserve"> </v>
      </c>
      <c r="AJ180" s="1" t="str">
        <f t="shared" si="74"/>
        <v xml:space="preserve"> </v>
      </c>
      <c r="AK180" s="1" t="str">
        <f t="shared" si="75"/>
        <v xml:space="preserve"> </v>
      </c>
      <c r="AL180" s="1" t="str">
        <f t="shared" si="76"/>
        <v xml:space="preserve"> </v>
      </c>
      <c r="AM180" s="1" t="str">
        <f t="shared" si="77"/>
        <v xml:space="preserve"> </v>
      </c>
      <c r="AN180" s="1" t="str">
        <f t="shared" si="78"/>
        <v xml:space="preserve"> </v>
      </c>
      <c r="AO180" s="1" t="str">
        <f t="shared" si="79"/>
        <v xml:space="preserve"> </v>
      </c>
      <c r="AP180" s="1" t="str">
        <f t="shared" si="80"/>
        <v xml:space="preserve"> </v>
      </c>
      <c r="AQ180" s="1" t="str">
        <f t="shared" si="81"/>
        <v xml:space="preserve"> </v>
      </c>
      <c r="AR180" s="1" t="str">
        <f t="shared" si="82"/>
        <v xml:space="preserve"> </v>
      </c>
      <c r="AS180" s="1">
        <f t="shared" si="83"/>
        <v>2</v>
      </c>
      <c r="AT180" s="1" t="str">
        <f t="shared" si="84"/>
        <v xml:space="preserve"> </v>
      </c>
      <c r="AU180" s="1" t="str">
        <f t="shared" si="85"/>
        <v xml:space="preserve"> </v>
      </c>
    </row>
    <row r="181" spans="1:47" ht="89.25" hidden="1">
      <c r="A181" s="127">
        <v>180</v>
      </c>
      <c r="B181" s="128">
        <v>45280</v>
      </c>
      <c r="C181" s="167">
        <v>0.41666666666666669</v>
      </c>
      <c r="D181" s="130" t="s">
        <v>107</v>
      </c>
      <c r="E181" s="130" t="s">
        <v>1499</v>
      </c>
      <c r="F181" s="130" t="s">
        <v>1500</v>
      </c>
      <c r="G181" s="131">
        <v>41019994</v>
      </c>
      <c r="H181" s="130" t="s">
        <v>1501</v>
      </c>
      <c r="I181" s="132" t="s">
        <v>1506</v>
      </c>
      <c r="J181" s="132" t="s">
        <v>1502</v>
      </c>
      <c r="K181" s="151">
        <v>45597329</v>
      </c>
      <c r="L181" s="132" t="s">
        <v>1503</v>
      </c>
      <c r="M181" s="130" t="s">
        <v>1504</v>
      </c>
      <c r="N181" s="130" t="s">
        <v>1505</v>
      </c>
      <c r="O181" s="129"/>
      <c r="P181" s="129"/>
      <c r="Q181" s="130" t="s">
        <v>135</v>
      </c>
      <c r="R181" s="128">
        <v>45296</v>
      </c>
      <c r="S181" s="167">
        <v>0.39583333333333331</v>
      </c>
      <c r="T181" s="150" t="s">
        <v>1629</v>
      </c>
      <c r="U181" s="193" t="s">
        <v>1630</v>
      </c>
      <c r="V181" s="129"/>
      <c r="W181" s="23" t="str">
        <f t="shared" ca="1" si="94"/>
        <v>SI</v>
      </c>
      <c r="X181" s="130"/>
      <c r="Y181" s="130" t="s">
        <v>999</v>
      </c>
      <c r="Z181" s="197" t="s">
        <v>1021</v>
      </c>
      <c r="AA181" s="197" t="str">
        <f>IF(Z181&lt;&gt;"",VLOOKUP($Z181,Resultados!$A$1:$B$49,2,FALSE),"")</f>
        <v>Recursos donde se hizo lugar</v>
      </c>
      <c r="AC181" s="10">
        <f t="shared" si="88"/>
        <v>5</v>
      </c>
      <c r="AD181" s="10">
        <f t="shared" si="89"/>
        <v>1</v>
      </c>
      <c r="AE181" s="10">
        <f t="shared" si="90"/>
        <v>2024</v>
      </c>
      <c r="AF181" s="1" t="str">
        <f t="shared" si="92"/>
        <v xml:space="preserve"> </v>
      </c>
      <c r="AG181" s="1">
        <f t="shared" si="95"/>
        <v>13</v>
      </c>
      <c r="AH181" s="1" t="str">
        <f t="shared" si="72"/>
        <v xml:space="preserve"> </v>
      </c>
      <c r="AI181" s="1" t="str">
        <f t="shared" si="73"/>
        <v xml:space="preserve"> </v>
      </c>
      <c r="AJ181" s="1" t="str">
        <f t="shared" si="74"/>
        <v xml:space="preserve"> </v>
      </c>
      <c r="AK181" s="1" t="str">
        <f t="shared" si="75"/>
        <v xml:space="preserve"> </v>
      </c>
      <c r="AL181" s="1" t="str">
        <f t="shared" si="76"/>
        <v xml:space="preserve"> </v>
      </c>
      <c r="AM181" s="1" t="str">
        <f t="shared" si="77"/>
        <v xml:space="preserve"> </v>
      </c>
      <c r="AN181" s="1" t="str">
        <f t="shared" si="78"/>
        <v xml:space="preserve"> </v>
      </c>
      <c r="AO181" s="1" t="str">
        <f t="shared" si="79"/>
        <v xml:space="preserve"> </v>
      </c>
      <c r="AP181" s="1" t="str">
        <f t="shared" si="80"/>
        <v xml:space="preserve"> </v>
      </c>
      <c r="AQ181" s="1" t="str">
        <f t="shared" si="81"/>
        <v xml:space="preserve"> </v>
      </c>
      <c r="AR181" s="1" t="str">
        <f t="shared" si="82"/>
        <v xml:space="preserve"> </v>
      </c>
      <c r="AS181" s="1" t="str">
        <f t="shared" si="83"/>
        <v xml:space="preserve"> </v>
      </c>
      <c r="AT181" s="1" t="str">
        <f t="shared" si="84"/>
        <v xml:space="preserve"> </v>
      </c>
      <c r="AU181" s="1" t="str">
        <f t="shared" si="85"/>
        <v xml:space="preserve"> </v>
      </c>
    </row>
    <row r="182" spans="1:47" ht="102" hidden="1">
      <c r="A182" s="41">
        <v>181</v>
      </c>
      <c r="B182" s="73">
        <v>45281</v>
      </c>
      <c r="C182" s="74">
        <v>0.4375</v>
      </c>
      <c r="D182" s="63" t="s">
        <v>1695</v>
      </c>
      <c r="E182" s="6" t="s">
        <v>1507</v>
      </c>
      <c r="F182" s="6" t="s">
        <v>1508</v>
      </c>
      <c r="G182" s="76">
        <v>29295550</v>
      </c>
      <c r="H182" s="5"/>
      <c r="I182" s="35" t="s">
        <v>1509</v>
      </c>
      <c r="J182" s="35" t="s">
        <v>1510</v>
      </c>
      <c r="K182" s="35" t="s">
        <v>1511</v>
      </c>
      <c r="L182" s="35" t="s">
        <v>1512</v>
      </c>
      <c r="M182" s="6" t="s">
        <v>1513</v>
      </c>
      <c r="N182" s="5"/>
      <c r="O182" s="5"/>
      <c r="P182" s="5"/>
      <c r="Q182" s="6" t="s">
        <v>135</v>
      </c>
      <c r="R182" s="73">
        <v>45287</v>
      </c>
      <c r="S182" s="74">
        <v>0.45833333333333331</v>
      </c>
      <c r="T182" s="34" t="s">
        <v>1649</v>
      </c>
      <c r="U182" s="187"/>
      <c r="V182" s="5"/>
      <c r="W182" s="23" t="str">
        <f t="shared" ca="1" si="94"/>
        <v>SI</v>
      </c>
      <c r="X182" s="6"/>
      <c r="Y182" s="6" t="s">
        <v>991</v>
      </c>
      <c r="Z182" s="155" t="s">
        <v>1015</v>
      </c>
      <c r="AA182" s="155" t="str">
        <f>IF(Z182&lt;&gt;"",VLOOKUP($Z182,Resultados!$A$1:$B$49,2,FALSE),"")</f>
        <v>Recursos Denegados</v>
      </c>
      <c r="AB182" s="23" t="str">
        <f ca="1">IF(R182&gt;TODAY(),"FIJADA","OTRO")</f>
        <v>OTRO</v>
      </c>
      <c r="AC182" s="10">
        <f t="shared" si="88"/>
        <v>27</v>
      </c>
      <c r="AD182" s="10">
        <f t="shared" si="89"/>
        <v>12</v>
      </c>
      <c r="AE182" s="10">
        <f t="shared" si="90"/>
        <v>2023</v>
      </c>
      <c r="AF182" s="1">
        <f t="shared" si="92"/>
        <v>5</v>
      </c>
      <c r="AG182" s="1" t="str">
        <f t="shared" si="95"/>
        <v xml:space="preserve"> </v>
      </c>
      <c r="AH182" s="1" t="str">
        <f t="shared" si="72"/>
        <v xml:space="preserve"> </v>
      </c>
      <c r="AI182" s="1" t="str">
        <f t="shared" si="73"/>
        <v xml:space="preserve"> </v>
      </c>
      <c r="AJ182" s="1" t="str">
        <f t="shared" si="74"/>
        <v xml:space="preserve"> </v>
      </c>
      <c r="AK182" s="1" t="str">
        <f t="shared" si="75"/>
        <v xml:space="preserve"> </v>
      </c>
      <c r="AL182" s="1" t="str">
        <f t="shared" si="76"/>
        <v xml:space="preserve"> </v>
      </c>
      <c r="AM182" s="1" t="str">
        <f t="shared" si="77"/>
        <v xml:space="preserve"> </v>
      </c>
      <c r="AN182" s="1" t="str">
        <f t="shared" si="78"/>
        <v xml:space="preserve"> </v>
      </c>
      <c r="AO182" s="1" t="str">
        <f t="shared" si="79"/>
        <v xml:space="preserve"> </v>
      </c>
      <c r="AP182" s="1" t="str">
        <f t="shared" si="80"/>
        <v xml:space="preserve"> </v>
      </c>
      <c r="AQ182" s="1" t="str">
        <f t="shared" si="81"/>
        <v xml:space="preserve"> </v>
      </c>
      <c r="AR182" s="1" t="str">
        <f t="shared" si="82"/>
        <v xml:space="preserve"> </v>
      </c>
      <c r="AS182" s="1">
        <f t="shared" si="83"/>
        <v>5</v>
      </c>
      <c r="AT182" s="1" t="str">
        <f t="shared" si="84"/>
        <v xml:space="preserve"> </v>
      </c>
      <c r="AU182" s="1" t="str">
        <f t="shared" si="85"/>
        <v xml:space="preserve"> </v>
      </c>
    </row>
    <row r="183" spans="1:47" ht="76.5" hidden="1">
      <c r="A183" s="103">
        <v>182</v>
      </c>
      <c r="B183" s="104">
        <v>45281</v>
      </c>
      <c r="C183" s="105">
        <v>0.4375</v>
      </c>
      <c r="D183" s="106" t="s">
        <v>228</v>
      </c>
      <c r="E183" s="106" t="s">
        <v>1514</v>
      </c>
      <c r="F183" s="106" t="s">
        <v>1515</v>
      </c>
      <c r="G183" s="108">
        <v>31437314</v>
      </c>
      <c r="H183" s="106"/>
      <c r="I183" s="109" t="s">
        <v>1516</v>
      </c>
      <c r="J183" s="109"/>
      <c r="K183" s="109"/>
      <c r="L183" s="109"/>
      <c r="M183" s="106" t="s">
        <v>385</v>
      </c>
      <c r="N183" s="106"/>
      <c r="O183" s="106"/>
      <c r="P183" s="106"/>
      <c r="Q183" s="106" t="s">
        <v>131</v>
      </c>
      <c r="R183" s="104">
        <v>45288</v>
      </c>
      <c r="S183" s="105">
        <v>0.4375</v>
      </c>
      <c r="T183" s="152" t="s">
        <v>1635</v>
      </c>
      <c r="U183" s="195"/>
      <c r="V183" s="106"/>
      <c r="W183" s="23" t="str">
        <f t="shared" ca="1" si="94"/>
        <v>SI</v>
      </c>
      <c r="X183" s="156"/>
      <c r="Y183" s="107" t="s">
        <v>991</v>
      </c>
      <c r="Z183" s="197" t="s">
        <v>1059</v>
      </c>
      <c r="AA183" s="197" t="s">
        <v>1014</v>
      </c>
      <c r="AC183" s="10">
        <f t="shared" si="88"/>
        <v>28</v>
      </c>
      <c r="AD183" s="10">
        <f t="shared" si="89"/>
        <v>12</v>
      </c>
      <c r="AE183" s="10">
        <f t="shared" si="90"/>
        <v>2023</v>
      </c>
      <c r="AF183" s="1">
        <f t="shared" si="92"/>
        <v>6</v>
      </c>
      <c r="AG183" s="1" t="str">
        <f t="shared" si="95"/>
        <v xml:space="preserve"> </v>
      </c>
      <c r="AH183" s="1" t="str">
        <f t="shared" si="72"/>
        <v xml:space="preserve"> </v>
      </c>
      <c r="AI183" s="1" t="str">
        <f t="shared" si="73"/>
        <v xml:space="preserve"> </v>
      </c>
      <c r="AJ183" s="1" t="str">
        <f t="shared" si="74"/>
        <v xml:space="preserve"> </v>
      </c>
      <c r="AK183" s="1" t="str">
        <f t="shared" si="75"/>
        <v xml:space="preserve"> </v>
      </c>
      <c r="AL183" s="1" t="str">
        <f t="shared" si="76"/>
        <v xml:space="preserve"> </v>
      </c>
      <c r="AM183" s="1" t="str">
        <f t="shared" si="77"/>
        <v xml:space="preserve"> </v>
      </c>
      <c r="AN183" s="1" t="str">
        <f t="shared" si="78"/>
        <v xml:space="preserve"> </v>
      </c>
      <c r="AO183" s="1" t="str">
        <f t="shared" si="79"/>
        <v xml:space="preserve"> </v>
      </c>
      <c r="AP183" s="1" t="str">
        <f t="shared" si="80"/>
        <v xml:space="preserve"> </v>
      </c>
      <c r="AQ183" s="1" t="str">
        <f t="shared" si="81"/>
        <v xml:space="preserve"> </v>
      </c>
      <c r="AR183" s="1" t="str">
        <f t="shared" si="82"/>
        <v xml:space="preserve"> </v>
      </c>
      <c r="AS183" s="1">
        <f t="shared" si="83"/>
        <v>6</v>
      </c>
      <c r="AT183" s="1" t="str">
        <f t="shared" si="84"/>
        <v xml:space="preserve"> </v>
      </c>
      <c r="AU183" s="1" t="str">
        <f t="shared" si="85"/>
        <v xml:space="preserve"> </v>
      </c>
    </row>
    <row r="184" spans="1:47" ht="51" hidden="1">
      <c r="A184" s="127">
        <v>183</v>
      </c>
      <c r="B184" s="128">
        <v>45286</v>
      </c>
      <c r="C184" s="167">
        <v>0.33333333333333331</v>
      </c>
      <c r="D184" s="130" t="s">
        <v>229</v>
      </c>
      <c r="E184" s="130" t="s">
        <v>1518</v>
      </c>
      <c r="F184" s="130" t="s">
        <v>1519</v>
      </c>
      <c r="G184" s="129"/>
      <c r="H184" s="129"/>
      <c r="I184" s="132" t="s">
        <v>1521</v>
      </c>
      <c r="J184" s="132" t="s">
        <v>1520</v>
      </c>
      <c r="K184" s="133"/>
      <c r="L184" s="133"/>
      <c r="M184" s="130" t="s">
        <v>1522</v>
      </c>
      <c r="N184" s="129"/>
      <c r="O184" s="129"/>
      <c r="P184" s="129"/>
      <c r="Q184" s="130" t="s">
        <v>131</v>
      </c>
      <c r="R184" s="128">
        <v>45286</v>
      </c>
      <c r="S184" s="167">
        <v>0.45833333333333331</v>
      </c>
      <c r="T184" s="128"/>
      <c r="U184" s="192"/>
      <c r="V184" s="129"/>
      <c r="W184" s="23" t="str">
        <f t="shared" ca="1" si="94"/>
        <v>SI</v>
      </c>
      <c r="X184" s="130"/>
      <c r="Y184" s="130" t="s">
        <v>991</v>
      </c>
      <c r="Z184" s="197" t="s">
        <v>1037</v>
      </c>
      <c r="AA184" s="197" t="str">
        <f>IF(Z184&lt;&gt;"",VLOOKUP($Z184,Resultados!$A$1:$B$49,2,FALSE),"")</f>
        <v>Audiencias de Visu</v>
      </c>
      <c r="AC184" s="10">
        <f t="shared" si="88"/>
        <v>26</v>
      </c>
      <c r="AD184" s="10">
        <f t="shared" si="89"/>
        <v>12</v>
      </c>
      <c r="AE184" s="10">
        <f t="shared" si="90"/>
        <v>2023</v>
      </c>
      <c r="AF184" s="1">
        <f t="shared" si="92"/>
        <v>1</v>
      </c>
      <c r="AG184" s="1" t="str">
        <f t="shared" si="95"/>
        <v xml:space="preserve"> </v>
      </c>
      <c r="AH184" s="1" t="str">
        <f t="shared" si="72"/>
        <v xml:space="preserve"> </v>
      </c>
      <c r="AI184" s="1" t="str">
        <f t="shared" si="73"/>
        <v xml:space="preserve"> </v>
      </c>
      <c r="AJ184" s="1" t="str">
        <f t="shared" si="74"/>
        <v xml:space="preserve"> </v>
      </c>
      <c r="AK184" s="1" t="str">
        <f t="shared" si="75"/>
        <v xml:space="preserve"> </v>
      </c>
      <c r="AL184" s="1" t="str">
        <f t="shared" si="76"/>
        <v xml:space="preserve"> </v>
      </c>
      <c r="AM184" s="1" t="str">
        <f t="shared" si="77"/>
        <v xml:space="preserve"> </v>
      </c>
      <c r="AN184" s="1" t="str">
        <f t="shared" si="78"/>
        <v xml:space="preserve"> </v>
      </c>
      <c r="AO184" s="1" t="str">
        <f t="shared" si="79"/>
        <v xml:space="preserve"> </v>
      </c>
      <c r="AP184" s="1" t="str">
        <f t="shared" si="80"/>
        <v xml:space="preserve"> </v>
      </c>
      <c r="AQ184" s="1" t="str">
        <f t="shared" si="81"/>
        <v xml:space="preserve"> </v>
      </c>
      <c r="AR184" s="1" t="str">
        <f t="shared" si="82"/>
        <v xml:space="preserve"> </v>
      </c>
      <c r="AS184" s="1">
        <f t="shared" si="83"/>
        <v>1</v>
      </c>
      <c r="AT184" s="1" t="str">
        <f t="shared" si="84"/>
        <v xml:space="preserve"> </v>
      </c>
      <c r="AU184" s="1" t="str">
        <f t="shared" si="85"/>
        <v xml:space="preserve"> </v>
      </c>
    </row>
    <row r="185" spans="1:47" ht="39.950000000000003" hidden="1" customHeight="1">
      <c r="A185" s="127">
        <v>184</v>
      </c>
      <c r="B185" s="128">
        <v>45286</v>
      </c>
      <c r="C185" s="167">
        <v>0.375</v>
      </c>
      <c r="D185" s="130" t="s">
        <v>229</v>
      </c>
      <c r="E185" s="130" t="s">
        <v>1523</v>
      </c>
      <c r="F185" s="130" t="s">
        <v>1524</v>
      </c>
      <c r="G185" s="131">
        <v>33668105</v>
      </c>
      <c r="H185" s="130" t="s">
        <v>1526</v>
      </c>
      <c r="I185" s="132" t="s">
        <v>1525</v>
      </c>
      <c r="J185" s="132" t="s">
        <v>1527</v>
      </c>
      <c r="K185" s="151">
        <v>27175402</v>
      </c>
      <c r="L185" s="132" t="s">
        <v>1528</v>
      </c>
      <c r="M185" s="130" t="s">
        <v>517</v>
      </c>
      <c r="N185" s="129"/>
      <c r="O185" s="129"/>
      <c r="P185" s="129"/>
      <c r="Q185" s="130" t="s">
        <v>132</v>
      </c>
      <c r="R185" s="128">
        <v>45289</v>
      </c>
      <c r="S185" s="167">
        <v>0.39583333333333331</v>
      </c>
      <c r="T185" s="150" t="s">
        <v>1646</v>
      </c>
      <c r="U185" s="192"/>
      <c r="V185" s="129"/>
      <c r="W185" s="23" t="str">
        <f t="shared" ca="1" si="94"/>
        <v>SI</v>
      </c>
      <c r="X185" s="130"/>
      <c r="Y185" s="130" t="s">
        <v>991</v>
      </c>
      <c r="Z185" s="197" t="s">
        <v>1015</v>
      </c>
      <c r="AA185" s="197" t="str">
        <f>IF(Z185&lt;&gt;"",VLOOKUP($Z185,Resultados!$A$1:$B$49,2,FALSE),"")</f>
        <v>Recursos Denegados</v>
      </c>
      <c r="AB185" s="23" t="str">
        <f ca="1">IF(R185&gt;TODAY(),"FIJADA","OTRO")</f>
        <v>OTRO</v>
      </c>
      <c r="AC185" s="10">
        <f t="shared" si="88"/>
        <v>29</v>
      </c>
      <c r="AD185" s="10">
        <f t="shared" si="89"/>
        <v>12</v>
      </c>
      <c r="AE185" s="10">
        <f t="shared" si="90"/>
        <v>2023</v>
      </c>
      <c r="AF185" s="1">
        <f t="shared" si="92"/>
        <v>4</v>
      </c>
      <c r="AG185" s="1" t="str">
        <f t="shared" si="95"/>
        <v xml:space="preserve"> </v>
      </c>
      <c r="AH185" s="1" t="str">
        <f t="shared" si="72"/>
        <v xml:space="preserve"> </v>
      </c>
      <c r="AI185" s="1" t="str">
        <f t="shared" si="73"/>
        <v xml:space="preserve"> </v>
      </c>
      <c r="AJ185" s="1" t="str">
        <f t="shared" si="74"/>
        <v xml:space="preserve"> </v>
      </c>
      <c r="AK185" s="1" t="str">
        <f t="shared" si="75"/>
        <v xml:space="preserve"> </v>
      </c>
      <c r="AL185" s="1" t="str">
        <f t="shared" si="76"/>
        <v xml:space="preserve"> </v>
      </c>
      <c r="AM185" s="1" t="str">
        <f t="shared" si="77"/>
        <v xml:space="preserve"> </v>
      </c>
      <c r="AN185" s="1" t="str">
        <f t="shared" si="78"/>
        <v xml:space="preserve"> </v>
      </c>
      <c r="AO185" s="1" t="str">
        <f t="shared" si="79"/>
        <v xml:space="preserve"> </v>
      </c>
      <c r="AP185" s="1" t="str">
        <f t="shared" si="80"/>
        <v xml:space="preserve"> </v>
      </c>
      <c r="AQ185" s="1" t="str">
        <f t="shared" si="81"/>
        <v xml:space="preserve"> </v>
      </c>
      <c r="AR185" s="1" t="str">
        <f t="shared" si="82"/>
        <v xml:space="preserve"> </v>
      </c>
      <c r="AS185" s="1">
        <f t="shared" si="83"/>
        <v>4</v>
      </c>
      <c r="AT185" s="1" t="str">
        <f t="shared" si="84"/>
        <v xml:space="preserve"> </v>
      </c>
      <c r="AU185" s="1" t="str">
        <f t="shared" si="85"/>
        <v xml:space="preserve"> </v>
      </c>
    </row>
    <row r="186" spans="1:47" ht="38.25" hidden="1">
      <c r="A186" s="127">
        <v>185</v>
      </c>
      <c r="B186" s="128">
        <v>45286</v>
      </c>
      <c r="C186" s="167">
        <v>0.375</v>
      </c>
      <c r="D186" s="63" t="s">
        <v>1695</v>
      </c>
      <c r="E186" s="130" t="s">
        <v>1529</v>
      </c>
      <c r="F186" s="130" t="s">
        <v>1530</v>
      </c>
      <c r="G186" s="131">
        <v>37777724</v>
      </c>
      <c r="H186" s="130" t="s">
        <v>1531</v>
      </c>
      <c r="I186" s="132" t="s">
        <v>1532</v>
      </c>
      <c r="J186" s="132" t="s">
        <v>1533</v>
      </c>
      <c r="K186" s="151">
        <v>29645371</v>
      </c>
      <c r="L186" s="132" t="s">
        <v>1534</v>
      </c>
      <c r="M186" s="130" t="s">
        <v>1455</v>
      </c>
      <c r="N186" s="129"/>
      <c r="O186" s="129"/>
      <c r="P186" s="129"/>
      <c r="Q186" s="130" t="s">
        <v>135</v>
      </c>
      <c r="R186" s="150">
        <v>45302</v>
      </c>
      <c r="S186" s="167">
        <v>0.375</v>
      </c>
      <c r="T186" s="150" t="s">
        <v>1635</v>
      </c>
      <c r="U186" s="193" t="s">
        <v>1535</v>
      </c>
      <c r="V186" s="129"/>
      <c r="W186" s="23" t="str">
        <f t="shared" ca="1" si="94"/>
        <v>SI</v>
      </c>
      <c r="X186" s="130"/>
      <c r="Y186" s="130" t="s">
        <v>991</v>
      </c>
      <c r="Z186" s="197" t="s">
        <v>1016</v>
      </c>
      <c r="AA186" s="197" t="str">
        <f>IF(Z186&lt;&gt;"",VLOOKUP($Z186,Resultados!$A$1:$B$49,2,FALSE),"")</f>
        <v>Recursos donde se hizo lugar</v>
      </c>
      <c r="AC186" s="10">
        <f t="shared" si="88"/>
        <v>11</v>
      </c>
      <c r="AD186" s="10">
        <f t="shared" si="89"/>
        <v>1</v>
      </c>
      <c r="AE186" s="10">
        <f t="shared" si="90"/>
        <v>2024</v>
      </c>
      <c r="AF186" s="1" t="str">
        <f t="shared" si="92"/>
        <v xml:space="preserve"> </v>
      </c>
      <c r="AG186" s="1">
        <v>8</v>
      </c>
      <c r="AH186" s="1" t="str">
        <f t="shared" si="72"/>
        <v xml:space="preserve"> </v>
      </c>
      <c r="AI186" s="1" t="str">
        <f t="shared" si="73"/>
        <v xml:space="preserve"> </v>
      </c>
      <c r="AJ186" s="1" t="str">
        <f t="shared" si="74"/>
        <v xml:space="preserve"> </v>
      </c>
      <c r="AK186" s="1" t="str">
        <f t="shared" si="75"/>
        <v xml:space="preserve"> </v>
      </c>
      <c r="AL186" s="1" t="str">
        <f t="shared" si="76"/>
        <v xml:space="preserve"> </v>
      </c>
      <c r="AM186" s="1" t="str">
        <f t="shared" si="77"/>
        <v xml:space="preserve"> </v>
      </c>
      <c r="AN186" s="1" t="str">
        <f t="shared" si="78"/>
        <v xml:space="preserve"> </v>
      </c>
      <c r="AO186" s="1" t="str">
        <f t="shared" si="79"/>
        <v xml:space="preserve"> </v>
      </c>
      <c r="AP186" s="1" t="str">
        <f t="shared" si="80"/>
        <v xml:space="preserve"> </v>
      </c>
      <c r="AQ186" s="1" t="str">
        <f t="shared" si="81"/>
        <v xml:space="preserve"> </v>
      </c>
      <c r="AR186" s="1" t="str">
        <f t="shared" si="82"/>
        <v xml:space="preserve"> </v>
      </c>
      <c r="AS186" s="1" t="str">
        <f t="shared" si="83"/>
        <v xml:space="preserve"> </v>
      </c>
      <c r="AT186" s="1" t="str">
        <f t="shared" si="84"/>
        <v xml:space="preserve"> </v>
      </c>
      <c r="AU186" s="1" t="str">
        <f t="shared" si="85"/>
        <v xml:space="preserve"> </v>
      </c>
    </row>
    <row r="187" spans="1:47" ht="39.950000000000003" hidden="1" customHeight="1">
      <c r="A187" s="127">
        <v>186</v>
      </c>
      <c r="B187" s="128">
        <v>45286</v>
      </c>
      <c r="C187" s="167">
        <v>0.47916666666666669</v>
      </c>
      <c r="D187" s="130" t="s">
        <v>103</v>
      </c>
      <c r="E187" s="130" t="s">
        <v>1536</v>
      </c>
      <c r="F187" s="130" t="s">
        <v>1634</v>
      </c>
      <c r="G187" s="131">
        <v>39363265</v>
      </c>
      <c r="H187" s="129"/>
      <c r="I187" s="132" t="s">
        <v>1537</v>
      </c>
      <c r="J187" s="132" t="s">
        <v>1538</v>
      </c>
      <c r="K187" s="151">
        <v>45018717</v>
      </c>
      <c r="L187" s="132" t="s">
        <v>1539</v>
      </c>
      <c r="M187" s="130" t="s">
        <v>1540</v>
      </c>
      <c r="N187" s="129"/>
      <c r="O187" s="129"/>
      <c r="P187" s="129"/>
      <c r="Q187" s="130" t="s">
        <v>131</v>
      </c>
      <c r="R187" s="128">
        <v>45296</v>
      </c>
      <c r="S187" s="167">
        <v>0.4375</v>
      </c>
      <c r="T187" s="150" t="s">
        <v>1633</v>
      </c>
      <c r="U187" s="193" t="s">
        <v>1632</v>
      </c>
      <c r="V187" s="129"/>
      <c r="W187" s="23" t="str">
        <f t="shared" ca="1" si="94"/>
        <v>SI</v>
      </c>
      <c r="X187" s="130"/>
      <c r="Y187" s="130" t="s">
        <v>991</v>
      </c>
      <c r="Z187" s="197" t="s">
        <v>1059</v>
      </c>
      <c r="AA187" s="197" t="str">
        <f>IF(Z187&lt;&gt;"",VLOOKUP($Z187,Resultados!$A$1:$B$49,2,FALSE),"")</f>
        <v>Recursos donde se hizo lugar</v>
      </c>
      <c r="AC187" s="10">
        <f t="shared" si="88"/>
        <v>5</v>
      </c>
      <c r="AD187" s="10">
        <f t="shared" si="89"/>
        <v>1</v>
      </c>
      <c r="AE187" s="10">
        <f t="shared" si="90"/>
        <v>2024</v>
      </c>
      <c r="AF187" s="1" t="str">
        <f t="shared" si="92"/>
        <v xml:space="preserve"> </v>
      </c>
      <c r="AG187" s="1">
        <f>IF(AND(NETWORKDAYS($B187,$R187)&gt;0,$AE187=2024),NETWORKDAYS($B187,$R187)," ")</f>
        <v>9</v>
      </c>
      <c r="AH187" s="1" t="str">
        <f t="shared" si="72"/>
        <v xml:space="preserve"> </v>
      </c>
      <c r="AI187" s="1" t="str">
        <f t="shared" si="73"/>
        <v xml:space="preserve"> </v>
      </c>
      <c r="AJ187" s="1" t="str">
        <f t="shared" si="74"/>
        <v xml:space="preserve"> </v>
      </c>
      <c r="AK187" s="1" t="str">
        <f t="shared" si="75"/>
        <v xml:space="preserve"> </v>
      </c>
      <c r="AL187" s="1" t="str">
        <f t="shared" si="76"/>
        <v xml:space="preserve"> </v>
      </c>
      <c r="AM187" s="1" t="str">
        <f t="shared" si="77"/>
        <v xml:space="preserve"> </v>
      </c>
      <c r="AN187" s="1" t="str">
        <f t="shared" si="78"/>
        <v xml:space="preserve"> </v>
      </c>
      <c r="AO187" s="1" t="str">
        <f t="shared" si="79"/>
        <v xml:space="preserve"> </v>
      </c>
      <c r="AP187" s="1" t="str">
        <f t="shared" si="80"/>
        <v xml:space="preserve"> </v>
      </c>
      <c r="AQ187" s="1" t="str">
        <f t="shared" si="81"/>
        <v xml:space="preserve"> </v>
      </c>
      <c r="AR187" s="1" t="str">
        <f t="shared" si="82"/>
        <v xml:space="preserve"> </v>
      </c>
      <c r="AS187" s="1" t="str">
        <f t="shared" si="83"/>
        <v xml:space="preserve"> </v>
      </c>
      <c r="AT187" s="1" t="str">
        <f t="shared" si="84"/>
        <v xml:space="preserve"> </v>
      </c>
      <c r="AU187" s="1" t="str">
        <f t="shared" si="85"/>
        <v xml:space="preserve"> </v>
      </c>
    </row>
    <row r="188" spans="1:47" ht="39.950000000000003" hidden="1" customHeight="1">
      <c r="A188" s="127">
        <v>187</v>
      </c>
      <c r="B188" s="128">
        <v>45287</v>
      </c>
      <c r="C188" s="167">
        <v>0.55208333333333337</v>
      </c>
      <c r="D188" s="130" t="s">
        <v>227</v>
      </c>
      <c r="E188" s="130" t="s">
        <v>1542</v>
      </c>
      <c r="F188" s="130" t="s">
        <v>1543</v>
      </c>
      <c r="G188" s="129"/>
      <c r="H188" s="129"/>
      <c r="I188" s="132" t="s">
        <v>1544</v>
      </c>
      <c r="J188" s="133"/>
      <c r="K188" s="133"/>
      <c r="L188" s="133"/>
      <c r="M188" s="130" t="s">
        <v>1545</v>
      </c>
      <c r="N188" s="129"/>
      <c r="O188" s="129"/>
      <c r="P188" s="129"/>
      <c r="Q188" s="129"/>
      <c r="R188" s="128"/>
      <c r="S188" s="167"/>
      <c r="T188" s="150"/>
      <c r="U188" s="193" t="s">
        <v>1631</v>
      </c>
      <c r="V188" s="129"/>
      <c r="W188" s="23" t="str">
        <f t="shared" ca="1" si="94"/>
        <v>SI</v>
      </c>
      <c r="X188" s="130"/>
      <c r="Y188" s="130"/>
      <c r="Z188" s="197" t="s">
        <v>1091</v>
      </c>
      <c r="AA188" s="197" t="str">
        <f>IF(Z188&lt;&gt;"",VLOOKUP($Z188,Resultados!$A$1:$B$49,2,FALSE),"")</f>
        <v>Audiencias Suspendidas</v>
      </c>
      <c r="AC188" s="10">
        <f t="shared" si="88"/>
        <v>0</v>
      </c>
      <c r="AD188" s="10">
        <f t="shared" si="89"/>
        <v>1</v>
      </c>
      <c r="AE188" s="10">
        <f t="shared" si="90"/>
        <v>1900</v>
      </c>
      <c r="AF188" s="1" t="str">
        <f t="shared" si="92"/>
        <v xml:space="preserve"> </v>
      </c>
      <c r="AG188" s="1" t="str">
        <f>IF(AND(NETWORKDAYS($B188,$R188)&gt;0,$AE188=2024),NETWORKDAYS($B188,$R188)," ")</f>
        <v xml:space="preserve"> </v>
      </c>
      <c r="AH188" s="1" t="str">
        <f t="shared" si="72"/>
        <v xml:space="preserve"> </v>
      </c>
      <c r="AI188" s="1" t="str">
        <f t="shared" si="73"/>
        <v xml:space="preserve"> </v>
      </c>
      <c r="AJ188" s="1" t="str">
        <f t="shared" si="74"/>
        <v xml:space="preserve"> </v>
      </c>
      <c r="AK188" s="1" t="str">
        <f t="shared" si="75"/>
        <v xml:space="preserve"> </v>
      </c>
      <c r="AL188" s="1" t="str">
        <f t="shared" si="76"/>
        <v xml:space="preserve"> </v>
      </c>
      <c r="AM188" s="1" t="str">
        <f t="shared" si="77"/>
        <v xml:space="preserve"> </v>
      </c>
      <c r="AN188" s="1" t="str">
        <f t="shared" si="78"/>
        <v xml:space="preserve"> </v>
      </c>
      <c r="AO188" s="1" t="str">
        <f t="shared" si="79"/>
        <v xml:space="preserve"> </v>
      </c>
      <c r="AP188" s="1" t="str">
        <f t="shared" si="80"/>
        <v xml:space="preserve"> </v>
      </c>
      <c r="AQ188" s="1" t="str">
        <f t="shared" si="81"/>
        <v xml:space="preserve"> </v>
      </c>
      <c r="AR188" s="1" t="str">
        <f t="shared" si="82"/>
        <v xml:space="preserve"> </v>
      </c>
      <c r="AS188" s="1" t="str">
        <f t="shared" si="83"/>
        <v xml:space="preserve"> </v>
      </c>
      <c r="AT188" s="1" t="str">
        <f t="shared" si="84"/>
        <v xml:space="preserve"> </v>
      </c>
      <c r="AU188" s="1" t="str">
        <f t="shared" si="85"/>
        <v xml:space="preserve"> </v>
      </c>
    </row>
    <row r="189" spans="1:47" ht="39.950000000000003" hidden="1" customHeight="1">
      <c r="A189" s="127">
        <v>188</v>
      </c>
      <c r="B189" s="128">
        <v>45286</v>
      </c>
      <c r="C189" s="167">
        <v>0.55555555555555558</v>
      </c>
      <c r="D189" s="130" t="s">
        <v>107</v>
      </c>
      <c r="E189" s="130" t="s">
        <v>1546</v>
      </c>
      <c r="F189" s="130" t="s">
        <v>1547</v>
      </c>
      <c r="G189" s="129"/>
      <c r="H189" s="130" t="s">
        <v>1548</v>
      </c>
      <c r="I189" s="132" t="s">
        <v>1549</v>
      </c>
      <c r="J189" s="132" t="s">
        <v>1550</v>
      </c>
      <c r="K189" s="133"/>
      <c r="L189" s="133"/>
      <c r="M189" s="130" t="s">
        <v>1551</v>
      </c>
      <c r="N189" s="129"/>
      <c r="O189" s="129"/>
      <c r="P189" s="130" t="s">
        <v>1552</v>
      </c>
      <c r="Q189" s="130" t="s">
        <v>132</v>
      </c>
      <c r="R189" s="128">
        <v>45300</v>
      </c>
      <c r="S189" s="167">
        <v>0.4375</v>
      </c>
      <c r="T189" s="150" t="s">
        <v>922</v>
      </c>
      <c r="U189" s="192"/>
      <c r="V189" s="129"/>
      <c r="W189" s="23" t="str">
        <f t="shared" ca="1" si="94"/>
        <v>SI</v>
      </c>
      <c r="X189" s="130"/>
      <c r="Y189" s="130" t="s">
        <v>991</v>
      </c>
      <c r="Z189" s="197" t="s">
        <v>1073</v>
      </c>
      <c r="AA189" s="197" t="str">
        <f>IF(Z189&lt;&gt;"",VLOOKUP($Z189,Resultados!$A$1:$B$49,2,FALSE),"")</f>
        <v>Recursos denegados - Mantiene arresto domiciliario</v>
      </c>
      <c r="AC189" s="10">
        <f t="shared" si="88"/>
        <v>9</v>
      </c>
      <c r="AD189" s="10">
        <f t="shared" si="89"/>
        <v>1</v>
      </c>
      <c r="AE189" s="10">
        <f t="shared" si="90"/>
        <v>2024</v>
      </c>
      <c r="AF189" s="1" t="str">
        <f t="shared" si="92"/>
        <v xml:space="preserve"> </v>
      </c>
      <c r="AG189" s="1">
        <v>8</v>
      </c>
      <c r="AH189" s="1" t="str">
        <f t="shared" si="72"/>
        <v xml:space="preserve"> </v>
      </c>
      <c r="AI189" s="1" t="str">
        <f t="shared" si="73"/>
        <v xml:space="preserve"> </v>
      </c>
      <c r="AJ189" s="1" t="str">
        <f t="shared" si="74"/>
        <v xml:space="preserve"> </v>
      </c>
      <c r="AK189" s="1" t="str">
        <f t="shared" si="75"/>
        <v xml:space="preserve"> </v>
      </c>
      <c r="AL189" s="1" t="str">
        <f t="shared" si="76"/>
        <v xml:space="preserve"> </v>
      </c>
      <c r="AM189" s="1" t="str">
        <f t="shared" si="77"/>
        <v xml:space="preserve"> </v>
      </c>
      <c r="AN189" s="1" t="str">
        <f t="shared" si="78"/>
        <v xml:space="preserve"> </v>
      </c>
      <c r="AO189" s="1" t="str">
        <f t="shared" si="79"/>
        <v xml:space="preserve"> </v>
      </c>
      <c r="AP189" s="1" t="str">
        <f t="shared" si="80"/>
        <v xml:space="preserve"> </v>
      </c>
      <c r="AQ189" s="1" t="str">
        <f t="shared" si="81"/>
        <v xml:space="preserve"> </v>
      </c>
      <c r="AR189" s="1" t="str">
        <f t="shared" si="82"/>
        <v xml:space="preserve"> </v>
      </c>
      <c r="AS189" s="1" t="str">
        <f t="shared" si="83"/>
        <v xml:space="preserve"> </v>
      </c>
      <c r="AT189" s="1" t="str">
        <f t="shared" si="84"/>
        <v xml:space="preserve"> </v>
      </c>
      <c r="AU189" s="1" t="str">
        <f t="shared" si="85"/>
        <v xml:space="preserve"> </v>
      </c>
    </row>
    <row r="190" spans="1:47" ht="39.950000000000003" hidden="1" customHeight="1">
      <c r="A190" s="127">
        <v>189</v>
      </c>
      <c r="B190" s="150">
        <v>45282</v>
      </c>
      <c r="C190" s="130" t="s">
        <v>1553</v>
      </c>
      <c r="D190" s="130" t="s">
        <v>1693</v>
      </c>
      <c r="E190" s="130" t="s">
        <v>1554</v>
      </c>
      <c r="F190" s="130" t="s">
        <v>1466</v>
      </c>
      <c r="G190" s="131">
        <v>34097732</v>
      </c>
      <c r="H190" s="130"/>
      <c r="I190" s="132" t="s">
        <v>1411</v>
      </c>
      <c r="J190" s="132"/>
      <c r="K190" s="151"/>
      <c r="L190" s="132"/>
      <c r="M190" s="130" t="s">
        <v>1470</v>
      </c>
      <c r="N190" s="129"/>
      <c r="O190" s="130" t="s">
        <v>1471</v>
      </c>
      <c r="P190" s="129"/>
      <c r="Q190" s="130" t="s">
        <v>131</v>
      </c>
      <c r="R190" s="128">
        <v>45306</v>
      </c>
      <c r="S190" s="167">
        <v>0.39583333333333331</v>
      </c>
      <c r="T190" s="150" t="s">
        <v>1648</v>
      </c>
      <c r="U190" s="193" t="s">
        <v>1639</v>
      </c>
      <c r="V190" s="129"/>
      <c r="W190" s="23" t="str">
        <f t="shared" ca="1" si="94"/>
        <v>SI</v>
      </c>
      <c r="X190" s="130"/>
      <c r="Y190" s="130" t="s">
        <v>991</v>
      </c>
      <c r="Z190" s="197" t="s">
        <v>1059</v>
      </c>
      <c r="AA190" s="197" t="str">
        <f>IF(Z190&lt;&gt;"",VLOOKUP($Z190,Resultados!$A$1:$B$49,2,FALSE),"")</f>
        <v>Recursos donde se hizo lugar</v>
      </c>
      <c r="AC190" s="10">
        <f t="shared" si="88"/>
        <v>15</v>
      </c>
      <c r="AD190" s="10">
        <f t="shared" si="89"/>
        <v>1</v>
      </c>
      <c r="AE190" s="10">
        <f t="shared" si="90"/>
        <v>2024</v>
      </c>
      <c r="AF190" s="1" t="str">
        <f t="shared" si="92"/>
        <v xml:space="preserve"> </v>
      </c>
      <c r="AG190" s="1">
        <v>6</v>
      </c>
      <c r="AH190" s="1" t="str">
        <f t="shared" si="72"/>
        <v xml:space="preserve"> </v>
      </c>
      <c r="AI190" s="1" t="str">
        <f t="shared" si="73"/>
        <v xml:space="preserve"> </v>
      </c>
      <c r="AJ190" s="1" t="str">
        <f t="shared" si="74"/>
        <v xml:space="preserve"> </v>
      </c>
      <c r="AK190" s="1" t="str">
        <f t="shared" si="75"/>
        <v xml:space="preserve"> </v>
      </c>
      <c r="AL190" s="1" t="str">
        <f t="shared" si="76"/>
        <v xml:space="preserve"> </v>
      </c>
      <c r="AM190" s="1" t="str">
        <f t="shared" si="77"/>
        <v xml:space="preserve"> </v>
      </c>
      <c r="AN190" s="1" t="str">
        <f t="shared" si="78"/>
        <v xml:space="preserve"> </v>
      </c>
      <c r="AO190" s="1" t="str">
        <f t="shared" si="79"/>
        <v xml:space="preserve"> </v>
      </c>
      <c r="AP190" s="1" t="str">
        <f t="shared" si="80"/>
        <v xml:space="preserve"> </v>
      </c>
      <c r="AQ190" s="1" t="str">
        <f t="shared" si="81"/>
        <v xml:space="preserve"> </v>
      </c>
      <c r="AR190" s="1" t="str">
        <f t="shared" si="82"/>
        <v xml:space="preserve"> </v>
      </c>
      <c r="AS190" s="1" t="str">
        <f t="shared" si="83"/>
        <v xml:space="preserve"> </v>
      </c>
      <c r="AT190" s="1" t="str">
        <f t="shared" si="84"/>
        <v xml:space="preserve"> </v>
      </c>
      <c r="AU190" s="1" t="str">
        <f t="shared" si="85"/>
        <v xml:space="preserve"> </v>
      </c>
    </row>
    <row r="191" spans="1:47" ht="39.950000000000003" hidden="1" customHeight="1">
      <c r="A191" s="127">
        <v>190</v>
      </c>
      <c r="B191" s="128">
        <v>45286</v>
      </c>
      <c r="C191" s="167">
        <v>0.55555555555555558</v>
      </c>
      <c r="D191" s="130" t="s">
        <v>1555</v>
      </c>
      <c r="E191" s="130" t="s">
        <v>1556</v>
      </c>
      <c r="F191" s="130" t="s">
        <v>1557</v>
      </c>
      <c r="G191" s="130" t="s">
        <v>1558</v>
      </c>
      <c r="H191" s="130" t="s">
        <v>1559</v>
      </c>
      <c r="I191" s="132" t="s">
        <v>1560</v>
      </c>
      <c r="J191" s="132" t="s">
        <v>1561</v>
      </c>
      <c r="K191" s="133"/>
      <c r="L191" s="133"/>
      <c r="M191" s="130" t="s">
        <v>1562</v>
      </c>
      <c r="N191" s="129"/>
      <c r="O191" s="129"/>
      <c r="P191" s="130" t="s">
        <v>1563</v>
      </c>
      <c r="Q191" s="130" t="s">
        <v>1564</v>
      </c>
      <c r="R191" s="128"/>
      <c r="S191" s="167"/>
      <c r="T191" s="150" t="s">
        <v>987</v>
      </c>
      <c r="U191" s="192"/>
      <c r="V191" s="129"/>
      <c r="W191" s="23" t="str">
        <f t="shared" ca="1" si="94"/>
        <v>SI</v>
      </c>
      <c r="X191" s="130"/>
      <c r="Y191" s="130"/>
      <c r="Z191" s="197" t="s">
        <v>1041</v>
      </c>
      <c r="AA191" s="197" t="str">
        <f>IF(Z191&lt;&gt;"",VLOOKUP($Z191,Resultados!$A$1:$B$49,2,FALSE),"")</f>
        <v xml:space="preserve">Otros </v>
      </c>
      <c r="AC191" s="10">
        <f t="shared" si="88"/>
        <v>0</v>
      </c>
      <c r="AD191" s="10">
        <f t="shared" si="89"/>
        <v>1</v>
      </c>
      <c r="AE191" s="10">
        <f t="shared" si="90"/>
        <v>1900</v>
      </c>
      <c r="AF191" s="1" t="str">
        <f t="shared" si="92"/>
        <v xml:space="preserve"> </v>
      </c>
      <c r="AG191" s="1" t="str">
        <f>IF(AND(NETWORKDAYS($B191,$R191)&gt;0,$AE191=2024),NETWORKDAYS($B191,$R191)," ")</f>
        <v xml:space="preserve"> </v>
      </c>
      <c r="AH191" s="1" t="str">
        <f t="shared" si="72"/>
        <v xml:space="preserve"> </v>
      </c>
      <c r="AI191" s="1" t="str">
        <f t="shared" si="73"/>
        <v xml:space="preserve"> </v>
      </c>
      <c r="AJ191" s="1" t="str">
        <f t="shared" si="74"/>
        <v xml:space="preserve"> </v>
      </c>
      <c r="AK191" s="1" t="str">
        <f t="shared" si="75"/>
        <v xml:space="preserve"> </v>
      </c>
      <c r="AL191" s="1" t="str">
        <f t="shared" si="76"/>
        <v xml:space="preserve"> </v>
      </c>
      <c r="AM191" s="1" t="str">
        <f t="shared" si="77"/>
        <v xml:space="preserve"> </v>
      </c>
      <c r="AN191" s="1" t="str">
        <f t="shared" si="78"/>
        <v xml:space="preserve"> </v>
      </c>
      <c r="AO191" s="1" t="str">
        <f t="shared" si="79"/>
        <v xml:space="preserve"> </v>
      </c>
      <c r="AP191" s="1" t="str">
        <f t="shared" si="80"/>
        <v xml:space="preserve"> </v>
      </c>
      <c r="AQ191" s="1" t="str">
        <f t="shared" si="81"/>
        <v xml:space="preserve"> </v>
      </c>
      <c r="AR191" s="1" t="str">
        <f t="shared" si="82"/>
        <v xml:space="preserve"> </v>
      </c>
      <c r="AS191" s="1" t="str">
        <f t="shared" si="83"/>
        <v xml:space="preserve"> </v>
      </c>
      <c r="AT191" s="1" t="str">
        <f t="shared" si="84"/>
        <v xml:space="preserve"> </v>
      </c>
      <c r="AU191" s="1" t="str">
        <f t="shared" si="85"/>
        <v xml:space="preserve"> </v>
      </c>
    </row>
    <row r="192" spans="1:47" ht="39.950000000000003" hidden="1" customHeight="1">
      <c r="A192" s="127">
        <v>191</v>
      </c>
      <c r="B192" s="128">
        <v>45280</v>
      </c>
      <c r="C192" s="167">
        <v>0.54166666666666663</v>
      </c>
      <c r="D192" s="130" t="s">
        <v>1555</v>
      </c>
      <c r="E192" s="130" t="s">
        <v>1565</v>
      </c>
      <c r="F192" s="130" t="s">
        <v>1566</v>
      </c>
      <c r="G192" s="131">
        <v>44402621</v>
      </c>
      <c r="H192" s="130" t="s">
        <v>1567</v>
      </c>
      <c r="I192" s="132" t="s">
        <v>1537</v>
      </c>
      <c r="J192" s="132" t="s">
        <v>1568</v>
      </c>
      <c r="K192" s="133"/>
      <c r="L192" s="133"/>
      <c r="M192" s="130" t="s">
        <v>1569</v>
      </c>
      <c r="N192" s="130" t="s">
        <v>1580</v>
      </c>
      <c r="O192" s="129"/>
      <c r="P192" s="130" t="s">
        <v>1570</v>
      </c>
      <c r="Q192" s="130" t="s">
        <v>1564</v>
      </c>
      <c r="R192" s="128"/>
      <c r="S192" s="167"/>
      <c r="T192" s="150" t="s">
        <v>987</v>
      </c>
      <c r="U192" s="192"/>
      <c r="V192" s="129"/>
      <c r="W192" s="23" t="str">
        <f t="shared" ca="1" si="94"/>
        <v>SI</v>
      </c>
      <c r="X192" s="130"/>
      <c r="Y192" s="130"/>
      <c r="Z192" s="197" t="s">
        <v>1041</v>
      </c>
      <c r="AA192" s="197" t="str">
        <f>IF(Z192&lt;&gt;"",VLOOKUP($Z192,Resultados!$A$1:$B$49,2,FALSE),"")</f>
        <v xml:space="preserve">Otros </v>
      </c>
      <c r="AC192" s="10">
        <f t="shared" si="88"/>
        <v>0</v>
      </c>
      <c r="AD192" s="10">
        <f t="shared" si="89"/>
        <v>1</v>
      </c>
      <c r="AE192" s="10">
        <f t="shared" si="90"/>
        <v>1900</v>
      </c>
      <c r="AF192" s="1" t="str">
        <f t="shared" si="92"/>
        <v xml:space="preserve"> </v>
      </c>
      <c r="AG192" s="1" t="str">
        <f>IF(AND(NETWORKDAYS($B192,$R192)&gt;0,$AE192=2024),NETWORKDAYS($B192,$R192)," ")</f>
        <v xml:space="preserve"> </v>
      </c>
      <c r="AH192" s="1" t="str">
        <f t="shared" si="72"/>
        <v xml:space="preserve"> </v>
      </c>
      <c r="AI192" s="1" t="str">
        <f t="shared" si="73"/>
        <v xml:space="preserve"> </v>
      </c>
      <c r="AJ192" s="1" t="str">
        <f t="shared" si="74"/>
        <v xml:space="preserve"> </v>
      </c>
      <c r="AK192" s="1" t="str">
        <f t="shared" si="75"/>
        <v xml:space="preserve"> </v>
      </c>
      <c r="AL192" s="1" t="str">
        <f t="shared" si="76"/>
        <v xml:space="preserve"> </v>
      </c>
      <c r="AM192" s="1" t="str">
        <f t="shared" si="77"/>
        <v xml:space="preserve"> </v>
      </c>
      <c r="AN192" s="1" t="str">
        <f t="shared" si="78"/>
        <v xml:space="preserve"> </v>
      </c>
      <c r="AO192" s="1" t="str">
        <f t="shared" si="79"/>
        <v xml:space="preserve"> </v>
      </c>
      <c r="AP192" s="1" t="str">
        <f t="shared" si="80"/>
        <v xml:space="preserve"> </v>
      </c>
      <c r="AQ192" s="1" t="str">
        <f t="shared" si="81"/>
        <v xml:space="preserve"> </v>
      </c>
      <c r="AR192" s="1" t="str">
        <f t="shared" si="82"/>
        <v xml:space="preserve"> </v>
      </c>
      <c r="AS192" s="1" t="str">
        <f t="shared" si="83"/>
        <v xml:space="preserve"> </v>
      </c>
      <c r="AT192" s="1" t="str">
        <f t="shared" si="84"/>
        <v xml:space="preserve"> </v>
      </c>
      <c r="AU192" s="1" t="str">
        <f t="shared" si="85"/>
        <v xml:space="preserve"> </v>
      </c>
    </row>
    <row r="193" spans="1:47" ht="39.950000000000003" hidden="1" customHeight="1">
      <c r="A193" s="127">
        <v>192</v>
      </c>
      <c r="B193" s="128">
        <v>45282</v>
      </c>
      <c r="C193" s="167">
        <v>0.54166666666666663</v>
      </c>
      <c r="D193" s="130" t="s">
        <v>1555</v>
      </c>
      <c r="E193" s="130" t="s">
        <v>1571</v>
      </c>
      <c r="F193" s="130" t="s">
        <v>1572</v>
      </c>
      <c r="G193" s="205" t="s">
        <v>1573</v>
      </c>
      <c r="H193" s="130" t="s">
        <v>1574</v>
      </c>
      <c r="I193" s="132" t="s">
        <v>1537</v>
      </c>
      <c r="J193" s="132" t="s">
        <v>1568</v>
      </c>
      <c r="K193" s="133"/>
      <c r="L193" s="133"/>
      <c r="M193" s="130" t="s">
        <v>1575</v>
      </c>
      <c r="N193" s="130" t="s">
        <v>1580</v>
      </c>
      <c r="O193" s="129"/>
      <c r="P193" s="130" t="s">
        <v>1570</v>
      </c>
      <c r="Q193" s="130" t="s">
        <v>1564</v>
      </c>
      <c r="R193" s="128"/>
      <c r="S193" s="167"/>
      <c r="T193" s="150" t="s">
        <v>987</v>
      </c>
      <c r="U193" s="192"/>
      <c r="V193" s="129"/>
      <c r="W193" s="23" t="str">
        <f t="shared" ca="1" si="94"/>
        <v>SI</v>
      </c>
      <c r="X193" s="130"/>
      <c r="Y193" s="130"/>
      <c r="Z193" s="197" t="s">
        <v>1041</v>
      </c>
      <c r="AA193" s="197" t="str">
        <f>IF(Z193&lt;&gt;"",VLOOKUP($Z193,Resultados!$A$1:$B$49,2,FALSE),"")</f>
        <v xml:space="preserve">Otros </v>
      </c>
      <c r="AC193" s="10">
        <f t="shared" si="88"/>
        <v>0</v>
      </c>
      <c r="AD193" s="10">
        <f t="shared" si="89"/>
        <v>1</v>
      </c>
      <c r="AE193" s="10">
        <f t="shared" si="90"/>
        <v>1900</v>
      </c>
      <c r="AF193" s="1" t="str">
        <f t="shared" ref="AF193:AF202" si="97">IF(AND(NETWORKDAYS($B193,$R193)&gt;0,$AE193=2023),NETWORKDAYS($B193,$R193)," ")</f>
        <v xml:space="preserve"> </v>
      </c>
      <c r="AG193" s="1" t="str">
        <f>IF(AND(NETWORKDAYS($B193,$R193)&gt;0,$AE193=2024),NETWORKDAYS($B193,$R193)," ")</f>
        <v xml:space="preserve"> </v>
      </c>
      <c r="AH193" s="1" t="str">
        <f t="shared" si="72"/>
        <v xml:space="preserve"> </v>
      </c>
      <c r="AI193" s="1" t="str">
        <f t="shared" si="73"/>
        <v xml:space="preserve"> </v>
      </c>
      <c r="AJ193" s="1" t="str">
        <f t="shared" si="74"/>
        <v xml:space="preserve"> </v>
      </c>
      <c r="AK193" s="1" t="str">
        <f t="shared" si="75"/>
        <v xml:space="preserve"> </v>
      </c>
      <c r="AL193" s="1" t="str">
        <f t="shared" si="76"/>
        <v xml:space="preserve"> </v>
      </c>
      <c r="AM193" s="1" t="str">
        <f t="shared" si="77"/>
        <v xml:space="preserve"> </v>
      </c>
      <c r="AN193" s="1" t="str">
        <f t="shared" si="78"/>
        <v xml:space="preserve"> </v>
      </c>
      <c r="AO193" s="1" t="str">
        <f t="shared" si="79"/>
        <v xml:space="preserve"> </v>
      </c>
      <c r="AP193" s="1" t="str">
        <f t="shared" si="80"/>
        <v xml:space="preserve"> </v>
      </c>
      <c r="AQ193" s="1" t="str">
        <f t="shared" si="81"/>
        <v xml:space="preserve"> </v>
      </c>
      <c r="AR193" s="1" t="str">
        <f t="shared" si="82"/>
        <v xml:space="preserve"> </v>
      </c>
      <c r="AS193" s="1" t="str">
        <f t="shared" si="83"/>
        <v xml:space="preserve"> </v>
      </c>
      <c r="AT193" s="1" t="str">
        <f t="shared" si="84"/>
        <v xml:space="preserve"> </v>
      </c>
      <c r="AU193" s="1" t="str">
        <f t="shared" si="85"/>
        <v xml:space="preserve"> </v>
      </c>
    </row>
    <row r="194" spans="1:47" ht="39.950000000000003" hidden="1" customHeight="1">
      <c r="A194" s="127">
        <v>193</v>
      </c>
      <c r="B194" s="128">
        <v>45282</v>
      </c>
      <c r="C194" s="167">
        <v>0.54166666666666663</v>
      </c>
      <c r="D194" s="130" t="s">
        <v>1555</v>
      </c>
      <c r="E194" s="130" t="s">
        <v>1576</v>
      </c>
      <c r="F194" s="130" t="s">
        <v>1577</v>
      </c>
      <c r="G194" s="205">
        <v>39398868</v>
      </c>
      <c r="H194" s="130" t="s">
        <v>1579</v>
      </c>
      <c r="I194" s="132" t="s">
        <v>1537</v>
      </c>
      <c r="J194" s="132" t="s">
        <v>1568</v>
      </c>
      <c r="K194" s="133"/>
      <c r="L194" s="133"/>
      <c r="M194" s="130" t="s">
        <v>1578</v>
      </c>
      <c r="N194" s="130" t="s">
        <v>1580</v>
      </c>
      <c r="O194" s="129"/>
      <c r="P194" s="130" t="s">
        <v>1570</v>
      </c>
      <c r="Q194" s="130" t="s">
        <v>1564</v>
      </c>
      <c r="R194" s="128"/>
      <c r="S194" s="167"/>
      <c r="T194" s="150" t="s">
        <v>987</v>
      </c>
      <c r="U194" s="192"/>
      <c r="V194" s="129"/>
      <c r="W194" s="23" t="str">
        <f t="shared" ca="1" si="94"/>
        <v>SI</v>
      </c>
      <c r="X194" s="130"/>
      <c r="Y194" s="130"/>
      <c r="Z194" s="197" t="s">
        <v>1041</v>
      </c>
      <c r="AA194" s="197" t="str">
        <f>IF(Z194&lt;&gt;"",VLOOKUP($Z194,Resultados!$A$1:$B$49,2,FALSE),"")</f>
        <v xml:space="preserve">Otros </v>
      </c>
      <c r="AC194" s="10">
        <f t="shared" si="88"/>
        <v>0</v>
      </c>
      <c r="AD194" s="10">
        <f t="shared" si="89"/>
        <v>1</v>
      </c>
      <c r="AE194" s="10">
        <f t="shared" si="90"/>
        <v>1900</v>
      </c>
      <c r="AF194" s="1" t="str">
        <f t="shared" si="97"/>
        <v xml:space="preserve"> </v>
      </c>
      <c r="AG194" s="1" t="str">
        <f>IF(AND(NETWORKDAYS($B194,$R194)&gt;0,$AE194=2024),NETWORKDAYS($B194,$R194)," ")</f>
        <v xml:space="preserve"> </v>
      </c>
      <c r="AH194" s="1" t="str">
        <f t="shared" si="72"/>
        <v xml:space="preserve"> </v>
      </c>
      <c r="AI194" s="1" t="str">
        <f t="shared" si="73"/>
        <v xml:space="preserve"> </v>
      </c>
      <c r="AJ194" s="1" t="str">
        <f t="shared" si="74"/>
        <v xml:space="preserve"> </v>
      </c>
      <c r="AK194" s="1" t="str">
        <f t="shared" si="75"/>
        <v xml:space="preserve"> </v>
      </c>
      <c r="AL194" s="1" t="str">
        <f t="shared" si="76"/>
        <v xml:space="preserve"> </v>
      </c>
      <c r="AM194" s="1" t="str">
        <f t="shared" si="77"/>
        <v xml:space="preserve"> </v>
      </c>
      <c r="AN194" s="1" t="str">
        <f t="shared" si="78"/>
        <v xml:space="preserve"> </v>
      </c>
      <c r="AO194" s="1" t="str">
        <f t="shared" si="79"/>
        <v xml:space="preserve"> </v>
      </c>
      <c r="AP194" s="1" t="str">
        <f t="shared" si="80"/>
        <v xml:space="preserve"> </v>
      </c>
      <c r="AQ194" s="1" t="str">
        <f t="shared" si="81"/>
        <v xml:space="preserve"> </v>
      </c>
      <c r="AR194" s="1" t="str">
        <f t="shared" si="82"/>
        <v xml:space="preserve"> </v>
      </c>
      <c r="AS194" s="1" t="str">
        <f t="shared" si="83"/>
        <v xml:space="preserve"> </v>
      </c>
      <c r="AT194" s="1" t="str">
        <f t="shared" si="84"/>
        <v xml:space="preserve"> </v>
      </c>
      <c r="AU194" s="1" t="str">
        <f t="shared" si="85"/>
        <v xml:space="preserve"> </v>
      </c>
    </row>
    <row r="195" spans="1:47" ht="38.25" hidden="1">
      <c r="A195" s="206">
        <v>194</v>
      </c>
      <c r="B195" s="221">
        <v>45272</v>
      </c>
      <c r="C195" s="222">
        <v>0.57500000000000007</v>
      </c>
      <c r="D195" s="223" t="s">
        <v>1581</v>
      </c>
      <c r="E195" s="224" t="s">
        <v>1582</v>
      </c>
      <c r="F195" s="223" t="s">
        <v>1583</v>
      </c>
      <c r="G195" s="225">
        <v>26031722</v>
      </c>
      <c r="H195" s="223" t="s">
        <v>1584</v>
      </c>
      <c r="I195" s="226" t="s">
        <v>1585</v>
      </c>
      <c r="J195" s="227" t="s">
        <v>1586</v>
      </c>
      <c r="K195" s="228"/>
      <c r="L195" s="229"/>
      <c r="M195" s="230" t="s">
        <v>1587</v>
      </c>
      <c r="N195" s="231"/>
      <c r="O195" s="231"/>
      <c r="P195" s="223" t="s">
        <v>1588</v>
      </c>
      <c r="Q195" s="224" t="s">
        <v>1564</v>
      </c>
      <c r="R195" s="232">
        <v>44938</v>
      </c>
      <c r="S195" s="222">
        <v>0.4375</v>
      </c>
      <c r="T195" s="221" t="s">
        <v>1406</v>
      </c>
      <c r="U195" s="233"/>
      <c r="V195" s="234"/>
      <c r="W195" s="23" t="e">
        <f ca="1">'Informe anual'!#REF!=IF(R195&lt;=TODAY(),"SI","NO")</f>
        <v>#REF!</v>
      </c>
      <c r="X195" s="230"/>
      <c r="Y195" s="223" t="s">
        <v>991</v>
      </c>
      <c r="Z195" s="235" t="s">
        <v>1015</v>
      </c>
      <c r="AA195" s="235" t="s">
        <v>1026</v>
      </c>
      <c r="AB195" s="23" t="str">
        <f ca="1">IF(R195&gt;TODAY(),"FIJADA","OTRO")</f>
        <v>OTRO</v>
      </c>
      <c r="AC195" s="10">
        <f t="shared" si="88"/>
        <v>12</v>
      </c>
      <c r="AD195" s="10">
        <f t="shared" si="89"/>
        <v>1</v>
      </c>
      <c r="AE195" s="10">
        <f t="shared" si="90"/>
        <v>2023</v>
      </c>
      <c r="AF195" s="1" t="str">
        <f t="shared" si="97"/>
        <v xml:space="preserve"> </v>
      </c>
      <c r="AG195" s="1" t="str">
        <f>IF(AND(NETWORKDAYS($B195,$R195)&gt;0,$AE195=2024),NETWORKDAYS($B195,$R195)," ")</f>
        <v xml:space="preserve"> </v>
      </c>
      <c r="AH195" s="1" t="str">
        <f t="shared" ref="AH195:AH202" si="98">IF(AND(NETWORKDAYS($B195,$R195)&gt;0,$AE195=2023,$AD195=$AH$1),NETWORKDAYS($B195,$R195)," ")</f>
        <v xml:space="preserve"> </v>
      </c>
      <c r="AI195" s="1" t="str">
        <f t="shared" ref="AI195:AI202" si="99">IF(AND(NETWORKDAYS($B195,$R195)&gt;0,$AE195=2023,$AD195=$AI$1),NETWORKDAYS($B195,$R195)," ")</f>
        <v xml:space="preserve"> </v>
      </c>
      <c r="AJ195" s="1" t="str">
        <f t="shared" ref="AJ195:AJ202" si="100">IF(AND(NETWORKDAYS($B195,$R195)&gt;0,$AE195=2023,$AD195=$AJ$1),NETWORKDAYS($B195,$R195)," ")</f>
        <v xml:space="preserve"> </v>
      </c>
      <c r="AK195" s="1" t="str">
        <f t="shared" ref="AK195:AK202" si="101">IF(AND(NETWORKDAYS($B195,$R195)&gt;0,$AE195=2023,$AD195=$AK$1),NETWORKDAYS($B195,$R195)," ")</f>
        <v xml:space="preserve"> </v>
      </c>
      <c r="AL195" s="1" t="str">
        <f t="shared" ref="AL195:AL202" si="102">IF(AND(NETWORKDAYS($B195,$R195)&gt;0,$AE195=2023,$AD195=$AL$1),NETWORKDAYS($B195,$R195)," ")</f>
        <v xml:space="preserve"> </v>
      </c>
      <c r="AM195" s="1" t="str">
        <f t="shared" ref="AM195:AM202" si="103">IF(AND(NETWORKDAYS($B195,$R195)&gt;0,$AE195=2023,$AD195=$AM$1),NETWORKDAYS($B195,$R195)," ")</f>
        <v xml:space="preserve"> </v>
      </c>
      <c r="AN195" s="1" t="str">
        <f t="shared" ref="AN195:AN202" si="104">IF(AND(NETWORKDAYS($B195,$R195)&gt;0,$AE195=2023,$AD195=$AN$1),NETWORKDAYS($B195,$R195)," ")</f>
        <v xml:space="preserve"> </v>
      </c>
      <c r="AO195" s="1" t="str">
        <f t="shared" ref="AO195:AO202" si="105">IF(AND(NETWORKDAYS($B195,$R195)&gt;0,$AE195=2023,$AD195=$AO$1),NETWORKDAYS($B195,$R195)," ")</f>
        <v xml:space="preserve"> </v>
      </c>
      <c r="AP195" s="1" t="str">
        <f t="shared" ref="AP195:AP202" si="106">IF(AND(NETWORKDAYS($B195,$R195)&gt;0,$AE195=2023,$AD195=$AP$1),NETWORKDAYS($B195,$R195)," ")</f>
        <v xml:space="preserve"> </v>
      </c>
      <c r="AQ195" s="1" t="str">
        <f t="shared" ref="AQ195:AQ202" si="107">IF(AND(NETWORKDAYS($B195,$R195)&gt;0,$AE195=2023,$AD195=$AQ$1),NETWORKDAYS($B195,$R195)," ")</f>
        <v xml:space="preserve"> </v>
      </c>
      <c r="AR195" s="1" t="str">
        <f t="shared" ref="AR195:AR202" si="108">IF(AND(NETWORKDAYS($B195,$R195)&gt;0,$AE195=2023,$AD195=$AR$1),NETWORKDAYS($B195,$R195)," ")</f>
        <v xml:space="preserve"> </v>
      </c>
      <c r="AS195" s="1" t="str">
        <f t="shared" ref="AS195:AS202" si="109">IF(AND(NETWORKDAYS($B195,$R195)&gt;0,$AE195=2023,$AD195=$AS$1),NETWORKDAYS($B195,$R195)," ")</f>
        <v xml:space="preserve"> </v>
      </c>
      <c r="AT195" s="1" t="str">
        <f t="shared" ref="AT195:AT202" si="110">IF(AND(NETWORKDAYS($B195,$R195)&gt;0,$AE195=2023,$AD195=$AT$1),NETWORKDAYS($B195,$R195)," ")</f>
        <v xml:space="preserve"> </v>
      </c>
      <c r="AU195" s="1" t="str">
        <f t="shared" ref="AU195:AU202" si="111">IF(AND(NETWORKDAYS($B195,$R195)&gt;0,$AE195=2023,$AD195=$AU$1),NETWORKDAYS($B195,$R195)," ")</f>
        <v xml:space="preserve"> </v>
      </c>
    </row>
    <row r="196" spans="1:47" ht="39.950000000000003" customHeight="1">
      <c r="A196" s="127">
        <v>195</v>
      </c>
      <c r="B196" s="128">
        <v>45296</v>
      </c>
      <c r="C196" s="167">
        <v>0.52430555555555558</v>
      </c>
      <c r="D196" s="130" t="s">
        <v>1555</v>
      </c>
      <c r="E196" s="130" t="s">
        <v>1645</v>
      </c>
      <c r="F196" s="130" t="s">
        <v>1589</v>
      </c>
      <c r="G196" s="131">
        <v>45328013</v>
      </c>
      <c r="H196" s="130" t="s">
        <v>1590</v>
      </c>
      <c r="I196" s="132" t="s">
        <v>1591</v>
      </c>
      <c r="J196" s="132" t="s">
        <v>1592</v>
      </c>
      <c r="K196" s="133"/>
      <c r="L196" s="133"/>
      <c r="M196" s="130" t="s">
        <v>1596</v>
      </c>
      <c r="N196" s="130" t="s">
        <v>1595</v>
      </c>
      <c r="O196" s="130" t="s">
        <v>1594</v>
      </c>
      <c r="P196" s="130" t="s">
        <v>1593</v>
      </c>
      <c r="Q196" s="130" t="s">
        <v>1564</v>
      </c>
      <c r="R196" s="128">
        <v>45315</v>
      </c>
      <c r="S196" s="167">
        <v>0.5</v>
      </c>
      <c r="T196" s="150" t="s">
        <v>1646</v>
      </c>
      <c r="U196" s="193" t="s">
        <v>1647</v>
      </c>
      <c r="V196" s="129"/>
      <c r="W196" s="23" t="str">
        <f t="shared" ref="W196:W201" ca="1" si="112">IF(R196&lt;=TODAY(),"SI","NO")</f>
        <v>SI</v>
      </c>
      <c r="X196" s="130"/>
      <c r="Y196" s="130" t="s">
        <v>991</v>
      </c>
      <c r="Z196" s="197" t="s">
        <v>1059</v>
      </c>
      <c r="AA196" s="197" t="str">
        <f>IF(Z196&lt;&gt;"",VLOOKUP($Z196,Resultados!$A$1:$B$49,2,FALSE),"")</f>
        <v>Recursos donde se hizo lugar</v>
      </c>
      <c r="AC196" s="10">
        <f t="shared" ref="AC196:AC202" si="113">DAY($R196)</f>
        <v>24</v>
      </c>
      <c r="AD196" s="10">
        <f t="shared" ref="AD196:AD202" si="114">MONTH($R196)</f>
        <v>1</v>
      </c>
      <c r="AE196" s="10">
        <f t="shared" ref="AE196:AE202" si="115">YEAR(R196)</f>
        <v>2024</v>
      </c>
      <c r="AF196" s="1" t="str">
        <f t="shared" si="97"/>
        <v xml:space="preserve"> </v>
      </c>
      <c r="AG196" s="1">
        <v>8</v>
      </c>
      <c r="AH196" s="1" t="str">
        <f t="shared" si="98"/>
        <v xml:space="preserve"> </v>
      </c>
      <c r="AI196" s="1" t="str">
        <f t="shared" si="99"/>
        <v xml:space="preserve"> </v>
      </c>
      <c r="AJ196" s="1" t="str">
        <f t="shared" si="100"/>
        <v xml:space="preserve"> </v>
      </c>
      <c r="AK196" s="1" t="str">
        <f t="shared" si="101"/>
        <v xml:space="preserve"> </v>
      </c>
      <c r="AL196" s="1" t="str">
        <f t="shared" si="102"/>
        <v xml:space="preserve"> </v>
      </c>
      <c r="AM196" s="1" t="str">
        <f t="shared" si="103"/>
        <v xml:space="preserve"> </v>
      </c>
      <c r="AN196" s="1" t="str">
        <f t="shared" si="104"/>
        <v xml:space="preserve"> </v>
      </c>
      <c r="AO196" s="1" t="str">
        <f t="shared" si="105"/>
        <v xml:space="preserve"> </v>
      </c>
      <c r="AP196" s="1" t="str">
        <f t="shared" si="106"/>
        <v xml:space="preserve"> </v>
      </c>
      <c r="AQ196" s="1" t="str">
        <f t="shared" si="107"/>
        <v xml:space="preserve"> </v>
      </c>
      <c r="AR196" s="1" t="str">
        <f t="shared" si="108"/>
        <v xml:space="preserve"> </v>
      </c>
      <c r="AS196" s="1" t="str">
        <f t="shared" si="109"/>
        <v xml:space="preserve"> </v>
      </c>
      <c r="AT196" s="1" t="str">
        <f t="shared" si="110"/>
        <v xml:space="preserve"> </v>
      </c>
      <c r="AU196" s="1" t="str">
        <f t="shared" si="111"/>
        <v xml:space="preserve"> </v>
      </c>
    </row>
    <row r="197" spans="1:47" ht="39.950000000000003" customHeight="1">
      <c r="A197" s="127">
        <v>196</v>
      </c>
      <c r="B197" s="128">
        <v>45654</v>
      </c>
      <c r="C197" s="167">
        <v>0.55555555555555558</v>
      </c>
      <c r="D197" s="130" t="s">
        <v>1693</v>
      </c>
      <c r="E197" s="130" t="s">
        <v>1597</v>
      </c>
      <c r="F197" s="130" t="s">
        <v>1598</v>
      </c>
      <c r="G197" s="131">
        <v>28088870</v>
      </c>
      <c r="H197" s="130" t="s">
        <v>1599</v>
      </c>
      <c r="I197" s="132" t="s">
        <v>1600</v>
      </c>
      <c r="J197" s="132" t="s">
        <v>1601</v>
      </c>
      <c r="K197" s="151">
        <v>26770869</v>
      </c>
      <c r="L197" s="132" t="s">
        <v>1602</v>
      </c>
      <c r="M197" s="130" t="s">
        <v>1604</v>
      </c>
      <c r="N197" s="130" t="s">
        <v>1603</v>
      </c>
      <c r="O197" s="130" t="s">
        <v>1605</v>
      </c>
      <c r="P197" s="130" t="s">
        <v>1606</v>
      </c>
      <c r="Q197" s="130" t="s">
        <v>1564</v>
      </c>
      <c r="R197" s="128">
        <v>45303</v>
      </c>
      <c r="S197" s="167">
        <v>0.39583333333333331</v>
      </c>
      <c r="T197" s="150" t="s">
        <v>1636</v>
      </c>
      <c r="U197" s="193" t="s">
        <v>1637</v>
      </c>
      <c r="V197" s="129"/>
      <c r="W197" s="23" t="str">
        <f t="shared" ca="1" si="112"/>
        <v>SI</v>
      </c>
      <c r="X197" s="130"/>
      <c r="Y197" s="130"/>
      <c r="Z197" s="197" t="s">
        <v>1022</v>
      </c>
      <c r="AA197" s="197" t="str">
        <f>IF(Z197&lt;&gt;"",VLOOKUP($Z197,Resultados!$A$1:$B$49,2,FALSE),"")</f>
        <v>Recursos donde se hizo lugar</v>
      </c>
      <c r="AC197" s="10">
        <f t="shared" si="113"/>
        <v>12</v>
      </c>
      <c r="AD197" s="10">
        <f t="shared" si="114"/>
        <v>1</v>
      </c>
      <c r="AE197" s="10">
        <f t="shared" si="115"/>
        <v>2024</v>
      </c>
      <c r="AF197" s="1" t="str">
        <f t="shared" si="97"/>
        <v xml:space="preserve"> </v>
      </c>
      <c r="AG197" s="1" t="str">
        <f t="shared" ref="AG197:AG202" si="116">IF(AND(NETWORKDAYS($B197,$R197)&gt;0,$AE197=2024),NETWORKDAYS($B197,$R197)," ")</f>
        <v xml:space="preserve"> </v>
      </c>
      <c r="AH197" s="1" t="str">
        <f t="shared" si="98"/>
        <v xml:space="preserve"> </v>
      </c>
      <c r="AI197" s="1" t="str">
        <f t="shared" si="99"/>
        <v xml:space="preserve"> </v>
      </c>
      <c r="AJ197" s="1" t="str">
        <f t="shared" si="100"/>
        <v xml:space="preserve"> </v>
      </c>
      <c r="AK197" s="1" t="str">
        <f t="shared" si="101"/>
        <v xml:space="preserve"> </v>
      </c>
      <c r="AL197" s="1" t="str">
        <f t="shared" si="102"/>
        <v xml:space="preserve"> </v>
      </c>
      <c r="AM197" s="1" t="str">
        <f t="shared" si="103"/>
        <v xml:space="preserve"> </v>
      </c>
      <c r="AN197" s="1" t="str">
        <f t="shared" si="104"/>
        <v xml:space="preserve"> </v>
      </c>
      <c r="AO197" s="1" t="str">
        <f t="shared" si="105"/>
        <v xml:space="preserve"> </v>
      </c>
      <c r="AP197" s="1" t="str">
        <f t="shared" si="106"/>
        <v xml:space="preserve"> </v>
      </c>
      <c r="AQ197" s="1" t="str">
        <f t="shared" si="107"/>
        <v xml:space="preserve"> </v>
      </c>
      <c r="AR197" s="1" t="str">
        <f t="shared" si="108"/>
        <v xml:space="preserve"> </v>
      </c>
      <c r="AS197" s="1" t="str">
        <f t="shared" si="109"/>
        <v xml:space="preserve"> </v>
      </c>
      <c r="AT197" s="1" t="str">
        <f t="shared" si="110"/>
        <v xml:space="preserve"> </v>
      </c>
      <c r="AU197" s="1" t="str">
        <f t="shared" si="111"/>
        <v xml:space="preserve"> </v>
      </c>
    </row>
    <row r="198" spans="1:47" ht="51">
      <c r="A198" s="127">
        <v>197</v>
      </c>
      <c r="B198" s="128">
        <v>45303</v>
      </c>
      <c r="C198" s="167">
        <v>0.4375</v>
      </c>
      <c r="D198" s="130" t="s">
        <v>1607</v>
      </c>
      <c r="E198" s="130" t="s">
        <v>1643</v>
      </c>
      <c r="F198" s="130" t="s">
        <v>1608</v>
      </c>
      <c r="G198" s="131">
        <v>35906298</v>
      </c>
      <c r="H198" s="130" t="s">
        <v>1609</v>
      </c>
      <c r="I198" s="132" t="s">
        <v>1610</v>
      </c>
      <c r="J198" s="132" t="s">
        <v>1611</v>
      </c>
      <c r="K198" s="151">
        <v>39217968</v>
      </c>
      <c r="L198" s="132" t="s">
        <v>1612</v>
      </c>
      <c r="M198" s="130" t="s">
        <v>1613</v>
      </c>
      <c r="N198" s="130" t="s">
        <v>1614</v>
      </c>
      <c r="O198" s="129"/>
      <c r="P198" s="129"/>
      <c r="Q198" s="130" t="s">
        <v>131</v>
      </c>
      <c r="R198" s="128">
        <v>45313</v>
      </c>
      <c r="S198" s="167">
        <v>0.39583333333333331</v>
      </c>
      <c r="T198" s="150" t="s">
        <v>1644</v>
      </c>
      <c r="U198" s="193" t="s">
        <v>1615</v>
      </c>
      <c r="V198" s="129"/>
      <c r="W198" s="23" t="str">
        <f t="shared" ca="1" si="112"/>
        <v>SI</v>
      </c>
      <c r="X198" s="130"/>
      <c r="Y198" s="130" t="s">
        <v>991</v>
      </c>
      <c r="Z198" s="197" t="s">
        <v>1073</v>
      </c>
      <c r="AA198" s="197" t="str">
        <f>IF(Z198&lt;&gt;"",VLOOKUP($Z198,Resultados!$A$1:$B$49,2,FALSE),"")</f>
        <v>Recursos denegados - Mantiene arresto domiciliario</v>
      </c>
      <c r="AC198" s="10">
        <f t="shared" si="113"/>
        <v>22</v>
      </c>
      <c r="AD198" s="10">
        <f t="shared" si="114"/>
        <v>1</v>
      </c>
      <c r="AE198" s="10">
        <f t="shared" si="115"/>
        <v>2024</v>
      </c>
      <c r="AF198" s="1" t="str">
        <f t="shared" si="97"/>
        <v xml:space="preserve"> </v>
      </c>
      <c r="AG198" s="1">
        <f t="shared" si="116"/>
        <v>7</v>
      </c>
      <c r="AH198" s="1" t="str">
        <f t="shared" si="98"/>
        <v xml:space="preserve"> </v>
      </c>
      <c r="AI198" s="1" t="str">
        <f t="shared" si="99"/>
        <v xml:space="preserve"> </v>
      </c>
      <c r="AJ198" s="1" t="str">
        <f t="shared" si="100"/>
        <v xml:space="preserve"> </v>
      </c>
      <c r="AK198" s="1" t="str">
        <f t="shared" si="101"/>
        <v xml:space="preserve"> </v>
      </c>
      <c r="AL198" s="1" t="str">
        <f t="shared" si="102"/>
        <v xml:space="preserve"> </v>
      </c>
      <c r="AM198" s="1" t="str">
        <f t="shared" si="103"/>
        <v xml:space="preserve"> </v>
      </c>
      <c r="AN198" s="1" t="str">
        <f t="shared" si="104"/>
        <v xml:space="preserve"> </v>
      </c>
      <c r="AO198" s="1" t="str">
        <f t="shared" si="105"/>
        <v xml:space="preserve"> </v>
      </c>
      <c r="AP198" s="1" t="str">
        <f t="shared" si="106"/>
        <v xml:space="preserve"> </v>
      </c>
      <c r="AQ198" s="1" t="str">
        <f t="shared" si="107"/>
        <v xml:space="preserve"> </v>
      </c>
      <c r="AR198" s="1" t="str">
        <f t="shared" si="108"/>
        <v xml:space="preserve"> </v>
      </c>
      <c r="AS198" s="1" t="str">
        <f t="shared" si="109"/>
        <v xml:space="preserve"> </v>
      </c>
      <c r="AT198" s="1" t="str">
        <f t="shared" si="110"/>
        <v xml:space="preserve"> </v>
      </c>
      <c r="AU198" s="1" t="str">
        <f t="shared" si="111"/>
        <v xml:space="preserve"> </v>
      </c>
    </row>
    <row r="199" spans="1:47" ht="102">
      <c r="A199" s="127">
        <v>198</v>
      </c>
      <c r="B199" s="128">
        <v>45307</v>
      </c>
      <c r="C199" s="167">
        <v>0.4375</v>
      </c>
      <c r="D199" s="130" t="s">
        <v>1607</v>
      </c>
      <c r="E199" s="130" t="s">
        <v>1616</v>
      </c>
      <c r="F199" s="130" t="s">
        <v>1640</v>
      </c>
      <c r="G199" s="130" t="s">
        <v>1641</v>
      </c>
      <c r="H199" s="129"/>
      <c r="I199" s="132" t="s">
        <v>465</v>
      </c>
      <c r="J199" s="133"/>
      <c r="K199" s="133"/>
      <c r="L199" s="133"/>
      <c r="M199" s="130" t="s">
        <v>1642</v>
      </c>
      <c r="N199" s="129"/>
      <c r="O199" s="129"/>
      <c r="P199" s="129"/>
      <c r="Q199" s="130" t="s">
        <v>135</v>
      </c>
      <c r="R199" s="128">
        <v>45321</v>
      </c>
      <c r="S199" s="167">
        <v>0.41666666666666669</v>
      </c>
      <c r="T199" s="128"/>
      <c r="U199" s="192"/>
      <c r="V199" s="129"/>
      <c r="W199" s="23" t="str">
        <f t="shared" ca="1" si="112"/>
        <v>SI</v>
      </c>
      <c r="X199" s="130"/>
      <c r="Y199" s="130" t="s">
        <v>991</v>
      </c>
      <c r="Z199" s="197"/>
      <c r="AA199" s="197" t="str">
        <f>IF(Z199&lt;&gt;"",VLOOKUP($Z199,Resultados!$A$1:$B$49,2,FALSE),"")</f>
        <v/>
      </c>
      <c r="AC199" s="10">
        <f t="shared" si="113"/>
        <v>30</v>
      </c>
      <c r="AD199" s="10">
        <f t="shared" si="114"/>
        <v>1</v>
      </c>
      <c r="AE199" s="10">
        <f t="shared" si="115"/>
        <v>2024</v>
      </c>
      <c r="AF199" s="1" t="str">
        <f t="shared" si="97"/>
        <v xml:space="preserve"> </v>
      </c>
      <c r="AG199" s="1">
        <f t="shared" si="116"/>
        <v>11</v>
      </c>
      <c r="AH199" s="1" t="str">
        <f t="shared" si="98"/>
        <v xml:space="preserve"> </v>
      </c>
      <c r="AI199" s="1" t="str">
        <f t="shared" si="99"/>
        <v xml:space="preserve"> </v>
      </c>
      <c r="AJ199" s="1" t="str">
        <f t="shared" si="100"/>
        <v xml:space="preserve"> </v>
      </c>
      <c r="AK199" s="1" t="str">
        <f t="shared" si="101"/>
        <v xml:space="preserve"> </v>
      </c>
      <c r="AL199" s="1" t="str">
        <f t="shared" si="102"/>
        <v xml:space="preserve"> </v>
      </c>
      <c r="AM199" s="1" t="str">
        <f t="shared" si="103"/>
        <v xml:space="preserve"> </v>
      </c>
      <c r="AN199" s="1" t="str">
        <f t="shared" si="104"/>
        <v xml:space="preserve"> </v>
      </c>
      <c r="AO199" s="1" t="str">
        <f t="shared" si="105"/>
        <v xml:space="preserve"> </v>
      </c>
      <c r="AP199" s="1" t="str">
        <f t="shared" si="106"/>
        <v xml:space="preserve"> </v>
      </c>
      <c r="AQ199" s="1" t="str">
        <f t="shared" si="107"/>
        <v xml:space="preserve"> </v>
      </c>
      <c r="AR199" s="1" t="str">
        <f t="shared" si="108"/>
        <v xml:space="preserve"> </v>
      </c>
      <c r="AS199" s="1" t="str">
        <f t="shared" si="109"/>
        <v xml:space="preserve"> </v>
      </c>
      <c r="AT199" s="1" t="str">
        <f t="shared" si="110"/>
        <v xml:space="preserve"> </v>
      </c>
      <c r="AU199" s="1" t="str">
        <f t="shared" si="111"/>
        <v xml:space="preserve"> </v>
      </c>
    </row>
    <row r="200" spans="1:47" ht="51">
      <c r="A200" s="127">
        <v>199</v>
      </c>
      <c r="B200" s="150">
        <v>45307</v>
      </c>
      <c r="C200" s="167">
        <v>0.4513888888888889</v>
      </c>
      <c r="D200" s="130" t="s">
        <v>1617</v>
      </c>
      <c r="E200" s="130" t="s">
        <v>1618</v>
      </c>
      <c r="F200" s="130" t="s">
        <v>1621</v>
      </c>
      <c r="G200" s="130" t="s">
        <v>1620</v>
      </c>
      <c r="H200" s="130" t="s">
        <v>1622</v>
      </c>
      <c r="I200" s="132" t="s">
        <v>1619</v>
      </c>
      <c r="J200" s="133"/>
      <c r="K200" s="133"/>
      <c r="L200" s="133"/>
      <c r="M200" s="130" t="s">
        <v>1623</v>
      </c>
      <c r="N200" s="129"/>
      <c r="O200" s="129"/>
      <c r="P200" s="129"/>
      <c r="Q200" s="130" t="s">
        <v>132</v>
      </c>
      <c r="R200" s="128">
        <v>45313</v>
      </c>
      <c r="S200" s="167">
        <v>0.5</v>
      </c>
      <c r="T200" s="150" t="s">
        <v>1254</v>
      </c>
      <c r="U200" s="192"/>
      <c r="V200" s="129"/>
      <c r="W200" s="23" t="str">
        <f t="shared" ca="1" si="112"/>
        <v>SI</v>
      </c>
      <c r="X200" s="130"/>
      <c r="Y200" s="130" t="s">
        <v>991</v>
      </c>
      <c r="Z200" s="197" t="s">
        <v>1015</v>
      </c>
      <c r="AA200" s="197" t="str">
        <f>IF(Z200&lt;&gt;"",VLOOKUP($Z200,Resultados!$A$1:$B$49,2,FALSE),"")</f>
        <v>Recursos Denegados</v>
      </c>
      <c r="AB200" s="23" t="str">
        <f ca="1">IF(R200&gt;TODAY(),"FIJADA","OTRO")</f>
        <v>OTRO</v>
      </c>
      <c r="AC200" s="10">
        <f t="shared" si="113"/>
        <v>22</v>
      </c>
      <c r="AD200" s="10">
        <f t="shared" si="114"/>
        <v>1</v>
      </c>
      <c r="AE200" s="10">
        <f t="shared" si="115"/>
        <v>2024</v>
      </c>
      <c r="AF200" s="1" t="str">
        <f t="shared" si="97"/>
        <v xml:space="preserve"> </v>
      </c>
      <c r="AG200" s="1">
        <f t="shared" si="116"/>
        <v>5</v>
      </c>
      <c r="AH200" s="1" t="str">
        <f t="shared" si="98"/>
        <v xml:space="preserve"> </v>
      </c>
      <c r="AI200" s="1" t="str">
        <f t="shared" si="99"/>
        <v xml:space="preserve"> </v>
      </c>
      <c r="AJ200" s="1" t="str">
        <f t="shared" si="100"/>
        <v xml:space="preserve"> </v>
      </c>
      <c r="AK200" s="1" t="str">
        <f t="shared" si="101"/>
        <v xml:space="preserve"> </v>
      </c>
      <c r="AL200" s="1" t="str">
        <f t="shared" si="102"/>
        <v xml:space="preserve"> </v>
      </c>
      <c r="AM200" s="1" t="str">
        <f t="shared" si="103"/>
        <v xml:space="preserve"> </v>
      </c>
      <c r="AN200" s="1" t="str">
        <f t="shared" si="104"/>
        <v xml:space="preserve"> </v>
      </c>
      <c r="AO200" s="1" t="str">
        <f t="shared" si="105"/>
        <v xml:space="preserve"> </v>
      </c>
      <c r="AP200" s="1" t="str">
        <f t="shared" si="106"/>
        <v xml:space="preserve"> </v>
      </c>
      <c r="AQ200" s="1" t="str">
        <f t="shared" si="107"/>
        <v xml:space="preserve"> </v>
      </c>
      <c r="AR200" s="1" t="str">
        <f t="shared" si="108"/>
        <v xml:space="preserve"> </v>
      </c>
      <c r="AS200" s="1" t="str">
        <f t="shared" si="109"/>
        <v xml:space="preserve"> </v>
      </c>
      <c r="AT200" s="1" t="str">
        <f t="shared" si="110"/>
        <v xml:space="preserve"> </v>
      </c>
      <c r="AU200" s="1" t="str">
        <f t="shared" si="111"/>
        <v xml:space="preserve"> </v>
      </c>
    </row>
    <row r="201" spans="1:47" ht="51">
      <c r="A201" s="127">
        <v>200</v>
      </c>
      <c r="B201" s="128">
        <v>45307</v>
      </c>
      <c r="C201" s="167">
        <v>0.51041666666666663</v>
      </c>
      <c r="D201" s="130" t="s">
        <v>1607</v>
      </c>
      <c r="E201" s="130" t="s">
        <v>1624</v>
      </c>
      <c r="F201" s="130" t="s">
        <v>1625</v>
      </c>
      <c r="G201" s="129"/>
      <c r="H201" s="130" t="s">
        <v>1626</v>
      </c>
      <c r="I201" s="132" t="s">
        <v>1181</v>
      </c>
      <c r="J201" s="133"/>
      <c r="K201" s="133"/>
      <c r="L201" s="133"/>
      <c r="M201" s="130" t="s">
        <v>1627</v>
      </c>
      <c r="N201" s="129"/>
      <c r="O201" s="129"/>
      <c r="P201" s="129"/>
      <c r="Q201" s="130" t="s">
        <v>132</v>
      </c>
      <c r="R201" s="128"/>
      <c r="S201" s="167"/>
      <c r="T201" s="150" t="s">
        <v>987</v>
      </c>
      <c r="U201" s="192"/>
      <c r="V201" s="129"/>
      <c r="W201" s="23" t="str">
        <f t="shared" ca="1" si="112"/>
        <v>SI</v>
      </c>
      <c r="X201" s="130"/>
      <c r="Y201" s="130" t="s">
        <v>1404</v>
      </c>
      <c r="Z201" s="197" t="s">
        <v>1041</v>
      </c>
      <c r="AA201" s="197" t="str">
        <f>IF(Z201&lt;&gt;"",VLOOKUP($Z201,Resultados!$A$1:$B$49,2,FALSE),"")</f>
        <v xml:space="preserve">Otros </v>
      </c>
      <c r="AC201" s="10">
        <f t="shared" si="113"/>
        <v>0</v>
      </c>
      <c r="AD201" s="10">
        <f t="shared" si="114"/>
        <v>1</v>
      </c>
      <c r="AE201" s="10">
        <f t="shared" si="115"/>
        <v>1900</v>
      </c>
      <c r="AF201" s="1" t="str">
        <f t="shared" si="97"/>
        <v xml:space="preserve"> </v>
      </c>
      <c r="AG201" s="1" t="str">
        <f t="shared" si="116"/>
        <v xml:space="preserve"> </v>
      </c>
      <c r="AH201" s="1" t="str">
        <f t="shared" si="98"/>
        <v xml:space="preserve"> </v>
      </c>
      <c r="AI201" s="1" t="str">
        <f t="shared" si="99"/>
        <v xml:space="preserve"> </v>
      </c>
      <c r="AJ201" s="1" t="str">
        <f t="shared" si="100"/>
        <v xml:space="preserve"> </v>
      </c>
      <c r="AK201" s="1" t="str">
        <f t="shared" si="101"/>
        <v xml:space="preserve"> </v>
      </c>
      <c r="AL201" s="1" t="str">
        <f t="shared" si="102"/>
        <v xml:space="preserve"> </v>
      </c>
      <c r="AM201" s="1" t="str">
        <f t="shared" si="103"/>
        <v xml:space="preserve"> </v>
      </c>
      <c r="AN201" s="1" t="str">
        <f t="shared" si="104"/>
        <v xml:space="preserve"> </v>
      </c>
      <c r="AO201" s="1" t="str">
        <f t="shared" si="105"/>
        <v xml:space="preserve"> </v>
      </c>
      <c r="AP201" s="1" t="str">
        <f t="shared" si="106"/>
        <v xml:space="preserve"> </v>
      </c>
      <c r="AQ201" s="1" t="str">
        <f t="shared" si="107"/>
        <v xml:space="preserve"> </v>
      </c>
      <c r="AR201" s="1" t="str">
        <f t="shared" si="108"/>
        <v xml:space="preserve"> </v>
      </c>
      <c r="AS201" s="1" t="str">
        <f t="shared" si="109"/>
        <v xml:space="preserve"> </v>
      </c>
      <c r="AT201" s="1" t="str">
        <f t="shared" si="110"/>
        <v xml:space="preserve"> </v>
      </c>
      <c r="AU201" s="1" t="str">
        <f t="shared" si="111"/>
        <v xml:space="preserve"> </v>
      </c>
    </row>
    <row r="202" spans="1:47" ht="25.5" hidden="1">
      <c r="A202" s="220">
        <v>211</v>
      </c>
      <c r="B202" s="128">
        <v>45239</v>
      </c>
      <c r="C202" s="167">
        <v>0.41666666666666669</v>
      </c>
      <c r="D202" s="130" t="s">
        <v>241</v>
      </c>
      <c r="E202" s="130" t="s">
        <v>1336</v>
      </c>
      <c r="F202" s="130" t="s">
        <v>1337</v>
      </c>
      <c r="G202" s="129"/>
      <c r="H202" s="129"/>
      <c r="I202" s="133"/>
      <c r="J202" s="133"/>
      <c r="K202" s="133"/>
      <c r="L202" s="133"/>
      <c r="M202" s="130" t="s">
        <v>1338</v>
      </c>
      <c r="N202" s="130" t="s">
        <v>1339</v>
      </c>
      <c r="O202" s="129"/>
      <c r="P202" s="129"/>
      <c r="Q202" s="130" t="s">
        <v>135</v>
      </c>
      <c r="R202" s="128">
        <v>45245</v>
      </c>
      <c r="S202" s="167">
        <v>0.4375</v>
      </c>
      <c r="T202" s="150" t="s">
        <v>1370</v>
      </c>
      <c r="U202" s="192"/>
      <c r="V202" s="129"/>
      <c r="W202" s="156" t="str">
        <f ca="1">IF(R202&lt;=TODAY(),"SI","NO")</f>
        <v>SI</v>
      </c>
      <c r="X202" s="130"/>
      <c r="Y202" s="130" t="s">
        <v>991</v>
      </c>
      <c r="Z202" s="197" t="s">
        <v>1037</v>
      </c>
      <c r="AA202" s="197" t="str">
        <f>IF(Z202&lt;&gt;"",VLOOKUP($Z202,Resultados!$A$1:$B$49,2,FALSE),"")</f>
        <v>Audiencias de Visu</v>
      </c>
      <c r="AC202" s="10">
        <f t="shared" si="113"/>
        <v>15</v>
      </c>
      <c r="AD202" s="10">
        <f t="shared" si="114"/>
        <v>11</v>
      </c>
      <c r="AE202" s="10">
        <f t="shared" si="115"/>
        <v>2023</v>
      </c>
      <c r="AF202" s="1">
        <f t="shared" si="97"/>
        <v>5</v>
      </c>
      <c r="AG202" s="1" t="str">
        <f t="shared" si="116"/>
        <v xml:space="preserve"> </v>
      </c>
      <c r="AH202" s="1" t="str">
        <f t="shared" si="98"/>
        <v xml:space="preserve"> </v>
      </c>
      <c r="AI202" s="1" t="str">
        <f t="shared" si="99"/>
        <v xml:space="preserve"> </v>
      </c>
      <c r="AJ202" s="1" t="str">
        <f t="shared" si="100"/>
        <v xml:space="preserve"> </v>
      </c>
      <c r="AK202" s="1" t="str">
        <f t="shared" si="101"/>
        <v xml:space="preserve"> </v>
      </c>
      <c r="AL202" s="1" t="str">
        <f t="shared" si="102"/>
        <v xml:space="preserve"> </v>
      </c>
      <c r="AM202" s="1" t="str">
        <f t="shared" si="103"/>
        <v xml:space="preserve"> </v>
      </c>
      <c r="AN202" s="1" t="str">
        <f t="shared" si="104"/>
        <v xml:space="preserve"> </v>
      </c>
      <c r="AO202" s="1" t="str">
        <f t="shared" si="105"/>
        <v xml:space="preserve"> </v>
      </c>
      <c r="AP202" s="1" t="str">
        <f t="shared" si="106"/>
        <v xml:space="preserve"> </v>
      </c>
      <c r="AQ202" s="1" t="str">
        <f t="shared" si="107"/>
        <v xml:space="preserve"> </v>
      </c>
      <c r="AR202" s="1">
        <f t="shared" si="108"/>
        <v>5</v>
      </c>
      <c r="AS202" s="1" t="str">
        <f t="shared" si="109"/>
        <v xml:space="preserve"> </v>
      </c>
      <c r="AT202" s="1" t="str">
        <f t="shared" si="110"/>
        <v xml:space="preserve"> </v>
      </c>
      <c r="AU202" s="1" t="str">
        <f t="shared" si="111"/>
        <v xml:space="preserve"> </v>
      </c>
    </row>
    <row r="203" spans="1:47" hidden="1">
      <c r="Z203" s="113"/>
      <c r="AA203" s="113"/>
      <c r="AF203" s="244">
        <f>AVERAGE(AF3:AF202)</f>
        <v>7.7633136094674553</v>
      </c>
      <c r="AG203" s="244">
        <f>AVERAGE(AG3:AG202)</f>
        <v>8.5</v>
      </c>
      <c r="AH203" s="244" t="e">
        <f>AVERAGE(AH3:AH202)</f>
        <v>#DIV/0!</v>
      </c>
      <c r="AI203" s="244">
        <v>0</v>
      </c>
      <c r="AJ203" s="244">
        <v>0</v>
      </c>
      <c r="AK203" s="244">
        <f>AVERAGE(AK3:AK202)</f>
        <v>6</v>
      </c>
      <c r="AL203" s="244">
        <f>AVERAGE(AL3:AL202)</f>
        <v>10.666666666666666</v>
      </c>
      <c r="AM203" s="244">
        <f>AVERAGE(AM3:AM202)</f>
        <v>6.666666666666667</v>
      </c>
      <c r="AN203" s="244">
        <f>AVERAGE(AN3:AN202)</f>
        <v>7.09375</v>
      </c>
      <c r="AO203" s="244">
        <f>AVERAGE(AO3:AO202)</f>
        <v>7.7368421052631575</v>
      </c>
      <c r="AP203" s="244">
        <f>AVERAGE(AP3:AP202)</f>
        <v>9.7931034482758612</v>
      </c>
      <c r="AQ203" s="244">
        <f>AVERAGE(AQ3:AQ202)</f>
        <v>8.4210526315789469</v>
      </c>
      <c r="AR203" s="244">
        <f>AVERAGE(AR3:AR202)</f>
        <v>17.19047619047619</v>
      </c>
      <c r="AS203" s="244">
        <f>AVERAGE(AS3:AS202)</f>
        <v>6.1111111111111107</v>
      </c>
      <c r="AT203" s="244">
        <v>0</v>
      </c>
      <c r="AU203" s="244">
        <v>0</v>
      </c>
    </row>
    <row r="204" spans="1:47">
      <c r="Z204" s="113"/>
      <c r="AA204" s="113"/>
    </row>
    <row r="205" spans="1:47">
      <c r="Z205" s="113"/>
      <c r="AA205" s="113"/>
    </row>
    <row r="206" spans="1:47">
      <c r="Z206" s="113"/>
      <c r="AA206" s="113"/>
    </row>
    <row r="207" spans="1:47">
      <c r="Z207" s="113"/>
      <c r="AA207" s="113"/>
    </row>
    <row r="208" spans="1:47">
      <c r="Z208" s="113"/>
      <c r="AA208" s="113"/>
    </row>
    <row r="209" spans="26:27">
      <c r="Z209" s="113"/>
      <c r="AA209" s="113"/>
    </row>
    <row r="210" spans="26:27">
      <c r="Z210" s="113"/>
      <c r="AA210" s="113"/>
    </row>
    <row r="211" spans="26:27">
      <c r="Z211" s="113"/>
      <c r="AA211" s="113"/>
    </row>
    <row r="212" spans="26:27">
      <c r="Z212" s="113"/>
      <c r="AA212" s="113"/>
    </row>
    <row r="213" spans="26:27">
      <c r="Z213" s="113"/>
      <c r="AA213" s="113"/>
    </row>
    <row r="214" spans="26:27">
      <c r="Z214" s="113"/>
      <c r="AA214" s="113"/>
    </row>
    <row r="215" spans="26:27">
      <c r="Z215" s="113"/>
      <c r="AA215" s="113"/>
    </row>
    <row r="216" spans="26:27">
      <c r="Z216" s="113"/>
      <c r="AA216" s="113"/>
    </row>
    <row r="217" spans="26:27">
      <c r="Z217" s="113"/>
      <c r="AA217" s="113"/>
    </row>
    <row r="218" spans="26:27">
      <c r="Z218" s="113"/>
      <c r="AA218" s="113"/>
    </row>
    <row r="219" spans="26:27">
      <c r="Z219" s="113"/>
      <c r="AA219" s="113"/>
    </row>
    <row r="220" spans="26:27">
      <c r="Z220" s="113"/>
      <c r="AA220" s="113"/>
    </row>
    <row r="221" spans="26:27">
      <c r="Z221" s="113"/>
      <c r="AA221" s="113"/>
    </row>
    <row r="222" spans="26:27">
      <c r="Z222" s="113"/>
      <c r="AA222" s="113"/>
    </row>
    <row r="223" spans="26:27">
      <c r="Z223" s="113"/>
      <c r="AA223" s="113"/>
    </row>
    <row r="224" spans="26:27">
      <c r="Z224" s="113"/>
      <c r="AA224" s="113"/>
    </row>
    <row r="225" spans="26:27">
      <c r="Z225" s="113"/>
      <c r="AA225" s="113"/>
    </row>
    <row r="226" spans="26:27">
      <c r="Z226" s="113"/>
      <c r="AA226" s="113"/>
    </row>
    <row r="227" spans="26:27">
      <c r="Z227" s="113"/>
      <c r="AA227" s="113"/>
    </row>
    <row r="228" spans="26:27">
      <c r="Z228" s="113"/>
      <c r="AA228" s="113"/>
    </row>
    <row r="229" spans="26:27">
      <c r="Z229" s="113"/>
      <c r="AA229" s="113"/>
    </row>
    <row r="230" spans="26:27">
      <c r="Z230" s="113"/>
      <c r="AA230" s="113"/>
    </row>
    <row r="231" spans="26:27">
      <c r="Z231" s="113"/>
      <c r="AA231" s="113"/>
    </row>
    <row r="232" spans="26:27">
      <c r="Z232" s="113"/>
      <c r="AA232" s="113"/>
    </row>
    <row r="233" spans="26:27">
      <c r="Z233" s="113"/>
      <c r="AA233" s="113"/>
    </row>
    <row r="234" spans="26:27">
      <c r="Z234" s="113"/>
      <c r="AA234" s="113"/>
    </row>
    <row r="235" spans="26:27">
      <c r="Z235" s="113"/>
      <c r="AA235" s="113"/>
    </row>
    <row r="236" spans="26:27">
      <c r="Z236" s="113"/>
      <c r="AA236" s="113"/>
    </row>
    <row r="237" spans="26:27">
      <c r="Z237" s="113"/>
      <c r="AA237" s="113"/>
    </row>
    <row r="238" spans="26:27">
      <c r="Z238" s="113"/>
      <c r="AA238" s="113"/>
    </row>
    <row r="239" spans="26:27">
      <c r="Z239" s="113"/>
      <c r="AA239" s="113"/>
    </row>
    <row r="240" spans="26:27">
      <c r="Z240" s="113"/>
      <c r="AA240" s="113"/>
    </row>
    <row r="241" spans="26:27">
      <c r="Z241" s="113"/>
      <c r="AA241" s="113"/>
    </row>
    <row r="242" spans="26:27">
      <c r="Z242" s="113"/>
      <c r="AA242" s="113"/>
    </row>
    <row r="243" spans="26:27">
      <c r="Z243" s="113"/>
      <c r="AA243" s="113"/>
    </row>
    <row r="244" spans="26:27">
      <c r="Z244" s="113"/>
      <c r="AA244" s="113"/>
    </row>
    <row r="245" spans="26:27">
      <c r="Z245" s="113"/>
      <c r="AA245" s="113"/>
    </row>
    <row r="246" spans="26:27">
      <c r="Z246" s="113"/>
      <c r="AA246" s="113"/>
    </row>
    <row r="247" spans="26:27">
      <c r="Z247" s="113"/>
      <c r="AA247" s="113"/>
    </row>
    <row r="248" spans="26:27">
      <c r="Z248" s="113"/>
      <c r="AA248" s="113"/>
    </row>
    <row r="249" spans="26:27">
      <c r="Z249" s="113"/>
      <c r="AA249" s="113"/>
    </row>
    <row r="250" spans="26:27">
      <c r="Z250" s="113"/>
      <c r="AA250" s="113"/>
    </row>
    <row r="251" spans="26:27">
      <c r="Z251" s="113"/>
      <c r="AA251" s="113"/>
    </row>
    <row r="252" spans="26:27">
      <c r="Z252" s="113"/>
      <c r="AA252" s="113"/>
    </row>
    <row r="253" spans="26:27">
      <c r="Z253" s="113"/>
      <c r="AA253" s="113"/>
    </row>
    <row r="254" spans="26:27">
      <c r="Z254" s="113"/>
      <c r="AA254" s="113"/>
    </row>
    <row r="255" spans="26:27">
      <c r="Z255" s="113"/>
      <c r="AA255" s="113"/>
    </row>
    <row r="256" spans="26:27">
      <c r="Z256" s="113"/>
      <c r="AA256" s="113"/>
    </row>
    <row r="257" spans="26:27">
      <c r="Z257" s="113"/>
      <c r="AA257" s="113"/>
    </row>
    <row r="258" spans="26:27">
      <c r="Z258" s="113"/>
      <c r="AA258" s="113"/>
    </row>
    <row r="259" spans="26:27">
      <c r="Z259" s="113"/>
      <c r="AA259" s="113"/>
    </row>
    <row r="260" spans="26:27">
      <c r="Z260" s="114"/>
      <c r="AA260" s="113"/>
    </row>
    <row r="261" spans="26:27">
      <c r="Z261" s="113"/>
      <c r="AA261" s="113"/>
    </row>
    <row r="262" spans="26:27">
      <c r="Z262" s="113"/>
      <c r="AA262" s="113"/>
    </row>
    <row r="263" spans="26:27">
      <c r="Z263" s="113"/>
      <c r="AA263" s="113"/>
    </row>
    <row r="264" spans="26:27">
      <c r="Z264" s="113"/>
      <c r="AA264" s="113"/>
    </row>
    <row r="265" spans="26:27">
      <c r="Z265" s="113"/>
      <c r="AA265" s="113"/>
    </row>
    <row r="266" spans="26:27">
      <c r="Z266" s="113"/>
      <c r="AA266" s="113"/>
    </row>
    <row r="267" spans="26:27">
      <c r="Z267" s="113"/>
      <c r="AA267" s="113"/>
    </row>
    <row r="268" spans="26:27">
      <c r="Z268" s="113"/>
      <c r="AA268" s="113"/>
    </row>
    <row r="269" spans="26:27">
      <c r="Z269" s="113"/>
      <c r="AA269" s="113"/>
    </row>
    <row r="270" spans="26:27">
      <c r="Z270" s="113"/>
      <c r="AA270" s="113"/>
    </row>
    <row r="271" spans="26:27">
      <c r="Z271" s="113"/>
      <c r="AA271" s="113"/>
    </row>
    <row r="272" spans="26:27">
      <c r="Z272" s="113"/>
      <c r="AA272" s="113"/>
    </row>
    <row r="273" spans="26:27">
      <c r="Z273" s="113"/>
      <c r="AA273" s="113"/>
    </row>
    <row r="274" spans="26:27">
      <c r="Z274" s="113"/>
      <c r="AA274" s="113"/>
    </row>
    <row r="275" spans="26:27">
      <c r="Z275" s="113"/>
      <c r="AA275" s="113"/>
    </row>
    <row r="276" spans="26:27">
      <c r="Z276" s="113"/>
      <c r="AA276" s="113"/>
    </row>
    <row r="277" spans="26:27">
      <c r="Z277" s="113"/>
      <c r="AA277" s="113"/>
    </row>
    <row r="278" spans="26:27">
      <c r="Z278" s="113"/>
      <c r="AA278" s="113"/>
    </row>
    <row r="279" spans="26:27">
      <c r="Z279" s="113"/>
      <c r="AA279" s="113"/>
    </row>
    <row r="280" spans="26:27">
      <c r="Z280" s="113"/>
      <c r="AA280" s="113"/>
    </row>
    <row r="281" spans="26:27">
      <c r="Z281" s="113"/>
      <c r="AA281" s="113"/>
    </row>
    <row r="282" spans="26:27">
      <c r="Z282" s="113"/>
      <c r="AA282" s="113"/>
    </row>
    <row r="283" spans="26:27">
      <c r="Z283" s="113"/>
      <c r="AA283" s="113"/>
    </row>
    <row r="284" spans="26:27">
      <c r="Z284" s="113"/>
      <c r="AA284" s="113"/>
    </row>
    <row r="285" spans="26:27">
      <c r="Z285" s="113"/>
      <c r="AA285" s="113"/>
    </row>
    <row r="286" spans="26:27">
      <c r="Z286" s="113"/>
      <c r="AA286" s="113"/>
    </row>
    <row r="287" spans="26:27">
      <c r="Z287" s="113"/>
      <c r="AA287" s="113"/>
    </row>
    <row r="288" spans="26:27">
      <c r="Z288" s="113"/>
      <c r="AA288" s="113"/>
    </row>
    <row r="289" spans="26:27">
      <c r="Z289" s="113"/>
      <c r="AA289" s="113"/>
    </row>
    <row r="290" spans="26:27">
      <c r="Z290" s="113"/>
      <c r="AA290" s="113"/>
    </row>
    <row r="291" spans="26:27">
      <c r="Z291" s="113"/>
      <c r="AA291" s="113"/>
    </row>
    <row r="292" spans="26:27">
      <c r="Z292" s="113"/>
      <c r="AA292" s="113"/>
    </row>
    <row r="293" spans="26:27">
      <c r="Z293" s="113"/>
      <c r="AA293" s="113"/>
    </row>
    <row r="294" spans="26:27">
      <c r="Z294" s="113"/>
      <c r="AA294" s="113"/>
    </row>
    <row r="295" spans="26:27">
      <c r="Z295" s="113"/>
      <c r="AA295" s="113"/>
    </row>
    <row r="296" spans="26:27">
      <c r="Z296" s="113"/>
      <c r="AA296" s="113"/>
    </row>
    <row r="297" spans="26:27">
      <c r="Z297" s="113"/>
      <c r="AA297" s="113"/>
    </row>
    <row r="298" spans="26:27">
      <c r="Z298" s="113"/>
      <c r="AA298" s="113"/>
    </row>
    <row r="299" spans="26:27">
      <c r="Z299" s="113"/>
      <c r="AA299" s="113"/>
    </row>
    <row r="300" spans="26:27">
      <c r="Z300" s="113"/>
      <c r="AA300" s="113"/>
    </row>
    <row r="301" spans="26:27">
      <c r="Z301" s="113"/>
      <c r="AA301" s="113"/>
    </row>
    <row r="302" spans="26:27">
      <c r="Z302" s="113"/>
      <c r="AA302" s="113"/>
    </row>
    <row r="303" spans="26:27">
      <c r="Z303" s="113"/>
      <c r="AA303" s="113"/>
    </row>
    <row r="304" spans="26:27">
      <c r="Z304" s="113"/>
      <c r="AA304" s="113"/>
    </row>
    <row r="305" spans="26:27">
      <c r="Z305" s="113"/>
      <c r="AA305" s="113"/>
    </row>
    <row r="306" spans="26:27">
      <c r="Z306" s="113"/>
      <c r="AA306" s="113"/>
    </row>
    <row r="307" spans="26:27">
      <c r="Z307" s="113"/>
      <c r="AA307" s="113"/>
    </row>
    <row r="308" spans="26:27">
      <c r="Z308" s="113"/>
      <c r="AA308" s="113"/>
    </row>
    <row r="309" spans="26:27">
      <c r="Z309" s="113"/>
      <c r="AA309" s="113"/>
    </row>
    <row r="310" spans="26:27">
      <c r="Z310" s="113"/>
      <c r="AA310" s="113"/>
    </row>
    <row r="311" spans="26:27">
      <c r="Z311" s="113"/>
      <c r="AA311" s="113"/>
    </row>
    <row r="312" spans="26:27">
      <c r="Z312" s="113"/>
      <c r="AA312" s="113"/>
    </row>
    <row r="313" spans="26:27">
      <c r="Z313" s="113"/>
      <c r="AA313" s="113"/>
    </row>
    <row r="314" spans="26:27">
      <c r="Z314" s="113"/>
      <c r="AA314" s="113"/>
    </row>
    <row r="315" spans="26:27">
      <c r="Z315" s="113"/>
      <c r="AA315" s="113"/>
    </row>
    <row r="316" spans="26:27">
      <c r="Z316" s="113"/>
      <c r="AA316" s="113"/>
    </row>
    <row r="317" spans="26:27">
      <c r="Z317" s="113"/>
      <c r="AA317" s="113"/>
    </row>
    <row r="318" spans="26:27">
      <c r="Z318" s="113"/>
      <c r="AA318" s="113"/>
    </row>
    <row r="319" spans="26:27">
      <c r="Z319" s="113"/>
      <c r="AA319" s="113"/>
    </row>
    <row r="320" spans="26:27">
      <c r="Z320" s="113"/>
      <c r="AA320" s="113"/>
    </row>
    <row r="321" spans="26:27">
      <c r="Z321" s="113"/>
      <c r="AA321" s="113"/>
    </row>
    <row r="322" spans="26:27">
      <c r="Z322" s="113"/>
      <c r="AA322" s="113"/>
    </row>
    <row r="323" spans="26:27">
      <c r="Z323" s="113"/>
      <c r="AA323" s="113"/>
    </row>
    <row r="324" spans="26:27">
      <c r="Z324" s="113"/>
      <c r="AA324" s="113"/>
    </row>
    <row r="325" spans="26:27">
      <c r="Z325" s="113"/>
      <c r="AA325" s="113"/>
    </row>
    <row r="326" spans="26:27">
      <c r="Z326" s="113"/>
      <c r="AA326" s="113"/>
    </row>
    <row r="327" spans="26:27">
      <c r="Z327" s="113"/>
      <c r="AA327" s="113"/>
    </row>
    <row r="328" spans="26:27">
      <c r="Z328" s="113"/>
      <c r="AA328" s="113"/>
    </row>
    <row r="329" spans="26:27">
      <c r="Z329" s="113"/>
      <c r="AA329" s="113"/>
    </row>
    <row r="330" spans="26:27">
      <c r="Z330" s="113"/>
      <c r="AA330" s="113"/>
    </row>
    <row r="331" spans="26:27">
      <c r="Z331" s="113"/>
      <c r="AA331" s="113"/>
    </row>
    <row r="332" spans="26:27">
      <c r="Z332" s="113"/>
      <c r="AA332" s="113"/>
    </row>
    <row r="333" spans="26:27">
      <c r="Z333" s="113"/>
      <c r="AA333" s="113"/>
    </row>
    <row r="334" spans="26:27">
      <c r="Z334" s="113"/>
      <c r="AA334" s="113"/>
    </row>
    <row r="335" spans="26:27">
      <c r="Z335" s="113"/>
      <c r="AA335" s="113"/>
    </row>
    <row r="336" spans="26:27">
      <c r="Z336" s="113"/>
      <c r="AA336" s="113"/>
    </row>
    <row r="337" spans="26:27">
      <c r="Z337" s="113"/>
      <c r="AA337" s="113"/>
    </row>
    <row r="338" spans="26:27">
      <c r="Z338" s="113"/>
      <c r="AA338" s="113"/>
    </row>
    <row r="339" spans="26:27">
      <c r="Z339" s="113"/>
      <c r="AA339" s="113"/>
    </row>
    <row r="340" spans="26:27">
      <c r="Z340" s="113"/>
      <c r="AA340" s="113"/>
    </row>
    <row r="341" spans="26:27">
      <c r="Z341" s="113"/>
      <c r="AA341" s="113"/>
    </row>
    <row r="342" spans="26:27">
      <c r="Z342" s="113"/>
      <c r="AA342" s="113"/>
    </row>
    <row r="343" spans="26:27">
      <c r="Z343" s="113"/>
      <c r="AA343" s="113"/>
    </row>
    <row r="344" spans="26:27">
      <c r="Z344" s="113"/>
      <c r="AA344" s="113"/>
    </row>
    <row r="345" spans="26:27">
      <c r="Z345" s="113"/>
      <c r="AA345" s="113"/>
    </row>
    <row r="346" spans="26:27">
      <c r="Z346" s="113"/>
      <c r="AA346" s="113"/>
    </row>
    <row r="347" spans="26:27">
      <c r="Z347" s="113"/>
      <c r="AA347" s="113"/>
    </row>
    <row r="348" spans="26:27">
      <c r="Z348" s="113"/>
      <c r="AA348" s="113"/>
    </row>
    <row r="349" spans="26:27">
      <c r="Z349" s="113"/>
      <c r="AA349" s="113"/>
    </row>
    <row r="350" spans="26:27">
      <c r="Z350" s="113"/>
      <c r="AA350" s="113"/>
    </row>
    <row r="351" spans="26:27">
      <c r="Z351" s="113"/>
      <c r="AA351" s="113"/>
    </row>
    <row r="352" spans="26:27">
      <c r="Z352" s="113"/>
      <c r="AA352" s="113"/>
    </row>
    <row r="353" spans="26:27">
      <c r="Z353" s="113"/>
      <c r="AA353" s="113"/>
    </row>
    <row r="354" spans="26:27">
      <c r="Z354" s="113"/>
      <c r="AA354" s="113"/>
    </row>
    <row r="355" spans="26:27">
      <c r="Z355" s="113"/>
      <c r="AA355" s="113"/>
    </row>
    <row r="356" spans="26:27">
      <c r="Z356" s="113"/>
      <c r="AA356" s="113"/>
    </row>
    <row r="357" spans="26:27">
      <c r="Z357" s="113"/>
      <c r="AA357" s="113"/>
    </row>
    <row r="358" spans="26:27">
      <c r="Z358" s="113"/>
      <c r="AA358" s="113"/>
    </row>
    <row r="359" spans="26:27">
      <c r="Z359" s="113"/>
      <c r="AA359" s="113"/>
    </row>
    <row r="360" spans="26:27">
      <c r="Z360" s="113"/>
      <c r="AA360" s="113"/>
    </row>
    <row r="361" spans="26:27">
      <c r="Z361" s="113"/>
      <c r="AA361" s="113"/>
    </row>
    <row r="362" spans="26:27">
      <c r="Z362" s="113"/>
      <c r="AA362" s="113"/>
    </row>
    <row r="363" spans="26:27">
      <c r="Z363" s="113"/>
      <c r="AA363" s="113"/>
    </row>
    <row r="364" spans="26:27">
      <c r="Z364" s="113"/>
      <c r="AA364" s="113"/>
    </row>
    <row r="365" spans="26:27">
      <c r="Z365" s="113"/>
      <c r="AA365" s="113"/>
    </row>
    <row r="366" spans="26:27">
      <c r="Z366" s="113"/>
      <c r="AA366" s="113"/>
    </row>
    <row r="367" spans="26:27">
      <c r="Z367" s="113"/>
      <c r="AA367" s="113"/>
    </row>
    <row r="368" spans="26:27">
      <c r="Z368" s="113"/>
      <c r="AA368" s="113"/>
    </row>
    <row r="369" spans="26:27">
      <c r="Z369" s="113"/>
      <c r="AA369" s="113"/>
    </row>
    <row r="370" spans="26:27">
      <c r="Z370" s="113"/>
      <c r="AA370" s="113"/>
    </row>
    <row r="371" spans="26:27">
      <c r="Z371" s="113"/>
      <c r="AA371" s="113"/>
    </row>
    <row r="372" spans="26:27">
      <c r="Z372" s="113"/>
      <c r="AA372" s="113"/>
    </row>
    <row r="373" spans="26:27">
      <c r="Z373" s="113"/>
      <c r="AA373" s="113"/>
    </row>
    <row r="374" spans="26:27">
      <c r="Z374" s="113"/>
      <c r="AA374" s="113"/>
    </row>
    <row r="375" spans="26:27">
      <c r="Z375" s="113"/>
      <c r="AA375" s="113"/>
    </row>
    <row r="376" spans="26:27">
      <c r="Z376" s="113"/>
      <c r="AA376" s="113"/>
    </row>
    <row r="377" spans="26:27">
      <c r="Z377" s="113"/>
      <c r="AA377" s="113"/>
    </row>
    <row r="378" spans="26:27">
      <c r="Z378" s="113"/>
      <c r="AA378" s="113"/>
    </row>
    <row r="379" spans="26:27">
      <c r="Z379" s="113"/>
      <c r="AA379" s="113"/>
    </row>
    <row r="380" spans="26:27">
      <c r="Z380" s="113"/>
      <c r="AA380" s="113"/>
    </row>
    <row r="381" spans="26:27">
      <c r="Z381" s="113"/>
      <c r="AA381" s="113"/>
    </row>
    <row r="382" spans="26:27">
      <c r="Z382" s="113"/>
      <c r="AA382" s="113"/>
    </row>
    <row r="383" spans="26:27">
      <c r="Z383" s="113"/>
      <c r="AA383" s="113"/>
    </row>
    <row r="384" spans="26:27">
      <c r="Z384" s="113"/>
      <c r="AA384" s="113"/>
    </row>
    <row r="385" spans="26:27">
      <c r="Z385" s="113"/>
      <c r="AA385" s="113"/>
    </row>
    <row r="386" spans="26:27">
      <c r="Z386" s="113"/>
      <c r="AA386" s="113"/>
    </row>
    <row r="387" spans="26:27">
      <c r="Z387" s="113"/>
      <c r="AA387" s="113"/>
    </row>
    <row r="388" spans="26:27">
      <c r="Z388" s="113"/>
      <c r="AA388" s="113"/>
    </row>
    <row r="389" spans="26:27">
      <c r="Z389" s="113"/>
      <c r="AA389" s="113"/>
    </row>
    <row r="390" spans="26:27">
      <c r="Z390" s="113"/>
      <c r="AA390" s="113"/>
    </row>
    <row r="391" spans="26:27">
      <c r="Z391" s="113"/>
      <c r="AA391" s="113"/>
    </row>
    <row r="392" spans="26:27">
      <c r="Z392" s="113"/>
      <c r="AA392" s="113"/>
    </row>
    <row r="393" spans="26:27">
      <c r="Z393" s="113"/>
      <c r="AA393" s="113"/>
    </row>
    <row r="394" spans="26:27">
      <c r="Z394" s="113"/>
      <c r="AA394" s="113"/>
    </row>
    <row r="395" spans="26:27">
      <c r="Z395" s="113"/>
      <c r="AA395" s="113"/>
    </row>
    <row r="396" spans="26:27">
      <c r="Z396" s="113"/>
      <c r="AA396" s="113"/>
    </row>
    <row r="397" spans="26:27">
      <c r="Z397" s="113"/>
      <c r="AA397" s="113"/>
    </row>
    <row r="398" spans="26:27">
      <c r="Z398" s="113"/>
      <c r="AA398" s="113"/>
    </row>
    <row r="399" spans="26:27">
      <c r="Z399" s="113"/>
      <c r="AA399" s="113"/>
    </row>
    <row r="400" spans="26:27">
      <c r="Z400" s="113"/>
      <c r="AA400" s="113"/>
    </row>
    <row r="401" spans="26:27">
      <c r="Z401" s="113"/>
      <c r="AA401" s="113"/>
    </row>
    <row r="402" spans="26:27">
      <c r="Z402" s="113"/>
      <c r="AA402" s="113"/>
    </row>
    <row r="403" spans="26:27">
      <c r="Z403" s="113"/>
      <c r="AA403" s="113"/>
    </row>
    <row r="404" spans="26:27">
      <c r="Z404" s="113"/>
      <c r="AA404" s="113"/>
    </row>
    <row r="405" spans="26:27">
      <c r="Z405" s="113"/>
      <c r="AA405" s="113"/>
    </row>
    <row r="406" spans="26:27">
      <c r="Z406" s="113"/>
      <c r="AA406" s="113"/>
    </row>
    <row r="407" spans="26:27">
      <c r="Z407" s="113"/>
      <c r="AA407" s="113"/>
    </row>
    <row r="408" spans="26:27">
      <c r="Z408" s="113"/>
      <c r="AA408" s="113"/>
    </row>
    <row r="409" spans="26:27">
      <c r="Z409" s="113"/>
      <c r="AA409" s="113"/>
    </row>
    <row r="410" spans="26:27">
      <c r="Z410" s="113"/>
      <c r="AA410" s="113"/>
    </row>
    <row r="411" spans="26:27">
      <c r="Z411" s="113"/>
      <c r="AA411" s="113"/>
    </row>
    <row r="412" spans="26:27">
      <c r="Z412" s="113"/>
      <c r="AA412" s="113"/>
    </row>
    <row r="413" spans="26:27">
      <c r="Z413" s="113"/>
      <c r="AA413" s="113"/>
    </row>
    <row r="414" spans="26:27">
      <c r="Z414" s="113"/>
      <c r="AA414" s="113"/>
    </row>
    <row r="415" spans="26:27">
      <c r="Z415" s="113"/>
      <c r="AA415" s="113"/>
    </row>
    <row r="416" spans="26:27">
      <c r="Z416" s="113"/>
      <c r="AA416" s="113"/>
    </row>
    <row r="417" spans="26:27">
      <c r="Z417" s="113"/>
      <c r="AA417" s="113"/>
    </row>
    <row r="418" spans="26:27">
      <c r="Z418" s="113"/>
      <c r="AA418" s="113"/>
    </row>
    <row r="419" spans="26:27">
      <c r="Z419" s="113"/>
      <c r="AA419" s="113"/>
    </row>
    <row r="420" spans="26:27">
      <c r="Z420" s="113"/>
      <c r="AA420" s="113"/>
    </row>
    <row r="421" spans="26:27">
      <c r="Z421" s="113"/>
      <c r="AA421" s="113"/>
    </row>
    <row r="422" spans="26:27">
      <c r="Z422" s="113"/>
      <c r="AA422" s="113"/>
    </row>
    <row r="423" spans="26:27">
      <c r="Z423" s="113"/>
      <c r="AA423" s="113"/>
    </row>
    <row r="424" spans="26:27">
      <c r="Z424" s="113"/>
      <c r="AA424" s="113"/>
    </row>
    <row r="425" spans="26:27">
      <c r="Z425" s="113"/>
      <c r="AA425" s="113"/>
    </row>
    <row r="426" spans="26:27">
      <c r="Z426" s="113"/>
      <c r="AA426" s="113"/>
    </row>
    <row r="427" spans="26:27">
      <c r="Z427" s="113"/>
      <c r="AA427" s="113"/>
    </row>
    <row r="428" spans="26:27">
      <c r="Z428" s="113"/>
      <c r="AA428" s="113"/>
    </row>
    <row r="429" spans="26:27">
      <c r="Z429" s="113"/>
      <c r="AA429" s="113"/>
    </row>
    <row r="430" spans="26:27">
      <c r="Z430" s="113"/>
      <c r="AA430" s="113"/>
    </row>
    <row r="431" spans="26:27">
      <c r="Z431" s="113"/>
      <c r="AA431" s="113"/>
    </row>
    <row r="432" spans="26:27">
      <c r="Z432" s="113"/>
      <c r="AA432" s="113"/>
    </row>
    <row r="433" spans="26:27">
      <c r="Z433" s="113"/>
      <c r="AA433" s="113"/>
    </row>
    <row r="434" spans="26:27">
      <c r="Z434" s="113"/>
      <c r="AA434" s="113"/>
    </row>
    <row r="435" spans="26:27">
      <c r="Z435" s="113"/>
      <c r="AA435" s="113"/>
    </row>
    <row r="436" spans="26:27">
      <c r="Z436" s="113"/>
      <c r="AA436" s="113"/>
    </row>
    <row r="437" spans="26:27">
      <c r="Z437" s="113"/>
      <c r="AA437" s="113"/>
    </row>
    <row r="438" spans="26:27">
      <c r="Z438" s="113"/>
      <c r="AA438" s="113"/>
    </row>
    <row r="439" spans="26:27">
      <c r="Z439" s="113"/>
      <c r="AA439" s="113"/>
    </row>
    <row r="440" spans="26:27">
      <c r="Z440" s="113"/>
      <c r="AA440" s="113"/>
    </row>
    <row r="441" spans="26:27">
      <c r="Z441" s="113"/>
      <c r="AA441" s="113"/>
    </row>
    <row r="442" spans="26:27">
      <c r="Z442" s="113"/>
      <c r="AA442" s="113"/>
    </row>
    <row r="443" spans="26:27">
      <c r="Z443" s="113"/>
      <c r="AA443" s="113"/>
    </row>
    <row r="444" spans="26:27">
      <c r="Z444" s="113"/>
      <c r="AA444" s="113"/>
    </row>
    <row r="445" spans="26:27">
      <c r="Z445" s="113"/>
      <c r="AA445" s="113"/>
    </row>
    <row r="446" spans="26:27">
      <c r="Z446" s="113"/>
      <c r="AA446" s="113"/>
    </row>
    <row r="447" spans="26:27">
      <c r="Z447" s="113"/>
      <c r="AA447" s="113"/>
    </row>
    <row r="448" spans="26:27">
      <c r="Z448" s="113"/>
      <c r="AA448" s="113"/>
    </row>
    <row r="449" spans="26:27">
      <c r="Z449" s="113"/>
      <c r="AA449" s="113"/>
    </row>
    <row r="450" spans="26:27">
      <c r="Z450" s="113"/>
      <c r="AA450" s="113"/>
    </row>
    <row r="451" spans="26:27">
      <c r="Z451" s="113"/>
      <c r="AA451" s="113"/>
    </row>
    <row r="452" spans="26:27">
      <c r="Z452" s="113"/>
      <c r="AA452" s="113"/>
    </row>
    <row r="453" spans="26:27">
      <c r="Z453" s="113"/>
      <c r="AA453" s="113"/>
    </row>
    <row r="454" spans="26:27">
      <c r="Z454" s="113"/>
      <c r="AA454" s="113"/>
    </row>
    <row r="455" spans="26:27">
      <c r="Z455" s="113"/>
      <c r="AA455" s="113"/>
    </row>
    <row r="456" spans="26:27">
      <c r="Z456" s="113"/>
      <c r="AA456" s="113"/>
    </row>
    <row r="457" spans="26:27">
      <c r="Z457" s="113"/>
      <c r="AA457" s="113"/>
    </row>
    <row r="458" spans="26:27">
      <c r="Z458" s="113"/>
      <c r="AA458" s="113"/>
    </row>
    <row r="459" spans="26:27">
      <c r="Z459" s="113"/>
      <c r="AA459" s="113"/>
    </row>
    <row r="460" spans="26:27">
      <c r="Z460" s="113"/>
      <c r="AA460" s="113"/>
    </row>
    <row r="461" spans="26:27">
      <c r="Z461" s="113"/>
      <c r="AA461" s="113"/>
    </row>
    <row r="462" spans="26:27">
      <c r="Z462" s="113"/>
      <c r="AA462" s="113"/>
    </row>
    <row r="463" spans="26:27">
      <c r="Z463" s="113"/>
      <c r="AA463" s="113"/>
    </row>
    <row r="464" spans="26:27">
      <c r="Z464" s="113"/>
      <c r="AA464" s="113"/>
    </row>
    <row r="465" spans="26:27">
      <c r="Z465" s="113"/>
      <c r="AA465" s="113"/>
    </row>
    <row r="466" spans="26:27">
      <c r="Z466" s="113"/>
      <c r="AA466" s="113"/>
    </row>
    <row r="467" spans="26:27">
      <c r="Z467" s="113"/>
      <c r="AA467" s="113"/>
    </row>
    <row r="468" spans="26:27">
      <c r="Z468" s="113"/>
      <c r="AA468" s="113"/>
    </row>
    <row r="469" spans="26:27">
      <c r="Z469" s="113"/>
      <c r="AA469" s="113"/>
    </row>
    <row r="470" spans="26:27">
      <c r="Z470" s="113"/>
      <c r="AA470" s="113"/>
    </row>
    <row r="471" spans="26:27">
      <c r="Z471" s="113"/>
      <c r="AA471" s="113"/>
    </row>
    <row r="472" spans="26:27">
      <c r="Z472" s="113"/>
      <c r="AA472" s="113"/>
    </row>
    <row r="473" spans="26:27">
      <c r="Z473" s="113"/>
      <c r="AA473" s="113"/>
    </row>
    <row r="474" spans="26:27">
      <c r="Z474" s="113"/>
      <c r="AA474" s="113"/>
    </row>
    <row r="475" spans="26:27">
      <c r="Z475" s="113"/>
      <c r="AA475" s="113"/>
    </row>
    <row r="476" spans="26:27">
      <c r="Z476" s="113"/>
      <c r="AA476" s="113"/>
    </row>
    <row r="477" spans="26:27">
      <c r="Z477" s="113"/>
      <c r="AA477" s="113"/>
    </row>
    <row r="478" spans="26:27">
      <c r="Z478" s="113"/>
      <c r="AA478" s="113"/>
    </row>
    <row r="479" spans="26:27">
      <c r="Z479" s="113"/>
      <c r="AA479" s="113"/>
    </row>
    <row r="480" spans="26:27">
      <c r="Z480" s="113"/>
      <c r="AA480" s="113"/>
    </row>
    <row r="481" spans="26:27">
      <c r="Z481" s="113"/>
      <c r="AA481" s="113"/>
    </row>
    <row r="482" spans="26:27">
      <c r="Z482" s="113"/>
      <c r="AA482" s="113"/>
    </row>
    <row r="483" spans="26:27">
      <c r="Z483" s="113"/>
      <c r="AA483" s="113"/>
    </row>
    <row r="484" spans="26:27">
      <c r="Z484" s="113"/>
      <c r="AA484" s="113"/>
    </row>
    <row r="485" spans="26:27">
      <c r="Z485" s="113"/>
      <c r="AA485" s="113"/>
    </row>
    <row r="486" spans="26:27">
      <c r="Z486" s="113"/>
      <c r="AA486" s="113"/>
    </row>
    <row r="487" spans="26:27">
      <c r="Z487" s="113"/>
      <c r="AA487" s="113"/>
    </row>
    <row r="488" spans="26:27">
      <c r="Z488" s="113"/>
      <c r="AA488" s="113"/>
    </row>
    <row r="489" spans="26:27">
      <c r="Z489" s="113"/>
      <c r="AA489" s="113"/>
    </row>
    <row r="490" spans="26:27">
      <c r="Z490" s="113"/>
      <c r="AA490" s="113"/>
    </row>
    <row r="491" spans="26:27">
      <c r="Z491" s="113"/>
      <c r="AA491" s="113"/>
    </row>
    <row r="492" spans="26:27">
      <c r="Z492" s="113"/>
      <c r="AA492" s="113"/>
    </row>
    <row r="493" spans="26:27">
      <c r="Z493" s="113"/>
      <c r="AA493" s="113"/>
    </row>
    <row r="494" spans="26:27">
      <c r="Z494" s="113"/>
      <c r="AA494" s="113"/>
    </row>
    <row r="495" spans="26:27">
      <c r="Z495" s="113"/>
      <c r="AA495" s="113"/>
    </row>
    <row r="496" spans="26:27">
      <c r="Z496" s="113"/>
      <c r="AA496" s="113"/>
    </row>
    <row r="497" spans="26:27">
      <c r="Z497" s="113"/>
      <c r="AA497" s="113"/>
    </row>
    <row r="498" spans="26:27">
      <c r="Z498" s="113"/>
      <c r="AA498" s="113"/>
    </row>
    <row r="499" spans="26:27">
      <c r="Z499" s="113"/>
      <c r="AA499" s="113"/>
    </row>
    <row r="500" spans="26:27">
      <c r="Z500" s="113"/>
      <c r="AA500" s="113"/>
    </row>
    <row r="501" spans="26:27">
      <c r="Z501" s="113"/>
      <c r="AA501" s="113"/>
    </row>
    <row r="502" spans="26:27">
      <c r="Z502" s="113"/>
      <c r="AA502" s="113"/>
    </row>
    <row r="503" spans="26:27">
      <c r="Z503" s="113"/>
      <c r="AA503" s="113"/>
    </row>
    <row r="504" spans="26:27">
      <c r="Z504" s="113"/>
      <c r="AA504" s="113"/>
    </row>
    <row r="505" spans="26:27">
      <c r="Z505" s="113"/>
      <c r="AA505" s="113"/>
    </row>
    <row r="506" spans="26:27">
      <c r="Z506" s="113"/>
      <c r="AA506" s="113"/>
    </row>
    <row r="507" spans="26:27">
      <c r="Z507" s="113"/>
      <c r="AA507" s="113"/>
    </row>
    <row r="508" spans="26:27">
      <c r="Z508" s="113"/>
      <c r="AA508" s="113"/>
    </row>
    <row r="509" spans="26:27">
      <c r="Z509" s="113"/>
      <c r="AA509" s="113"/>
    </row>
    <row r="510" spans="26:27">
      <c r="Z510" s="113"/>
      <c r="AA510" s="113"/>
    </row>
    <row r="511" spans="26:27">
      <c r="Z511" s="113"/>
      <c r="AA511" s="113"/>
    </row>
    <row r="512" spans="26:27">
      <c r="Z512" s="113"/>
      <c r="AA512" s="113"/>
    </row>
    <row r="513" spans="26:27">
      <c r="Z513" s="113"/>
      <c r="AA513" s="113"/>
    </row>
    <row r="514" spans="26:27">
      <c r="Z514" s="113"/>
      <c r="AA514" s="113"/>
    </row>
    <row r="515" spans="26:27">
      <c r="Z515" s="113"/>
      <c r="AA515" s="113"/>
    </row>
    <row r="516" spans="26:27">
      <c r="Z516" s="113"/>
      <c r="AA516" s="113"/>
    </row>
    <row r="517" spans="26:27">
      <c r="Z517" s="113"/>
      <c r="AA517" s="113"/>
    </row>
    <row r="518" spans="26:27">
      <c r="Z518" s="113"/>
      <c r="AA518" s="113"/>
    </row>
    <row r="519" spans="26:27">
      <c r="Z519" s="113"/>
      <c r="AA519" s="113"/>
    </row>
    <row r="520" spans="26:27">
      <c r="Z520" s="113"/>
      <c r="AA520" s="113"/>
    </row>
    <row r="521" spans="26:27">
      <c r="Z521" s="113"/>
      <c r="AA521" s="113"/>
    </row>
    <row r="522" spans="26:27">
      <c r="Z522" s="113"/>
      <c r="AA522" s="113"/>
    </row>
    <row r="523" spans="26:27">
      <c r="Z523" s="113"/>
      <c r="AA523" s="113"/>
    </row>
    <row r="524" spans="26:27">
      <c r="Z524" s="113"/>
      <c r="AA524" s="113"/>
    </row>
    <row r="525" spans="26:27">
      <c r="Z525" s="113"/>
      <c r="AA525" s="113"/>
    </row>
    <row r="526" spans="26:27">
      <c r="Z526" s="113"/>
      <c r="AA526" s="113"/>
    </row>
    <row r="527" spans="26:27">
      <c r="Z527" s="113"/>
      <c r="AA527" s="113"/>
    </row>
    <row r="528" spans="26:27">
      <c r="Z528" s="113"/>
      <c r="AA528" s="113"/>
    </row>
    <row r="529" spans="26:27">
      <c r="Z529" s="113"/>
      <c r="AA529" s="113"/>
    </row>
    <row r="530" spans="26:27">
      <c r="Z530" s="113"/>
      <c r="AA530" s="113"/>
    </row>
    <row r="531" spans="26:27">
      <c r="Z531" s="113"/>
      <c r="AA531" s="113"/>
    </row>
    <row r="532" spans="26:27">
      <c r="Z532" s="113"/>
      <c r="AA532" s="113"/>
    </row>
    <row r="533" spans="26:27">
      <c r="Z533" s="113"/>
      <c r="AA533" s="113"/>
    </row>
    <row r="534" spans="26:27">
      <c r="Z534" s="113"/>
      <c r="AA534" s="113"/>
    </row>
    <row r="535" spans="26:27">
      <c r="Z535" s="113"/>
      <c r="AA535" s="113"/>
    </row>
    <row r="536" spans="26:27">
      <c r="Z536" s="113"/>
      <c r="AA536" s="113"/>
    </row>
    <row r="537" spans="26:27">
      <c r="Z537" s="113"/>
      <c r="AA537" s="113"/>
    </row>
    <row r="538" spans="26:27">
      <c r="Z538" s="113"/>
      <c r="AA538" s="113"/>
    </row>
    <row r="539" spans="26:27">
      <c r="Z539" s="113"/>
      <c r="AA539" s="113"/>
    </row>
    <row r="540" spans="26:27">
      <c r="Z540" s="113"/>
      <c r="AA540" s="113"/>
    </row>
    <row r="541" spans="26:27">
      <c r="Z541" s="113"/>
      <c r="AA541" s="113"/>
    </row>
    <row r="542" spans="26:27">
      <c r="Z542" s="113"/>
      <c r="AA542" s="113"/>
    </row>
    <row r="543" spans="26:27">
      <c r="Z543" s="113"/>
      <c r="AA543" s="113"/>
    </row>
    <row r="544" spans="26:27">
      <c r="Z544" s="113"/>
      <c r="AA544" s="113"/>
    </row>
    <row r="545" spans="26:27">
      <c r="Z545" s="113"/>
      <c r="AA545" s="113"/>
    </row>
    <row r="546" spans="26:27">
      <c r="Z546" s="113"/>
      <c r="AA546" s="113"/>
    </row>
    <row r="547" spans="26:27">
      <c r="Z547" s="113"/>
      <c r="AA547" s="113"/>
    </row>
    <row r="548" spans="26:27">
      <c r="Z548" s="113"/>
      <c r="AA548" s="113"/>
    </row>
    <row r="549" spans="26:27">
      <c r="Z549" s="113"/>
      <c r="AA549" s="113"/>
    </row>
    <row r="550" spans="26:27">
      <c r="Z550" s="113"/>
      <c r="AA550" s="113"/>
    </row>
    <row r="551" spans="26:27">
      <c r="Z551" s="113"/>
      <c r="AA551" s="113"/>
    </row>
    <row r="552" spans="26:27">
      <c r="Z552" s="113"/>
      <c r="AA552" s="113"/>
    </row>
    <row r="553" spans="26:27">
      <c r="Z553" s="113"/>
      <c r="AA553" s="113"/>
    </row>
    <row r="554" spans="26:27">
      <c r="Z554" s="113"/>
      <c r="AA554" s="113"/>
    </row>
    <row r="555" spans="26:27">
      <c r="Z555" s="113"/>
      <c r="AA555" s="113"/>
    </row>
    <row r="556" spans="26:27">
      <c r="Z556" s="113"/>
      <c r="AA556" s="113"/>
    </row>
    <row r="557" spans="26:27">
      <c r="Z557" s="113"/>
      <c r="AA557" s="113"/>
    </row>
    <row r="558" spans="26:27">
      <c r="Z558" s="113"/>
      <c r="AA558" s="113"/>
    </row>
    <row r="559" spans="26:27">
      <c r="Z559" s="113"/>
      <c r="AA559" s="113"/>
    </row>
    <row r="560" spans="26:27">
      <c r="Z560" s="113"/>
      <c r="AA560" s="113"/>
    </row>
    <row r="561" spans="26:27">
      <c r="Z561" s="113"/>
      <c r="AA561" s="113"/>
    </row>
    <row r="562" spans="26:27">
      <c r="Z562" s="113"/>
      <c r="AA562" s="113"/>
    </row>
    <row r="563" spans="26:27">
      <c r="Z563" s="113"/>
      <c r="AA563" s="113"/>
    </row>
    <row r="564" spans="26:27">
      <c r="Z564" s="113"/>
      <c r="AA564" s="113"/>
    </row>
    <row r="565" spans="26:27">
      <c r="Z565" s="113"/>
      <c r="AA565" s="113"/>
    </row>
    <row r="566" spans="26:27">
      <c r="Z566" s="113"/>
      <c r="AA566" s="113"/>
    </row>
    <row r="567" spans="26:27">
      <c r="Z567" s="113"/>
      <c r="AA567" s="113"/>
    </row>
    <row r="568" spans="26:27">
      <c r="Z568" s="113"/>
      <c r="AA568" s="113"/>
    </row>
    <row r="569" spans="26:27">
      <c r="Z569" s="113"/>
      <c r="AA569" s="113"/>
    </row>
    <row r="570" spans="26:27">
      <c r="Z570" s="113"/>
      <c r="AA570" s="113"/>
    </row>
    <row r="571" spans="26:27">
      <c r="Z571" s="113"/>
      <c r="AA571" s="113"/>
    </row>
    <row r="572" spans="26:27">
      <c r="Z572" s="113"/>
      <c r="AA572" s="113"/>
    </row>
    <row r="573" spans="26:27">
      <c r="Z573" s="113"/>
      <c r="AA573" s="113"/>
    </row>
    <row r="574" spans="26:27">
      <c r="Z574" s="113"/>
      <c r="AA574" s="113"/>
    </row>
    <row r="575" spans="26:27">
      <c r="Z575" s="113"/>
      <c r="AA575" s="113"/>
    </row>
    <row r="576" spans="26:27">
      <c r="Z576" s="113"/>
      <c r="AA576" s="113"/>
    </row>
    <row r="577" spans="26:27">
      <c r="Z577" s="113"/>
      <c r="AA577" s="113"/>
    </row>
    <row r="578" spans="26:27">
      <c r="Z578" s="113"/>
      <c r="AA578" s="113"/>
    </row>
    <row r="579" spans="26:27">
      <c r="Z579" s="113"/>
      <c r="AA579" s="113"/>
    </row>
    <row r="580" spans="26:27">
      <c r="Z580" s="113"/>
      <c r="AA580" s="113"/>
    </row>
    <row r="581" spans="26:27">
      <c r="Z581" s="113"/>
      <c r="AA581" s="113"/>
    </row>
    <row r="582" spans="26:27">
      <c r="Z582" s="113"/>
      <c r="AA582" s="113"/>
    </row>
    <row r="583" spans="26:27">
      <c r="Z583" s="113"/>
      <c r="AA583" s="113"/>
    </row>
    <row r="584" spans="26:27">
      <c r="Z584" s="113"/>
      <c r="AA584" s="113"/>
    </row>
    <row r="585" spans="26:27">
      <c r="Z585" s="113"/>
      <c r="AA585" s="113"/>
    </row>
    <row r="586" spans="26:27">
      <c r="Z586" s="113"/>
      <c r="AA586" s="113"/>
    </row>
    <row r="587" spans="26:27">
      <c r="Z587" s="113"/>
      <c r="AA587" s="113"/>
    </row>
    <row r="588" spans="26:27">
      <c r="Z588" s="113"/>
      <c r="AA588" s="113"/>
    </row>
    <row r="589" spans="26:27">
      <c r="Z589" s="113"/>
      <c r="AA589" s="113"/>
    </row>
    <row r="590" spans="26:27">
      <c r="Z590" s="113"/>
      <c r="AA590" s="113"/>
    </row>
    <row r="591" spans="26:27">
      <c r="Z591" s="113"/>
      <c r="AA591" s="113"/>
    </row>
    <row r="592" spans="26:27">
      <c r="Z592" s="113"/>
      <c r="AA592" s="113"/>
    </row>
    <row r="593" spans="26:27">
      <c r="Z593" s="113"/>
      <c r="AA593" s="113"/>
    </row>
    <row r="594" spans="26:27">
      <c r="Z594" s="113"/>
      <c r="AA594" s="113"/>
    </row>
    <row r="595" spans="26:27">
      <c r="Z595" s="113"/>
      <c r="AA595" s="113"/>
    </row>
    <row r="596" spans="26:27">
      <c r="Z596" s="113"/>
      <c r="AA596" s="113"/>
    </row>
    <row r="597" spans="26:27">
      <c r="Z597" s="113"/>
      <c r="AA597" s="113"/>
    </row>
    <row r="598" spans="26:27">
      <c r="Z598" s="113"/>
      <c r="AA598" s="113"/>
    </row>
    <row r="599" spans="26:27">
      <c r="Z599" s="113"/>
      <c r="AA599" s="113"/>
    </row>
    <row r="600" spans="26:27">
      <c r="Z600" s="113"/>
      <c r="AA600" s="113"/>
    </row>
    <row r="601" spans="26:27">
      <c r="Z601" s="113"/>
      <c r="AA601" s="113"/>
    </row>
    <row r="602" spans="26:27">
      <c r="Z602" s="113"/>
      <c r="AA602" s="113"/>
    </row>
    <row r="603" spans="26:27">
      <c r="Z603" s="113"/>
      <c r="AA603" s="113"/>
    </row>
    <row r="604" spans="26:27">
      <c r="Z604" s="113"/>
      <c r="AA604" s="113"/>
    </row>
    <row r="605" spans="26:27">
      <c r="Z605" s="113"/>
      <c r="AA605" s="113"/>
    </row>
    <row r="606" spans="26:27">
      <c r="Z606" s="113"/>
      <c r="AA606" s="113"/>
    </row>
    <row r="607" spans="26:27">
      <c r="Z607" s="113"/>
      <c r="AA607" s="113"/>
    </row>
    <row r="608" spans="26:27">
      <c r="Z608" s="113"/>
      <c r="AA608" s="113"/>
    </row>
    <row r="609" spans="26:27">
      <c r="Z609" s="113"/>
      <c r="AA609" s="113"/>
    </row>
    <row r="610" spans="26:27">
      <c r="Z610" s="113"/>
      <c r="AA610" s="113"/>
    </row>
    <row r="611" spans="26:27">
      <c r="Z611" s="113"/>
      <c r="AA611" s="113"/>
    </row>
    <row r="612" spans="26:27">
      <c r="Z612" s="113"/>
      <c r="AA612" s="113"/>
    </row>
    <row r="613" spans="26:27">
      <c r="Z613" s="113"/>
      <c r="AA613" s="113"/>
    </row>
    <row r="614" spans="26:27">
      <c r="Z614" s="113"/>
      <c r="AA614" s="113"/>
    </row>
    <row r="615" spans="26:27">
      <c r="Z615" s="113"/>
      <c r="AA615" s="113"/>
    </row>
    <row r="616" spans="26:27">
      <c r="Z616" s="113"/>
      <c r="AA616" s="113"/>
    </row>
    <row r="617" spans="26:27">
      <c r="Z617" s="113"/>
      <c r="AA617" s="113"/>
    </row>
    <row r="618" spans="26:27">
      <c r="Z618" s="113"/>
      <c r="AA618" s="113"/>
    </row>
    <row r="619" spans="26:27">
      <c r="Z619" s="113"/>
      <c r="AA619" s="113"/>
    </row>
    <row r="620" spans="26:27">
      <c r="Z620" s="113"/>
      <c r="AA620" s="113"/>
    </row>
    <row r="621" spans="26:27">
      <c r="Z621" s="113"/>
      <c r="AA621" s="113"/>
    </row>
    <row r="622" spans="26:27">
      <c r="Z622" s="113"/>
      <c r="AA622" s="113"/>
    </row>
    <row r="623" spans="26:27">
      <c r="Z623" s="113"/>
      <c r="AA623" s="113"/>
    </row>
    <row r="624" spans="26:27">
      <c r="Z624" s="113"/>
      <c r="AA624" s="113"/>
    </row>
    <row r="625" spans="26:27">
      <c r="Z625" s="113"/>
      <c r="AA625" s="113"/>
    </row>
    <row r="626" spans="26:27">
      <c r="Z626" s="113"/>
      <c r="AA626" s="113"/>
    </row>
    <row r="627" spans="26:27">
      <c r="Z627" s="113"/>
      <c r="AA627" s="113"/>
    </row>
    <row r="628" spans="26:27">
      <c r="Z628" s="113"/>
      <c r="AA628" s="113"/>
    </row>
    <row r="629" spans="26:27">
      <c r="Z629" s="113"/>
      <c r="AA629" s="113"/>
    </row>
    <row r="630" spans="26:27">
      <c r="Z630" s="113"/>
      <c r="AA630" s="113"/>
    </row>
    <row r="631" spans="26:27">
      <c r="Z631" s="113"/>
      <c r="AA631" s="113"/>
    </row>
    <row r="632" spans="26:27">
      <c r="Z632" s="113"/>
      <c r="AA632" s="113"/>
    </row>
    <row r="633" spans="26:27">
      <c r="Z633" s="113"/>
      <c r="AA633" s="113"/>
    </row>
    <row r="634" spans="26:27">
      <c r="Z634" s="113"/>
      <c r="AA634" s="113"/>
    </row>
    <row r="635" spans="26:27">
      <c r="Z635" s="113"/>
      <c r="AA635" s="113"/>
    </row>
    <row r="636" spans="26:27">
      <c r="Z636" s="113"/>
      <c r="AA636" s="113"/>
    </row>
    <row r="637" spans="26:27">
      <c r="Z637" s="113"/>
      <c r="AA637" s="113"/>
    </row>
    <row r="638" spans="26:27">
      <c r="Z638" s="113"/>
      <c r="AA638" s="113"/>
    </row>
    <row r="639" spans="26:27">
      <c r="Z639" s="113"/>
      <c r="AA639" s="113"/>
    </row>
    <row r="640" spans="26:27">
      <c r="Z640" s="113"/>
      <c r="AA640" s="113"/>
    </row>
    <row r="641" spans="26:27">
      <c r="Z641" s="113"/>
      <c r="AA641" s="113"/>
    </row>
    <row r="642" spans="26:27">
      <c r="Z642" s="113"/>
      <c r="AA642" s="113"/>
    </row>
    <row r="643" spans="26:27">
      <c r="Z643" s="113"/>
      <c r="AA643" s="113"/>
    </row>
    <row r="644" spans="26:27">
      <c r="Z644" s="113"/>
      <c r="AA644" s="113"/>
    </row>
    <row r="645" spans="26:27">
      <c r="Z645" s="113"/>
      <c r="AA645" s="113"/>
    </row>
    <row r="646" spans="26:27">
      <c r="Z646" s="113"/>
      <c r="AA646" s="113"/>
    </row>
    <row r="647" spans="26:27">
      <c r="Z647" s="113"/>
      <c r="AA647" s="113"/>
    </row>
    <row r="648" spans="26:27">
      <c r="Z648" s="113"/>
      <c r="AA648" s="113"/>
    </row>
    <row r="649" spans="26:27">
      <c r="Z649" s="113"/>
      <c r="AA649" s="113"/>
    </row>
    <row r="650" spans="26:27">
      <c r="Z650" s="113"/>
      <c r="AA650" s="113"/>
    </row>
    <row r="651" spans="26:27">
      <c r="Z651" s="113"/>
      <c r="AA651" s="113"/>
    </row>
    <row r="652" spans="26:27">
      <c r="Z652" s="113"/>
      <c r="AA652" s="113"/>
    </row>
    <row r="653" spans="26:27">
      <c r="Z653" s="113"/>
      <c r="AA653" s="113"/>
    </row>
    <row r="654" spans="26:27">
      <c r="Z654" s="113"/>
      <c r="AA654" s="113"/>
    </row>
    <row r="655" spans="26:27">
      <c r="Z655" s="113"/>
      <c r="AA655" s="113"/>
    </row>
    <row r="656" spans="26:27">
      <c r="Z656" s="113"/>
      <c r="AA656" s="113"/>
    </row>
    <row r="657" spans="26:27">
      <c r="Z657" s="113"/>
      <c r="AA657" s="113"/>
    </row>
    <row r="658" spans="26:27">
      <c r="Z658" s="113"/>
      <c r="AA658" s="113"/>
    </row>
    <row r="659" spans="26:27">
      <c r="Z659" s="113"/>
      <c r="AA659" s="113"/>
    </row>
    <row r="660" spans="26:27">
      <c r="Z660" s="113"/>
      <c r="AA660" s="113"/>
    </row>
    <row r="661" spans="26:27">
      <c r="Z661" s="113"/>
      <c r="AA661" s="113"/>
    </row>
    <row r="662" spans="26:27">
      <c r="Z662" s="113"/>
      <c r="AA662" s="113"/>
    </row>
    <row r="663" spans="26:27">
      <c r="Z663" s="113"/>
      <c r="AA663" s="113"/>
    </row>
    <row r="664" spans="26:27">
      <c r="Z664" s="113"/>
      <c r="AA664" s="113"/>
    </row>
    <row r="665" spans="26:27">
      <c r="Z665" s="113"/>
      <c r="AA665" s="113"/>
    </row>
    <row r="666" spans="26:27">
      <c r="Z666" s="113"/>
      <c r="AA666" s="113"/>
    </row>
    <row r="667" spans="26:27">
      <c r="Z667" s="113"/>
      <c r="AA667" s="113"/>
    </row>
    <row r="668" spans="26:27">
      <c r="Z668" s="113"/>
      <c r="AA668" s="113"/>
    </row>
    <row r="669" spans="26:27">
      <c r="Z669" s="113"/>
      <c r="AA669" s="113"/>
    </row>
    <row r="670" spans="26:27">
      <c r="Z670" s="113"/>
      <c r="AA670" s="113"/>
    </row>
    <row r="671" spans="26:27">
      <c r="Z671" s="113"/>
      <c r="AA671" s="113"/>
    </row>
    <row r="672" spans="26:27">
      <c r="Z672" s="113"/>
      <c r="AA672" s="113"/>
    </row>
    <row r="673" spans="26:27">
      <c r="Z673" s="113"/>
      <c r="AA673" s="113"/>
    </row>
    <row r="674" spans="26:27">
      <c r="Z674" s="113"/>
      <c r="AA674" s="113"/>
    </row>
    <row r="675" spans="26:27">
      <c r="Z675" s="113"/>
      <c r="AA675" s="113"/>
    </row>
    <row r="676" spans="26:27">
      <c r="Z676" s="113"/>
      <c r="AA676" s="113"/>
    </row>
    <row r="677" spans="26:27">
      <c r="Z677" s="113"/>
      <c r="AA677" s="113"/>
    </row>
    <row r="678" spans="26:27">
      <c r="Z678" s="113"/>
      <c r="AA678" s="113"/>
    </row>
    <row r="679" spans="26:27">
      <c r="Z679" s="113"/>
      <c r="AA679" s="113"/>
    </row>
    <row r="680" spans="26:27">
      <c r="Z680" s="113"/>
      <c r="AA680" s="113"/>
    </row>
    <row r="681" spans="26:27">
      <c r="Z681" s="113"/>
      <c r="AA681" s="113"/>
    </row>
    <row r="682" spans="26:27">
      <c r="Z682" s="113"/>
      <c r="AA682" s="113"/>
    </row>
    <row r="683" spans="26:27">
      <c r="Z683" s="113"/>
      <c r="AA683" s="113"/>
    </row>
    <row r="684" spans="26:27">
      <c r="Z684" s="113"/>
      <c r="AA684" s="113"/>
    </row>
    <row r="685" spans="26:27">
      <c r="Z685" s="113"/>
      <c r="AA685" s="113"/>
    </row>
    <row r="686" spans="26:27">
      <c r="Z686" s="113"/>
      <c r="AA686" s="113"/>
    </row>
    <row r="687" spans="26:27">
      <c r="Z687" s="113"/>
      <c r="AA687" s="113"/>
    </row>
    <row r="688" spans="26:27">
      <c r="Z688" s="113"/>
      <c r="AA688" s="113"/>
    </row>
    <row r="689" spans="26:27">
      <c r="Z689" s="113"/>
      <c r="AA689" s="113"/>
    </row>
    <row r="690" spans="26:27">
      <c r="Z690" s="113"/>
      <c r="AA690" s="113"/>
    </row>
    <row r="691" spans="26:27">
      <c r="Z691" s="113"/>
      <c r="AA691" s="113"/>
    </row>
    <row r="692" spans="26:27">
      <c r="Z692" s="113"/>
      <c r="AA692" s="113"/>
    </row>
    <row r="693" spans="26:27">
      <c r="Z693" s="113"/>
      <c r="AA693" s="113"/>
    </row>
    <row r="694" spans="26:27">
      <c r="Z694" s="113"/>
      <c r="AA694" s="113"/>
    </row>
    <row r="695" spans="26:27">
      <c r="Z695" s="113"/>
      <c r="AA695" s="113"/>
    </row>
    <row r="696" spans="26:27">
      <c r="Z696" s="113"/>
      <c r="AA696" s="113"/>
    </row>
    <row r="697" spans="26:27">
      <c r="Z697" s="113"/>
      <c r="AA697" s="113"/>
    </row>
    <row r="698" spans="26:27">
      <c r="Z698" s="113"/>
      <c r="AA698" s="113"/>
    </row>
    <row r="699" spans="26:27">
      <c r="Z699" s="113"/>
      <c r="AA699" s="113"/>
    </row>
    <row r="700" spans="26:27">
      <c r="Z700" s="113"/>
      <c r="AA700" s="113"/>
    </row>
    <row r="701" spans="26:27">
      <c r="Z701" s="113"/>
      <c r="AA701" s="113"/>
    </row>
    <row r="702" spans="26:27">
      <c r="Z702" s="113"/>
      <c r="AA702" s="113"/>
    </row>
    <row r="703" spans="26:27">
      <c r="Z703" s="113"/>
      <c r="AA703" s="113"/>
    </row>
    <row r="704" spans="26:27">
      <c r="Z704" s="113"/>
      <c r="AA704" s="113"/>
    </row>
    <row r="705" spans="26:27">
      <c r="Z705" s="113"/>
      <c r="AA705" s="113"/>
    </row>
    <row r="706" spans="26:27">
      <c r="Z706" s="113"/>
      <c r="AA706" s="113"/>
    </row>
    <row r="707" spans="26:27">
      <c r="Z707" s="113"/>
      <c r="AA707" s="113"/>
    </row>
    <row r="708" spans="26:27">
      <c r="Z708" s="113"/>
      <c r="AA708" s="113"/>
    </row>
    <row r="709" spans="26:27">
      <c r="Z709" s="113"/>
      <c r="AA709" s="113"/>
    </row>
    <row r="710" spans="26:27">
      <c r="Z710" s="113"/>
      <c r="AA710" s="113"/>
    </row>
    <row r="711" spans="26:27">
      <c r="Z711" s="113"/>
      <c r="AA711" s="113"/>
    </row>
    <row r="712" spans="26:27">
      <c r="Z712" s="113"/>
      <c r="AA712" s="113"/>
    </row>
    <row r="713" spans="26:27">
      <c r="Z713" s="113"/>
      <c r="AA713" s="113"/>
    </row>
    <row r="714" spans="26:27">
      <c r="Z714" s="113"/>
      <c r="AA714" s="113"/>
    </row>
    <row r="715" spans="26:27">
      <c r="Z715" s="113"/>
      <c r="AA715" s="113"/>
    </row>
    <row r="716" spans="26:27">
      <c r="Z716" s="113"/>
      <c r="AA716" s="113"/>
    </row>
    <row r="717" spans="26:27">
      <c r="Z717" s="113"/>
      <c r="AA717" s="113"/>
    </row>
    <row r="718" spans="26:27">
      <c r="Z718" s="113"/>
      <c r="AA718" s="113"/>
    </row>
    <row r="719" spans="26:27">
      <c r="Z719" s="113"/>
      <c r="AA719" s="113"/>
    </row>
    <row r="720" spans="26:27">
      <c r="Z720" s="113"/>
      <c r="AA720" s="113"/>
    </row>
    <row r="721" spans="26:27">
      <c r="Z721" s="113"/>
      <c r="AA721" s="113"/>
    </row>
    <row r="722" spans="26:27">
      <c r="Z722" s="113"/>
      <c r="AA722" s="113"/>
    </row>
    <row r="723" spans="26:27">
      <c r="Z723" s="113"/>
      <c r="AA723" s="113"/>
    </row>
    <row r="724" spans="26:27">
      <c r="Z724" s="113"/>
      <c r="AA724" s="113"/>
    </row>
    <row r="725" spans="26:27">
      <c r="Z725" s="113"/>
      <c r="AA725" s="113"/>
    </row>
    <row r="726" spans="26:27">
      <c r="Z726" s="113"/>
      <c r="AA726" s="113"/>
    </row>
    <row r="727" spans="26:27">
      <c r="Z727" s="113"/>
      <c r="AA727" s="113"/>
    </row>
    <row r="728" spans="26:27">
      <c r="Z728" s="113"/>
      <c r="AA728" s="113"/>
    </row>
    <row r="729" spans="26:27">
      <c r="Z729" s="113"/>
      <c r="AA729" s="113"/>
    </row>
    <row r="730" spans="26:27">
      <c r="Z730" s="113"/>
      <c r="AA730" s="113"/>
    </row>
    <row r="731" spans="26:27">
      <c r="Z731" s="113"/>
      <c r="AA731" s="113"/>
    </row>
    <row r="732" spans="26:27">
      <c r="Z732" s="113"/>
      <c r="AA732" s="113"/>
    </row>
    <row r="733" spans="26:27">
      <c r="Z733" s="113"/>
      <c r="AA733" s="113"/>
    </row>
    <row r="734" spans="26:27">
      <c r="Z734" s="113"/>
      <c r="AA734" s="113"/>
    </row>
    <row r="735" spans="26:27">
      <c r="Z735" s="113"/>
      <c r="AA735" s="113"/>
    </row>
    <row r="736" spans="26:27">
      <c r="Z736" s="113"/>
      <c r="AA736" s="113"/>
    </row>
    <row r="737" spans="26:27">
      <c r="Z737" s="113"/>
      <c r="AA737" s="113"/>
    </row>
    <row r="738" spans="26:27">
      <c r="Z738" s="113"/>
      <c r="AA738" s="113"/>
    </row>
    <row r="739" spans="26:27">
      <c r="Z739" s="113"/>
      <c r="AA739" s="113"/>
    </row>
    <row r="740" spans="26:27">
      <c r="Z740" s="113"/>
      <c r="AA740" s="113"/>
    </row>
    <row r="741" spans="26:27">
      <c r="Z741" s="113"/>
      <c r="AA741" s="113"/>
    </row>
    <row r="742" spans="26:27">
      <c r="Z742" s="113"/>
      <c r="AA742" s="113"/>
    </row>
    <row r="743" spans="26:27">
      <c r="Z743" s="113"/>
      <c r="AA743" s="113"/>
    </row>
    <row r="744" spans="26:27">
      <c r="Z744" s="113"/>
      <c r="AA744" s="113"/>
    </row>
    <row r="745" spans="26:27">
      <c r="Z745" s="113"/>
      <c r="AA745" s="113"/>
    </row>
    <row r="746" spans="26:27">
      <c r="Z746" s="113"/>
      <c r="AA746" s="113"/>
    </row>
    <row r="747" spans="26:27">
      <c r="Z747" s="113"/>
      <c r="AA747" s="113"/>
    </row>
    <row r="748" spans="26:27">
      <c r="Z748" s="113"/>
      <c r="AA748" s="113"/>
    </row>
    <row r="749" spans="26:27">
      <c r="Z749" s="113"/>
      <c r="AA749" s="113"/>
    </row>
    <row r="750" spans="26:27">
      <c r="Z750" s="113"/>
      <c r="AA750" s="113"/>
    </row>
    <row r="751" spans="26:27">
      <c r="Z751" s="113"/>
      <c r="AA751" s="113"/>
    </row>
    <row r="752" spans="26:27">
      <c r="Z752" s="113"/>
      <c r="AA752" s="113"/>
    </row>
    <row r="753" spans="26:27">
      <c r="Z753" s="113"/>
      <c r="AA753" s="113"/>
    </row>
    <row r="754" spans="26:27">
      <c r="Z754" s="113"/>
      <c r="AA754" s="113"/>
    </row>
    <row r="755" spans="26:27">
      <c r="Z755" s="113"/>
      <c r="AA755" s="113"/>
    </row>
    <row r="756" spans="26:27">
      <c r="Z756" s="113"/>
      <c r="AA756" s="113"/>
    </row>
    <row r="757" spans="26:27">
      <c r="Z757" s="113"/>
      <c r="AA757" s="113"/>
    </row>
    <row r="758" spans="26:27">
      <c r="Z758" s="113"/>
      <c r="AA758" s="113"/>
    </row>
    <row r="759" spans="26:27">
      <c r="Z759" s="113"/>
      <c r="AA759" s="113"/>
    </row>
    <row r="760" spans="26:27">
      <c r="Z760" s="113"/>
      <c r="AA760" s="113"/>
    </row>
    <row r="761" spans="26:27">
      <c r="Z761" s="113"/>
      <c r="AA761" s="113"/>
    </row>
    <row r="762" spans="26:27">
      <c r="Z762" s="113"/>
      <c r="AA762" s="113"/>
    </row>
    <row r="763" spans="26:27">
      <c r="Z763" s="113"/>
      <c r="AA763" s="113"/>
    </row>
    <row r="764" spans="26:27">
      <c r="Z764" s="113"/>
      <c r="AA764" s="113"/>
    </row>
    <row r="765" spans="26:27">
      <c r="Z765" s="113"/>
      <c r="AA765" s="113"/>
    </row>
    <row r="766" spans="26:27">
      <c r="Z766" s="113"/>
      <c r="AA766" s="113"/>
    </row>
    <row r="767" spans="26:27">
      <c r="Z767" s="113"/>
      <c r="AA767" s="113"/>
    </row>
    <row r="768" spans="26:27">
      <c r="Z768" s="113"/>
      <c r="AA768" s="113"/>
    </row>
    <row r="769" spans="26:27">
      <c r="Z769" s="113"/>
      <c r="AA769" s="113"/>
    </row>
    <row r="770" spans="26:27">
      <c r="Z770" s="113"/>
      <c r="AA770" s="113"/>
    </row>
    <row r="771" spans="26:27">
      <c r="Z771" s="113"/>
      <c r="AA771" s="113"/>
    </row>
    <row r="772" spans="26:27">
      <c r="Z772" s="113"/>
      <c r="AA772" s="113"/>
    </row>
    <row r="773" spans="26:27">
      <c r="Z773" s="113"/>
      <c r="AA773" s="113"/>
    </row>
    <row r="774" spans="26:27">
      <c r="Z774" s="113"/>
      <c r="AA774" s="113"/>
    </row>
    <row r="775" spans="26:27">
      <c r="Z775" s="113"/>
      <c r="AA775" s="113"/>
    </row>
    <row r="776" spans="26:27">
      <c r="Z776" s="113"/>
      <c r="AA776" s="113"/>
    </row>
    <row r="777" spans="26:27">
      <c r="Z777" s="113"/>
      <c r="AA777" s="113"/>
    </row>
    <row r="778" spans="26:27">
      <c r="Z778" s="113"/>
      <c r="AA778" s="113"/>
    </row>
    <row r="779" spans="26:27">
      <c r="Z779" s="113"/>
      <c r="AA779" s="113"/>
    </row>
    <row r="780" spans="26:27">
      <c r="Z780" s="113"/>
      <c r="AA780" s="113"/>
    </row>
    <row r="781" spans="26:27">
      <c r="Z781" s="113"/>
      <c r="AA781" s="113"/>
    </row>
    <row r="782" spans="26:27">
      <c r="Z782" s="113"/>
      <c r="AA782" s="113"/>
    </row>
    <row r="783" spans="26:27">
      <c r="Z783" s="113"/>
      <c r="AA783" s="113"/>
    </row>
    <row r="784" spans="26:27">
      <c r="Z784" s="113"/>
      <c r="AA784" s="113"/>
    </row>
    <row r="785" spans="26:27">
      <c r="Z785" s="113"/>
      <c r="AA785" s="113"/>
    </row>
    <row r="786" spans="26:27">
      <c r="Z786" s="113"/>
      <c r="AA786" s="113"/>
    </row>
    <row r="787" spans="26:27">
      <c r="Z787" s="113"/>
      <c r="AA787" s="113"/>
    </row>
    <row r="788" spans="26:27">
      <c r="Z788" s="113"/>
      <c r="AA788" s="113"/>
    </row>
    <row r="789" spans="26:27">
      <c r="Z789" s="113"/>
      <c r="AA789" s="113"/>
    </row>
    <row r="790" spans="26:27">
      <c r="Z790" s="113"/>
      <c r="AA790" s="113"/>
    </row>
    <row r="791" spans="26:27">
      <c r="Z791" s="113"/>
      <c r="AA791" s="113"/>
    </row>
    <row r="792" spans="26:27">
      <c r="Z792" s="113"/>
      <c r="AA792" s="113"/>
    </row>
    <row r="793" spans="26:27">
      <c r="Z793" s="113"/>
      <c r="AA793" s="113"/>
    </row>
    <row r="794" spans="26:27">
      <c r="Z794" s="113"/>
      <c r="AA794" s="113"/>
    </row>
    <row r="795" spans="26:27">
      <c r="Z795" s="113"/>
      <c r="AA795" s="113"/>
    </row>
    <row r="796" spans="26:27">
      <c r="Z796" s="113"/>
      <c r="AA796" s="113"/>
    </row>
    <row r="797" spans="26:27">
      <c r="Z797" s="113"/>
      <c r="AA797" s="113"/>
    </row>
    <row r="798" spans="26:27">
      <c r="Z798" s="113"/>
      <c r="AA798" s="113"/>
    </row>
    <row r="799" spans="26:27">
      <c r="Z799" s="113"/>
      <c r="AA799" s="113"/>
    </row>
    <row r="800" spans="26:27">
      <c r="Z800" s="113"/>
      <c r="AA800" s="113"/>
    </row>
    <row r="801" spans="26:27">
      <c r="Z801" s="113"/>
      <c r="AA801" s="113"/>
    </row>
    <row r="802" spans="26:27">
      <c r="Z802" s="113"/>
      <c r="AA802" s="113"/>
    </row>
    <row r="803" spans="26:27">
      <c r="Z803" s="113"/>
      <c r="AA803" s="113"/>
    </row>
    <row r="804" spans="26:27">
      <c r="Z804" s="113"/>
      <c r="AA804" s="113"/>
    </row>
    <row r="805" spans="26:27">
      <c r="Z805" s="113"/>
      <c r="AA805" s="113"/>
    </row>
    <row r="806" spans="26:27">
      <c r="Z806" s="113"/>
      <c r="AA806" s="113"/>
    </row>
    <row r="807" spans="26:27">
      <c r="Z807" s="113"/>
      <c r="AA807" s="113"/>
    </row>
    <row r="808" spans="26:27">
      <c r="Z808" s="113"/>
      <c r="AA808" s="113"/>
    </row>
    <row r="809" spans="26:27">
      <c r="Z809" s="113"/>
      <c r="AA809" s="113"/>
    </row>
    <row r="810" spans="26:27">
      <c r="Z810" s="113"/>
      <c r="AA810" s="113"/>
    </row>
    <row r="811" spans="26:27">
      <c r="Z811" s="113"/>
      <c r="AA811" s="113"/>
    </row>
    <row r="812" spans="26:27">
      <c r="Z812" s="113"/>
      <c r="AA812" s="113"/>
    </row>
    <row r="813" spans="26:27">
      <c r="Z813" s="113"/>
      <c r="AA813" s="113"/>
    </row>
    <row r="814" spans="26:27">
      <c r="Z814" s="113"/>
      <c r="AA814" s="113"/>
    </row>
    <row r="815" spans="26:27">
      <c r="Z815" s="113"/>
      <c r="AA815" s="113"/>
    </row>
    <row r="816" spans="26:27">
      <c r="Z816" s="113"/>
      <c r="AA816" s="113"/>
    </row>
    <row r="817" spans="26:27">
      <c r="Z817" s="113"/>
      <c r="AA817" s="113"/>
    </row>
    <row r="818" spans="26:27">
      <c r="Z818" s="113"/>
      <c r="AA818" s="113"/>
    </row>
    <row r="819" spans="26:27">
      <c r="Z819" s="113"/>
      <c r="AA819" s="113"/>
    </row>
    <row r="820" spans="26:27">
      <c r="Z820" s="113"/>
      <c r="AA820" s="113"/>
    </row>
    <row r="821" spans="26:27">
      <c r="Z821" s="113"/>
      <c r="AA821" s="113"/>
    </row>
    <row r="822" spans="26:27">
      <c r="Z822" s="113"/>
      <c r="AA822" s="113"/>
    </row>
    <row r="823" spans="26:27">
      <c r="Z823" s="113"/>
      <c r="AA823" s="113"/>
    </row>
    <row r="824" spans="26:27">
      <c r="Z824" s="113"/>
      <c r="AA824" s="113"/>
    </row>
    <row r="825" spans="26:27">
      <c r="Z825" s="113"/>
      <c r="AA825" s="113"/>
    </row>
    <row r="826" spans="26:27">
      <c r="Z826" s="113"/>
      <c r="AA826" s="113"/>
    </row>
    <row r="827" spans="26:27">
      <c r="Z827" s="113"/>
      <c r="AA827" s="113"/>
    </row>
    <row r="828" spans="26:27">
      <c r="Z828" s="113"/>
      <c r="AA828" s="113"/>
    </row>
    <row r="829" spans="26:27">
      <c r="Z829" s="113"/>
      <c r="AA829" s="113"/>
    </row>
    <row r="830" spans="26:27">
      <c r="Z830" s="113"/>
      <c r="AA830" s="113"/>
    </row>
    <row r="831" spans="26:27">
      <c r="Z831" s="113"/>
      <c r="AA831" s="113"/>
    </row>
    <row r="832" spans="26:27">
      <c r="Z832" s="113"/>
      <c r="AA832" s="113"/>
    </row>
    <row r="833" spans="26:27">
      <c r="Z833" s="113"/>
      <c r="AA833" s="113"/>
    </row>
    <row r="834" spans="26:27">
      <c r="Z834" s="113"/>
      <c r="AA834" s="113"/>
    </row>
    <row r="835" spans="26:27">
      <c r="Z835" s="113"/>
      <c r="AA835" s="113"/>
    </row>
    <row r="836" spans="26:27">
      <c r="Z836" s="113"/>
      <c r="AA836" s="113"/>
    </row>
    <row r="837" spans="26:27">
      <c r="Z837" s="113"/>
      <c r="AA837" s="113"/>
    </row>
    <row r="838" spans="26:27">
      <c r="Z838" s="113"/>
      <c r="AA838" s="113"/>
    </row>
    <row r="839" spans="26:27">
      <c r="Z839" s="113"/>
      <c r="AA839" s="113"/>
    </row>
    <row r="840" spans="26:27">
      <c r="Z840" s="113"/>
      <c r="AA840" s="113"/>
    </row>
    <row r="841" spans="26:27">
      <c r="Z841" s="113"/>
      <c r="AA841" s="113"/>
    </row>
    <row r="842" spans="26:27">
      <c r="Z842" s="113"/>
      <c r="AA842" s="113"/>
    </row>
    <row r="843" spans="26:27">
      <c r="Z843" s="113"/>
      <c r="AA843" s="113"/>
    </row>
    <row r="844" spans="26:27">
      <c r="Z844" s="113"/>
      <c r="AA844" s="113"/>
    </row>
    <row r="845" spans="26:27">
      <c r="Z845" s="113"/>
      <c r="AA845" s="113"/>
    </row>
    <row r="846" spans="26:27">
      <c r="Z846" s="113"/>
      <c r="AA846" s="113"/>
    </row>
    <row r="847" spans="26:27">
      <c r="Z847" s="113"/>
      <c r="AA847" s="113"/>
    </row>
    <row r="848" spans="26:27">
      <c r="Z848" s="113"/>
      <c r="AA848" s="113"/>
    </row>
    <row r="849" spans="26:27">
      <c r="Z849" s="113"/>
      <c r="AA849" s="113"/>
    </row>
    <row r="850" spans="26:27">
      <c r="Z850" s="113"/>
      <c r="AA850" s="113"/>
    </row>
    <row r="851" spans="26:27">
      <c r="Z851" s="113"/>
      <c r="AA851" s="113"/>
    </row>
    <row r="852" spans="26:27">
      <c r="Z852" s="113"/>
      <c r="AA852" s="113"/>
    </row>
    <row r="853" spans="26:27">
      <c r="Z853" s="113"/>
      <c r="AA853" s="113"/>
    </row>
    <row r="854" spans="26:27">
      <c r="Z854" s="113"/>
      <c r="AA854" s="113"/>
    </row>
    <row r="855" spans="26:27">
      <c r="Z855" s="113"/>
      <c r="AA855" s="113"/>
    </row>
    <row r="856" spans="26:27">
      <c r="Z856" s="113"/>
      <c r="AA856" s="113"/>
    </row>
    <row r="857" spans="26:27">
      <c r="Z857" s="113"/>
      <c r="AA857" s="113"/>
    </row>
    <row r="858" spans="26:27">
      <c r="Z858" s="113"/>
      <c r="AA858" s="113"/>
    </row>
    <row r="859" spans="26:27">
      <c r="Z859" s="113"/>
      <c r="AA859" s="113"/>
    </row>
    <row r="860" spans="26:27">
      <c r="Z860" s="113"/>
      <c r="AA860" s="113"/>
    </row>
    <row r="861" spans="26:27">
      <c r="Z861" s="113"/>
      <c r="AA861" s="113"/>
    </row>
    <row r="862" spans="26:27">
      <c r="Z862" s="113"/>
      <c r="AA862" s="113"/>
    </row>
    <row r="863" spans="26:27">
      <c r="Z863" s="113"/>
      <c r="AA863" s="113"/>
    </row>
    <row r="864" spans="26:27">
      <c r="Z864" s="113"/>
      <c r="AA864" s="113"/>
    </row>
    <row r="865" spans="26:27">
      <c r="Z865" s="113"/>
      <c r="AA865" s="113"/>
    </row>
    <row r="866" spans="26:27">
      <c r="Z866" s="113"/>
      <c r="AA866" s="113"/>
    </row>
    <row r="867" spans="26:27">
      <c r="Z867" s="113"/>
      <c r="AA867" s="113"/>
    </row>
    <row r="868" spans="26:27">
      <c r="Z868" s="113"/>
      <c r="AA868" s="113"/>
    </row>
    <row r="869" spans="26:27">
      <c r="Z869" s="113"/>
      <c r="AA869" s="113"/>
    </row>
    <row r="870" spans="26:27">
      <c r="Z870" s="113"/>
      <c r="AA870" s="113"/>
    </row>
    <row r="871" spans="26:27">
      <c r="Z871" s="113"/>
      <c r="AA871" s="113"/>
    </row>
    <row r="872" spans="26:27">
      <c r="Z872" s="113"/>
      <c r="AA872" s="113"/>
    </row>
    <row r="873" spans="26:27">
      <c r="Z873" s="113"/>
      <c r="AA873" s="113"/>
    </row>
    <row r="874" spans="26:27">
      <c r="Z874" s="113"/>
      <c r="AA874" s="113"/>
    </row>
    <row r="875" spans="26:27">
      <c r="Z875" s="113"/>
      <c r="AA875" s="113"/>
    </row>
    <row r="876" spans="26:27">
      <c r="Z876" s="113"/>
      <c r="AA876" s="113"/>
    </row>
    <row r="877" spans="26:27">
      <c r="Z877" s="113"/>
      <c r="AA877" s="113"/>
    </row>
    <row r="878" spans="26:27">
      <c r="Z878" s="113"/>
      <c r="AA878" s="113"/>
    </row>
    <row r="879" spans="26:27">
      <c r="Z879" s="113"/>
      <c r="AA879" s="113"/>
    </row>
    <row r="880" spans="26:27">
      <c r="Z880" s="113"/>
      <c r="AA880" s="113"/>
    </row>
    <row r="881" spans="26:27">
      <c r="Z881" s="113"/>
      <c r="AA881" s="113"/>
    </row>
    <row r="882" spans="26:27">
      <c r="Z882" s="113"/>
      <c r="AA882" s="113"/>
    </row>
    <row r="883" spans="26:27">
      <c r="Z883" s="113"/>
      <c r="AA883" s="113"/>
    </row>
    <row r="884" spans="26:27">
      <c r="Z884" s="113"/>
      <c r="AA884" s="113"/>
    </row>
    <row r="885" spans="26:27">
      <c r="Z885" s="113"/>
      <c r="AA885" s="113"/>
    </row>
    <row r="886" spans="26:27">
      <c r="Z886" s="113"/>
      <c r="AA886" s="113"/>
    </row>
    <row r="887" spans="26:27">
      <c r="Z887" s="113"/>
      <c r="AA887" s="113"/>
    </row>
    <row r="888" spans="26:27">
      <c r="Z888" s="113"/>
      <c r="AA888" s="113"/>
    </row>
    <row r="889" spans="26:27">
      <c r="Z889" s="113"/>
      <c r="AA889" s="113"/>
    </row>
    <row r="890" spans="26:27">
      <c r="Z890" s="113"/>
      <c r="AA890" s="113"/>
    </row>
    <row r="891" spans="26:27">
      <c r="Z891" s="113"/>
      <c r="AA891" s="113"/>
    </row>
    <row r="892" spans="26:27">
      <c r="Z892" s="113"/>
      <c r="AA892" s="113"/>
    </row>
    <row r="893" spans="26:27">
      <c r="Z893" s="113"/>
      <c r="AA893" s="113"/>
    </row>
    <row r="894" spans="26:27">
      <c r="Z894" s="113"/>
      <c r="AA894" s="113"/>
    </row>
    <row r="895" spans="26:27">
      <c r="Z895" s="113"/>
      <c r="AA895" s="113"/>
    </row>
    <row r="896" spans="26:27">
      <c r="Z896" s="113"/>
      <c r="AA896" s="113"/>
    </row>
    <row r="897" spans="26:27">
      <c r="Z897" s="113"/>
      <c r="AA897" s="113"/>
    </row>
    <row r="898" spans="26:27">
      <c r="Z898" s="113"/>
      <c r="AA898" s="113"/>
    </row>
    <row r="899" spans="26:27">
      <c r="Z899" s="113"/>
      <c r="AA899" s="113"/>
    </row>
    <row r="900" spans="26:27">
      <c r="Z900" s="113"/>
      <c r="AA900" s="113"/>
    </row>
    <row r="901" spans="26:27">
      <c r="Z901" s="113"/>
      <c r="AA901" s="113"/>
    </row>
    <row r="902" spans="26:27">
      <c r="Z902" s="113"/>
      <c r="AA902" s="113"/>
    </row>
    <row r="903" spans="26:27">
      <c r="Z903" s="113"/>
      <c r="AA903" s="113"/>
    </row>
    <row r="904" spans="26:27">
      <c r="Z904" s="113"/>
      <c r="AA904" s="113"/>
    </row>
    <row r="905" spans="26:27">
      <c r="Z905" s="113"/>
      <c r="AA905" s="113"/>
    </row>
    <row r="906" spans="26:27">
      <c r="Z906" s="113"/>
      <c r="AA906" s="113"/>
    </row>
    <row r="907" spans="26:27">
      <c r="Z907" s="113"/>
      <c r="AA907" s="113"/>
    </row>
    <row r="908" spans="26:27">
      <c r="Z908" s="113"/>
      <c r="AA908" s="113"/>
    </row>
    <row r="909" spans="26:27">
      <c r="Z909" s="113"/>
      <c r="AA909" s="113"/>
    </row>
    <row r="910" spans="26:27">
      <c r="Z910" s="113"/>
      <c r="AA910" s="113"/>
    </row>
    <row r="911" spans="26:27">
      <c r="Z911" s="113"/>
      <c r="AA911" s="113"/>
    </row>
    <row r="912" spans="26:27">
      <c r="Z912" s="113"/>
      <c r="AA912" s="113"/>
    </row>
    <row r="913" spans="26:27">
      <c r="Z913" s="113"/>
      <c r="AA913" s="113"/>
    </row>
    <row r="914" spans="26:27">
      <c r="Z914" s="113"/>
      <c r="AA914" s="113"/>
    </row>
    <row r="915" spans="26:27">
      <c r="Z915" s="113"/>
      <c r="AA915" s="113"/>
    </row>
    <row r="916" spans="26:27">
      <c r="Z916" s="113"/>
      <c r="AA916" s="113"/>
    </row>
    <row r="917" spans="26:27">
      <c r="Z917" s="113"/>
      <c r="AA917" s="113"/>
    </row>
    <row r="918" spans="26:27">
      <c r="Z918" s="113"/>
      <c r="AA918" s="113"/>
    </row>
    <row r="919" spans="26:27">
      <c r="Z919" s="113"/>
      <c r="AA919" s="113"/>
    </row>
    <row r="920" spans="26:27">
      <c r="Z920" s="113"/>
      <c r="AA920" s="113"/>
    </row>
    <row r="921" spans="26:27">
      <c r="Z921" s="113"/>
      <c r="AA921" s="113"/>
    </row>
    <row r="922" spans="26:27">
      <c r="Z922" s="113"/>
      <c r="AA922" s="113"/>
    </row>
    <row r="923" spans="26:27">
      <c r="Z923" s="113"/>
      <c r="AA923" s="113"/>
    </row>
    <row r="924" spans="26:27">
      <c r="Z924" s="113"/>
      <c r="AA924" s="113"/>
    </row>
    <row r="925" spans="26:27">
      <c r="Z925" s="113"/>
      <c r="AA925" s="113"/>
    </row>
    <row r="926" spans="26:27">
      <c r="Z926" s="113"/>
      <c r="AA926" s="113"/>
    </row>
    <row r="927" spans="26:27">
      <c r="Z927" s="113"/>
      <c r="AA927" s="113"/>
    </row>
    <row r="928" spans="26:27">
      <c r="Z928" s="113"/>
      <c r="AA928" s="113"/>
    </row>
    <row r="929" spans="26:27">
      <c r="Z929" s="113"/>
      <c r="AA929" s="113"/>
    </row>
    <row r="930" spans="26:27">
      <c r="Z930" s="113"/>
      <c r="AA930" s="113"/>
    </row>
    <row r="931" spans="26:27">
      <c r="Z931" s="113"/>
      <c r="AA931" s="113"/>
    </row>
    <row r="932" spans="26:27">
      <c r="Z932" s="113"/>
      <c r="AA932" s="113"/>
    </row>
    <row r="933" spans="26:27">
      <c r="Z933" s="113"/>
      <c r="AA933" s="113"/>
    </row>
    <row r="934" spans="26:27">
      <c r="Z934" s="113"/>
      <c r="AA934" s="113"/>
    </row>
    <row r="935" spans="26:27">
      <c r="Z935" s="113"/>
      <c r="AA935" s="113"/>
    </row>
    <row r="936" spans="26:27">
      <c r="Z936" s="113"/>
      <c r="AA936" s="113"/>
    </row>
    <row r="937" spans="26:27">
      <c r="Z937" s="113"/>
      <c r="AA937" s="113"/>
    </row>
    <row r="938" spans="26:27">
      <c r="Z938" s="113"/>
      <c r="AA938" s="113"/>
    </row>
    <row r="939" spans="26:27">
      <c r="Z939" s="113"/>
      <c r="AA939" s="113"/>
    </row>
    <row r="940" spans="26:27">
      <c r="Z940" s="113"/>
      <c r="AA940" s="113"/>
    </row>
    <row r="941" spans="26:27">
      <c r="Z941" s="113"/>
      <c r="AA941" s="113"/>
    </row>
    <row r="942" spans="26:27">
      <c r="Z942" s="113"/>
      <c r="AA942" s="113"/>
    </row>
    <row r="943" spans="26:27">
      <c r="Z943" s="113"/>
      <c r="AA943" s="113"/>
    </row>
    <row r="944" spans="26:27">
      <c r="Z944" s="113"/>
      <c r="AA944" s="113"/>
    </row>
    <row r="945" spans="26:27">
      <c r="Z945" s="113"/>
      <c r="AA945" s="113"/>
    </row>
    <row r="946" spans="26:27">
      <c r="Z946" s="113"/>
      <c r="AA946" s="113"/>
    </row>
    <row r="947" spans="26:27">
      <c r="Z947" s="113"/>
      <c r="AA947" s="113"/>
    </row>
    <row r="948" spans="26:27">
      <c r="Z948" s="113"/>
      <c r="AA948" s="113"/>
    </row>
    <row r="949" spans="26:27">
      <c r="Z949" s="113"/>
      <c r="AA949" s="113"/>
    </row>
    <row r="950" spans="26:27">
      <c r="Z950" s="113"/>
      <c r="AA950" s="113"/>
    </row>
    <row r="951" spans="26:27">
      <c r="Z951" s="113"/>
      <c r="AA951" s="113"/>
    </row>
    <row r="952" spans="26:27">
      <c r="Z952" s="113"/>
      <c r="AA952" s="113"/>
    </row>
    <row r="953" spans="26:27">
      <c r="Z953" s="113"/>
      <c r="AA953" s="113"/>
    </row>
    <row r="954" spans="26:27">
      <c r="Z954" s="113"/>
      <c r="AA954" s="113"/>
    </row>
    <row r="955" spans="26:27">
      <c r="Z955" s="113"/>
      <c r="AA955" s="113"/>
    </row>
    <row r="956" spans="26:27">
      <c r="Z956" s="113"/>
      <c r="AA956" s="113"/>
    </row>
    <row r="957" spans="26:27">
      <c r="Z957" s="113"/>
      <c r="AA957" s="113"/>
    </row>
    <row r="958" spans="26:27">
      <c r="Z958" s="113"/>
      <c r="AA958" s="113"/>
    </row>
    <row r="959" spans="26:27">
      <c r="Z959" s="113"/>
      <c r="AA959" s="113"/>
    </row>
    <row r="960" spans="26:27">
      <c r="Z960" s="113"/>
      <c r="AA960" s="113"/>
    </row>
    <row r="961" spans="26:27">
      <c r="Z961" s="113"/>
      <c r="AA961" s="113"/>
    </row>
    <row r="962" spans="26:27">
      <c r="Z962" s="113"/>
      <c r="AA962" s="113"/>
    </row>
    <row r="963" spans="26:27">
      <c r="Z963" s="113"/>
      <c r="AA963" s="113"/>
    </row>
    <row r="964" spans="26:27">
      <c r="Z964" s="113"/>
      <c r="AA964" s="113"/>
    </row>
    <row r="965" spans="26:27">
      <c r="Z965" s="113"/>
      <c r="AA965" s="113"/>
    </row>
    <row r="966" spans="26:27">
      <c r="Z966" s="113"/>
      <c r="AA966" s="113"/>
    </row>
    <row r="967" spans="26:27">
      <c r="Z967" s="113"/>
      <c r="AA967" s="113"/>
    </row>
    <row r="968" spans="26:27">
      <c r="Z968" s="113"/>
      <c r="AA968" s="113"/>
    </row>
    <row r="969" spans="26:27">
      <c r="Z969" s="113"/>
      <c r="AA969" s="113"/>
    </row>
    <row r="970" spans="26:27">
      <c r="Z970" s="113"/>
      <c r="AA970" s="113"/>
    </row>
    <row r="971" spans="26:27">
      <c r="Z971" s="113"/>
      <c r="AA971" s="113"/>
    </row>
    <row r="972" spans="26:27">
      <c r="Z972" s="113"/>
      <c r="AA972" s="113"/>
    </row>
    <row r="973" spans="26:27">
      <c r="Z973" s="113"/>
      <c r="AA973" s="113"/>
    </row>
    <row r="974" spans="26:27">
      <c r="Z974" s="113"/>
      <c r="AA974" s="113"/>
    </row>
    <row r="975" spans="26:27">
      <c r="Z975" s="113"/>
      <c r="AA975" s="113"/>
    </row>
    <row r="976" spans="26:27">
      <c r="Z976" s="113"/>
      <c r="AA976" s="113"/>
    </row>
    <row r="977" spans="26:27">
      <c r="Z977" s="113"/>
      <c r="AA977" s="113"/>
    </row>
    <row r="978" spans="26:27">
      <c r="Z978" s="113"/>
      <c r="AA978" s="113"/>
    </row>
    <row r="979" spans="26:27">
      <c r="Z979" s="113"/>
      <c r="AA979" s="113"/>
    </row>
    <row r="980" spans="26:27">
      <c r="Z980" s="113"/>
      <c r="AA980" s="113"/>
    </row>
    <row r="981" spans="26:27">
      <c r="Z981" s="113"/>
      <c r="AA981" s="113"/>
    </row>
    <row r="982" spans="26:27">
      <c r="Z982" s="113"/>
      <c r="AA982" s="113"/>
    </row>
    <row r="983" spans="26:27">
      <c r="Z983" s="113"/>
      <c r="AA983" s="113"/>
    </row>
    <row r="984" spans="26:27">
      <c r="Z984" s="113"/>
      <c r="AA984" s="113"/>
    </row>
    <row r="985" spans="26:27">
      <c r="Z985" s="113"/>
      <c r="AA985" s="113"/>
    </row>
    <row r="986" spans="26:27">
      <c r="Z986" s="113"/>
      <c r="AA986" s="113"/>
    </row>
    <row r="987" spans="26:27">
      <c r="Z987" s="113"/>
      <c r="AA987" s="113"/>
    </row>
    <row r="988" spans="26:27">
      <c r="Z988" s="113"/>
      <c r="AA988" s="113"/>
    </row>
    <row r="989" spans="26:27">
      <c r="Z989" s="113"/>
      <c r="AA989" s="113"/>
    </row>
    <row r="990" spans="26:27">
      <c r="Z990" s="113"/>
      <c r="AA990" s="113"/>
    </row>
    <row r="991" spans="26:27">
      <c r="Z991" s="113"/>
      <c r="AA991" s="113"/>
    </row>
    <row r="992" spans="26:27">
      <c r="Z992" s="113"/>
      <c r="AA992" s="113"/>
    </row>
    <row r="993" spans="26:27">
      <c r="Z993" s="113"/>
      <c r="AA993" s="113"/>
    </row>
    <row r="994" spans="26:27">
      <c r="Z994" s="113"/>
      <c r="AA994" s="113"/>
    </row>
    <row r="995" spans="26:27">
      <c r="Z995" s="113"/>
      <c r="AA995" s="113"/>
    </row>
    <row r="996" spans="26:27">
      <c r="Z996" s="113"/>
      <c r="AA996" s="113"/>
    </row>
    <row r="997" spans="26:27">
      <c r="Z997" s="113"/>
      <c r="AA997" s="113"/>
    </row>
    <row r="998" spans="26:27">
      <c r="Z998" s="113"/>
      <c r="AA998" s="113"/>
    </row>
    <row r="999" spans="26:27">
      <c r="Z999" s="113"/>
      <c r="AA999" s="113"/>
    </row>
    <row r="1000" spans="26:27">
      <c r="Z1000" s="113"/>
      <c r="AA1000" s="113"/>
    </row>
    <row r="1001" spans="26:27">
      <c r="Z1001" s="113"/>
      <c r="AA1001" s="113"/>
    </row>
    <row r="1002" spans="26:27">
      <c r="Z1002" s="113"/>
      <c r="AA1002" s="113"/>
    </row>
    <row r="1003" spans="26:27">
      <c r="Z1003" s="113"/>
      <c r="AA1003" s="113"/>
    </row>
    <row r="1004" spans="26:27">
      <c r="Z1004" s="113"/>
      <c r="AA1004" s="113"/>
    </row>
    <row r="1005" spans="26:27">
      <c r="Z1005" s="113"/>
      <c r="AA1005" s="113"/>
    </row>
    <row r="1006" spans="26:27">
      <c r="Z1006" s="113"/>
      <c r="AA1006" s="113"/>
    </row>
    <row r="1007" spans="26:27">
      <c r="Z1007" s="113"/>
      <c r="AA1007" s="113"/>
    </row>
    <row r="1008" spans="26:27">
      <c r="Z1008" s="113"/>
      <c r="AA1008" s="113"/>
    </row>
    <row r="1009" spans="26:27">
      <c r="Z1009" s="113"/>
      <c r="AA1009" s="113"/>
    </row>
    <row r="1010" spans="26:27">
      <c r="Z1010" s="113"/>
      <c r="AA1010" s="113"/>
    </row>
    <row r="1011" spans="26:27">
      <c r="Z1011" s="113"/>
      <c r="AA1011" s="113"/>
    </row>
    <row r="1012" spans="26:27">
      <c r="Z1012" s="113"/>
      <c r="AA1012" s="113"/>
    </row>
    <row r="1013" spans="26:27">
      <c r="Z1013" s="113"/>
      <c r="AA1013" s="113"/>
    </row>
    <row r="1014" spans="26:27">
      <c r="Z1014" s="113"/>
      <c r="AA1014" s="113"/>
    </row>
    <row r="1015" spans="26:27">
      <c r="Z1015" s="113"/>
      <c r="AA1015" s="113"/>
    </row>
    <row r="1016" spans="26:27">
      <c r="Z1016" s="113"/>
      <c r="AA1016" s="113"/>
    </row>
    <row r="1017" spans="26:27">
      <c r="Z1017" s="113"/>
      <c r="AA1017" s="113"/>
    </row>
    <row r="1018" spans="26:27">
      <c r="Z1018" s="113"/>
      <c r="AA1018" s="113"/>
    </row>
    <row r="1019" spans="26:27">
      <c r="Z1019" s="113"/>
      <c r="AA1019" s="113"/>
    </row>
    <row r="1020" spans="26:27">
      <c r="Z1020" s="113"/>
      <c r="AA1020" s="113"/>
    </row>
    <row r="1021" spans="26:27">
      <c r="Z1021" s="113"/>
      <c r="AA1021" s="113"/>
    </row>
    <row r="1022" spans="26:27">
      <c r="Z1022" s="113"/>
      <c r="AA1022" s="113"/>
    </row>
    <row r="1023" spans="26:27">
      <c r="Z1023" s="113"/>
      <c r="AA1023" s="113"/>
    </row>
    <row r="1024" spans="26:27">
      <c r="Z1024" s="113"/>
      <c r="AA1024" s="113"/>
    </row>
    <row r="1025" spans="26:27">
      <c r="Z1025" s="113"/>
      <c r="AA1025" s="113"/>
    </row>
    <row r="1026" spans="26:27">
      <c r="Z1026" s="113"/>
      <c r="AA1026" s="113"/>
    </row>
    <row r="1027" spans="26:27">
      <c r="Z1027" s="113"/>
      <c r="AA1027" s="113"/>
    </row>
    <row r="1028" spans="26:27">
      <c r="Z1028" s="113"/>
      <c r="AA1028" s="113"/>
    </row>
    <row r="1029" spans="26:27">
      <c r="Z1029" s="113"/>
      <c r="AA1029" s="113"/>
    </row>
    <row r="1030" spans="26:27">
      <c r="Z1030" s="113"/>
      <c r="AA1030" s="113"/>
    </row>
    <row r="1031" spans="26:27">
      <c r="Z1031" s="113"/>
      <c r="AA1031" s="113"/>
    </row>
    <row r="1032" spans="26:27">
      <c r="Z1032" s="113"/>
      <c r="AA1032" s="113"/>
    </row>
    <row r="1033" spans="26:27">
      <c r="Z1033" s="113"/>
      <c r="AA1033" s="113"/>
    </row>
    <row r="1034" spans="26:27">
      <c r="Z1034" s="113"/>
      <c r="AA1034" s="113"/>
    </row>
    <row r="1035" spans="26:27">
      <c r="Z1035" s="113"/>
      <c r="AA1035" s="113"/>
    </row>
    <row r="1036" spans="26:27">
      <c r="Z1036" s="113"/>
      <c r="AA1036" s="113"/>
    </row>
    <row r="1037" spans="26:27">
      <c r="Z1037" s="113"/>
      <c r="AA1037" s="113"/>
    </row>
    <row r="1038" spans="26:27">
      <c r="Z1038" s="113"/>
      <c r="AA1038" s="113"/>
    </row>
    <row r="1039" spans="26:27">
      <c r="Z1039" s="113"/>
      <c r="AA1039" s="113"/>
    </row>
    <row r="1040" spans="26:27">
      <c r="Z1040" s="113"/>
      <c r="AA1040" s="113"/>
    </row>
    <row r="1041" spans="26:27">
      <c r="Z1041" s="113"/>
      <c r="AA1041" s="113"/>
    </row>
    <row r="1042" spans="26:27">
      <c r="Z1042" s="113"/>
      <c r="AA1042" s="113"/>
    </row>
    <row r="1043" spans="26:27">
      <c r="Z1043" s="113"/>
      <c r="AA1043" s="113"/>
    </row>
    <row r="1044" spans="26:27">
      <c r="Z1044" s="113"/>
      <c r="AA1044" s="113"/>
    </row>
    <row r="1045" spans="26:27">
      <c r="Z1045" s="113"/>
      <c r="AA1045" s="113"/>
    </row>
    <row r="1046" spans="26:27">
      <c r="Z1046" s="113"/>
      <c r="AA1046" s="113"/>
    </row>
    <row r="1047" spans="26:27">
      <c r="Z1047" s="113"/>
      <c r="AA1047" s="113"/>
    </row>
    <row r="1048" spans="26:27">
      <c r="Z1048" s="113"/>
      <c r="AA1048" s="113"/>
    </row>
    <row r="1049" spans="26:27">
      <c r="Z1049" s="113"/>
      <c r="AA1049" s="113"/>
    </row>
    <row r="1050" spans="26:27">
      <c r="Z1050" s="113"/>
      <c r="AA1050" s="113"/>
    </row>
    <row r="1051" spans="26:27">
      <c r="Z1051" s="113"/>
      <c r="AA1051" s="113"/>
    </row>
    <row r="1052" spans="26:27">
      <c r="Z1052" s="113"/>
      <c r="AA1052" s="113"/>
    </row>
    <row r="1053" spans="26:27">
      <c r="Z1053" s="113"/>
      <c r="AA1053" s="113"/>
    </row>
    <row r="1054" spans="26:27">
      <c r="Z1054" s="113"/>
      <c r="AA1054" s="113"/>
    </row>
    <row r="1055" spans="26:27">
      <c r="Z1055" s="113"/>
      <c r="AA1055" s="113"/>
    </row>
    <row r="1056" spans="26:27">
      <c r="Z1056" s="113"/>
      <c r="AA1056" s="113"/>
    </row>
    <row r="1057" spans="26:27">
      <c r="Z1057" s="113"/>
      <c r="AA1057" s="113"/>
    </row>
    <row r="1058" spans="26:27">
      <c r="Z1058" s="113"/>
      <c r="AA1058" s="113"/>
    </row>
    <row r="1059" spans="26:27">
      <c r="Z1059" s="113"/>
      <c r="AA1059" s="113"/>
    </row>
    <row r="1060" spans="26:27">
      <c r="Z1060" s="113"/>
      <c r="AA1060" s="113"/>
    </row>
    <row r="1061" spans="26:27">
      <c r="Z1061" s="113"/>
      <c r="AA1061" s="113"/>
    </row>
    <row r="1062" spans="26:27">
      <c r="Z1062" s="113"/>
      <c r="AA1062" s="113"/>
    </row>
    <row r="1063" spans="26:27">
      <c r="Z1063" s="113"/>
      <c r="AA1063" s="113"/>
    </row>
    <row r="1064" spans="26:27">
      <c r="Z1064" s="113"/>
      <c r="AA1064" s="113"/>
    </row>
    <row r="1065" spans="26:27">
      <c r="Z1065" s="113"/>
      <c r="AA1065" s="113"/>
    </row>
    <row r="1066" spans="26:27">
      <c r="Z1066" s="113"/>
      <c r="AA1066" s="113"/>
    </row>
    <row r="1067" spans="26:27">
      <c r="Z1067" s="113"/>
      <c r="AA1067" s="113"/>
    </row>
    <row r="1068" spans="26:27">
      <c r="Z1068" s="113"/>
      <c r="AA1068" s="113"/>
    </row>
    <row r="1069" spans="26:27">
      <c r="Z1069" s="113"/>
      <c r="AA1069" s="113"/>
    </row>
    <row r="1070" spans="26:27">
      <c r="Z1070" s="113"/>
      <c r="AA1070" s="113"/>
    </row>
    <row r="1071" spans="26:27">
      <c r="Z1071" s="113"/>
      <c r="AA1071" s="113"/>
    </row>
    <row r="1072" spans="26:27">
      <c r="Z1072" s="113"/>
      <c r="AA1072" s="113"/>
    </row>
    <row r="1073" spans="26:27">
      <c r="Z1073" s="113"/>
      <c r="AA1073" s="113"/>
    </row>
    <row r="1074" spans="26:27">
      <c r="Z1074" s="113"/>
      <c r="AA1074" s="113"/>
    </row>
    <row r="1075" spans="26:27">
      <c r="Z1075" s="113"/>
      <c r="AA1075" s="113"/>
    </row>
    <row r="1076" spans="26:27">
      <c r="Z1076" s="113"/>
      <c r="AA1076" s="113"/>
    </row>
    <row r="1077" spans="26:27">
      <c r="Z1077" s="113"/>
      <c r="AA1077" s="113"/>
    </row>
    <row r="1078" spans="26:27">
      <c r="Z1078" s="113"/>
      <c r="AA1078" s="113"/>
    </row>
    <row r="1079" spans="26:27">
      <c r="Z1079" s="113"/>
      <c r="AA1079" s="113"/>
    </row>
    <row r="1080" spans="26:27">
      <c r="Z1080" s="113"/>
      <c r="AA1080" s="113"/>
    </row>
    <row r="1081" spans="26:27">
      <c r="Z1081" s="113"/>
      <c r="AA1081" s="113"/>
    </row>
    <row r="1082" spans="26:27">
      <c r="Z1082" s="113"/>
      <c r="AA1082" s="113"/>
    </row>
    <row r="1083" spans="26:27">
      <c r="Z1083" s="113"/>
      <c r="AA1083" s="113"/>
    </row>
    <row r="1084" spans="26:27">
      <c r="Z1084" s="113"/>
      <c r="AA1084" s="113"/>
    </row>
    <row r="1085" spans="26:27">
      <c r="Z1085" s="113"/>
      <c r="AA1085" s="113"/>
    </row>
    <row r="1086" spans="26:27">
      <c r="Z1086" s="113"/>
      <c r="AA1086" s="113"/>
    </row>
    <row r="1087" spans="26:27">
      <c r="Z1087" s="113"/>
      <c r="AA1087" s="113"/>
    </row>
    <row r="1088" spans="26:27">
      <c r="Z1088" s="113"/>
      <c r="AA1088" s="113"/>
    </row>
    <row r="1089" spans="26:27">
      <c r="Z1089" s="113"/>
      <c r="AA1089" s="113"/>
    </row>
    <row r="1090" spans="26:27">
      <c r="Z1090" s="113"/>
      <c r="AA1090" s="113"/>
    </row>
    <row r="1091" spans="26:27">
      <c r="Z1091" s="113"/>
      <c r="AA1091" s="113"/>
    </row>
    <row r="1092" spans="26:27">
      <c r="Z1092" s="113"/>
      <c r="AA1092" s="113"/>
    </row>
    <row r="1093" spans="26:27">
      <c r="Z1093" s="113"/>
      <c r="AA1093" s="113"/>
    </row>
    <row r="1094" spans="26:27">
      <c r="Z1094" s="113"/>
      <c r="AA1094" s="113"/>
    </row>
    <row r="1095" spans="26:27">
      <c r="Z1095" s="113"/>
      <c r="AA1095" s="113"/>
    </row>
    <row r="1096" spans="26:27">
      <c r="Z1096" s="113"/>
      <c r="AA1096" s="113"/>
    </row>
    <row r="1097" spans="26:27">
      <c r="Z1097" s="113"/>
      <c r="AA1097" s="113"/>
    </row>
    <row r="1098" spans="26:27">
      <c r="Z1098" s="113"/>
      <c r="AA1098" s="113"/>
    </row>
    <row r="1099" spans="26:27">
      <c r="Z1099" s="113"/>
      <c r="AA1099" s="113"/>
    </row>
    <row r="1100" spans="26:27">
      <c r="Z1100" s="113"/>
      <c r="AA1100" s="113"/>
    </row>
    <row r="1101" spans="26:27">
      <c r="Z1101" s="113"/>
      <c r="AA1101" s="113"/>
    </row>
    <row r="1102" spans="26:27">
      <c r="Z1102" s="113"/>
      <c r="AA1102" s="113"/>
    </row>
    <row r="1103" spans="26:27">
      <c r="Z1103" s="113"/>
      <c r="AA1103" s="113"/>
    </row>
    <row r="1104" spans="26:27">
      <c r="Z1104" s="113"/>
      <c r="AA1104" s="113"/>
    </row>
    <row r="1105" spans="26:27">
      <c r="Z1105" s="113"/>
      <c r="AA1105" s="113"/>
    </row>
    <row r="1106" spans="26:27">
      <c r="Z1106" s="113"/>
      <c r="AA1106" s="113"/>
    </row>
    <row r="1107" spans="26:27">
      <c r="Z1107" s="113"/>
      <c r="AA1107" s="113"/>
    </row>
    <row r="1108" spans="26:27">
      <c r="Z1108" s="113"/>
      <c r="AA1108" s="113"/>
    </row>
    <row r="1109" spans="26:27">
      <c r="Z1109" s="113"/>
      <c r="AA1109" s="113"/>
    </row>
    <row r="1110" spans="26:27">
      <c r="Z1110" s="113"/>
      <c r="AA1110" s="113"/>
    </row>
    <row r="1111" spans="26:27">
      <c r="Z1111" s="113"/>
      <c r="AA1111" s="113"/>
    </row>
    <row r="1112" spans="26:27">
      <c r="Z1112" s="113"/>
      <c r="AA1112" s="113"/>
    </row>
    <row r="1113" spans="26:27">
      <c r="Z1113" s="113"/>
      <c r="AA1113" s="113"/>
    </row>
    <row r="1114" spans="26:27">
      <c r="Z1114" s="113"/>
      <c r="AA1114" s="113"/>
    </row>
    <row r="1115" spans="26:27">
      <c r="Z1115" s="113"/>
      <c r="AA1115" s="113"/>
    </row>
    <row r="1116" spans="26:27">
      <c r="Z1116" s="113"/>
      <c r="AA1116" s="113"/>
    </row>
    <row r="1117" spans="26:27">
      <c r="Z1117" s="113"/>
      <c r="AA1117" s="113"/>
    </row>
    <row r="1118" spans="26:27">
      <c r="Z1118" s="113"/>
      <c r="AA1118" s="113"/>
    </row>
    <row r="1119" spans="26:27">
      <c r="Z1119" s="113"/>
      <c r="AA1119" s="113"/>
    </row>
    <row r="1120" spans="26:27">
      <c r="Z1120" s="113"/>
      <c r="AA1120" s="113"/>
    </row>
    <row r="1121" spans="26:27">
      <c r="Z1121" s="113"/>
      <c r="AA1121" s="113"/>
    </row>
    <row r="1122" spans="26:27">
      <c r="Z1122" s="113"/>
      <c r="AA1122" s="113"/>
    </row>
    <row r="1123" spans="26:27">
      <c r="Z1123" s="113"/>
      <c r="AA1123" s="113"/>
    </row>
    <row r="1124" spans="26:27">
      <c r="Z1124" s="113"/>
      <c r="AA1124" s="113"/>
    </row>
    <row r="1125" spans="26:27">
      <c r="Z1125" s="113"/>
      <c r="AA1125" s="113"/>
    </row>
    <row r="1126" spans="26:27">
      <c r="Z1126" s="113"/>
      <c r="AA1126" s="113"/>
    </row>
    <row r="1127" spans="26:27">
      <c r="Z1127" s="113"/>
      <c r="AA1127" s="113"/>
    </row>
    <row r="1128" spans="26:27">
      <c r="Z1128" s="113"/>
      <c r="AA1128" s="113"/>
    </row>
    <row r="1129" spans="26:27">
      <c r="Z1129" s="113"/>
      <c r="AA1129" s="113"/>
    </row>
    <row r="1130" spans="26:27">
      <c r="Z1130" s="113"/>
      <c r="AA1130" s="113"/>
    </row>
    <row r="1131" spans="26:27">
      <c r="Z1131" s="113"/>
      <c r="AA1131" s="113"/>
    </row>
    <row r="1132" spans="26:27">
      <c r="Z1132" s="113"/>
      <c r="AA1132" s="113"/>
    </row>
    <row r="1133" spans="26:27">
      <c r="Z1133" s="113"/>
      <c r="AA1133" s="113"/>
    </row>
    <row r="1134" spans="26:27">
      <c r="Z1134" s="113"/>
      <c r="AA1134" s="113"/>
    </row>
    <row r="1135" spans="26:27">
      <c r="Z1135" s="113"/>
      <c r="AA1135" s="113"/>
    </row>
    <row r="1136" spans="26:27">
      <c r="Z1136" s="113"/>
      <c r="AA1136" s="113"/>
    </row>
    <row r="1137" spans="26:27">
      <c r="Z1137" s="113"/>
      <c r="AA1137" s="113"/>
    </row>
    <row r="1138" spans="26:27">
      <c r="Z1138" s="113"/>
      <c r="AA1138" s="113"/>
    </row>
    <row r="1139" spans="26:27">
      <c r="Z1139" s="113"/>
      <c r="AA1139" s="113"/>
    </row>
    <row r="1140" spans="26:27">
      <c r="Z1140" s="113"/>
      <c r="AA1140" s="113"/>
    </row>
    <row r="1141" spans="26:27">
      <c r="Z1141" s="113"/>
      <c r="AA1141" s="113"/>
    </row>
    <row r="1142" spans="26:27">
      <c r="Z1142" s="113"/>
      <c r="AA1142" s="113"/>
    </row>
    <row r="1143" spans="26:27">
      <c r="Z1143" s="113"/>
      <c r="AA1143" s="113"/>
    </row>
    <row r="1144" spans="26:27">
      <c r="Z1144" s="113"/>
      <c r="AA1144" s="113"/>
    </row>
    <row r="1145" spans="26:27">
      <c r="Z1145" s="113"/>
      <c r="AA1145" s="113"/>
    </row>
    <row r="1146" spans="26:27">
      <c r="Z1146" s="113"/>
      <c r="AA1146" s="113"/>
    </row>
    <row r="1147" spans="26:27">
      <c r="Z1147" s="113"/>
      <c r="AA1147" s="113"/>
    </row>
    <row r="1148" spans="26:27">
      <c r="Z1148" s="113"/>
      <c r="AA1148" s="113"/>
    </row>
    <row r="1149" spans="26:27">
      <c r="Z1149" s="113"/>
      <c r="AA1149" s="113"/>
    </row>
    <row r="1150" spans="26:27">
      <c r="Z1150" s="113"/>
      <c r="AA1150" s="113"/>
    </row>
    <row r="1151" spans="26:27">
      <c r="Z1151" s="113"/>
      <c r="AA1151" s="113"/>
    </row>
    <row r="1152" spans="26:27">
      <c r="Z1152" s="113"/>
      <c r="AA1152" s="113"/>
    </row>
    <row r="1153" spans="26:27">
      <c r="Z1153" s="113"/>
      <c r="AA1153" s="113"/>
    </row>
    <row r="1154" spans="26:27">
      <c r="Z1154" s="113"/>
      <c r="AA1154" s="113"/>
    </row>
    <row r="1155" spans="26:27">
      <c r="Z1155" s="113"/>
      <c r="AA1155" s="113"/>
    </row>
    <row r="1156" spans="26:27">
      <c r="Z1156" s="113"/>
      <c r="AA1156" s="113"/>
    </row>
    <row r="1157" spans="26:27">
      <c r="Z1157" s="113"/>
      <c r="AA1157" s="113"/>
    </row>
    <row r="1158" spans="26:27">
      <c r="Z1158" s="113"/>
      <c r="AA1158" s="113"/>
    </row>
    <row r="1159" spans="26:27">
      <c r="Z1159" s="113"/>
      <c r="AA1159" s="113"/>
    </row>
    <row r="1160" spans="26:27">
      <c r="Z1160" s="113"/>
      <c r="AA1160" s="113"/>
    </row>
    <row r="1161" spans="26:27">
      <c r="Z1161" s="113"/>
      <c r="AA1161" s="113"/>
    </row>
    <row r="1162" spans="26:27">
      <c r="Z1162" s="113"/>
      <c r="AA1162" s="113"/>
    </row>
    <row r="1163" spans="26:27">
      <c r="Z1163" s="113"/>
      <c r="AA1163" s="113"/>
    </row>
    <row r="1164" spans="26:27">
      <c r="Z1164" s="113"/>
      <c r="AA1164" s="113"/>
    </row>
    <row r="1165" spans="26:27">
      <c r="Z1165" s="113"/>
      <c r="AA1165" s="113"/>
    </row>
    <row r="1166" spans="26:27">
      <c r="Z1166" s="113"/>
      <c r="AA1166" s="113"/>
    </row>
    <row r="1167" spans="26:27">
      <c r="Z1167" s="113"/>
      <c r="AA1167" s="113"/>
    </row>
    <row r="1168" spans="26:27">
      <c r="Z1168" s="113"/>
      <c r="AA1168" s="113"/>
    </row>
    <row r="1169" spans="26:27">
      <c r="Z1169" s="113"/>
      <c r="AA1169" s="113"/>
    </row>
    <row r="1170" spans="26:27">
      <c r="Z1170" s="113"/>
      <c r="AA1170" s="113"/>
    </row>
    <row r="1171" spans="26:27">
      <c r="Z1171" s="113"/>
      <c r="AA1171" s="113"/>
    </row>
    <row r="1172" spans="26:27">
      <c r="Z1172" s="113"/>
      <c r="AA1172" s="113"/>
    </row>
    <row r="1173" spans="26:27">
      <c r="Z1173" s="113"/>
      <c r="AA1173" s="113"/>
    </row>
    <row r="1174" spans="26:27">
      <c r="Z1174" s="113"/>
      <c r="AA1174" s="113"/>
    </row>
    <row r="1175" spans="26:27">
      <c r="Z1175" s="113"/>
      <c r="AA1175" s="113"/>
    </row>
    <row r="1176" spans="26:27">
      <c r="Z1176" s="113"/>
      <c r="AA1176" s="113"/>
    </row>
    <row r="1177" spans="26:27">
      <c r="Z1177" s="113"/>
      <c r="AA1177" s="113"/>
    </row>
    <row r="1178" spans="26:27">
      <c r="Z1178" s="113"/>
      <c r="AA1178" s="113"/>
    </row>
    <row r="1179" spans="26:27">
      <c r="Z1179" s="113"/>
      <c r="AA1179" s="113"/>
    </row>
    <row r="1180" spans="26:27">
      <c r="Z1180" s="113"/>
      <c r="AA1180" s="113"/>
    </row>
    <row r="1181" spans="26:27">
      <c r="Z1181" s="113"/>
      <c r="AA1181" s="113"/>
    </row>
    <row r="1182" spans="26:27">
      <c r="Z1182" s="113"/>
      <c r="AA1182" s="113"/>
    </row>
    <row r="1183" spans="26:27">
      <c r="Z1183" s="113"/>
      <c r="AA1183" s="113"/>
    </row>
    <row r="1184" spans="26:27">
      <c r="Z1184" s="113"/>
      <c r="AA1184" s="113"/>
    </row>
    <row r="1185" spans="26:27">
      <c r="Z1185" s="113"/>
      <c r="AA1185" s="113"/>
    </row>
    <row r="1186" spans="26:27">
      <c r="Z1186" s="113"/>
      <c r="AA1186" s="113"/>
    </row>
    <row r="1187" spans="26:27">
      <c r="Z1187" s="113"/>
      <c r="AA1187" s="113"/>
    </row>
    <row r="1188" spans="26:27">
      <c r="Z1188" s="113"/>
      <c r="AA1188" s="113"/>
    </row>
    <row r="1189" spans="26:27">
      <c r="Z1189" s="113"/>
      <c r="AA1189" s="113"/>
    </row>
    <row r="1190" spans="26:27">
      <c r="Z1190" s="113"/>
      <c r="AA1190" s="113"/>
    </row>
    <row r="1191" spans="26:27">
      <c r="Z1191" s="113"/>
      <c r="AA1191" s="113"/>
    </row>
    <row r="1192" spans="26:27">
      <c r="Z1192" s="113"/>
      <c r="AA1192" s="113"/>
    </row>
    <row r="1193" spans="26:27">
      <c r="Z1193" s="113"/>
      <c r="AA1193" s="113"/>
    </row>
    <row r="1194" spans="26:27">
      <c r="Z1194" s="113"/>
      <c r="AA1194" s="113"/>
    </row>
    <row r="1195" spans="26:27">
      <c r="Z1195" s="113"/>
      <c r="AA1195" s="113"/>
    </row>
    <row r="1196" spans="26:27">
      <c r="Z1196" s="113"/>
      <c r="AA1196" s="113"/>
    </row>
    <row r="1197" spans="26:27">
      <c r="Z1197" s="113"/>
      <c r="AA1197" s="113"/>
    </row>
    <row r="1198" spans="26:27">
      <c r="Z1198" s="113"/>
      <c r="AA1198" s="113"/>
    </row>
    <row r="1199" spans="26:27">
      <c r="Z1199" s="113"/>
      <c r="AA1199" s="113"/>
    </row>
    <row r="1200" spans="26:27">
      <c r="Z1200" s="113"/>
      <c r="AA1200" s="113"/>
    </row>
    <row r="1201" spans="26:27">
      <c r="Z1201" s="113"/>
      <c r="AA1201" s="113"/>
    </row>
  </sheetData>
  <autoFilter ref="A1:AU203">
    <filterColumn colId="1">
      <filters>
        <dateGroupItem year="2024" dateTimeGrouping="year"/>
      </filters>
    </filterColumn>
  </autoFilter>
  <sortState ref="A4:AA213">
    <sortCondition ref="A3:A213"/>
  </sortState>
  <phoneticPr fontId="1" type="noConversion"/>
  <dataValidations count="5">
    <dataValidation type="list" allowBlank="1" showInputMessage="1" showErrorMessage="1" sqref="M3:M153 M195">
      <formula1>defensores!$A$1:$A$200</formula1>
    </dataValidation>
    <dataValidation type="list" allowBlank="1" showInputMessage="1" showErrorMessage="1" sqref="O3:O153 O195">
      <formula1>Asesores!$A$1:$A$15</formula1>
    </dataValidation>
    <dataValidation type="list" allowBlank="1" showInputMessage="1" showErrorMessage="1" sqref="P3:P153 P195">
      <formula1>'fiscalias penales'!$A$1:$A$5</formula1>
    </dataValidation>
    <dataValidation type="list" allowBlank="1" showInputMessage="1" showErrorMessage="1" sqref="Q3:Q153 Q195">
      <formula1>fiscalimpug!$A$1:$A$5</formula1>
    </dataValidation>
    <dataValidation type="list" allowBlank="1" showInputMessage="1" showErrorMessage="1" sqref="Z3:Z182 Z184:Z202">
      <formula1>Resultados!$A$2:$A$31</formula1>
    </dataValidation>
  </dataValidations>
  <pageMargins left="0.19685039370078741" right="0.19685039370078741" top="0.19685039370078741" bottom="0.19685039370078741" header="0" footer="0"/>
  <pageSetup paperSize="5" scale="70" orientation="landscape" r:id="rId1"/>
  <headerFooter alignWithMargins="0"/>
  <legacyDrawing r:id="rId2"/>
  <extLst xmlns:x14="http://schemas.microsoft.com/office/spreadsheetml/2009/9/main">
    <ext uri="{CCE6A557-97BC-4b89-ADB6-D9C93CAAB3DF}">
      <x14:dataValidations xmlns:xm="http://schemas.microsoft.com/office/excel/2006/main" count="8">
        <x14:dataValidation type="list" allowBlank="1" showInputMessage="1" showErrorMessage="1">
          <x14:formula1>
            <xm:f>Jueces!$A$1:$A$11</xm:f>
          </x14:formula1>
          <xm:sqref>D126 D123 D154:D1048576</xm:sqref>
        </x14:dataValidation>
        <x14:dataValidation type="list" allowBlank="1" showInputMessage="1" showErrorMessage="1">
          <x14:formula1>
            <xm:f>'E:\back planillas\[PLCGar.xlsm]Resultados'!#REF!</xm:f>
          </x14:formula1>
          <xm:sqref>Z2 Z154:Z717</xm:sqref>
        </x14:dataValidation>
        <x14:dataValidation type="list" allowBlank="1" showInputMessage="1" showErrorMessage="1">
          <x14:formula1>
            <xm:f>defensores!$A$1:$A$50</xm:f>
          </x14:formula1>
          <xm:sqref>M5:M21 M64</xm:sqref>
        </x14:dataValidation>
        <x14:dataValidation type="list" allowBlank="1" showInputMessage="1" showErrorMessage="1">
          <x14:formula1>
            <xm:f>Asesores!$A$1:$A$11</xm:f>
          </x14:formula1>
          <xm:sqref>O3:O21 O64</xm:sqref>
        </x14:dataValidation>
        <x14:dataValidation type="list" allowBlank="1" showInputMessage="1" showErrorMessage="1">
          <x14:formula1>
            <xm:f>'fiscalias penales'!$A$1:$A$100</xm:f>
          </x14:formula1>
          <xm:sqref>P3:P21 P64</xm:sqref>
        </x14:dataValidation>
        <x14:dataValidation type="list" allowBlank="1" showInputMessage="1" showErrorMessage="1">
          <x14:formula1>
            <xm:f>fiscalimpug!$A$1:$A$50</xm:f>
          </x14:formula1>
          <xm:sqref>Q3:Q21 Q64</xm:sqref>
        </x14:dataValidation>
        <x14:dataValidation type="list" allowBlank="1" showInputMessage="1" showErrorMessage="1">
          <x14:formula1>
            <xm:f>Jueces!$A$1:$A$20</xm:f>
          </x14:formula1>
          <xm:sqref>D3:D122 D124:D125 D127:D153</xm:sqref>
        </x14:dataValidation>
        <x14:dataValidation type="list" allowBlank="1" showInputMessage="1" showErrorMessage="1">
          <x14:formula1>
            <xm:f>Resultados!$A$1:$A$30</xm:f>
          </x14:formula1>
          <xm:sqref>Z3:Z153</xm:sqref>
        </x14:dataValidation>
      </x14:dataValidations>
    </ext>
  </extLst>
</worksheet>
</file>

<file path=xl/worksheets/sheet2.xml><?xml version="1.0" encoding="utf-8"?>
<worksheet xmlns="http://schemas.openxmlformats.org/spreadsheetml/2006/main" xmlns:r="http://schemas.openxmlformats.org/officeDocument/2006/relationships">
  <dimension ref="A1:S53"/>
  <sheetViews>
    <sheetView zoomScale="115" zoomScaleNormal="115" workbookViewId="0">
      <selection sqref="A1:XFD1"/>
    </sheetView>
  </sheetViews>
  <sheetFormatPr baseColWidth="10" defaultRowHeight="12.75"/>
  <cols>
    <col min="1" max="1" width="21.7109375" style="242" customWidth="1"/>
    <col min="2" max="3" width="5.7109375" style="236" customWidth="1"/>
    <col min="4" max="4" width="7" style="236" bestFit="1" customWidth="1"/>
    <col min="5" max="12" width="8.7109375" style="236" customWidth="1"/>
    <col min="13" max="13" width="9.42578125" style="236" customWidth="1"/>
    <col min="14" max="14" width="8.7109375" style="236" customWidth="1"/>
    <col min="15" max="15" width="10.42578125" style="236" customWidth="1"/>
    <col min="16" max="16" width="9.7109375" style="236" customWidth="1"/>
    <col min="17" max="19" width="8.7109375" style="236" customWidth="1"/>
    <col min="20" max="16384" width="11.42578125" style="236"/>
  </cols>
  <sheetData>
    <row r="1" spans="1:19" ht="18.75" thickBot="1">
      <c r="A1" s="273" t="s">
        <v>1690</v>
      </c>
      <c r="B1" s="274"/>
      <c r="C1" s="274"/>
      <c r="D1" s="274"/>
      <c r="E1" s="274"/>
      <c r="F1" s="274"/>
      <c r="G1" s="274"/>
      <c r="H1" s="274"/>
      <c r="I1" s="274"/>
      <c r="J1" s="274"/>
      <c r="K1" s="274"/>
      <c r="L1" s="274"/>
      <c r="M1" s="274"/>
      <c r="N1" s="274"/>
      <c r="O1" s="274"/>
      <c r="P1" s="274"/>
      <c r="Q1" s="274"/>
      <c r="R1" s="274"/>
      <c r="S1" s="275"/>
    </row>
    <row r="2" spans="1:19" hidden="1"/>
    <row r="3" spans="1:19" s="246" customFormat="1" hidden="1">
      <c r="A3" s="245"/>
      <c r="E3" s="247">
        <f>YEAR(E5)</f>
        <v>2023</v>
      </c>
      <c r="F3" s="247">
        <f>YEAR(F5)</f>
        <v>2023</v>
      </c>
      <c r="G3" s="247">
        <f t="shared" ref="G3:Q3" si="0">YEAR(G5)</f>
        <v>2023</v>
      </c>
      <c r="H3" s="247">
        <f t="shared" si="0"/>
        <v>2023</v>
      </c>
      <c r="I3" s="247">
        <f t="shared" si="0"/>
        <v>2023</v>
      </c>
      <c r="J3" s="247">
        <f t="shared" si="0"/>
        <v>2023</v>
      </c>
      <c r="K3" s="247">
        <f t="shared" si="0"/>
        <v>2023</v>
      </c>
      <c r="L3" s="247">
        <f t="shared" si="0"/>
        <v>2023</v>
      </c>
      <c r="M3" s="247">
        <f t="shared" si="0"/>
        <v>2023</v>
      </c>
      <c r="N3" s="247">
        <f t="shared" si="0"/>
        <v>2023</v>
      </c>
      <c r="O3" s="247">
        <f t="shared" si="0"/>
        <v>2023</v>
      </c>
      <c r="P3" s="247">
        <f t="shared" si="0"/>
        <v>2023</v>
      </c>
      <c r="Q3" s="247">
        <f t="shared" si="0"/>
        <v>2024</v>
      </c>
      <c r="R3" s="247">
        <f t="shared" ref="R3:S3" si="1">YEAR(R5)</f>
        <v>2024</v>
      </c>
      <c r="S3" s="247">
        <f t="shared" si="1"/>
        <v>1900</v>
      </c>
    </row>
    <row r="4" spans="1:19" s="246" customFormat="1" hidden="1">
      <c r="A4" s="249"/>
      <c r="B4" s="250"/>
      <c r="C4" s="250"/>
      <c r="D4" s="250"/>
      <c r="E4" s="251">
        <f>MONTH(E5)</f>
        <v>1</v>
      </c>
      <c r="F4" s="251">
        <f>MONTH(F5)</f>
        <v>2</v>
      </c>
      <c r="G4" s="251">
        <f t="shared" ref="G4:P4" si="2">MONTH(G5)</f>
        <v>3</v>
      </c>
      <c r="H4" s="251">
        <f t="shared" ref="H4" si="3">MONTH(H5)</f>
        <v>4</v>
      </c>
      <c r="I4" s="251">
        <f t="shared" ref="I4" si="4">MONTH(I5)</f>
        <v>5</v>
      </c>
      <c r="J4" s="251">
        <f t="shared" ref="J4" si="5">MONTH(J5)</f>
        <v>6</v>
      </c>
      <c r="K4" s="251">
        <f t="shared" ref="K4" si="6">MONTH(K5)</f>
        <v>7</v>
      </c>
      <c r="L4" s="251">
        <f t="shared" ref="L4" si="7">MONTH(L5)</f>
        <v>8</v>
      </c>
      <c r="M4" s="251">
        <f t="shared" ref="M4" si="8">MONTH(M5)</f>
        <v>9</v>
      </c>
      <c r="N4" s="251">
        <f t="shared" ref="N4" si="9">MONTH(N5)</f>
        <v>10</v>
      </c>
      <c r="O4" s="251">
        <f t="shared" ref="O4" si="10">MONTH(O5)</f>
        <v>11</v>
      </c>
      <c r="P4" s="251">
        <f t="shared" si="2"/>
        <v>12</v>
      </c>
      <c r="Q4" s="251">
        <f t="shared" ref="Q4" si="11">MONTH(Q5)</f>
        <v>1</v>
      </c>
      <c r="R4" s="251">
        <f t="shared" ref="R4:S4" si="12">MONTH(R5)</f>
        <v>2</v>
      </c>
      <c r="S4" s="247">
        <f t="shared" si="12"/>
        <v>1</v>
      </c>
    </row>
    <row r="5" spans="1:19" s="246" customFormat="1" hidden="1">
      <c r="A5" s="253"/>
      <c r="B5" s="250"/>
      <c r="C5" s="250"/>
      <c r="D5" s="250"/>
      <c r="E5" s="252">
        <v>44927</v>
      </c>
      <c r="F5" s="252">
        <v>44958</v>
      </c>
      <c r="G5" s="252">
        <v>44986</v>
      </c>
      <c r="H5" s="252">
        <v>45017</v>
      </c>
      <c r="I5" s="252">
        <v>45047</v>
      </c>
      <c r="J5" s="252">
        <v>45078</v>
      </c>
      <c r="K5" s="252">
        <v>45108</v>
      </c>
      <c r="L5" s="252">
        <v>45139</v>
      </c>
      <c r="M5" s="252">
        <v>45170</v>
      </c>
      <c r="N5" s="252">
        <v>45200</v>
      </c>
      <c r="O5" s="252">
        <v>45231</v>
      </c>
      <c r="P5" s="252">
        <v>45261</v>
      </c>
      <c r="Q5" s="252">
        <v>45292</v>
      </c>
      <c r="R5" s="252">
        <v>45323</v>
      </c>
      <c r="S5" s="248">
        <v>1</v>
      </c>
    </row>
    <row r="6" spans="1:19" s="242" customFormat="1" ht="60" customHeight="1" thickBot="1">
      <c r="A6" s="254"/>
      <c r="B6" s="265" t="s">
        <v>1652</v>
      </c>
      <c r="C6" s="266" t="s">
        <v>1653</v>
      </c>
      <c r="D6" s="266" t="s">
        <v>1674</v>
      </c>
      <c r="E6" s="267" t="s">
        <v>1675</v>
      </c>
      <c r="F6" s="267" t="s">
        <v>1676</v>
      </c>
      <c r="G6" s="267" t="s">
        <v>1677</v>
      </c>
      <c r="H6" s="267" t="s">
        <v>1678</v>
      </c>
      <c r="I6" s="267" t="s">
        <v>1679</v>
      </c>
      <c r="J6" s="267" t="s">
        <v>1680</v>
      </c>
      <c r="K6" s="267" t="s">
        <v>1681</v>
      </c>
      <c r="L6" s="267" t="s">
        <v>1682</v>
      </c>
      <c r="M6" s="267" t="s">
        <v>1683</v>
      </c>
      <c r="N6" s="267" t="s">
        <v>1684</v>
      </c>
      <c r="O6" s="267" t="s">
        <v>1685</v>
      </c>
      <c r="P6" s="267" t="s">
        <v>1686</v>
      </c>
      <c r="Q6" s="267" t="s">
        <v>1687</v>
      </c>
      <c r="R6" s="267" t="s">
        <v>1688</v>
      </c>
      <c r="S6" s="268" t="s">
        <v>1691</v>
      </c>
    </row>
    <row r="7" spans="1:19" ht="60" customHeight="1">
      <c r="A7" s="259" t="s">
        <v>1651</v>
      </c>
      <c r="B7" s="261">
        <f>COUNTIFS(EXPEDIENTES!$Y:$Y,"SI",EXPEDIENTES!$AE:$AE,2023)</f>
        <v>147</v>
      </c>
      <c r="C7" s="262">
        <f>COUNTIFS(EXPEDIENTES!$Y:$Y,"SI",EXPEDIENTES!$AE:$AE,2024)</f>
        <v>9</v>
      </c>
      <c r="D7" s="263">
        <f>SUM(B7:C7)</f>
        <v>156</v>
      </c>
      <c r="E7" s="262">
        <f>COUNTIFS(EXPEDIENTES!$Y:$Y,"SI",EXPEDIENTES!$AD:$AD,E4,EXPEDIENTES!$AE:$AE,E3)</f>
        <v>1</v>
      </c>
      <c r="F7" s="262">
        <f>COUNTIFS(EXPEDIENTES!$Y:$Y,"SI",EXPEDIENTES!$AD:$AD,F4,EXPEDIENTES!$AE:$AE,F3)</f>
        <v>0</v>
      </c>
      <c r="G7" s="262">
        <f>COUNTIFS(EXPEDIENTES!$Y:$Y,"SI",EXPEDIENTES!$AD:$AD,G4,EXPEDIENTES!$AE:$AE,G3)</f>
        <v>0</v>
      </c>
      <c r="H7" s="262">
        <f>COUNTIFS(EXPEDIENTES!$Y:$Y,"SI",EXPEDIENTES!$AD:$AD,H4,EXPEDIENTES!$AE:$AE,H3)</f>
        <v>3</v>
      </c>
      <c r="I7" s="262">
        <f>COUNTIFS(EXPEDIENTES!$Y:$Y,"SI",EXPEDIENTES!$AD:$AD,I4,EXPEDIENTES!$AE:$AE,I3)</f>
        <v>6</v>
      </c>
      <c r="J7" s="262">
        <f>COUNTIFS(EXPEDIENTES!$Y:$Y,"SI",EXPEDIENTES!$AD:$AD,J4,EXPEDIENTES!$AE:$AE,J3)</f>
        <v>2</v>
      </c>
      <c r="K7" s="262">
        <f>COUNTIFS(EXPEDIENTES!$Y:$Y,"SI",EXPEDIENTES!$AD:$AD,K4,EXPEDIENTES!$AE:$AE,K3)</f>
        <v>32</v>
      </c>
      <c r="L7" s="262">
        <f>COUNTIFS(EXPEDIENTES!$Y:$Y,"SI",EXPEDIENTES!$AD:$AD,L4,EXPEDIENTES!$AE:$AE,L3)</f>
        <v>32</v>
      </c>
      <c r="M7" s="262">
        <f>COUNTIFS(EXPEDIENTES!$Y:$Y,"SI",EXPEDIENTES!$AD:$AD,M4,EXPEDIENTES!$AE:$AE,M3)</f>
        <v>22</v>
      </c>
      <c r="N7" s="262">
        <f>COUNTIFS(EXPEDIENTES!$Y:$Y,"SI",EXPEDIENTES!$AD:$AD,N4,EXPEDIENTES!$AE:$AE,N3)</f>
        <v>17</v>
      </c>
      <c r="O7" s="262">
        <f>COUNTIFS(EXPEDIENTES!$Y:$Y,"SI",EXPEDIENTES!$AD:$AD,O4,EXPEDIENTES!$AE:$AE,O3)</f>
        <v>17</v>
      </c>
      <c r="P7" s="262">
        <f>COUNTIFS(EXPEDIENTES!$Y:$Y,"SI",EXPEDIENTES!$AD:$AD,P4,EXPEDIENTES!$AE:$AE,P3)</f>
        <v>15</v>
      </c>
      <c r="Q7" s="262">
        <f>COUNTIFS(EXPEDIENTES!$Y:$Y,"SI",EXPEDIENTES!$AD:$AD,Q4,EXPEDIENTES!$AE:$AE,Q3)</f>
        <v>9</v>
      </c>
      <c r="R7" s="262">
        <f>COUNTIFS(EXPEDIENTES!$Y:$Y,"SI",EXPEDIENTES!$AD:$AD,R4,EXPEDIENTES!$AE:$AE,R3)</f>
        <v>0</v>
      </c>
      <c r="S7" s="264">
        <f>COUNTIFS(EXPEDIENTES!$Y:$Y,"SI",EXPEDIENTES!$AD:$AD,S4,EXPEDIENTES!$AE:$AE,S3)</f>
        <v>9</v>
      </c>
    </row>
    <row r="8" spans="1:19" ht="60" customHeight="1" thickBot="1">
      <c r="A8" s="260" t="s">
        <v>1650</v>
      </c>
      <c r="B8" s="255">
        <f ca="1">COUNTIFS(EXPEDIENTES!$W:$W,"SI",EXPEDIENTES!$AE:$AE,2023)</f>
        <v>169</v>
      </c>
      <c r="C8" s="256">
        <f ca="1">COUNTIFS(EXPEDIENTES!$W:$W,"SI",EXPEDIENTES!$AE:$AE,2024)</f>
        <v>11</v>
      </c>
      <c r="D8" s="257">
        <f ca="1">SUM(B8:C8)</f>
        <v>180</v>
      </c>
      <c r="E8" s="256">
        <f ca="1">COUNTIFS(EXPEDIENTES!$W:$W,"SI",EXPEDIENTES!$AD:$AD,E4,EXPEDIENTES!$AE:$AE,E3)</f>
        <v>0</v>
      </c>
      <c r="F8" s="256">
        <f ca="1">COUNTIFS(EXPEDIENTES!$W:$W,"SI",EXPEDIENTES!$AD:$AD,F4,EXPEDIENTES!$AE:$AE,F3)</f>
        <v>0</v>
      </c>
      <c r="G8" s="256">
        <f ca="1">COUNTIFS(EXPEDIENTES!$W:$W,"SI",EXPEDIENTES!$AD:$AD,G4,EXPEDIENTES!$AE:$AE,G3)</f>
        <v>0</v>
      </c>
      <c r="H8" s="256">
        <f ca="1">COUNTIFS(EXPEDIENTES!$W:$W,"SI",EXPEDIENTES!$AD:$AD,H4,EXPEDIENTES!$AE:$AE,H3)</f>
        <v>3</v>
      </c>
      <c r="I8" s="256">
        <f ca="1">COUNTIFS(EXPEDIENTES!$W:$W,"SI",EXPEDIENTES!$AD:$AD,I4,EXPEDIENTES!$AE:$AE,I3)</f>
        <v>6</v>
      </c>
      <c r="J8" s="256">
        <f ca="1">COUNTIFS(EXPEDIENTES!$W:$W,"SI",EXPEDIENTES!$AD:$AD,J4,EXPEDIENTES!$AE:$AE,J3)</f>
        <v>3</v>
      </c>
      <c r="K8" s="256">
        <f ca="1">COUNTIFS(EXPEDIENTES!$W:$W,"SI",EXPEDIENTES!$AD:$AD,K4,EXPEDIENTES!$AE:$AE,K3)</f>
        <v>32</v>
      </c>
      <c r="L8" s="256">
        <f ca="1">COUNTIFS(EXPEDIENTES!$W:$W,"SI",EXPEDIENTES!$AD:$AD,L4,EXPEDIENTES!$AE:$AE,L3)</f>
        <v>38</v>
      </c>
      <c r="M8" s="256">
        <f ca="1">COUNTIFS(EXPEDIENTES!$W:$W,"SI",EXPEDIENTES!$AD:$AD,M4,EXPEDIENTES!$AE:$AE,M3)</f>
        <v>29</v>
      </c>
      <c r="N8" s="256">
        <f ca="1">COUNTIFS(EXPEDIENTES!$W:$W,"SI",EXPEDIENTES!$AD:$AD,N4,EXPEDIENTES!$AE:$AE,N3)</f>
        <v>19</v>
      </c>
      <c r="O8" s="256">
        <f ca="1">COUNTIFS(EXPEDIENTES!$W:$W,"SI",EXPEDIENTES!$AD:$AD,O4,EXPEDIENTES!$AE:$AE,O3)</f>
        <v>21</v>
      </c>
      <c r="P8" s="256">
        <f ca="1">COUNTIFS(EXPEDIENTES!$W:$W,"SI",EXPEDIENTES!$AD:$AD,P4,EXPEDIENTES!$AE:$AE,P3)</f>
        <v>18</v>
      </c>
      <c r="Q8" s="256">
        <f ca="1">COUNTIFS(EXPEDIENTES!$W:$W,"SI",EXPEDIENTES!$AD:$AD,Q4,EXPEDIENTES!$AE:$AE,Q3)</f>
        <v>11</v>
      </c>
      <c r="R8" s="256">
        <f ca="1">COUNTIFS(EXPEDIENTES!$W:$W,"SI",EXPEDIENTES!$AD:$AD,R4,EXPEDIENTES!$AE:$AE,R3)</f>
        <v>0</v>
      </c>
      <c r="S8" s="258">
        <f ca="1">COUNTIFS(EXPEDIENTES!$W:$W,"SI",EXPEDIENTES!$AD:$AD,S4,EXPEDIENTES!$AE:$AE,S3)</f>
        <v>19</v>
      </c>
    </row>
    <row r="9" spans="1:19" ht="39.950000000000003" customHeight="1">
      <c r="A9" s="238"/>
      <c r="B9" s="237"/>
      <c r="C9" s="237"/>
      <c r="D9" s="237"/>
      <c r="E9" s="237"/>
      <c r="G9" s="240"/>
    </row>
    <row r="10" spans="1:19" ht="39.950000000000003" customHeight="1">
      <c r="A10" s="238"/>
    </row>
    <row r="11" spans="1:19" ht="39.950000000000003" customHeight="1"/>
    <row r="12" spans="1:19" ht="39.950000000000003" customHeight="1"/>
    <row r="13" spans="1:19" ht="39.950000000000003" customHeight="1"/>
    <row r="14" spans="1:19" ht="30" customHeight="1"/>
    <row r="15" spans="1:19" ht="30" customHeight="1"/>
    <row r="16" spans="1:19" ht="30" customHeight="1"/>
    <row r="17" ht="30" customHeight="1"/>
    <row r="18" ht="30" customHeight="1"/>
    <row r="19" ht="30" customHeight="1"/>
    <row r="20" ht="30" customHeight="1"/>
    <row r="21" ht="30" customHeight="1"/>
    <row r="22" ht="30" customHeight="1"/>
    <row r="23" ht="30" customHeight="1"/>
    <row r="24" ht="30" customHeight="1"/>
    <row r="25" ht="30" customHeight="1"/>
    <row r="26" ht="30" customHeight="1"/>
    <row r="27" ht="30" customHeight="1"/>
    <row r="28" ht="30" customHeight="1"/>
    <row r="29" ht="30" customHeight="1"/>
    <row r="30" ht="30" customHeight="1"/>
    <row r="31" ht="30" customHeight="1"/>
    <row r="32" ht="30" customHeight="1"/>
    <row r="33" ht="30" customHeight="1"/>
    <row r="34" ht="30" customHeight="1"/>
    <row r="35" ht="30" customHeight="1"/>
    <row r="36" ht="30" customHeight="1"/>
    <row r="37" ht="30" customHeight="1"/>
    <row r="38" ht="30" customHeight="1"/>
    <row r="39" ht="30" customHeight="1"/>
    <row r="40" ht="30" customHeight="1"/>
    <row r="41" ht="30" customHeight="1"/>
    <row r="42" ht="30" customHeight="1"/>
    <row r="43" ht="30" customHeight="1"/>
    <row r="44" ht="30" customHeight="1"/>
    <row r="45" ht="30" customHeight="1"/>
    <row r="46" ht="30" customHeight="1"/>
    <row r="47" ht="30" customHeight="1"/>
    <row r="48" ht="30" customHeight="1"/>
    <row r="49" ht="30" customHeight="1"/>
    <row r="50" ht="30" customHeight="1"/>
    <row r="51" ht="30" customHeight="1"/>
    <row r="52" ht="30" customHeight="1"/>
    <row r="53" ht="30" customHeight="1"/>
  </sheetData>
  <mergeCells count="1">
    <mergeCell ref="A1:S1"/>
  </mergeCells>
  <pageMargins left="0" right="0" top="0" bottom="0" header="0.31496062992125984" footer="0.31496062992125984"/>
  <pageSetup paperSize="5" orientation="landscape" r:id="rId1"/>
</worksheet>
</file>

<file path=xl/worksheets/sheet3.xml><?xml version="1.0" encoding="utf-8"?>
<worksheet xmlns="http://schemas.openxmlformats.org/spreadsheetml/2006/main" xmlns:r="http://schemas.openxmlformats.org/officeDocument/2006/relationships">
  <sheetPr codeName="Hoja2"/>
  <dimension ref="A1:A12"/>
  <sheetViews>
    <sheetView workbookViewId="0">
      <selection activeCell="A12" sqref="A12"/>
    </sheetView>
  </sheetViews>
  <sheetFormatPr baseColWidth="10" defaultRowHeight="12.75"/>
  <cols>
    <col min="1" max="1" width="20.5703125" style="29" customWidth="1"/>
    <col min="2" max="2" width="7.42578125" customWidth="1"/>
  </cols>
  <sheetData>
    <row r="1" spans="1:1" ht="20.100000000000001" customHeight="1">
      <c r="A1" s="9" t="s">
        <v>106</v>
      </c>
    </row>
    <row r="2" spans="1:1" ht="20.100000000000001" customHeight="1">
      <c r="A2" s="9" t="s">
        <v>103</v>
      </c>
    </row>
    <row r="3" spans="1:1" ht="20.100000000000001" customHeight="1">
      <c r="A3" s="9" t="s">
        <v>104</v>
      </c>
    </row>
    <row r="4" spans="1:1" ht="20.100000000000001" customHeight="1">
      <c r="A4" s="9" t="s">
        <v>105</v>
      </c>
    </row>
    <row r="5" spans="1:1">
      <c r="A5" s="9" t="s">
        <v>107</v>
      </c>
    </row>
    <row r="6" spans="1:1">
      <c r="A6" s="68" t="s">
        <v>225</v>
      </c>
    </row>
    <row r="7" spans="1:1">
      <c r="A7" s="68" t="s">
        <v>226</v>
      </c>
    </row>
    <row r="8" spans="1:1">
      <c r="A8" s="68" t="s">
        <v>227</v>
      </c>
    </row>
    <row r="9" spans="1:1">
      <c r="A9" s="69" t="s">
        <v>228</v>
      </c>
    </row>
    <row r="10" spans="1:1">
      <c r="A10" s="69" t="s">
        <v>229</v>
      </c>
    </row>
    <row r="11" spans="1:1">
      <c r="A11" s="69" t="s">
        <v>241</v>
      </c>
    </row>
    <row r="12" spans="1:1">
      <c r="A12" s="69" t="s">
        <v>432</v>
      </c>
    </row>
  </sheetData>
  <phoneticPr fontId="1" type="noConversion"/>
  <pageMargins left="0.75" right="0.75" top="1" bottom="1" header="0" footer="0"/>
  <headerFooter alignWithMargins="0"/>
</worksheet>
</file>

<file path=xl/worksheets/sheet4.xml><?xml version="1.0" encoding="utf-8"?>
<worksheet xmlns="http://schemas.openxmlformats.org/spreadsheetml/2006/main" xmlns:r="http://schemas.openxmlformats.org/officeDocument/2006/relationships">
  <sheetPr codeName="Hoja3"/>
  <dimension ref="A1:A9"/>
  <sheetViews>
    <sheetView workbookViewId="0"/>
  </sheetViews>
  <sheetFormatPr baseColWidth="10" defaultRowHeight="12.75"/>
  <cols>
    <col min="1" max="1" width="23.28515625" bestFit="1" customWidth="1"/>
    <col min="3" max="3" width="16.5703125" customWidth="1"/>
  </cols>
  <sheetData>
    <row r="1" spans="1:1" ht="39.950000000000003" customHeight="1">
      <c r="A1" s="9"/>
    </row>
    <row r="2" spans="1:1" ht="39.950000000000003" customHeight="1">
      <c r="A2" s="9"/>
    </row>
    <row r="3" spans="1:1" ht="39.950000000000003" customHeight="1">
      <c r="A3" s="9"/>
    </row>
    <row r="4" spans="1:1" ht="39.950000000000003" customHeight="1">
      <c r="A4" s="9"/>
    </row>
    <row r="5" spans="1:1" ht="39.950000000000003" customHeight="1">
      <c r="A5" s="9"/>
    </row>
    <row r="6" spans="1:1" ht="39.950000000000003" customHeight="1">
      <c r="A6" s="7"/>
    </row>
    <row r="7" spans="1:1" ht="39.950000000000003" customHeight="1">
      <c r="A7" s="21"/>
    </row>
    <row r="8" spans="1:1" ht="39.950000000000003" customHeight="1">
      <c r="A8" s="8"/>
    </row>
    <row r="9" spans="1:1" ht="39.950000000000003" customHeight="1">
      <c r="A9" s="8"/>
    </row>
  </sheetData>
  <phoneticPr fontId="1" type="noConversion"/>
  <pageMargins left="0.75" right="0.75" top="1" bottom="1" header="0" footer="0"/>
  <pageSetup paperSize="5" orientation="portrait" r:id="rId1"/>
  <headerFooter alignWithMargins="0"/>
</worksheet>
</file>

<file path=xl/worksheets/sheet5.xml><?xml version="1.0" encoding="utf-8"?>
<worksheet xmlns="http://schemas.openxmlformats.org/spreadsheetml/2006/main" xmlns:r="http://schemas.openxmlformats.org/officeDocument/2006/relationships">
  <sheetPr codeName="Hoja4"/>
  <dimension ref="B1:I48"/>
  <sheetViews>
    <sheetView tabSelected="1" zoomScale="85" zoomScaleNormal="85" zoomScaleSheetLayoutView="70" workbookViewId="0">
      <selection activeCell="B2" sqref="B2"/>
    </sheetView>
  </sheetViews>
  <sheetFormatPr baseColWidth="10" defaultRowHeight="12.75"/>
  <cols>
    <col min="1" max="1" width="5.5703125" customWidth="1"/>
    <col min="2" max="2" width="29.5703125" customWidth="1"/>
    <col min="3" max="3" width="20.7109375" customWidth="1"/>
    <col min="8" max="8" width="49.85546875" bestFit="1" customWidth="1"/>
  </cols>
  <sheetData>
    <row r="1" spans="2:9" ht="36.75" customHeight="1">
      <c r="B1" s="19" t="s">
        <v>1696</v>
      </c>
      <c r="C1" s="20"/>
      <c r="H1" s="26"/>
    </row>
    <row r="2" spans="2:9">
      <c r="H2" s="11"/>
    </row>
    <row r="3" spans="2:9" ht="20.100000000000001" customHeight="1">
      <c r="B3" s="276" t="s">
        <v>108</v>
      </c>
      <c r="C3" s="276"/>
      <c r="I3" s="11"/>
    </row>
    <row r="4" spans="2:9" ht="20.100000000000001" customHeight="1">
      <c r="B4" s="14" t="s">
        <v>82</v>
      </c>
      <c r="C4" s="14" t="s">
        <v>18</v>
      </c>
    </row>
    <row r="5" spans="2:9" ht="24.95" customHeight="1">
      <c r="B5" s="281" t="s">
        <v>106</v>
      </c>
      <c r="C5" s="12">
        <f>COUNTIF(EXPEDIENTES!D:D,$B5)</f>
        <v>14</v>
      </c>
      <c r="D5" s="11" t="s">
        <v>81</v>
      </c>
    </row>
    <row r="6" spans="2:9" ht="24.95" customHeight="1">
      <c r="B6" s="281" t="s">
        <v>103</v>
      </c>
      <c r="C6" s="12">
        <f>COUNTIF(EXPEDIENTES!D:D,$B6)</f>
        <v>13</v>
      </c>
    </row>
    <row r="7" spans="2:9" ht="24.95" customHeight="1">
      <c r="B7" s="281" t="s">
        <v>1628</v>
      </c>
      <c r="C7" s="12">
        <f>COUNTIF(EXPEDIENTES!D:D,$B7)</f>
        <v>0</v>
      </c>
    </row>
    <row r="8" spans="2:9" ht="24.95" customHeight="1">
      <c r="B8" s="281" t="s">
        <v>104</v>
      </c>
      <c r="C8" s="12">
        <f>COUNTIF(EXPEDIENTES!D:D,$B8)</f>
        <v>15</v>
      </c>
    </row>
    <row r="9" spans="2:9" ht="24.95" customHeight="1">
      <c r="B9" s="281" t="s">
        <v>1607</v>
      </c>
      <c r="C9" s="12">
        <f>COUNTIF(EXPEDIENTES!D:D,$B9)</f>
        <v>3</v>
      </c>
    </row>
    <row r="10" spans="2:9" ht="24.95" customHeight="1">
      <c r="B10" s="281" t="s">
        <v>226</v>
      </c>
      <c r="C10" s="12">
        <f>COUNTIF(EXPEDIENTES!D:D,$B10)</f>
        <v>13</v>
      </c>
    </row>
    <row r="11" spans="2:9" ht="24.95" customHeight="1">
      <c r="B11" s="281" t="s">
        <v>105</v>
      </c>
      <c r="C11" s="12">
        <f>COUNTIF(EXPEDIENTES!D:D,$B11)</f>
        <v>11</v>
      </c>
    </row>
    <row r="12" spans="2:9" ht="24.95" customHeight="1">
      <c r="B12" s="281" t="s">
        <v>107</v>
      </c>
      <c r="C12" s="12">
        <f>COUNTIF(EXPEDIENTES!D:D,$B12)</f>
        <v>20</v>
      </c>
    </row>
    <row r="13" spans="2:9" ht="24.95" customHeight="1">
      <c r="B13" s="281" t="s">
        <v>1693</v>
      </c>
      <c r="C13" s="12">
        <f>COUNTIF(EXPEDIENTES!D:D,$B13)</f>
        <v>2</v>
      </c>
    </row>
    <row r="14" spans="2:9" ht="24.95" customHeight="1">
      <c r="B14" s="281" t="s">
        <v>229</v>
      </c>
      <c r="C14" s="12">
        <f>COUNTIF(EXPEDIENTES!D:D,$B14)</f>
        <v>22</v>
      </c>
    </row>
    <row r="15" spans="2:9" ht="24.95" customHeight="1">
      <c r="B15" s="281" t="s">
        <v>432</v>
      </c>
      <c r="C15" s="12">
        <f>COUNTIF(EXPEDIENTES!D:D,$B15)</f>
        <v>9</v>
      </c>
    </row>
    <row r="16" spans="2:9" ht="24.95" customHeight="1">
      <c r="B16" s="281" t="s">
        <v>1555</v>
      </c>
      <c r="C16" s="12">
        <f>COUNTIF(EXPEDIENTES!D:D,$B16)</f>
        <v>5</v>
      </c>
    </row>
    <row r="17" spans="2:3" ht="24.95" customHeight="1">
      <c r="B17" s="281" t="s">
        <v>227</v>
      </c>
      <c r="C17" s="12">
        <f>COUNTIF(EXPEDIENTES!D:D,$B17)</f>
        <v>13</v>
      </c>
    </row>
    <row r="18" spans="2:3" ht="24.95" customHeight="1">
      <c r="B18" s="281" t="s">
        <v>1617</v>
      </c>
      <c r="C18" s="12">
        <f>COUNTIF(EXPEDIENTES!D:D,$B18)</f>
        <v>1</v>
      </c>
    </row>
    <row r="19" spans="2:3" ht="24.95" customHeight="1">
      <c r="B19" s="281" t="s">
        <v>228</v>
      </c>
      <c r="C19" s="12">
        <f>COUNTIF(EXPEDIENTES!D:D,$B19)</f>
        <v>17</v>
      </c>
    </row>
    <row r="20" spans="2:3" ht="24.95" customHeight="1">
      <c r="B20" s="281" t="s">
        <v>1695</v>
      </c>
      <c r="C20" s="12">
        <f>COUNTIF(EXPEDIENTES!D:D,$B20)</f>
        <v>10</v>
      </c>
    </row>
    <row r="21" spans="2:3" ht="24.95" customHeight="1">
      <c r="B21" s="281" t="s">
        <v>241</v>
      </c>
      <c r="C21" s="12">
        <f>COUNTIF(EXPEDIENTES!D:D,$B21)</f>
        <v>18</v>
      </c>
    </row>
    <row r="22" spans="2:3" ht="24.95" customHeight="1">
      <c r="B22" s="281" t="s">
        <v>1581</v>
      </c>
      <c r="C22" s="12">
        <f>COUNTIF(EXPEDIENTES!D:D,$B22)</f>
        <v>1</v>
      </c>
    </row>
    <row r="23" spans="2:3" ht="24.95" customHeight="1">
      <c r="B23" s="281" t="s">
        <v>106</v>
      </c>
      <c r="C23" s="12">
        <f>COUNTIF(EXPEDIENTES!D:D,$B23)</f>
        <v>14</v>
      </c>
    </row>
    <row r="24" spans="2:3" ht="24.95" customHeight="1">
      <c r="B24" s="24" t="s">
        <v>25</v>
      </c>
      <c r="C24" s="25">
        <f>SUM(C5:C23)</f>
        <v>201</v>
      </c>
    </row>
    <row r="25" spans="2:3" ht="20.100000000000001" customHeight="1"/>
    <row r="26" spans="2:3" ht="20.100000000000001" customHeight="1"/>
    <row r="27" spans="2:3" ht="20.100000000000001" customHeight="1">
      <c r="B27" s="276" t="s">
        <v>109</v>
      </c>
      <c r="C27" s="276"/>
    </row>
    <row r="28" spans="2:3" ht="20.100000000000001" customHeight="1">
      <c r="B28" s="14" t="s">
        <v>24</v>
      </c>
      <c r="C28" s="14" t="s">
        <v>18</v>
      </c>
    </row>
    <row r="29" spans="2:3" ht="24.95" customHeight="1">
      <c r="B29" s="12" t="s">
        <v>106</v>
      </c>
      <c r="C29" s="12">
        <f ca="1">COUNTIFS(EXPEDIENTES!D:D,"Dra. Solorzano",EXPEDIENTES!W:W,"NO")</f>
        <v>0</v>
      </c>
    </row>
    <row r="30" spans="2:3" ht="24.95" customHeight="1">
      <c r="B30" s="12" t="s">
        <v>103</v>
      </c>
      <c r="C30" s="12">
        <f ca="1">COUNTIFS(EXPEDIENTES!D:D,"Dr. Arias Nallar",EXPEDIENTES!W:W,"NO")</f>
        <v>0</v>
      </c>
    </row>
    <row r="31" spans="2:3" ht="24.95" customHeight="1">
      <c r="B31" s="12" t="s">
        <v>104</v>
      </c>
      <c r="C31" s="12">
        <f ca="1">COUNTIFS(EXPEDIENTES!D:D,"Dr. Arancibia",EXPEDIENTES!W:W,"NO")</f>
        <v>0</v>
      </c>
    </row>
    <row r="32" spans="2:3" ht="24.95" customHeight="1">
      <c r="B32" s="12" t="s">
        <v>105</v>
      </c>
      <c r="C32" s="12">
        <f>COUNTIFS(EXPEDIENTES!D:D,"Dr. Akemeierr",EXPEDIENTES!W:W,"NO")</f>
        <v>0</v>
      </c>
    </row>
    <row r="33" spans="2:3" ht="24.95" customHeight="1">
      <c r="B33" s="12" t="s">
        <v>107</v>
      </c>
      <c r="C33" s="12">
        <f ca="1">COUNTIFS(EXPEDIENTES!D:D,"Dr. Barrionuevo",EXPEDIENTES!W:W,"NO")</f>
        <v>0</v>
      </c>
    </row>
    <row r="34" spans="2:3" ht="24.95" customHeight="1">
      <c r="B34" s="27" t="s">
        <v>41</v>
      </c>
      <c r="C34" s="25">
        <f ca="1">SUM(C29:C33)</f>
        <v>0</v>
      </c>
    </row>
    <row r="35" spans="2:3" ht="20.100000000000001" customHeight="1"/>
    <row r="36" spans="2:3" ht="20.100000000000001" customHeight="1"/>
    <row r="37" spans="2:3" ht="20.100000000000001" customHeight="1">
      <c r="B37" s="276" t="s">
        <v>110</v>
      </c>
      <c r="C37" s="276"/>
    </row>
    <row r="38" spans="2:3" ht="20.100000000000001" customHeight="1">
      <c r="B38" s="14" t="s">
        <v>24</v>
      </c>
      <c r="C38" s="14" t="s">
        <v>18</v>
      </c>
    </row>
    <row r="39" spans="2:3" ht="24.95" customHeight="1">
      <c r="B39" s="12" t="s">
        <v>106</v>
      </c>
      <c r="C39" s="12">
        <f>COUNTIFS(EXPEDIENTES!T:T,"Dra. Solorzano",EXPEDIENTES!W:W,"SI")</f>
        <v>0</v>
      </c>
    </row>
    <row r="40" spans="2:3" ht="24.95" customHeight="1">
      <c r="B40" s="12" t="s">
        <v>103</v>
      </c>
      <c r="C40" s="12">
        <f>COUNTIFS(EXPEDIENTES!T:T,"Dr. Arias Nallar",EXPEDIENTES!W:W,"SI")</f>
        <v>0</v>
      </c>
    </row>
    <row r="41" spans="2:3" ht="24.95" customHeight="1">
      <c r="B41" s="12" t="s">
        <v>104</v>
      </c>
      <c r="C41" s="12">
        <f>COUNTIFS(EXPEDIENTES!T:T,"Dr. Arancibia",EXPEDIENTES!W:W,"SI")</f>
        <v>0</v>
      </c>
    </row>
    <row r="42" spans="2:3" ht="24.95" customHeight="1">
      <c r="B42" s="12" t="s">
        <v>105</v>
      </c>
      <c r="C42" s="12">
        <f>COUNTIFS(EXPEDIENTES!T:T,"Dr. Akemeier",EXPEDIENTES!W:W,"SI")</f>
        <v>0</v>
      </c>
    </row>
    <row r="43" spans="2:3" ht="24.95" customHeight="1">
      <c r="B43" s="12" t="s">
        <v>107</v>
      </c>
      <c r="C43" s="12">
        <f>COUNTIFS(EXPEDIENTES!T:T,"Dr. Barrionuevo",EXPEDIENTES!W:W,"SI")</f>
        <v>0</v>
      </c>
    </row>
    <row r="44" spans="2:3" ht="24.95" customHeight="1">
      <c r="B44" s="27" t="s">
        <v>22</v>
      </c>
      <c r="C44" s="25">
        <f>SUM(C39:C43)</f>
        <v>0</v>
      </c>
    </row>
    <row r="45" spans="2:3" ht="20.100000000000001" customHeight="1"/>
    <row r="46" spans="2:3" ht="20.100000000000001" customHeight="1"/>
    <row r="47" spans="2:3" ht="20.100000000000001" customHeight="1">
      <c r="B47" s="277" t="s">
        <v>42</v>
      </c>
      <c r="C47" s="277"/>
    </row>
    <row r="48" spans="2:3" ht="20.100000000000001" customHeight="1">
      <c r="B48" s="13" t="s">
        <v>43</v>
      </c>
      <c r="C48" s="12" t="e">
        <f>#REF!</f>
        <v>#REF!</v>
      </c>
    </row>
  </sheetData>
  <mergeCells count="4">
    <mergeCell ref="B3:C3"/>
    <mergeCell ref="B27:C27"/>
    <mergeCell ref="B37:C37"/>
    <mergeCell ref="B47:C47"/>
  </mergeCells>
  <pageMargins left="0.23622047244094491" right="0.19685039370078741" top="0.39370078740157483" bottom="0.39370078740157483" header="0.27559055118110237" footer="0.31496062992125984"/>
  <pageSetup paperSize="5" scale="95" orientation="landscape" r:id="rId1"/>
  <drawing r:id="rId2"/>
</worksheet>
</file>

<file path=xl/worksheets/sheet6.xml><?xml version="1.0" encoding="utf-8"?>
<worksheet xmlns="http://schemas.openxmlformats.org/spreadsheetml/2006/main" xmlns:r="http://schemas.openxmlformats.org/officeDocument/2006/relationships">
  <sheetPr codeName="Hoja6"/>
  <dimension ref="A3:A29"/>
  <sheetViews>
    <sheetView zoomScale="70" zoomScaleNormal="70" workbookViewId="0">
      <selection activeCell="H4" sqref="H4"/>
    </sheetView>
  </sheetViews>
  <sheetFormatPr baseColWidth="10" defaultRowHeight="12.75"/>
  <sheetData>
    <row r="3" ht="20.100000000000001" customHeight="1"/>
    <row r="4" ht="20.100000000000001" customHeight="1"/>
    <row r="5" ht="20.100000000000001" customHeight="1"/>
    <row r="6" ht="20.100000000000001" customHeight="1"/>
    <row r="7" ht="20.100000000000001" customHeight="1"/>
    <row r="8" ht="20.100000000000001" customHeight="1"/>
    <row r="9" ht="20.100000000000001" customHeight="1"/>
    <row r="10" ht="20.100000000000001" customHeight="1"/>
    <row r="11" ht="20.100000000000001" customHeight="1"/>
    <row r="12" ht="20.100000000000001" customHeight="1"/>
    <row r="13" ht="20.100000000000001" customHeight="1"/>
    <row r="14" ht="20.100000000000001" customHeight="1"/>
    <row r="15" ht="20.100000000000001" customHeight="1"/>
    <row r="16" ht="20.100000000000001" customHeight="1"/>
    <row r="17" ht="20.100000000000001" customHeight="1"/>
    <row r="18" ht="20.100000000000001" customHeight="1"/>
    <row r="19" ht="20.100000000000001" customHeight="1"/>
    <row r="20" ht="20.100000000000001" customHeight="1"/>
    <row r="21" ht="20.100000000000001" customHeight="1"/>
    <row r="22" ht="20.100000000000001" customHeight="1"/>
    <row r="23" ht="20.100000000000001" customHeight="1"/>
    <row r="24" ht="20.100000000000001" customHeight="1"/>
    <row r="25" ht="20.100000000000001" customHeight="1"/>
    <row r="26" ht="20.100000000000001" customHeight="1"/>
    <row r="27" ht="20.100000000000001" customHeight="1"/>
    <row r="28" ht="20.100000000000001" customHeight="1"/>
    <row r="29" ht="20.100000000000001" customHeight="1"/>
  </sheetData>
  <pageMargins left="0.7" right="0.7" top="0.75" bottom="0.75" header="0.3" footer="0.3"/>
  <pageSetup paperSize="5" orientation="portrait" r:id="rId1"/>
  <drawing r:id="rId2"/>
</worksheet>
</file>

<file path=xl/worksheets/sheet7.xml><?xml version="1.0" encoding="utf-8"?>
<worksheet xmlns="http://schemas.openxmlformats.org/spreadsheetml/2006/main" xmlns:r="http://schemas.openxmlformats.org/officeDocument/2006/relationships">
  <sheetPr codeName="Hoja13">
    <pageSetUpPr autoPageBreaks="0"/>
  </sheetPr>
  <dimension ref="B1:P106"/>
  <sheetViews>
    <sheetView showGridLines="0" topLeftCell="A16" zoomScaleSheetLayoutView="100" zoomScalePageLayoutView="40" workbookViewId="0">
      <selection activeCell="N24" sqref="N24"/>
    </sheetView>
  </sheetViews>
  <sheetFormatPr baseColWidth="10" defaultColWidth="11.28515625" defaultRowHeight="12.75"/>
  <cols>
    <col min="1" max="1" width="2.140625" style="89" customWidth="1"/>
    <col min="2" max="2" width="14" style="89" customWidth="1"/>
    <col min="3" max="3" width="51.28515625" style="89" customWidth="1"/>
    <col min="4" max="16384" width="11.28515625" style="89"/>
  </cols>
  <sheetData>
    <row r="1" spans="2:12" ht="18">
      <c r="B1" s="278" t="s">
        <v>1689</v>
      </c>
      <c r="C1" s="278"/>
      <c r="D1" s="278"/>
      <c r="E1" s="278"/>
      <c r="F1" s="278"/>
      <c r="G1" s="278"/>
      <c r="H1" s="278"/>
      <c r="I1" s="278"/>
      <c r="J1" s="278"/>
      <c r="K1" s="278"/>
      <c r="L1" s="278"/>
    </row>
    <row r="2" spans="2:12" ht="12.75" customHeight="1">
      <c r="B2" s="101"/>
      <c r="C2" s="101"/>
      <c r="D2" s="101"/>
      <c r="E2" s="101"/>
      <c r="F2" s="101"/>
      <c r="G2" s="101"/>
      <c r="H2" s="101"/>
      <c r="I2" s="101"/>
      <c r="J2" s="101"/>
      <c r="K2" s="101"/>
      <c r="L2" s="101"/>
    </row>
    <row r="3" spans="2:12" ht="30.75" customHeight="1">
      <c r="B3" s="279" t="s">
        <v>883</v>
      </c>
      <c r="C3" s="279"/>
      <c r="D3" s="279"/>
      <c r="E3" s="279"/>
      <c r="F3" s="279"/>
      <c r="G3" s="279"/>
      <c r="H3" s="279"/>
      <c r="I3" s="279"/>
      <c r="J3" s="279"/>
      <c r="K3" s="279"/>
      <c r="L3" s="279"/>
    </row>
    <row r="4" spans="2:12" ht="27" customHeight="1"/>
    <row r="5" spans="2:12" ht="45" customHeight="1">
      <c r="B5" s="92" t="s">
        <v>884</v>
      </c>
      <c r="C5" s="92" t="s">
        <v>885</v>
      </c>
      <c r="H5" s="90"/>
      <c r="I5" s="90"/>
    </row>
    <row r="6" spans="2:12" ht="28.35" customHeight="1">
      <c r="B6" s="93">
        <f ca="1">COUNTIFS(EXPEDIENTES!AA:AA,$C6,EXPEDIENTES!W:W,"SI")</f>
        <v>2</v>
      </c>
      <c r="C6" s="144" t="s">
        <v>1092</v>
      </c>
      <c r="F6" s="91"/>
      <c r="H6" s="90"/>
      <c r="I6" s="90"/>
    </row>
    <row r="7" spans="2:12" ht="28.35" customHeight="1">
      <c r="B7" s="93">
        <f ca="1">COUNTIFS(EXPEDIENTES!AA:AA,$C7,EXPEDIENTES!W:W,"SI")</f>
        <v>3</v>
      </c>
      <c r="C7" s="143" t="s">
        <v>1031</v>
      </c>
      <c r="F7" s="91"/>
      <c r="H7" s="90"/>
      <c r="I7" s="90"/>
    </row>
    <row r="8" spans="2:12" ht="28.35" customHeight="1">
      <c r="B8" s="93">
        <f ca="1">COUNTIFS(EXPEDIENTES!AA:AA,$C8,EXPEDIENTES!W:W,"SI")</f>
        <v>10</v>
      </c>
      <c r="C8" s="143" t="s">
        <v>1042</v>
      </c>
      <c r="F8" s="91"/>
      <c r="H8" s="90"/>
      <c r="I8" s="90"/>
    </row>
    <row r="9" spans="2:12" ht="28.35" customHeight="1">
      <c r="B9" s="93">
        <f ca="1">COUNTIFS(EXPEDIENTES!AA:AA,$C9,EXPEDIENTES!W:W,"SI")</f>
        <v>9</v>
      </c>
      <c r="C9" s="143" t="s">
        <v>1040</v>
      </c>
      <c r="F9" s="91"/>
      <c r="H9" s="90"/>
      <c r="I9" s="90"/>
    </row>
    <row r="10" spans="2:12" ht="28.35" customHeight="1">
      <c r="B10" s="93">
        <f ca="1">COUNTIFS(EXPEDIENTES!AA:AA,$C10,EXPEDIENTES!W:W,"SI")</f>
        <v>92</v>
      </c>
      <c r="C10" s="143" t="s">
        <v>1012</v>
      </c>
      <c r="F10" s="91"/>
      <c r="H10" s="90"/>
      <c r="I10" s="90"/>
    </row>
    <row r="11" spans="2:12" ht="28.35" customHeight="1">
      <c r="B11" s="93">
        <f ca="1">COUNTIFS(EXPEDIENTES!AA:AA,$C11,EXPEDIENTES!W:W,"SI")</f>
        <v>3</v>
      </c>
      <c r="C11" s="198" t="s">
        <v>1074</v>
      </c>
      <c r="F11" s="91"/>
      <c r="H11" s="90"/>
      <c r="I11" s="90"/>
    </row>
    <row r="12" spans="2:12" ht="28.35" customHeight="1">
      <c r="B12" s="93">
        <f ca="1">COUNTIFS(EXPEDIENTES!AA:AA,$C12,EXPEDIENTES!W:W,"SI")</f>
        <v>54</v>
      </c>
      <c r="C12" s="143" t="s">
        <v>1014</v>
      </c>
      <c r="F12" s="91"/>
      <c r="H12" s="90"/>
      <c r="I12" s="90"/>
    </row>
    <row r="13" spans="2:12" ht="28.35" customHeight="1">
      <c r="B13" s="93">
        <f ca="1">COUNTIFS(EXPEDIENTES!AA:AA,$C13,EXPEDIENTES!W:W,"SI")</f>
        <v>4</v>
      </c>
      <c r="C13" s="143" t="s">
        <v>1026</v>
      </c>
      <c r="D13" s="94"/>
      <c r="E13" s="94"/>
      <c r="F13" s="94"/>
      <c r="G13" s="94"/>
      <c r="H13" s="94"/>
      <c r="I13" s="94"/>
      <c r="J13" s="94"/>
      <c r="K13" s="88"/>
    </row>
    <row r="14" spans="2:12" ht="28.35" customHeight="1">
      <c r="B14" s="93">
        <f ca="1">COUNTIFS(EXPEDIENTES!AA:AA,$C14,EXPEDIENTES!W:W,"SI")</f>
        <v>2</v>
      </c>
      <c r="C14" s="143" t="s">
        <v>1036</v>
      </c>
      <c r="D14" s="95"/>
      <c r="E14" s="95"/>
      <c r="F14" s="95"/>
      <c r="G14" s="95"/>
      <c r="H14" s="95"/>
      <c r="I14" s="95"/>
      <c r="J14" s="95"/>
      <c r="K14" s="88"/>
    </row>
    <row r="15" spans="2:12" ht="28.35" customHeight="1">
      <c r="B15" s="93">
        <f ca="1">COUNTIFS(EXPEDIENTES!AA:AA,$C15,EXPEDIENTES!W:W,"SI")</f>
        <v>19</v>
      </c>
      <c r="C15" s="143" t="s">
        <v>1038</v>
      </c>
      <c r="D15" s="95"/>
      <c r="E15" s="95"/>
      <c r="F15" s="95"/>
      <c r="G15" s="95"/>
      <c r="H15" s="95"/>
      <c r="I15" s="95"/>
      <c r="J15" s="95"/>
      <c r="K15" s="88"/>
    </row>
    <row r="16" spans="2:12" ht="28.35" customHeight="1">
      <c r="B16" s="145">
        <f ca="1">SUM(B6:B15)</f>
        <v>198</v>
      </c>
      <c r="C16" s="145" t="s">
        <v>886</v>
      </c>
      <c r="H16" s="90"/>
      <c r="I16" s="90"/>
      <c r="K16" s="97"/>
    </row>
    <row r="17" spans="2:16" ht="28.35" customHeight="1">
      <c r="D17" s="96"/>
      <c r="I17" s="90"/>
      <c r="J17" s="90"/>
    </row>
    <row r="18" spans="2:16" ht="28.35" customHeight="1">
      <c r="D18" s="98"/>
      <c r="I18" s="90"/>
      <c r="J18" s="90"/>
      <c r="P18" s="141"/>
    </row>
    <row r="19" spans="2:16" ht="28.35" customHeight="1">
      <c r="P19" s="141"/>
    </row>
    <row r="20" spans="2:16" ht="28.35" customHeight="1">
      <c r="B20" s="89" t="str">
        <f ca="1">"Fuente: Oficina Judicial de Impugnación - Información al "&amp;TEXT(TODAY(),"DD/MM/YYYY")</f>
        <v>Fuente: Oficina Judicial de Impugnación - Información al 09/02/2024</v>
      </c>
      <c r="P20" s="142"/>
    </row>
    <row r="21" spans="2:16" ht="28.35" customHeight="1">
      <c r="P21" s="99"/>
    </row>
    <row r="22" spans="2:16" ht="30" customHeight="1">
      <c r="B22" s="278" t="s">
        <v>1690</v>
      </c>
      <c r="C22" s="278"/>
      <c r="D22" s="278"/>
      <c r="E22" s="278"/>
      <c r="F22" s="278"/>
      <c r="G22" s="278"/>
      <c r="H22" s="278"/>
      <c r="I22" s="278"/>
      <c r="J22" s="278"/>
      <c r="K22" s="278"/>
    </row>
    <row r="23" spans="2:16" ht="30" customHeight="1">
      <c r="B23" s="279" t="s">
        <v>887</v>
      </c>
      <c r="C23" s="279"/>
      <c r="D23" s="279"/>
      <c r="E23" s="279"/>
      <c r="F23" s="279"/>
      <c r="G23" s="279"/>
      <c r="H23" s="279"/>
      <c r="I23" s="279"/>
      <c r="J23" s="279"/>
      <c r="K23" s="279"/>
    </row>
    <row r="24" spans="2:16" ht="30" customHeight="1">
      <c r="B24" s="92" t="s">
        <v>884</v>
      </c>
      <c r="C24" s="92" t="s">
        <v>885</v>
      </c>
    </row>
    <row r="25" spans="2:16" ht="18" customHeight="1">
      <c r="B25" s="100">
        <f ca="1">COUNTIFS(EXPEDIENTES!Z:Z,$C25,EXPEDIENTES!W:W,"SI")</f>
        <v>5</v>
      </c>
      <c r="C25" s="146" t="s">
        <v>1011</v>
      </c>
    </row>
    <row r="26" spans="2:16" ht="18" customHeight="1">
      <c r="B26" s="100">
        <f ca="1">COUNTIFS(EXPEDIENTES!Z:Z,$C26,EXPEDIENTES!W:W,"SI")</f>
        <v>2</v>
      </c>
      <c r="C26" s="146" t="s">
        <v>1013</v>
      </c>
    </row>
    <row r="27" spans="2:16" ht="18" customHeight="1">
      <c r="B27" s="100">
        <f ca="1">COUNTIFS(EXPEDIENTES!Z:Z,$C27,EXPEDIENTES!W:W,"SI")</f>
        <v>1</v>
      </c>
      <c r="C27" s="146" t="s">
        <v>1021</v>
      </c>
    </row>
    <row r="28" spans="2:16" ht="18" customHeight="1">
      <c r="B28" s="100">
        <f ca="1">COUNTIFS(EXPEDIENTES!Z:Z,$C28,EXPEDIENTES!W:W,"SI")</f>
        <v>87</v>
      </c>
      <c r="C28" s="146" t="s">
        <v>1015</v>
      </c>
    </row>
    <row r="29" spans="2:16" ht="18" customHeight="1">
      <c r="B29" s="100">
        <f ca="1">COUNTIFS(EXPEDIENTES!Z:Z,$C29,EXPEDIENTES!W:W,"SI")</f>
        <v>19</v>
      </c>
      <c r="C29" s="146" t="s">
        <v>1016</v>
      </c>
    </row>
    <row r="30" spans="2:16" ht="18" customHeight="1">
      <c r="B30" s="100">
        <f ca="1">COUNTIFS(EXPEDIENTES!Z:Z,$C30,EXPEDIENTES!W:W,"SI")</f>
        <v>9</v>
      </c>
      <c r="C30" s="146" t="s">
        <v>1022</v>
      </c>
    </row>
    <row r="31" spans="2:16" ht="18" customHeight="1">
      <c r="B31" s="100">
        <f ca="1">COUNTIFS(EXPEDIENTES!Z:Z,$C31,EXPEDIENTES!W:W,"SI")</f>
        <v>3</v>
      </c>
      <c r="C31" s="146" t="s">
        <v>1025</v>
      </c>
    </row>
    <row r="32" spans="2:16" ht="18" customHeight="1">
      <c r="B32" s="100">
        <f ca="1">COUNTIFS(EXPEDIENTES!Z:Z,$C32,EXPEDIENTES!W:W,"SI")</f>
        <v>3</v>
      </c>
      <c r="C32" s="146" t="s">
        <v>1032</v>
      </c>
    </row>
    <row r="33" spans="2:3" ht="18" customHeight="1">
      <c r="B33" s="100">
        <f ca="1">COUNTIFS(EXPEDIENTES!Z:Z,$C33,EXPEDIENTES!W:W,"SI")</f>
        <v>2</v>
      </c>
      <c r="C33" s="146" t="s">
        <v>1035</v>
      </c>
    </row>
    <row r="34" spans="2:3" ht="18" customHeight="1">
      <c r="B34" s="100">
        <f ca="1">COUNTIFS(EXPEDIENTES!Z:Z,$C34,EXPEDIENTES!W:W,"SI")</f>
        <v>19</v>
      </c>
      <c r="C34" s="146" t="s">
        <v>1037</v>
      </c>
    </row>
    <row r="35" spans="2:3" ht="18" customHeight="1">
      <c r="B35" s="100">
        <f ca="1">COUNTIFS(EXPEDIENTES!Z:Z,$C35,EXPEDIENTES!W:W,"SI")</f>
        <v>9</v>
      </c>
      <c r="C35" s="146" t="s">
        <v>1039</v>
      </c>
    </row>
    <row r="36" spans="2:3" ht="18" customHeight="1">
      <c r="B36" s="100">
        <f ca="1">COUNTIFS(EXPEDIENTES!Z:Z,$C36,EXPEDIENTES!W:W,"SI")</f>
        <v>10</v>
      </c>
      <c r="C36" s="146" t="s">
        <v>1041</v>
      </c>
    </row>
    <row r="37" spans="2:3" ht="18" customHeight="1">
      <c r="B37" s="100">
        <f ca="1">COUNTIFS(EXPEDIENTES!Z:Z,$C37,EXPEDIENTES!W:W,"SI")</f>
        <v>23</v>
      </c>
      <c r="C37" s="146" t="s">
        <v>1059</v>
      </c>
    </row>
    <row r="38" spans="2:3" ht="18" customHeight="1">
      <c r="B38" s="100">
        <f ca="1">COUNTIFS(EXPEDIENTES!Z:Z,$C38,EXPEDIENTES!W:W,"SI")</f>
        <v>3</v>
      </c>
      <c r="C38" s="147" t="s">
        <v>1073</v>
      </c>
    </row>
    <row r="39" spans="2:3" ht="18" customHeight="1">
      <c r="B39" s="100">
        <f ca="1">COUNTIFS(EXPEDIENTES!Z:Z,$C39,EXPEDIENTES!W:W,"SI")</f>
        <v>2</v>
      </c>
      <c r="C39" s="147" t="s">
        <v>1091</v>
      </c>
    </row>
    <row r="40" spans="2:3" ht="18" customHeight="1">
      <c r="B40" s="100">
        <f ca="1">COUNTIFS(EXPEDIENTES!Z:Z,$C40,EXPEDIENTES!W:W,"SI")</f>
        <v>1</v>
      </c>
      <c r="C40" s="147" t="s">
        <v>1027</v>
      </c>
    </row>
    <row r="41" spans="2:3" ht="18" customHeight="1">
      <c r="B41" s="92">
        <f ca="1">SUM(B25:B40)</f>
        <v>198</v>
      </c>
      <c r="C41" s="92" t="s">
        <v>886</v>
      </c>
    </row>
    <row r="42" spans="2:3" ht="18" customHeight="1"/>
    <row r="43" spans="2:3" ht="18" customHeight="1">
      <c r="B43" s="199"/>
      <c r="C43" s="200"/>
    </row>
    <row r="44" spans="2:3" ht="18" customHeight="1">
      <c r="B44" s="89" t="str">
        <f ca="1">"Fuente: Oficina Judicial de Impugnación - Información al "&amp;TEXT(TODAY(),"DD/MM/YYYY")</f>
        <v>Fuente: Oficina Judicial de Impugnación - Información al 09/02/2024</v>
      </c>
      <c r="C44" s="200"/>
    </row>
    <row r="45" spans="2:3" ht="18" customHeight="1"/>
    <row r="46" spans="2:3" ht="18" customHeight="1"/>
    <row r="47" spans="2:3" ht="18" customHeight="1"/>
    <row r="48" spans="2:3" ht="18" customHeight="1"/>
    <row r="49" ht="18" customHeight="1"/>
    <row r="50" ht="18" customHeight="1"/>
    <row r="51" ht="18" customHeight="1"/>
    <row r="61" ht="23.25" customHeight="1"/>
    <row r="62" ht="18" customHeight="1"/>
    <row r="63" ht="21" customHeight="1"/>
    <row r="64" ht="22.5" customHeight="1"/>
    <row r="65" ht="23.25" customHeight="1"/>
    <row r="66" ht="21" customHeight="1"/>
    <row r="67" ht="23.25" customHeight="1"/>
    <row r="97" ht="27.75" customHeight="1"/>
    <row r="98" ht="27" customHeight="1"/>
    <row r="99" ht="23.25" customHeight="1"/>
    <row r="100" ht="24" customHeight="1"/>
    <row r="101" ht="24" customHeight="1"/>
    <row r="102" ht="24.75" customHeight="1"/>
    <row r="103" ht="24.75" customHeight="1"/>
    <row r="104" ht="19.5" customHeight="1"/>
    <row r="105" ht="23.25" customHeight="1"/>
    <row r="106" ht="24.75" customHeight="1"/>
  </sheetData>
  <sortState ref="P4:P30">
    <sortCondition ref="P4:P30"/>
  </sortState>
  <mergeCells count="4">
    <mergeCell ref="B22:K22"/>
    <mergeCell ref="B23:K23"/>
    <mergeCell ref="B1:L1"/>
    <mergeCell ref="B3:L3"/>
  </mergeCells>
  <pageMargins left="0.19685039370078741" right="0.19685039370078741" top="0.19685039370078741" bottom="0.19685039370078741" header="0.11811023622047245" footer="0.11811023622047245"/>
  <pageSetup paperSize="5" orientation="landscape" r:id="rId1"/>
  <drawing r:id="rId2"/>
</worksheet>
</file>

<file path=xl/worksheets/sheet8.xml><?xml version="1.0" encoding="utf-8"?>
<worksheet xmlns="http://schemas.openxmlformats.org/spreadsheetml/2006/main" xmlns:r="http://schemas.openxmlformats.org/officeDocument/2006/relationships">
  <sheetPr codeName="Hoja8"/>
  <dimension ref="A1:E40"/>
  <sheetViews>
    <sheetView topLeftCell="A19" zoomScale="85" zoomScaleNormal="85" workbookViewId="0">
      <selection activeCell="F31" sqref="F31"/>
    </sheetView>
  </sheetViews>
  <sheetFormatPr baseColWidth="10" defaultRowHeight="12.75"/>
  <cols>
    <col min="1" max="1" width="54.28515625" style="17" customWidth="1"/>
  </cols>
  <sheetData>
    <row r="1" spans="1:1" ht="24.95" customHeight="1">
      <c r="A1" s="15" t="s">
        <v>9</v>
      </c>
    </row>
    <row r="2" spans="1:1" ht="24.95" customHeight="1">
      <c r="A2" s="16" t="s">
        <v>12</v>
      </c>
    </row>
    <row r="3" spans="1:1" ht="24.95" customHeight="1">
      <c r="A3" s="15" t="s">
        <v>11</v>
      </c>
    </row>
    <row r="4" spans="1:1" ht="24.95" customHeight="1">
      <c r="A4" s="15" t="s">
        <v>30</v>
      </c>
    </row>
    <row r="5" spans="1:1" ht="24.95" customHeight="1">
      <c r="A5" s="16" t="s">
        <v>31</v>
      </c>
    </row>
    <row r="6" spans="1:1" ht="24.95" customHeight="1">
      <c r="A6" s="17" t="s">
        <v>49</v>
      </c>
    </row>
    <row r="7" spans="1:1" ht="24.95" customHeight="1">
      <c r="A7" s="15" t="s">
        <v>23</v>
      </c>
    </row>
    <row r="8" spans="1:1" ht="24.95" customHeight="1">
      <c r="A8" s="15" t="s">
        <v>27</v>
      </c>
    </row>
    <row r="9" spans="1:1" ht="24.95" customHeight="1">
      <c r="A9" s="16" t="s">
        <v>19</v>
      </c>
    </row>
    <row r="10" spans="1:1" ht="24.95" customHeight="1">
      <c r="A10" s="15" t="s">
        <v>28</v>
      </c>
    </row>
    <row r="11" spans="1:1" ht="24.95" customHeight="1">
      <c r="A11" s="16" t="s">
        <v>20</v>
      </c>
    </row>
    <row r="12" spans="1:1" ht="24.95" customHeight="1">
      <c r="A12" s="15" t="s">
        <v>16</v>
      </c>
    </row>
    <row r="13" spans="1:1" ht="24.95" customHeight="1">
      <c r="A13" s="16" t="s">
        <v>6</v>
      </c>
    </row>
    <row r="14" spans="1:1" ht="24.95" customHeight="1">
      <c r="A14" s="16" t="s">
        <v>14</v>
      </c>
    </row>
    <row r="15" spans="1:1" ht="24.95" customHeight="1">
      <c r="A15" s="16" t="s">
        <v>57</v>
      </c>
    </row>
    <row r="16" spans="1:1" ht="24.95" customHeight="1">
      <c r="A16" s="16" t="s">
        <v>26</v>
      </c>
    </row>
    <row r="17" spans="1:5" ht="24.95" customHeight="1">
      <c r="A17" s="16" t="s">
        <v>21</v>
      </c>
    </row>
    <row r="18" spans="1:5" ht="24.95" customHeight="1">
      <c r="A18" s="15" t="s">
        <v>15</v>
      </c>
    </row>
    <row r="19" spans="1:5" ht="24.95" customHeight="1">
      <c r="A19" s="17" t="s">
        <v>46</v>
      </c>
    </row>
    <row r="20" spans="1:5" ht="24.95" customHeight="1">
      <c r="A20" s="18" t="s">
        <v>45</v>
      </c>
    </row>
    <row r="21" spans="1:5" ht="24.95" customHeight="1">
      <c r="A21" s="18" t="s">
        <v>48</v>
      </c>
    </row>
    <row r="22" spans="1:5" ht="24.95" customHeight="1">
      <c r="A22" s="16" t="s">
        <v>4</v>
      </c>
    </row>
    <row r="23" spans="1:5" ht="24.95" customHeight="1">
      <c r="A23" s="16" t="s">
        <v>29</v>
      </c>
    </row>
    <row r="24" spans="1:5" ht="24.95" customHeight="1">
      <c r="A24" s="16" t="s">
        <v>32</v>
      </c>
    </row>
    <row r="25" spans="1:5" ht="24.95" customHeight="1">
      <c r="A25" s="16" t="s">
        <v>5</v>
      </c>
    </row>
    <row r="26" spans="1:5" ht="24.95" customHeight="1">
      <c r="A26" s="15" t="s">
        <v>7</v>
      </c>
      <c r="E26" s="11"/>
    </row>
    <row r="27" spans="1:5" ht="24.95" customHeight="1">
      <c r="A27" s="15" t="s">
        <v>8</v>
      </c>
    </row>
    <row r="28" spans="1:5" ht="24.95" customHeight="1">
      <c r="A28" s="15" t="s">
        <v>37</v>
      </c>
    </row>
    <row r="29" spans="1:5" ht="24.95" customHeight="1">
      <c r="A29" s="16" t="s">
        <v>34</v>
      </c>
    </row>
    <row r="30" spans="1:5" ht="24.95" customHeight="1">
      <c r="A30" s="16" t="s">
        <v>35</v>
      </c>
    </row>
    <row r="31" spans="1:5" ht="24.95" customHeight="1">
      <c r="A31" s="16" t="s">
        <v>33</v>
      </c>
    </row>
    <row r="32" spans="1:5" ht="24.95" customHeight="1">
      <c r="A32" s="16" t="s">
        <v>38</v>
      </c>
    </row>
    <row r="33" spans="1:1" ht="24.95" customHeight="1">
      <c r="A33" s="16" t="s">
        <v>39</v>
      </c>
    </row>
    <row r="34" spans="1:1" ht="24.95" customHeight="1">
      <c r="A34" s="15" t="s">
        <v>40</v>
      </c>
    </row>
    <row r="35" spans="1:1" ht="24.95" customHeight="1">
      <c r="A35" s="16" t="s">
        <v>13</v>
      </c>
    </row>
    <row r="36" spans="1:1" ht="24.95" customHeight="1">
      <c r="A36" s="18" t="s">
        <v>116</v>
      </c>
    </row>
    <row r="37" spans="1:1" ht="24.95" customHeight="1">
      <c r="A37" s="15" t="s">
        <v>36</v>
      </c>
    </row>
    <row r="38" spans="1:1" ht="24.95" customHeight="1">
      <c r="A38" s="17" t="s">
        <v>51</v>
      </c>
    </row>
    <row r="39" spans="1:1">
      <c r="A39" s="18" t="s">
        <v>52</v>
      </c>
    </row>
    <row r="40" spans="1:1">
      <c r="A40" s="18" t="s">
        <v>215</v>
      </c>
    </row>
  </sheetData>
  <sortState ref="A1:A39">
    <sortCondition ref="A1:A39"/>
  </sortState>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Hoja10"/>
  <dimension ref="A1:A44"/>
  <sheetViews>
    <sheetView topLeftCell="A37" workbookViewId="0">
      <selection activeCell="A44" sqref="A44"/>
    </sheetView>
  </sheetViews>
  <sheetFormatPr baseColWidth="10" defaultRowHeight="12.75"/>
  <cols>
    <col min="1" max="1" width="36" style="3" customWidth="1"/>
  </cols>
  <sheetData>
    <row r="1" spans="1:1" ht="30" customHeight="1">
      <c r="A1" s="28" t="s">
        <v>63</v>
      </c>
    </row>
    <row r="2" spans="1:1" ht="30" customHeight="1">
      <c r="A2" s="28" t="s">
        <v>80</v>
      </c>
    </row>
    <row r="3" spans="1:1" ht="30" customHeight="1">
      <c r="A3" s="33" t="s">
        <v>72</v>
      </c>
    </row>
    <row r="4" spans="1:1" ht="30" customHeight="1">
      <c r="A4" s="6" t="s">
        <v>69</v>
      </c>
    </row>
    <row r="5" spans="1:1" ht="30" customHeight="1">
      <c r="A5" s="6" t="s">
        <v>68</v>
      </c>
    </row>
    <row r="6" spans="1:1" ht="30" customHeight="1">
      <c r="A6" s="6" t="s">
        <v>70</v>
      </c>
    </row>
    <row r="7" spans="1:1" ht="30" customHeight="1">
      <c r="A7" s="6"/>
    </row>
    <row r="8" spans="1:1" ht="30" customHeight="1">
      <c r="A8" s="6" t="s">
        <v>66</v>
      </c>
    </row>
    <row r="9" spans="1:1" ht="30" customHeight="1">
      <c r="A9" s="6" t="s">
        <v>67</v>
      </c>
    </row>
    <row r="10" spans="1:1" ht="30" customHeight="1">
      <c r="A10" s="6" t="s">
        <v>78</v>
      </c>
    </row>
    <row r="11" spans="1:1" ht="30" customHeight="1">
      <c r="A11" s="6" t="s">
        <v>79</v>
      </c>
    </row>
    <row r="12" spans="1:1" ht="30" customHeight="1">
      <c r="A12" s="6" t="s">
        <v>71</v>
      </c>
    </row>
    <row r="13" spans="1:1" ht="30" customHeight="1">
      <c r="A13" s="6" t="s">
        <v>55</v>
      </c>
    </row>
    <row r="14" spans="1:1" ht="30" customHeight="1">
      <c r="A14" s="6" t="s">
        <v>47</v>
      </c>
    </row>
    <row r="15" spans="1:1" ht="30" customHeight="1">
      <c r="A15" s="6" t="s">
        <v>53</v>
      </c>
    </row>
    <row r="16" spans="1:1" ht="30" customHeight="1">
      <c r="A16" s="6" t="s">
        <v>73</v>
      </c>
    </row>
    <row r="17" spans="1:1" ht="30" customHeight="1">
      <c r="A17" s="6" t="s">
        <v>74</v>
      </c>
    </row>
    <row r="18" spans="1:1" ht="30" customHeight="1">
      <c r="A18" s="6" t="s">
        <v>59</v>
      </c>
    </row>
    <row r="19" spans="1:1" ht="30" customHeight="1">
      <c r="A19" s="6" t="s">
        <v>65</v>
      </c>
    </row>
    <row r="20" spans="1:1" ht="30" customHeight="1">
      <c r="A20" s="6" t="s">
        <v>62</v>
      </c>
    </row>
    <row r="21" spans="1:1" ht="30" customHeight="1">
      <c r="A21" s="6" t="s">
        <v>75</v>
      </c>
    </row>
    <row r="22" spans="1:1" ht="30" customHeight="1">
      <c r="A22" s="6" t="s">
        <v>76</v>
      </c>
    </row>
    <row r="23" spans="1:1" ht="30" customHeight="1">
      <c r="A23" s="6" t="s">
        <v>54</v>
      </c>
    </row>
    <row r="24" spans="1:1" ht="30" customHeight="1">
      <c r="A24" s="6" t="s">
        <v>44</v>
      </c>
    </row>
    <row r="25" spans="1:1" ht="30" customHeight="1">
      <c r="A25" s="6" t="s">
        <v>61</v>
      </c>
    </row>
    <row r="26" spans="1:1" ht="30" customHeight="1">
      <c r="A26" s="6" t="s">
        <v>64</v>
      </c>
    </row>
    <row r="27" spans="1:1" ht="30" customHeight="1">
      <c r="A27" s="5" t="s">
        <v>10</v>
      </c>
    </row>
    <row r="28" spans="1:1" ht="30" customHeight="1">
      <c r="A28" s="6" t="s">
        <v>58</v>
      </c>
    </row>
    <row r="29" spans="1:1" ht="30" customHeight="1">
      <c r="A29" s="6" t="s">
        <v>60</v>
      </c>
    </row>
    <row r="30" spans="1:1" ht="30" customHeight="1">
      <c r="A30" s="5" t="s">
        <v>17</v>
      </c>
    </row>
    <row r="31" spans="1:1" ht="30" customHeight="1">
      <c r="A31" s="6" t="s">
        <v>77</v>
      </c>
    </row>
    <row r="32" spans="1:1" ht="30" customHeight="1">
      <c r="A32" s="6" t="s">
        <v>158</v>
      </c>
    </row>
    <row r="33" spans="1:1" ht="30" customHeight="1">
      <c r="A33" s="6" t="s">
        <v>159</v>
      </c>
    </row>
    <row r="34" spans="1:1" ht="30" customHeight="1">
      <c r="A34" s="6" t="s">
        <v>174</v>
      </c>
    </row>
    <row r="35" spans="1:1" ht="30" customHeight="1">
      <c r="A35" s="6" t="s">
        <v>183</v>
      </c>
    </row>
    <row r="36" spans="1:1" ht="30" customHeight="1">
      <c r="A36" s="6" t="s">
        <v>199</v>
      </c>
    </row>
    <row r="37" spans="1:1" ht="30" customHeight="1">
      <c r="A37" s="6" t="s">
        <v>207</v>
      </c>
    </row>
    <row r="38" spans="1:1" ht="30" customHeight="1">
      <c r="A38" s="6" t="s">
        <v>214</v>
      </c>
    </row>
    <row r="39" spans="1:1" ht="30" customHeight="1">
      <c r="A39" s="6" t="s">
        <v>216</v>
      </c>
    </row>
    <row r="40" spans="1:1" ht="30" customHeight="1">
      <c r="A40" s="6" t="s">
        <v>240</v>
      </c>
    </row>
    <row r="41" spans="1:1" ht="30" customHeight="1">
      <c r="A41" s="6" t="s">
        <v>245</v>
      </c>
    </row>
    <row r="42" spans="1:1">
      <c r="A42" s="54" t="s">
        <v>251</v>
      </c>
    </row>
    <row r="43" spans="1:1">
      <c r="A43" s="54" t="s">
        <v>252</v>
      </c>
    </row>
    <row r="44" spans="1:1">
      <c r="A44" s="54" t="s">
        <v>593</v>
      </c>
    </row>
  </sheetData>
  <sortState ref="A1:A37">
    <sortCondition ref="A1:A37"/>
  </sortState>
  <pageMargins left="0.7" right="0.7" top="0.75" bottom="0.75" header="0.3" footer="0.3"/>
</worksheet>
</file>

<file path=xl/worksheets/sheet10.xml><?xml version="1.0" encoding="utf-8"?>
<worksheet xmlns="http://schemas.openxmlformats.org/spreadsheetml/2006/main" xmlns:r="http://schemas.openxmlformats.org/officeDocument/2006/relationships">
  <sheetPr codeName="Hoja7"/>
  <dimension ref="A1:A13"/>
  <sheetViews>
    <sheetView workbookViewId="0">
      <selection activeCell="A13" sqref="A13"/>
    </sheetView>
  </sheetViews>
  <sheetFormatPr baseColWidth="10" defaultRowHeight="12.75"/>
  <sheetData>
    <row r="1" spans="1:1">
      <c r="A1" s="11" t="s">
        <v>200</v>
      </c>
    </row>
    <row r="2" spans="1:1">
      <c r="A2" s="11" t="s">
        <v>121</v>
      </c>
    </row>
    <row r="3" spans="1:1">
      <c r="A3" s="11" t="s">
        <v>94</v>
      </c>
    </row>
    <row r="4" spans="1:1">
      <c r="A4" s="11" t="s">
        <v>95</v>
      </c>
    </row>
    <row r="5" spans="1:1">
      <c r="A5" s="11" t="s">
        <v>96</v>
      </c>
    </row>
    <row r="6" spans="1:1">
      <c r="A6" s="11" t="s">
        <v>97</v>
      </c>
    </row>
    <row r="7" spans="1:1">
      <c r="A7" s="11" t="s">
        <v>98</v>
      </c>
    </row>
    <row r="8" spans="1:1">
      <c r="A8" s="11" t="s">
        <v>99</v>
      </c>
    </row>
    <row r="9" spans="1:1">
      <c r="A9" s="11" t="s">
        <v>100</v>
      </c>
    </row>
    <row r="10" spans="1:1">
      <c r="A10" s="11" t="s">
        <v>101</v>
      </c>
    </row>
    <row r="11" spans="1:1">
      <c r="A11" s="11" t="s">
        <v>102</v>
      </c>
    </row>
    <row r="12" spans="1:1">
      <c r="A12" s="11" t="s">
        <v>236</v>
      </c>
    </row>
    <row r="13" spans="1:1">
      <c r="A13" s="11" t="s">
        <v>1317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sheetPr codeName="Hoja5"/>
  <dimension ref="A1:A3"/>
  <sheetViews>
    <sheetView workbookViewId="0">
      <selection activeCell="A4" sqref="A4"/>
    </sheetView>
  </sheetViews>
  <sheetFormatPr baseColWidth="10" defaultRowHeight="12.75"/>
  <cols>
    <col min="1" max="1" width="28.140625" customWidth="1"/>
  </cols>
  <sheetData>
    <row r="1" spans="1:1">
      <c r="A1" s="6" t="s">
        <v>131</v>
      </c>
    </row>
    <row r="2" spans="1:1">
      <c r="A2" s="6" t="s">
        <v>132</v>
      </c>
    </row>
    <row r="3" spans="1:1">
      <c r="A3" s="11" t="s">
        <v>135</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sheetPr codeName="Hoja11"/>
  <dimension ref="A1:F33"/>
  <sheetViews>
    <sheetView workbookViewId="0">
      <selection activeCell="B15" sqref="B15"/>
    </sheetView>
  </sheetViews>
  <sheetFormatPr baseColWidth="10" defaultRowHeight="12.75"/>
  <cols>
    <col min="1" max="1" width="61.5703125" style="89" bestFit="1" customWidth="1"/>
    <col min="2" max="2" width="45.7109375" style="89" customWidth="1"/>
    <col min="3" max="16384" width="11.42578125" style="89"/>
  </cols>
  <sheetData>
    <row r="1" spans="1:6">
      <c r="A1" s="91" t="s">
        <v>986</v>
      </c>
      <c r="B1" s="91" t="s">
        <v>985</v>
      </c>
    </row>
    <row r="2" spans="1:6">
      <c r="A2" s="137" t="s">
        <v>1011</v>
      </c>
      <c r="B2" s="138" t="s">
        <v>1012</v>
      </c>
      <c r="F2" s="88"/>
    </row>
    <row r="3" spans="1:6">
      <c r="A3" s="137" t="s">
        <v>1013</v>
      </c>
      <c r="B3" s="138" t="s">
        <v>1014</v>
      </c>
    </row>
    <row r="4" spans="1:6">
      <c r="A4" s="137" t="s">
        <v>1015</v>
      </c>
      <c r="B4" s="138" t="s">
        <v>1012</v>
      </c>
    </row>
    <row r="5" spans="1:6">
      <c r="A5" s="137" t="s">
        <v>1016</v>
      </c>
      <c r="B5" s="139" t="s">
        <v>1014</v>
      </c>
    </row>
    <row r="6" spans="1:6">
      <c r="A6" s="137" t="s">
        <v>1017</v>
      </c>
      <c r="B6" s="138" t="s">
        <v>1012</v>
      </c>
    </row>
    <row r="7" spans="1:6">
      <c r="A7" s="137" t="s">
        <v>1018</v>
      </c>
      <c r="B7" s="138" t="s">
        <v>1014</v>
      </c>
    </row>
    <row r="8" spans="1:6">
      <c r="A8" s="137" t="s">
        <v>1019</v>
      </c>
      <c r="B8" s="138" t="s">
        <v>1012</v>
      </c>
    </row>
    <row r="9" spans="1:6">
      <c r="A9" s="137" t="s">
        <v>1020</v>
      </c>
      <c r="B9" s="138" t="s">
        <v>1014</v>
      </c>
    </row>
    <row r="10" spans="1:6">
      <c r="A10" s="138" t="s">
        <v>1021</v>
      </c>
      <c r="B10" s="139" t="s">
        <v>1014</v>
      </c>
    </row>
    <row r="11" spans="1:6">
      <c r="A11" s="138" t="s">
        <v>1022</v>
      </c>
      <c r="B11" s="139" t="s">
        <v>1014</v>
      </c>
    </row>
    <row r="12" spans="1:6">
      <c r="A12" s="138" t="s">
        <v>1023</v>
      </c>
      <c r="B12" s="139" t="s">
        <v>1014</v>
      </c>
    </row>
    <row r="13" spans="1:6">
      <c r="A13" s="138" t="s">
        <v>1024</v>
      </c>
      <c r="B13" s="139" t="s">
        <v>1014</v>
      </c>
    </row>
    <row r="14" spans="1:6">
      <c r="A14" s="138" t="s">
        <v>1025</v>
      </c>
      <c r="B14" s="138" t="s">
        <v>1026</v>
      </c>
    </row>
    <row r="15" spans="1:6">
      <c r="A15" s="138" t="s">
        <v>1027</v>
      </c>
      <c r="B15" s="138" t="s">
        <v>1026</v>
      </c>
    </row>
    <row r="16" spans="1:6">
      <c r="A16" s="138" t="s">
        <v>1028</v>
      </c>
      <c r="B16" s="138" t="s">
        <v>1026</v>
      </c>
    </row>
    <row r="17" spans="1:2">
      <c r="A17" s="138" t="s">
        <v>1029</v>
      </c>
      <c r="B17" s="138" t="s">
        <v>1026</v>
      </c>
    </row>
    <row r="18" spans="1:2">
      <c r="A18" s="137" t="s">
        <v>1030</v>
      </c>
      <c r="B18" s="138" t="s">
        <v>1031</v>
      </c>
    </row>
    <row r="19" spans="1:2">
      <c r="A19" s="137" t="s">
        <v>1032</v>
      </c>
      <c r="B19" s="138" t="s">
        <v>1031</v>
      </c>
    </row>
    <row r="20" spans="1:2">
      <c r="A20" s="137" t="s">
        <v>1033</v>
      </c>
      <c r="B20" s="138" t="s">
        <v>1031</v>
      </c>
    </row>
    <row r="21" spans="1:2">
      <c r="A21" s="137" t="s">
        <v>1034</v>
      </c>
      <c r="B21" s="138" t="s">
        <v>1031</v>
      </c>
    </row>
    <row r="22" spans="1:2">
      <c r="A22" s="138" t="s">
        <v>1035</v>
      </c>
      <c r="B22" s="139" t="s">
        <v>1036</v>
      </c>
    </row>
    <row r="23" spans="1:2">
      <c r="A23" s="138" t="s">
        <v>1037</v>
      </c>
      <c r="B23" s="138" t="s">
        <v>1038</v>
      </c>
    </row>
    <row r="24" spans="1:2">
      <c r="A24" s="138" t="s">
        <v>1039</v>
      </c>
      <c r="B24" s="138" t="s">
        <v>1040</v>
      </c>
    </row>
    <row r="25" spans="1:2">
      <c r="A25" s="138" t="s">
        <v>1041</v>
      </c>
      <c r="B25" s="138" t="s">
        <v>1042</v>
      </c>
    </row>
    <row r="26" spans="1:2">
      <c r="A26" s="140" t="s">
        <v>1059</v>
      </c>
      <c r="B26" s="139" t="s">
        <v>1014</v>
      </c>
    </row>
    <row r="27" spans="1:2">
      <c r="A27" s="91" t="s">
        <v>1073</v>
      </c>
      <c r="B27" s="91" t="s">
        <v>1074</v>
      </c>
    </row>
    <row r="28" spans="1:2">
      <c r="A28" s="91" t="s">
        <v>1091</v>
      </c>
      <c r="B28" s="91" t="s">
        <v>1092</v>
      </c>
    </row>
    <row r="29" spans="1:2">
      <c r="A29" s="91" t="s">
        <v>981</v>
      </c>
      <c r="B29" s="91" t="s">
        <v>981</v>
      </c>
    </row>
    <row r="30" spans="1:2">
      <c r="A30" s="91" t="s">
        <v>981</v>
      </c>
      <c r="B30" s="91" t="s">
        <v>981</v>
      </c>
    </row>
    <row r="31" spans="1:2">
      <c r="A31" s="91"/>
    </row>
    <row r="32" spans="1:2">
      <c r="A32" s="91"/>
    </row>
    <row r="33" spans="1:1">
      <c r="A33" s="91"/>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dimension ref="A1:B3"/>
  <sheetViews>
    <sheetView workbookViewId="0">
      <selection activeCell="B9" sqref="B9"/>
    </sheetView>
  </sheetViews>
  <sheetFormatPr baseColWidth="10" defaultRowHeight="12.75"/>
  <cols>
    <col min="1" max="2" width="60.7109375" customWidth="1"/>
  </cols>
  <sheetData>
    <row r="1" spans="1:2" s="236" customFormat="1" ht="18.75" thickBot="1">
      <c r="A1" s="280" t="s">
        <v>1690</v>
      </c>
      <c r="B1" s="280"/>
    </row>
    <row r="2" spans="1:2" ht="50.1" customHeight="1">
      <c r="A2" s="269" t="s">
        <v>1657</v>
      </c>
      <c r="B2" s="270" t="s">
        <v>1692</v>
      </c>
    </row>
    <row r="3" spans="1:2" ht="50.1" customHeight="1" thickBot="1">
      <c r="A3" s="271">
        <v>7.7633136094674553</v>
      </c>
      <c r="B3" s="272">
        <v>7.833333333333333</v>
      </c>
    </row>
  </sheetData>
  <mergeCells count="1">
    <mergeCell ref="A1:B1"/>
  </mergeCells>
  <pageMargins left="0.70866141732283472" right="0.70866141732283472" top="0.74803149606299213" bottom="0.74803149606299213" header="0.31496062992125984" footer="0.31496062992125984"/>
  <pageSetup paperSize="5"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13</vt:i4>
      </vt:variant>
      <vt:variant>
        <vt:lpstr>Rangos con nombre</vt:lpstr>
      </vt:variant>
      <vt:variant>
        <vt:i4>1</vt:i4>
      </vt:variant>
    </vt:vector>
  </HeadingPairs>
  <TitlesOfParts>
    <vt:vector size="14" baseType="lpstr">
      <vt:lpstr>EXPEDIENTES</vt:lpstr>
      <vt:lpstr>Informe anual</vt:lpstr>
      <vt:lpstr>Jueces</vt:lpstr>
      <vt:lpstr>Internos</vt:lpstr>
      <vt:lpstr>Exp por Vocales</vt:lpstr>
      <vt:lpstr>Exp por Vocales - Grafica</vt:lpstr>
      <vt:lpstr>Graficos Estadisticos</vt:lpstr>
      <vt:lpstr>fiscalias penales</vt:lpstr>
      <vt:lpstr>defensores</vt:lpstr>
      <vt:lpstr>Asesores</vt:lpstr>
      <vt:lpstr>fiscalimpug</vt:lpstr>
      <vt:lpstr>Resultados</vt:lpstr>
      <vt:lpstr>INFORME ANUAL TEMPO</vt:lpstr>
      <vt:lpstr>Audiencia_cancelada___inimputabilidad</vt:lpstr>
    </vt:vector>
  </TitlesOfParts>
  <Company>Poder Judicial de Salta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nasalas</dc:creator>
  <cp:lastModifiedBy>jnieva</cp:lastModifiedBy>
  <cp:lastPrinted>2024-02-09T10:25:18Z</cp:lastPrinted>
  <dcterms:created xsi:type="dcterms:W3CDTF">2023-02-23T14:47:20Z</dcterms:created>
  <dcterms:modified xsi:type="dcterms:W3CDTF">2024-02-09T10:50:17Z</dcterms:modified>
</cp:coreProperties>
</file>