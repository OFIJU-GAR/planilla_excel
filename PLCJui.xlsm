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18.xml" ContentType="application/vnd.ms-excel.controlproperties+xml"/>
  <Override PartName="/xl/ctrlProps/ctrlProp27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10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activeX/activeX3.bin" ContentType="application/vnd.ms-office.activeX"/>
  <Override PartName="/xl/charts/chart7.xml" ContentType="application/vnd.openxmlformats-officedocument.drawingml.chart+xml"/>
  <Override PartName="/xl/worksheets/sheet14.xml" ContentType="application/vnd.openxmlformats-officedocument.spreadsheetml.worksheet+xml"/>
  <Override PartName="/xl/activeX/activeX1.bin" ContentType="application/vnd.ms-office.activeX"/>
  <Override PartName="/xl/charts/chart5.xml" ContentType="application/vnd.openxmlformats-officedocument.drawingml.chart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  <Override PartName="/xl/worksheets/sheet19.xml" ContentType="application/vnd.openxmlformats-officedocument.spreadsheetml.worksheet+xml"/>
  <Override PartName="/xl/ctrlProps/ctrlProp3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kalancay" reservationPassword="CA9C"/>
  <workbookPr updateLinks="never" codeName="ThisWorkbook" hidePivotFieldList="1" defaultThemeVersion="124226"/>
  <bookViews>
    <workbookView xWindow="-120" yWindow="-120" windowWidth="19350" windowHeight="11040" tabRatio="664"/>
  </bookViews>
  <sheets>
    <sheet name="EXPEDIENTES" sheetId="1" r:id="rId1"/>
    <sheet name="Exp por Encargado" sheetId="4" r:id="rId2"/>
    <sheet name="Valores" sheetId="22" r:id="rId3"/>
    <sheet name="Exp por Jueces" sheetId="2" r:id="rId4"/>
    <sheet name="Graficos Estadisticos" sheetId="3" r:id="rId5"/>
    <sheet name="Est. Auto de prueba" sheetId="7" r:id="rId6"/>
    <sheet name="Informe semanal" sheetId="26" r:id="rId7"/>
    <sheet name="Informe disponibilidad" sheetId="24" r:id="rId8"/>
    <sheet name="defensores" sheetId="8" r:id="rId9"/>
    <sheet name="Codigos" sheetId="9" r:id="rId10"/>
    <sheet name="Informe semanal prensa" sheetId="25" r:id="rId11"/>
    <sheet name="Resultados" sheetId="10" r:id="rId12"/>
    <sheet name="Observac" sheetId="11" r:id="rId13"/>
    <sheet name="no realizadas" sheetId="12" r:id="rId14"/>
    <sheet name="Horarios VIEJO" sheetId="13" r:id="rId15"/>
    <sheet name="Tecnicos" sheetId="14" r:id="rId16"/>
    <sheet name="Exp por Encargado - Alvaro" sheetId="15" r:id="rId17"/>
    <sheet name="Hoja1" sheetId="20" r:id="rId18"/>
    <sheet name="Planilla Auxiliar" sheetId="16" r:id="rId19"/>
    <sheet name="Asistencia" sheetId="17" r:id="rId20"/>
    <sheet name="Personal" sheetId="18" r:id="rId21"/>
    <sheet name="Notificaciones" sheetId="19" r:id="rId22"/>
  </sheets>
  <functionGroups/>
  <definedNames>
    <definedName name="_xlnm._FilterDatabase" localSheetId="0" hidden="1">EXPEDIENTES!$A$2:$Z$2</definedName>
    <definedName name="A.I._Nº_2___Dr._Flores_Larsen">defensores!$A$1:$A$36</definedName>
    <definedName name="Audiencia_cancelada___inimputabilidad">Resultados!$A$1:$A$50</definedName>
    <definedName name="Dra._Lamas">#REF!</definedName>
    <definedName name="INTERNOS">#REF!</definedName>
    <definedName name="Z_0199CA3F_EFF7_4FF3_938A_24486AD9575F_.wvu.Cols" localSheetId="0" hidden="1">EXPEDIENTES!$Y:$Z,EXPEDIENTES!$AC:$AD</definedName>
    <definedName name="Z_0199CA3F_EFF7_4FF3_938A_24486AD9575F_.wvu.FilterData" localSheetId="0" hidden="1">EXPEDIENTES!$A$2:$AI$2</definedName>
    <definedName name="Z_0E700F8E_DE41_4298_B8C8_7851972555E2_.wvu.FilterData" localSheetId="0" hidden="1">EXPEDIENTES!$A$2:$AI$2</definedName>
    <definedName name="Z_5BF16DBA_4BB4_4498_B7BF_4F2DDC074FBE_.wvu.Cols" localSheetId="0" hidden="1">EXPEDIENTES!$AC:$AD</definedName>
    <definedName name="Z_5BF16DBA_4BB4_4498_B7BF_4F2DDC074FBE_.wvu.FilterData" localSheetId="0" hidden="1">EXPEDIENTES!$A$2:$AI$2</definedName>
    <definedName name="Z_760284CE_3DFE_40EE_8D8E_1A045256C1CE_.wvu.FilterData" localSheetId="0" hidden="1">EXPEDIENTES!$A$2:$AI$104</definedName>
    <definedName name="Z_8889932B_014C_4A7A_B620_114840895FF5_.wvu.Cols" localSheetId="0" hidden="1">EXPEDIENTES!$Y:$Z,EXPEDIENTES!$AC:$AD</definedName>
    <definedName name="Z_8889932B_014C_4A7A_B620_114840895FF5_.wvu.FilterData" localSheetId="0" hidden="1">EXPEDIENTES!$A$2:$AI$2</definedName>
    <definedName name="Z_9DDDA39F_CE05_4FB6_90B7_C743CD526B46_.wvu.FilterData" localSheetId="0" hidden="1">EXPEDIENTES!$A$2:$AI$104</definedName>
    <definedName name="Z_C5A1C707_2D2C_4CA2_8079_1518C2F89BC2_.wvu.FilterData" localSheetId="0" hidden="1">EXPEDIENTES!$A$2:$AI$2</definedName>
    <definedName name="Z_CC224EA9_23B0_46F2_8D60_F16B49B59C83_.wvu.FilterData" localSheetId="0" hidden="1">EXPEDIENTES!$A$2:$AI$2</definedName>
    <definedName name="Z_DB4207DD_4199_49C8_82A0_9B1EB1C1B792_.wvu.Cols" localSheetId="0" hidden="1">EXPEDIENTES!$Y:$Z,EXPEDIENTES!$AC:$AD</definedName>
    <definedName name="Z_DB4207DD_4199_49C8_82A0_9B1EB1C1B792_.wvu.FilterData" localSheetId="0" hidden="1">EXPEDIENTES!$A$2:$AI$2</definedName>
    <definedName name="Z_F6CCBA91_37A5_4AE3_9A12_2E8B54220A5C_.wvu.FilterData" localSheetId="0" hidden="1">EXPEDIENTES!$A$2:$AI$2</definedName>
  </definedNames>
  <calcPr calcId="124519"/>
  <customWorkbookViews>
    <customWorkbookView name="OFIJUGAR - Lopez Luca, Jose Eduardo - Vista personalizada" guid="{0199CA3F-EFF7-4FF3-938A-24486AD9575F}" mergeInterval="0" personalView="1" maximized="1" xWindow="1" yWindow="1" windowWidth="1920" windowHeight="85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jnieva - Vista personalizada" guid="{DB4207DD-4199-49C8-82A0-9B1EB1C1B792}" autoUpdate="1" mergeInterval="15" personalView="1" includePrintSettings="0" maximized="1" xWindow="1" yWindow="1" windowWidth="1600" windowHeight="670" activeSheetId="1"/>
    <customWorkbookView name="kalancay - Vista personalizada" guid="{8889932B-014C-4A7A-B620-114840895FF5}" mergeInterval="0" personalView="1" maximized="1" xWindow="1" yWindow="1" windowWidth="1366" windowHeight="537" activeSheetId="1"/>
  </customWorkbookViews>
  <pivotCaches>
    <pivotCache cacheId="0" r:id="rId23"/>
    <pivotCache cacheId="1" r:id="rId24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26"/>
  <c r="B9"/>
  <c r="B6"/>
  <c r="B11" l="1"/>
  <c r="AG457" i="1"/>
  <c r="AC457"/>
  <c r="Z457"/>
  <c r="Y457"/>
  <c r="AJ457" s="1"/>
  <c r="AG398"/>
  <c r="AC398"/>
  <c r="Z398"/>
  <c r="Y398"/>
  <c r="AJ398" s="1"/>
  <c r="AG401"/>
  <c r="AC401"/>
  <c r="Z401"/>
  <c r="Y401"/>
  <c r="AJ401" s="1"/>
  <c r="AG456"/>
  <c r="AC456"/>
  <c r="Z456"/>
  <c r="Y456"/>
  <c r="AJ456" s="1"/>
  <c r="AG455"/>
  <c r="AC455"/>
  <c r="Z455"/>
  <c r="Y455"/>
  <c r="AJ455" s="1"/>
  <c r="AG405"/>
  <c r="AC405"/>
  <c r="Z405"/>
  <c r="Y405"/>
  <c r="AJ405" s="1"/>
  <c r="AG358"/>
  <c r="AC358"/>
  <c r="Z358"/>
  <c r="Y358"/>
  <c r="AJ358" s="1"/>
  <c r="AG454"/>
  <c r="AC454"/>
  <c r="Z454"/>
  <c r="Y454"/>
  <c r="AJ454" s="1"/>
  <c r="AG415"/>
  <c r="AC415"/>
  <c r="Z415"/>
  <c r="Y415"/>
  <c r="AJ415" s="1"/>
  <c r="AG130"/>
  <c r="AC130"/>
  <c r="Z130"/>
  <c r="Y130"/>
  <c r="AJ130" s="1"/>
  <c r="AG411"/>
  <c r="AC411"/>
  <c r="Z411"/>
  <c r="Y411"/>
  <c r="AJ411" s="1"/>
  <c r="AG355"/>
  <c r="AC355"/>
  <c r="Z355"/>
  <c r="Y355"/>
  <c r="AJ355" s="1"/>
  <c r="AG402"/>
  <c r="AC402"/>
  <c r="Z402"/>
  <c r="Y402"/>
  <c r="AJ402" s="1"/>
  <c r="AG346"/>
  <c r="AC346"/>
  <c r="Z346"/>
  <c r="Y346"/>
  <c r="AJ346" s="1"/>
  <c r="AG359"/>
  <c r="AC359"/>
  <c r="Z359"/>
  <c r="Y359"/>
  <c r="AJ359" s="1"/>
  <c r="AG406"/>
  <c r="AC406"/>
  <c r="Z406"/>
  <c r="Y406"/>
  <c r="AJ406" s="1"/>
  <c r="AG453"/>
  <c r="AC453"/>
  <c r="Z453"/>
  <c r="Y453"/>
  <c r="AJ453" s="1"/>
  <c r="AG345"/>
  <c r="AC345"/>
  <c r="Z345"/>
  <c r="Y345"/>
  <c r="AJ345" s="1"/>
  <c r="AG382"/>
  <c r="AC382"/>
  <c r="Z382"/>
  <c r="Y382"/>
  <c r="AJ382" s="1"/>
  <c r="AG396"/>
  <c r="AC396"/>
  <c r="Z396"/>
  <c r="Y396"/>
  <c r="AJ396" s="1"/>
  <c r="AG395"/>
  <c r="AC395"/>
  <c r="Z395"/>
  <c r="Y395"/>
  <c r="AJ395" s="1"/>
  <c r="AG385"/>
  <c r="AC385"/>
  <c r="Z385"/>
  <c r="Y385"/>
  <c r="AJ385" s="1"/>
  <c r="AG452"/>
  <c r="AC452"/>
  <c r="Z452"/>
  <c r="Y452"/>
  <c r="AJ452" s="1"/>
  <c r="AG451"/>
  <c r="AC451"/>
  <c r="Z451"/>
  <c r="Y451"/>
  <c r="AJ451" s="1"/>
  <c r="AG450"/>
  <c r="AC450"/>
  <c r="Z450"/>
  <c r="Y450"/>
  <c r="AJ450" s="1"/>
  <c r="AG449"/>
  <c r="AC449"/>
  <c r="Z449"/>
  <c r="Y449"/>
  <c r="AJ449" s="1"/>
  <c r="AG448"/>
  <c r="AC448"/>
  <c r="Z448"/>
  <c r="Y448"/>
  <c r="AJ448" s="1"/>
  <c r="AG447"/>
  <c r="AC447"/>
  <c r="Z447"/>
  <c r="Y447"/>
  <c r="AJ447" s="1"/>
  <c r="AG446"/>
  <c r="AC446"/>
  <c r="Z446"/>
  <c r="Y446"/>
  <c r="AJ446" s="1"/>
  <c r="AG445"/>
  <c r="AC445"/>
  <c r="Z445"/>
  <c r="Y445"/>
  <c r="AJ445" s="1"/>
  <c r="AG444"/>
  <c r="AC444"/>
  <c r="Z444"/>
  <c r="Y444"/>
  <c r="AJ444" s="1"/>
  <c r="AG340"/>
  <c r="AC340"/>
  <c r="Z340"/>
  <c r="Y340"/>
  <c r="AJ340" s="1"/>
  <c r="AG443"/>
  <c r="AC443"/>
  <c r="Z443"/>
  <c r="Y443"/>
  <c r="AJ443" s="1"/>
  <c r="AG442"/>
  <c r="AC442"/>
  <c r="Z442"/>
  <c r="Y442"/>
  <c r="AJ442" s="1"/>
  <c r="AG441"/>
  <c r="AC441"/>
  <c r="Z441"/>
  <c r="Y441"/>
  <c r="AJ441" s="1"/>
  <c r="AG440"/>
  <c r="AC440"/>
  <c r="Z440"/>
  <c r="Y440"/>
  <c r="AJ440" s="1"/>
  <c r="AG439"/>
  <c r="AC439"/>
  <c r="Z439"/>
  <c r="Y439"/>
  <c r="AJ439" s="1"/>
  <c r="AG438"/>
  <c r="AC438"/>
  <c r="Z438"/>
  <c r="Y438"/>
  <c r="AJ438" s="1"/>
  <c r="AG437"/>
  <c r="AC437"/>
  <c r="Z437"/>
  <c r="Y437"/>
  <c r="AJ437" s="1"/>
  <c r="AG364"/>
  <c r="AC364"/>
  <c r="Z364"/>
  <c r="Y364"/>
  <c r="AJ364" s="1"/>
  <c r="AG388"/>
  <c r="AC388"/>
  <c r="Z388"/>
  <c r="Y388"/>
  <c r="AJ388" s="1"/>
  <c r="AG436"/>
  <c r="AC436"/>
  <c r="Z436"/>
  <c r="Y436"/>
  <c r="AJ436" s="1"/>
  <c r="AG435"/>
  <c r="AC435"/>
  <c r="Z435"/>
  <c r="Y435"/>
  <c r="AJ435" s="1"/>
  <c r="AG369"/>
  <c r="AC369"/>
  <c r="Z369"/>
  <c r="Y369"/>
  <c r="AJ369" s="1"/>
  <c r="AG372"/>
  <c r="AC372"/>
  <c r="Z372"/>
  <c r="Y372"/>
  <c r="AJ372" s="1"/>
  <c r="AG434"/>
  <c r="AC434"/>
  <c r="Z434"/>
  <c r="Y434"/>
  <c r="AJ434" s="1"/>
  <c r="AG433"/>
  <c r="AC433"/>
  <c r="Z433"/>
  <c r="Y433"/>
  <c r="AJ433" s="1"/>
  <c r="AG386"/>
  <c r="AC386"/>
  <c r="Z386"/>
  <c r="Y386"/>
  <c r="AJ386" s="1"/>
  <c r="AG432"/>
  <c r="AC432"/>
  <c r="Z432"/>
  <c r="Y432"/>
  <c r="AJ432" s="1"/>
  <c r="AG400"/>
  <c r="AC400"/>
  <c r="Z400"/>
  <c r="Y400"/>
  <c r="AJ400" s="1"/>
  <c r="AG353"/>
  <c r="AC353"/>
  <c r="Z353"/>
  <c r="Y353"/>
  <c r="AJ353" s="1"/>
  <c r="AG337"/>
  <c r="AC337"/>
  <c r="Z337"/>
  <c r="Y337"/>
  <c r="AJ337" s="1"/>
  <c r="AG129"/>
  <c r="AC129"/>
  <c r="Z129"/>
  <c r="Y129"/>
  <c r="AJ129" s="1"/>
  <c r="AG392"/>
  <c r="AC392"/>
  <c r="Z392"/>
  <c r="Y392"/>
  <c r="AJ392" s="1"/>
  <c r="AG366"/>
  <c r="AC366"/>
  <c r="Z366"/>
  <c r="Y366"/>
  <c r="AJ366" s="1"/>
  <c r="AG431"/>
  <c r="AC431"/>
  <c r="Z431"/>
  <c r="Y431"/>
  <c r="AJ431" s="1"/>
  <c r="AG380"/>
  <c r="AC380"/>
  <c r="Z380"/>
  <c r="Y380"/>
  <c r="AJ380" s="1"/>
  <c r="AG394"/>
  <c r="AC394"/>
  <c r="Z394"/>
  <c r="Y394"/>
  <c r="AJ394" s="1"/>
  <c r="AG342"/>
  <c r="AC342"/>
  <c r="Z342"/>
  <c r="Y342"/>
  <c r="AJ342" s="1"/>
  <c r="AG430"/>
  <c r="AC430"/>
  <c r="Z430"/>
  <c r="Y430"/>
  <c r="AJ430" s="1"/>
  <c r="AG414"/>
  <c r="AC414"/>
  <c r="Z414"/>
  <c r="Y414"/>
  <c r="AJ414" s="1"/>
  <c r="AG29"/>
  <c r="AC29"/>
  <c r="Z29"/>
  <c r="Y29"/>
  <c r="AJ29" s="1"/>
  <c r="AG304"/>
  <c r="AC304"/>
  <c r="Z304"/>
  <c r="Y304"/>
  <c r="AJ304" s="1"/>
  <c r="AG315"/>
  <c r="AC315"/>
  <c r="Z315"/>
  <c r="Y315"/>
  <c r="AJ315" s="1"/>
  <c r="AG121"/>
  <c r="AC121"/>
  <c r="Z121"/>
  <c r="Y121"/>
  <c r="AJ121" s="1"/>
  <c r="AG377"/>
  <c r="AC377"/>
  <c r="Z377"/>
  <c r="Y377"/>
  <c r="AJ377" s="1"/>
  <c r="AG363"/>
  <c r="AC363"/>
  <c r="Z363"/>
  <c r="Y363"/>
  <c r="AJ363" s="1"/>
  <c r="AG83"/>
  <c r="AC83"/>
  <c r="Z83"/>
  <c r="Y83"/>
  <c r="AJ83" s="1"/>
  <c r="AG375"/>
  <c r="AC375"/>
  <c r="Z375"/>
  <c r="Y375"/>
  <c r="AJ375" s="1"/>
  <c r="AG429"/>
  <c r="AC429"/>
  <c r="Z429"/>
  <c r="Y429"/>
  <c r="AJ429" s="1"/>
  <c r="AG408"/>
  <c r="AC408"/>
  <c r="Z408"/>
  <c r="Y408"/>
  <c r="AJ408" s="1"/>
  <c r="AG428"/>
  <c r="AC428"/>
  <c r="Z428"/>
  <c r="Y428"/>
  <c r="AJ428" s="1"/>
  <c r="AG356"/>
  <c r="AC356"/>
  <c r="Z356"/>
  <c r="Y356"/>
  <c r="AJ356" s="1"/>
  <c r="AG427"/>
  <c r="AC427"/>
  <c r="Z427"/>
  <c r="Y427"/>
  <c r="AJ427" s="1"/>
  <c r="AG361"/>
  <c r="AC361"/>
  <c r="Z361"/>
  <c r="Y361"/>
  <c r="AJ361" s="1"/>
  <c r="AG362"/>
  <c r="AC362"/>
  <c r="Z362"/>
  <c r="Y362"/>
  <c r="AJ362" s="1"/>
  <c r="AG390"/>
  <c r="AC390"/>
  <c r="Z390"/>
  <c r="Y390"/>
  <c r="AJ390" s="1"/>
  <c r="AG387"/>
  <c r="AC387"/>
  <c r="Z387"/>
  <c r="Y387"/>
  <c r="AJ387" s="1"/>
  <c r="U41" i="3"/>
  <c r="U40"/>
  <c r="AG389" i="1"/>
  <c r="AC389"/>
  <c r="Z389"/>
  <c r="Y389"/>
  <c r="AJ389" s="1"/>
  <c r="AG384"/>
  <c r="AC384"/>
  <c r="Z384"/>
  <c r="Y384"/>
  <c r="AJ384" s="1"/>
  <c r="AG426"/>
  <c r="AC426"/>
  <c r="Z426"/>
  <c r="Y426"/>
  <c r="AJ426" s="1"/>
  <c r="AG404"/>
  <c r="AC404"/>
  <c r="Z404"/>
  <c r="Y404"/>
  <c r="AJ404" s="1"/>
  <c r="AG425"/>
  <c r="AC425"/>
  <c r="Z425"/>
  <c r="Y425"/>
  <c r="AJ425" s="1"/>
  <c r="AG348"/>
  <c r="AC348"/>
  <c r="Z348"/>
  <c r="Y348"/>
  <c r="AJ348" s="1"/>
  <c r="AG413"/>
  <c r="AC413"/>
  <c r="Z413"/>
  <c r="Y413"/>
  <c r="AJ413" s="1"/>
  <c r="AG378"/>
  <c r="AC378"/>
  <c r="Z378"/>
  <c r="Y378"/>
  <c r="AJ378" s="1"/>
  <c r="AG397"/>
  <c r="AC397"/>
  <c r="Z397"/>
  <c r="Y397"/>
  <c r="AJ397" s="1"/>
  <c r="AG399"/>
  <c r="AC399"/>
  <c r="Z399"/>
  <c r="Y399"/>
  <c r="AJ399" s="1"/>
  <c r="AG403"/>
  <c r="AC403"/>
  <c r="Z403"/>
  <c r="Y403"/>
  <c r="AJ403" s="1"/>
  <c r="AG424"/>
  <c r="AC424"/>
  <c r="Z424"/>
  <c r="Y424"/>
  <c r="AJ424" s="1"/>
  <c r="AG381"/>
  <c r="AC381"/>
  <c r="Z381"/>
  <c r="Y381"/>
  <c r="AJ381" s="1"/>
  <c r="AG338"/>
  <c r="AC338"/>
  <c r="Z338"/>
  <c r="Y338"/>
  <c r="AJ338" s="1"/>
  <c r="AG354"/>
  <c r="AC354"/>
  <c r="Z354"/>
  <c r="Y354"/>
  <c r="AJ354" s="1"/>
  <c r="AG291"/>
  <c r="AC291"/>
  <c r="Z291"/>
  <c r="Y291"/>
  <c r="AJ291" s="1"/>
  <c r="AG81"/>
  <c r="AC81"/>
  <c r="Z81"/>
  <c r="Y81"/>
  <c r="AJ81" s="1"/>
  <c r="AG423"/>
  <c r="AC423"/>
  <c r="Z423"/>
  <c r="Y423"/>
  <c r="AJ423" s="1"/>
  <c r="AG336"/>
  <c r="AC336"/>
  <c r="Z336"/>
  <c r="Y336"/>
  <c r="AJ336" s="1"/>
  <c r="AG350"/>
  <c r="AC350"/>
  <c r="Z350"/>
  <c r="Y350"/>
  <c r="AJ350" s="1"/>
  <c r="AG370"/>
  <c r="AC370"/>
  <c r="Z370"/>
  <c r="Y370"/>
  <c r="AJ370" s="1"/>
  <c r="AG343"/>
  <c r="AC343"/>
  <c r="Z343"/>
  <c r="Y343"/>
  <c r="AJ343" s="1"/>
  <c r="AG352"/>
  <c r="AC352"/>
  <c r="Z352"/>
  <c r="Y352"/>
  <c r="AJ352" s="1"/>
  <c r="AG302"/>
  <c r="AC302"/>
  <c r="Z302"/>
  <c r="Y302"/>
  <c r="AJ302" s="1"/>
  <c r="AG344"/>
  <c r="AC344"/>
  <c r="Z344"/>
  <c r="Y344"/>
  <c r="AJ344" s="1"/>
  <c r="AG422"/>
  <c r="AC422"/>
  <c r="Z422"/>
  <c r="Y422"/>
  <c r="AJ422" s="1"/>
  <c r="AG75"/>
  <c r="AC75"/>
  <c r="Z75"/>
  <c r="Y75"/>
  <c r="AJ75" s="1"/>
  <c r="AG308"/>
  <c r="AC308"/>
  <c r="Z308"/>
  <c r="Y308"/>
  <c r="AJ308" s="1"/>
  <c r="AG341"/>
  <c r="AC341"/>
  <c r="Z341"/>
  <c r="Y341"/>
  <c r="AJ341" s="1"/>
  <c r="AG82"/>
  <c r="AC82"/>
  <c r="Z82"/>
  <c r="Y82"/>
  <c r="AJ82" s="1"/>
  <c r="AG293"/>
  <c r="AC293"/>
  <c r="Z293"/>
  <c r="Y293"/>
  <c r="AJ293" s="1"/>
  <c r="AG367"/>
  <c r="AC367"/>
  <c r="Z367"/>
  <c r="Y367"/>
  <c r="AJ367" s="1"/>
  <c r="AG347"/>
  <c r="AC347"/>
  <c r="Z347"/>
  <c r="Y347"/>
  <c r="AJ347" s="1"/>
  <c r="AG349"/>
  <c r="AC349"/>
  <c r="Z349"/>
  <c r="Y349"/>
  <c r="AJ349" s="1"/>
  <c r="AG417"/>
  <c r="AC417"/>
  <c r="Z417"/>
  <c r="Y417"/>
  <c r="AJ417" s="1"/>
  <c r="AG12"/>
  <c r="AC12"/>
  <c r="Z12"/>
  <c r="Y12"/>
  <c r="AH454"/>
  <c r="AH436"/>
  <c r="AH354"/>
  <c r="AH81"/>
  <c r="AH333"/>
  <c r="AH308"/>
  <c r="AH345"/>
  <c r="AH302"/>
  <c r="AH433"/>
  <c r="AH415"/>
  <c r="AH452"/>
  <c r="AH346"/>
  <c r="AH293"/>
  <c r="AH405"/>
  <c r="AH29"/>
  <c r="AH426"/>
  <c r="AH366"/>
  <c r="AH358"/>
  <c r="AH430"/>
  <c r="AH399"/>
  <c r="AH445"/>
  <c r="AH291"/>
  <c r="AH404"/>
  <c r="AH408"/>
  <c r="AH12"/>
  <c r="AH395"/>
  <c r="AH413"/>
  <c r="AH392"/>
  <c r="AH443"/>
  <c r="AH439"/>
  <c r="AH386"/>
  <c r="AH444"/>
  <c r="AH363"/>
  <c r="AH342"/>
  <c r="AH347"/>
  <c r="AH336"/>
  <c r="AH385"/>
  <c r="AH82"/>
  <c r="AH387"/>
  <c r="AH437"/>
  <c r="AH457"/>
  <c r="AH453"/>
  <c r="AH432"/>
  <c r="AH428"/>
  <c r="AH377"/>
  <c r="AH350"/>
  <c r="AH442"/>
  <c r="AH417"/>
  <c r="AH411"/>
  <c r="AH396"/>
  <c r="AH355"/>
  <c r="AH390"/>
  <c r="AH403"/>
  <c r="AH394"/>
  <c r="AH130"/>
  <c r="AH398"/>
  <c r="AH451"/>
  <c r="AH367"/>
  <c r="AH388"/>
  <c r="AH435"/>
  <c r="AH362"/>
  <c r="AH447"/>
  <c r="AH348"/>
  <c r="AH381"/>
  <c r="AH343"/>
  <c r="AH349"/>
  <c r="AH375"/>
  <c r="AH380"/>
  <c r="AH438"/>
  <c r="AH356"/>
  <c r="AH446"/>
  <c r="AH424"/>
  <c r="AH441"/>
  <c r="AH344"/>
  <c r="AH456"/>
  <c r="AH402"/>
  <c r="AH414"/>
  <c r="AH75"/>
  <c r="AH382"/>
  <c r="AH121"/>
  <c r="AH359"/>
  <c r="AH455"/>
  <c r="AH304"/>
  <c r="AH370"/>
  <c r="AH401"/>
  <c r="AH353"/>
  <c r="AH425"/>
  <c r="AH129"/>
  <c r="AH422"/>
  <c r="AH434"/>
  <c r="AH83"/>
  <c r="AH448"/>
  <c r="AH423"/>
  <c r="AH337"/>
  <c r="AH338"/>
  <c r="AH400"/>
  <c r="AH389"/>
  <c r="AH384"/>
  <c r="AH450"/>
  <c r="AH352"/>
  <c r="AH397"/>
  <c r="AH369"/>
  <c r="AH427"/>
  <c r="AH340"/>
  <c r="AH361"/>
  <c r="AH406"/>
  <c r="AH372"/>
  <c r="AH440"/>
  <c r="AH364"/>
  <c r="AH431"/>
  <c r="AH378"/>
  <c r="AH429"/>
  <c r="AH449"/>
  <c r="AH315"/>
  <c r="AH341"/>
  <c r="C10" i="26" l="1"/>
  <c r="AG333" i="1"/>
  <c r="AC333"/>
  <c r="Z333"/>
  <c r="Y333"/>
  <c r="AG76"/>
  <c r="AC76"/>
  <c r="Z76"/>
  <c r="Y76"/>
  <c r="AG332"/>
  <c r="AC332"/>
  <c r="Z332"/>
  <c r="Y332"/>
  <c r="AG318"/>
  <c r="AC318"/>
  <c r="Z318"/>
  <c r="Y318"/>
  <c r="AG120"/>
  <c r="AC120"/>
  <c r="Z120"/>
  <c r="Y120"/>
  <c r="AJ120" s="1"/>
  <c r="AG371"/>
  <c r="AC371"/>
  <c r="Z371"/>
  <c r="Y371"/>
  <c r="AG328"/>
  <c r="AC328"/>
  <c r="Z328"/>
  <c r="Y328"/>
  <c r="AG368"/>
  <c r="AC368"/>
  <c r="Z368"/>
  <c r="Y368"/>
  <c r="AG323"/>
  <c r="AC323"/>
  <c r="Z323"/>
  <c r="Y323"/>
  <c r="AG357"/>
  <c r="AC357"/>
  <c r="Z357"/>
  <c r="Y357"/>
  <c r="AG303"/>
  <c r="AC303"/>
  <c r="Z303"/>
  <c r="Y303"/>
  <c r="AG270"/>
  <c r="AC270"/>
  <c r="Z270"/>
  <c r="Y270"/>
  <c r="AG248"/>
  <c r="AC248"/>
  <c r="Z248"/>
  <c r="Y248"/>
  <c r="AG296"/>
  <c r="AC296"/>
  <c r="Z296"/>
  <c r="Y296"/>
  <c r="AJ296" s="1"/>
  <c r="AG391"/>
  <c r="AC391"/>
  <c r="Z391"/>
  <c r="Y391"/>
  <c r="AG28"/>
  <c r="AC28"/>
  <c r="Z28"/>
  <c r="Y28"/>
  <c r="AG73"/>
  <c r="AC73"/>
  <c r="Z73"/>
  <c r="Y73"/>
  <c r="AG351"/>
  <c r="AC351"/>
  <c r="Z351"/>
  <c r="Y351"/>
  <c r="AG412"/>
  <c r="AC412"/>
  <c r="Z412"/>
  <c r="Y412"/>
  <c r="F6" i="4"/>
  <c r="AH371" i="1"/>
  <c r="AH323"/>
  <c r="AH120"/>
  <c r="AH76"/>
  <c r="AH248"/>
  <c r="AH328"/>
  <c r="AH391"/>
  <c r="AH270"/>
  <c r="AH332"/>
  <c r="AH73"/>
  <c r="AH303"/>
  <c r="AH318"/>
  <c r="AH28"/>
  <c r="AH357"/>
  <c r="AH296"/>
  <c r="AH368"/>
  <c r="C9" i="26" l="1"/>
  <c r="C8"/>
  <c r="C7"/>
  <c r="C6"/>
  <c r="AJ412" i="1"/>
  <c r="AJ351"/>
  <c r="AJ73"/>
  <c r="AJ28"/>
  <c r="AJ391"/>
  <c r="AJ357"/>
  <c r="AJ323"/>
  <c r="AJ368"/>
  <c r="AJ328"/>
  <c r="AJ371"/>
  <c r="AG119"/>
  <c r="AC119"/>
  <c r="Z119"/>
  <c r="Y119"/>
  <c r="A12" i="9"/>
  <c r="C11" i="26" l="1"/>
  <c r="AG410" i="1"/>
  <c r="AC410"/>
  <c r="Z410"/>
  <c r="Y410"/>
  <c r="AG27"/>
  <c r="AC27"/>
  <c r="Z27"/>
  <c r="Y27"/>
  <c r="AG112"/>
  <c r="AC112"/>
  <c r="Z112"/>
  <c r="Y112"/>
  <c r="AG128"/>
  <c r="AC128"/>
  <c r="Z128"/>
  <c r="Y128"/>
  <c r="AG297"/>
  <c r="AC297"/>
  <c r="Z297"/>
  <c r="Y297"/>
  <c r="AG284"/>
  <c r="AC284"/>
  <c r="Z284"/>
  <c r="Y284"/>
  <c r="AG74"/>
  <c r="AC74"/>
  <c r="Z74"/>
  <c r="Y74"/>
  <c r="AG365"/>
  <c r="AC365"/>
  <c r="Z365"/>
  <c r="Y365"/>
  <c r="AG339"/>
  <c r="AC339"/>
  <c r="Z339"/>
  <c r="Y339"/>
  <c r="AG326"/>
  <c r="AC326"/>
  <c r="Z326"/>
  <c r="Y326"/>
  <c r="AG319"/>
  <c r="AC319"/>
  <c r="Z319"/>
  <c r="Y319"/>
  <c r="AG71"/>
  <c r="AC71"/>
  <c r="Z71"/>
  <c r="Y71"/>
  <c r="AG320"/>
  <c r="AC320"/>
  <c r="Z320"/>
  <c r="Y320"/>
  <c r="AG118"/>
  <c r="AC118"/>
  <c r="Z118"/>
  <c r="Y118"/>
  <c r="AG335"/>
  <c r="AC335"/>
  <c r="Z335"/>
  <c r="Y335"/>
  <c r="AG313"/>
  <c r="AC313"/>
  <c r="Z313"/>
  <c r="Y313"/>
  <c r="AG376"/>
  <c r="AC376"/>
  <c r="Z376"/>
  <c r="Y376"/>
  <c r="AG279"/>
  <c r="AC279"/>
  <c r="Z279"/>
  <c r="Y279"/>
  <c r="AG288"/>
  <c r="AC288"/>
  <c r="Z288"/>
  <c r="Y288"/>
  <c r="AG285"/>
  <c r="AC285"/>
  <c r="Z285"/>
  <c r="Y285"/>
  <c r="AG114"/>
  <c r="AC114"/>
  <c r="Z114"/>
  <c r="Y114"/>
  <c r="AG329"/>
  <c r="AC329"/>
  <c r="Z329"/>
  <c r="Y329"/>
  <c r="AG79"/>
  <c r="AC79"/>
  <c r="Z79"/>
  <c r="Y79"/>
  <c r="AG314"/>
  <c r="AC314"/>
  <c r="Z314"/>
  <c r="Y314"/>
  <c r="AG322"/>
  <c r="AC322"/>
  <c r="Z322"/>
  <c r="Y322"/>
  <c r="AG416"/>
  <c r="AC416"/>
  <c r="Z416"/>
  <c r="Y416"/>
  <c r="AG311"/>
  <c r="AC311"/>
  <c r="Z311"/>
  <c r="Y311"/>
  <c r="AG300"/>
  <c r="AC300"/>
  <c r="Z300"/>
  <c r="Y300"/>
  <c r="AG307"/>
  <c r="AC307"/>
  <c r="Z307"/>
  <c r="Y307"/>
  <c r="AG67"/>
  <c r="AC67"/>
  <c r="Z67"/>
  <c r="Y67"/>
  <c r="AG80"/>
  <c r="AC80"/>
  <c r="Z80"/>
  <c r="Y80"/>
  <c r="AG127"/>
  <c r="AC127"/>
  <c r="Z127"/>
  <c r="Y127"/>
  <c r="AG287"/>
  <c r="AC287"/>
  <c r="Z287"/>
  <c r="Y287"/>
  <c r="AG324"/>
  <c r="AC324"/>
  <c r="Z324"/>
  <c r="Y324"/>
  <c r="AG383"/>
  <c r="AC383"/>
  <c r="Z383"/>
  <c r="Y383"/>
  <c r="AG78"/>
  <c r="AC78"/>
  <c r="Z78"/>
  <c r="Y78"/>
  <c r="AG26"/>
  <c r="AC26"/>
  <c r="Z26"/>
  <c r="Y26"/>
  <c r="AG117"/>
  <c r="AC117"/>
  <c r="Z117"/>
  <c r="Y117"/>
  <c r="AG126"/>
  <c r="AC126"/>
  <c r="Z126"/>
  <c r="Y126"/>
  <c r="AG295"/>
  <c r="AC295"/>
  <c r="Z295"/>
  <c r="Y295"/>
  <c r="AG393"/>
  <c r="AC393"/>
  <c r="Z393"/>
  <c r="Y393"/>
  <c r="AG125"/>
  <c r="AC125"/>
  <c r="Z125"/>
  <c r="Y125"/>
  <c r="AG290"/>
  <c r="AC290"/>
  <c r="Z290"/>
  <c r="Y290"/>
  <c r="AG305"/>
  <c r="AC305"/>
  <c r="Z305"/>
  <c r="Y305"/>
  <c r="AG421"/>
  <c r="AC421"/>
  <c r="Z421"/>
  <c r="Y421"/>
  <c r="AG331"/>
  <c r="AC331"/>
  <c r="Z331"/>
  <c r="Y331"/>
  <c r="AG254"/>
  <c r="AC254"/>
  <c r="Z254"/>
  <c r="Y254"/>
  <c r="AG420"/>
  <c r="AC420"/>
  <c r="Z420"/>
  <c r="Y420"/>
  <c r="AG113"/>
  <c r="AC113"/>
  <c r="Z113"/>
  <c r="Y113"/>
  <c r="AG407"/>
  <c r="AC407"/>
  <c r="Z407"/>
  <c r="Y407"/>
  <c r="AG374"/>
  <c r="AC374"/>
  <c r="Z374"/>
  <c r="Y374"/>
  <c r="AG61"/>
  <c r="AC61"/>
  <c r="Z61"/>
  <c r="Y61"/>
  <c r="AG299"/>
  <c r="AC299"/>
  <c r="Z299"/>
  <c r="Y299"/>
  <c r="AG70"/>
  <c r="AC70"/>
  <c r="Z70"/>
  <c r="Y70"/>
  <c r="AG334"/>
  <c r="AC334"/>
  <c r="Z334"/>
  <c r="Y334"/>
  <c r="AG65"/>
  <c r="AC65"/>
  <c r="Z65"/>
  <c r="Y65"/>
  <c r="AG115"/>
  <c r="AC115"/>
  <c r="Z115"/>
  <c r="Y115"/>
  <c r="AG64"/>
  <c r="AC64"/>
  <c r="Z64"/>
  <c r="Y64"/>
  <c r="AG282"/>
  <c r="AC282"/>
  <c r="Z282"/>
  <c r="Y282"/>
  <c r="AG283"/>
  <c r="AC283"/>
  <c r="Z283"/>
  <c r="Y283"/>
  <c r="AG272"/>
  <c r="AC272"/>
  <c r="Z272"/>
  <c r="Y272"/>
  <c r="AG276"/>
  <c r="AC276"/>
  <c r="Z276"/>
  <c r="Y276"/>
  <c r="AG275"/>
  <c r="AC275"/>
  <c r="Z275"/>
  <c r="Y275"/>
  <c r="AG310"/>
  <c r="AC310"/>
  <c r="Z310"/>
  <c r="Y310"/>
  <c r="AG23"/>
  <c r="AC23"/>
  <c r="Z23"/>
  <c r="Y23"/>
  <c r="AG281"/>
  <c r="AC281"/>
  <c r="Z281"/>
  <c r="Y281"/>
  <c r="AG278"/>
  <c r="AC278"/>
  <c r="Z278"/>
  <c r="Y278"/>
  <c r="AG245"/>
  <c r="AC245"/>
  <c r="Z245"/>
  <c r="Y245"/>
  <c r="AG124"/>
  <c r="AC124"/>
  <c r="Z124"/>
  <c r="Y124"/>
  <c r="AG271"/>
  <c r="AC271"/>
  <c r="Z271"/>
  <c r="Y271"/>
  <c r="AG419"/>
  <c r="AC419"/>
  <c r="Z419"/>
  <c r="Y419"/>
  <c r="AG312"/>
  <c r="AC312"/>
  <c r="Z312"/>
  <c r="Y312"/>
  <c r="AG252"/>
  <c r="AC252"/>
  <c r="Z252"/>
  <c r="Y252"/>
  <c r="AG294"/>
  <c r="AC294"/>
  <c r="Z294"/>
  <c r="Y294"/>
  <c r="AG66"/>
  <c r="AC66"/>
  <c r="Z66"/>
  <c r="Y66"/>
  <c r="AG10"/>
  <c r="AC10"/>
  <c r="Z10"/>
  <c r="Y10"/>
  <c r="AG269"/>
  <c r="AC269"/>
  <c r="Z269"/>
  <c r="Y269"/>
  <c r="U39" i="3"/>
  <c r="U42"/>
  <c r="U43"/>
  <c r="U44"/>
  <c r="U45"/>
  <c r="U46"/>
  <c r="U47"/>
  <c r="U48"/>
  <c r="AG273" i="1"/>
  <c r="AC273"/>
  <c r="Z273"/>
  <c r="Y273"/>
  <c r="AJ331" l="1"/>
  <c r="AJ310"/>
  <c r="AJ290"/>
  <c r="AJ410"/>
  <c r="AJ334"/>
  <c r="AJ419"/>
  <c r="AJ124"/>
  <c r="AJ23"/>
  <c r="AJ420"/>
  <c r="AJ421"/>
  <c r="AJ305"/>
  <c r="AJ125"/>
  <c r="AJ393"/>
  <c r="AJ126"/>
  <c r="AJ26"/>
  <c r="AJ78"/>
  <c r="AJ383"/>
  <c r="AJ324"/>
  <c r="AJ127"/>
  <c r="AJ416"/>
  <c r="AJ322"/>
  <c r="AJ313"/>
  <c r="AJ335"/>
  <c r="AJ118"/>
  <c r="AJ71"/>
  <c r="AJ319"/>
  <c r="AJ365"/>
  <c r="AJ74"/>
  <c r="AJ297"/>
  <c r="AJ128"/>
  <c r="AJ27"/>
  <c r="AJ70"/>
  <c r="AJ295"/>
  <c r="AJ80"/>
  <c r="AJ332"/>
  <c r="AJ115"/>
  <c r="AJ299"/>
  <c r="AJ12"/>
  <c r="AJ311"/>
  <c r="AJ117"/>
  <c r="AJ333"/>
  <c r="AG274"/>
  <c r="AC274"/>
  <c r="Z274"/>
  <c r="Y274"/>
  <c r="AG109" l="1"/>
  <c r="AC109"/>
  <c r="Z109"/>
  <c r="Y109"/>
  <c r="AG7"/>
  <c r="AC7"/>
  <c r="Z7"/>
  <c r="Y7"/>
  <c r="AG266"/>
  <c r="AC266"/>
  <c r="Z266"/>
  <c r="Y266"/>
  <c r="AG239"/>
  <c r="AC239"/>
  <c r="Z239"/>
  <c r="Y239"/>
  <c r="AG255"/>
  <c r="AC255"/>
  <c r="Z255"/>
  <c r="Y255"/>
  <c r="AG267"/>
  <c r="AC267"/>
  <c r="Z267"/>
  <c r="Y267"/>
  <c r="AG247"/>
  <c r="AC247"/>
  <c r="Z247"/>
  <c r="Y247"/>
  <c r="AG298"/>
  <c r="AC298"/>
  <c r="Z298"/>
  <c r="Y298"/>
  <c r="AJ282" s="1"/>
  <c r="AG360"/>
  <c r="AC360"/>
  <c r="Z360"/>
  <c r="Y360"/>
  <c r="AJ281" s="1"/>
  <c r="AG13"/>
  <c r="AC13"/>
  <c r="Z13"/>
  <c r="Y13"/>
  <c r="AG69"/>
  <c r="AC69"/>
  <c r="Z69"/>
  <c r="Y69"/>
  <c r="AG22"/>
  <c r="AC22"/>
  <c r="Z22"/>
  <c r="Y22"/>
  <c r="AJ278" s="1"/>
  <c r="AG111"/>
  <c r="AC111"/>
  <c r="Z111"/>
  <c r="Y111"/>
  <c r="AG327"/>
  <c r="AC327"/>
  <c r="Z327"/>
  <c r="Y327"/>
  <c r="AJ64" s="1"/>
  <c r="AG8"/>
  <c r="AC8"/>
  <c r="Z8"/>
  <c r="Y8"/>
  <c r="AG280"/>
  <c r="AC280"/>
  <c r="Z280"/>
  <c r="Y280"/>
  <c r="AG292"/>
  <c r="AC292"/>
  <c r="Z292"/>
  <c r="Y292"/>
  <c r="AG244"/>
  <c r="AC244"/>
  <c r="Z244"/>
  <c r="Y244"/>
  <c r="AG235"/>
  <c r="AC235"/>
  <c r="Z235"/>
  <c r="Y235"/>
  <c r="AG57"/>
  <c r="AC57"/>
  <c r="Z57"/>
  <c r="Y57"/>
  <c r="AG289"/>
  <c r="AC289"/>
  <c r="Z289"/>
  <c r="Y289"/>
  <c r="AJ61" s="1"/>
  <c r="AG379"/>
  <c r="AC379"/>
  <c r="Z379"/>
  <c r="Y379"/>
  <c r="AG72"/>
  <c r="AC72"/>
  <c r="Z72"/>
  <c r="Y72"/>
  <c r="AJ300" s="1"/>
  <c r="AG63"/>
  <c r="AC63"/>
  <c r="Z63"/>
  <c r="Y63"/>
  <c r="AG253"/>
  <c r="AC253"/>
  <c r="Z253"/>
  <c r="Y253"/>
  <c r="AG263"/>
  <c r="AC263"/>
  <c r="Z263"/>
  <c r="Y263"/>
  <c r="E10" i="7"/>
  <c r="E11"/>
  <c r="E9"/>
  <c r="B11"/>
  <c r="B10"/>
  <c r="B9"/>
  <c r="B50" i="3"/>
  <c r="A6"/>
  <c r="A7"/>
  <c r="A8"/>
  <c r="A9"/>
  <c r="A10"/>
  <c r="A11"/>
  <c r="A12"/>
  <c r="A13"/>
  <c r="A14"/>
  <c r="A15"/>
  <c r="A5"/>
  <c r="AJ109" i="1" l="1"/>
  <c r="AJ266"/>
  <c r="AJ63"/>
  <c r="AJ112"/>
  <c r="AJ65"/>
  <c r="AJ283"/>
  <c r="AJ284"/>
  <c r="AJ114"/>
  <c r="AJ287"/>
  <c r="AJ66"/>
  <c r="AJ22"/>
  <c r="AJ13"/>
  <c r="AJ379"/>
  <c r="AJ327"/>
  <c r="AJ288"/>
  <c r="AJ289"/>
  <c r="AJ292"/>
  <c r="AJ67"/>
  <c r="AJ279"/>
  <c r="AJ280"/>
  <c r="AJ360"/>
  <c r="AJ69"/>
  <c r="AJ318"/>
  <c r="AJ298"/>
  <c r="A16" i="3"/>
  <c r="B13" s="1"/>
  <c r="AH117" i="1"/>
  <c r="AH162"/>
  <c r="AH45"/>
  <c r="AH165"/>
  <c r="AH26"/>
  <c r="AH11"/>
  <c r="AH30"/>
  <c r="AH262"/>
  <c r="AH119"/>
  <c r="AH173"/>
  <c r="AH320"/>
  <c r="AH222"/>
  <c r="AH278"/>
  <c r="AH62"/>
  <c r="AH284"/>
  <c r="AH265"/>
  <c r="AH252"/>
  <c r="AH102"/>
  <c r="AH300"/>
  <c r="AH327"/>
  <c r="AH298"/>
  <c r="AH272"/>
  <c r="AH52"/>
  <c r="AH43"/>
  <c r="AH170"/>
  <c r="AH113"/>
  <c r="AH215"/>
  <c r="AH86"/>
  <c r="AH56"/>
  <c r="AH191"/>
  <c r="AH44"/>
  <c r="AH195"/>
  <c r="AH329"/>
  <c r="AH420"/>
  <c r="AH93"/>
  <c r="AH166"/>
  <c r="AH282"/>
  <c r="AH156"/>
  <c r="AH259"/>
  <c r="AH122"/>
  <c r="AH99"/>
  <c r="AH287"/>
  <c r="AH216"/>
  <c r="AH138"/>
  <c r="AH312"/>
  <c r="AH335"/>
  <c r="AH169"/>
  <c r="AH241"/>
  <c r="AH210"/>
  <c r="AH311"/>
  <c r="AH229"/>
  <c r="AH383"/>
  <c r="AH53"/>
  <c r="AH325"/>
  <c r="AH226"/>
  <c r="AH149"/>
  <c r="AH17"/>
  <c r="AH214"/>
  <c r="AH306"/>
  <c r="AH14"/>
  <c r="AH196"/>
  <c r="AH101"/>
  <c r="AH90"/>
  <c r="AH288"/>
  <c r="AH80"/>
  <c r="AH326"/>
  <c r="AH36"/>
  <c r="AH71"/>
  <c r="AH27"/>
  <c r="AH74"/>
  <c r="AH22"/>
  <c r="AH97"/>
  <c r="AH257"/>
  <c r="AH183"/>
  <c r="AH109"/>
  <c r="AH147"/>
  <c r="AH204"/>
  <c r="AH412"/>
  <c r="AH105"/>
  <c r="AH153"/>
  <c r="AH58"/>
  <c r="AH89"/>
  <c r="AH72"/>
  <c r="AH301"/>
  <c r="AH42"/>
  <c r="AH21"/>
  <c r="AH260"/>
  <c r="AH46"/>
  <c r="AH103"/>
  <c r="AH360"/>
  <c r="AH239"/>
  <c r="AH264"/>
  <c r="AH177"/>
  <c r="AH144"/>
  <c r="AH249"/>
  <c r="AH198"/>
  <c r="AH218"/>
  <c r="AH5"/>
  <c r="AH374"/>
  <c r="AH223"/>
  <c r="AH34"/>
  <c r="AH263"/>
  <c r="AH251"/>
  <c r="AH164"/>
  <c r="AH108"/>
  <c r="AH124"/>
  <c r="AH175"/>
  <c r="AH67"/>
  <c r="AH194"/>
  <c r="AH85"/>
  <c r="AH95"/>
  <c r="AH107"/>
  <c r="AH39"/>
  <c r="AH6"/>
  <c r="AH98"/>
  <c r="AH31"/>
  <c r="AH135"/>
  <c r="AH281"/>
  <c r="AH79"/>
  <c r="AH276"/>
  <c r="AH189"/>
  <c r="AH314"/>
  <c r="AH324"/>
  <c r="AH258"/>
  <c r="AH234"/>
  <c r="AH407"/>
  <c r="AH202"/>
  <c r="AH245"/>
  <c r="AH179"/>
  <c r="AH292"/>
  <c r="AH188"/>
  <c r="AH193"/>
  <c r="AH19"/>
  <c r="AH70"/>
  <c r="AH114"/>
  <c r="AH246"/>
  <c r="AH205"/>
  <c r="AH55"/>
  <c r="AH280"/>
  <c r="AH47"/>
  <c r="AH290"/>
  <c r="AH212"/>
  <c r="AH23"/>
  <c r="AH171"/>
  <c r="AH123"/>
  <c r="AH61"/>
  <c r="AH200"/>
  <c r="AH253"/>
  <c r="AH106"/>
  <c r="AH139"/>
  <c r="AH184"/>
  <c r="AH111"/>
  <c r="AH230"/>
  <c r="AH128"/>
  <c r="AH40"/>
  <c r="AH192"/>
  <c r="AH376"/>
  <c r="AH167"/>
  <c r="AH127"/>
  <c r="AH238"/>
  <c r="AH209"/>
  <c r="AH267"/>
  <c r="AH419"/>
  <c r="AH254"/>
  <c r="AH305"/>
  <c r="AH66"/>
  <c r="AH250"/>
  <c r="AH206"/>
  <c r="AH92"/>
  <c r="AH331"/>
  <c r="AH68"/>
  <c r="AH168"/>
  <c r="AH87"/>
  <c r="AH32"/>
  <c r="AH115"/>
  <c r="AH181"/>
  <c r="AH242"/>
  <c r="AH33"/>
  <c r="AH232"/>
  <c r="AH143"/>
  <c r="AH69"/>
  <c r="AH37"/>
  <c r="AH185"/>
  <c r="AH20"/>
  <c r="AH266"/>
  <c r="AH9"/>
  <c r="AH201"/>
  <c r="AH60"/>
  <c r="AH8"/>
  <c r="AH190"/>
  <c r="AH154"/>
  <c r="AH118"/>
  <c r="AH313"/>
  <c r="AH3"/>
  <c r="AH50"/>
  <c r="AH158"/>
  <c r="AH133"/>
  <c r="AH63"/>
  <c r="AH88"/>
  <c r="AH54"/>
  <c r="AH299"/>
  <c r="AH351"/>
  <c r="AH297"/>
  <c r="AH295"/>
  <c r="AH151"/>
  <c r="AH211"/>
  <c r="AH78"/>
  <c r="AH286"/>
  <c r="AH172"/>
  <c r="AH321"/>
  <c r="AH274"/>
  <c r="AH410"/>
  <c r="AH7"/>
  <c r="AH180"/>
  <c r="AH294"/>
  <c r="AH243"/>
  <c r="AH25"/>
  <c r="AH203"/>
  <c r="AH174"/>
  <c r="AH146"/>
  <c r="AH247"/>
  <c r="AH161"/>
  <c r="AH283"/>
  <c r="AH96"/>
  <c r="AH319"/>
  <c r="AH277"/>
  <c r="AH134"/>
  <c r="AH41"/>
  <c r="AH289"/>
  <c r="AH110"/>
  <c r="AH65"/>
  <c r="AH132"/>
  <c r="AH157"/>
  <c r="AH51"/>
  <c r="AH112"/>
  <c r="AH421"/>
  <c r="AH225"/>
  <c r="AH140"/>
  <c r="AH116"/>
  <c r="AH49"/>
  <c r="AH379"/>
  <c r="AH100"/>
  <c r="AH4"/>
  <c r="AH231"/>
  <c r="AH125"/>
  <c r="AH217"/>
  <c r="AH182"/>
  <c r="AH285"/>
  <c r="AH59"/>
  <c r="AH91"/>
  <c r="AH10"/>
  <c r="AH15"/>
  <c r="AH224"/>
  <c r="AH197"/>
  <c r="AH393"/>
  <c r="AH255"/>
  <c r="AH155"/>
  <c r="AH409"/>
  <c r="AH310"/>
  <c r="AH24"/>
  <c r="AH330"/>
  <c r="AH269"/>
  <c r="AH416"/>
  <c r="AH339"/>
  <c r="AH131"/>
  <c r="AH159"/>
  <c r="AH136"/>
  <c r="AH228"/>
  <c r="AH235"/>
  <c r="AH273"/>
  <c r="AH236"/>
  <c r="AH64"/>
  <c r="AH38"/>
  <c r="AH145"/>
  <c r="AH365"/>
  <c r="AH137"/>
  <c r="AH240"/>
  <c r="AH213"/>
  <c r="AH237"/>
  <c r="AH334"/>
  <c r="AH261"/>
  <c r="AH152"/>
  <c r="AH221"/>
  <c r="AH84"/>
  <c r="AH316"/>
  <c r="AH207"/>
  <c r="AH256"/>
  <c r="AH77"/>
  <c r="AH57"/>
  <c r="AH317"/>
  <c r="AH16"/>
  <c r="AH35"/>
  <c r="AH208"/>
  <c r="AH178"/>
  <c r="AH220"/>
  <c r="AH186"/>
  <c r="AH268"/>
  <c r="AH126"/>
  <c r="AH275"/>
  <c r="AH418"/>
  <c r="AH18"/>
  <c r="AH141"/>
  <c r="AH13"/>
  <c r="AH148"/>
  <c r="AH176"/>
  <c r="AH219"/>
  <c r="AH244"/>
  <c r="AH227"/>
  <c r="AH233"/>
  <c r="AH163"/>
  <c r="AH142"/>
  <c r="AH279"/>
  <c r="AH307"/>
  <c r="AH160"/>
  <c r="AH187"/>
  <c r="AH48"/>
  <c r="AH150"/>
  <c r="AH271"/>
  <c r="AH104"/>
  <c r="AH309"/>
  <c r="AH322"/>
  <c r="AH373"/>
  <c r="AH94"/>
  <c r="AH199"/>
  <c r="B12" i="3" l="1"/>
  <c r="B15"/>
  <c r="B14"/>
  <c r="B11"/>
  <c r="B9"/>
  <c r="B6"/>
  <c r="B8"/>
  <c r="B10"/>
  <c r="B7"/>
  <c r="F3" i="2"/>
  <c r="C5"/>
  <c r="Y132" i="1"/>
  <c r="Y88"/>
  <c r="Y93"/>
  <c r="Y163"/>
  <c r="Y24"/>
  <c r="Y133"/>
  <c r="Y87"/>
  <c r="Y89"/>
  <c r="Y94"/>
  <c r="Y14"/>
  <c r="Y90"/>
  <c r="Y91"/>
  <c r="Y95"/>
  <c r="Y15"/>
  <c r="Y135"/>
  <c r="Y38"/>
  <c r="Y40"/>
  <c r="Y42"/>
  <c r="Y137"/>
  <c r="Y30"/>
  <c r="Y164"/>
  <c r="Y101"/>
  <c r="Y16"/>
  <c r="Y138"/>
  <c r="Y167"/>
  <c r="Y136"/>
  <c r="Y168"/>
  <c r="Y17"/>
  <c r="Y139"/>
  <c r="Y157"/>
  <c r="Y97"/>
  <c r="Y18"/>
  <c r="Y140"/>
  <c r="Y37"/>
  <c r="Y92"/>
  <c r="Y100"/>
  <c r="Y19"/>
  <c r="Y141"/>
  <c r="Y172"/>
  <c r="Y3"/>
  <c r="Y142"/>
  <c r="Y179"/>
  <c r="Y143"/>
  <c r="Y48"/>
  <c r="Y134"/>
  <c r="Y144"/>
  <c r="Y192"/>
  <c r="Y146"/>
  <c r="Y191"/>
  <c r="Y84"/>
  <c r="Y147"/>
  <c r="Y31"/>
  <c r="AJ30" s="1"/>
  <c r="Y161"/>
  <c r="Y122"/>
  <c r="AJ122" s="1"/>
  <c r="Y85"/>
  <c r="Y149"/>
  <c r="Y47"/>
  <c r="Y148"/>
  <c r="Y86"/>
  <c r="Y170"/>
  <c r="Y49"/>
  <c r="Y150"/>
  <c r="Y180"/>
  <c r="Y151"/>
  <c r="Y225"/>
  <c r="Y153"/>
  <c r="Y190"/>
  <c r="Y20"/>
  <c r="Y152"/>
  <c r="Y155"/>
  <c r="Y176"/>
  <c r="Y154"/>
  <c r="Y268"/>
  <c r="Y156"/>
  <c r="Y175"/>
  <c r="Y178"/>
  <c r="Y33"/>
  <c r="Y188"/>
  <c r="Y158"/>
  <c r="Y185"/>
  <c r="Y159"/>
  <c r="Y58"/>
  <c r="Y34"/>
  <c r="Y265"/>
  <c r="Y35"/>
  <c r="Y217"/>
  <c r="Y196"/>
  <c r="Y162"/>
  <c r="Y200"/>
  <c r="Y39"/>
  <c r="Y106"/>
  <c r="AJ106" s="1"/>
  <c r="Y169"/>
  <c r="Y102"/>
  <c r="Y99"/>
  <c r="Y194"/>
  <c r="Y160"/>
  <c r="Y183"/>
  <c r="Y36"/>
  <c r="Y96"/>
  <c r="Y98"/>
  <c r="Y171"/>
  <c r="Y145"/>
  <c r="Y184"/>
  <c r="Y177"/>
  <c r="Y41"/>
  <c r="AJ40" s="1"/>
  <c r="Y174"/>
  <c r="Y50"/>
  <c r="Y43"/>
  <c r="Y199"/>
  <c r="Y165"/>
  <c r="Y51"/>
  <c r="Y223"/>
  <c r="Y182"/>
  <c r="Y53"/>
  <c r="Y201"/>
  <c r="Y173"/>
  <c r="Y181"/>
  <c r="Y54"/>
  <c r="Y32"/>
  <c r="Y104"/>
  <c r="Y317"/>
  <c r="Y77"/>
  <c r="AJ77" s="1"/>
  <c r="Y55"/>
  <c r="Y56"/>
  <c r="Y226"/>
  <c r="Y45"/>
  <c r="Y197"/>
  <c r="Y212"/>
  <c r="Y373"/>
  <c r="Y198"/>
  <c r="Y103"/>
  <c r="Y105"/>
  <c r="Y189"/>
  <c r="Y246"/>
  <c r="Y46"/>
  <c r="Y206"/>
  <c r="Y207"/>
  <c r="Y21"/>
  <c r="Y44"/>
  <c r="Y209"/>
  <c r="Y227"/>
  <c r="Y215"/>
  <c r="Y166"/>
  <c r="Y208"/>
  <c r="Y187"/>
  <c r="Y218"/>
  <c r="Y325"/>
  <c r="AJ325" s="1"/>
  <c r="Y259"/>
  <c r="Y6"/>
  <c r="AJ6" s="1"/>
  <c r="Y230"/>
  <c r="Y9"/>
  <c r="Y286"/>
  <c r="Y203"/>
  <c r="Y330"/>
  <c r="AJ330" s="1"/>
  <c r="Y264"/>
  <c r="Y202"/>
  <c r="Y210"/>
  <c r="Y193"/>
  <c r="Y186"/>
  <c r="Y195"/>
  <c r="Y204"/>
  <c r="Y243"/>
  <c r="Y277"/>
  <c r="AJ277" s="1"/>
  <c r="Y231"/>
  <c r="Y242"/>
  <c r="Y216"/>
  <c r="Y301"/>
  <c r="Y116"/>
  <c r="Y234"/>
  <c r="Y232"/>
  <c r="Y221"/>
  <c r="Y214"/>
  <c r="Y52"/>
  <c r="Y219"/>
  <c r="Y256"/>
  <c r="Y5"/>
  <c r="Y228"/>
  <c r="Y222"/>
  <c r="Y249"/>
  <c r="Y4"/>
  <c r="Y237"/>
  <c r="Y233"/>
  <c r="Y409"/>
  <c r="Y316"/>
  <c r="Y68"/>
  <c r="Y321"/>
  <c r="Y258"/>
  <c r="Y260"/>
  <c r="Y25"/>
  <c r="Y224"/>
  <c r="Y123"/>
  <c r="Y220"/>
  <c r="Y213"/>
  <c r="Y250"/>
  <c r="AJ247" s="1"/>
  <c r="Y211"/>
  <c r="Y257"/>
  <c r="Y205"/>
  <c r="Y236"/>
  <c r="Y59"/>
  <c r="Y229"/>
  <c r="Y110"/>
  <c r="Y418"/>
  <c r="AJ418" s="1"/>
  <c r="Y11"/>
  <c r="Y240"/>
  <c r="Y241"/>
  <c r="Y107"/>
  <c r="Y251"/>
  <c r="AJ248" s="1"/>
  <c r="Y309"/>
  <c r="Y238"/>
  <c r="Y62"/>
  <c r="AJ62" s="1"/>
  <c r="Y262"/>
  <c r="Y261"/>
  <c r="Y60"/>
  <c r="Y108"/>
  <c r="Y306"/>
  <c r="Y131"/>
  <c r="C6" i="2"/>
  <c r="C7"/>
  <c r="C8"/>
  <c r="C9"/>
  <c r="C10"/>
  <c r="AG306" i="1"/>
  <c r="AC306"/>
  <c r="Z306"/>
  <c r="AG108"/>
  <c r="AC108"/>
  <c r="Z108"/>
  <c r="AG60"/>
  <c r="AC60"/>
  <c r="Z60"/>
  <c r="AG261"/>
  <c r="AC261"/>
  <c r="Z261"/>
  <c r="AG262"/>
  <c r="AC262"/>
  <c r="Z262"/>
  <c r="AG62"/>
  <c r="AC62"/>
  <c r="Z62"/>
  <c r="AG238"/>
  <c r="AC238"/>
  <c r="Z238"/>
  <c r="AG309"/>
  <c r="AC309"/>
  <c r="Z309"/>
  <c r="AG251"/>
  <c r="AC251"/>
  <c r="Z251"/>
  <c r="AG107"/>
  <c r="AC107"/>
  <c r="Z107"/>
  <c r="AG241"/>
  <c r="AC241"/>
  <c r="Z241"/>
  <c r="AG240"/>
  <c r="AC240"/>
  <c r="Z240"/>
  <c r="AG11"/>
  <c r="AC11"/>
  <c r="Z11"/>
  <c r="AG418"/>
  <c r="AC418"/>
  <c r="Z418"/>
  <c r="AG110"/>
  <c r="AC110"/>
  <c r="Z110"/>
  <c r="AG229"/>
  <c r="AC229"/>
  <c r="Z229"/>
  <c r="AG59"/>
  <c r="AC59"/>
  <c r="Z59"/>
  <c r="AG205"/>
  <c r="AC205"/>
  <c r="Z205"/>
  <c r="E5" i="7"/>
  <c r="E4"/>
  <c r="E3"/>
  <c r="AG236" i="1"/>
  <c r="AC236"/>
  <c r="Z236"/>
  <c r="AG257"/>
  <c r="AC257"/>
  <c r="Z257"/>
  <c r="AG211"/>
  <c r="AC211"/>
  <c r="Z211"/>
  <c r="AG250"/>
  <c r="AC250"/>
  <c r="Z250"/>
  <c r="B5" i="7"/>
  <c r="B4"/>
  <c r="B3"/>
  <c r="AG213" i="1"/>
  <c r="AC213"/>
  <c r="Z213"/>
  <c r="AG220"/>
  <c r="AC220"/>
  <c r="Z220"/>
  <c r="AG123"/>
  <c r="AC123"/>
  <c r="Z123"/>
  <c r="AG224"/>
  <c r="AC224"/>
  <c r="Z224"/>
  <c r="AG25"/>
  <c r="AC25"/>
  <c r="Z25"/>
  <c r="AG260"/>
  <c r="AC260"/>
  <c r="Z260"/>
  <c r="AG258"/>
  <c r="AC258"/>
  <c r="Z258"/>
  <c r="AG321"/>
  <c r="AC321"/>
  <c r="Z321"/>
  <c r="AG68"/>
  <c r="AC68"/>
  <c r="Z68"/>
  <c r="AG316"/>
  <c r="AC316"/>
  <c r="Z316"/>
  <c r="AG409"/>
  <c r="AC409"/>
  <c r="Z409"/>
  <c r="AG233"/>
  <c r="AC233"/>
  <c r="Z233"/>
  <c r="AJ17" l="1"/>
  <c r="U9" i="3"/>
  <c r="U6"/>
  <c r="AJ24" i="1"/>
  <c r="AJ246"/>
  <c r="AJ208"/>
  <c r="AJ50"/>
  <c r="AJ225"/>
  <c r="AJ49"/>
  <c r="AJ200"/>
  <c r="AJ19"/>
  <c r="AJ33"/>
  <c r="AJ264"/>
  <c r="AJ184"/>
  <c r="AJ97"/>
  <c r="AJ220"/>
  <c r="AJ214"/>
  <c r="AJ41"/>
  <c r="AJ217"/>
  <c r="AJ230"/>
  <c r="AJ45"/>
  <c r="AJ52"/>
  <c r="AJ84"/>
  <c r="AJ55"/>
  <c r="AJ99"/>
  <c r="AJ101"/>
  <c r="AJ42"/>
  <c r="AJ193"/>
  <c r="AJ238"/>
  <c r="AJ60"/>
  <c r="AJ211"/>
  <c r="AJ251"/>
  <c r="AJ202"/>
  <c r="AJ103"/>
  <c r="AJ35"/>
  <c r="AJ98"/>
  <c r="AJ36"/>
  <c r="AJ11"/>
  <c r="AJ43"/>
  <c r="AJ31"/>
  <c r="AJ201"/>
  <c r="AJ185"/>
  <c r="AJ32"/>
  <c r="AJ46"/>
  <c r="AJ219"/>
  <c r="AJ16"/>
  <c r="AJ58"/>
  <c r="AJ164"/>
  <c r="AJ54"/>
  <c r="AJ85"/>
  <c r="AJ15"/>
  <c r="AJ206"/>
  <c r="AJ241"/>
  <c r="AJ256"/>
  <c r="AJ260"/>
  <c r="AJ182"/>
  <c r="AJ192"/>
  <c r="AJ194"/>
  <c r="AJ156"/>
  <c r="AJ173"/>
  <c r="AJ174"/>
  <c r="AJ188"/>
  <c r="AJ178"/>
  <c r="AJ145"/>
  <c r="AJ190"/>
  <c r="AJ141"/>
  <c r="AJ170"/>
  <c r="AJ91"/>
  <c r="AJ166"/>
  <c r="AJ132"/>
  <c r="AJ89"/>
  <c r="AJ86"/>
  <c r="AJ271"/>
  <c r="AJ223"/>
  <c r="AJ253"/>
  <c r="AJ268"/>
  <c r="AJ210"/>
  <c r="AJ158"/>
  <c r="AJ257"/>
  <c r="AJ149"/>
  <c r="AJ113"/>
  <c r="AJ90"/>
  <c r="AJ59"/>
  <c r="AJ261"/>
  <c r="AJ203"/>
  <c r="AJ272"/>
  <c r="AJ235"/>
  <c r="AJ242"/>
  <c r="AJ142"/>
  <c r="AJ56"/>
  <c r="AJ236"/>
  <c r="AJ102"/>
  <c r="AJ232"/>
  <c r="AJ240"/>
  <c r="AJ191"/>
  <c r="AJ228"/>
  <c r="AJ216"/>
  <c r="AJ213"/>
  <c r="AJ244"/>
  <c r="AJ196"/>
  <c r="AJ44"/>
  <c r="AJ53"/>
  <c r="AJ163"/>
  <c r="AJ172"/>
  <c r="AJ143"/>
  <c r="AJ37"/>
  <c r="AJ215"/>
  <c r="AJ57"/>
  <c r="AJ186"/>
  <c r="AJ154"/>
  <c r="AJ153"/>
  <c r="AJ151"/>
  <c r="AJ148"/>
  <c r="AJ146"/>
  <c r="AJ105"/>
  <c r="AJ110"/>
  <c r="AJ177"/>
  <c r="AJ139"/>
  <c r="AJ155"/>
  <c r="AJ133"/>
  <c r="AJ100"/>
  <c r="AJ96"/>
  <c r="AJ14"/>
  <c r="AJ131"/>
  <c r="AJ87"/>
  <c r="AJ107"/>
  <c r="AJ262"/>
  <c r="AJ265"/>
  <c r="AJ258"/>
  <c r="AJ234"/>
  <c r="AJ273"/>
  <c r="AJ221"/>
  <c r="AJ252"/>
  <c r="AJ231"/>
  <c r="AJ243"/>
  <c r="AJ38"/>
  <c r="AJ8"/>
  <c r="AJ195"/>
  <c r="AJ199"/>
  <c r="AJ95"/>
  <c r="AJ135"/>
  <c r="AJ255"/>
  <c r="AJ259"/>
  <c r="AJ108"/>
  <c r="AJ274"/>
  <c r="AJ161"/>
  <c r="AJ10"/>
  <c r="AJ249"/>
  <c r="AJ204"/>
  <c r="AJ104"/>
  <c r="AJ171"/>
  <c r="AJ269"/>
  <c r="AJ175"/>
  <c r="AJ167"/>
  <c r="AJ160"/>
  <c r="AJ183"/>
  <c r="AJ176"/>
  <c r="AJ152"/>
  <c r="AJ168"/>
  <c r="AJ147"/>
  <c r="AJ144"/>
  <c r="AJ47"/>
  <c r="AJ136"/>
  <c r="AJ134"/>
  <c r="AJ92"/>
  <c r="AJ88"/>
  <c r="AJ227"/>
  <c r="AJ209"/>
  <c r="AJ218"/>
  <c r="AJ267"/>
  <c r="AJ7"/>
  <c r="AJ250"/>
  <c r="AJ312"/>
  <c r="AJ245"/>
  <c r="AJ5"/>
  <c r="AJ237"/>
  <c r="AJ212"/>
  <c r="AJ233"/>
  <c r="AJ20"/>
  <c r="AJ320"/>
  <c r="AJ254"/>
  <c r="AJ239"/>
  <c r="AJ226"/>
  <c r="AJ4"/>
  <c r="AJ229"/>
  <c r="AJ207"/>
  <c r="AJ224"/>
  <c r="AJ205"/>
  <c r="AJ187"/>
  <c r="AJ270"/>
  <c r="AJ179"/>
  <c r="AJ180"/>
  <c r="AJ197"/>
  <c r="AJ169"/>
  <c r="AJ181"/>
  <c r="AJ51"/>
  <c r="AJ198"/>
  <c r="AJ34"/>
  <c r="AJ157"/>
  <c r="AJ263"/>
  <c r="AJ150"/>
  <c r="AJ222"/>
  <c r="AJ48"/>
  <c r="AJ159"/>
  <c r="AJ189"/>
  <c r="AJ140"/>
  <c r="AJ18"/>
  <c r="AJ138"/>
  <c r="AJ137"/>
  <c r="AJ165"/>
  <c r="AJ162"/>
  <c r="AJ39"/>
  <c r="AJ94"/>
  <c r="AJ93"/>
  <c r="AJ3"/>
  <c r="AJ373"/>
  <c r="AJ25"/>
  <c r="AJ123"/>
  <c r="AJ317"/>
  <c r="AJ374"/>
  <c r="AJ376"/>
  <c r="AJ294"/>
  <c r="AJ68"/>
  <c r="AJ79"/>
  <c r="AJ329"/>
  <c r="AJ407"/>
  <c r="AJ409"/>
  <c r="AJ326"/>
  <c r="AJ76"/>
  <c r="AJ21"/>
  <c r="AJ321"/>
  <c r="AJ314"/>
  <c r="AJ316"/>
  <c r="AJ303"/>
  <c r="AJ306"/>
  <c r="AJ9"/>
  <c r="AJ111"/>
  <c r="AJ72"/>
  <c r="AJ301"/>
  <c r="AJ275"/>
  <c r="AJ276"/>
  <c r="AJ285"/>
  <c r="AJ286"/>
  <c r="AJ307"/>
  <c r="AJ309"/>
  <c r="AJ116"/>
  <c r="AJ119"/>
  <c r="B60" i="3"/>
  <c r="AJ339" i="1"/>
  <c r="B59" i="3"/>
  <c r="U11"/>
  <c r="U7"/>
  <c r="U5"/>
  <c r="U10"/>
  <c r="U8"/>
  <c r="U22"/>
  <c r="U49"/>
  <c r="U21"/>
  <c r="B51"/>
  <c r="B58"/>
  <c r="B57"/>
  <c r="B56"/>
  <c r="B55"/>
  <c r="B54"/>
  <c r="B52"/>
  <c r="B53"/>
  <c r="C19" i="2"/>
  <c r="C30"/>
  <c r="C20"/>
  <c r="C29"/>
  <c r="C28"/>
  <c r="C11" i="4"/>
  <c r="C4"/>
  <c r="AG237" i="1"/>
  <c r="AC237"/>
  <c r="Z237"/>
  <c r="AG4"/>
  <c r="AC4"/>
  <c r="Z4"/>
  <c r="AG249"/>
  <c r="AC249"/>
  <c r="Z249"/>
  <c r="AG222"/>
  <c r="AC222"/>
  <c r="Z222"/>
  <c r="AG228"/>
  <c r="AC228"/>
  <c r="Z228"/>
  <c r="AG5"/>
  <c r="AC5"/>
  <c r="Z5"/>
  <c r="AG256"/>
  <c r="AC256"/>
  <c r="Z256"/>
  <c r="AG219"/>
  <c r="AC219"/>
  <c r="Z219"/>
  <c r="AG52"/>
  <c r="AC52"/>
  <c r="Z52"/>
  <c r="AG214"/>
  <c r="AC214"/>
  <c r="Z214"/>
  <c r="AG221"/>
  <c r="AC221"/>
  <c r="Z221"/>
  <c r="AG232"/>
  <c r="AC232"/>
  <c r="Z232"/>
  <c r="AG234"/>
  <c r="AC234"/>
  <c r="Z234"/>
  <c r="AG116"/>
  <c r="AC116"/>
  <c r="Z116"/>
  <c r="AG301"/>
  <c r="AC301"/>
  <c r="Z301"/>
  <c r="AG216"/>
  <c r="AC216"/>
  <c r="Z216"/>
  <c r="AG242"/>
  <c r="AC242"/>
  <c r="Z242"/>
  <c r="AG231"/>
  <c r="AC231"/>
  <c r="Z231"/>
  <c r="AG277"/>
  <c r="AC277"/>
  <c r="Z277"/>
  <c r="AG243"/>
  <c r="AC243"/>
  <c r="Z243"/>
  <c r="AG204"/>
  <c r="AC204"/>
  <c r="Z204"/>
  <c r="AG195"/>
  <c r="AC195"/>
  <c r="Z195"/>
  <c r="AG186"/>
  <c r="AC186"/>
  <c r="Z186"/>
  <c r="AG193"/>
  <c r="AC193"/>
  <c r="Z193"/>
  <c r="AG210"/>
  <c r="AC210"/>
  <c r="Z210"/>
  <c r="AG202"/>
  <c r="AC202"/>
  <c r="Z202"/>
  <c r="AG264"/>
  <c r="AC264"/>
  <c r="Z264"/>
  <c r="AG330"/>
  <c r="AC330"/>
  <c r="Z330"/>
  <c r="AG203"/>
  <c r="AC203"/>
  <c r="Z203"/>
  <c r="AG286"/>
  <c r="AC286"/>
  <c r="Z286"/>
  <c r="AG9"/>
  <c r="AC9"/>
  <c r="Z9"/>
  <c r="AG230"/>
  <c r="AC230"/>
  <c r="Z230"/>
  <c r="AG6"/>
  <c r="AC6"/>
  <c r="Z6"/>
  <c r="AG259"/>
  <c r="AC259"/>
  <c r="Z259"/>
  <c r="AG325"/>
  <c r="AC325"/>
  <c r="Z325"/>
  <c r="AG218"/>
  <c r="AC218"/>
  <c r="Z218"/>
  <c r="AG187"/>
  <c r="AC187"/>
  <c r="Z187"/>
  <c r="AG208"/>
  <c r="AC208"/>
  <c r="Z208"/>
  <c r="AG166"/>
  <c r="AC166"/>
  <c r="Z166"/>
  <c r="AG215"/>
  <c r="AC215"/>
  <c r="Z215"/>
  <c r="AG227"/>
  <c r="AC227"/>
  <c r="Z227"/>
  <c r="AG209"/>
  <c r="AC209"/>
  <c r="Z209"/>
  <c r="AG44"/>
  <c r="AC44"/>
  <c r="Z44"/>
  <c r="AG21"/>
  <c r="AC21"/>
  <c r="Z21"/>
  <c r="AG207"/>
  <c r="AC207"/>
  <c r="Z207"/>
  <c r="AG206"/>
  <c r="AC206"/>
  <c r="Z206"/>
  <c r="AG46"/>
  <c r="AC46"/>
  <c r="Z46"/>
  <c r="AG246"/>
  <c r="AC246"/>
  <c r="Z246"/>
  <c r="AG189"/>
  <c r="AC189"/>
  <c r="Z189"/>
  <c r="AG105"/>
  <c r="AC105"/>
  <c r="Z105"/>
  <c r="AG103"/>
  <c r="AC103"/>
  <c r="Z103"/>
  <c r="AG198"/>
  <c r="AC198"/>
  <c r="Z198"/>
  <c r="AG373"/>
  <c r="AC373"/>
  <c r="Z373"/>
  <c r="AG212"/>
  <c r="AC212"/>
  <c r="Z212"/>
  <c r="AG197"/>
  <c r="AC197"/>
  <c r="Z197"/>
  <c r="AG45"/>
  <c r="AC45"/>
  <c r="Z45"/>
  <c r="U12" i="3" l="1"/>
  <c r="U23"/>
  <c r="B61"/>
  <c r="AG226" i="1"/>
  <c r="AC226"/>
  <c r="Z226"/>
  <c r="AG56"/>
  <c r="AC56"/>
  <c r="Z56"/>
  <c r="AG55"/>
  <c r="AC55"/>
  <c r="Z55"/>
  <c r="AG77"/>
  <c r="AC77"/>
  <c r="Z77"/>
  <c r="AG317"/>
  <c r="AC317"/>
  <c r="Z317"/>
  <c r="AG104"/>
  <c r="AC104"/>
  <c r="Z104"/>
  <c r="AG32"/>
  <c r="AC32"/>
  <c r="Z32"/>
  <c r="AG54"/>
  <c r="AC54"/>
  <c r="Z54"/>
  <c r="AG181"/>
  <c r="AC181"/>
  <c r="Z181"/>
  <c r="AG173"/>
  <c r="AC173"/>
  <c r="Z173"/>
  <c r="AG201"/>
  <c r="AC201"/>
  <c r="Z201"/>
  <c r="AG53"/>
  <c r="AC53"/>
  <c r="Z53"/>
  <c r="AG182"/>
  <c r="AC182"/>
  <c r="Z182"/>
  <c r="AG223"/>
  <c r="AC223"/>
  <c r="Z223"/>
  <c r="AG51"/>
  <c r="AC51"/>
  <c r="Z51"/>
  <c r="AG165" l="1"/>
  <c r="AC165"/>
  <c r="Z165"/>
  <c r="AG199"/>
  <c r="AC199"/>
  <c r="Z199"/>
  <c r="AG43"/>
  <c r="AC43"/>
  <c r="Z43"/>
  <c r="AG50"/>
  <c r="AC50"/>
  <c r="Z50"/>
  <c r="AG174"/>
  <c r="AC174"/>
  <c r="Z174"/>
  <c r="AG41"/>
  <c r="AC41"/>
  <c r="Z41"/>
  <c r="AG177"/>
  <c r="AC177"/>
  <c r="Z177"/>
  <c r="AG184" l="1"/>
  <c r="AC184"/>
  <c r="Z184"/>
  <c r="AG145"/>
  <c r="AC145"/>
  <c r="Z145"/>
  <c r="AG171" l="1"/>
  <c r="AC171"/>
  <c r="Z171"/>
  <c r="AG98"/>
  <c r="AC98"/>
  <c r="Z98"/>
  <c r="AG96"/>
  <c r="AC96"/>
  <c r="Z96"/>
  <c r="AG36" l="1"/>
  <c r="AC36"/>
  <c r="Z36"/>
  <c r="AC183" l="1"/>
  <c r="Z183"/>
  <c r="AG183"/>
  <c r="AG160"/>
  <c r="AC160"/>
  <c r="Z160"/>
  <c r="AG194" l="1"/>
  <c r="AC194"/>
  <c r="Z194"/>
  <c r="AG99"/>
  <c r="AC99"/>
  <c r="Z99"/>
  <c r="AG102"/>
  <c r="AC102"/>
  <c r="Z102"/>
  <c r="AG169"/>
  <c r="AC169"/>
  <c r="Z169"/>
  <c r="AG106"/>
  <c r="AC106"/>
  <c r="Z106"/>
  <c r="AG39"/>
  <c r="AC39"/>
  <c r="Z39"/>
  <c r="AG200"/>
  <c r="AC200"/>
  <c r="Z200"/>
  <c r="AG162"/>
  <c r="AC162"/>
  <c r="Z162"/>
  <c r="AG196"/>
  <c r="AC196"/>
  <c r="Z196"/>
  <c r="AG217"/>
  <c r="AC217"/>
  <c r="Z217"/>
  <c r="AG35"/>
  <c r="AC35"/>
  <c r="Z35"/>
  <c r="AG265"/>
  <c r="AC265"/>
  <c r="Z265"/>
  <c r="AG34"/>
  <c r="AC34"/>
  <c r="Z34"/>
  <c r="AG58"/>
  <c r="AC58"/>
  <c r="Z58"/>
  <c r="AG159"/>
  <c r="AC159"/>
  <c r="Z159"/>
  <c r="AG185"/>
  <c r="AC185"/>
  <c r="Z185"/>
  <c r="AG158"/>
  <c r="AC158"/>
  <c r="Z158"/>
  <c r="AG188"/>
  <c r="AC188"/>
  <c r="Z188"/>
  <c r="AG33"/>
  <c r="AC33"/>
  <c r="Z33"/>
  <c r="AG178"/>
  <c r="AC178"/>
  <c r="Z178"/>
  <c r="AG175"/>
  <c r="AC175"/>
  <c r="Z175"/>
  <c r="AG156"/>
  <c r="AC156"/>
  <c r="Z156"/>
  <c r="AG268"/>
  <c r="AC268"/>
  <c r="Z268"/>
  <c r="AG154"/>
  <c r="AC154"/>
  <c r="Z154"/>
  <c r="AG176"/>
  <c r="AC176"/>
  <c r="Z176"/>
  <c r="AG155"/>
  <c r="AC155"/>
  <c r="Z155"/>
  <c r="AG152"/>
  <c r="AC152"/>
  <c r="Z152"/>
  <c r="AG20"/>
  <c r="AC20"/>
  <c r="Z20"/>
  <c r="AG190"/>
  <c r="AC190"/>
  <c r="Z190"/>
  <c r="AC153"/>
  <c r="Z153"/>
  <c r="AG153"/>
  <c r="AG225"/>
  <c r="AC225"/>
  <c r="Z225"/>
  <c r="AG151"/>
  <c r="AC151"/>
  <c r="Z151"/>
  <c r="AG180"/>
  <c r="AC180"/>
  <c r="Z180"/>
  <c r="AG150"/>
  <c r="AC150"/>
  <c r="Z150"/>
  <c r="AG49"/>
  <c r="AC49"/>
  <c r="Z49"/>
  <c r="AC170"/>
  <c r="Z170"/>
  <c r="AG170"/>
  <c r="AG86"/>
  <c r="AC86"/>
  <c r="Z86"/>
  <c r="AG148"/>
  <c r="AC148"/>
  <c r="Z148"/>
  <c r="AG47"/>
  <c r="AC47"/>
  <c r="Z47"/>
  <c r="AG149"/>
  <c r="AC149"/>
  <c r="Z149"/>
  <c r="AG85"/>
  <c r="AC85"/>
  <c r="Z85"/>
  <c r="AG122"/>
  <c r="AC122"/>
  <c r="Z122"/>
  <c r="AC161"/>
  <c r="Z161"/>
  <c r="AG161"/>
  <c r="AG31"/>
  <c r="AC31"/>
  <c r="Z31"/>
  <c r="AG147"/>
  <c r="AC147"/>
  <c r="Z147"/>
  <c r="AG84"/>
  <c r="AC84"/>
  <c r="Z84"/>
  <c r="AG191"/>
  <c r="AC191"/>
  <c r="Z191"/>
  <c r="AG146"/>
  <c r="AC146"/>
  <c r="Z146"/>
  <c r="AG192"/>
  <c r="AC192"/>
  <c r="Z192"/>
  <c r="AG144"/>
  <c r="AC144"/>
  <c r="Z144"/>
  <c r="AG134"/>
  <c r="AC134"/>
  <c r="Z134"/>
  <c r="AG48"/>
  <c r="AC48"/>
  <c r="Z48"/>
  <c r="AG143"/>
  <c r="AC143"/>
  <c r="Z143"/>
  <c r="AG179"/>
  <c r="AC179"/>
  <c r="Z179"/>
  <c r="AG142"/>
  <c r="AC142"/>
  <c r="Z142"/>
  <c r="AG3"/>
  <c r="AC3"/>
  <c r="Z3"/>
  <c r="AG172"/>
  <c r="AC172"/>
  <c r="Z172"/>
  <c r="AG141"/>
  <c r="AC141"/>
  <c r="Z141"/>
  <c r="AG19"/>
  <c r="AC19"/>
  <c r="Z19"/>
  <c r="AG100"/>
  <c r="AC100"/>
  <c r="Z100"/>
  <c r="AC92"/>
  <c r="Z92"/>
  <c r="AG92"/>
  <c r="AC37"/>
  <c r="Z37"/>
  <c r="AG37"/>
  <c r="AG140"/>
  <c r="AC140"/>
  <c r="Z140"/>
  <c r="AG18"/>
  <c r="AC18"/>
  <c r="Z18"/>
  <c r="AG97"/>
  <c r="AC97"/>
  <c r="Z97"/>
  <c r="AC157"/>
  <c r="Z157"/>
  <c r="AG157"/>
  <c r="AG139"/>
  <c r="AC139"/>
  <c r="Z139"/>
  <c r="AG17"/>
  <c r="AC17"/>
  <c r="Z17"/>
  <c r="AG168"/>
  <c r="AC168"/>
  <c r="Z168"/>
  <c r="AG136"/>
  <c r="AC136"/>
  <c r="Z136"/>
  <c r="AG167"/>
  <c r="AC167"/>
  <c r="Z167"/>
  <c r="AG138"/>
  <c r="AC138"/>
  <c r="Z138"/>
  <c r="AG16"/>
  <c r="AC16"/>
  <c r="Z16"/>
  <c r="AG101"/>
  <c r="AC101"/>
  <c r="Z101"/>
  <c r="AG164"/>
  <c r="AC164"/>
  <c r="Z164"/>
  <c r="AG30"/>
  <c r="AC30"/>
  <c r="Z30"/>
  <c r="AG137"/>
  <c r="AC137"/>
  <c r="Z137"/>
  <c r="AG42"/>
  <c r="AC42"/>
  <c r="Z42"/>
  <c r="AG40"/>
  <c r="AC40"/>
  <c r="Z40"/>
  <c r="AG38"/>
  <c r="AC38"/>
  <c r="Z38"/>
  <c r="AG135"/>
  <c r="AC135"/>
  <c r="Z135"/>
  <c r="AG15" l="1"/>
  <c r="AC15"/>
  <c r="Z15"/>
  <c r="AG95"/>
  <c r="AC95"/>
  <c r="Z95"/>
  <c r="AG91"/>
  <c r="AC91"/>
  <c r="Z91"/>
  <c r="AG90"/>
  <c r="AC90"/>
  <c r="Z90"/>
  <c r="AG14"/>
  <c r="AC14"/>
  <c r="Z14"/>
  <c r="AG94"/>
  <c r="AC94"/>
  <c r="Z94"/>
  <c r="AG89"/>
  <c r="AC89"/>
  <c r="Z89"/>
  <c r="AC87"/>
  <c r="Z87"/>
  <c r="AG87"/>
  <c r="AG133"/>
  <c r="AC133"/>
  <c r="Z133"/>
  <c r="AG24"/>
  <c r="AC24"/>
  <c r="Z24"/>
  <c r="AG163"/>
  <c r="AC163"/>
  <c r="Z163"/>
  <c r="AG93"/>
  <c r="AC93"/>
  <c r="Z93"/>
  <c r="AG88"/>
  <c r="AC88"/>
  <c r="Z88"/>
  <c r="AG132"/>
  <c r="AC132"/>
  <c r="Z132"/>
  <c r="AG131" l="1"/>
  <c r="N7" i="3" l="1"/>
  <c r="A22"/>
  <c r="N6"/>
  <c r="A20"/>
  <c r="H3" i="18"/>
  <c r="E3"/>
  <c r="B3"/>
  <c r="B2" i="17"/>
  <c r="B2" i="19"/>
  <c r="C2" i="14"/>
  <c r="N5" i="3" l="1"/>
  <c r="A120"/>
  <c r="A119"/>
  <c r="A118"/>
  <c r="A121"/>
  <c r="A122" l="1"/>
  <c r="B121" s="1"/>
  <c r="B120" l="1"/>
  <c r="B118"/>
  <c r="B119"/>
  <c r="C22" i="15" l="1"/>
  <c r="C21"/>
  <c r="C20"/>
  <c r="C19"/>
  <c r="C18"/>
  <c r="C17"/>
  <c r="C16"/>
  <c r="C1"/>
  <c r="C23" l="1"/>
  <c r="A82" i="3" l="1"/>
  <c r="A81"/>
  <c r="A80"/>
  <c r="A79"/>
  <c r="C19" i="4"/>
  <c r="C18"/>
  <c r="C17"/>
  <c r="C16"/>
  <c r="C20" l="1"/>
  <c r="A23" i="3"/>
  <c r="A42"/>
  <c r="A35"/>
  <c r="A41"/>
  <c r="A33"/>
  <c r="A40"/>
  <c r="A21"/>
  <c r="A38"/>
  <c r="A24"/>
  <c r="A34"/>
  <c r="A39"/>
  <c r="A37"/>
  <c r="A36"/>
  <c r="C11" i="2" l="1"/>
  <c r="AD131" i="1" l="1"/>
  <c r="A83" i="3" l="1"/>
  <c r="B80" l="1"/>
  <c r="B81"/>
  <c r="B79"/>
  <c r="B82"/>
  <c r="AC131" i="1"/>
  <c r="B5" i="3" l="1"/>
  <c r="B16" s="1"/>
  <c r="C9" i="15"/>
  <c r="C33"/>
  <c r="C7"/>
  <c r="C31"/>
  <c r="C8"/>
  <c r="C32"/>
  <c r="C28"/>
  <c r="C4"/>
  <c r="C29"/>
  <c r="C5"/>
  <c r="C10"/>
  <c r="C34"/>
  <c r="C6"/>
  <c r="C30"/>
  <c r="C27" i="4"/>
  <c r="C26"/>
  <c r="C24"/>
  <c r="C25"/>
  <c r="C5"/>
  <c r="C6"/>
  <c r="C7"/>
  <c r="C15" i="2"/>
  <c r="C25"/>
  <c r="C27"/>
  <c r="C26"/>
  <c r="C18"/>
  <c r="C17"/>
  <c r="C16"/>
  <c r="C31" l="1"/>
  <c r="C21"/>
  <c r="C28" i="4"/>
  <c r="C8"/>
  <c r="C35" i="15"/>
  <c r="C12"/>
  <c r="A43" i="3"/>
  <c r="B41" l="1"/>
  <c r="B35"/>
  <c r="B23"/>
  <c r="B39"/>
  <c r="B24"/>
  <c r="B42"/>
  <c r="B38"/>
  <c r="B34"/>
  <c r="B36"/>
  <c r="B40"/>
  <c r="B37"/>
  <c r="B33"/>
  <c r="B21"/>
  <c r="B22"/>
  <c r="B20"/>
  <c r="P12" i="12"/>
  <c r="O12"/>
  <c r="Z131" i="1"/>
  <c r="C1" i="4"/>
  <c r="B43" i="3" l="1"/>
  <c r="N9" i="12"/>
  <c r="N8"/>
  <c r="N7"/>
  <c r="N6"/>
  <c r="N5"/>
  <c r="N4"/>
  <c r="N21"/>
  <c r="L5"/>
  <c r="C1" i="2"/>
  <c r="N3" i="12"/>
  <c r="N2"/>
  <c r="L2"/>
  <c r="N10" l="1"/>
  <c r="C24" i="15" l="1"/>
  <c r="C49" i="2"/>
</calcChain>
</file>

<file path=xl/sharedStrings.xml><?xml version="1.0" encoding="utf-8"?>
<sst xmlns="http://schemas.openxmlformats.org/spreadsheetml/2006/main" count="8276" uniqueCount="2684">
  <si>
    <t>FECHA</t>
  </si>
  <si>
    <t>EXPTE</t>
  </si>
  <si>
    <t>CARATULA</t>
  </si>
  <si>
    <t>RESPONSABLE</t>
  </si>
  <si>
    <t>FECHA DE AUDIENCIA</t>
  </si>
  <si>
    <t>HORA</t>
  </si>
  <si>
    <t>Dr. Cervantes</t>
  </si>
  <si>
    <t>Dr. Colombo</t>
  </si>
  <si>
    <t>Dr. Quiroga</t>
  </si>
  <si>
    <t>Dr. Rodriguez Pipino</t>
  </si>
  <si>
    <t>Dr. Moreno</t>
  </si>
  <si>
    <t>Dr. Pastrana</t>
  </si>
  <si>
    <t>Dra. Lamas</t>
  </si>
  <si>
    <t xml:space="preserve"> 08:00</t>
  </si>
  <si>
    <t xml:space="preserve"> 13:00</t>
  </si>
  <si>
    <t xml:space="preserve"> 09:00</t>
  </si>
  <si>
    <t xml:space="preserve"> 11:00</t>
  </si>
  <si>
    <t>Dra. Puertas</t>
  </si>
  <si>
    <t>FISCALIA INTERVINIIENTE</t>
  </si>
  <si>
    <t>DEFENSA INTERVINIENTE</t>
  </si>
  <si>
    <t>SALA DE AUDIENCIA</t>
  </si>
  <si>
    <t>Juicio Abreviado</t>
  </si>
  <si>
    <t>Prisión Preventiva</t>
  </si>
  <si>
    <t xml:space="preserve">Riccio, Mario Alberto por Estafas Reiteradas (06 hechos) y Coaccion (01 hecho), Todo en Concurso Real, en perjuicio de Yurquina, Orlando Dino; Campos Rosario Maria; Serrudo, Eleonora Graciela </t>
  </si>
  <si>
    <t>182808/23</t>
  </si>
  <si>
    <t>Dr. Aramayo Vazquez (particular)</t>
  </si>
  <si>
    <t>Fisc. Delitos. Econ. Dra. Salinas</t>
  </si>
  <si>
    <t>Dr.Teseyra (Particular)</t>
  </si>
  <si>
    <t>Fiscal Nº 6 Dr. Adet</t>
  </si>
  <si>
    <t>Dra. Nallim</t>
  </si>
  <si>
    <t>Def. Of. 3 - Karina Peralta</t>
  </si>
  <si>
    <t>Fiscal Penal VFyG Nº 1 - Dra. Geria</t>
  </si>
  <si>
    <t>Dr. Ortin Fernandez (particular)</t>
  </si>
  <si>
    <t>Dra. Volante (Dr.Robbio)</t>
  </si>
  <si>
    <t>Fiscal Torres Rubelt - UFINAR</t>
  </si>
  <si>
    <t>Fiscal penal Nº 3 - Dr. Cordoba</t>
  </si>
  <si>
    <t>Dra. Victoria Flores (particular)</t>
  </si>
  <si>
    <t>183183/23</t>
  </si>
  <si>
    <t>183152/23</t>
  </si>
  <si>
    <t xml:space="preserve">  08:00</t>
  </si>
  <si>
    <t>Dra. Volante/Robblo</t>
  </si>
  <si>
    <t>CANTIDAD</t>
  </si>
  <si>
    <t>Def. Of. 4 - Walter Clark</t>
  </si>
  <si>
    <t xml:space="preserve">Fiscal Penal Nº 2 - Ramos Ossorio </t>
  </si>
  <si>
    <t>Dr. Nahuel Chilaver - Particular</t>
  </si>
  <si>
    <t>TOTAL</t>
  </si>
  <si>
    <t>TOTAL AUD. REALIZADAS</t>
  </si>
  <si>
    <t>TOTAL RESTANTES</t>
  </si>
  <si>
    <t>183218/23</t>
  </si>
  <si>
    <t>Fiscal Penal de Cerrillos - Dr. Portal</t>
  </si>
  <si>
    <t>Sajama Facundo Hernan por Desobediencia Judicial y Amenazas en Perj. De Sajama Silvia Andrea</t>
  </si>
  <si>
    <t>JUEZ</t>
  </si>
  <si>
    <t>TOTAL AUD. ASIGNADAS</t>
  </si>
  <si>
    <t>CANTIDAD RESTANTE POR RESPONSABLE</t>
  </si>
  <si>
    <t xml:space="preserve">Fiscal Penal Gral. Güemes - Dr. Vilar Rey </t>
  </si>
  <si>
    <t>183108/23</t>
  </si>
  <si>
    <t>GUTIERREZ Raul Ernesto por Lesiones en Perj. Soma Mariana</t>
  </si>
  <si>
    <t>Dr. Cristian de la Rosa (Particular)</t>
  </si>
  <si>
    <t>183283/23</t>
  </si>
  <si>
    <t>TOLEDO ALARCON Friad Yael por Robo en Perj. De Duran Geremi Benajamin</t>
  </si>
  <si>
    <t xml:space="preserve">Causa ya Tratada. El Imputado se encuentra en Libertad en razon de ello  se devuelve la causa a Garantias 4 </t>
  </si>
  <si>
    <t>AUDIENCIAS - CANTIDAD TOTAL ASIGNADA POR JUEZ</t>
  </si>
  <si>
    <t>AUDIENCIAS - RESTAN POR RESOLVER POR JUEZ</t>
  </si>
  <si>
    <t>AUDIENCIAS RESUELTAS POR JUEZ</t>
  </si>
  <si>
    <t>CANTIDAD TOTAL DE EXPEDIENTES ASIGNADOS POR RESPONSABLES</t>
  </si>
  <si>
    <t>CANTIDAD DE EXPEDIENTES REALIZADOS POR RESPONSABLES</t>
  </si>
  <si>
    <t>Devueltas o Rechazadas (sin Asignar)</t>
  </si>
  <si>
    <t>AUDIENCIAS SIN ASIGNAR</t>
  </si>
  <si>
    <t>Rechazadas o Devueltas</t>
  </si>
  <si>
    <t>CONTADOR DE AUDIENCIA NO RELIZADAS</t>
  </si>
  <si>
    <t>Total Sin Audiencia Fijadas</t>
  </si>
  <si>
    <t>MARQUEZ Daniel Alejandro por Amenazas en Perj. De Aguilar Vera Guillermo Nicolas</t>
  </si>
  <si>
    <t>183213/23</t>
  </si>
  <si>
    <t>183086/23</t>
  </si>
  <si>
    <t>Dra. Godoy - Particular</t>
  </si>
  <si>
    <t>DANA, Yamila Elizabeth por Tenencia de Estupefacientes con Fines de Comercializacion</t>
  </si>
  <si>
    <t>El imputado se encuentra en Libertad por tal Razon se devuele la causa al Juzgado de Origen</t>
  </si>
  <si>
    <t>183135/23</t>
  </si>
  <si>
    <t xml:space="preserve">SANCHEZ Gabriel Alejandro y SAAVEDRA Ivana Carolina por Robo y Violacion de Domicilio </t>
  </si>
  <si>
    <t>Campo, Vanina por Hurto Simple y Estafa</t>
  </si>
  <si>
    <t>Se dio la Libertad a la Imputada antes del Dia de la Audiencia</t>
  </si>
  <si>
    <t>ESTADISTICAS AL DIA:</t>
  </si>
  <si>
    <t>El juzgado de origen garantìas 4, previo a solicitud de preisión preventiva tenía  una propuesta de juicio abreviado en razón por la cual el juzgado de origen fija audiencia para el 30/03/2023 , dejándose constancia que la causa se llevará por dicho tribunal según lo manifestado por el secretario Solá. La causa fìsica nunca ingreso a la OFIJU</t>
  </si>
  <si>
    <t>No se asignó responsable OFIJU</t>
  </si>
  <si>
    <t>Gonza, Dardo Fernando por lesiones leves agravadas por haber existido relacion de pareja y haber mediado violencia de genero y amenazas calificadas por el uso de armas, todo en concurso real.</t>
  </si>
  <si>
    <t>183247/23</t>
  </si>
  <si>
    <t>Dr. Casimiro Alonso Leonel</t>
  </si>
  <si>
    <t>Fiscal Penal de Cachi</t>
  </si>
  <si>
    <t>Se devuelve al Juzgado de Gar 4 por solicitud mediante oficio por haber pedido de juicio abreviado posterior a la fijacion de audiencia.</t>
  </si>
  <si>
    <t>JUZGADO ORIGEN</t>
  </si>
  <si>
    <t>FECHA SORTEADA</t>
  </si>
  <si>
    <t>JUEZ ACTUANTE</t>
  </si>
  <si>
    <t>JUZGADO</t>
  </si>
  <si>
    <t>FISCALIA</t>
  </si>
  <si>
    <t>DEFENSOR</t>
  </si>
  <si>
    <t>MOTIVO</t>
  </si>
  <si>
    <t>Dra. Chanchorra</t>
  </si>
  <si>
    <t>UFINAR - Dr. Lopez Soto</t>
  </si>
  <si>
    <t>Prision preventiva</t>
  </si>
  <si>
    <t>Suspendida por enfermedad del imputado (internado) - causa remitida al Juzgado de origen con fecha 30/03/2023 hasta que el mismo sea dado de alta y se pueda fijar nueva fecha.</t>
  </si>
  <si>
    <t>UFINAR - Dr. Torres Rubelt</t>
  </si>
  <si>
    <t>Sin asignar</t>
  </si>
  <si>
    <t>Vinculada a exp 82904/23 Guaymas, Andrea Gimena por Robo Agravado por el Uso de Arma en Perj. Estrada Elias Alberto</t>
  </si>
  <si>
    <t>suspendida por pedido del juzgado de garantias que resolvio arresto domicliario</t>
  </si>
  <si>
    <t>Carrazana, Darío Daniel - Carrazana, Marcos Exequiel por robo simple</t>
  </si>
  <si>
    <t>183173/23</t>
  </si>
  <si>
    <t>Sin asignar responsable</t>
  </si>
  <si>
    <t>Def. Inc. Nº 6 Dra. Ibarguren</t>
  </si>
  <si>
    <t>HECHAS O NO</t>
  </si>
  <si>
    <t>Controlar Oficio - Expediente entregado a Dra. Ana Irazusta para incorporación de decreto por abogado particular en fecha 10/04/2023 - con fecha 21/4/2023 el juzgado de origen informa mediante oficio que en fecha 19/4/23 resolvió juicio abreviado en las presentes actuaciones, razón por la cual las actuaciones quedaron fisicamente en el juzgado de origen</t>
  </si>
  <si>
    <t>A.I. Nº 2 - Dr. Flores Larsen</t>
  </si>
  <si>
    <t xml:space="preserve"> </t>
  </si>
  <si>
    <t>Dr. Alonso Casimiro (particular)</t>
  </si>
  <si>
    <t>107930/13</t>
  </si>
  <si>
    <t>GAP 1 - Dr. Leandro Flores</t>
  </si>
  <si>
    <t>DOP (interino) Dr. Jaime Lopez Figueroa</t>
  </si>
  <si>
    <t xml:space="preserve">DOP 17 - Dr. Genovese </t>
  </si>
  <si>
    <t>DOP 2 - Dra. Liliana Linares Moron</t>
  </si>
  <si>
    <t>DOP 3 - Dra. Karina Peralta</t>
  </si>
  <si>
    <t>DOP 4 - Dr. Walter Clark</t>
  </si>
  <si>
    <t xml:space="preserve">Dr. Agüero Molina (particular) </t>
  </si>
  <si>
    <t>Dr. Daniel Arnedo (particular)</t>
  </si>
  <si>
    <t>Dr. Diaz Escueto (particular)</t>
  </si>
  <si>
    <t>Dr. Esteban Nieva Haro (particular)</t>
  </si>
  <si>
    <t>Dr. Jose Ricardo Belbruno (particular)</t>
  </si>
  <si>
    <t>Dr. Luciano Romano (particular)</t>
  </si>
  <si>
    <t>Dr. Romano (particular)</t>
  </si>
  <si>
    <t>Dr.Teseyra (particular)</t>
  </si>
  <si>
    <t>Dra. Edith Karina Ortiz (particular)</t>
  </si>
  <si>
    <t>Dra. Rosa Susana Maidana (particular)</t>
  </si>
  <si>
    <t>Dra. Ximena Fernanda Chavez (particular)</t>
  </si>
  <si>
    <t>184159/23</t>
  </si>
  <si>
    <t>DOP 15 - Dr. Bonetto</t>
  </si>
  <si>
    <t>DOP 16 - Dra. Carrizo Reyes</t>
  </si>
  <si>
    <t>DOP 6 - Lopez Figueroa, Benjamìn</t>
  </si>
  <si>
    <t>DOP 9 - Dr. Sangari</t>
  </si>
  <si>
    <t>DOP 5 - Marta Lopez</t>
  </si>
  <si>
    <t>DOP 16 - Dra Ortiz Sandra (interina)</t>
  </si>
  <si>
    <t xml:space="preserve"> 184172/23</t>
  </si>
  <si>
    <t>184174/23</t>
  </si>
  <si>
    <t>DOP 11 - Dr. Pedro Curotto</t>
  </si>
  <si>
    <t>DOP 10 - Dra.Bohuid</t>
  </si>
  <si>
    <t>MINISTERIO PUBLICO FISCAL</t>
  </si>
  <si>
    <t>DEFENSORIA PUBLICA</t>
  </si>
  <si>
    <t>ABOGADO PARTICULAR</t>
  </si>
  <si>
    <t>EXPEDIENTE</t>
  </si>
  <si>
    <t>TECNICO OFIJU</t>
  </si>
  <si>
    <t>MODALIDAD</t>
  </si>
  <si>
    <t>HORARIOS Y MODALIDAD</t>
  </si>
  <si>
    <t>DURACION REAL DE LA AUDIENCIA (en minutos)</t>
  </si>
  <si>
    <t>NIEVA</t>
  </si>
  <si>
    <t>PRESENCIAL</t>
  </si>
  <si>
    <t>-</t>
  </si>
  <si>
    <t>DR. RODRIGUEZ PIPINO</t>
  </si>
  <si>
    <t>GAR3</t>
  </si>
  <si>
    <t>MOHAMAD</t>
  </si>
  <si>
    <t xml:space="preserve"> 08:15</t>
  </si>
  <si>
    <t xml:space="preserve"> 07:50</t>
  </si>
  <si>
    <t>IMPUTADO</t>
  </si>
  <si>
    <t xml:space="preserve">VICTIMA </t>
  </si>
  <si>
    <t>REMOTO - UC1</t>
  </si>
  <si>
    <t xml:space="preserve"> 07:55</t>
  </si>
  <si>
    <t xml:space="preserve"> - </t>
  </si>
  <si>
    <t xml:space="preserve"> -</t>
  </si>
  <si>
    <t>JUZGADO DE AUDIENCIA</t>
  </si>
  <si>
    <t>DR. PASTRANA</t>
  </si>
  <si>
    <t xml:space="preserve"> 08:10</t>
  </si>
  <si>
    <t>GAR8</t>
  </si>
  <si>
    <t>184206/23</t>
  </si>
  <si>
    <t>DOP 12 - Dra. Patricia Gonzalez</t>
  </si>
  <si>
    <t>REINAGA</t>
  </si>
  <si>
    <t>JUIABA</t>
  </si>
  <si>
    <t>AUSUS</t>
  </si>
  <si>
    <t>RSJCOA</t>
  </si>
  <si>
    <t>NULIA</t>
  </si>
  <si>
    <t>PRIPRA</t>
  </si>
  <si>
    <t>REUPRA</t>
  </si>
  <si>
    <t>RETRUA</t>
  </si>
  <si>
    <t>RESLIA</t>
  </si>
  <si>
    <t>Dr. Mamani Nelson (particular)</t>
  </si>
  <si>
    <t>Dr. Orfeo Maggio - (particular)</t>
  </si>
  <si>
    <t>FP de Cachi</t>
  </si>
  <si>
    <t>FP de Cerrillos - Dr. Portal</t>
  </si>
  <si>
    <t>FP El Carril - Dr. Portal</t>
  </si>
  <si>
    <t xml:space="preserve">FP Gral. Güemes - Dr. Vilar Rey </t>
  </si>
  <si>
    <t>FP Rosario de Lerma. Dr. Escalante</t>
  </si>
  <si>
    <t>FP UDIS 2 - Dr. Gonzalez Miralpeix</t>
  </si>
  <si>
    <t xml:space="preserve">FP UDIS 3 - Flores Toranzo </t>
  </si>
  <si>
    <t>FP 2 - Dra. Veronica Simensen de Bielke</t>
  </si>
  <si>
    <t>FP 3 - Dr. Cordoba</t>
  </si>
  <si>
    <t>FP 4  Dr. Facundo Ruiz de los Llanos</t>
  </si>
  <si>
    <t>FP 1 Dr. Pablo Paz</t>
  </si>
  <si>
    <t>FP 5 Dr. Federico Jovanovics</t>
  </si>
  <si>
    <t>FP 6 Dr. Analía Adet Figueroa</t>
  </si>
  <si>
    <t>UDIS 1 - Federico Obeid</t>
  </si>
  <si>
    <t>GAR2</t>
  </si>
  <si>
    <t>DR. COLOMBO</t>
  </si>
  <si>
    <t>HORARIO</t>
  </si>
  <si>
    <t>FP D.S.Lorenzo - Ramos Ossorio (i)</t>
  </si>
  <si>
    <t>FP D.S.Lorenzo - Analía Alisio</t>
  </si>
  <si>
    <t>Dr. Carlos Gutierrez (particular)</t>
  </si>
  <si>
    <t>184157/23</t>
  </si>
  <si>
    <t>DOP 13 - Dra. Sandra Ortiz</t>
  </si>
  <si>
    <t>Dr. Rambert Alexis Rios (particular)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</si>
  <si>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</si>
  <si>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</si>
  <si>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</si>
  <si>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</si>
  <si>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</si>
  <si>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</si>
  <si>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</si>
  <si>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</si>
  <si>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</si>
  <si>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</si>
  <si>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</si>
  <si>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</si>
  <si>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Se devuelve al juzgado de origen por tener fecha asignada previamente por ese tribunal y por pedido de la secretaria actuante</t>
  </si>
  <si>
    <t>RESULTADO</t>
  </si>
  <si>
    <t>Febrero</t>
  </si>
  <si>
    <t>Marzo</t>
  </si>
  <si>
    <t>Abril</t>
  </si>
  <si>
    <t>Mayo</t>
  </si>
  <si>
    <t>Junio</t>
  </si>
  <si>
    <t>Julio</t>
  </si>
  <si>
    <t>Agosto</t>
  </si>
  <si>
    <t>Cantidad</t>
  </si>
  <si>
    <t>Resultado</t>
  </si>
  <si>
    <t>Mes Audiencia</t>
  </si>
  <si>
    <t>Mes</t>
  </si>
  <si>
    <t>Medidas sustitutivas: prisión domiciliaria</t>
  </si>
  <si>
    <t>GAR4</t>
  </si>
  <si>
    <t>Juzgado originario</t>
  </si>
  <si>
    <t>Garantias 2</t>
  </si>
  <si>
    <t>Garantias 3</t>
  </si>
  <si>
    <t>Garantias 4</t>
  </si>
  <si>
    <t>Garantias 8</t>
  </si>
  <si>
    <t>Total</t>
  </si>
  <si>
    <t>Juez</t>
  </si>
  <si>
    <t>Total causas</t>
  </si>
  <si>
    <t>Suspendida</t>
  </si>
  <si>
    <t xml:space="preserve"> _</t>
  </si>
  <si>
    <t>OFICINA JUDICIAL DE GESTION DE JUICIOS DE GARANTÌAS - PODER JUDICIAL DE LA PROVINCIA DE SALTA</t>
  </si>
  <si>
    <t>TOTALES</t>
  </si>
  <si>
    <t xml:space="preserve"> _ Pendientes</t>
  </si>
  <si>
    <t xml:space="preserve">Prisión domiciliaria - Medidas sustitutivas: </t>
  </si>
  <si>
    <t>Dr. Atilio Diaz (particular)</t>
  </si>
  <si>
    <t>Setiembre</t>
  </si>
  <si>
    <t>Octubre</t>
  </si>
  <si>
    <t>Noviembre</t>
  </si>
  <si>
    <t>Diciembre</t>
  </si>
  <si>
    <t>DOP 7 - María Azucena Bohuid</t>
  </si>
  <si>
    <t>Audiencias por juzgado originario</t>
  </si>
  <si>
    <t>OBSERVACIONES</t>
  </si>
  <si>
    <t>Jueza ingresa a las 11:30</t>
  </si>
  <si>
    <t xml:space="preserve">audiencia anterior suspendida </t>
  </si>
  <si>
    <t>Retraso por tratativas entre las partes</t>
  </si>
  <si>
    <t>Suspensión por incomparecencia de las partes</t>
  </si>
  <si>
    <t>No asiste el Dr. Holver Martinez (abogado particular)</t>
  </si>
  <si>
    <t>COMPRA PALTA</t>
  </si>
  <si>
    <t>Difiere Resolución - PRUEBA</t>
  </si>
  <si>
    <t>Dr. Nicolas Fernando Gòmez MP 6413 (particular)</t>
  </si>
  <si>
    <t>Dr. Nicolas Fernando Gomez  (particular)</t>
  </si>
  <si>
    <t>Dr. Olver Martinez MP 1654  (particular)</t>
  </si>
  <si>
    <t>Dr. Cristian Maximiliano Soto MP 7443  (particular)</t>
  </si>
  <si>
    <t>Dr. Santiago Pedroza  (particular)</t>
  </si>
  <si>
    <t>Dr. Ale Guillermo Ismael  (particular)</t>
  </si>
  <si>
    <t>ALANCAY</t>
  </si>
  <si>
    <t>LOPEZ</t>
  </si>
  <si>
    <t>UDIS 4 - Dr. Pablo Rivero</t>
  </si>
  <si>
    <t>DOP 14 - Dra. Marcela Robles</t>
  </si>
  <si>
    <t>ACA VA EL ULTIMO USADO</t>
  </si>
  <si>
    <t>Dr. Miguel Fernando Paez MP5288</t>
  </si>
  <si>
    <t>AGÜERO</t>
  </si>
  <si>
    <t>SEBASTIAN</t>
  </si>
  <si>
    <t>LARRAN</t>
  </si>
  <si>
    <t>MIRIAM</t>
  </si>
  <si>
    <t>ALFREDO</t>
  </si>
  <si>
    <t>WALTER</t>
  </si>
  <si>
    <t>FACUNDO</t>
  </si>
  <si>
    <t>NELDO</t>
  </si>
  <si>
    <t>MARTINA</t>
  </si>
  <si>
    <t>MARIA E.</t>
  </si>
  <si>
    <t xml:space="preserve"> 09:30</t>
  </si>
  <si>
    <t>AQUÍ VA LA POSICION DEL ULTIMO</t>
  </si>
  <si>
    <t>AQUÍ VA ULTIMO SORTEADO</t>
  </si>
  <si>
    <t>POSICION ULTIMO SORTEADO</t>
  </si>
  <si>
    <t>Ultimo sorteado</t>
  </si>
  <si>
    <t>Posición del ultimo sorteado</t>
  </si>
  <si>
    <t>Tecnicos</t>
  </si>
  <si>
    <t>Asistencia</t>
  </si>
  <si>
    <t>Notificaciones</t>
  </si>
  <si>
    <t>Ultimo sort.</t>
  </si>
  <si>
    <t>Fila ult. Sort.</t>
  </si>
  <si>
    <t>ORDEN DE CARGA</t>
  </si>
  <si>
    <t>Dr. Oropeza Martin Alfredo</t>
  </si>
  <si>
    <t>Dra. Andrea Matilde Godoy MP Nº 5459</t>
  </si>
  <si>
    <t>Dr. Romani Oscar Alejandro MP Nº 2338</t>
  </si>
  <si>
    <t>Dra. Liliana Aquino (particular)</t>
  </si>
  <si>
    <t>Promedio</t>
  </si>
  <si>
    <t>Porcentaje</t>
  </si>
  <si>
    <t>FP Cerrilos - AUX. Dra. Valeria Tanjilevich</t>
  </si>
  <si>
    <t>Dr. Luis María Agüero Molina (particular)</t>
  </si>
  <si>
    <t>Dra. Alicia Caprini (particular)</t>
  </si>
  <si>
    <t>Porcentajes</t>
  </si>
  <si>
    <t>MES</t>
  </si>
  <si>
    <t>MARZO</t>
  </si>
  <si>
    <t>Juicio abreviado - Prision Efectiva</t>
  </si>
  <si>
    <t>Juicio abreviado - Prision Condional</t>
  </si>
  <si>
    <t>Otros</t>
  </si>
  <si>
    <t xml:space="preserve"> 13:30</t>
  </si>
  <si>
    <t>Situacion Personal</t>
  </si>
  <si>
    <t>JUEZ PRELIMINAR</t>
  </si>
  <si>
    <t>AUDIENCISTA</t>
  </si>
  <si>
    <t>DELITO</t>
  </si>
  <si>
    <t>Art. 437 / Art. 441</t>
  </si>
  <si>
    <t>QUERELLA / ACTOR CIVIL</t>
  </si>
  <si>
    <t>ASESORIA DE INCAPACES</t>
  </si>
  <si>
    <t>VICTIMAS</t>
  </si>
  <si>
    <t>LUGAR DETENCIÓN</t>
  </si>
  <si>
    <t>Acta Detención</t>
  </si>
  <si>
    <t>Resol. Prision Preventiva</t>
  </si>
  <si>
    <t>Resultado (especifico)</t>
  </si>
  <si>
    <t>JUECES</t>
  </si>
  <si>
    <t>CAUSA CON PRESO</t>
  </si>
  <si>
    <t>MARCELA</t>
  </si>
  <si>
    <t>CAROLINA</t>
  </si>
  <si>
    <t>JUAN PABLO</t>
  </si>
  <si>
    <t>RUBÉN</t>
  </si>
  <si>
    <t>Dra. Romero Nayar</t>
  </si>
  <si>
    <t>Dra. Mónica Faber</t>
  </si>
  <si>
    <t>Dr. Marcelo Rubio</t>
  </si>
  <si>
    <t>Dr. Guillermo Pereyra</t>
  </si>
  <si>
    <t>Dr. Riera</t>
  </si>
  <si>
    <t>Dra. Mónica Mukdsi</t>
  </si>
  <si>
    <t>DEFENSA</t>
  </si>
  <si>
    <t>ASESORIA</t>
  </si>
  <si>
    <t>LUGAR DE DETENCION</t>
  </si>
  <si>
    <t xml:space="preserve">FP Cerrrilos Dra. Analia Adet </t>
  </si>
  <si>
    <t>UFEM - Dra. Monica Poma</t>
  </si>
  <si>
    <t xml:space="preserve">FP 2 - Dr. Ramos Ossorio </t>
  </si>
  <si>
    <t>FP UDIS 3 - Dra. Flores Toranzo</t>
  </si>
  <si>
    <t>UNICROH - Dra. Guzman</t>
  </si>
  <si>
    <t>FP VFG 1 - Dra. Geria</t>
  </si>
  <si>
    <t>FP VFG 4 - Dra. Elisa Perez</t>
  </si>
  <si>
    <t>FP VFG 2 - Dra. Sodero Calvet</t>
  </si>
  <si>
    <t>FP VFG 3 - Dra. Gabriela Davalos</t>
  </si>
  <si>
    <t>FP VFG 5. Dra. Liliana Jorge</t>
  </si>
  <si>
    <t>FPDEC - Dra. Salinas</t>
  </si>
  <si>
    <t>DOP 12 - AUX. Dr. Martin Herrera</t>
  </si>
  <si>
    <t>DOP 13 - AUX. Dra. Raquel Zerdan</t>
  </si>
  <si>
    <t>DOP 13 - AUX. Lucrecia Moreno Fleming</t>
  </si>
  <si>
    <t>DOP 16 - AUX. Dra. Celeste Barboza</t>
  </si>
  <si>
    <t>DOP 17 - AUX. Dra. Carolina Marinaro</t>
  </si>
  <si>
    <t>SUSPENDIDA</t>
  </si>
  <si>
    <t>REPROGRAMADA</t>
  </si>
  <si>
    <t>JUICIO ABREVIADO - CONDICIONAL</t>
  </si>
  <si>
    <t>JUICIO ABREVIADO - EFECTIVA</t>
  </si>
  <si>
    <t>AUTO DE PRUEBA</t>
  </si>
  <si>
    <t>SOBRESEIMIENTO</t>
  </si>
  <si>
    <t>PROBATION</t>
  </si>
  <si>
    <t>COLEGIADO</t>
  </si>
  <si>
    <t>EXCLUSION</t>
  </si>
  <si>
    <t>Tribunal V - Sala 1</t>
  </si>
  <si>
    <t>Tribunal V - Sala 2</t>
  </si>
  <si>
    <t>Tribunal V - Sala 3</t>
  </si>
  <si>
    <t>Tribunal VI - Sala 1</t>
  </si>
  <si>
    <t>182313/22</t>
  </si>
  <si>
    <t>Preso</t>
  </si>
  <si>
    <t>Gallardo Mariel Eugenia</t>
  </si>
  <si>
    <t>HURTO SIMPLE</t>
  </si>
  <si>
    <t>Dr. Cueto Diaz</t>
  </si>
  <si>
    <t>CAYO, FLORENCIA Y CAYO, MARCELA</t>
  </si>
  <si>
    <t>UC 1</t>
  </si>
  <si>
    <t>UC 4</t>
  </si>
  <si>
    <t>Alcaldia General</t>
  </si>
  <si>
    <t>Arresto Domiciliario</t>
  </si>
  <si>
    <t>Centro Juvenil de detención</t>
  </si>
  <si>
    <t>16/11/2022 (FS. 109/114) - SIN PLAZO</t>
  </si>
  <si>
    <t>NULIDAD</t>
  </si>
  <si>
    <t xml:space="preserve">SENTENCIA DE JUICIO ABREVIADO CON ACUERDO PREVIO PRESENTADO POR ESCRITO. DELITO: HURTO SIMPLE, CON CONDENA ANTERIOR. PENA: 2 MESES Y DOS DÍAS (TIEMPO CUMPLIDO) 20/03/2023 RECOBRA LIBERTAD. REINCIDENTE POR TERCERA VEZ. </t>
  </si>
  <si>
    <t>20/03/2023 LIBERTAD 29/05/2023 - CON INFORME         NO SE ENCUENTRA A LA SRA PARA DEVOLUCION SECUESTRO - PASA  A VOC. 3 - TRIBUNAL DE JUICIO SALA V</t>
  </si>
  <si>
    <t>180802/23</t>
  </si>
  <si>
    <t>VAICONTE, ALDANA GISELA Y GAUNA, CLAUDIA ALEJANDRA</t>
  </si>
  <si>
    <t xml:space="preserve">TENENCIA DE ESTUPEFACIENTES CON FINES DE COMERCIALIZACIÓN </t>
  </si>
  <si>
    <t>FECHA EGRESO OFIJU</t>
  </si>
  <si>
    <t>Art. 437: LLEGAN DE LA SALA IV CON TRÁMITE AVANZADO, SE SORTEA NUEVO TRIBUNAL POR ABREVIADO FRUSTRADO</t>
  </si>
  <si>
    <t>Art. 437: 15/03/2023 CON FIJACION DE AUDIENCIA POR PRESENTACION DE ACUERDO DE JUICIO ABREVIADO EN FECHA 15/03/2023</t>
  </si>
  <si>
    <t>Dr. Horacio Daniel Morales</t>
  </si>
  <si>
    <t>15/11/2022 (VAICONTE Y GAUNA) - FS. 45 y 46</t>
  </si>
  <si>
    <t>SENTENCIA DE JUICIO ABREVIADO, CONDENA PARA VALCONTE, 4 AÑOS PRISIÓN EFECTIVA - SOBRESEIMIENTO ART. 428 INCISO D CPP PARA GAUNA - LIBERTAD, OFICIO SALE EN FECHA 30/03/2023</t>
  </si>
  <si>
    <t xml:space="preserve">LIBERTAD GAUNA 30/03/2023 - CON TRÁMITE VISTA CÓMPUTO DE PENA VALCONTE </t>
  </si>
  <si>
    <t>INGRESO CARGO SALA</t>
  </si>
  <si>
    <t>FECHA INGRESO OFIJU</t>
  </si>
  <si>
    <t>167962/23</t>
  </si>
  <si>
    <t>Rivera Gustavo Gabriel</t>
  </si>
  <si>
    <t>ROBO AGRAVADO POR EL USO DE ARMAS (TENTATIVA)</t>
  </si>
  <si>
    <t xml:space="preserve"> 12:30</t>
  </si>
  <si>
    <t>ABRAHAM HÉCTOR AGUIRRE</t>
  </si>
  <si>
    <t xml:space="preserve">RENUNCIA DEFENSA PARTICULAR (DR. PEDROZA) A ÚLTIMO MOMENTO, IMPUTAOD NO COMPARECE A DESIGNAR DEFENSOR. SE CORRE VISTA A FISCALÍA Y A DEFENSA OFICIAL (DR. CUROTTO) QUE YA HABÍA INTERVENIDO ANTERIORMENTE. </t>
  </si>
  <si>
    <t>175088/23</t>
  </si>
  <si>
    <t>Aguirre, Luis Alberto</t>
  </si>
  <si>
    <t>ABUSO SEXUAL SIMPLE AGRAVADO POR EL VÍNCULO</t>
  </si>
  <si>
    <t>Art 437 19/5/2023 - Art 441 Mismo decreto</t>
  </si>
  <si>
    <t>A definir</t>
  </si>
  <si>
    <t>Dra. Sofia Isasmendi</t>
  </si>
  <si>
    <t xml:space="preserve">SRA. GABRIELA ROXANA AGUIRRE FLORES </t>
  </si>
  <si>
    <t>LICENCIA DE LA DRA. MÓNICA MUKDSI DESDE EL 18/06/2023 HASTA FIN DE FERIA DE JULIO 2023.</t>
  </si>
  <si>
    <t>182729/23</t>
  </si>
  <si>
    <t>Zensazo, Ernesto Victor</t>
  </si>
  <si>
    <t>Lesiones Agravadas</t>
  </si>
  <si>
    <t>Art 437: 2/6/2023 - Art 441: Mismo decreto</t>
  </si>
  <si>
    <t>DR. ROBERTO TESEYRA Y DR. DAVID LE FAVI</t>
  </si>
  <si>
    <t>GABINA CUETO</t>
  </si>
  <si>
    <t>177949/23</t>
  </si>
  <si>
    <t>LIBERTAD 23/05/2022</t>
  </si>
  <si>
    <t>Maizare, Rodrigo Alejandro</t>
  </si>
  <si>
    <t>Amenazas - Genero</t>
  </si>
  <si>
    <t>Art 437: 22/02/2023                   VENCE: 09/03/2023</t>
  </si>
  <si>
    <t>09/03/2023. RESOLUCIÓN DE INCOMPETENCIA POR CONEXIDAD SUBJETIVA, SE REMITE A SALA I VOCALIA II DEL TRIBUNAL DE JUICIO PARA ACUMULACIÓN A CAUSA 174772/21</t>
  </si>
  <si>
    <t>181525/22</t>
  </si>
  <si>
    <t>Sayagua, Gustavo Roberto</t>
  </si>
  <si>
    <t>HURTO CALIFICADO  POR USO DE LLAVE VERDADERA</t>
  </si>
  <si>
    <t>Art 437:   27/02/2023 - Notificado 28/02/23 - VENCE: 15/03/2023  - Art 441: 23/3/2023</t>
  </si>
  <si>
    <t>DOP Dr. Di Bez</t>
  </si>
  <si>
    <t>MIGUEL LUIS CASTRO</t>
  </si>
  <si>
    <t>28/11/2022 (FS. 07)</t>
  </si>
  <si>
    <t>SIN PLAZO (Dictada el 2/12/22)</t>
  </si>
  <si>
    <t xml:space="preserve">19/04/2023 - SENTENCIA DE JUICIO ABREVIADO </t>
  </si>
  <si>
    <t>AUDIENCIA FLEXIBLE REALIZADA 19/04/2023, 09,00 HS. RESULTADO: SENTENCIA DE JUICIO ABREVIADO // 26/04/2023 - A DISPOSICIÓN DE EJECUCIÓN</t>
  </si>
  <si>
    <t>CANCELADA PORQUE LA SALA NO ESTÁ EQUIPADA. REPROGRAMADA.</t>
  </si>
  <si>
    <t>170065/23</t>
  </si>
  <si>
    <t>Loaiza, Sergio Daniel</t>
  </si>
  <si>
    <t>Amenazas</t>
  </si>
  <si>
    <t>Art 437: 18/5/2023 - Art 441: Mismo decreto</t>
  </si>
  <si>
    <t>Def. VIF2 - Dra. Liza Medrano</t>
  </si>
  <si>
    <t>ZOLORZA, MELANI ROSARIO</t>
  </si>
  <si>
    <t>DEFENSA TENÍA AUDIENCIAS DE DEBATE PRE FIJADAS POR OGA</t>
  </si>
  <si>
    <t>178709/23</t>
  </si>
  <si>
    <t>Zandobal, Cesar Augusto</t>
  </si>
  <si>
    <t>VIOLACIÓN DE DOMICILIO, LESIONES LEVES AGRAVADAS POR LA RELACIÓN DE PAREJA PREVIA Y POR EL GÉNERO Y PRIVACIÓN ILEGÍTIMA DE LA LIBERTAD AGRAVADA POR EL USO DE VIOLENCIA</t>
  </si>
  <si>
    <t>Dra. Nilda Emilse Garnica</t>
  </si>
  <si>
    <t>CARINA DEL CARMEN RUEDA</t>
  </si>
  <si>
    <t xml:space="preserve">SOLICITUD DE SUSPENSIÓN DE AUDIENCIA DE S.S. POR SUPERPOSICIÓN CON UN DEBATE COMPLICADO FIJADO PREVIAMENTE </t>
  </si>
  <si>
    <t>179994/22</t>
  </si>
  <si>
    <t>Escalante, Jacinto Marino</t>
  </si>
  <si>
    <t>AMENAZAS CON ARMAS - DAÑOS</t>
  </si>
  <si>
    <t>24/02/2023 - DECRETO EXCLUSIÓN DEL PLAN PILOTO POR SER ABREVIADO INICIAL                             ART. 422 DEL CPP</t>
  </si>
  <si>
    <t>EXCLUSIÓN DEL PLAN PILOTO - REMISIÓN A VOCALÍA II DE SALA V TRIBUNAL DE JUICIO PARA TRÁMITE NORMAL 24/02/2023</t>
  </si>
  <si>
    <t>183347/23</t>
  </si>
  <si>
    <t>Dominguez, Claudio María</t>
  </si>
  <si>
    <t>ROBO CALIFICADO DE VEHÍCULO DEJADO EN LA VÍA PÚBLICA (DOS HECHOS) - CONCURSO REAL</t>
  </si>
  <si>
    <t>Art 437: 29/5/2023 - Art 441: Mismo decreto</t>
  </si>
  <si>
    <t>SERGIO FERNANDO GUTIÉRREZ Y RODRIGO SERGIO MENDOZA</t>
  </si>
  <si>
    <t>21/03/2023 - 00:25 hs. (OJO!) FS. 48</t>
  </si>
  <si>
    <t>EN LIBERTAD DESDE 12/06/23</t>
  </si>
  <si>
    <t>Sagayo, Leonardo Gabriel</t>
  </si>
  <si>
    <t>ROBO AGRAVADO POR EL USO DE ARMAS + ROBO EN POBLADO Y EN BANDA + COACCIÓN</t>
  </si>
  <si>
    <t xml:space="preserve">INCOMPARENCIA IMPUTADO - REBELDÍA Y DETENCIÓN </t>
  </si>
  <si>
    <t xml:space="preserve">As. 8 - </t>
  </si>
  <si>
    <t>22/06/2023 - SE DEVUELVE CAUSA A TRIBUNAL DE JUICIO SALA VI</t>
  </si>
  <si>
    <t>174478/23</t>
  </si>
  <si>
    <t>Alvarez, Jorge Maximiliano</t>
  </si>
  <si>
    <t xml:space="preserve">DESOBEDIENCIA JUDICIAL, AMENAZAS, INCUMPLIMIENTO DE LOS DEBERES DE ASISTENCIA FAMILIAR </t>
  </si>
  <si>
    <t>MICAELA FERNANDA VALVERDI</t>
  </si>
  <si>
    <t>LORENA NATALIA FARFÁN</t>
  </si>
  <si>
    <t xml:space="preserve">A LAS 13,20 SE SUSPENDE POR INCOMPARENCIA DEL JUEZ (INFORMÓ QUE ESTABA EN UNA DELIBERACIÓN POR UN DEBATE). LAS PARTES EXPRESAN QUE REALIZARÁN </t>
  </si>
  <si>
    <t>180484/23</t>
  </si>
  <si>
    <t>Homez, Walter Enrique</t>
  </si>
  <si>
    <t xml:space="preserve">HOMICIDIO CULPOSO POR LA CONDUCCIÓN IMPRUDENTE, NEGLIGENTE O ANTIRREGLAMENTARO DE UN VEHICULO CON MOTOR  </t>
  </si>
  <si>
    <t>LA DEFENSA OFICIAL DR. CLARK SOLICITA INTEGRACIÓN DE TRIBUNAL COLEGIADO</t>
  </si>
  <si>
    <t>10/03/2023 - DEFENSA PIDE QUE SE INTEGRE EL TRIBUNAL DE MANERA COLEGIADA</t>
  </si>
  <si>
    <t>11841/23</t>
  </si>
  <si>
    <t>Quispe, Juan Jose Maciel</t>
  </si>
  <si>
    <t>ROBO SMPLE</t>
  </si>
  <si>
    <t>Art. 437: 13/03/2023 - Notificados 14/03/2023 - VENCE: 30/03/2023 - Art</t>
  </si>
  <si>
    <t>Defensa: DR. HÉCTOR LECCESE - REVOCA PODER IMPUTADO 21/03/23 PASA A CLARK UDP 4 PARA VISTA</t>
  </si>
  <si>
    <t>Sin Plazo</t>
  </si>
  <si>
    <t>21/04/2023 - SENTENCIA DE JUICIO ABREVIADO - PENA: 5 MESES Y 17 DÍAS - TIEMPO CUMPLIDO - LIBERTAD</t>
  </si>
  <si>
    <t>169745/23</t>
  </si>
  <si>
    <t>Unco, Juen Carlos - Luna, Michel Sergio - Geronimo, Cintia Janeth (3 IMP)</t>
  </si>
  <si>
    <t>PRESO (UNCO) - (Los demás en libertad)</t>
  </si>
  <si>
    <t>ROBO EN POBLADO Y EN BANDA</t>
  </si>
  <si>
    <t>SE SUSPENDE POR IMPUNTUALIDAD DE LAS PARTES (DR. BELRBUNO, DR. ARNEDO, IMPUTADOS LUNA Y GERÓNIMO)</t>
  </si>
  <si>
    <t>DR. MIGUEL NICOLÁS FERNÁNDEZ (por Unco y Janet) + DR. ARNEDO (por Unco, codefensa) + DR. BELBRUNO (por Luna)</t>
  </si>
  <si>
    <t>MARÍA LAURA IORI NOMAN; ROLANDO QUISPE MILTON; ESTANISLAO LÓPEZ DIB FERNÁNDEZ</t>
  </si>
  <si>
    <t>22/01/2021 (04.40 HS) - 10/09/2022 - LE DAN ARRESTO DOMICILIARIO FS. 75 (26/02/2021) - SE LO REVOCAN AL ARRESTO DOMICILIARIO (FS. 164/165): 10/06/2021 ¿?</t>
  </si>
  <si>
    <t>157245/23</t>
  </si>
  <si>
    <t>GUAYMAS, HUGO ORLANDO - MORALES, MARISEL RAMONA</t>
  </si>
  <si>
    <t xml:space="preserve">COACCIÓN Y DESOBEDIENCIA JUDICIAL </t>
  </si>
  <si>
    <t>Art 437: 8/6/2023 - Art 441: Mismo Decreto</t>
  </si>
  <si>
    <t>UDP Nº 8 (POR GUAYMAS) Y UDP Nº 10 - DRA. BOHUID (POR MORALES)</t>
  </si>
  <si>
    <t>OJO, LOS IMPUTADOS SON LAS MISMAS VÍCTIMAS</t>
  </si>
  <si>
    <t xml:space="preserve">IMPUTADO SOLICITA CAMBIO DE DEFENSA, PIDE INTERVENCIÓN DE DEFENSA OFICIAL (Nº 8 YA HABÍA INTERVENIDO). DEFENSA OFICIAL PIDE SUSPENSIÓN DE AUDIENCIA PORQUE NO CONOCE LA CAUSA. </t>
  </si>
  <si>
    <t>174960/23</t>
  </si>
  <si>
    <t>Sosa, Leandro Maximiliano</t>
  </si>
  <si>
    <t>ROBO CALIFICADO DE VEHÍCULO DEJADO EN LA VÍA PÚBLICA</t>
  </si>
  <si>
    <t>CANCELADA PORQUE SALA V VOCALIA 3 PIDE ACUMULACIÓN CON CAUSA ANTERIOR</t>
  </si>
  <si>
    <t>DRES. ABRAHAM NAHIR ABDENUR + JUAN MANUEL CREA</t>
  </si>
  <si>
    <t>GIL, OSCAR DANIEL</t>
  </si>
  <si>
    <t>SALE PARA ARCHIVO Y CAMBIAR DE RADICACIÓN - 22/05/2023 (PASA A DEBATE A VOCALÍA III POR ACUMULACIÓN)</t>
  </si>
  <si>
    <t>181.110/23 y acum. 172664/23</t>
  </si>
  <si>
    <t>PRESO</t>
  </si>
  <si>
    <t>Segovia, Rubén Alejandro</t>
  </si>
  <si>
    <t>LESIONES AGRAVADAS, POR GÉNERO, RELACIÓN DE PAREJA PAREJA, VIOLACIÓN DE DOMICILIO, COACCIÓN, PRIVACIÓN ILEGÍTIMA DE LA LUVERTAD, DESOBEDIENCIA JUDICIAL</t>
  </si>
  <si>
    <t>Art 437: 04/04/2023 - Notificados: 04/04/2023 - Art 441: 21/4/2023</t>
  </si>
  <si>
    <t>JUICIO ABREVIADO 25/04/2023 - PENA UNIFICADA 4 AÑOS Y 6 MESES, PRISIÓN EFECTIVA</t>
  </si>
  <si>
    <t>05/11/22 (FS. 12)</t>
  </si>
  <si>
    <t>FS.41/46 SIN PLAZO</t>
  </si>
  <si>
    <t>25/04/2023 - SENTENCIA DE JUICIO ABREVIADO, DOS CAUSAS ACUMULADAS, PENA UNIFICADA ARTIMÉTICAMENTE: 4 AÑOS Y 6 MESES, EFECTIVA. A DISPOSICION DEL JUZGADO DE EJECUCION Y DET. Nº 1</t>
  </si>
  <si>
    <t>183629/23</t>
  </si>
  <si>
    <t>Aybar, Federico Mauricio</t>
  </si>
  <si>
    <t>ROBO AGRAVADO POR EL USO DE ARMA (TENTATIVA)</t>
  </si>
  <si>
    <t>Art 437: 26/4/2023</t>
  </si>
  <si>
    <t>SE SUSPENDE PORQUE LAS PARTES NO LLEGAN A ACUERDO DE JUICIO ABREVIADO. NI QUIEREN OFRECER PRUEBA POR ESCRITO. PIDEN REPROGRAMACIÓN PARA UNA VEZ VENCIDO EL ART. 441. SE REPROGRAMA PARA EL 5/06/2023 A 12,00 hs.</t>
  </si>
  <si>
    <t>NESTOR CAYETANO VALLEJOS</t>
  </si>
  <si>
    <t>FS. 7 - 03/04/2023 (JUEZ DETENIDOS Nº 2)</t>
  </si>
  <si>
    <t>175319/23</t>
  </si>
  <si>
    <t>Arroyo Gutierrez, Ricardo Gerónimo</t>
  </si>
  <si>
    <t>ROBO SIMPLE</t>
  </si>
  <si>
    <t>Art 437: 5/6/2023 - Art 441: Mismo decreto</t>
  </si>
  <si>
    <t>SUSPENSIÓN DE JUICIO A PRUEBA - ESPERANDO VÍCTIMA</t>
  </si>
  <si>
    <t>Guzman, Marcos David</t>
  </si>
  <si>
    <t>FIJADA EN FERIA - CAUSA NO HABILITADA A FERIA</t>
  </si>
  <si>
    <t>LUIS MARINO LIENDRO</t>
  </si>
  <si>
    <t>11571/23</t>
  </si>
  <si>
    <t>182224/23</t>
  </si>
  <si>
    <t>Pinos, José Edgardo</t>
  </si>
  <si>
    <t xml:space="preserve">ROBO POR EFRACCIÓM, ROBO CON ESCALAMIENTO, HURTO CALIFICADO POR ESCALAMIENTO EN TENTATIVA </t>
  </si>
  <si>
    <t xml:space="preserve">09/03/2023 SE VA A MESA DISTRIBUIDORA -  21/03/2023 REGRESA A SALA V SE EXLUYE DEL PLAN PILOTO POR NUEVO ABREVIADO INICIAL - LA CAUSA NO CUENTA NI CON REQUERIMIENTO NI CON AUTO DE ELEVACIÓN A JUICIO. DE LAS CONSTANCIAS DE AUTOS ES POSIBLE DEDUCIR QUE EN GARANTÍAS Nº 8, JUZGADO DE ORIGEN, SE PRESENTÓ UN ACUERDO DE JUICIO ABREVIADO INICIAL, SE ELEVÓ LA CAUSA A LA MESA DISTRIBUIDORA DE EXPEDIENTES PENALES PARA SORTEO DE TRIBUNAL DE JUICIO. SE SORTEÓ LA SALA IV VOCALÍA 3 DEL TRIBUNAL DE JUICIO, SE RECHAZÓ EL ACUERDO Y LA MESA DISTRIBUIDORA SORTEÓ UN NUEVO TRIBUNAL, CUANDO DEBERÍA HABER BAJADO LA CAUSA AL JUZGADO DE ORIGEN, GARANTÍAS Nº 8, PARA LA CONTINUACIÓN DEL TRÁMITE. </t>
  </si>
  <si>
    <t>DENUNCIANTE: PABLO EMILIANO MOYA</t>
  </si>
  <si>
    <t xml:space="preserve"> SE VA A MESA DISTRIBUIDORA - 09/03/2023 - 21/03/2023 REGRESA A SALA VSE EXLUYE DEL PLAN PILOTO POR NUEVO ABREVIADO INICIAL</t>
  </si>
  <si>
    <t>156116/23</t>
  </si>
  <si>
    <t>Caro Pérez, Juan Manuel - Montenegro, Eduardo Saúl</t>
  </si>
  <si>
    <t>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</t>
  </si>
  <si>
    <t>JUICIO ABREVIADO. MONTENEGRO, PENA 6 MESES CONDICIONAL UNIFICADA COMPOSICIONALMENTE EN 3 AÑOS CONDICIONAL CON CAUSA ANTERIOR + CARO PEREZ, PENA: TIEMPO CUMPLIDO: 8 MESES Y 3 DÍAS PRISION EFECTIVA - NO ESTABAN PRESOS, VINIERON EN LIBERTAD</t>
  </si>
  <si>
    <t>DOP 8 - Dra. Cecilia Martinez</t>
  </si>
  <si>
    <t xml:space="preserve">FLAVIA ALEJANDRA ÁLVAREZ, HÉCTOR ADOLFO MARTÍNEZ, NAHUEL GARDIOLA, GABRIEL ALFONSO CHOQUE, </t>
  </si>
  <si>
    <t>Caro Pérez  - Juzgado de Control - Prov. De Jujuy - Montenegro (Alcaidía) a disposición del Juzgado de Garantías 3º Nominacion</t>
  </si>
  <si>
    <t>03/05/2023 - AUDIENICA FLEXIBLE Y MULTIPROPÓSITO. RESULTADO: SENTENCIA DE JUICIO ABREVIADO. ESTABAN EN LIBERTAD EN ESTA CAUSA. -01/06/2023 - pasa a Voc. 3 Sala v Trib. Jui. para control de conducta Montenegro</t>
  </si>
  <si>
    <t>174297/23</t>
  </si>
  <si>
    <t>Villada, Sergio Ernesto</t>
  </si>
  <si>
    <t>ROBO SIMPLE (TREINTA Y CINCO HECHOS)</t>
  </si>
  <si>
    <t>Art 437: 31/5/2023 - Art 441: Mismo decreto</t>
  </si>
  <si>
    <t>SENTENCIA DE JUICIO ABREVIADO - PENA: 2 AÑOS Y 4 MESES CONDICIONAL</t>
  </si>
  <si>
    <t>Dr. Dante Humberto Montalbetti</t>
  </si>
  <si>
    <t>OJO! MÁS DE 30 VÍCTIMAS</t>
  </si>
  <si>
    <t xml:space="preserve">24/07/2023 - SE DEVUELVE EXPEDIENTE E INCIDENTE A TRIBUNAL DE JUICIO </t>
  </si>
  <si>
    <t>182242/23 (ppal) -Acum 162949/23</t>
  </si>
  <si>
    <t>Reyes, Javier Esteban</t>
  </si>
  <si>
    <t>(FS. 48/50) LESIONES LEVES AGRAVADAS POR GÉNERO Y PAREJA Y DAÑOS - CONCURSO REAL</t>
  </si>
  <si>
    <t>Art 437: ÚLTIMO DECRETO ART. 437 13/04/2023 + ACUMULACIÓN - Notificaidos: 13/04/2023 - Vence: 28/04/2023 (SACAR 441 UNIFICADO PARA DOS CAUSAS)</t>
  </si>
  <si>
    <t>JUICIO ABREVIADO, PENA: NUEVE MESES CONDICIONAL + SOBRESEIMIENTO + DECLARA ABSTRACTO PEDIDO DE REVISIÓN DE PRISIÓN PREVENTIVA</t>
  </si>
  <si>
    <t>ISABEL SORAIRA RODRÍGUEZ</t>
  </si>
  <si>
    <t>6/01/2023 (FS. 8)</t>
  </si>
  <si>
    <t>13/01/2023 - SIN PLAZO</t>
  </si>
  <si>
    <t>27/04/2023: SE ADELANTÓ LA AUDIENCIA FLEXIBLE Y MULTIPROPÓSITO (del 10/05/2023). RESULTADO: JUICIO ABREVIADO, PENA: NUEVE MESES CONDICIONAL + SOBRESEIMIENTO + DECLARA ABSTRACTO PEDIDO DE REVISIÓN DE PRISIÓN PREVENTIVA</t>
  </si>
  <si>
    <t>Zandoval, César Augusto</t>
  </si>
  <si>
    <t xml:space="preserve">SENTENCIA DE JUICIO ABREVIADO - PENA: DOS AÑOS PRISIÓN CONDICIONAL </t>
  </si>
  <si>
    <t>179770/23</t>
  </si>
  <si>
    <t>Villaroel, Maxima Isabel -Álvarez, Ramón Domingo</t>
  </si>
  <si>
    <t>COOPERACIÓN EN LA REALIZACIÓN DE DELITOS CONTRA LA INTEGRIDAD SEXUAL - ABUSO SEXUAL CON ACCESO CARNAL CONTINUADO AGRAVADO POR EL VÍNCULO Y LA CONVIVENCIA</t>
  </si>
  <si>
    <t>EXCLUSIÓN DEL PLAN PILOTO - 19/04/2023 - PORQUE ES UN REINGRESO DE LA CAUSA QUE HABÍA BAJADO A GARANTÍAS PARA RESOLVER UNA NULIDAD Y REINGRESA EN FECHA 10/04/2023 (EL INGRESO ORIGINAL FUE DE FECHA 17/11/2022) - HAY INFORME DE ACTUARIO CON COMUNICACIÓN CON MESA DE ENTRADAS</t>
  </si>
  <si>
    <t>EXCLUSIÓN DEL PLAN PILOTO - REMISIÓN A VOCALÍA II DE SALA V TRIBUNAL DE JUICIO PARA TRÁMITE NORMAL 19/04/2023 - ES UN REINGRESO DE CAUSA</t>
  </si>
  <si>
    <t>180889/23</t>
  </si>
  <si>
    <t>Sangûezo, Luis Alberto</t>
  </si>
  <si>
    <t xml:space="preserve">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</t>
  </si>
  <si>
    <t>Art 437: 03/05/2023 - CON FIJACIÓN DE AUDIENCIA PARA DISCUTIR 437+441+445</t>
  </si>
  <si>
    <t>Dr. Arias, Armando Jorge</t>
  </si>
  <si>
    <t>CAMILA ALDANA AYELEN SANGUEZO</t>
  </si>
  <si>
    <t>26/10/2022 (FS. 21)</t>
  </si>
  <si>
    <t xml:space="preserve">QUERELLA DESISTIDA POR NO PRESENTAR ACUSACIÓN (FS. 28 2º PÁRRAFO) - 29/05/2023 remsio0n a Vocalia I. Oficio a M.D. </t>
  </si>
  <si>
    <t xml:space="preserve">SENTENCIA DE JUICIO ABREVIADO - PENA: 3 AÑOS EFECTIVA. </t>
  </si>
  <si>
    <t>011618/23</t>
  </si>
  <si>
    <t>AMENAZAS</t>
  </si>
  <si>
    <t>BAEZ, CARLA MARCELA</t>
  </si>
  <si>
    <t>179055/23</t>
  </si>
  <si>
    <t>Cordoba, Marcelo Adrian</t>
  </si>
  <si>
    <t>ABUSO SEXUAL CON ACCESO CARNAL Y AMENAZAS, DESOBEDIENCIA JUDICIAL EN C.R., en perjuicio de SLB + ABUSO SEXUAL SIMPLE en perjuicio de BCR, todo en concurso real</t>
  </si>
  <si>
    <t>Art 437: 24/04/2023- se inhiben dra. faber y dra. romero por intervenir querella a cargo de la dra. domene. Cuando pasa a rubio se declara imposibilitado de intervenir en el plan piloto porque no tiene juez de debate. Se remite a la mesa distribuidora en fecha 25/04/2023</t>
  </si>
  <si>
    <t>SE INHIBE DRA FABER Y DRA ROMERO NAYAR PORQUE LA QUERELLANTE ES LA DRA. DOMENE - EL DR. RUBIO LA EXCLUYE DEL PLAN PILOTO PORQUE NO TIENE JUEZ PARA DEBATE</t>
  </si>
  <si>
    <t>25/04/2023 - SE REMITE A MESA DISTRIBUIDORA PARA NUEVO SORTEO DE TRIBUNAL</t>
  </si>
  <si>
    <t>182283/23</t>
  </si>
  <si>
    <t>Villalba, Nicolás Carlos</t>
  </si>
  <si>
    <t>Art 437: 27/03/2023 - Art 441: 21/4/2023</t>
  </si>
  <si>
    <t>JUICIO ABREVIADO. SENTENCIA EN AUDIENCIA. PENA: 2 AÑOS Y 8 MESES EJECUCIÓN CONDICIONAL. LIBERTAD 11/05/2023.</t>
  </si>
  <si>
    <t>DR. LUCIANO ROMANO Y DRA. LAURA FLORES MEJÍA</t>
  </si>
  <si>
    <t>11/01/2023 (FS. 36)</t>
  </si>
  <si>
    <t>DR. ARNEDO ASUME DEFENSA IMPUTADO EL DÍA 22/06/2023 - SOLICITA SUSPENSIÓN DE AUDIENCIA</t>
  </si>
  <si>
    <t>011848/23</t>
  </si>
  <si>
    <t>Quiroga, Alexando Juan Facundo</t>
  </si>
  <si>
    <t xml:space="preserve">DESOBEDIENCIA JUDICIAL </t>
  </si>
  <si>
    <t>Art 437: 7/6/2023 - Art 441: Mismo decreto</t>
  </si>
  <si>
    <t>CAUSA QUE NO SE HABILITA A FERIA</t>
  </si>
  <si>
    <t>Dr. Hector Armando Leccese</t>
  </si>
  <si>
    <t>JULIETA DEL CARMEN RAMOS</t>
  </si>
  <si>
    <t>183871/23</t>
  </si>
  <si>
    <t>Fabian, José Maximiliano</t>
  </si>
  <si>
    <t>24/04/2023 - SE EXCLUYE DEL PLAN PILOTO PORQUE VIENE CON ACUERDO DE JUICIO ABREVIADO INICIAL (ART. 422 CPP)</t>
  </si>
  <si>
    <t>24/04/2023 - EXCLUSION DEL PLAN PILOTOPOR ACUERDO DE JUICIO ABREVIADO INCIAL ART. 422 CPP</t>
  </si>
  <si>
    <t>172719/23</t>
  </si>
  <si>
    <t>Quinteros, Diego Fernando</t>
  </si>
  <si>
    <t>ABUSO SEXUAL CON ACCESO CARNAL AGRAVADO POR SER COMETIDO POR PERSONAL DE FUERZAS POLICIALES</t>
  </si>
  <si>
    <t>Art 437: 07/03/2023 - Notificados 09/03/23 - VENCE: 27/03/23 - Art 441: 29/03/2023 - Notificados 29/03/2023</t>
  </si>
  <si>
    <t>AUDIENCIA FLEXIBLE Y MULTIPROPOSITO REALIZADA, FISCAL RETIRA ACUSACION, SE RESUELVE SOBRESEIMIENTO</t>
  </si>
  <si>
    <t>Dra. Eugenia Yaique</t>
  </si>
  <si>
    <t>Def. VIF 1Dra. Sonia Chirife</t>
  </si>
  <si>
    <t xml:space="preserve">SULCA, YAMILA ABIGAIL </t>
  </si>
  <si>
    <t>En 18/05/2023 Sobreseimiento por Desestimiento Fiscal. Pasa a Sala V para archivo</t>
  </si>
  <si>
    <t>183608/23</t>
  </si>
  <si>
    <t>PRESOS *CON ARRESTO DOMICILIARIO + UADME</t>
  </si>
  <si>
    <t>Salvatierra Clarisa Mariel - Taritolay, Pablo Sebastian</t>
  </si>
  <si>
    <t>SALVATIERRA: ROBO SIMPLE + ROBO SIMPLE EN TENTATIVA + TARITOLAY: ROBO SIMPLE Y ROBO SIMPEL EN TENTATIVA EN CONCURSO REAL CON AMENAZAS CON ARMAS</t>
  </si>
  <si>
    <t>SENTENCIA DE JUICIO ABREVIADO. PENA: CONDICIONAL. LIBERTAD: 07/07/2023</t>
  </si>
  <si>
    <t>BRENDA ALEXANDRA BOLÍVAR + CINTIA ROMINA VIVEROS</t>
  </si>
  <si>
    <t>Arresto domiciliario</t>
  </si>
  <si>
    <t>CON ARRESTO DOMICILIARIO Y UADME</t>
  </si>
  <si>
    <t>FS. 51/54 - 12/04/2023 - SIN PLAZO</t>
  </si>
  <si>
    <t>169833/23</t>
  </si>
  <si>
    <t>Garníca, Juan Ramón</t>
  </si>
  <si>
    <t>PRESO * ARRESTO DOMICILIARIO</t>
  </si>
  <si>
    <t>ABUSO SEXUAL GRAVEMENTE ULTRAJANTE (4 HECHOS)  Y ABUSO SEXUAL CON ACCESO CARNAL</t>
  </si>
  <si>
    <t>21/04/2023 - SOLA GARRIDO PIDE INTEGRACION EN PLENO DEL TRIBUNAL (COLEGIADO) + NULIDAD</t>
  </si>
  <si>
    <t>Dr. Solá Garrido</t>
  </si>
  <si>
    <t>QUERELLA: DR. PABLO ADRIÁN SOLANO (Patrocinante Letrado de Chaparro, Víctor - padre)</t>
  </si>
  <si>
    <t>As. 6 - Dra. Silvia Ibarguren</t>
  </si>
  <si>
    <t>Denunciante: madre, Olga Karina Castro</t>
  </si>
  <si>
    <t>CON ARRESTO DOMICILIARIO: EL BORDO C/ UADME - PERMISO PARA TRABAJAR EN MUNICIPALIDAD DE EL BORDO</t>
  </si>
  <si>
    <t>FS. 36 - 11/02/2021  - LE DAN ARRESTO DOMICILIARIO EL 5/03/2021 (FS. 114/121)</t>
  </si>
  <si>
    <t>CON PRÓRROGA 15/02/2023 POR ÚNICA VEZ Y POR UN AÑO. (FS. 341/342)</t>
  </si>
  <si>
    <t>24/04/2023 - EXCLUSION DEL PLAN PILOTO PORQUE LA DEFENSA (DR. SOLA GARRIDO) SOLICITA INTERVENCIÓN DE TRIBUNAL COLEGIADO</t>
  </si>
  <si>
    <t>165966/23</t>
  </si>
  <si>
    <t>Padilla, Héctor René</t>
  </si>
  <si>
    <t>ABUSO SEXUAL SIMPLE AGRAVADO</t>
  </si>
  <si>
    <t>Art 437: 28/02/2023 -              Notificado 01/03/23 -           VENCE: 20/03/2023 -  Art 441: 21/03/2023 - Notificado 21/03/23 - VENCE: 10/03/2023 REVISAR ESTOS PLAZOS, HUBO SUSPENSIONES</t>
  </si>
  <si>
    <t>Dr. Federíco Herrera</t>
  </si>
  <si>
    <t>BEATRIZ MARIA ANTONIA CRUZ</t>
  </si>
  <si>
    <t>179950/23</t>
  </si>
  <si>
    <t>PRESOS (ALCAIDÍA GENERAL TORRES Y PÉREZ FÉLIX) + UNIDAD CARCELARIA Nº 4 (PÉREZ LILIANA)</t>
  </si>
  <si>
    <t>Pérez, Liliana Noemí - Torres, Luis Alejandro - Pérez, Félix Javier</t>
  </si>
  <si>
    <t>DR. BELBRUNO (POR TORRES) + DR. ADOLFO MARIANO SÁNCHEZ, POR PÉREZ LILIANA Y PÉREZ FÉLIX)</t>
  </si>
  <si>
    <t>As- 5  Dra. Eugenia Berni</t>
  </si>
  <si>
    <t>134484/23</t>
  </si>
  <si>
    <t>LIBERTAD 18/05/2022</t>
  </si>
  <si>
    <t>Rodríguez, Vñictor Daniel</t>
  </si>
  <si>
    <t xml:space="preserve">ABUSO SEXUAL GRAVEMENTE ULTRAJANTE (18/05/2023) JUICIO ABREVIADO - CAMBIO CALIF </t>
  </si>
  <si>
    <t>Ar 437: 27/03/23 - Art 441: 20/4/2023</t>
  </si>
  <si>
    <t>JUICIO ABREVIADO. SENTENCIA EN AUDIENCIA. PENA: 3 AÑOS DE PRISION CONDICIONAL. LIBERTAD: 18/05/2023</t>
  </si>
  <si>
    <t>NADIA DE LOS ÁNGELES GALBÁN</t>
  </si>
  <si>
    <t>FS. 91/97 - SIN PLAZO</t>
  </si>
  <si>
    <t>Defensor inicial DOP 9 - Dr. Sangari. Designa Abo. Particular el 28/04/2023                   CONDENADO A 3 AÑOS DE EJECUCIÓN CONDICIONAL
PASA A LA SALA V VOC 3 - 24/05/2023</t>
  </si>
  <si>
    <t>183650/23</t>
  </si>
  <si>
    <t>López, Luís Darío</t>
  </si>
  <si>
    <t>ABUSO SEXUAL GRAVEMENTE ULTRAJANTE</t>
  </si>
  <si>
    <t>Art 437: 13/6/2023 - Art 441: Mismo decreto</t>
  </si>
  <si>
    <t>Dr. Diaz Zabalaga, Luis Fernando</t>
  </si>
  <si>
    <t>MICAELA ANAHÍ ESPINOZA</t>
  </si>
  <si>
    <t>179142/23</t>
  </si>
  <si>
    <t>Robledo, Osvaldo Eduardo</t>
  </si>
  <si>
    <t>AMENAZAS - GÉNERO</t>
  </si>
  <si>
    <t xml:space="preserve">20/04/2023-FRACASA AUDIENCIA POR INCOMPARENCIA DE IMPUTADO, SE DICTA AUTO DE PRUEBA ESCRITO. </t>
  </si>
  <si>
    <t>Dr. Torrente, Mario Fabian</t>
  </si>
  <si>
    <t>BENITA GUERRA</t>
  </si>
  <si>
    <t xml:space="preserve">AUDIENCIA FLEXIBLE Y MULTIPROPÓSITO FRACASADA (NO VINO IMPUTADO, BIEN NOTIFICADO) - AUTO DE PREUBA ESCRITO </t>
  </si>
  <si>
    <t>1811/06/23</t>
  </si>
  <si>
    <t>LIBERTAD 22/11/2022</t>
  </si>
  <si>
    <t>Figueroa, Angel Rafael</t>
  </si>
  <si>
    <t>ROBO AGRAVADO POR USO DE ARMA</t>
  </si>
  <si>
    <t>Art 437: 24/05/2023 - Art 441: 5/5/2023</t>
  </si>
  <si>
    <t>CHURQUINA, DARIO ALEJANDRO</t>
  </si>
  <si>
    <t>TRIBUNAL DE JUICIO SALA V - PREVIO PASO POR MESA DISTRIBUIDORA</t>
  </si>
  <si>
    <t>175591/23</t>
  </si>
  <si>
    <t>Aparicio, Roberto René - Trujillo Guzmán, Jorge Abraham</t>
  </si>
  <si>
    <t>ESTAFA</t>
  </si>
  <si>
    <t>Art 437: 12/6/2023 - Art 441: Mismo decreto</t>
  </si>
  <si>
    <t>Dr. Adet, Matías</t>
  </si>
  <si>
    <t>RODOLFO FLORES UBALDO</t>
  </si>
  <si>
    <t>180491/23</t>
  </si>
  <si>
    <t>Hoyos Ramirez, Leones Alexis</t>
  </si>
  <si>
    <t xml:space="preserve">LESIONES CULPOSAS AGRAVADAS POR HABERSE DADO A LA FUGA Y LESIONES LEVES EN C.R. </t>
  </si>
  <si>
    <t xml:space="preserve">JUICIO ABREVIADO - PENA: 2 AÑOS Y 6 MESES CONDICIONAL + INHABILITACIÓN POR 4 AÑOS. </t>
  </si>
  <si>
    <t>Dr. Torres, Jorge</t>
  </si>
  <si>
    <t>As. 10 - Dra. Guadalupe, Salatín</t>
  </si>
  <si>
    <t>23/06/2023: SE REMITE EXPEDIENTE PARA ARCHIVO EN SALA V VOCALÍA 2</t>
  </si>
  <si>
    <t>159576/23</t>
  </si>
  <si>
    <t>Brito, Cristian Esteban</t>
  </si>
  <si>
    <t xml:space="preserve">ABUSO SEXUAL CON ACCESO CARNAL </t>
  </si>
  <si>
    <t>Art 437: 1/6/2023 - Art 441: Mismo decreto</t>
  </si>
  <si>
    <t>DRES. VÍCTOR GUSTAVO ECHAZÚ Y DR. FRANCISCO HERRERA</t>
  </si>
  <si>
    <t>Dr. Medrano de la Serna</t>
  </si>
  <si>
    <t>181828/23</t>
  </si>
  <si>
    <t>Quipildor, Exequiel Imanol</t>
  </si>
  <si>
    <t>ROBO (TENTATIVA) + ROBO SIMPLE, CONCURSO REAL</t>
  </si>
  <si>
    <t>Art 437: 3/4/2023</t>
  </si>
  <si>
    <t>15/05/2023: SE REMITE A VOCALÍA II DEL TRIBUNAL DE JUICIO SALA V PARA RESOLVER NULIDAD. SE RESUELVE NULIDAD Y BAJA LA CAUSA A GARANTÍAS.</t>
  </si>
  <si>
    <t>GRACIELA ESTER GASPAR; NANCY ALEJANDRA ZERPA</t>
  </si>
  <si>
    <t>181340/23</t>
  </si>
  <si>
    <t>PRESO (Casimiro) // LIBERTAD (Diaz)</t>
  </si>
  <si>
    <t>Casimiro, Julio Enrique - Diaz, Nadia Paola</t>
  </si>
  <si>
    <t>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</t>
  </si>
  <si>
    <t>JUICIO ABREVIADO: PARA CASIMIRO - PENA EFECTIVA -  SEPARACIÓN PARA DÍAZ Y DICTAN REBELDÍA Y DETENCIÓN</t>
  </si>
  <si>
    <t>16/11/2022 (FS. 14)</t>
  </si>
  <si>
    <t>08/06/2023 - VUELVE PARA RESERVA POR REBELDÍA Y ARCHIVO DE ABREVIADO - VOCALÍA II DE SALA V TRIBUNAL DE  JUICIO</t>
  </si>
  <si>
    <t>08/06/203</t>
  </si>
  <si>
    <t>139556/23</t>
  </si>
  <si>
    <t>Gramajo, Héctor Mauricio</t>
  </si>
  <si>
    <t>ABUSO SEXUAL CON ACCESO CARNAL</t>
  </si>
  <si>
    <t>Art 437: 16/5/2023 - Art 441: Mismo decreto</t>
  </si>
  <si>
    <t xml:space="preserve">DEFENSA SOLICITA SUSPENSIÓN POR FALTA DE NOTIFICACIÓN DE ART. 441 CPP. </t>
  </si>
  <si>
    <t>JOHANA ISABEL PONCE</t>
  </si>
  <si>
    <t xml:space="preserve">SENTENCIA DE JUICIO ABREVIADO. PENA: DOS AÑOS Y TRES MESES CONDICIONAL. </t>
  </si>
  <si>
    <t>29/06/2023 - SE DEVUELVE PARA ARCHIVO AL TRIBUNAL DE JUICIO SALA V VOCALÍA III</t>
  </si>
  <si>
    <t>179611/23</t>
  </si>
  <si>
    <t>Motenegro, Eduardo Saúl</t>
  </si>
  <si>
    <t>VIOLACIÓN DE DOMICILIO, LESIONES LEVES AGRAVADAS POR LA RELACIÓN DE PAREJA PREVIA Y POR EL GÉNERO Y AMENAZAS, EN CONCURSO REAL</t>
  </si>
  <si>
    <t>MARÍA MAGDALENA HUMANA DOMÍNGUEZ</t>
  </si>
  <si>
    <t>182181/23</t>
  </si>
  <si>
    <t>Puntano, Julio Alberto</t>
  </si>
  <si>
    <t xml:space="preserve">ABUSO SEXUAL GRAVEMENTE ULTRAJANTE AGRAVADO POR EL VÍNCULO Y CONVIVENCIA </t>
  </si>
  <si>
    <t>SE SUSPENDE AUDIENCIA POR PEDIDO DE LA DEFENSA POR SUPERPOSICIÓN. SE REPROGRAMA.</t>
  </si>
  <si>
    <t>Dr. Britos Astiqueta,  Marcelo</t>
  </si>
  <si>
    <t>PUNTANO, JOSEFINA</t>
  </si>
  <si>
    <t>155541/23</t>
  </si>
  <si>
    <t>Alfaro, Jaime</t>
  </si>
  <si>
    <t>ABUSO SEXUAL SIMPLE CALIFICADO + EXHIBICIONES OBSENAS A MENORES</t>
  </si>
  <si>
    <t>Art 437: 12/5/2023 - Art 441: Mismo decreto</t>
  </si>
  <si>
    <t>SENTENCIA DE JUICIO ABREVIADO</t>
  </si>
  <si>
    <t>Dr. Vercellino, Vicente</t>
  </si>
  <si>
    <t>08/06/2023 - VUELVE PARA  ARCHIVO  - VOCALÍA II DE SALA V TRIBUNAL DE  JUICIO</t>
  </si>
  <si>
    <t>175534/23</t>
  </si>
  <si>
    <t>Casco, Ivan Mauro Cosme</t>
  </si>
  <si>
    <t>Dr. Luis Cesar Fernando</t>
  </si>
  <si>
    <t>ANA PAULA LUISZAGA</t>
  </si>
  <si>
    <t>165959/23</t>
  </si>
  <si>
    <t>González, Darío Oscar</t>
  </si>
  <si>
    <t>Art 437:   27/02/2023 - Notificado 28/02/23 - VENCE:15/03/2023 - Art 441: 16/03/2023 - Notificado 22/03/23 - VENCE: 11/04/2023</t>
  </si>
  <si>
    <t>SENTENCIA DE JUICIO ABREVIADO                                    CONSULTAR</t>
  </si>
  <si>
    <t>J.M.G. (14)</t>
  </si>
  <si>
    <t>As. 2 - Dra. Flores Larse</t>
  </si>
  <si>
    <t>As. 5 - Dra. Eugenia Berni</t>
  </si>
  <si>
    <t>168840/23</t>
  </si>
  <si>
    <t>PAZ, RAMÓN FIDEL</t>
  </si>
  <si>
    <t>CONCUSIÓN (ART. 266 CP)</t>
  </si>
  <si>
    <t>Art 437: 28/4/2023</t>
  </si>
  <si>
    <t xml:space="preserve">CAMBIO DE DEFENSORÍA POR DISPOSICIÓN DE DEFENSORÍA GENERAL. NO SE INFORMÓ EL CAMBIO DE DEFENSOR A OFIJU. EL NUEVO DEFENSOR NO TENÍA DISPONIBILIDAD POR OGA. </t>
  </si>
  <si>
    <t>DOP 1 - Dr. Federico Gutierrez</t>
  </si>
  <si>
    <t xml:space="preserve">BERTA BEATRIZ </t>
  </si>
  <si>
    <t>167920/23</t>
  </si>
  <si>
    <t>Olmedo, Nicolas Daniel</t>
  </si>
  <si>
    <t>COACCIÓN</t>
  </si>
  <si>
    <t xml:space="preserve">MARÍA JOSÉ FLORES </t>
  </si>
  <si>
    <t>AYBAR, FEDERICO MAURICIO</t>
  </si>
  <si>
    <t>155613/23</t>
  </si>
  <si>
    <t>Huergo, Carlos Adrian</t>
  </si>
  <si>
    <t xml:space="preserve">ADMINISTRACIÓN FRAUDULENTA + ESTAFAS REITERADAS (5 HECHOS) Y FALSIFICACIÓN DE DOCUMENTO PRIVADO - TODO EN CONCURSO REAL </t>
  </si>
  <si>
    <t>DRA. AGUSTINA ACEDO NAVAMUEL (opr Sr. Eduardo Moisés Chaile Exeni y Jorge Miguel Chahle)</t>
  </si>
  <si>
    <t xml:space="preserve">EDUARDO MOISÉS CHAHLE + JORGE MIGUEL CHAHLE + CRISTINA DEL VALLE CALIVA + SEBASTIÁN EDUARDO PEREYRA+ JOSÉ ARIEL CUELLAR + FRANCISCO ALEJANDRO PEREYRA </t>
  </si>
  <si>
    <t xml:space="preserve">FS. 176 - 16/03/2023 15,00 hs. </t>
  </si>
  <si>
    <t>FS. 211/216- 28/03/2023 - SIN PLAZO</t>
  </si>
  <si>
    <t>157007/23</t>
  </si>
  <si>
    <t>Izaguirre, Guillermo Omar</t>
  </si>
  <si>
    <t xml:space="preserve">ABUSO SEXUAL GRAVEMENTE ULTRAJANTE AGRAVADO POR MENOR DE EDAD, CONVIVENCIA Y GUARDA </t>
  </si>
  <si>
    <t>Art 437: 25/04/2023</t>
  </si>
  <si>
    <t xml:space="preserve">M.A.C. – Denunciante: Ma. Eugenia del Milagro Montengro y Clemente, Esteban del Corazón de Jesús </t>
  </si>
  <si>
    <t>161584/23</t>
  </si>
  <si>
    <t>Ibarra, Alvaro Leonel - Ibarra, Ivan Anibal</t>
  </si>
  <si>
    <t>ROBO CALIFICADO POR PROVOCAR LESIONES GRAVES EN GRADO DE TENTATIVA</t>
  </si>
  <si>
    <t>DR. JOSÉ MARÍA GUAIMAS  (POR IBARRA, ÁLVARO EN AMBAS CAUSAS Y TMB IBARRA, IVÁN)</t>
  </si>
  <si>
    <t>FERNANDO EXEQUIEL BURGOS</t>
  </si>
  <si>
    <t>182101/23</t>
  </si>
  <si>
    <t>171215/23</t>
  </si>
  <si>
    <t>Juarez Vargas, Ricardo Abel</t>
  </si>
  <si>
    <t>ROBO SIMPLE (DOS HECHOS) CONCURSO REAL</t>
  </si>
  <si>
    <t>Art 437: 16/6/2023 - Art 441: Mismo decreto</t>
  </si>
  <si>
    <t>GLORIA DEL VALLE VARGAS + CLAUDIA VIVIANA JUÁREZ</t>
  </si>
  <si>
    <t>183482/23</t>
  </si>
  <si>
    <t>QUERELLA PRESENTADA POR EL DR. AGÜERO, SERGIO EN CONTRA DE GUSTAVO SÁNEZ</t>
  </si>
  <si>
    <t xml:space="preserve">22/05/2023 - PASA FÍSICAMENTE A VOCALÍA II SALA V CON PROYECTO DE RESOLUCIÓN FINALIZADO </t>
  </si>
  <si>
    <t>182710/23</t>
  </si>
  <si>
    <t>Paz, Mario Alejandro</t>
  </si>
  <si>
    <t>COACCIÓN, LESIONES AGRAVADAS, PRIVAICOÓN ILEGÍTIMA DE LA LIBERTAD AGRAVADA, DESOBEDIENCIA JUDICIAL, EN CONCURSO IDEAL +  AMENAZAS, CONCURSO REAL</t>
  </si>
  <si>
    <t>Art 437: 17/5/2023- Art 441: Mismo decreto</t>
  </si>
  <si>
    <t>Dr. Guzmán Barrionuevo, Rubén Antonio</t>
  </si>
  <si>
    <t>SILVIA LUCRECIA CHAPARRO</t>
  </si>
  <si>
    <t>13/02/2023 - 00:20 HS. OJO! CAPAZ LO DETUVIERON ANTES (FS. 12)</t>
  </si>
  <si>
    <t>181137/23</t>
  </si>
  <si>
    <t xml:space="preserve">ARIAS LÓPEZ, JESÚS LEONEL </t>
  </si>
  <si>
    <t>ROBO AGRAVADO POR EL USO DE ARMA</t>
  </si>
  <si>
    <t>Art 437: 10/4/2023 - Art 441: 26/04/2023 + NOTIFICACIONES AUDIENCIA</t>
  </si>
  <si>
    <t xml:space="preserve">SENTENCIA DE JUICIO ABREVIADO. PENA: UN AÑO EFECTIVA. </t>
  </si>
  <si>
    <t>DAMARIS NEREA ESTEFANÍA MAMANÍ</t>
  </si>
  <si>
    <t>FS. 38/41 - SIN PLAZO</t>
  </si>
  <si>
    <t>PASA A DISPOSICIÓN DE EJECUCIÓN EN FECHA 26/06/2023 - VUELVE A VOCALÍA III SALA V PARA ARCHIVO (26/06/2023)</t>
  </si>
  <si>
    <t>183732/23</t>
  </si>
  <si>
    <t>Gasiuk, Gustavo Ronal</t>
  </si>
  <si>
    <t>HURTO CALIFICADO (TENTATIVA)</t>
  </si>
  <si>
    <t>SENTENCIA DE JUICIO ABREVIADO. PENA: UNIFICADA 3 AÑOS DE PRISIÓN EFECTIVA - ESPERANDO CAUSA PARA CÓMPUTO DE PENA UNIFICADO</t>
  </si>
  <si>
    <t>JULIA ARANCIBIA YUCRA</t>
  </si>
  <si>
    <t>07/04/2023 - 10.00 hs. (FS. 09)</t>
  </si>
  <si>
    <t>FS. 39/42 - 19/04/2023 SIN PLAZO</t>
  </si>
  <si>
    <t>179418/23</t>
  </si>
  <si>
    <t>Ceballos, Ignacio Federico</t>
  </si>
  <si>
    <t>Art 437: 25/4/2023</t>
  </si>
  <si>
    <t>PAOLA ROMINA LIENDRO</t>
  </si>
  <si>
    <t>180168/23</t>
  </si>
  <si>
    <t>Vega, Paulo Esteban</t>
  </si>
  <si>
    <t xml:space="preserve">ABUSO SEXUAL SIMPLE AGRAVADO POR LA GUARDA, AMENAZAS CON ARMAS Y TURBACIÓN DE LA POSESIÓN TODO </t>
  </si>
  <si>
    <t>Art 437: 21/6/2023 - Art 441: Mismo decreto</t>
  </si>
  <si>
    <t>DENUNCIANTE: MARÍA EMILIA CAPPAI (en representación de su hijo VIC)</t>
  </si>
  <si>
    <t>180588/23</t>
  </si>
  <si>
    <t>Flores, Hécto José</t>
  </si>
  <si>
    <t xml:space="preserve">AMENAZAS CON ARMAS Y LESIONES LEVES </t>
  </si>
  <si>
    <t>SUSPENSIÓN DE JUICIO A PRUEBA</t>
  </si>
  <si>
    <t>Dr. Raúl Alberto Mazza</t>
  </si>
  <si>
    <t>LUIS ÁNGEL ALMENDRA</t>
  </si>
  <si>
    <t>181660/23</t>
  </si>
  <si>
    <t>Chinque, Cristian Exequiel</t>
  </si>
  <si>
    <t>LESIONES LEVES AGRAVADAS POR LA RELACIÓN DE PAREJA Y POR EL GÉNERO (DOS HECHOS), VIOLACIÓN DE DOMICILIO, DAÑOS (DOS HECHOS), AMENAZAS (DOS HECHOS), AMENAZAS CON ARMA Y DESOBEDIENCIA JUDICIAL</t>
  </si>
  <si>
    <t>SENTENCIA DE JUICIO ABREVIADO. PENA: 2 AÑOS Y 4 MESES DE PRISIÓN EFECTIVA.</t>
  </si>
  <si>
    <t>Dra. Macarena Rosario Mendoza Salvatierra</t>
  </si>
  <si>
    <t>FS. 14 - 03/12/2022</t>
  </si>
  <si>
    <t>FS. 47/51 - SIN PLAZO</t>
  </si>
  <si>
    <t xml:space="preserve">24/07/2023 - SE REMITE EN DEVOLUCIÓN A TRIBUNAL DE JUICIO </t>
  </si>
  <si>
    <t>184021/23</t>
  </si>
  <si>
    <t>Sotelo Miyo, Silvia Guadalupe</t>
  </si>
  <si>
    <t>LESIONES AGRAVADAS, AMENAZAS CON ARMAS, DAÑOS (CONCURSO REAL)</t>
  </si>
  <si>
    <t>SENTENCIA DE JUICIO ABREVIADO. PENA: 8 MESES DE PRISION DE EJECUCIÓN EFECTIVA.</t>
  </si>
  <si>
    <t>REBECA MARÍA SALOMÉ PALACIO + CRISTIAN ÁNGEL CISNEROS + CARINA DEL VALLE MARTÍNEZ</t>
  </si>
  <si>
    <t>FS. 07 - 21/04/2023 - 21:40 HS.</t>
  </si>
  <si>
    <t>FS. 48/54 - SIN PLAZO</t>
  </si>
  <si>
    <t>180980/23</t>
  </si>
  <si>
    <t>López, Leonardo Javier</t>
  </si>
  <si>
    <t>ROBO EN GRADO DE TENTATIVA</t>
  </si>
  <si>
    <t>12:000</t>
  </si>
  <si>
    <t>INCOMPARENCIA IMPUTADO  - FISCALÍA LLEGÓ TARDE</t>
  </si>
  <si>
    <t>SERGIO JOSÉ SAYAGO</t>
  </si>
  <si>
    <t>179312/23</t>
  </si>
  <si>
    <t>CARDOZO, LAUREANO WENCESLAO + RÍOS, FRANCO MICHEL ALEJANDRO + VELÁZQUEZ, DAIANA GISELA</t>
  </si>
  <si>
    <t xml:space="preserve">VIOLACIÓN DE DOMICILIO, LESIONES LEVES, DAÑOS </t>
  </si>
  <si>
    <t xml:space="preserve">GUILLERMO PASTRÓN COSTAS FIGUEROA </t>
  </si>
  <si>
    <t>181786/23</t>
  </si>
  <si>
    <t>Lera, Facundo Anibal</t>
  </si>
  <si>
    <t xml:space="preserve">ABUSO SEXUAL SIMPLE </t>
  </si>
  <si>
    <t>Dr. Arancibia, Marcelo</t>
  </si>
  <si>
    <t>RUEDA, MARÍA DEL VALLE (DENUNCIENTE) - V´CITIMA: Z.A.N. (MENOR)</t>
  </si>
  <si>
    <t>175156/23</t>
  </si>
  <si>
    <t>Arzadum, Omar Ismael</t>
  </si>
  <si>
    <t>PRIVACIÓN ILEGÍTIMA DE LA LIBERTAD AGRAVADA + COACCIÓN + LESIONES AGRAVADAS + AMENAZAS CON ARMAS + AMENAZAS (CONCURSO REAL)</t>
  </si>
  <si>
    <t>DR. CRISTIAN PERALDA FALCÓN</t>
  </si>
  <si>
    <t>ROMINA NATALIA LUNA</t>
  </si>
  <si>
    <t>179600/23</t>
  </si>
  <si>
    <t>Rivero, Carlos Ariel</t>
  </si>
  <si>
    <t>1) DESOBEDIENCIA JUDICIAL, VIOLACIÓIN DE DOMICIO, DAÑOS (x2); COACCIÓN, LESIONES LEVES AGRAVADAS POR LA RELACION DE PAREJA Y GÉNERO, en perjuicio de Z.M.A. + 2) AMENAZAS; LESIONES, en perjuicio de Mamaní, José Luis</t>
  </si>
  <si>
    <t>Art 437: 17/04/2023 - Notificados: 20/04/2023</t>
  </si>
  <si>
    <t xml:space="preserve">SENTENCIA DE JUICIO ABREVIADO - PENA: 2 AÑOS Y 3 MESES EJECUCIÓN CONDICIONAL. </t>
  </si>
  <si>
    <t>DRES. MARTÍN D´ANDREA Y FEDERICO GENSEI HIGA</t>
  </si>
  <si>
    <t>ZMA y MAMANÍ, JOSÉ LUIS</t>
  </si>
  <si>
    <t xml:space="preserve">28/06/2023 - SE REMITE A VOCALÍA III DEL TRIBUNAL DE JUICIO SALA V PARA ARCHIVO. </t>
  </si>
  <si>
    <t>183609/23</t>
  </si>
  <si>
    <t>Moreno, Ariel Alejandro</t>
  </si>
  <si>
    <t xml:space="preserve">LESIONES LEVES </t>
  </si>
  <si>
    <t>Art 437: 23/6/2023 - Art 441: Mismo decreto</t>
  </si>
  <si>
    <t xml:space="preserve"> As. 1 - Dr. Fernández Esteban, Claudio Marcelo</t>
  </si>
  <si>
    <t>172724/23 y acum 176490/23</t>
  </si>
  <si>
    <t>DRA. FABER DE REEMPLAZO, REEMPLAZA DR. RIERA QUE TENÍA DEBATE PREFIJADO</t>
  </si>
  <si>
    <t>Canaza, Julian Cesar - Subia Sulva, Manuel Humberto - Vedia Jimenez, Angel Mariano</t>
  </si>
  <si>
    <t>DR. SERGIO AGUSTÍN ALEMÁN (Para Canaza) - DOP 2 ( Para Vedia y Subia)</t>
  </si>
  <si>
    <t>CRISTINA DEL VALLE LÓPEZ RAMÍREZ + MAXIMILIANO ALEJANDRO SIÑARES</t>
  </si>
  <si>
    <t>178936/23</t>
  </si>
  <si>
    <t>Guitian, Mariano Alejandro</t>
  </si>
  <si>
    <t>ABUSO SEXUAL GRAVEMENTE ULTRAJANTE Y CALIFICADO + COACCIÓN</t>
  </si>
  <si>
    <t xml:space="preserve">HILDA YANINA QUIPILDOR </t>
  </si>
  <si>
    <t>180764/23</t>
  </si>
  <si>
    <t>Pastrana, Gonzalo Martín</t>
  </si>
  <si>
    <t>Art 437. 16/03/2023 - Notificado 22/03/23 - VENCE: 11/04/2023</t>
  </si>
  <si>
    <t xml:space="preserve">DRA FABER DE LICENCIA - REEMPLAZA DR. RIERA CON DEBATE PREFIJADO Y ADEMÁS ASUME EL DÍA ANTERIOR EL DR. BELBRUNO QUIEN SOLICITA SUSPENSIÓN DE AUDIENCIA PARA MEJOR CONOCIMIENTO DE LA CAUSA. </t>
  </si>
  <si>
    <t>Dra. Saldaño, Luciana Milagro  - RENUNCIO</t>
  </si>
  <si>
    <t>DOP de turno</t>
  </si>
  <si>
    <t>MENOR C.A.L.M. - DENUNCIANTE: BRISA MICAELA ROSA CORDOVA</t>
  </si>
  <si>
    <t xml:space="preserve">FS. 12 - 20/10/2022 00,40 HS. </t>
  </si>
  <si>
    <t>26/10/2022 (FS. 28/33) - SIN PLAZO</t>
  </si>
  <si>
    <t>182974/23</t>
  </si>
  <si>
    <t>Jerez Zerpa, Esteban Ismael</t>
  </si>
  <si>
    <t>VIVIANA VANESA CABRERA</t>
  </si>
  <si>
    <t>183015/23</t>
  </si>
  <si>
    <t>Cortez, Fernando Nicolas</t>
  </si>
  <si>
    <t xml:space="preserve">ROBO SIMPLE </t>
  </si>
  <si>
    <t xml:space="preserve">DIEGO CABA CERÓN </t>
  </si>
  <si>
    <t>179394/23</t>
  </si>
  <si>
    <t>PRESO *CON ARRESTO DOMICILIARIO</t>
  </si>
  <si>
    <t>Perez, Victor Roberto</t>
  </si>
  <si>
    <t>ABUSO SEXUAL CON ACCESO CARNAL CALIFICADO, COACCIÓN, EN CONCURSO REAL</t>
  </si>
  <si>
    <t>Art 437: 17/5/2023 - Art 441: Mismo decreto</t>
  </si>
  <si>
    <t>Dra. Luisina Victoria Rivero</t>
  </si>
  <si>
    <t>As. 3 -</t>
  </si>
  <si>
    <t>S.A.S.P.</t>
  </si>
  <si>
    <t>182234/23</t>
  </si>
  <si>
    <t>Morillo, David Nicolas</t>
  </si>
  <si>
    <t>AMENAZAS CON ARMA + DESOBEDIENCIA JUDICIAL + LESIONES LEVES AGRAVADAS POR EL GÉNERO Y POR LA RELACIÓN DE PAREJA</t>
  </si>
  <si>
    <t>Art 437: 26/06/2023 - Art 441: Mismo decreto</t>
  </si>
  <si>
    <t>Dr. Pizarro Echeñique, Juan Manuel</t>
  </si>
  <si>
    <t>MARÍA ALEJANDRA RÍOS</t>
  </si>
  <si>
    <t>171099/23</t>
  </si>
  <si>
    <t>Oliva, Pablo Andres</t>
  </si>
  <si>
    <t>COACCIÓN Y REDUCCIÓN A LA SERVIDUMBRE EN CONCURSO REAL</t>
  </si>
  <si>
    <t>Art 437: 03/04/2023 - Notificados: 03/04/2023 - Vence: 20/04/2023</t>
  </si>
  <si>
    <t>IMPUTADO CON REBELDÍA Y DETENCIÓN NO APARECIÓ PARA LA AUDIENCIA</t>
  </si>
  <si>
    <t>As. 4 - Dra. Perez, Noelia</t>
  </si>
  <si>
    <t>ROSA DEL ALBA MABEL ACULA Y IRIS VANESA</t>
  </si>
  <si>
    <t>29/06/2023 - SE REMITEN EN DEVOLUCION ACTUACIONES A SALA V VOCALÍA II DEL TRIBUNAL DE JUICIO PARA CASILLA DE REBELDÍA</t>
  </si>
  <si>
    <t>169000/23</t>
  </si>
  <si>
    <t>Cardozo, Enrique Domingo</t>
  </si>
  <si>
    <t xml:space="preserve">EXHIBICIONES OBSCENAS </t>
  </si>
  <si>
    <t>Art 437: 21/06/2023 - Art 441: Mismo decreto</t>
  </si>
  <si>
    <t>FP UDIS 1 - Dr. Obeid</t>
  </si>
  <si>
    <t>Dr. Martin Vaca</t>
  </si>
  <si>
    <t>BRUNO DANIEL AYBAR</t>
  </si>
  <si>
    <t>175392/23</t>
  </si>
  <si>
    <t>Figueroa, Brian Nazareno</t>
  </si>
  <si>
    <t>HURTO CALIFICADO DE PRODUCTOS SEPARADOS DEL SUELO</t>
  </si>
  <si>
    <t>MARCELO ABRAHAM CAUSARANO</t>
  </si>
  <si>
    <t>24/07/2023 - SE DEVUELVE EXPEIDENTE A SALA V VOCALÍA III TRIBUNAL DE JUICIO PARA CASILLA PROBATION Y PROTOCOLO</t>
  </si>
  <si>
    <t>173103/23</t>
  </si>
  <si>
    <t>López, Marcelo Enrique</t>
  </si>
  <si>
    <t>AMENAZAS + DAÑOS</t>
  </si>
  <si>
    <t>Art 437: 27/06/2023 - Art 441: Mismo decreto</t>
  </si>
  <si>
    <t>NATALIA MARÍA LORENA SALES</t>
  </si>
  <si>
    <t>176683/23</t>
  </si>
  <si>
    <t>Basilio Flores, Claudia Esther</t>
  </si>
  <si>
    <t>Art 437: 22/05/2023 - Art 441: Mismo decreto</t>
  </si>
  <si>
    <t>PIRCA CARRILLO, ESTRELLA AYELEN</t>
  </si>
  <si>
    <t>184299/23</t>
  </si>
  <si>
    <t>Castillo, Héctor Rafael</t>
  </si>
  <si>
    <t>175148/23</t>
  </si>
  <si>
    <t>Miranda, Nicolás Martin</t>
  </si>
  <si>
    <t xml:space="preserve">PRIVACIÓN ILEGÍTIMA DE LA LIBERTAD AGRAVADA </t>
  </si>
  <si>
    <t>Art 437: 19/05/202 - Art 441: Mismo decreto</t>
  </si>
  <si>
    <t>ROSARIO DE LOS ÁNGELES QUIPILDOR</t>
  </si>
  <si>
    <t>FISCAL RETIRA ACUSACIÓN POR AMBOS IMPUTADOS</t>
  </si>
  <si>
    <t>181955/23</t>
  </si>
  <si>
    <t>Ontiveros, Walter</t>
  </si>
  <si>
    <t>Art 437: 01/06/2023 - Art 441: Mismo Decreto</t>
  </si>
  <si>
    <t xml:space="preserve">DRA FABER DE LICENCIA - REEMPLAZA DR. RIERA CON DEBATE PREFIJADO </t>
  </si>
  <si>
    <t>(DENUNCIANTE-PADRE) ARTURO MOYANO - VÍCTIMA: MENOR F.M.</t>
  </si>
  <si>
    <t>172142/23</t>
  </si>
  <si>
    <t>Cansino, Simón Antonio - Rodríguez, Leonardo - Rivas Edmundo</t>
  </si>
  <si>
    <t xml:space="preserve">VEJACIONES CALIFICADAS Y LESIONES LEVES EN CONCURSO IDEAL - TRES HECHOS EN CONCURSO REAL + VEJACIONES Y LESIONES LEVES EN CONCURSO IDEAL - DOS HECHOS EN CONCURSO REAL </t>
  </si>
  <si>
    <t>FP DDHH Dr. Gonzalez</t>
  </si>
  <si>
    <t>DOP Nº 17 (POR DIEGO ARNALDO QUIROGA) - DRA. ALEJANDRA DEL VALLE (POR RIVAS, CANSINO, RODRÍGUEZBAÑAGASTA)</t>
  </si>
  <si>
    <t xml:space="preserve">JAVIER FEDERICO GUTIÉRREZ, ÁNGEL DAVID CARDOZO, LUIS GONZÁLEZ ÁLVAREZ VILLEGAS, EDGARDO JAVIER ÁLVARES VILLEGAS, MATÍAS NICOLÁS GUTIÉRREZ, GISELLA GUTIÉRREZ, ISMAEL DARDO GUTIÉRREZ. </t>
  </si>
  <si>
    <t>180276/23</t>
  </si>
  <si>
    <t>Coria, Lautaro Enrique Esteban</t>
  </si>
  <si>
    <t>ROBO CALIFICADO POR EFRACCIÓN</t>
  </si>
  <si>
    <t>Art 437: 31/05/2023 - Art 441: Mismo decreto</t>
  </si>
  <si>
    <t xml:space="preserve">INCOMPARENCIA DE IMPUTADO. SE REPROGRAMA. </t>
  </si>
  <si>
    <t>CLAUDIO EZEQUIEL RIERA</t>
  </si>
  <si>
    <t>SENTENCIA DE JUICIO ABREVIADO CONDICIONAL</t>
  </si>
  <si>
    <t>02/08/2023 - SE DEVUELVE EXPEDIENTE A SALA VI VOCALIA I PARA ARCHIVO</t>
  </si>
  <si>
    <t>ASESORA NO CITADA - NO CARGADA EN IURIX - NO NOTIFICADA POR OGA</t>
  </si>
  <si>
    <t>SENTENCIA DE JUICIO ABREVIADO. PENA UNCOS: 3 AÑOS PRISIÓN EFECTIVA</t>
  </si>
  <si>
    <t>INCOMPARENCIA IMPUTADO</t>
  </si>
  <si>
    <t xml:space="preserve"> 12:00</t>
  </si>
  <si>
    <t>163268/23</t>
  </si>
  <si>
    <t>184031/23</t>
  </si>
  <si>
    <t>Cuevas, Alejo Gerardo - Cuevas, Noelia del Milagro</t>
  </si>
  <si>
    <t>PRESOS (CUEVAS, ALEJO EN UC 1 // CUEVAS, NOELIA EN *ARRESTO DOMICILIARIO)</t>
  </si>
  <si>
    <t>AMENAZAS + VIOLACIÓN DE DOMICILIO</t>
  </si>
  <si>
    <t xml:space="preserve">SOBRESEIMIENTO Y LIBERTAD PARA CUEVAS, NOELIA + SENTENCIA DE JUICIO ABREVIADO PARA CUEVAS, ALEJO, PENA: 6 MESES DE PRISIÓN DE EJECUCIÓN EFECTIVA </t>
  </si>
  <si>
    <t>CLAUDIA MARÍA GÓMEZ + NÉSTOR GÓMEZ</t>
  </si>
  <si>
    <t>CUEVAS, ALEJO EN UC 1 // CUEVAS, NOELIA EN *ARRESTO DOMICILIARIO</t>
  </si>
  <si>
    <t>FS. 55/61 - SIN PLAZO</t>
  </si>
  <si>
    <t>25/07/2023 - DEVUELVO EXPEDIENTE A SALA V VOCALIA III PARA PROTOCOLO Y ARCHIVO</t>
  </si>
  <si>
    <t>182608/23</t>
  </si>
  <si>
    <t>Chocobar, Paulo Reinaldo Alejo</t>
  </si>
  <si>
    <t>AMENAZAS + DESOBEDIENCIA JUDICIAL</t>
  </si>
  <si>
    <t>Art 437. 28/06/2023 - Art 441: Mismo decreto</t>
  </si>
  <si>
    <t>MARÍA JIMENA GUANCA</t>
  </si>
  <si>
    <t>FS. 14 -7/02/2023  23:58 HS.</t>
  </si>
  <si>
    <t>181704/23</t>
  </si>
  <si>
    <t>Leal, Samuel Elías</t>
  </si>
  <si>
    <t xml:space="preserve">EXHIBICIONES OBSCENAS (TRES HEHCOS) + ABUSO SEXUAL GRAVEMENTE ULTRAJANDRA (DOS HECHOS) + ABUSO SEXUAL CON ACCESO CARNAL (1 HECHO) AGRAVADO POR LA GUARDA </t>
  </si>
  <si>
    <t>Art 437: 28/06/2023 - Art 441: Mismo decreto</t>
  </si>
  <si>
    <t>DRES. MELISA SILVINA ORTIZ CÉSPEDES + DR. GONZALO EMANUEL RAMOS</t>
  </si>
  <si>
    <t xml:space="preserve">As. 9 - </t>
  </si>
  <si>
    <t xml:space="preserve">MENOR - DENUNCIANTE: LILIANA KARINA GUTIÉRREZ </t>
  </si>
  <si>
    <t>CON ARRESTO DOMICILIARIO - CALLE ESPAÑA 1553 BARRIO LOS OLIVOS - GRAL. GÜEMES</t>
  </si>
  <si>
    <t>FS. 20- 13/12/2022 - 09:42 HS.</t>
  </si>
  <si>
    <t>SIN PREVENTIVA - CON ARRESTO DOMICILIARIO - FS. 45/49 + CONSIGNA FIJA</t>
  </si>
  <si>
    <t xml:space="preserve"> 19:30</t>
  </si>
  <si>
    <t>182986/23</t>
  </si>
  <si>
    <t>PRESO *ARRESTO DOMICILIARIO</t>
  </si>
  <si>
    <t>López Borelli, Federico</t>
  </si>
  <si>
    <t>AMENAZAS + DESOBEDIENCIA JUDICIAL EN CONCURSO REAL</t>
  </si>
  <si>
    <t>Art 437: 29/06/2023 - Art 441: Mismo decreto</t>
  </si>
  <si>
    <t xml:space="preserve"> 12:15</t>
  </si>
  <si>
    <t>MILAGROS LÓPEZ BORELLI</t>
  </si>
  <si>
    <t xml:space="preserve">FS. 14 - 2/03/2023 - 20,35 HS. </t>
  </si>
  <si>
    <t>4/05/2023 - CON ARRESTO DOMICILIARIO</t>
  </si>
  <si>
    <t>157136/23</t>
  </si>
  <si>
    <t>Castillo, Luis Fabian</t>
  </si>
  <si>
    <t>Robo simple</t>
  </si>
  <si>
    <t>Art 437: 30/06/2023 - Art 441: Mismo decreto</t>
  </si>
  <si>
    <t>ALEANDRO FAUSTO CONDORÍ</t>
  </si>
  <si>
    <t>181672/23</t>
  </si>
  <si>
    <t xml:space="preserve">CAMACHO, PABLO ANDRÉS - RAMOHA, JOSÉ ALBERTO ARMANDO - MARTÍNEZ, JOSÉ AUGUSTO </t>
  </si>
  <si>
    <t>Art 437: 04/07/2023 - Art 441: Mismo decreto</t>
  </si>
  <si>
    <t>ADRIANA SOLEDAD ARISMENDI</t>
  </si>
  <si>
    <t>180504/23</t>
  </si>
  <si>
    <t>VASQUEZ, FRANCO GABRIEL</t>
  </si>
  <si>
    <t>HOMICIDIO CULPOSO</t>
  </si>
  <si>
    <t>Art 437: 03/07/2023 Art 441: Mismo decreto</t>
  </si>
  <si>
    <t>JIMENA MARIEL LIENDRO</t>
  </si>
  <si>
    <t>PONS, RAÚL RUBÉN</t>
  </si>
  <si>
    <t>LESIONES LEVES CALIFICADAS POR LA RELACIÓN PREEXISTENTE Y MEDIANDO VIOLENCIA DE GÉNERO + AMENAZAS EN CONCURSO REAL</t>
  </si>
  <si>
    <t>MARÍA EUGENCIA MAGNO</t>
  </si>
  <si>
    <t>182525/23</t>
  </si>
  <si>
    <t>NAVAMUEL, CARLOS ALBERTO</t>
  </si>
  <si>
    <t>AGUSTINA TINTE LARA</t>
  </si>
  <si>
    <t>183433/23</t>
  </si>
  <si>
    <t xml:space="preserve">DOS SANTOS, ARIEL NAHUEL </t>
  </si>
  <si>
    <t>RAMÓN CORREGIDOR</t>
  </si>
  <si>
    <t>183342/23</t>
  </si>
  <si>
    <t>Lamas, Walter Lucio</t>
  </si>
  <si>
    <t>LESIONES LEVES CALIFICADAS POR LA RELACIÓN PREEXISTENTE Y MEDIANDO VIOLENCIA DE GÉNERO</t>
  </si>
  <si>
    <t>ROCÍO BELÉN AMADOR</t>
  </si>
  <si>
    <t>11838/23</t>
  </si>
  <si>
    <t>LÓPEZ, LEONEL JOSÉ ROBERTO</t>
  </si>
  <si>
    <t>MARISEL ADRIANA RENFINJES</t>
  </si>
  <si>
    <t>181993/23</t>
  </si>
  <si>
    <t>Aragón, Emiliano Sabino</t>
  </si>
  <si>
    <t>LESIONES GRAVES CULPOSAS POR HABERSE COMETIDO POR CONDUCCIÓN DE VEHÍCULO CON MOTOR Y POR HABER VIOLADO LA SEÑALIZACIÓN DEL SEMÁFORO AL CONDUCIR ALCOHOLIZADO</t>
  </si>
  <si>
    <t>ARIEL RUBÉN ÁLVAREZ</t>
  </si>
  <si>
    <t>118347/23</t>
  </si>
  <si>
    <t xml:space="preserve">DÍAZ ISELLA, MARCO ALEJANDRO - ISELLA, GUSTAVO ADOLFO </t>
  </si>
  <si>
    <t>ESTAFA POR SUSCRIPCIÓN ENGAÑOSA DE DOCUMENTOS (SEGÚN QUERELLA: + FALSEDAD IDEOLÓGICA DE INSTRUMENTO PÚBLICO EN CONCURSO REAL)</t>
  </si>
  <si>
    <t>DR. MARCELO EDUARDO ARANCIBIA (POR DÍAZ ISELLA) + DR. RICARDO EDUARDO SEPÚLVEDA (POR ISELLA)</t>
  </si>
  <si>
    <t>Dr. Lopez, Lucas Rodrigo</t>
  </si>
  <si>
    <t>MIGUEL ALEJANDRO ROJAS</t>
  </si>
  <si>
    <t>175873/23</t>
  </si>
  <si>
    <t>CHILO, DIEGO SEBASTIÁN - CHILO, DIEGO JESÚS</t>
  </si>
  <si>
    <t>ROBO (DOS HECHOS EN CONCURSO REAL)</t>
  </si>
  <si>
    <t>Dr. Rodríguez, Osvaldo Simón</t>
  </si>
  <si>
    <t xml:space="preserve">GABRIELA SOLEDAD MARTÍNEZ + HERNÁN ALEJANDRO CANTERO + AYELÉN MARÍA EQUÍA TOLABA </t>
  </si>
  <si>
    <t>181771/23</t>
  </si>
  <si>
    <t>MAMANÍ, PEDRO GABRIEL</t>
  </si>
  <si>
    <t>DESOBEDIENCIA JUDICIAL</t>
  </si>
  <si>
    <t xml:space="preserve"> 10:15</t>
  </si>
  <si>
    <t>DOP 7 - Dr. Di Bez</t>
  </si>
  <si>
    <t>AMELIA SOLEDAD JURADO</t>
  </si>
  <si>
    <t>168464/23</t>
  </si>
  <si>
    <t xml:space="preserve">ALFARO, MARCOS SEBASTIÁN + CHAILE, JUSTINA (DEFENSA: DR. ORFEO MAGGIO) </t>
  </si>
  <si>
    <t xml:space="preserve">DEFRAUDACIÓN POR ADMINISTRACIÓN FRAUDULENTA </t>
  </si>
  <si>
    <t xml:space="preserve">QUERELLANTE Y ACTOR CIVIL: DR. JOSÉ FERNANDO TESEYRA  (APODERADO) + CIVILMENTE DEMANDADO: CHAILE, JUSTINA + ALFARO, MARCOS SEBASTIÁN + GARCÍA BATEZ, CINTIA ANAHÍ+ ALFARO, NOELIA SOLEDAD - ECOVISTA SRL - DINSA SRL </t>
  </si>
  <si>
    <t xml:space="preserve">MARÍA PATRICIA ADET + JULIA DAROCA </t>
  </si>
  <si>
    <t>183604/23</t>
  </si>
  <si>
    <t>SARAVIA, GUSTAVO NICOLÁS</t>
  </si>
  <si>
    <t>AMENAZAS (CUATRO HECHOS), LESIONES LEVES AGRAVADAS POR LA RELACION DE PAREJA PREVIA Y POR EL GÉNERO, PRIVACION ILEGÍTIMA DE LA LIBERTAD AGRAVADA POR EL SO DE VIOLENCIA Y POR DEBERSE RESPETO PARTICULAR + COACCIÓN CON ARMA + DESOBEDIENCIA JUDICIAL 8DOS HECHOS) EN CONCURSO REAL</t>
  </si>
  <si>
    <t>Dra. Palavecino, Maria Lis</t>
  </si>
  <si>
    <t xml:space="preserve">DANIELA PATRICIA AGUILAR </t>
  </si>
  <si>
    <t>FS. 11- 01/04/2023- 05,50 hs.</t>
  </si>
  <si>
    <t>fs. 53/59 - SIN PLAZO</t>
  </si>
  <si>
    <t xml:space="preserve">CORIA, LAUTARO ENRIQUE ESTEBAN </t>
  </si>
  <si>
    <t>184501/23</t>
  </si>
  <si>
    <t>Fernández, Franco Emanuel</t>
  </si>
  <si>
    <t xml:space="preserve">ROBO CALIFICADO POR EL USO DE ARMAS </t>
  </si>
  <si>
    <t>Art 437: 07/07/2023 - Art 441: Mismo decreto</t>
  </si>
  <si>
    <t xml:space="preserve">S.S. SOLICITA SUSPENSIÓN DE AUDIENCIAS A HORAS 13,00 POR CONTINUACIÓN DE DEBATE  PREFIJADO. TODAS LAS PARTES ESTABAN PRESENTES. </t>
  </si>
  <si>
    <t>MARCOS ANTONIO PEREYRA FERREYRA (DENUNCIANTE) + LEONARDO FABIO DE SINGLAU (VÍCTIMA)</t>
  </si>
  <si>
    <t>FS. 14 - 22/05/2023 - 14,30 HS.</t>
  </si>
  <si>
    <t>FS. 28/31 - SIN PLAZO</t>
  </si>
  <si>
    <t>183801/23</t>
  </si>
  <si>
    <t>HUAITA, VÍCTOR ALEJANDRO</t>
  </si>
  <si>
    <t>PRIVACIÓN ILEGÍTIMA DE LA LIBERTAD + AMENAZAS EN CONCURSO REAL AGRAVADO + DESOBEDIENCIA JUDICIAL (CONCURSO IDEAL TODO)</t>
  </si>
  <si>
    <t>ANAQUIN OBDULIA AMANDA</t>
  </si>
  <si>
    <t xml:space="preserve">FS. 09 - 12/04/2023 - 00:10 HS. </t>
  </si>
  <si>
    <t>FS. 27/30 - 13/04/2023 - SIN PLAZO</t>
  </si>
  <si>
    <t>181395/23</t>
  </si>
  <si>
    <t>LAZARTE, GASTÓN EDUARDO</t>
  </si>
  <si>
    <t>ABUSO SEXUAL SIMPLE EN CONCURSO REAL CON COACCIÓN</t>
  </si>
  <si>
    <t>Dra. Saldaño, Luciana Milagro</t>
  </si>
  <si>
    <t>MARTA ALICIA CASTILLO (VÍCTIMA) - JUAN JOSÉ HUANCA (DNTE.)</t>
  </si>
  <si>
    <t>FS. 06- 20/11/2023- 10,00 HS</t>
  </si>
  <si>
    <t>182284/23</t>
  </si>
  <si>
    <t>ORQUERA, MATÍAS ALEJANDRO + GARRIDO LLAVER, FACUNDO ELÍAS</t>
  </si>
  <si>
    <t>ROBO CALIFICADO POR EL USO DE ARMAS (DOS HECHOS) - PARA ORQUERA + ROBO CALIFICADO POR EL USO DE ARMAS - PARA GARRIDO</t>
  </si>
  <si>
    <t>HÉCTOR ALBERTO YAÑEZ Y RAMÓN EZEQUIEL ORTIZ</t>
  </si>
  <si>
    <t xml:space="preserve">(ORQUERA) FS. 112 - 13/01/2023 - 13,00 HS. - (GARRIDO) FS. 132 - 16/01/2023 - 20,30 HS. </t>
  </si>
  <si>
    <t>FS. 170/172 -(GARRIDO) -  20/01/2023 - SIN PLAZO - FS. 193/199 - (ORQUERA) 22/02/2023 - SIN PLAZO</t>
  </si>
  <si>
    <t>183512/23</t>
  </si>
  <si>
    <t>PERDIGUERA, EMANUEL ALEJANDRO</t>
  </si>
  <si>
    <t>SOLICITUD DE SUSPENSIÓN DE AUDIENCIA DE S.S. POR SUPERPOSICIÓN CON VENCIMIENTO DE FUNDAMENTOS</t>
  </si>
  <si>
    <t>28/03/2023 - 20,10 HS. FS. 07</t>
  </si>
  <si>
    <t>03/04/2023 - FS. 59/63 - SIN PLAZO</t>
  </si>
  <si>
    <t>184000/23</t>
  </si>
  <si>
    <t>PAZ, MACARENA BELÉN + PAZ, ALDANA PATRICIA</t>
  </si>
  <si>
    <t xml:space="preserve">FS. 42 - 11/05/2023 - 03.00 HS (PAZ MACARENA) + FS. 63 - 11/05/2023 - 03,00 HS. </t>
  </si>
  <si>
    <t>FS. 109/113 - 17/05/2023 - SIN PLAZO</t>
  </si>
  <si>
    <t xml:space="preserve">VILLALBA, FLORENCIA VALERIA  </t>
  </si>
  <si>
    <t>Dr. Romano- Luciano</t>
  </si>
  <si>
    <t>FS. 200/207 - ARRESTO DOMICILIARIO - SIN PLAZO</t>
  </si>
  <si>
    <t>180723/23</t>
  </si>
  <si>
    <t>RÍOS IVÁN EMANUEL + RUIZ, ERNESTO JULIO ISMAEL</t>
  </si>
  <si>
    <t>ROBO TRIPLEMENTE CALIFICADO POR SER COMETIDO EN POBLADO Y EN BANDA MEDIANTE LESIONES GRAVES Y POR EL USO DE ARMA</t>
  </si>
  <si>
    <t xml:space="preserve">GODOY EDUARDO DANIEL + GODOY PEREYRA MARIANO PEDRO ALBERTO </t>
  </si>
  <si>
    <t>ALCAIDÍA (RÍOS) + UC Nº (RUIZ)</t>
  </si>
  <si>
    <t xml:space="preserve">RUIZ - 29/11/2023 - FS. 07 DEL INCIDENTE - </t>
  </si>
  <si>
    <t>FS. 34/40 - RÍOS - 24/10/2022  - RUIZ 12/12/2022 - SIN PLAZO</t>
  </si>
  <si>
    <t>AUTO DE PRUEBA - LIBERTAD IMPUTADO DETENIDO POR REBELDÍA 11/07/2023</t>
  </si>
  <si>
    <t>183514/23</t>
  </si>
  <si>
    <t>CUELLAR, AMÉRICO CRISTIAN</t>
  </si>
  <si>
    <t>Art 437: 11/07/2023 - Art 441: Mismo decreto</t>
  </si>
  <si>
    <t>CARMEN ELIZABETH CRUZ</t>
  </si>
  <si>
    <t>FS. 15 - 29/03/2023 - 10,00 HS.</t>
  </si>
  <si>
    <t>FS. 34/38 - 21/04/2023 - SIN PLAZO</t>
  </si>
  <si>
    <t>182312/23</t>
  </si>
  <si>
    <t>PRESOS: BULACIO Y RASJIDO (BALMACEDA EN LIBERTAD)</t>
  </si>
  <si>
    <t>BALMACEDA, DANTE + BULACIO, JOAQUÍN + RASGIDO, LUIS</t>
  </si>
  <si>
    <t>ROBO EN POBLADO Y BANDA (TENTATIVA)</t>
  </si>
  <si>
    <t>Art 437: 14/07/2023 - Art 441: Mismo decreto</t>
  </si>
  <si>
    <t xml:space="preserve">SENTENCIA DE JUICIO ABREVIADO EFECTIVA (POR TIEMPO CUMPLIDO) Y CONDICIONAL </t>
  </si>
  <si>
    <t xml:space="preserve">DRA. LILIANA KARIAN AQUINO (POR BULACIO) - DR. SANTIAGO PEDROZA (POR RASJIDO) - UDP Nº 11 (DR. CUROTTO) </t>
  </si>
  <si>
    <t>GABRIEL OSCAR SALGADO</t>
  </si>
  <si>
    <t>RASJIDO Y BULACIO - ALCAIDÍA GENERAL - DANTE BALMACEDA EN LIBERTAD</t>
  </si>
  <si>
    <t>FS. 07-  13/01/2023 - 04.30 HS</t>
  </si>
  <si>
    <t>87/92 - 06/03/2023- SIN PLAZO</t>
  </si>
  <si>
    <t>183243/23</t>
  </si>
  <si>
    <t>MAMANÍ AGUILAR, JUAN CARLOS</t>
  </si>
  <si>
    <t>ABUSO SEXUAL GRAVEMENTE ULTRAJANTE AGRAVADO POR LA CONVIVENCIA CON MENOR DE 18 AÑOS (DOS HECHOS)</t>
  </si>
  <si>
    <t>FP UDIS 1 - Federico Obeid</t>
  </si>
  <si>
    <t>FP UDIS 4 - Dr. Pablo Rivero</t>
  </si>
  <si>
    <t>As. 7 - Dra. Quintero, Nora Karina</t>
  </si>
  <si>
    <t>VIVAS, JOSÉ LEONEL</t>
  </si>
  <si>
    <t>Art 437: 06/07/2023 - Art 441: Mismo decreto</t>
  </si>
  <si>
    <t>Dr. Corregidor, Nicolas</t>
  </si>
  <si>
    <t>ETCHEVERRI, LUIS FERNANDO</t>
  </si>
  <si>
    <t>171486/23</t>
  </si>
  <si>
    <t>177526/23</t>
  </si>
  <si>
    <t>TAPIA, RAMÓN GABRIEL</t>
  </si>
  <si>
    <t>LEISONES AGRAVADAS + AMENAZAS + DAÑOS EN CONCURSO REAL</t>
  </si>
  <si>
    <t>MARÍA AZUZENA OINTIVEROS</t>
  </si>
  <si>
    <t>181663/23</t>
  </si>
  <si>
    <t>ROMERO, ARIEL RICARDO</t>
  </si>
  <si>
    <t>RESISTENCIA A LA AUTORIDAD + DESOBEDIENCIA JUDICIAL EN CONCURSO REAL</t>
  </si>
  <si>
    <t>Art 437:  05/07/2023 - Art 441: Mismo decreto</t>
  </si>
  <si>
    <t>SOLÍS, SERGIO GABRIEL Y GALARZA, ABIGAIL RAMONA</t>
  </si>
  <si>
    <t>179047/23</t>
  </si>
  <si>
    <t>FLORES, LUIS FERNANDO</t>
  </si>
  <si>
    <t>COACCIÓN + HURTO SIMPLE + AMENAZAS CON ARMAS + PRIVACION ILEGÍTIMA DE LA LIBERTAD AGRAVADA POR VIOLENCIA DE GÉNERO Y POR PAREJA + LESIONES AGRAVADAS POR EL VÍNCULO Y POR EL GÉNERO</t>
  </si>
  <si>
    <t>LERA, MARIANA DEL VALLE</t>
  </si>
  <si>
    <t>183620/23</t>
  </si>
  <si>
    <t>NAVIA, BRIAN ENZO LEONEL + RODRÍGUEZ, MAXIMILIANO EMANUEL</t>
  </si>
  <si>
    <t xml:space="preserve">ROBO CALIFICADO POR ESCALAMIENTO </t>
  </si>
  <si>
    <t>ESTBLECIMIENTO EDUCATIVO ARA GENERAL BELGRANO - DENUNCIANTE: RÍOS, CARMEN VIVIANA</t>
  </si>
  <si>
    <t>181597/23</t>
  </si>
  <si>
    <t>GUZMÁN, CARLOS SANTOS + MARTÍNEZ, RENÉ LIZARDO + NAVARRO, CÉSAR JAVIER + RODRÍGUEZ POLO, JESSICA (4)</t>
  </si>
  <si>
    <t>VEJACIONES CALIFICADAS POR EL USO DE LA VIOLENCIA</t>
  </si>
  <si>
    <t>Dr. Píntos Cordoba, Eduardo Esteban</t>
  </si>
  <si>
    <t>CORONEL, MATÍAS</t>
  </si>
  <si>
    <t>183304/23</t>
  </si>
  <si>
    <t>ZERRUDO, MATÍAS MANUEL MIGUEL ÁNGEL</t>
  </si>
  <si>
    <t>Dr. Guanca, Gustavo Alfonso</t>
  </si>
  <si>
    <t>DOMÍNGUEZ, HUGO AGRIPINO (DIFUNTO)</t>
  </si>
  <si>
    <t>179288/23</t>
  </si>
  <si>
    <t>RODRÍGUEZ, JOAQUÍN LEANDRO</t>
  </si>
  <si>
    <t>AMENAZAS (DOS HECHOS) + DESOBEDIENCIA JUDICIAL (DOS HECHOS)</t>
  </si>
  <si>
    <t xml:space="preserve">MARÍN, MARÍA ALDANA </t>
  </si>
  <si>
    <t>182668/23</t>
  </si>
  <si>
    <t>ANAGUA, CARLOS ORLANDO</t>
  </si>
  <si>
    <t>LESIONES LEVES AGRAVADAS POR LA RELACION DE PAREJA PREEXITENTE Y POR GÉNERO + AMENAZAS + DESOBEDIENCIA JUDIICAL EN CONCURSO REAL</t>
  </si>
  <si>
    <t>GUANTAY, MELINA ANGÉLICA (VÍCTIMA) - ADOLARISIO, SANDRA ANDREA (DENUNCIANTE) Y ADOLARISIO, HORTENCIA DIONISIO (DENUNCIANTE)</t>
  </si>
  <si>
    <t>184089/23</t>
  </si>
  <si>
    <t>Nogales, Carlos Ivan</t>
  </si>
  <si>
    <t>DESOBEDIENCIA JUDICIAL (TRES HECHOS)</t>
  </si>
  <si>
    <t>Art 437: 17/07/2023 - Art 441: Mismo decreto</t>
  </si>
  <si>
    <t xml:space="preserve"> 12.00</t>
  </si>
  <si>
    <t>Dr. Gómez, Nicolás</t>
  </si>
  <si>
    <t>LAURA ALEJANDRA MONTES</t>
  </si>
  <si>
    <t>FS. 55/61 -17/05/2023 - SIN PLAZO</t>
  </si>
  <si>
    <t>181351/23</t>
  </si>
  <si>
    <t>182201/23</t>
  </si>
  <si>
    <t xml:space="preserve">RODRÍGUEZ PONCE, BRIAN JAVIER </t>
  </si>
  <si>
    <t>PRIVACIÓN ILEGÍTIMA DE LA LIBERTAD AGRAVADA, AMENAZAS, HURTO Y DESOBEDIENCIA JUDICIAL EN CONCURSO REAL</t>
  </si>
  <si>
    <t xml:space="preserve"> 10:30</t>
  </si>
  <si>
    <t>DÍAZ, TANIA BELÉN</t>
  </si>
  <si>
    <t>FS. 08 - 03/01/2023 - 22:50 HS.</t>
  </si>
  <si>
    <t>FS. 39/45 - SIN PLAZO -10/01/2023</t>
  </si>
  <si>
    <t>183766/23</t>
  </si>
  <si>
    <t>Art 437: 21/07/2023 - Art 441: Mismo decreto</t>
  </si>
  <si>
    <t>183451/23</t>
  </si>
  <si>
    <t xml:space="preserve">MERCADO, MARCELO EXEQUIEL </t>
  </si>
  <si>
    <t xml:space="preserve">AMENZAS ( DOS HECHOS) Y DESOBEDIENCIA JUDICIAL (DOS HECHOS) </t>
  </si>
  <si>
    <t>Art 437: 26/07/2023 - Art 441: Mismo decreto</t>
  </si>
  <si>
    <t>Dr. Vasquez, Hector Emiliano</t>
  </si>
  <si>
    <t xml:space="preserve">DENUNCIANTE GARCIA GABRIELA DANIELA </t>
  </si>
  <si>
    <t>26/032023 HS 18:20</t>
  </si>
  <si>
    <t>FS. 43/46 - SIN PLAZO -12/04/2023</t>
  </si>
  <si>
    <t>184127/23</t>
  </si>
  <si>
    <t xml:space="preserve">AYARDE, WILFREDO </t>
  </si>
  <si>
    <t xml:space="preserve">POR LESIONES LEVES AGRAVADAS POR LA RELACION DE PAREJA Y POR MEDIA VIOLENCIA DE GENERO Y COACCION, EN CONCURSO REAL </t>
  </si>
  <si>
    <t>Art 437: 28/07/2023 - Art 441: Mismo decreto</t>
  </si>
  <si>
    <t>Dra. Altamirano, Rocio Sinahi</t>
  </si>
  <si>
    <t xml:space="preserve">DENUNCIANTE CRUZ, CARINA MARISA </t>
  </si>
  <si>
    <t>183523/23</t>
  </si>
  <si>
    <t xml:space="preserve">RAMIREZ, ESTABAN ISRAEL </t>
  </si>
  <si>
    <t xml:space="preserve">LESIONES AGRAVADAS POR  EL GENERO Y POR LA RELACION D PAREJA </t>
  </si>
  <si>
    <t>Dr. López Figueroa, Jaime</t>
  </si>
  <si>
    <t xml:space="preserve">VIVIANA ANDREA COLLAR </t>
  </si>
  <si>
    <t>184438/23</t>
  </si>
  <si>
    <t xml:space="preserve">GUZMAN, MOISES GERARDO +  ARROYO, CRISTIAN ALBERTO </t>
  </si>
  <si>
    <t>Art 437: 25/07/2023 - Art 441: Mismo decreto</t>
  </si>
  <si>
    <t xml:space="preserve">DOP Nª13 Y DR MARTIN D"ANDREA Y FEDERICO HENSEI HIGA </t>
  </si>
  <si>
    <t xml:space="preserve">ORIANA DEL MILAGRO MACEDO </t>
  </si>
  <si>
    <t>ARROYO EL 19/04/2023 HS 10:40 - GUZMAN EL 19/04/2023 HS 10:40</t>
  </si>
  <si>
    <t>CARDOZO, JAVIER ENZO  + GONZÁLEZ LÓPEZ, NICOLÁS EXEQUIEL + SALVA, CRISTIAN OMAR + LERA, JONATHAN RAFAEL + SALVA, EDUARDO RAFAEL ROBERTO (SALVA, NICOLÁS SOBRESEIDO POR INIMPUTABILIDAD) (5)</t>
  </si>
  <si>
    <t>Art 437: 20/07/2023 - Art 41: Mismo decreto</t>
  </si>
  <si>
    <t>CARDOZO, JAVIER ENZO  (DR. BELBRUNO DESDE EL 27/07/2023) + GONZÁLEZ LÓPEZ, NICOLÁS EXEQUIEL (DR. ARANCIBIA) + SALVA, CRISTIAN OMAR (DR. PALAZZO) + LERA, JONATHAN RAFAEL (DR. VERCELLINO) + SALVA, EDUARDO RAFAEL ROBERTO (DR. VERCELLINO)</t>
  </si>
  <si>
    <t>DR. SCHMIDT DODDS + DR. BARRERA MIGUEZ</t>
  </si>
  <si>
    <t>ALCAIDÍA GENERAL Nº 1 (CARDOZO, ENZO JAVIER + GONZÁLEZ LÓPEZ, NICOLÁS EXEQUIEL + LERA, JONATHAN RAFAEL + SALVA, EDUARDO RAFAEL ROBERTO) + SALVA, CRISTIAN OMAR (ARRESTO DOMICILIARIO)</t>
  </si>
  <si>
    <t>CARDOZO, ENZO JAVIER (17/11/2022) + GONZÁLEZ LÓPEZ, NICOLÁS EXEQUIEL (25/11/2022) + LERA, JONATHAN RAFAEL (25/11/2022) + SALVA, EDUARDO RAFAEL ROBERTO (25/11/2023) + SALVA, CRISTIAN OMAR (25/11/2022)</t>
  </si>
  <si>
    <t>11746/23</t>
  </si>
  <si>
    <t xml:space="preserve">GUAYMAS VIVERO, WILLIAM ARIEL </t>
  </si>
  <si>
    <t>GROOMING</t>
  </si>
  <si>
    <t>Art 437: 27/07/2023 - Art 441: Mismo decreto</t>
  </si>
  <si>
    <t>Dr. Galván, Martín Rodolfo</t>
  </si>
  <si>
    <t>As. 3 - Dra. Cardón, Maria Gabriela</t>
  </si>
  <si>
    <t xml:space="preserve">DENUNCIANTE: ÁLVARO YAEL CORREGIDOR </t>
  </si>
  <si>
    <t>173556/23</t>
  </si>
  <si>
    <t xml:space="preserve">TARRAGA, MODESTO ARTURO </t>
  </si>
  <si>
    <t xml:space="preserve">ABUSO SEXUAL CON ACCESO CARNAL Y ABUSO SEXUAL SIMPLE EN CONCURSO REAL </t>
  </si>
  <si>
    <t>Dra. Blanco, Silvia</t>
  </si>
  <si>
    <t>Dr. Díaz Cueto, Josué</t>
  </si>
  <si>
    <t xml:space="preserve">DENUNCIANTE VELASQUE NANCY SILVINA </t>
  </si>
  <si>
    <t>148578/23</t>
  </si>
  <si>
    <t xml:space="preserve">RAUL MARCIAL BALTAZAR </t>
  </si>
  <si>
    <t xml:space="preserve">ABUSO SEXUAL SIMPLE AGRAVADO POR EL VINCULO Y LA CONVIVENCIA CON MENOR DE DIECIOCHO AÑOS </t>
  </si>
  <si>
    <t>Dr. Estrada, Arnaldo Damian</t>
  </si>
  <si>
    <t xml:space="preserve">BENITA ORCKO LLANQUI Y REPRESENTANTE DE LA QUERELLANTE DRA: LIZA VALERIA MEDRANO DEFENSORA OFICIAL DE VIOLENCIA FAMILIAR Y DE GENRO Nº 2 </t>
  </si>
  <si>
    <t xml:space="preserve">DENUNCIANTE BALTAZAR, CARINA SOLEDAD </t>
  </si>
  <si>
    <t>183995/23</t>
  </si>
  <si>
    <t xml:space="preserve">CARRASCO, DAMIAN FAUSTINO </t>
  </si>
  <si>
    <t xml:space="preserve">ABUSO SEXUAL GRAVEMENTE ULTRAJANTE POR SU CIRCUNSTANCIA DE REALIZACION AGRAVADO POR LA GUARDA (DOS HECHOS) EN CONCURSO REAL </t>
  </si>
  <si>
    <t>Dr. Herrera, Gaston</t>
  </si>
  <si>
    <t xml:space="preserve">DENUNCIANTE CARRASCO, NELIDA RAMONA </t>
  </si>
  <si>
    <t xml:space="preserve">CARRASCO, DAMIAN FAUSTINO 20/04/2023 HS </t>
  </si>
  <si>
    <t>FS 38 A 43 SIN PLAZO 03/05/2023</t>
  </si>
  <si>
    <t xml:space="preserve">CHAVEZ, DIEGO + SORIANO, EMANUEL </t>
  </si>
  <si>
    <t xml:space="preserve">ROBO SIMPLE + LESIONES -EVASION </t>
  </si>
  <si>
    <t xml:space="preserve">NORMA SUSANA FLORES </t>
  </si>
  <si>
    <t>CHAVEZ,  DIEGO DANIEL 10/04/2023 HS 23:00 - SORIANO EMANUEL AGUSTIN 10/04/2023 HS 23:10</t>
  </si>
  <si>
    <t>FS 76 A 81 SIN PLAZO 24/03/2023</t>
  </si>
  <si>
    <t>18232/23</t>
  </si>
  <si>
    <t xml:space="preserve">SARMIENTO, EDUARDO JULIO </t>
  </si>
  <si>
    <t xml:space="preserve">ABUSO SEXUAL SIMPLE CALIFICADO; CONCURSO REAL ART,55 ABUSO SEXUAL CON ACCESO CARNAL Y  CALIFICADO </t>
  </si>
  <si>
    <t>Dr. Soto, Cristian Maximiliano</t>
  </si>
  <si>
    <t xml:space="preserve">RAMIREZ, CARLA ELIANA ROMINA </t>
  </si>
  <si>
    <t>JULIO EDURDO SARMIENTO 09/01/2023 HS 13:55</t>
  </si>
  <si>
    <t xml:space="preserve">FS 31 A 36 SIN PLAZO 11/01/2023 </t>
  </si>
  <si>
    <t>184099/23</t>
  </si>
  <si>
    <t xml:space="preserve">OLIVERA, NELSON FRANCO EZEQUIEL </t>
  </si>
  <si>
    <t xml:space="preserve">ROBO CALIFICADO POR LAS CIRCUNSTANCIAS DEL HURTO CALIFICADO </t>
  </si>
  <si>
    <t>Dr. Holver Martínez, Nelson</t>
  </si>
  <si>
    <t xml:space="preserve">DENUNCIANTE SRA: MARCELA IVONNE ONTIVEROS </t>
  </si>
  <si>
    <t>OLIVERA NELSON FRANCO EZEQUIEL 27/04/2023 HS 09.50</t>
  </si>
  <si>
    <t xml:space="preserve">FS 41A 44 SIN PLAZO 02/07/2023 </t>
  </si>
  <si>
    <t xml:space="preserve">REBELDÍA Y DETENCIÓN. INCOMPARENCIA IMPUTADO CON CONDUCCIÓN POR LA FUERZA PÚBLICA. </t>
  </si>
  <si>
    <t xml:space="preserve">14/08/2023 - SE DEVUEVLE AL TRIBUNAL DE JUICIO SALA VI VOCALIA I PARA RESERVA, CON REBELDIA Y DETENCION. </t>
  </si>
  <si>
    <t>184368/23</t>
  </si>
  <si>
    <t>Reales, Franco Ismael</t>
  </si>
  <si>
    <t>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</t>
  </si>
  <si>
    <t>Art 437: 02/08/2023 - Art 441: Mismo decreto</t>
  </si>
  <si>
    <t>Art 437: 24/5/2023 - Art 441: Mismo decreto</t>
  </si>
  <si>
    <t xml:space="preserve"> 14:00</t>
  </si>
  <si>
    <t>VÍCTIMA: LUNA MARTÍNEZ, KAREN FISEL + DENUNCIANTE: MARTÍNEZ, CLEMENCIA EMILIA</t>
  </si>
  <si>
    <t xml:space="preserve">WITTE, PATRICIO NICOLAS </t>
  </si>
  <si>
    <t xml:space="preserve">LESIONES LEVES AGRAVADAS POR LA RELACION Y POR EL GENERO, PRIVACION  ILEGITIMA DE LA LIBERTAD AGRAVADA, AMENAZAS Y SAÑOS </t>
  </si>
  <si>
    <t>Art 437: 07/08/2023 - Art 441: Mismo decreto</t>
  </si>
  <si>
    <t>FP VFG 1 - Dra. Siemensen de Bielke</t>
  </si>
  <si>
    <t>Antes de 26/07/23 Dra. Geria</t>
  </si>
  <si>
    <t>GAP 2 - Dr. Gabriel Gonzalez</t>
  </si>
  <si>
    <t>Antes de 26/07/23</t>
  </si>
  <si>
    <t>FP DDHH - Dra. Claudia Geria</t>
  </si>
  <si>
    <t>Antes de 26/07/23 Dr. Gabrien Gonzalez</t>
  </si>
  <si>
    <t>FP UDIS 3 - Dra. Sodero Calvet</t>
  </si>
  <si>
    <t>Antes de 26/07/23 Dra. Toranzos</t>
  </si>
  <si>
    <t xml:space="preserve">VICTIMA PAOLA ANDREA ESPINOZA </t>
  </si>
  <si>
    <t>182717/23</t>
  </si>
  <si>
    <t xml:space="preserve">VILTE, JAIRO MARCOS EMANUEL; MONTEROS, PABLO EZEQUIEL o EXEQUIEL </t>
  </si>
  <si>
    <t>179640/23</t>
  </si>
  <si>
    <t xml:space="preserve">RIZO, VICENTE -RIZO, JORGE ADRIAN </t>
  </si>
  <si>
    <t xml:space="preserve">ABUSO SEXUAL CON ACCESO CARNAL Y CALIFICADO; COACCION </t>
  </si>
  <si>
    <t>Art 437: 08/08/2023 - Art 441: Mismo decreto</t>
  </si>
  <si>
    <t xml:space="preserve">DRES: SILVIA BLANCO  POR VICENTE RIZO( MP 6063)  Y DANIEL ARNEDO POR JORGE ANDRIAN RIZO (MP5427) </t>
  </si>
  <si>
    <t xml:space="preserve">GUANTAY, JOANA DE LOS ANGELES: ARESTA GUANTAY TAMARA AYELEN (MENOR) </t>
  </si>
  <si>
    <t xml:space="preserve">FS 174 / 177 SIN PLAZO </t>
  </si>
  <si>
    <t xml:space="preserve">ROBO DOBLEMENTE CALIFICADO POR EL USO DE ARMA DE FUEGO Y DE SER COMETIDO POR   POBLADO Y EN BANDA </t>
  </si>
  <si>
    <t xml:space="preserve">DENUNCIANTE VIVANA DEL VALLE BULACIO </t>
  </si>
  <si>
    <t xml:space="preserve"> FS 21 15/02/2023 HS 11:00 VILTE, JAIRO EMANUEL MARCOS ( FS 22)  15/02/2023HS 11:00 MONTERO S, PABLO EZEQUIEL </t>
  </si>
  <si>
    <t xml:space="preserve">FS 199/ 201SIN PLAZO </t>
  </si>
  <si>
    <t>184742/23</t>
  </si>
  <si>
    <t xml:space="preserve">ROJAS, FACUNDO ISAAC </t>
  </si>
  <si>
    <t xml:space="preserve">TENENCIA DE ESTUPEFACIENTES CON FINES DE COMERCIALIZACIÓN Y PORTACION ILEGITIMA DE ARMA DE FUEGO DE USO CIVIL </t>
  </si>
  <si>
    <t>Art 437: 03/08/2023 - Art 441: Mismo decreto</t>
  </si>
  <si>
    <t>Dr. Belbruno, Ricardo (MP 6015)</t>
  </si>
  <si>
    <t xml:space="preserve">DENUNCIA ANONIMA </t>
  </si>
  <si>
    <t xml:space="preserve"> ROJAS, FACUNDO ISAAC 08/062023 HS 00:09  FS 54 </t>
  </si>
  <si>
    <t xml:space="preserve">FS 135/138 SIN PLAZO </t>
  </si>
  <si>
    <t>11807/23</t>
  </si>
  <si>
    <t xml:space="preserve">CHOQUE, FRANCISCO RAMON </t>
  </si>
  <si>
    <t xml:space="preserve">ABUSO SEXUAL GRAVEMENTE ULTRAJANTE Y  CALIFICADO </t>
  </si>
  <si>
    <t>Art 437: 04/08/2023 - Art 441: Mismo decreto</t>
  </si>
  <si>
    <t xml:space="preserve">DENUNCIANTE CHOQUE, FERNANDA ELIZABETH Y (G.C.C) MENOR </t>
  </si>
  <si>
    <t>CHOQUE, FRANCISCO RAMON 09/09/22 (FS 10) HS 08:00</t>
  </si>
  <si>
    <t xml:space="preserve">FS 195/196 SIN PLAZO </t>
  </si>
  <si>
    <t>11884/23</t>
  </si>
  <si>
    <t xml:space="preserve">MAGNO, HUGO HERNAN MILAGRO </t>
  </si>
  <si>
    <t xml:space="preserve">DESOEDIENCIA JUDICIAL </t>
  </si>
  <si>
    <t xml:space="preserve">MARTINEZ, CAROLINA PATRICIA </t>
  </si>
  <si>
    <t xml:space="preserve">LÓPEZ, LEONARDO JAVIER </t>
  </si>
  <si>
    <t>Art 437: 24/03/2023 - Art 441:15/05/2023</t>
  </si>
  <si>
    <t>181500/23</t>
  </si>
  <si>
    <t>tribunal de impugnacion</t>
  </si>
  <si>
    <t xml:space="preserve"> 14:30</t>
  </si>
  <si>
    <t>SENTENCIA DE JUICIO ABREVIADO - PENA: 3 AÑOS CONDICIONAL</t>
  </si>
  <si>
    <t>14/08/2023 - SE DEVUELVE CAUSA A SALA VI VOCALIA 3</t>
  </si>
  <si>
    <t>07/07/2023 - SE DEVUELVE A SALA VI VOCALIA III PARA ARCHIVO</t>
  </si>
  <si>
    <t>184487/23</t>
  </si>
  <si>
    <t>POUSA CIANCIA, JUAN CRUZ</t>
  </si>
  <si>
    <t>JULIETA</t>
  </si>
  <si>
    <t>SENTENCIA CONDENA DE JUICIO ABREVIADO. PENA: 3 AÑOS CONDICIONAL. LIBERTAD EN FECHA 4/08/2023</t>
  </si>
  <si>
    <t>ASAF MARÍA DEL HUERTO</t>
  </si>
  <si>
    <t>14/08/2023 - SE DEVUELVE CAUSA A SALA VI VOCALIA 2</t>
  </si>
  <si>
    <t>SENTENCIA DE JUICIO ABREVIADO - PENA : 3 AÑOS EJECUCIÓN CONDICIONAL - LIBERTAD: 1/08/2023</t>
  </si>
  <si>
    <t>14/08/2023 - SE DEVUELVE EXPEDIENTE PARA ARVHICO SALA V VOCALIA 2</t>
  </si>
  <si>
    <t>Art 437:  - Art 441: Mismo decreto</t>
  </si>
  <si>
    <t xml:space="preserve">PARA RESOLVER PLANTEO DE NULIDAD. PORQUE INTERVIENE DEFENSORIA Nº 9, AVISO EN GARANTIAS Y SIGUIERON NOTIFICANDO A LA DEFENSORA 7. PASA A VOCALIA PARA RESOLVER. </t>
  </si>
  <si>
    <t xml:space="preserve">SUSPENSIÓN DE JUICIO A PRUEBA </t>
  </si>
  <si>
    <t>Calpanchay, Joel Javier</t>
  </si>
  <si>
    <t xml:space="preserve">INCOMPARENCIA DE FISCAL Y DEFENSA. BIEN NOTIFICADOS. </t>
  </si>
  <si>
    <t>IMPUTADO CON REBELDÍA Y DETENCIÓN NO APARECIÓ PARA LA AUDIENCIA - 11/08/2023 SE DEVUELVE EXPEIDENTE A SALA VI PARA RESERVA HASTA TANTO APAREZCA IMPUTADO</t>
  </si>
  <si>
    <t xml:space="preserve">SOBRESEIMIENTO POR RETIRO DE ACUSACIÓN FISCAL </t>
  </si>
  <si>
    <t>02/08/2023 - SE MANDA  A SALA PARA PROTOCOLO. PENDIENTES: COMUNICACIONES</t>
  </si>
  <si>
    <t xml:space="preserve">12/06/2023 (REINIGRESO)        24/07/2023 - DEVUELVO A SALA VI VOCALÍA II PARA PROTOCOLO. Y PARA CORRER VISTA DE INICDENTE A ASESORIA Y FISCALIA CON REMISION DE CAUSA. RESUELTO, MANDAR A DEBATE.   -   03/08/2023 - MANDAR A DEBATE. </t>
  </si>
  <si>
    <t>173889/23</t>
  </si>
  <si>
    <t>CAMPOS GONZALO JOSÉ</t>
  </si>
  <si>
    <t xml:space="preserve">ABUSO SEXUAL CON ACCESO CARNAL AGRAVADO POR LA GUARDA Y LA CONVIVIENCIA Y ABUSO SEXAL GRAVEMENTE ULTRAJANTE AGRAVADO  POR LA GUARDA Y LA CONVIVENCIA TODO EN CONCURSO REAL </t>
  </si>
  <si>
    <t>Art 437: 10/08/2023 - Art 441: Mismo decreto</t>
  </si>
  <si>
    <t>Dr. Damris Pereyra (MP 6814)</t>
  </si>
  <si>
    <t xml:space="preserve">DENUNCIANTE MARIELA ALBA TORO (VIC, M.A.T) </t>
  </si>
  <si>
    <t xml:space="preserve">ALCIADIA GENERAL Nº1 </t>
  </si>
  <si>
    <t xml:space="preserve">FS 37 CAMPOS GONZALO JOSE 14/03/2023 </t>
  </si>
  <si>
    <t>151868/23</t>
  </si>
  <si>
    <t xml:space="preserve">ECHAZU, JOSE DANIEL </t>
  </si>
  <si>
    <t xml:space="preserve">ABUSO SEXUAL GRAVEMENTE ULTRAJANTE (DOS HECHOS) EN CONCURSO REAL </t>
  </si>
  <si>
    <t>Art 437: 14/08/2023 - Art 441: Mismo decreto</t>
  </si>
  <si>
    <t xml:space="preserve">DENUNCIANTE CLAUDIA ELIZABETH SOSA </t>
  </si>
  <si>
    <t>176999/23</t>
  </si>
  <si>
    <t xml:space="preserve">ALANCAY, JUAN ALEJANDRO </t>
  </si>
  <si>
    <t xml:space="preserve">AMENAZAS </t>
  </si>
  <si>
    <t xml:space="preserve">VICTIMA CARLA ABIGAIL SULCA </t>
  </si>
  <si>
    <t>180193/23</t>
  </si>
  <si>
    <t xml:space="preserve">GUTIERREZ, MARIANO AGUSTIN </t>
  </si>
  <si>
    <t xml:space="preserve">ROBO SIMPLE EN GRADO DE TENTATIVA </t>
  </si>
  <si>
    <t xml:space="preserve">VICTIMA CRISTIAN SACONTE CRUZ </t>
  </si>
  <si>
    <t>181222/23</t>
  </si>
  <si>
    <t>GALLARDO, VALERIA NOEMI</t>
  </si>
  <si>
    <t xml:space="preserve">VIOLACION DE DOMICILIO Y DAÑOS TODO ELLO EN CONCURSO REAL </t>
  </si>
  <si>
    <t xml:space="preserve">DENUNCIANTE SEBASTIAN ALVAREZ </t>
  </si>
  <si>
    <t>176294/23</t>
  </si>
  <si>
    <t xml:space="preserve">PEREZ, ANDRES ROBERTO </t>
  </si>
  <si>
    <t xml:space="preserve">LESIONES AGRAVADS </t>
  </si>
  <si>
    <t>Art 437: 11/08/2023 - Art 441: Mismo decreto</t>
  </si>
  <si>
    <t xml:space="preserve">VICTIMA AZUCENA DEL VALLE AILAN </t>
  </si>
  <si>
    <t>181581/23</t>
  </si>
  <si>
    <t xml:space="preserve">GUAYMAS, SERGIO RAMON </t>
  </si>
  <si>
    <t xml:space="preserve">LESIONES AGRAVADAS </t>
  </si>
  <si>
    <t xml:space="preserve">DENUNCIANTE MABEL LUCERO PORTAL GUYAMAS </t>
  </si>
  <si>
    <t>183257/23</t>
  </si>
  <si>
    <t xml:space="preserve">SOSA, MAURICIO NADIR </t>
  </si>
  <si>
    <t xml:space="preserve">LESIONES GRAVES </t>
  </si>
  <si>
    <t>VICTIMA GAASTON HEBER NEIRA</t>
  </si>
  <si>
    <t>SE PLANTEA NULIDAD EN AUDIENCIA - VUELVE A VOCAL PARA RESOLVER</t>
  </si>
  <si>
    <t>184787/23</t>
  </si>
  <si>
    <t xml:space="preserve">TENTATIVA DE HURTO Y AMENAZAS EN CONCURSO REAL </t>
  </si>
  <si>
    <t xml:space="preserve">CORTEZ, FERNANDO NICOLÁS + BEJARANO, ARMANDO </t>
  </si>
  <si>
    <t>Art: 437: 11/08/2023 - Art. 441: mismo decreto</t>
  </si>
  <si>
    <t xml:space="preserve">GRACIELA CAROLINA BALTAZAR </t>
  </si>
  <si>
    <t>ALCAIDÍA Nº 1</t>
  </si>
  <si>
    <t>SENTENCIA DE JUICIO ABREVIADO. PENA UNIFICADA: 1 AÑO Y TRES MESES PRISIÓN EFECTIVA</t>
  </si>
  <si>
    <t>RESULTADO A DEFINIR</t>
  </si>
  <si>
    <t>Resultado a definir, en nueva audiencia</t>
  </si>
  <si>
    <t>Cantidad de expedientes recibidos por resultado de auto de prueba</t>
  </si>
  <si>
    <t>JUICIO 5</t>
  </si>
  <si>
    <t>Expedientes recibidos</t>
  </si>
  <si>
    <t>JUICIO 6</t>
  </si>
  <si>
    <t>Vocalía 1 - Dr. Rubio</t>
  </si>
  <si>
    <t>Vocalía 1 - Dr. Riera</t>
  </si>
  <si>
    <t>Vocalía 2 - Dra. Faber</t>
  </si>
  <si>
    <t>Vocalía 2 - Dra. Mukdsi</t>
  </si>
  <si>
    <t>Vocalía 3 - Dra. Romero Nayar</t>
  </si>
  <si>
    <t>Vocalía 3 - Dr. Pereyra</t>
  </si>
  <si>
    <t>178678/23</t>
  </si>
  <si>
    <t>LEMOS, RICARDO LUIS</t>
  </si>
  <si>
    <t>LESIONES AGRAVADAS</t>
  </si>
  <si>
    <t xml:space="preserve">VICTIMA MEDRANO NORA ELIZABETH </t>
  </si>
  <si>
    <t>180145/23</t>
  </si>
  <si>
    <t xml:space="preserve">PACHECO, JAVIER ALEJANDRO </t>
  </si>
  <si>
    <t xml:space="preserve">ROBO SIMPLE EN  GRADO DE TENTATIVA; HURTO CON ESCALAMIENTO EN GRADO DE TENTATIVA Y HURTO SIMPLE EN GRADO DE TENTATIVA </t>
  </si>
  <si>
    <t xml:space="preserve">Art. 437: 10/08/2023- Art 441 mismo decreto </t>
  </si>
  <si>
    <t xml:space="preserve">DENUNCIANTE ANGEL MAURICIO ARREDONDO </t>
  </si>
  <si>
    <t>7/082023</t>
  </si>
  <si>
    <t>184389/23</t>
  </si>
  <si>
    <t xml:space="preserve">DELGADO, DIEGO EMLIANO </t>
  </si>
  <si>
    <t xml:space="preserve">AMENAZAS Y DESOBEDICIENCIA JUDICIAL EN CONCURSO REAL </t>
  </si>
  <si>
    <t xml:space="preserve">VICTIMA Y DENUNCIANTE CAROLNA BEATRIZ DELGADO </t>
  </si>
  <si>
    <t xml:space="preserve">ALCAIDIA GENERAL Nª1 </t>
  </si>
  <si>
    <t>FS 13- 14/05/23 HS : 10:20</t>
  </si>
  <si>
    <t xml:space="preserve">FS 105/107 SIN PLAZO </t>
  </si>
  <si>
    <t>10/082023</t>
  </si>
  <si>
    <t xml:space="preserve"> 11:30</t>
  </si>
  <si>
    <t>REBELDÍA Y DETENCIÓN. INCOMPARENCIA IMPUTADO.</t>
  </si>
  <si>
    <t xml:space="preserve">  13:30</t>
  </si>
  <si>
    <t>SS. SOLICITA SUSPENSIÓN POR IMPUNTUALIDAD DE LAS PARTES</t>
  </si>
  <si>
    <t>Sin Fecha de audiencia y sin asignar responsable</t>
  </si>
  <si>
    <t>SE SUSPENDE POR RESOLUCION DE REPOSICION DE VOCALIA II SALA V</t>
  </si>
  <si>
    <t>SENTENCIA DE JUICIO ABREVIADO - PRISION CONDICIONAL - PENA: 8 MESES</t>
  </si>
  <si>
    <t>Guanuco, Angel Leandro</t>
  </si>
  <si>
    <t>SENTENCIA DE JUICIO ABREVIADO CONDICIONAL - PENA: SEIS MESES</t>
  </si>
  <si>
    <t>18/08/2023 - SE DEVUELVE EXPEDIENTE PARA ARVHICO SALA V VOCALIA 2</t>
  </si>
  <si>
    <t>SENTENCIA DE JUICIO ABREVIADO - PENA: 6 MESES PRISIÓN DE EJECUCIÓN CONDICIONAL</t>
  </si>
  <si>
    <t xml:space="preserve">PARTES SOLICITAN REPROGRAMACIÓN. PENDIENTE REALIZACION ORDENADA EN AUDIENCIA DE INFORME PSICOLOGICO. PIDEN CITACION DE PROFESIONALES. </t>
  </si>
  <si>
    <t>As. 9 - Dr. Martha Bustos</t>
  </si>
  <si>
    <t xml:space="preserve">SENTENCIA DE JUICIO ABREVIADO - PENA: 1 AÑO PRISIÓN EFECTIVA </t>
  </si>
  <si>
    <t>17/08/2023 - 17,55 HORAS SE DA INGRESO A LA ALCAIDÍA EN CALIDAD DE CONDENADO</t>
  </si>
  <si>
    <t>DR. MAGGIO (POR RUIZ) + DR. REYES ROBERTO ADRIÁN (POR RÍOS)</t>
  </si>
  <si>
    <t xml:space="preserve">IURIX MAL CARGADA DEFENSORIA POR MESA DE ENTRADA </t>
  </si>
  <si>
    <t>SENTENCIA DE JUICIO ABREVIADO - PENA UNIFICADA: UN AÑO Y TRES MESES DE PRISION DE EJECUCION EFECTIVA</t>
  </si>
  <si>
    <t>VUELVE A SALA V VOCALIA III PARA CONTROL</t>
  </si>
  <si>
    <t xml:space="preserve">INCOMPARENCIA DE IMPUTADO. </t>
  </si>
  <si>
    <t>MAL NOTIFICADA DEFENSA - EN DECRETO UNIFICADO FIGURA DR. WALTER CLARK, PERO EN REALIDAD ES DR. JAIME LOPEZ FIGUEROA</t>
  </si>
  <si>
    <t xml:space="preserve">16/08/2023 : DR. JAIME LOPEZ FIGUEROA PRESENTA REPOSICION CONTRA UNIFICACION DE PLAZOS Y CONTRA LOS 10 DIAS. SE RESUELVE EN FECHA 23/08/23, ORDENANDO SS LA NUEVA CITACION A JUICIO. </t>
  </si>
  <si>
    <t>SUSPENSION DE JUICIO A PRUEBA</t>
  </si>
  <si>
    <t>VUELVE A SALA VI VOCALIA II PARA CONTROL</t>
  </si>
  <si>
    <t>SENTENCIA DE JUICIO ABREVIADO CONDICIONAL - PENA: UN AÑO</t>
  </si>
  <si>
    <t>SE RESOLVIO BAJAR LOS AUTOS A GARANTÍAS Nº 4, HACIENDO LUGAR A LA NULIDAD PLANTEADA</t>
  </si>
  <si>
    <t>As. 9 - DRA. MARTHA BUSTOS</t>
  </si>
  <si>
    <t xml:space="preserve"> 09:30 </t>
  </si>
  <si>
    <t>183240/23</t>
  </si>
  <si>
    <t xml:space="preserve"> Morel, Javier Andres </t>
  </si>
  <si>
    <t xml:space="preserve">COACCION Y COACCION CON ARMA (DOS HECHOS) </t>
  </si>
  <si>
    <t xml:space="preserve">Art 437 22/08/2023 - Art 441: mismo decreto </t>
  </si>
  <si>
    <t xml:space="preserve">FP. VFG Nª 1 DRA: CLAUDIA GERIA </t>
  </si>
  <si>
    <t xml:space="preserve">DOP Nª 5  </t>
  </si>
  <si>
    <t xml:space="preserve">FLORES MUÑOZ, CLAUDIA ANABEL </t>
  </si>
  <si>
    <t>FS/ 9-  15/03/2023 HS 00.01</t>
  </si>
  <si>
    <t xml:space="preserve">FS 134/136 SIN PLAZO </t>
  </si>
  <si>
    <t>181757/23</t>
  </si>
  <si>
    <t xml:space="preserve">SAJAMA, JUAN GUILLERMO </t>
  </si>
  <si>
    <t xml:space="preserve">ABUSO SEXUAL CON ACCESO CARNAL  </t>
  </si>
  <si>
    <t xml:space="preserve">Art 437 18/08/2023 Art 441mismo decreto </t>
  </si>
  <si>
    <t xml:space="preserve">UDIS Nª 2 DR: GONZALO MIRALPEIX </t>
  </si>
  <si>
    <t xml:space="preserve">DR: RICARDO BELBRUNO M.P 6015 </t>
  </si>
  <si>
    <t xml:space="preserve">DRES: JOSE VALDEZ AGUILAR M.P 4377 Y GONZALO QUINTEROS NAVARRO M.P 4921 APODERADOS DE LA VICTIMA Y KAREN LISETTE COLQUE MARTINEZ COMO QUERELLANTE PARTICULAR Y ACTORIA CIVIL </t>
  </si>
  <si>
    <t xml:space="preserve">KAREN LISETTE COLQUE MARTINEZ </t>
  </si>
  <si>
    <t>FS/11- 9/012/2022 HS 01:15</t>
  </si>
  <si>
    <t xml:space="preserve">FS/140/142 SIN PLAZO </t>
  </si>
  <si>
    <t>184666/23</t>
  </si>
  <si>
    <t xml:space="preserve">CAMARGO, BEATRIZ ZULMA </t>
  </si>
  <si>
    <t xml:space="preserve">ESTAFA (DOS HECHOS) Y ESTAFA EN GRADO DE TENTATIVA (TRES HECHOS9 </t>
  </si>
  <si>
    <t xml:space="preserve">FISCALIA PENAL Nª 5 FEDERICO JOVANOVICS </t>
  </si>
  <si>
    <t xml:space="preserve">DR: ORFEO MAGGIO </t>
  </si>
  <si>
    <t xml:space="preserve">MIGUEL DANTE GOROSITO Y MARIANO NICOLAS ISTURIZ </t>
  </si>
  <si>
    <t xml:space="preserve">FS 231/235SIN PLAZO </t>
  </si>
  <si>
    <t xml:space="preserve">FS 23 -  02/06/2023 HS 19:45 </t>
  </si>
  <si>
    <t xml:space="preserve">PRESO </t>
  </si>
  <si>
    <t>169149/23</t>
  </si>
  <si>
    <t xml:space="preserve">LOPEZ HEREDIA, JOSE CARLOS </t>
  </si>
  <si>
    <t xml:space="preserve">DESOBEDIENCIA JUDICIAL, VIOLACION DE DOMICILIO, AMENAZAS Y ROBO TODO EN CONCURSO REAL </t>
  </si>
  <si>
    <t xml:space="preserve">FPVG Nª 4 DRA: ELISA PEREZ </t>
  </si>
  <si>
    <t xml:space="preserve">DOP Nª 6 DR: JAIME LOPEZ FIGUEROA </t>
  </si>
  <si>
    <t xml:space="preserve">MARTA BEATRIZ ROSA </t>
  </si>
  <si>
    <t>120942/23</t>
  </si>
  <si>
    <t xml:space="preserve">VAZQUEZ, JOSE ALEJANDRO </t>
  </si>
  <si>
    <t xml:space="preserve">ABUSO SEXUAL SIMPLE CALIFICADO  </t>
  </si>
  <si>
    <t xml:space="preserve">DR: MASILLA DANIEL DAVID </t>
  </si>
  <si>
    <t xml:space="preserve">VICTIMA -LUZ ALEXIA VAZQUEZ CORBELLA Y DENUNCIANTE ROSANA ELIZABETH CORBELLA </t>
  </si>
  <si>
    <t>182775/23</t>
  </si>
  <si>
    <t xml:space="preserve">PEÑA, JUAN JOSE MAXILILIANO </t>
  </si>
  <si>
    <t xml:space="preserve">AMENAZAS, AMENAZAS CON ARMA, HUERTO Y DESOBEDIENCIA JUDICIAL </t>
  </si>
  <si>
    <t xml:space="preserve">CAROLINA DEL ROSARIO QUIPILDOR </t>
  </si>
  <si>
    <t>178878/23</t>
  </si>
  <si>
    <t xml:space="preserve">VILTE, JORGE ANTONIO </t>
  </si>
  <si>
    <t xml:space="preserve">FALSA DENUNCIA </t>
  </si>
  <si>
    <t xml:space="preserve">DR: RAMIRO SEBASTIAN GUTIERREZ </t>
  </si>
  <si>
    <t>173309/23</t>
  </si>
  <si>
    <t xml:space="preserve">FABIAN, JOSE ALEJANDRO </t>
  </si>
  <si>
    <t xml:space="preserve">COACCIONES AGRAVADAS POR USO DE ARMAS O ANONIMA </t>
  </si>
  <si>
    <t xml:space="preserve">Art 437 17/08/2023- Art 441MISMO DECRETO </t>
  </si>
  <si>
    <t xml:space="preserve">Art 437  16/08/2023- Art 441 MISMO DECRETO </t>
  </si>
  <si>
    <t xml:space="preserve">ROMINA ALEJANDRA GUANTAY </t>
  </si>
  <si>
    <t xml:space="preserve">LAVAYEN, RODRIGO DAMIAN </t>
  </si>
  <si>
    <t xml:space="preserve">AMENAZAS  </t>
  </si>
  <si>
    <t xml:space="preserve">IVAN GONZALO LAVAYEN </t>
  </si>
  <si>
    <t>24/082023</t>
  </si>
  <si>
    <t xml:space="preserve">OSINAGA, OSCAR ANTONIO ; SANDOVAL, RENE ADOLFO </t>
  </si>
  <si>
    <t xml:space="preserve">LESIONES AGRAVADAS; DAÑOS AGRAVADOS; AMENAZAS </t>
  </si>
  <si>
    <t xml:space="preserve">Art 437 23/08/2023 Art 441 MISMO DECRETO </t>
  </si>
  <si>
    <t>DOP 9 -</t>
  </si>
  <si>
    <t xml:space="preserve">VICTOR OSVALDO BARBOZA </t>
  </si>
  <si>
    <t>169095/23</t>
  </si>
  <si>
    <t xml:space="preserve">CHAZARRETA, JUAN MANUEL </t>
  </si>
  <si>
    <t xml:space="preserve">Art 437 25/08/2023 MISMO DECRETO </t>
  </si>
  <si>
    <t>DR: VIDAL VILLALBA SAMANIEGO</t>
  </si>
  <si>
    <t xml:space="preserve">NADIA LUJAN CARRIZO </t>
  </si>
  <si>
    <t>Cuenta las suspendidas</t>
  </si>
  <si>
    <t>164182/23</t>
  </si>
  <si>
    <t>CAUSAS SIN ASIGNAR JUEZ</t>
  </si>
  <si>
    <t xml:space="preserve"> 09/08/2023</t>
  </si>
  <si>
    <t>SUSPENDIDA POR FALTA DE VENCIMIENTO PLAZOS EN CAUSA ACUMULADA</t>
  </si>
  <si>
    <t>SENTENCIA DE JUICIO ABREVIADO - PENA: UN AÑO PRISIÓN EFECTIVA</t>
  </si>
  <si>
    <t>PASA A DEBATE SALA VI VOCALIA III</t>
  </si>
  <si>
    <t xml:space="preserve">SENTENCIA DE JUICIO ABREVIADO - PENA: 5 AÑOS Y 10 MESES EFECTIVA </t>
  </si>
  <si>
    <t xml:space="preserve">LIBERTAD </t>
  </si>
  <si>
    <t>SENTENCIA DE JUICIO ABREVIADO - PENA: 6 MESES DE EJECUCION CONDICIONAL</t>
  </si>
  <si>
    <t>Juicio abreviado - 3 años de condicional y 6 meses de inhabiltación para conducir vehiculos por 6 años</t>
  </si>
  <si>
    <t>Suspendida por incomparencia del imputado</t>
  </si>
  <si>
    <t>Juicio abreviado - Pena: 4 años y 2 meses de prision efectiva REVOCANDO condicional - UNIFICANDO A PENA UNICA DE: Cinco años y 2 meses</t>
  </si>
  <si>
    <t>PASA A DEBATE SALA V VOCALÍA I</t>
  </si>
  <si>
    <t>27/03/2023 - REINGRESA CON NUEVA ELEVACION  EN GARANTIAS 31/08/2023</t>
  </si>
  <si>
    <t>JUEZ DE DEBATE</t>
  </si>
  <si>
    <t>FECHA DEBATE</t>
  </si>
  <si>
    <t>ACTUALIZADAS</t>
  </si>
  <si>
    <t xml:space="preserve"> 31/08/2023</t>
  </si>
  <si>
    <t xml:space="preserve"> 23/08/2023</t>
  </si>
  <si>
    <t xml:space="preserve"> 18/08/2023</t>
  </si>
  <si>
    <t xml:space="preserve"> 02/08/2023</t>
  </si>
  <si>
    <t xml:space="preserve"> 24/07/2023</t>
  </si>
  <si>
    <t xml:space="preserve"> 07/07/2023</t>
  </si>
  <si>
    <t>PASA A DEBATE VOCALIA II SALA V</t>
  </si>
  <si>
    <t>182488/23</t>
  </si>
  <si>
    <t xml:space="preserve">BAIS LUCHINI, EDUARDO MAURICIO </t>
  </si>
  <si>
    <t xml:space="preserve">Art 437 29/08/2023 Art 441 MISMO DECRETO </t>
  </si>
  <si>
    <t xml:space="preserve">DENUCIANTE: SANDRA MABEL CORIMAYO </t>
  </si>
  <si>
    <t xml:space="preserve">FS 18- 05/04/2023 HS 12:00 </t>
  </si>
  <si>
    <t xml:space="preserve">FS 127/129 SIN PLAZO </t>
  </si>
  <si>
    <t>180972/23</t>
  </si>
  <si>
    <t xml:space="preserve">AMENAZAS Y LESIONES LEVES EN CONCURSO REAL </t>
  </si>
  <si>
    <t xml:space="preserve">CLAUDIO , DANIEL GUILLEN </t>
  </si>
  <si>
    <t>177112/23</t>
  </si>
  <si>
    <t xml:space="preserve">CUELLAR, JULIAN NAHIR; ROJAS, JUAN MAURICIO </t>
  </si>
  <si>
    <t xml:space="preserve">HURTO CALIFICADO </t>
  </si>
  <si>
    <t xml:space="preserve">MIRTA ADELA SOTO </t>
  </si>
  <si>
    <t>30/082023</t>
  </si>
  <si>
    <t>178942/23</t>
  </si>
  <si>
    <t xml:space="preserve">DIAZ, VANESA DANIELA </t>
  </si>
  <si>
    <t xml:space="preserve">ABANDONO DE PERSONA AMENAZAS CON ARMAS LESIONES LEVES TODO ELLO EN CONCURSO REAL </t>
  </si>
  <si>
    <t xml:space="preserve">JAZMIN ALEJANDRA DIAZ, MAXARENA NOELIA DIAS; LORENA, VANESA MIRANDA </t>
  </si>
  <si>
    <t>177804/23</t>
  </si>
  <si>
    <t xml:space="preserve">ORTEGA, ALVARO BENJAMIN </t>
  </si>
  <si>
    <t xml:space="preserve">HURTO Y FALSA DENUNCIA </t>
  </si>
  <si>
    <t xml:space="preserve">DENUNCIANTE- DIEGO TOMAS CARRIZO </t>
  </si>
  <si>
    <t xml:space="preserve">ALDERETE, PATRICIO JESUS </t>
  </si>
  <si>
    <t xml:space="preserve">ROBO CALIFICADO POR EFRACCION EN GRADO DE TENTATIVA </t>
  </si>
  <si>
    <t xml:space="preserve">LUIS JUAN FRANCO </t>
  </si>
  <si>
    <t xml:space="preserve"> 13:15</t>
  </si>
  <si>
    <t>"continuacion" de audiencia realizada el 25/08/23</t>
  </si>
  <si>
    <t>167928/23</t>
  </si>
  <si>
    <t>ARAMAYO, JOSÉ ALBERTO</t>
  </si>
  <si>
    <t>ABUSO SEXUAL CON ACCESO CARNAL + ABUSO SEXUAL SIMPLE</t>
  </si>
  <si>
    <t>Art 437 07/08/2023 Art 441 MISMO DECRETO</t>
  </si>
  <si>
    <t>Dr. Luis Fernando Díaz Zabalaga + Dr. Juan José Damuri</t>
  </si>
  <si>
    <t>Villalobo, Romina Elizabeth</t>
  </si>
  <si>
    <t>17/08/2023 - SE ACUMULA A CAUSA 183015 DE SALA VI TRIBUNAL DE JUICIO</t>
  </si>
  <si>
    <t>11/08/2023 - SE ACUMULA A CAUSA 181971/23 SALA IV TRIBUNAL DE JUICIO</t>
  </si>
  <si>
    <t>182625/23</t>
  </si>
  <si>
    <t xml:space="preserve">HERRERA, RAMON EZEQUIEL </t>
  </si>
  <si>
    <t xml:space="preserve">AMENAZAS. (CINCO HECHOS) </t>
  </si>
  <si>
    <t xml:space="preserve">Art 437 31/08/2023 Art 441 MISMO DECRETO </t>
  </si>
  <si>
    <t xml:space="preserve">CLAUDIA CAROLINA LESCANO CIRIMONTE </t>
  </si>
  <si>
    <t>184663/23</t>
  </si>
  <si>
    <t xml:space="preserve">SORIA, SERGIO EMANUEL </t>
  </si>
  <si>
    <t xml:space="preserve">AMENAZAS (DOS HECHOS)  </t>
  </si>
  <si>
    <t xml:space="preserve">DR: LAUTARO EZEQUIEL HUMACATA </t>
  </si>
  <si>
    <t xml:space="preserve">CELESTE VACA </t>
  </si>
  <si>
    <t>185404/23</t>
  </si>
  <si>
    <t xml:space="preserve">CHOCOBAR, SERGIO MAXIMILIANO </t>
  </si>
  <si>
    <t xml:space="preserve">AMENAZAS CON ARMA  </t>
  </si>
  <si>
    <t xml:space="preserve">ANDREA MARGARITA GUANTAY </t>
  </si>
  <si>
    <t>Rótulos de fila</t>
  </si>
  <si>
    <t>Total general</t>
  </si>
  <si>
    <t xml:space="preserve">SENTENCIA DE JUICIO ABREVIADO CONDICIONAL - PENA: 3 AÑOS </t>
  </si>
  <si>
    <t>LIBERTAD 4/09/2023</t>
  </si>
  <si>
    <t>06/09/2023: SE DEVUELVEN ACTUACIONES A SALA V VOCALIA III PARA QUE RESUELVA REBELDIA Y CAPTURA.</t>
  </si>
  <si>
    <t>AUDIENCIA REPROGRAMADA 3 VECES¡. CON REBELDÍA Y CONDUCCIÓN POR FUERZA PÚBLICA</t>
  </si>
  <si>
    <t>Sayago, Leonardo Gabriel</t>
  </si>
  <si>
    <t>185167/23</t>
  </si>
  <si>
    <t xml:space="preserve">GEREZ, ERNESTO SABINO </t>
  </si>
  <si>
    <t xml:space="preserve">MARINA SOLEDAD ALFARO </t>
  </si>
  <si>
    <t xml:space="preserve">FS 112/115 SIN  PLAZO </t>
  </si>
  <si>
    <t>184356/23</t>
  </si>
  <si>
    <t xml:space="preserve">UNCOS, ANGEL ANTONIO </t>
  </si>
  <si>
    <t xml:space="preserve">ABUSO SEXUAL GRAVEMENTE ULTRAJANTE AGRAVADO POR LA GUARDA Y EL CINVULO Y ABUSO SEXUAL CON ACCESO CARNAL AGRAVADA POR LA GUARDA Y EL VINCULO, TODO EN CONCURSO RELA </t>
  </si>
  <si>
    <t xml:space="preserve">Art 437   05/09/2023 Art 441 MISMO DECRETO </t>
  </si>
  <si>
    <t xml:space="preserve">Art 437 04/09/2023 Art 441 MISMO DECRETO </t>
  </si>
  <si>
    <t xml:space="preserve">DENUCIANTE ANGEL ADRIAN UNCOS ( PADRE) VIC T.M.G.U </t>
  </si>
  <si>
    <t xml:space="preserve">PRISION DOMICILIARIA (UADME 9 </t>
  </si>
  <si>
    <t>FS 12 12/05/2023 HS 02:20</t>
  </si>
  <si>
    <t xml:space="preserve">FS 127/128 SIN PLAZO </t>
  </si>
  <si>
    <t>170759/23</t>
  </si>
  <si>
    <t xml:space="preserve">ABUSO SEXUAL SIMPLE AGRAVADO POR SER COMETIDO POR  UN MINISTRO DE CULTO (DOS HECHOS) EN CONCURSO REAL </t>
  </si>
  <si>
    <t>DR: JUAN PABLO RICHIUTO VALDECANTOS M.P 1705</t>
  </si>
  <si>
    <t xml:space="preserve">ASESORIA DE INCAPECES A DEFINIR </t>
  </si>
  <si>
    <t xml:space="preserve">DENUNCIANTE CHOQUE, ELENA IRENE </t>
  </si>
  <si>
    <t>160898/23</t>
  </si>
  <si>
    <t xml:space="preserve">YAÑEZ, FRANCO NAHUEL </t>
  </si>
  <si>
    <t xml:space="preserve">ROMINA QUINTEROS </t>
  </si>
  <si>
    <t>123983/23</t>
  </si>
  <si>
    <t xml:space="preserve">VACA, LUCIANO EMANUEL </t>
  </si>
  <si>
    <t xml:space="preserve">POR PROCESO SUMARISIMO FLAGRANCIA, TENENCIA DE ESTUPEFACIENTES CON FINES DE COMERCIALIZACION </t>
  </si>
  <si>
    <t xml:space="preserve">Art 437 01/09/2023 441 Art MISMO DECRETO </t>
  </si>
  <si>
    <t>177078/23</t>
  </si>
  <si>
    <t xml:space="preserve">DIAZ, HECTOR RAFAEL </t>
  </si>
  <si>
    <t xml:space="preserve">HURTO SIMPLE  </t>
  </si>
  <si>
    <t xml:space="preserve">SONIA MARIA DE LOS ANGELES MERCADO </t>
  </si>
  <si>
    <t>178570/23</t>
  </si>
  <si>
    <t xml:space="preserve">CASTRO, LAUTARO NAHUEL </t>
  </si>
  <si>
    <t xml:space="preserve">DAÑOS AGRAVADOS, CONCURSO REAL ART 55 </t>
  </si>
  <si>
    <t xml:space="preserve">Art 437 05/09/2023 Art 441 MISMO DECRETO </t>
  </si>
  <si>
    <t xml:space="preserve">DR: OSCAR HUMBERTO RODRIGUEZ </t>
  </si>
  <si>
    <t xml:space="preserve">DR: JUAN JOSE FAMURI M.P 5250 </t>
  </si>
  <si>
    <t xml:space="preserve">DEN: VALDICIEZO, MARCELO- AGUILAR JUMENA -ROCA GLADYS -VILLAGRAN ARIEL -SCHIELE MAMANI ANGEL - DIAZ LUIS </t>
  </si>
  <si>
    <t>OFIJU JUI</t>
  </si>
  <si>
    <t>INFORME SEMANA:</t>
  </si>
  <si>
    <t>AL</t>
  </si>
  <si>
    <t xml:space="preserve">DRA. MAROCCO REALIZA LA AUDIENCIA. SE INHIBIE. SOLICITA A ACUMULACION  A CAUSA 11692/23 DE SALA VII. SE REMITE A MESA DISTRIBUIDORA PARA CAMBIO DE RADICACION. </t>
  </si>
  <si>
    <t xml:space="preserve">12/09/2023: DEFENSA PLANTEA NULIDAD  DE NOTIFICACIÓN DE REQUERIMIENTO - SE DEVUELVEN ACTUACIONES A SALA V VOCALIA I PARA RESOLVER </t>
  </si>
  <si>
    <t>DR. JOSÉ LUIS RIERA (REEMPLAZO RRHH)</t>
  </si>
  <si>
    <t xml:space="preserve">SENTENCIA DE JUICIO ABREVIADO EFECTIVA PARA SORIANO (SU NOMBRE VERDADERO ES FERNÁNDEZ). PENA: 6 MESES EFECTIVA. SE SEPARA A CHAVEZ. SE REPROGRAMA AUDIENCIA PARA ÉL. </t>
  </si>
  <si>
    <t>REINGRESO CON NULIDAD RESUELTA 11/09/2023</t>
  </si>
  <si>
    <t>Carolina Correa</t>
  </si>
  <si>
    <t>Carolina Aguirre</t>
  </si>
  <si>
    <t>Florencia Alvarez</t>
  </si>
  <si>
    <t>Maria Ines Cornejo</t>
  </si>
  <si>
    <t>Marcela Rojas</t>
  </si>
  <si>
    <t>Mario Aparicio</t>
  </si>
  <si>
    <t>Claudia Alarcón</t>
  </si>
  <si>
    <t>Ruben Corimayo</t>
  </si>
  <si>
    <t>Julieta Russo</t>
  </si>
  <si>
    <t>Valores viejos</t>
  </si>
  <si>
    <t>REBELDIA</t>
  </si>
  <si>
    <t>INHIBICIÓN</t>
  </si>
  <si>
    <r>
      <t>VICENTE RIZO 14/07/2022 ( FS 48) EN EL EXP 179057/22 GARANTIAS Nº2 POR ABUSO SEXUAL Y EN</t>
    </r>
    <r>
      <rPr>
        <b/>
        <sz val="10"/>
        <color theme="0"/>
        <rFont val="Arial"/>
        <family val="2"/>
      </rPr>
      <t xml:space="preserve"> ( FS 56)</t>
    </r>
    <r>
      <rPr>
        <sz val="10"/>
        <color theme="0"/>
        <rFont val="Arial"/>
        <family val="2"/>
      </rPr>
      <t xml:space="preserve"> CONOCIMIENTO DE CAUSA DE DETENCION POR LA SIGUIENTE CUASA 179640 Y RIZO, JORGE ADRIAN 05/07/23 ( FS 116) Y ( FS 122) </t>
    </r>
  </si>
  <si>
    <t>SE REMITE POR ACUMULACIÓN A SALA 7 TRBUNAL DE JUICIO VOCALÍA DR. MASCARELLO</t>
  </si>
  <si>
    <t>166523/23 + 172379/23</t>
  </si>
  <si>
    <t>LIBERTAD 18/09/2023</t>
  </si>
  <si>
    <t xml:space="preserve">SANJINEZ, LUIS ALBERTO </t>
  </si>
  <si>
    <t xml:space="preserve">PENDIENTE: REPARACIÓN DEL DAÑO A LA VÍCTIMA </t>
  </si>
  <si>
    <t>SE REMITE A SALA I PARA ACUMULACION A CAUSA JUI Nº 112852/17</t>
  </si>
  <si>
    <t>SUSPENDIDA POR FALTA DE PLAZO. CAUSA ACUMULADA A 181393/23</t>
  </si>
  <si>
    <t>TECNICO</t>
  </si>
  <si>
    <t>Martìn Romero</t>
  </si>
  <si>
    <t>Guido</t>
  </si>
  <si>
    <t>Fernando Medina</t>
  </si>
  <si>
    <t>Javier Armiñana</t>
  </si>
  <si>
    <t>Tribunal III</t>
  </si>
  <si>
    <t xml:space="preserve">INCOMPARENCIA DE LA FISCALÍA. DR. PORTAL MANIFIESTA NO ESAR NOTIFICADO. SE IMPRIMEN Y AGREGAN CONSTANCIAS DE QUE SÍ ESTABA NOTIFICADO POR OGA DESDE 11/08/2023. SE ENCONTRABAN PRESENTES IMPUTADO Y VÍCTIMA. DEFENSA A DISPOSICIÓN SI SE REALIZABA AUDIENCIA. </t>
  </si>
  <si>
    <t xml:space="preserve">AUDIENCIA FIJADA ORIGINALMENTE EN FECHA 20/09, QUE SE SUSPENDIO POR INCOMPARENCIA DE LA FISCALÍA. EL DR. PORTAL MANIFESTÓ NO ESAR NOTIFICADO. SE IMPRIMEN Y AGREGAN CONSTANCIAS DE QUE SÍ ESTABA NOTIFICADO POR OGA DESDE 11/08/2023. SE ENCONTRABAN PRESENTES IMPUTADO Y VÍCTIMA. </t>
  </si>
  <si>
    <t xml:space="preserve"> 15:00</t>
  </si>
  <si>
    <t xml:space="preserve">Tribunal de Juicio VI - Sala 4 </t>
  </si>
  <si>
    <t xml:space="preserve"> 12:45</t>
  </si>
  <si>
    <t xml:space="preserve"> Tribunal de Juicio VI - Sala 6</t>
  </si>
  <si>
    <t>184940/23</t>
  </si>
  <si>
    <t xml:space="preserve"> Tribunal de Juicio VI - Sala 4</t>
  </si>
  <si>
    <t>Diana Dagum</t>
  </si>
  <si>
    <t>Tribunal VI - Sala 2</t>
  </si>
  <si>
    <t>Tribunal VI - Sala 3</t>
  </si>
  <si>
    <t>Tribunal VI - Sala 4</t>
  </si>
  <si>
    <t>Tribunal II</t>
  </si>
  <si>
    <t>Garantías Nº 7 - Sala 2</t>
  </si>
  <si>
    <t>OFICINA JUDICIAL DE GESTION DE JUICIOS DE JUICIO -   AÑO 2023</t>
  </si>
  <si>
    <t>Resultados según GÉNERO</t>
  </si>
  <si>
    <t>Sobreseimiento</t>
  </si>
  <si>
    <t>Auto de Prueba</t>
  </si>
  <si>
    <t>Excluida</t>
  </si>
  <si>
    <t>Nulidad</t>
  </si>
  <si>
    <t>Resultados según ESPECIE</t>
  </si>
  <si>
    <t>OFICINA JUDICIAL DE GESTION DE JUICIOS DE JUICIOS -   AÑO 2023</t>
  </si>
  <si>
    <t>183743/23</t>
  </si>
  <si>
    <t>PRESO (ZACARIAS-CHOCOBAR)</t>
  </si>
  <si>
    <t xml:space="preserve">ZACARIAS, CRISTIAN- CHOCOBAR, SEGIO- ALVAREZ, ANAHI   </t>
  </si>
  <si>
    <t>ALCALDIA GENERAL Nº1</t>
  </si>
  <si>
    <t>FS/42 10-04-2023 09:16HS(ZACARIAS) FS/47 10-04-2023 9:28HS(CHOCOBAR) FS/42 10-04-2023 9:16HS (ALVAREZ)</t>
  </si>
  <si>
    <t xml:space="preserve">DEN: MERILES, ARMANDO VIRGILIO- BERMUDEZ, AGUSTIN </t>
  </si>
  <si>
    <t>Art.437:21/09/2023 - Art 441: Mismo decreto</t>
  </si>
  <si>
    <t>FS 65/71 SIN PLAZO</t>
  </si>
  <si>
    <t xml:space="preserve">LESIONES CULPOSAS GRAVISIMAS </t>
  </si>
  <si>
    <t>ZERPA, DAVY</t>
  </si>
  <si>
    <t xml:space="preserve">NOLASCO, ALEJANDRO - NOLASCO GREGORIO - BONIFACIO, WALTER </t>
  </si>
  <si>
    <t>186355/23</t>
  </si>
  <si>
    <t>184562/23</t>
  </si>
  <si>
    <t>DAÑOS (DOS HECHOS), VIOLACION DE DOMICILIO, AMENAZAS EN CONCURSO REAL EN PERJUICIO DE CALVO GRAVOSKY, ARMANDO IVAN, AGUILAR, MANUEL TADEO</t>
  </si>
  <si>
    <t xml:space="preserve">CALVO GRAVOSKY, ENZO DAVID </t>
  </si>
  <si>
    <t xml:space="preserve">DEN: CALVO GRAVOSKY ARMANDO - AGUILAR MANUEL TADEO </t>
  </si>
  <si>
    <t>185043/23</t>
  </si>
  <si>
    <t>MENDEZ, FABRICIO EXEQUIEL</t>
  </si>
  <si>
    <t xml:space="preserve"> DEN: PAZ, JESSICA ABIGAIL</t>
  </si>
  <si>
    <t>185936/23</t>
  </si>
  <si>
    <t>BURGOS, RAMIRO JOEL</t>
  </si>
  <si>
    <t>COACCION (TRES HECHOS), VIOLACION DE DOMICILIO (DOS HECHOS), DAÑOS, AMENAZAS CON ARMAS (DOS HECHOS) Y DESOBEDIENCIA JUDICIAL (CUATRO HECHOS) TODO EN CONCURSO REAL</t>
  </si>
  <si>
    <t>SCHIAVONE, YANINA JULIANA</t>
  </si>
  <si>
    <t>183076/23</t>
  </si>
  <si>
    <t>DEN: RUEDA, ROCIO ALICIA</t>
  </si>
  <si>
    <t>DESOBEDIENCIA JUDICIAL, LESIONES LEVES AGRAVADAS POR LA RELACION DE PAREJA PREEXISTENTE Y POR EL GENERO EN CONCURSO REAL EN PERJUICIO DE PAZ, JESSICA ABIGAIL</t>
  </si>
  <si>
    <t>LESIONES LEVES AGRAVADAS POR LA RELACION DE PAREJA PREVIA PREEXISTENTE</t>
  </si>
  <si>
    <t>ABANDONO DE PERSONA, EN PERJUICIO DE D.D.E.N.(M); AMENAZAS CON ARMAS EN PERJUICIO DE DIAZ, MACARENA NOELIA Y LESIONES LEVES EN PERJUICIO DE M.K.E.(M) TODO ELLO EN CONCURSO REAL</t>
  </si>
  <si>
    <t>DEN: DIAZ, JAZMÍN ALEJANDRA ; DIAZ, MACARENA NOELIA Y MIRANDA, LORENA VANESA</t>
  </si>
  <si>
    <t>As. 8 - Dra. Mariana Laconi</t>
  </si>
  <si>
    <t>Art.437: - Art 441: Mismo decreto</t>
  </si>
  <si>
    <t>Art.437:- Art 441: Mismo decreto</t>
  </si>
  <si>
    <t>162882/23</t>
  </si>
  <si>
    <t xml:space="preserve"> PRESO</t>
  </si>
  <si>
    <t xml:space="preserve">TOLABA VALDEZ, SERGIO </t>
  </si>
  <si>
    <t>TOLABA VALDEZ, SERGIO EMILIANO POR SUMINISTRO DE MATERIAL PORNOGRAFICO A PERSONA MENOR DE CATORCE AÑOS EN CONCURSO REAL CON EXHIBICIONES OBSCENAS, GROOMING, EXHIBICIONES OBSCENAS AGRAVADAS, PUBLICACION DE PORNOGRAFIA INFANTIL Y COACCION</t>
  </si>
  <si>
    <t xml:space="preserve">Art.437 - Art 441: Mismo decreto </t>
  </si>
  <si>
    <t>DEN: VILCA, VILMA SUSANA</t>
  </si>
  <si>
    <t xml:space="preserve">FS/26 04/10/2022 A HS 10:05  </t>
  </si>
  <si>
    <t>FS/39-43 PRISION PREVENTIVA DESDE 4-10-2022</t>
  </si>
  <si>
    <t>177764/23</t>
  </si>
  <si>
    <t>MOTOK, MILENA ARIANA + FIGUEROA, GABRIELA LORENA + ARCE, MARÍA LUISA</t>
  </si>
  <si>
    <t xml:space="preserve">TENENECIA DE ESTUPEFACIENTES CON FINES DE COMERCIALIZACION </t>
  </si>
  <si>
    <t xml:space="preserve">LLEGA CON AUTO DE PRUEBA REALIZADO POR SALA IV - HABÍAN FIJADO DEBATE PARA 25 DE SEPTIEMBRE DE 2023 - SE CONVIERTE EN ABREVIADO Y FRACASA - SE SORTEA JUEZ DE DEBATE AL DR. PABLO FARAH </t>
  </si>
  <si>
    <t>SENTENCIA DE JUICIO ABREVIADO - PENA: UN MES DE PRISIÓN EFECTIVA</t>
  </si>
  <si>
    <t xml:space="preserve">DETENCIÓN ORDENADA EN AUDIENCIA MULTIPROPÓSITO. CONSTATACIÓN DE DOMICILIO NEGATIVA. QUEDA ALOJADO EN ALCAIDÍA GENERAL. </t>
  </si>
  <si>
    <t>28/09/2023 SE REMITE A MESA DISTRIBUIDORA PARA SORTEO DE JUEZ DE DEBATE</t>
  </si>
  <si>
    <t>11849/23</t>
  </si>
  <si>
    <t xml:space="preserve">DURAN, ALFREDO CARLOS </t>
  </si>
  <si>
    <t xml:space="preserve">DEN: RODRIGUEZ, YANINA DE LOS ANGELES </t>
  </si>
  <si>
    <t>11676/23</t>
  </si>
  <si>
    <t xml:space="preserve">CHOCOBAR, ROQUE MILTON </t>
  </si>
  <si>
    <t>INCUMPLIMIENTO DE DEBERES DE FUNCIONARIO PUBLICO</t>
  </si>
  <si>
    <t>172562/23</t>
  </si>
  <si>
    <t xml:space="preserve">MIRANDA, MIGUEL </t>
  </si>
  <si>
    <t xml:space="preserve">ADMINISTRACION FRAUDULENTA (2 HECHOS) </t>
  </si>
  <si>
    <t>DEN: DE PANDOLFI, MARCELO AGUSTIN Y MURGA SAN MIGUEL, JUAN SEGUNDO -POR ESTAFA: CASTILLO, MARTIN ROLANDO ; ESPINOLA, OSCAR ; VILCA, VIVIANA ANABEL ; BAEZ, NADIA CRISTINA PAOLA ; GUERRERO, FELINA CONCEPCION ; MARAZ, ANGEL DAVID ; NIEVA, EDUARDO RICARDO ; CORIA, VIRGILIO ; PARRILLA, RODRIGO SEBASTIAN ; ALMAZAN, MIRTA YOLANDA ; SULCA VIDAL, ARNALDO ANDRES ; PASTRANA, ANA MONICA Y YAÑEZ, BRUNA - URSUPACION:MURGA SAN MIGUEL, JUAN SEGUNDO Y BALDERRAMA, JUAN PABLO</t>
  </si>
  <si>
    <t>Art 437/ Art 441: Mismo decreto</t>
  </si>
  <si>
    <t>183684/23</t>
  </si>
  <si>
    <t>PACHECO, MARCOS ARIEL</t>
  </si>
  <si>
    <t>ABUSO SEXUAL GRAVEMENTE ULTRAJANTE POR SU DURACION Y CIRCUNSTANCIAS DE SU REALIZACION AGRAVADO POR EL VINCULO, GUARDA Y CONVIVENCIA PREEXISTENTE</t>
  </si>
  <si>
    <t>P. G., I. S. E. (M) - ROJO GILABERT, DEBORA YAMILA (DEN)</t>
  </si>
  <si>
    <t>184799/23</t>
  </si>
  <si>
    <t>NOGALES SANTA CRUZ, ALBERTO ASCENCIO; VIALE, CLAUDIA ROSANA</t>
  </si>
  <si>
    <t>COMERCIALIZACION DE ESTUPEFACIENTES ART.5 INC. C DE LA LEY 23737</t>
  </si>
  <si>
    <t>Dr. Sángari</t>
  </si>
  <si>
    <t>SALUD PÚBLICA</t>
  </si>
  <si>
    <t>173539/23</t>
  </si>
  <si>
    <t>GONZALEZ, MAURICIO FRANCISCO</t>
  </si>
  <si>
    <t>DAÑOS Y LESIONES LEVES AGRAVADAS POR EL VINCULO Y POR VIOLENCIA DE GENERO</t>
  </si>
  <si>
    <t>Dr. Marcos Alberto Molina (MP 4058)</t>
  </si>
  <si>
    <t>MANSILLA, NATASHA ELIZABETH</t>
  </si>
  <si>
    <t>178644/23</t>
  </si>
  <si>
    <t>ZERDAN, EDUARDO</t>
  </si>
  <si>
    <t>DESOBEDIENCIA JUDICIAL (TRES HECHOS) E INCUMPLIMIENTO DE LOS DEBERES DE ASISTENCIA FAMILIAR</t>
  </si>
  <si>
    <t>CALERO CASTILLA, GABRIELA GENOVEVA</t>
  </si>
  <si>
    <t>183556/23</t>
  </si>
  <si>
    <t>GARCIA, MAURO LEANDRO</t>
  </si>
  <si>
    <t>AMENAZAS (TRES HECHOS), LESIONES AGRAVADAS POR EL GENERO Y LA RELACION DE PAREJA Y DESOBEDIENCIA JUDICIAL (DOS HECHOS) TODO ELLO EN CONCURSO REAL</t>
  </si>
  <si>
    <t>ACOSTA, GLADYS PATRICIA</t>
  </si>
  <si>
    <t>DECESAR, MARIO GABRIEL</t>
  </si>
  <si>
    <t>LESIONES AGRAVADAS POR EL VINCULO DE PAREJA Y POR EL GENERO</t>
  </si>
  <si>
    <t>GUARDIA, LORENA ESTEFANIA</t>
  </si>
  <si>
    <t>177365/23</t>
  </si>
  <si>
    <t>MEDINA, NELSON JAVIER; CAYO, NAHUEL ABRAHAM</t>
  </si>
  <si>
    <t>ATENTADO CONTRA LA AUTORIDAD AGRAVADO POR SER A MANO ARMADA</t>
  </si>
  <si>
    <t>SARAPURA, JOSE LUIS FERNANDO</t>
  </si>
  <si>
    <t>161740/23</t>
  </si>
  <si>
    <t>MAMANI, SERGIO RICARDO</t>
  </si>
  <si>
    <t>TENENCIA DE ESTUPEFACIENTES CON FINES COMERCIALIZ. ART.5 INC C DE LA LEY 23737</t>
  </si>
  <si>
    <t>178527/23</t>
  </si>
  <si>
    <t>GIMENEZ, ERNESTO RICARDO</t>
  </si>
  <si>
    <t>GIMENEZ, JOSE EMILIO</t>
  </si>
  <si>
    <t>GIRON, ALEJANDRO OSCAR</t>
  </si>
  <si>
    <t>184421/23</t>
  </si>
  <si>
    <t>DESOBEDIENCIA JUDICIAL (DOS HECHOS)</t>
  </si>
  <si>
    <t>BARRIENTOS, CLAUDIA ALEJANDRA</t>
  </si>
  <si>
    <t>VIDES, JEREMIAS NAHUEL</t>
  </si>
  <si>
    <t>181504/23</t>
  </si>
  <si>
    <t>MAMANI, CARMEN ROSA Y JUAREZ, BRIGIDA MARIELA</t>
  </si>
  <si>
    <t>184548/23</t>
  </si>
  <si>
    <t>JUAREZ, ROQUE BENJAMIN</t>
  </si>
  <si>
    <t>OLMOS VELARDE, MIRIAM</t>
  </si>
  <si>
    <t>Dra. Zunino</t>
  </si>
  <si>
    <t>153076/23</t>
  </si>
  <si>
    <t>IGNACIO, RENE</t>
  </si>
  <si>
    <t>ABUSO SEXUAL CON ACCESO CARNAL EN CONCURSO REAL CON ABUSO SEXUAL GRAVEMENTE ULTRAJANTE</t>
  </si>
  <si>
    <t>F.G.J.P.(M). DENUNCIANTES: D'ANNUNZIO, GRACIELA, DR. PEREIRA, JOSE MANUEL Y GALVAN, MARIA FERNANDA</t>
  </si>
  <si>
    <t>180409/23</t>
  </si>
  <si>
    <t>ABUSO SEXUAL CON ACCESO CARNAL AGRAVADO POR SER PORTADOR DE UNA ENFERMEDAD DE TRANSMISION SEXUAL (DOS HECHOS) EN CONCURSO REAL</t>
  </si>
  <si>
    <t>CRUZ, ELVIS OMAR; CRUZ, OMAR ENRIQUE</t>
  </si>
  <si>
    <t>A.S.L.(M); A.L.G.A. - DEN: AGUDO, FACUNDO IVAN</t>
  </si>
  <si>
    <t>165254/23</t>
  </si>
  <si>
    <t xml:space="preserve">GUITIAN, CLAUDIO GASTON </t>
  </si>
  <si>
    <t>ROBO Y VIOLACION DE LAS MEDIDAS DICTADAS POR AUTORIDADES COMPETENTES PARA IMPEDIR LA PROPAGACION DE UNA EPIDEMIA</t>
  </si>
  <si>
    <t>DEN: DIAZ, MARIA CELESTE</t>
  </si>
  <si>
    <t>Sala 2 voc 1</t>
  </si>
  <si>
    <t>Dra. Victoria Montoya</t>
  </si>
  <si>
    <t>Sala 2 voc 2</t>
  </si>
  <si>
    <t>Sala 2 voc 3</t>
  </si>
  <si>
    <t>Dra. Gabriela Gonzalez</t>
  </si>
  <si>
    <t>Sala 3</t>
  </si>
  <si>
    <t>Dr. Pablo Farah</t>
  </si>
  <si>
    <t>Dra. Carolina Sanguedolce</t>
  </si>
  <si>
    <t>PENDIENTE: SORTEO DE JUEZ DE DEBATE PARA FIJAR AUDIENCIA DE DEBATE</t>
  </si>
  <si>
    <t>INCOMPARENCIA DE ASESORIA. ESTABA DE LICENCIA. ASESOR DE REEMPLAZO TENIA SUPERPOSICION DE AUDIENCIAS E IMPOSIBILIDAD DE PREPARAR LA CAUSA</t>
  </si>
  <si>
    <t>SE NOTIFICÓ A FISCAL UDIS Nº 2, CUANDO INTERVIENE UDIS Nº 1</t>
  </si>
  <si>
    <t>_</t>
  </si>
  <si>
    <t>Resultados especificos de juicios abreviados</t>
  </si>
  <si>
    <t>11707/23</t>
  </si>
  <si>
    <t xml:space="preserve">TORRES, JESUS MIGUEL </t>
  </si>
  <si>
    <t xml:space="preserve">Art 437 / Art 441: Mismo Decreto </t>
  </si>
  <si>
    <t xml:space="preserve"> DEN: BLANCO, VERONICA MERCEDES</t>
  </si>
  <si>
    <t>178707/23</t>
  </si>
  <si>
    <t>DIAZ, PEDRO</t>
  </si>
  <si>
    <t>HOMICIDIO CULPOSO POR LA CONDUCCION IMPRUDENTE NEGLIGENTE O ANTIRREGLAMENTARIA DE UN VEHICULO CON MOTOR AGRAVADO POR EL RESULTADO MULTIPLE</t>
  </si>
  <si>
    <t>DEN: VILLARROEL BARRERA, HECTOR MAXIMILIANO Y HEREDIA, LUCAS JAVIER - VILLARROEL, NOELIA VANESA Y BARRERA, JUANA MANUELA</t>
  </si>
  <si>
    <t>174999/23</t>
  </si>
  <si>
    <t>DEN: RIVERA, MABEL ALEJANDRA; VARGAS, JAVIER OSVALDO; SUAREZ, RODOLFO OMAR; MAMANI, SEBASTIAN FERNANDO; VILTE, HECTOR VICENTE; BENGOLEA, ADAN MARCELO; SANTOS, INOCENCIO, CHIERICOTTI, SERGIO GUILLERMO, MOISA, FEDERICO ALEJANDRO, SANCHEZ, OBDULIO NICANDRO, FLORES, ERNESTO HUGO, FERNANDEZ MARINARO, DANIEL ANTONIO</t>
  </si>
  <si>
    <t>UGARTE, EXEQUIEL MAURICIO; UGARTE, JOSE; VILTE, JOSE ALBERTO; UGARTE, LEONARDO FRANCISCO; ROJAS, JUAN ALBERTO</t>
  </si>
  <si>
    <t xml:space="preserve"> ROBO EN POBLADO Y EN BANDA AGRAVADO POR LA PARTICIPACION DE UN MENOR EN CONCURSO REAL; UGARTE, EXEQUIEL MAURICIO; UGARTE, JOSE POR TENENCIA ILEGITIMA DE ARMA DE FUEGO DE USO CIVIL</t>
  </si>
  <si>
    <t>Garantías Nº 3</t>
  </si>
  <si>
    <t>Garantías Nº 7</t>
  </si>
  <si>
    <t>171677/22</t>
  </si>
  <si>
    <t>GONZA, SERGIO JAVIER; FLORES, TATIANA DAMARIS; MARTINEZ, CRISTINA CELIA; FLORES, NATALIA VERONICA Y LIENDRO, FLORENCIA GUADALUPE</t>
  </si>
  <si>
    <t xml:space="preserve"> HURTO SIMPLE (DOS HECHOS)</t>
  </si>
  <si>
    <t xml:space="preserve">DEN: DOUSSETT SALVATIERRA,CAMILA Y FARICHELLI, CRISTINA ESTELA </t>
  </si>
  <si>
    <t>180112/23</t>
  </si>
  <si>
    <t>MARTINEZ, JOSE AUGUSTO</t>
  </si>
  <si>
    <t>ROBO CALIFICADO EN GRADO DE TENTATIVA</t>
  </si>
  <si>
    <t>DEN: NUÑEZ, LUIS OSCAR Y PACHECO, FEDERICO ANTONIO</t>
  </si>
  <si>
    <t>Art 437 - Art 441: Mismo decreto</t>
  </si>
  <si>
    <t>CHAVEZ, CESIA ELIZABETH</t>
  </si>
  <si>
    <t>184208/23</t>
  </si>
  <si>
    <t>LESIONES LEVES LEVES</t>
  </si>
  <si>
    <t>DEN: ROMANO GUEMES, PATRICIA ALEJANDRO</t>
  </si>
  <si>
    <t>166950/23</t>
  </si>
  <si>
    <t xml:space="preserve">AVILA VALENCIA, HECTOR </t>
  </si>
  <si>
    <t xml:space="preserve"> ESTAFAS REITERADAS (10 HECHOS) TODO EN CONCURSO REAL</t>
  </si>
  <si>
    <t>DEN: RODRIGUEZ, LEILA OLEGARIA; CRUZ, CELSO; TORREZ JURADO, ELVIRA; RIVERO, SONIA GABRIELA; SULCA, JULIA PAULINA; CORREGIDOR, JOSE FACUNDO; LLANOS, ANSELMO; TAPIA, JOANA ELIZABETH; HERNANDEZ, NORMA BEATRIZ; MENDEZ, RAUL HUGO</t>
  </si>
  <si>
    <t>159001/22</t>
  </si>
  <si>
    <t xml:space="preserve">PASTRANA, JESUS ALBINO ; PASTRANA, JOSE ABEL ; CRUZ, JUAN RAMON ; OCHOA, EDUARDO SERGIO ; CHOCOBAR, JUAN RAMON EXEQUIEL Y MALDONADO, ROBERTO ANGEL </t>
  </si>
  <si>
    <t>ABIGEATO CALIFICADO POR LA PARTICIPACION DE TRES O MAS PERSONAS</t>
  </si>
  <si>
    <t>Art 437 18/08/2022 - Art 441: Mismo decreto</t>
  </si>
  <si>
    <t>159604/23</t>
  </si>
  <si>
    <t xml:space="preserve">SOTO,MARIO </t>
  </si>
  <si>
    <t xml:space="preserve"> COACCION</t>
  </si>
  <si>
    <t>DEN: CORIA, RAUL JACINTO</t>
  </si>
  <si>
    <t>DEN: CACERES, ISIDORA MARIA</t>
  </si>
  <si>
    <t xml:space="preserve">177330/23 </t>
  </si>
  <si>
    <t xml:space="preserve">WAYAR, FABIO RAFAEL; ALVEAR, APARICIO; MAMANI, RENZO FABIAN; CARO, MARIO EZEQUIEL </t>
  </si>
  <si>
    <t xml:space="preserve">VEJACIONES AGRAVADAS POR LA VIOLENCIA </t>
  </si>
  <si>
    <t>DEN: PATRESE PRIETO, FACUNDO NICOLAS Y TORRES, CLAUDIA IVANA</t>
  </si>
  <si>
    <t>11649/23</t>
  </si>
  <si>
    <t xml:space="preserve">SEGOVIA, GUILLERMO - VASQUEZ, BELEN EMILCE  </t>
  </si>
  <si>
    <t>TENENCIA DE ESTUPEFACIENTES CON FINES DE COMERCIALIZACION</t>
  </si>
  <si>
    <t>164286/23</t>
  </si>
  <si>
    <t xml:space="preserve">CEBALLOS, GUSTAVO NICOLAS </t>
  </si>
  <si>
    <t xml:space="preserve"> COACCION CON ARMA</t>
  </si>
  <si>
    <t>DEN: OCHOA EMILCE DAIANA -  LOVAGLIO PUCCI, ORESTE ROBERTO</t>
  </si>
  <si>
    <t xml:space="preserve"> 11:15</t>
  </si>
  <si>
    <t xml:space="preserve"> Garantias 1 Sala 2</t>
  </si>
  <si>
    <t xml:space="preserve">Garantias 4 Sala 3 </t>
  </si>
  <si>
    <t>SE FIJA NUEVA FECHA PARA RESOLUCIÓIN DE AUDIENCIA</t>
  </si>
  <si>
    <t>SENTENCIA DE JUICIO ABREVIADO - PENA: 2 AÑOS Y 6 MESES EFECTIVA</t>
  </si>
  <si>
    <t>SENTENCIA DE JUICIO ABREVIADO - PENA: 8 MESES CONDICIONAL</t>
  </si>
  <si>
    <t>SENTENCIA DE JUICIO ABREVIADO - PENA: 2 AÑOS CONDICIONAL</t>
  </si>
  <si>
    <t>183144/23</t>
  </si>
  <si>
    <t xml:space="preserve">REMITIDA A SALA III PARA ACUMULACION EN EL JUI 183.355/23 </t>
  </si>
  <si>
    <t>112882/23</t>
  </si>
  <si>
    <t>RODRIGUEZ, MAXIMILIANO GABRIEL; LOPEZ, EMANUEL JESUS ANGEL</t>
  </si>
  <si>
    <t>PROCESO SUMARISIMO - FLAGRANCIA, ROBO EN POBLADO Y EN BANDA Y DAÑO</t>
  </si>
  <si>
    <t>DEN: URQUIDI PEREZ, GABRIELA</t>
  </si>
  <si>
    <t>171495/22</t>
  </si>
  <si>
    <t xml:space="preserve">ALBARADO CONTRERAS, FERNANDO </t>
  </si>
  <si>
    <t xml:space="preserve">LESIONES LEVES AGRAVADAS POR LA RELACION DE PAREJA PREVIA Y POR EL GENERO, COACCION Y DAÑOS, TODO EN CONCURSO REAL </t>
  </si>
  <si>
    <t xml:space="preserve">DEN: PEREZ, LEILA </t>
  </si>
  <si>
    <t>11913/23</t>
  </si>
  <si>
    <t xml:space="preserve">GUERRA, ALEJANDRO </t>
  </si>
  <si>
    <t>POR TENENCIA DE ESTUPEFACIENTES CON FINES DE COMERCIALIZACION</t>
  </si>
  <si>
    <t>182926/23</t>
  </si>
  <si>
    <t xml:space="preserve">SUAREZ, MIGUEL ANGEL </t>
  </si>
  <si>
    <t xml:space="preserve">ABSUSO SEXUAL CON ACCESO CARNAL </t>
  </si>
  <si>
    <t xml:space="preserve">PRISION DOMICILIARIA (UADME ) </t>
  </si>
  <si>
    <t>FS 11 28/02/2023 HS 18.30</t>
  </si>
  <si>
    <t xml:space="preserve">FS 135/137 SIN PLAZO </t>
  </si>
  <si>
    <t xml:space="preserve"> DENUNCIANTE CARMONA, ELIZABETH SANDRA</t>
  </si>
  <si>
    <t>181406/23</t>
  </si>
  <si>
    <t xml:space="preserve">VILLALVA,RAFAEL FEDERICO </t>
  </si>
  <si>
    <t>DEN: ARNOLD ALLUEZ, YAMILA DEL MILAGRO</t>
  </si>
  <si>
    <t>157228/23</t>
  </si>
  <si>
    <t xml:space="preserve">CORVALAN, MARIO </t>
  </si>
  <si>
    <t>GRADO DE TENTATIVA</t>
  </si>
  <si>
    <t>DEN: RODRIGUEZ, SARA SILVANA Y MORALES, GIMENA</t>
  </si>
  <si>
    <t>185273/23</t>
  </si>
  <si>
    <t xml:space="preserve">VAZQUEZ YUFRA, PEDRO GABRIEL Y VIVEROS, BRIAN NAHUEL </t>
  </si>
  <si>
    <t>182107/23</t>
  </si>
  <si>
    <t>LOPEZ, NELSON DANTE</t>
  </si>
  <si>
    <t>DEN: RIVERO, ABIGAIL NANCI</t>
  </si>
  <si>
    <t>COACCION Y AMENAZAS</t>
  </si>
  <si>
    <t>DOMINGUEZ, MIRTA ESTHER Y E. D., D. J. (M)</t>
  </si>
  <si>
    <t>180186/23</t>
  </si>
  <si>
    <t xml:space="preserve">LOPEZ, FABRICIO </t>
  </si>
  <si>
    <t>HURTO CALIFICADO DE VEHICULOS DEJADOS EN LA VIA PUBLICA</t>
  </si>
  <si>
    <t>DEN: MUIÑO, LUCAS JAVIER</t>
  </si>
  <si>
    <t>170126/23</t>
  </si>
  <si>
    <t>FACILITACION DE ESTUPEFACIENTES A TITULO GRATUITO AGRAVADO POR COMETERSE EN UN ESTABLECIMIENTO CARCELARIO EN GRADO DE TENTATIVA</t>
  </si>
  <si>
    <t>ALVAREZ, CLAUDIA LILIANA</t>
  </si>
  <si>
    <t>DEN: SALUD PUBLICA</t>
  </si>
  <si>
    <t>177116/23</t>
  </si>
  <si>
    <t xml:space="preserve">CONTRERAS, CRISTOBAL </t>
  </si>
  <si>
    <t>PRIVACION DE LA LIBERTAD AGRAVADA POR EL USO DE VIOLENCIA Y POR RELACION DE PAREJA</t>
  </si>
  <si>
    <t>DEN: CHOQUE AGUIRRE, MIRTA SIMONA</t>
  </si>
  <si>
    <t>177348/23</t>
  </si>
  <si>
    <t xml:space="preserve">FLORES, FABRICIO GABRIEL </t>
  </si>
  <si>
    <t>AMENAZAS Y RESISTENCIA A LA AUTORIDAD TODO EN CONCURSO REAL</t>
  </si>
  <si>
    <t>DEN: FLORES, MARIA DE LOS CIELOS</t>
  </si>
  <si>
    <t>184288/23 y acum 181471/23</t>
  </si>
  <si>
    <t>OLIVARES, ARACELI; LEMOS, ARNALDO</t>
  </si>
  <si>
    <t>ROBO AGRAVADO POR EL USO DE ARMAS</t>
  </si>
  <si>
    <t>DOP 12 - Dra. Patricia Gonzalez x Lemos y Dr. Maggio x Olivares</t>
  </si>
  <si>
    <t xml:space="preserve">Dr. Pizarro Echenique </t>
  </si>
  <si>
    <t>DEN: VERDEJO, EMANUEL ALEJANDO Y TRINDADE, MARIA FERNANDA</t>
  </si>
  <si>
    <t>ALCALDIA GENERAL Nº 1</t>
  </si>
  <si>
    <t>FS 25/32 08/05/2023 15:30 HS</t>
  </si>
  <si>
    <t>FS 96/97   SIN PLAZO</t>
  </si>
  <si>
    <t xml:space="preserve"> Trbunal II - Sala 3</t>
  </si>
  <si>
    <t>185030/23 y acum. 174286/21</t>
  </si>
  <si>
    <t>FRIAS, SERGIO GUSTAVO; VERA, MATIAS EZEQUIEL</t>
  </si>
  <si>
    <t>ROBO EN POBLADO Y EN BANDA AMBOS; FRIAS: HURTO SIMPLE Y DAÑOS TODO EN CONCURSO REAL</t>
  </si>
  <si>
    <t>DEN: ALARCON, CLAUDIA VANINA</t>
  </si>
  <si>
    <t>FS 16 Y 23 28/06/2023 10:30 HS</t>
  </si>
  <si>
    <t>FS 74/75   SIN PLAZOS</t>
  </si>
  <si>
    <t>Garantías Nº 1</t>
  </si>
  <si>
    <t>185534/23 + 183591/23</t>
  </si>
  <si>
    <t>184244/23</t>
  </si>
  <si>
    <t>RUIZ OLIVERA, LEANDRO GABRIEL- RUIZ, MARIANO ANDRES</t>
  </si>
  <si>
    <t>AMENAZAS CON ARMA, ATENTADO A LA AUTORIDAD Y ROBO CALIFICADO POR PERPETRASE CON ARMA (DOS HECHOS) - AMENAZAS CON ARMA, ATENTADO A LA AUTORIDAD Y ROBO CALIFICADO POR PERPETRASE CON ARMA; ROJAS, RICARDO EMANUEL POR ATENTADO A LA AUTORIDAD</t>
  </si>
  <si>
    <t>Art 437 11/09/2023  - Art 441: Mismo decreto</t>
  </si>
  <si>
    <t>DEN: RAUL ANTONIO SAYAVEDRA, OFICIAL SUB AYTE - AIXA NAHIR CEJAS, LUCAS HERNAN ARROYO, EDUARDO ALBERTO AGUIRRE, CRISTINA ROSANA VIVEROS</t>
  </si>
  <si>
    <t>11/05/2023 A HS 09:45</t>
  </si>
  <si>
    <t xml:space="preserve">ALCALDIA GENERAL Nº1 </t>
  </si>
  <si>
    <t xml:space="preserve">FS 47 05/07/2023 HS 09:50 </t>
  </si>
  <si>
    <t>183809/23</t>
  </si>
  <si>
    <t xml:space="preserve">ZAPANA, RAMON ARIEL </t>
  </si>
  <si>
    <t>EXTORCION EN CONCURSO REAL CON TENENCIA DE MATERIAL DE ABUSO SEXUAL INFANTIL</t>
  </si>
  <si>
    <t>FP Ciberdelincuencia - Dra. Cornejo, Sofia</t>
  </si>
  <si>
    <t>DEN: CORONADO, IVANA SOFIA</t>
  </si>
  <si>
    <t xml:space="preserve">14/04/2023 A HS 09:05 </t>
  </si>
  <si>
    <t>176862/23</t>
  </si>
  <si>
    <t xml:space="preserve">SANCHEZ, ANDRES JULIO </t>
  </si>
  <si>
    <t>185859/23</t>
  </si>
  <si>
    <t xml:space="preserve">LOPEZ, ANGEL NORBERTO </t>
  </si>
  <si>
    <t xml:space="preserve">DEN: ESTRADA, ESTER ROSA </t>
  </si>
  <si>
    <t xml:space="preserve">DEN: OLIVERA, CAMILA LUJAN </t>
  </si>
  <si>
    <t xml:space="preserve">AMENAZAS CON ARMA, DESOBEDIENCIA JUDICIAL TODO EN CONCURSO IDEAL </t>
  </si>
  <si>
    <t xml:space="preserve">ABUSO SEXUAL GRAVEMENTE ULTRAJANTE POR LAS CIRCUNSTANCIAS DE REALIZACION Y POR LA DURACION EN EL TIEMPO AGRAVADO POR LA GUARDA Y CONVIVENCIA, EXIBICIONES </t>
  </si>
  <si>
    <t xml:space="preserve">  09:30</t>
  </si>
  <si>
    <t>174688/23</t>
  </si>
  <si>
    <t>CHOCOBAR, GERARDO</t>
  </si>
  <si>
    <t xml:space="preserve"> ABUSO SEXUAL CON ACCESO CARNAL EN CONCURSO REAL CON ABUSO SEXUAL SIMPLE </t>
  </si>
  <si>
    <t>DEN: VALDEZ, BEATRIZ CLAUDIA</t>
  </si>
  <si>
    <t>169128/23</t>
  </si>
  <si>
    <t>185517/23</t>
  </si>
  <si>
    <t xml:space="preserve">GONZALEZ, TOMAS NICOLAS </t>
  </si>
  <si>
    <t>CORVALAN, JUAN JOSE</t>
  </si>
  <si>
    <t>ABUSO SEXUAL SIMPLE</t>
  </si>
  <si>
    <t>DEN: GUZMAN, AURORA CONSTANZA,  GUZMAN, RUBEN EMILIO</t>
  </si>
  <si>
    <t xml:space="preserve"> LESIONES LEVES AGRAVADAS POR EL VINCULO (HIJA) Y POR VIOLENCIA DE GENERO</t>
  </si>
  <si>
    <t>DEN: REYES, ADNREA DEL VALLE</t>
  </si>
  <si>
    <t>183632/23</t>
  </si>
  <si>
    <t>OLGUIN, SEBASTIAN ADRIAN</t>
  </si>
  <si>
    <t>11403/23</t>
  </si>
  <si>
    <t xml:space="preserve">RIOS, OSVALDO </t>
  </si>
  <si>
    <t>172159/23</t>
  </si>
  <si>
    <t>GUAYMAS, MARCOS</t>
  </si>
  <si>
    <t>181977/23</t>
  </si>
  <si>
    <t xml:space="preserve">VAQUERA, MIGUEL ANGEL </t>
  </si>
  <si>
    <t xml:space="preserve"> ESTAFAS REITERADAS (2 HECHOS), EN CONCURSO REAL</t>
  </si>
  <si>
    <t>DEN: OLLINEDO, MARTA REINA, IGNES, VERONICA NATALIA</t>
  </si>
  <si>
    <t xml:space="preserve"> ABUSO SEXUAL GRAVEMENTE ULTRAJANTE POR SU DURACION AGRAVADO POR LA CONVIVENCIA CON UNA MENOR DE 18 AÑOS EN CONCURSO REAL EN PERJUICIO</t>
  </si>
  <si>
    <t>DEN: V., M. A. (M) - GUAYMAS, JESICA ELISEA</t>
  </si>
  <si>
    <t>LESIONES LEVES, AMENAZAS</t>
  </si>
  <si>
    <t>DEN: APARICIO, ANDREA VICTORIA</t>
  </si>
  <si>
    <t xml:space="preserve">ABUSO SEXUAL SIMPLE AGRAVADO POR EL VINCULO Y LA GUARDA Y EXHIBICION OBSCENAS - ABUSO SEXUAL SIMPLE DOS HECHOS AGRAVADO POR EL VINCULO Y LA GUARDA </t>
  </si>
  <si>
    <t>DEN: MEDINA, ROSARIO ALEJANDRA - MEDINA, JANETH MELINA</t>
  </si>
  <si>
    <t xml:space="preserve">FS 21 SIN PLAZO </t>
  </si>
  <si>
    <t xml:space="preserve">18/08/2023 A HS 12:08 </t>
  </si>
  <si>
    <t>FS 41 05/06/2023 A HS 09:24</t>
  </si>
  <si>
    <t xml:space="preserve">PRISION DOMICILIARIA (UADME ) 18-08-2023                                                                                             </t>
  </si>
  <si>
    <t>172978/23</t>
  </si>
  <si>
    <t>ESCALANTE, VICTOR GUSTAVO</t>
  </si>
  <si>
    <t>Sebastián</t>
  </si>
  <si>
    <t>EL JUEZ DECIDE RESOLVER EN PROXIMA AUDIENCIA</t>
  </si>
  <si>
    <t xml:space="preserve">  12:30</t>
  </si>
  <si>
    <t>SENTENCIA DE JUICIO ABREVIADO - PENA: 2 AÑOS Y 6 MESES DE PRISIÓN DE EJECUCIÓN CONDICIONAL</t>
  </si>
  <si>
    <t>184121/23</t>
  </si>
  <si>
    <t xml:space="preserve">GARCIA,ANGEL MAURICIO </t>
  </si>
  <si>
    <t xml:space="preserve">POR VIOLACION DE DOMICILIO, AMENAZAS CON ARMA- HOMICIDIO CALIFICADO POR SER LA VICTIMA PERSONAL EN GRADO DE TENTATIVA TODO EN CONCURSO REAL </t>
  </si>
  <si>
    <t xml:space="preserve">SUB OFICIAL PPAL. MARTIN FERNANDO VEDIA ALELUYA </t>
  </si>
  <si>
    <t xml:space="preserve">FS 147 ALCAIDIA GENERAL </t>
  </si>
  <si>
    <t>FS 15 20/04/2023 HS 05:35</t>
  </si>
  <si>
    <t xml:space="preserve">FS 143/145 SIN PLAZO </t>
  </si>
  <si>
    <t>180524/23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</si>
  <si>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 EN PERJUICIO DE FILOMARIANO, CARLA ESTEFANIA</t>
  </si>
  <si>
    <t xml:space="preserve"> FILOMARIANO, CARLA ESTEFANIA</t>
  </si>
  <si>
    <t>*******</t>
  </si>
  <si>
    <t>******</t>
  </si>
  <si>
    <t>****</t>
  </si>
  <si>
    <t>180041/23</t>
  </si>
  <si>
    <t xml:space="preserve">INOSTROZA, DIEGO RICARDO POR ABUSO SEXUAL CON ACCESO CARNAL (CONTINUADO), COACCION Y ABUSO SEXUAL SIMPLE AGRAVADO POR LA CONVIVENCIA PREEXISTENTE </t>
  </si>
  <si>
    <t xml:space="preserve">INOSTROZA, DIEGO RICARDO </t>
  </si>
  <si>
    <t>*****</t>
  </si>
  <si>
    <t xml:space="preserve"> PADILLA, PAMELA LUCILA Y L., A. P. (M)</t>
  </si>
  <si>
    <t xml:space="preserve">SANCHEZ, ANDRES MICHAEL </t>
  </si>
  <si>
    <t>COACCION (DOS HECHOS) DESOBEDIENCIA JUDICIAL (6) HECHOS. VIOLACION DE DOMICILIO, HURTO, AMENAZAS (2) HECHOS, DAÑOS Y AMENAZAS AGRAVADAS POR EL USO DE ARMA. AGRESION CON TODA ARMA</t>
  </si>
  <si>
    <t>GUAYMAS, JENNIFER SOLEDAD</t>
  </si>
  <si>
    <t>***</t>
  </si>
  <si>
    <t>183332/23</t>
  </si>
  <si>
    <t xml:space="preserve">RODRIGUEZ, CRISTIAN JOSUE </t>
  </si>
  <si>
    <t xml:space="preserve"> ABUSO SEXUAL CON ACCESO CARNAL CONTINUADO EN PERJUICIO DE G.M.M. Y ABUSO SEXUAL CON ACCESO CARNAL EN PERJUICIO DE S.N.E. TODO EN CONCURSO REAL</t>
  </si>
  <si>
    <t>185483/23</t>
  </si>
  <si>
    <t xml:space="preserve">NAVARRO, MARIO EMANUEL </t>
  </si>
  <si>
    <t>MODO DE FUNDAMENTACIÓN</t>
  </si>
  <si>
    <t>SORTEO</t>
  </si>
  <si>
    <t>ACUMULADA A CAUSA (OFIJU)</t>
  </si>
  <si>
    <t>EXCLUSION - Acumulacion Fuera del plan piloto</t>
  </si>
  <si>
    <t>CONCILIACIÓN</t>
  </si>
  <si>
    <t>MOTIVO FUNDAMENTACIÓN</t>
  </si>
  <si>
    <t>MISMA AUDIENCIA</t>
  </si>
  <si>
    <t>OTRA AUDIENCIA</t>
  </si>
  <si>
    <t>ESCRITO</t>
  </si>
  <si>
    <t>Para ord.</t>
  </si>
  <si>
    <t>!!!!!!!!!!!!!!!!!Si se ordena de nuevo fijarse q cambia el orden de ordenar por fecha y hora</t>
  </si>
  <si>
    <t xml:space="preserve">ROLDAN EXEQUIEL ARNALDO Y SALVATIERRA DELIA MABEL </t>
  </si>
  <si>
    <t>183884/23</t>
  </si>
  <si>
    <t xml:space="preserve">CASTILLO, SANTIAGO RUBEN </t>
  </si>
  <si>
    <t xml:space="preserve"> ABUSO SEXUAL CON ACCESO CARNAL Y CORRUPCION DE MENORES</t>
  </si>
  <si>
    <t xml:space="preserve">FS 21 17/04/2023 9:20 HS </t>
  </si>
  <si>
    <t xml:space="preserve"> M.D.A.M. (M) - PIZARRO BONILLA, MARIA ALICIA (DEN)</t>
  </si>
  <si>
    <t>150058/23</t>
  </si>
  <si>
    <t xml:space="preserve">TEJERINA, SERGIO EMANUEL </t>
  </si>
  <si>
    <t xml:space="preserve"> ABUSO SEXUAL CON ACCESO CARNAL AGRAVADO POR EL USO DE ARMA Y ROBO AGRAVADO POR EL USO DE ARMA EN CONCURSO REAL</t>
  </si>
  <si>
    <t>DEN: CORVALAN, VIVIANA LILIANA</t>
  </si>
  <si>
    <t>175635/23</t>
  </si>
  <si>
    <t xml:space="preserve">ABUSO SEXUAL SIMPLE Y EXHIBICIONES OBSCENAS </t>
  </si>
  <si>
    <t xml:space="preserve">MAIDANA, ALEJANDRO RODRIGO </t>
  </si>
  <si>
    <t xml:space="preserve"> DEN: URZAGASTI, NATALI FERNANDA</t>
  </si>
  <si>
    <t>FS 28 21/10/2022</t>
  </si>
  <si>
    <t xml:space="preserve">FS 40 SIN PLAZO </t>
  </si>
  <si>
    <t>SE ACUMULA A SAL IV</t>
  </si>
  <si>
    <t>15 , 16, 17/04/2024 - 09:30a 12:30 HS. - SALA DE AUDIENCIAS TRIBUNAL DE JUICIO III</t>
  </si>
  <si>
    <t xml:space="preserve">FS 48/52-20/03/2023- SIN PLAZO </t>
  </si>
  <si>
    <t>2 y 3/05/2024 -09:30 a 12:30 HS. - SALA Nº 4 EN TRIBUNAL DE JUICIO SALA VI</t>
  </si>
  <si>
    <t>184791/23</t>
  </si>
  <si>
    <t xml:space="preserve">MONZON, GUSTAVO BENJAMIN </t>
  </si>
  <si>
    <t xml:space="preserve">DESOBEDIENCIA JUDICIAL (CUATRO HECHOS), RESISTENCIA A LA AUTORIDAD (UN HECHO), LESIONES LEVES AGRAVADAS POR LA RELACION DE PAREJA PREEXISTENTE Y POR MEDIAR VIOLENCIA DE GENERO (UN HECHO), AMENAZAS (UN HECHO) Y HURTO SIMPLE (UN HECHO) </t>
  </si>
  <si>
    <t>DEN: BARRIONUEVO, DEBORA</t>
  </si>
  <si>
    <t xml:space="preserve">Dra. Temporeti </t>
  </si>
  <si>
    <t>11531/21</t>
  </si>
  <si>
    <t>CONDORI, MARCELO SANTIAGO</t>
  </si>
  <si>
    <t xml:space="preserve">DEN: RUIZ, NADIA NOELIA </t>
  </si>
  <si>
    <t>Art. 441 07/09/2023</t>
  </si>
  <si>
    <t>184032/23</t>
  </si>
  <si>
    <t xml:space="preserve">BORQUEZ, FEDERICO ALEJANDRO </t>
  </si>
  <si>
    <t>ABUSO SEXUAL GRAVEMENTE ULTRAJANTE POR SU DURACION Y CIRCUNSTANCIAS DE SU REALIZACION AGRAVADO POR EL APROVECHAMIENTO DE LA SITUACION DE CONVIVENCIA PREEXISTENTE CON LA MISMA, ABUSO SEXUAL SIMPLE Y COACCION TODO EN CONCURSO REAL</t>
  </si>
  <si>
    <t>Dr. Bligard</t>
  </si>
  <si>
    <t xml:space="preserve"> L., A. S. (M) - LOPEZ, FLORENCIA ALDANA (DEN)</t>
  </si>
  <si>
    <t xml:space="preserve">FS 14 24/02/2023 A HS 09:20 </t>
  </si>
  <si>
    <t xml:space="preserve">FS 26       SIN PLAZO </t>
  </si>
  <si>
    <t xml:space="preserve">FS 41       SIN PLAZO </t>
  </si>
  <si>
    <t>INCOMPETENCIA - SE INHISBE S.S. Y DISPONE ACUMULACION A CAUSA JUI 179057/23 de la Sala VII del Tribunal de Juicio, a cargo del Vocal Francisco Mascarello</t>
  </si>
  <si>
    <t>RESTA ACUMULAR OTRA CAUSA</t>
  </si>
  <si>
    <t>PARA SORIANO: SENTENCIA DE JUICIO ABREVIADO - PENA: 6 MESES PRISIÓN EFECTIVA. SE SEPARA A CHÁVEZ PARA QUIEN SE FIJA NUEVA AUDIENCIA.</t>
  </si>
  <si>
    <t xml:space="preserve">PARA CHÁVEZ </t>
  </si>
  <si>
    <t>VIOLACION DE DOMICILIO (TRES HECHOS) + DAÑOS, EN CONCURSO REAL</t>
  </si>
  <si>
    <t xml:space="preserve"> 21/09/2023</t>
  </si>
  <si>
    <t>Art: 437: 22/09/2023 - Art. 441: Mismo decreto</t>
  </si>
  <si>
    <t>ALCAIDÍA GENERAL Nº 1</t>
  </si>
  <si>
    <t>25/07/2023 - FS. 10</t>
  </si>
  <si>
    <t xml:space="preserve">FS. 65/66 - 03/08/2023 - </t>
  </si>
  <si>
    <t>LESIONES LEVES</t>
  </si>
  <si>
    <t xml:space="preserve">   12:00</t>
  </si>
  <si>
    <t>163498/23</t>
  </si>
  <si>
    <t xml:space="preserve">ALLOCO, JORGE </t>
  </si>
  <si>
    <t>185093/23</t>
  </si>
  <si>
    <t>176961/23</t>
  </si>
  <si>
    <t xml:space="preserve">GONZALEZ, LUCAS </t>
  </si>
  <si>
    <t>183499/23</t>
  </si>
  <si>
    <t xml:space="preserve">175130/23 </t>
  </si>
  <si>
    <t xml:space="preserve">DONAIRE, MONTERO WILFREDO </t>
  </si>
  <si>
    <t xml:space="preserve"> ABUSO SEXUAL SIMPLE AGRAVADO</t>
  </si>
  <si>
    <t>D,Z,C,S (-), RISSO, JUSTA MERCEDES (DEN)</t>
  </si>
  <si>
    <t xml:space="preserve"> ENCUBRIMIENTO AGRAVADO POR ACTUAR EL AUTOR CON ANIMO DE LUCRO </t>
  </si>
  <si>
    <t>DEN: BURGOS, RAMIRO HERNAN</t>
  </si>
  <si>
    <t xml:space="preserve">LIENDRO, NAYLA LUDMILA </t>
  </si>
  <si>
    <t>HURTO CALIFICADO POR ESCALAMIENTO</t>
  </si>
  <si>
    <t>Art 437 -10-10-2023  Art 441: Mismo decreto</t>
  </si>
  <si>
    <t>Art 437 - 9-10-2023 Art 441: Mismo decreto</t>
  </si>
  <si>
    <t xml:space="preserve"> HOMICIDIO CULPOSO AGRAVADO POR LA CONDUCCION IMPRUDENTE Y NEGLIGENTE DE VEHICULO AUTOMOTOR</t>
  </si>
  <si>
    <t>Art 437 - 5-10-2023 Art 441: Mismo decreto</t>
  </si>
  <si>
    <t xml:space="preserve"> LEON, RICARDO GABRIEL - ROMERO, MARIA ELIZABETH (DEN)</t>
  </si>
  <si>
    <t>DEN: MENDEZ, CLAUDIA AGUSTINA</t>
  </si>
  <si>
    <t>LESIONES LEVES AGRAVADAS POR LA RELACION DE PAREJA Y EL GENERO Y AMENAZAS CON ARMAS</t>
  </si>
  <si>
    <t>Suspendida, error de notificación de primer decreto</t>
  </si>
  <si>
    <t>182703/23</t>
  </si>
  <si>
    <t>PRIVACION ILEGITIMA DE LA LIBERTAD AGRAVADA, COACCION, VIOLACION DE DOMICILIO, AMENAZAS CON ARMAS Y DAÑOS (TRES HECHOS)</t>
  </si>
  <si>
    <t xml:space="preserve">GUZMAN, JOSE FRANCISCO </t>
  </si>
  <si>
    <t xml:space="preserve">FS 18 13/02/2023 A HS 10:50 </t>
  </si>
  <si>
    <t>DEN: VARGAS, CARLA ANAHI</t>
  </si>
  <si>
    <t>Dra. Godoy</t>
  </si>
  <si>
    <t>FS 92           SIN PLAZO</t>
  </si>
  <si>
    <t>Garantías Nº 5</t>
  </si>
  <si>
    <t xml:space="preserve">MUCHAS PARTES. NO LLEGAMOS A NOTIFICAR. </t>
  </si>
  <si>
    <t>MAL NOTIFICADO ART 437/441</t>
  </si>
  <si>
    <t>Tribunal de Juicio Sala I para su acumulación al Expte. JUI 112852/17,</t>
  </si>
  <si>
    <t>SENTENCIA DE JUICIO ABREVIADO - PENA: UN AÑO PRISIÓN CONDICIONAL</t>
  </si>
  <si>
    <t xml:space="preserve">INCOMPARENCIA DE IMPUTADO Y VÍCTIMA. NOTIFICADOS BIEN. HASTA ESE DIA DIJERON QUE VENÍA, HABLAMOS CON SU MADRE (IMPUTADO Y VICITMA SON HERMANOS) Y SÍ VENÍAN. </t>
  </si>
  <si>
    <t>CARGADA MAL DEFENSA EN IURIX Y SE NOTIFICÓ MAL POR OGA</t>
  </si>
  <si>
    <t>DESTRUCCIÓN DE INCIDENTE DE JUICIO ABREVIADO. NO TIENE CAUSA PRINCIPAL, EL EXPEDIENTE SE INICIA CON EL ABREVIADO INICIAL QUE SE DESTRUYE.</t>
  </si>
  <si>
    <t>182500/23</t>
  </si>
  <si>
    <t>HUANCA, RODRIGO MATIAS</t>
  </si>
  <si>
    <t>DESOBEDIENCIA JUDICIAL Y ATENTADO A LA AUTORIDAD AGRAVADO</t>
  </si>
  <si>
    <t>DEN: GUANCA, ANA MARIA Y PERSONAL POLICIAL</t>
  </si>
  <si>
    <t xml:space="preserve">  10:30</t>
  </si>
  <si>
    <t>Garantías Nº 2</t>
  </si>
  <si>
    <t>Garantías Nº 6</t>
  </si>
  <si>
    <t>para informe</t>
  </si>
  <si>
    <t>NO SE PRESENTO EL IMPUTADO</t>
  </si>
  <si>
    <t>175451/23</t>
  </si>
  <si>
    <t xml:space="preserve">SERRANO, SAUL JOSUE </t>
  </si>
  <si>
    <t xml:space="preserve">AGUIRRE SERRANO, JOSELIN ARIANA - AGUIRRE SERRANO, ESTEBAN LEANDRO </t>
  </si>
  <si>
    <t>FS 51 21/03/2023 A HS 09:15</t>
  </si>
  <si>
    <t>FS 72        SIN PLAZO</t>
  </si>
  <si>
    <t>SE REPROGRAMA PORQUE LAS PARTES RECHAZAN NOTIFICACIÓN DE DECRETO UNIFICADO (MAL CARGADO PDF)</t>
  </si>
  <si>
    <t>180572/23</t>
  </si>
  <si>
    <t>SOTO, MATIAS</t>
  </si>
  <si>
    <t xml:space="preserve">ROBO CALIFICADO POR ESCALAMIENTO Y EFRACCION EN GRAVO DE TENTATIVA </t>
  </si>
  <si>
    <t xml:space="preserve">Dr. Reina, Juan Ignacio </t>
  </si>
  <si>
    <t>DEN:SANTA CRUZ, JUAN CARLOS</t>
  </si>
  <si>
    <t xml:space="preserve">178133/23 </t>
  </si>
  <si>
    <t xml:space="preserve">ISASMENDI, RODRIGO </t>
  </si>
  <si>
    <t>183760/23</t>
  </si>
  <si>
    <t xml:space="preserve">OCAMPO, VICTOR </t>
  </si>
  <si>
    <t xml:space="preserve"> ROBO SIMPLE </t>
  </si>
  <si>
    <t>DEN: IMPA, JUAN RAMON</t>
  </si>
  <si>
    <t xml:space="preserve">Art. 437 11/10/2023 Art. 441 MISMO DECRETO </t>
  </si>
  <si>
    <t xml:space="preserve"> COACCION (TRES HECHOS) , AMENAZAS (DOS HECHOS) Y CHANTAJE EN CONCURSO REAL</t>
  </si>
  <si>
    <t>DEN: LESCANO, SONIA LILIANA</t>
  </si>
  <si>
    <t xml:space="preserve">Art. 437 12/10/2023 Art. 441 MISMO DECRETO </t>
  </si>
  <si>
    <t>Dr. Angel Longarte</t>
  </si>
  <si>
    <t>PEREZ, MIGUEL ANGEL Y PÉREZ, MIGUEL ÁNGEL</t>
  </si>
  <si>
    <t>DEFENSA SOLICITA AMPLIACIÓN DE PLAZOS PROCESALES PARA OFRECER PRUEBA</t>
  </si>
  <si>
    <t>INCOMPARENCIA DE IMPUTADOS</t>
  </si>
  <si>
    <t>CON AUTO DE PRUEBA EN SUBSIDIO</t>
  </si>
  <si>
    <t>PENDIENTE TRÁMITE</t>
  </si>
  <si>
    <t>SE MANDA A ACUMULAR A SALA VII JUI 123620/23</t>
  </si>
  <si>
    <t>SE REPROGRAMA AL VENCIMIENTO DE PLAZO DE PRUEBA CONFORME SOLICITUD DE LA FISCALIA</t>
  </si>
  <si>
    <t>12 Y 13/02/2024 - 09:30 hs.</t>
  </si>
  <si>
    <t>185440/23</t>
  </si>
  <si>
    <t xml:space="preserve">LLAVERA, JORGE ARIEL </t>
  </si>
  <si>
    <t>ATENTADO CONTRA LA AUTORIDAD AGRAVADO; AMENAZAS CON ARMAS; LESIONES AGRAVADAS ; ROBO CALIFICADO POR EL USO DE ARMA</t>
  </si>
  <si>
    <t xml:space="preserve">DEN: VERA,DAIANA LESLIE; MOYA, FRANCISCO; DIAZ, ESTEBAN MAXIMILIANO; CHOCOBAR, CARLOS ALFONSO </t>
  </si>
  <si>
    <t xml:space="preserve">FS 26 26/07/2023 A HS 12:20 </t>
  </si>
  <si>
    <t xml:space="preserve">FS 44       SIN PLAZO </t>
  </si>
  <si>
    <t>183301/23</t>
  </si>
  <si>
    <t xml:space="preserve">BONIFACIO, SEBASTIAN HECTOR </t>
  </si>
  <si>
    <t>CONDORI, FRANCISCO NEMESIO. DEN: PALACIOS, ANA MARIA</t>
  </si>
  <si>
    <t xml:space="preserve">FS 32 6/06/2023 A HS 10:40 </t>
  </si>
  <si>
    <t xml:space="preserve">FS 52 SIN PLAZO </t>
  </si>
  <si>
    <t>INCOPARECENCIA DEL IMPUTADO</t>
  </si>
  <si>
    <t>ERROR DE NOTIFICACION DEL PRIMER DECRETO A ASESORIA</t>
  </si>
  <si>
    <t>TRÁMITE PENDIENTE</t>
  </si>
  <si>
    <t>Se manda para acumulación al Tribunal de Juicio – Sala IV Causa Nº 152.970/18</t>
  </si>
  <si>
    <t>SENTENCIA DE JUICIO ABREVIADO - PENA: 4 AÑOS DE PRISIÓN EFECTIVA PARA AMBAS IMPUTADAS - DE EJECUCIÓN: PRISIÓN DOMICILIARIA</t>
  </si>
  <si>
    <t>SENTENCIA DE JUICIO ABREVIADO (PENA: 6 MESES CONDICIONAL) + SOBRESEIMIENTO</t>
  </si>
  <si>
    <t xml:space="preserve">SENTENCIA DE JUICIO ABREVIADO - PENA: UN AÑO CONDICIONAL </t>
  </si>
  <si>
    <t>TRAMITE PENDIENTE</t>
  </si>
  <si>
    <t>DEFENSOR SOLICITA SUSPENSIÓN + ACUMULACIÓN DE CAUSA</t>
  </si>
  <si>
    <t>Art 437: 04/07/2023 - Art 441: 18/08/2023 (VENCE: 06/09/2023 A 10,00 HS.)</t>
  </si>
  <si>
    <t>SE NOTIFICÓ UDIS 4 PERO INTERVIENE UDIS Nº 2</t>
  </si>
  <si>
    <t>AUTO DE PRUEBA Y AMPARO</t>
  </si>
  <si>
    <t>INCOMPARENCIA IMPUTADO - NOTIFICADO PERSONALMENTE</t>
  </si>
  <si>
    <t>NO SE PUEDO ENCONTRAR AL IMPUTADO. LA DEFENSA TAMPOCO TUVO MÁS CONTACTO CON ÉL.</t>
  </si>
  <si>
    <t>176706/23</t>
  </si>
  <si>
    <t>OCHOA, ROXANA EDITH</t>
  </si>
  <si>
    <t>LESIONES AGRAVADAS POR LA RELACION DE PAREJA PREEXIS</t>
  </si>
  <si>
    <t xml:space="preserve">DEN: MOREL, JAVIER ANDRES </t>
  </si>
  <si>
    <t>183783/23</t>
  </si>
  <si>
    <t xml:space="preserve">ROBO CALIFICADO POR EL USO DE ARMAS (DOS HECHOS) </t>
  </si>
  <si>
    <t xml:space="preserve">GUANCA, JOSE CRISTIAN - CRUZ, CRISTIAN RENE  </t>
  </si>
  <si>
    <t xml:space="preserve">FS 34 13/04/2023 A HS 9:18 </t>
  </si>
  <si>
    <t>180248/23</t>
  </si>
  <si>
    <t xml:space="preserve">PERARLTA, HECTOR DAVID </t>
  </si>
  <si>
    <t>DESOBEDIENCIA JUDICIAL, VIOLACION DE DOMICILIO Y COACCION</t>
  </si>
  <si>
    <t>DEN: TEJERINA, ROSA FLAVIA</t>
  </si>
  <si>
    <t>FS 14 22/09/2022 A HS 10:13</t>
  </si>
  <si>
    <t xml:space="preserve">FS 62        SIN PLAZO </t>
  </si>
  <si>
    <t>FS 62        SIN PLAZO</t>
  </si>
  <si>
    <t xml:space="preserve">DEN: SUBELZA, VIVIANA </t>
  </si>
  <si>
    <t>185389/23</t>
  </si>
  <si>
    <t>185910/23</t>
  </si>
  <si>
    <t>GUAYMAS, EDUARDO ARIEL</t>
  </si>
  <si>
    <t xml:space="preserve">LESIONES LEVES AGRAVADAS POR LA RELACION DE PAREJA PRE-EXISTENTE Y VIOLENCIA DE GENERO </t>
  </si>
  <si>
    <t xml:space="preserve">DEN: CISNEROS, SILVIA ALEJANDRA VIC: CRUZ CISNEROS, FLAVIA CANDELA </t>
  </si>
  <si>
    <t>VUELVE EL EXP. A GARANTIAS</t>
  </si>
  <si>
    <t>182510/23</t>
  </si>
  <si>
    <t>MARTINEZ, LUIS ALBERTO</t>
  </si>
  <si>
    <t xml:space="preserve">HOMICIDIO AGRAVADO POR LA RELACION DE PAREJA PREVIA Y POR MEDIAR VIOLENCIA DE GENERO </t>
  </si>
  <si>
    <t>DOMICILIARIO</t>
  </si>
  <si>
    <t>FS 14 02/02/2023 HS 03:45</t>
  </si>
  <si>
    <t>DEN: MAZA, CAMILA SABRINA</t>
  </si>
  <si>
    <t>184696/23</t>
  </si>
  <si>
    <t xml:space="preserve">CAZON, MARCOS OSCAR </t>
  </si>
  <si>
    <t xml:space="preserve">LESIONES AGRAVADAS POR LA RELACION PREEXISTENTE Y POR CONSTITUAR VIOLENCIA DE GENERO, AMENZAS, VIOLACION DE DOMICILIO Y DESOBEDIENCIA JUDICIAL </t>
  </si>
  <si>
    <t xml:space="preserve">DEN: ORQUERA, INES VIRGINIA </t>
  </si>
  <si>
    <t>161383/23</t>
  </si>
  <si>
    <t xml:space="preserve">CHOROLQUE, JACINTO FACUNDO </t>
  </si>
  <si>
    <t xml:space="preserve">AMENAZAS Y PRIVACION ILEGITIMA DE LA LIBERTAD AGRAVADA </t>
  </si>
  <si>
    <t xml:space="preserve">DEN: MARIA JOHANA </t>
  </si>
  <si>
    <t>182656/23</t>
  </si>
  <si>
    <t>CAMPOS, HORACIO EDMUNDO</t>
  </si>
  <si>
    <t>Dr. Fernando Diaz Zabalaga</t>
  </si>
  <si>
    <t xml:space="preserve">DEN:CAMPOS, PATRICIA MALENA </t>
  </si>
  <si>
    <t xml:space="preserve">ABUSO SEXUAL GRAVEMENTE ULTRAJANTE POR SU DURACION Y LAS CIRCUNSTANCIAS DE SU REALIZACION AGRAVADO POR LA GUARDA Y CONVIVENCIA PREEXISTENTE </t>
  </si>
  <si>
    <t>182728/23</t>
  </si>
  <si>
    <t xml:space="preserve">CORDOZO, JORGE ANTONIO </t>
  </si>
  <si>
    <t xml:space="preserve">PECULADO POR EQUIPARACION DE BIENES </t>
  </si>
  <si>
    <t xml:space="preserve">DEN: VARGAS, ROQUE JOAQUIN </t>
  </si>
  <si>
    <t xml:space="preserve">MARTINEZ, EMANUEL HORACIO </t>
  </si>
  <si>
    <t xml:space="preserve">COACCION, AMENAZAS Y DESOBEDIENCIA JUDICIAL </t>
  </si>
  <si>
    <t xml:space="preserve">DEN: BRAVO, MARIA TERESA </t>
  </si>
  <si>
    <t xml:space="preserve">Art. 437 09/10/2023 Art. 441 MISMO DECRETO </t>
  </si>
  <si>
    <t xml:space="preserve">Art. 437 05/10/2023 Art. 441 MISMO DECRETO </t>
  </si>
  <si>
    <t>Art. 437 26/09/2023 Art. 441 MISMO DECRETO</t>
  </si>
  <si>
    <t>184134/23</t>
  </si>
  <si>
    <t xml:space="preserve">AGUIRRE, JUAN HILARIO </t>
  </si>
  <si>
    <t>Art. 437 12/10/2023 Art. 441 MISMO DECRETO</t>
  </si>
  <si>
    <t>Art. 437 09/10/2023 Art. 441 MISMO DECRETO</t>
  </si>
  <si>
    <t>Art. 437 18/10/2023 Art. 441 MISMO DECRETO</t>
  </si>
  <si>
    <t>Art. 437 11/10/2023 Art. 441 MISMO DECRETO</t>
  </si>
  <si>
    <t>Art. 437 06/10/2023 Art. 441 MISMO DECRETO</t>
  </si>
  <si>
    <t xml:space="preserve"> 10:00</t>
  </si>
  <si>
    <t>177228/23</t>
  </si>
  <si>
    <t xml:space="preserve">CUELLAR, KIARA </t>
  </si>
  <si>
    <t>ROBO DOBLEMENTE CALIFICADO Y POR HABERSE COMETIDO EN POBLADO Y EN BANDA, Y POR EL USO DE ARMA</t>
  </si>
  <si>
    <t>DEN: ERAZO, RODRIGO LEONEL</t>
  </si>
  <si>
    <t xml:space="preserve">Art. 437 18/10/2023 Art. 441 MISMO DECRETO </t>
  </si>
  <si>
    <t>184380/23</t>
  </si>
  <si>
    <t xml:space="preserve">RODRIGUEZ, JESUS JOSE </t>
  </si>
  <si>
    <t xml:space="preserve">LESIONES LEVES AGRAVADAS POR LA RELACION DE PAREJA Y POR EL GENERO </t>
  </si>
  <si>
    <t xml:space="preserve">VIC: NIETO, BANINA VALERIA - DEN: CABANA, NILSA Y NIETO, BANINA </t>
  </si>
  <si>
    <t>185270/23</t>
  </si>
  <si>
    <t xml:space="preserve">HURTO CALIFICADO (VEHICULO DEJADO EN LA VIA PUBLICA) </t>
  </si>
  <si>
    <t>181770/23</t>
  </si>
  <si>
    <t xml:space="preserve">ESTAFA, DAÑOS, LESIONES Y RESISTENCIA A LA AUTORIDAD TODO EN CONCURSO REAL </t>
  </si>
  <si>
    <t xml:space="preserve">DEN: LANG, PATRICIA FERNANDA - GONZA, PABLO NICOLAS </t>
  </si>
  <si>
    <t>175061/23</t>
  </si>
  <si>
    <t xml:space="preserve">SBRIZ, ANGEL DAMIAN </t>
  </si>
  <si>
    <t xml:space="preserve">DEN: GUARNIELI HOYOS, GABRIELA NOEL </t>
  </si>
  <si>
    <t>172210/23</t>
  </si>
  <si>
    <t xml:space="preserve">LEAL, NICANDRO FIDEL </t>
  </si>
  <si>
    <t xml:space="preserve">LESIONES GRAVES CULPOSAS POR HABERSE DADO A LA FUGA </t>
  </si>
  <si>
    <t xml:space="preserve">Dr. Murga </t>
  </si>
  <si>
    <t xml:space="preserve">Dr. Reyes </t>
  </si>
  <si>
    <t xml:space="preserve">VIC: LIZARRAGA, JULIO GUSTAVO DEN: TOLABA, ALAN RAFAEL  </t>
  </si>
  <si>
    <t>REINOSO, JOAQUIN HERNAN</t>
  </si>
  <si>
    <t>DOP 8 - Dra. Cecilia Martine</t>
  </si>
  <si>
    <t>DEN: LUGONES, REGINO DOMINGO</t>
  </si>
  <si>
    <t>NO SE NOTIFICO A LA QUERELLA</t>
  </si>
  <si>
    <t>186213/23</t>
  </si>
  <si>
    <t>VICENTE, ALEJANDRO MANUEL</t>
  </si>
  <si>
    <t>ROBO, AGRESION CON ARMA</t>
  </si>
  <si>
    <t>Art. 437 24/10/2023 Art. 441 MISMO DECRETO</t>
  </si>
  <si>
    <t>DEN: VILLAFAÑE, MARTA ELIZABETH</t>
  </si>
  <si>
    <t>____________________</t>
  </si>
  <si>
    <t>SUSP. POR INCOMPARENCIA IMPUTADO</t>
  </si>
  <si>
    <t>SUSP. POR INCOMPARENCIA PARTES</t>
  </si>
  <si>
    <t>SUP. POR PEDIDO DE JUEZ</t>
  </si>
  <si>
    <t>SUSP. POR JUEZ CON LICENCIA</t>
  </si>
  <si>
    <t>REPRO. POR FALTA DE DISPONIBILIDAD DE RECURSOS</t>
  </si>
  <si>
    <t>177201/22</t>
  </si>
  <si>
    <t xml:space="preserve">TOLABA SATURINO ETIFANIO </t>
  </si>
  <si>
    <t>HOMICIDIO CULPOSO POR LA CONDUCCION IMPRUDENTE NEGLIGENTE O ANTIRREGLAMENTARIA DE UN VEHICULO CON MOTOR</t>
  </si>
  <si>
    <t xml:space="preserve">Dra. Eliana Verchan </t>
  </si>
  <si>
    <t xml:space="preserve">Dr. Vedia Nicolas </t>
  </si>
  <si>
    <t xml:space="preserve">DEN: MAMANI, HUGO ERNESTO VIC: GASPAR AGISTIN JOSE </t>
  </si>
  <si>
    <t>Art. 437 27/10/2023 Art. 441 MISMO DECRETO</t>
  </si>
  <si>
    <t>TAMBIÉN SE DISPUSO PRISIÓN PREVENTIVA</t>
  </si>
  <si>
    <t xml:space="preserve">25/10/2023 - EN AUDIENCIA - SIN PLAZO </t>
  </si>
  <si>
    <t>SENTENCIA DE JUICIO ABREVIADO - PENA: 5 MESES + LIBERTAD</t>
  </si>
  <si>
    <t>SENTENCIA DE JUICIO ABREVIADO - PENA: 7 MESES</t>
  </si>
  <si>
    <t>SE ORDENA CONDUCCIÓN POR LA FUERZA PÚBLICA</t>
  </si>
  <si>
    <t>NO SE NOTIFICÓ A QUERELLA</t>
  </si>
  <si>
    <t>FISCAL NOTIFICADO POR OGA. PERO MANIFESTO QUE SE EXTENDIÓ UN DEBATE Y QUE NO VA A PODER CONCURRIR.</t>
  </si>
  <si>
    <t>184047/23</t>
  </si>
  <si>
    <t xml:space="preserve">MIRANDA, LUIS CESAR </t>
  </si>
  <si>
    <t xml:space="preserve">ROBO CALIFICADO POR EL USO DE ARMA </t>
  </si>
  <si>
    <t>DEN: CENZANO, CARLOS MARCELO</t>
  </si>
  <si>
    <t>175208/23</t>
  </si>
  <si>
    <t xml:space="preserve"> LESIONES LEVES AGRAVADAS POR LA RELACION DE PAREJA PREEXISTENTE Y POR CONSTITUIR VIOLENCIA DE GENERO</t>
  </si>
  <si>
    <t>DEN: CAYO, CLAUDIA VIVIANA</t>
  </si>
  <si>
    <t>180045/23</t>
  </si>
  <si>
    <t xml:space="preserve">HURTADO, CARLOS SEBASTIAN </t>
  </si>
  <si>
    <t xml:space="preserve"> ABUSO SEXUAL SIMPLE CONTINUADO AGRAVADO POR SER ENCARGADO DE LA EDUCACION</t>
  </si>
  <si>
    <t>DEN: JORGE, ELIZABETH NADIA</t>
  </si>
  <si>
    <t xml:space="preserve">DIAZ IBARRA, JUAN CARLOS - LUNA, SERGIO LUIS- ARIAS, HECTOR RAUL Y RIOS, JUAN EDUARDO </t>
  </si>
  <si>
    <t>180133/23 + acumulada 180559/23</t>
  </si>
  <si>
    <t xml:space="preserve">DEN: GARONA SALINAS, GONZALO MARIA                     DEN: SUPERMERCADO DIARCO </t>
  </si>
  <si>
    <t xml:space="preserve">FS 35 - 37 180559/22 (10/10/2022 A HS 09:46 Y 10:07 RIOS Y ARIAS)           FS 127 -129 180133/22 (27/10/2022 A HS 9:50 DIAZ IBARRA Y LUNA)  </t>
  </si>
  <si>
    <t xml:space="preserve">(FS 231 9/11/2022 A LOS 4 IMPUTADOS EXP 180133/22) (FS 63 21/10/2022 A RIOS Y ARIAS) </t>
  </si>
  <si>
    <t>SUSP. POR pARTE CON SUPERPOSICIÓN CON DEBATE</t>
  </si>
  <si>
    <t>173924/23</t>
  </si>
  <si>
    <t>ARMELLA, CARLOS MARIANO Y ARMELLA, FRANCO NICOLAS</t>
  </si>
  <si>
    <t>DEN: ROMANO, NATALIA AZUCENA</t>
  </si>
  <si>
    <t>180838/23</t>
  </si>
  <si>
    <t>MORENO LAMAS, FACUNDO LEONEL</t>
  </si>
  <si>
    <t>LESIONES LEVES AGRAVADAS POR LA RELACION PREEXISTENTE Y POR CONSTITUIR VIOLENCIA DE GENERO, AMENZASAS Y DESOBEDIENCIA JUDICIAL, TODO EN CONCURSO REAL</t>
  </si>
  <si>
    <t>DEN: ALBARRACIN, NATALIA MICAELA</t>
  </si>
  <si>
    <t xml:space="preserve">GUAYMAS, FABIANA BRENDA ANAHI  </t>
  </si>
  <si>
    <t>179717/23</t>
  </si>
  <si>
    <t xml:space="preserve">COLQUE DOMINGUEZ, RICARDO ERNESTO </t>
  </si>
  <si>
    <t xml:space="preserve">LESIONES LEVES AGRAVADAS POR LA RELACION DE PAREJA Y POR VIOLENCIA DE GENERO </t>
  </si>
  <si>
    <t xml:space="preserve">DEN: ESPINDOLA, PAULA GABRIELA </t>
  </si>
  <si>
    <t>ASUME NUEVA DEFENSA EN EL DÍA DE LA AUDIENCIA</t>
  </si>
  <si>
    <t>PESCRIPCIÓN</t>
  </si>
  <si>
    <t>POR FALTA DE DISPONIBILIDAD DE RECURSOS</t>
  </si>
  <si>
    <t>POR INCOMPARENCIA IMPUTADO</t>
  </si>
  <si>
    <t>DIFERIDA POST VENCIMIENTO DE PLAZOS-ACUMULACIÓN OTRA CAUSA</t>
  </si>
  <si>
    <t>POR PEDIDO DEL JUEZ</t>
  </si>
  <si>
    <t>POR INCOMPARENCIA PARTES</t>
  </si>
  <si>
    <t xml:space="preserve">LICENCIA PARTES </t>
  </si>
  <si>
    <t xml:space="preserve">EXTENSIÓN DEBATE PREFIJADO </t>
  </si>
  <si>
    <t>ASUME NUEVA DEFENSA</t>
  </si>
  <si>
    <t>174512/23</t>
  </si>
  <si>
    <t xml:space="preserve">BALBUENA, DIEGO LEONARDO </t>
  </si>
  <si>
    <t xml:space="preserve"> LESIONES LEVES AGRAVADAS POR EL VINCULO Y POR VIOLENCIA DE GENERO Y PRIVACION ILEGITIMA DE LA LIBERTAD AGRAVADA POR EL USO DE VIOLENCIA  EN CONCURSO REAL </t>
  </si>
  <si>
    <t xml:space="preserve"> DEN: BRANCICH, IVANNA JULIETA</t>
  </si>
  <si>
    <t>184375/23</t>
  </si>
  <si>
    <t xml:space="preserve">VACA, PABLO EXEQUIEL </t>
  </si>
  <si>
    <t>ABUSO SEXUAL SIMPLE CONTINUADO AGRAVADO POR LA GUARDA Y LA CONVIVENCIA CON UNA MENOR DE 18 AÑOS DE EDAD</t>
  </si>
  <si>
    <t>Art. 437 31/10/2023 Art. 441 MISMO DECRETO</t>
  </si>
  <si>
    <t xml:space="preserve">DEN: PINTO, ZOE AGUSTINA VIC: PINTO SABRINA ILIANA </t>
  </si>
  <si>
    <t>184466/23</t>
  </si>
  <si>
    <t xml:space="preserve">CAQUIS, EDUARDO DIONICIO - DAVALOS, ROSA ANGELICA </t>
  </si>
  <si>
    <t xml:space="preserve">TENENCIA DE ESTUFACIENTES CON FINES DE COMERCIALIZACION </t>
  </si>
  <si>
    <t xml:space="preserve">DEFENSA: DR. PAZ POR EL IMP: DAVALOS - DR. VAQUEZ POR EL IMP: CAQUIS </t>
  </si>
  <si>
    <t xml:space="preserve">FS 49 22/05/2023 A HS 9:15 FS 57 23/05/2023 A HS 9:59 </t>
  </si>
  <si>
    <t>FS 58 23/05/20230</t>
  </si>
  <si>
    <t>SENTENCIA JUICIO ABREVIADO - PENA: 3 AÑOS</t>
  </si>
  <si>
    <t>SE DECIDE COLEGIADO Y SE EXCLUYE DEL PILOTO POR OPOSICION DE LAS PARTES</t>
  </si>
  <si>
    <t>SE EXCLUYE DEL PILOTO POR OPOSICION DE LAS PARTES</t>
  </si>
  <si>
    <t xml:space="preserve">ZURITA VARGAS, EDUARDO </t>
  </si>
  <si>
    <t>170322/23</t>
  </si>
  <si>
    <t>HERRERA, GONZALO GERMAN</t>
  </si>
  <si>
    <t>DEN: SARMIENTO, JIMENA AGOSTINA</t>
  </si>
  <si>
    <t xml:space="preserve">186151/23 </t>
  </si>
  <si>
    <t xml:space="preserve">RIVADENEIRA, CARLOS </t>
  </si>
  <si>
    <t>AMENAZAS CON ARMA (DOS HECHOS), ROBO AGRAVADO POR EL USO DE ARMAS</t>
  </si>
  <si>
    <t>DEN: CASIMIRO, JOSE LUIS</t>
  </si>
  <si>
    <t>BELL, JORGE ALEJANDRO</t>
  </si>
  <si>
    <t>ABUSO SEXUAL CON ACCESO CARNAL AGRAVADO POR LA GUARDA Y  LA CONVIVENCIA PREEXISTENTE  CON UNA MENOR DE 18 AÑOS (TRES HECHOS)  EN CONCURSO REAL Y ABUSO SEXUAL SIMPLE CONTINUADO AGRAVADO POR LA GUARDA Y LA CONVIVENCIA PREEXISTENTE CON UNA MENOR DE 18 AÑOS TODO EN CONCURSO REAL</t>
  </si>
  <si>
    <t>DEN: LUNA, MIRTA EVELIA</t>
  </si>
  <si>
    <t>FS.23 12/05/2023 A HS. 10:50</t>
  </si>
  <si>
    <t>FS.43 19/05/2023 SIN PLAZO</t>
  </si>
  <si>
    <t>186086/23</t>
  </si>
  <si>
    <t>JUAN JOSE ARAGON</t>
  </si>
  <si>
    <t>FS.72 30/08/2023 A HS. 22:20</t>
  </si>
  <si>
    <t>FS. 110 20/09/2023 SIN PLAZO</t>
  </si>
  <si>
    <t>SALUD PUBLICA</t>
  </si>
  <si>
    <t>184521/23</t>
  </si>
  <si>
    <t>GUTIERREZ, JULIO CESAR</t>
  </si>
  <si>
    <t>FS. 22 29/05/2023 HS. 14:30</t>
  </si>
  <si>
    <t>FS. 61/65 06/06/2023 SIN PLAZO</t>
  </si>
  <si>
    <t>DR. LUCIANO ROMANO (SACARIAS, JULIO); DR. MARTIN DANDREA (MANSILLA, ANGEL); DR. RICARDO BELBRUNO (GUTIERREZ, MONICA); DRA- LUCIANA ANDOLFI (GUTIERREZ, JULIO CESAR)</t>
  </si>
  <si>
    <t>ESTAFA REITERADAS (8 HECHOS) Y FALSEDAD DE INSTRUMENTO PUBLICO (DOS HECHOS) EN CONCURSO REAL ; MANSILLA, ANGEL POR ESTAFA (1 HECHO) ; GUTIERREZ, MONICA PATRICIA POR ESTAFA (1 HECHO) Y SACARIAS, JUAN CARLOS POR ESTAFA (1 HECHO)</t>
  </si>
  <si>
    <t>PORTELA, ROMINA GABRIELA, NARZ, SARA FLORENCIA, MAMANI, LUCRECIA PAOLA, DIMARCO, MARIA EUGENIA, POLO, MARIA ROSA DEL PILAR, MASTRANDEA, JUAN IGNACIO, CASTILLO, EDGARDO MARTIN, LOPEZ, SERGIO HILARIO</t>
  </si>
  <si>
    <t xml:space="preserve">ABUSO SEXUAL SIMPLE; CONCURSO REAL ART.55 </t>
  </si>
  <si>
    <t>CON AUTO DE PRUEBA PARA FIJAR DEBATE</t>
  </si>
  <si>
    <t>177036/22</t>
  </si>
  <si>
    <t xml:space="preserve">CRUZ, ANGEL </t>
  </si>
  <si>
    <t xml:space="preserve"> ABUSO SEXUAL GRAVEMENTE ULTRAJANTE POR LAS CIRCUNSTANCIAS DE SU REALIZACION AGRAVADO POR LA GUARDA</t>
  </si>
  <si>
    <t>VIC: CRUZ, ARA DEBORA          DEN: CRUZ, ERMELINDA</t>
  </si>
  <si>
    <t>FS 28 14/04/2022  A HS 09,00</t>
  </si>
  <si>
    <t>FS 85 27/04/2022 SIN PLAZO</t>
  </si>
  <si>
    <t xml:space="preserve">UNIDAD CARCELARIA Nº5 TARTAGAL     </t>
  </si>
  <si>
    <t>180673/23</t>
  </si>
  <si>
    <t xml:space="preserve">CORREA SARAVIA, HUGO ALBERTO </t>
  </si>
  <si>
    <t xml:space="preserve">Dr. Teseyra </t>
  </si>
  <si>
    <t xml:space="preserve">Dr. Arancibia </t>
  </si>
  <si>
    <t xml:space="preserve">QUERELLA - DR. ARANCIBIA </t>
  </si>
  <si>
    <t xml:space="preserve">DEN: MORALES, GABRIELA YOLANDA </t>
  </si>
  <si>
    <t>177750/23</t>
  </si>
  <si>
    <t xml:space="preserve">VILTE, DAVID ALEJANDRO </t>
  </si>
  <si>
    <t xml:space="preserve"> DESOBEDIENCIA JUDICIAL</t>
  </si>
  <si>
    <t>DEN: SANCHEZ, ROSANA ELIZABETH</t>
  </si>
  <si>
    <t>183509/23</t>
  </si>
  <si>
    <t>185353/23</t>
  </si>
  <si>
    <t>CHOQUE, CRISTIAN ANDRES</t>
  </si>
  <si>
    <t>DEN: CRUZ, NATALIO FEDERICO Y LIA PAOLA</t>
  </si>
  <si>
    <t>VIOLACION DE DOMICILIO, AMENAZAS CON ARMAS, LESIONES LEVES EN PERJUICIO DE CRUZ, NATALIO FEDERICO; DESOBEDIENCIA JUDICIAL (5 HECHOS), AMENAZAS (2 HECHOS) Y LESIONES LEVES AGRAVADAS POR LA RELACION DE PAREJA PREEXISTENTE Y POR MEDIAR VIOLENCIA DE GENERO EN CONCURSO REAL</t>
  </si>
  <si>
    <t>184537/23</t>
  </si>
  <si>
    <t xml:space="preserve">DIAZ, JOAO CARLOS GABRIEL </t>
  </si>
  <si>
    <t>ROBO DE VEHICULO DEJADO EN LA VIA PUBLICA EN GRADO DE TENTATIVA</t>
  </si>
  <si>
    <t>Art. 437 23/10/2023 Art. 441 MISMO DECRETO</t>
  </si>
  <si>
    <t xml:space="preserve">DEN: CABANA, NATALI MALBA </t>
  </si>
  <si>
    <t xml:space="preserve">FS 13 26/05/2023    A HS 10:29 </t>
  </si>
  <si>
    <t xml:space="preserve">FS 29 7/06/2023 SIN PLAZO </t>
  </si>
  <si>
    <t>INICIA 10/05/2024 (FIJADA POR 3 DÍAS)</t>
  </si>
  <si>
    <t>INICIA 05/08/2024 (POR 2 DÍAS)</t>
  </si>
  <si>
    <t>ESPERANDO QUE ESTÉ FIRME AUTO DE PRUEBA</t>
  </si>
  <si>
    <t>INICIA 10/06/2024 (POR 2 DÍAS)</t>
  </si>
  <si>
    <t>INICIA 2/07/2024 (POR 5 DÍAS)</t>
  </si>
  <si>
    <t>INICIA 8 Y 9/11/2023</t>
  </si>
  <si>
    <t>INICIA 19/12/2023 (POR 2 DÍAS)</t>
  </si>
  <si>
    <t>INICIA 6/03/2024 (POR 3 DÍAS)</t>
  </si>
  <si>
    <t>INICIA 3/01/2023 (POR 4 DÍAS)</t>
  </si>
  <si>
    <t>INCIIA 14/03/2024 (POR 2 DÍAS)</t>
  </si>
  <si>
    <t>INICIA 5/04/2024 (POR 4 DÍAS)</t>
  </si>
  <si>
    <t>PRELIMINAR: 22/11/2023 - DEBATE: INCIA 9/02/2024</t>
  </si>
  <si>
    <t>INICIA 12/06/2024 (POR 4 DÍAS)</t>
  </si>
  <si>
    <t xml:space="preserve"> 09/02/2024</t>
  </si>
  <si>
    <t>10 Y 11/06/2024</t>
  </si>
  <si>
    <t>INICIA 07/08/2024 (POR 3 DÍAS)</t>
  </si>
  <si>
    <t>INICIA 26/02/2024 (POR 3 DÍAS)</t>
  </si>
  <si>
    <t>SOBRESEMIENTO PARA ROJAS. LIBERTAD PARA CUELLAR EN FECHA 6/11/2023.</t>
  </si>
  <si>
    <t xml:space="preserve">CARO, RUBEN REYNALDO </t>
  </si>
  <si>
    <t>SENTENCIA DE JUICIO ABREVIADO - PENA 6 MESES EFECTIVA</t>
  </si>
  <si>
    <t>SENTENCIA DE JUICIO ABREVIADO - PENA: 6 AÑOS EFECTIVA</t>
  </si>
  <si>
    <t>185770/23</t>
  </si>
  <si>
    <t>WAYAR GOMEZ, GONZALO RODRIGO - YURQUINA, ESTEBAN JOEL</t>
  </si>
  <si>
    <t>PRIVACION ILEGITIMA DE LA LIBERTAD, FALSEDAD IDEOLOGICA, VEJACIONES CALIFICADAS POR EL USO DE VIOLENCIA; PRIVACION ILEGITIMA DE LA LIBERTAD, VEJACIONES CALIFICADAS POR EL USO DE VIOLENCIA</t>
  </si>
  <si>
    <t xml:space="preserve">DEN: COLLADO, JOAQUIN IGNACIO - AGUIRRE DAUD, LUIS JOSE </t>
  </si>
  <si>
    <t xml:space="preserve">DR. VEDIA, NICOLAS POR WAYAR GOMEZ Y DR. PEPELNAC, ENZO RAMIRO POR YURQUINA </t>
  </si>
  <si>
    <t>183303/23</t>
  </si>
  <si>
    <t>QUIROGA, JUAN FACUNDO</t>
  </si>
  <si>
    <t>Art. 437 20/10/2023 Art. 441 MISMO DECRETO</t>
  </si>
  <si>
    <t xml:space="preserve">DEFENSORES: DR. DAVALOS JUAN CASABELA Y DR. CARPIO, CARLOS MATIAS </t>
  </si>
  <si>
    <t xml:space="preserve">DEN: CHANE, IVAN DIEGO VIC: LAIME DAMIAN - NOLASCO MAMANI, GABRIEL NELSON ACT CIVIL: FLORES, LILIANA </t>
  </si>
  <si>
    <t>186303/23</t>
  </si>
  <si>
    <t xml:space="preserve">DAJER, JOSE FRANCISCO </t>
  </si>
  <si>
    <t>Art. 437 07/11/2023 Art. 441 MISMO DECRETO</t>
  </si>
  <si>
    <t xml:space="preserve">DEN: TORRES, MARTA GORINA - CRUZ, KATIA ELENA </t>
  </si>
  <si>
    <t xml:space="preserve">FS 18 11/09/2023 A HS 10:12 </t>
  </si>
  <si>
    <t xml:space="preserve">FS 46 28/09/2023 SIN PLAZO </t>
  </si>
  <si>
    <t xml:space="preserve">FS 23 08/10/2022 A HS 10:20 </t>
  </si>
  <si>
    <t xml:space="preserve">DEN: FILOMARIANO, CARLA ESTEFANIA </t>
  </si>
  <si>
    <t xml:space="preserve">ROLDAN, EXEQUIEL ARNALDO - SALVATIERRA, DELIA MABEL - PAZ PAOLA ALICIA </t>
  </si>
  <si>
    <t xml:space="preserve">FS 40 21/10/2022 SIN PLAZO 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</si>
  <si>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</t>
  </si>
  <si>
    <t>ERROR DE NOTIFICACIÓN 437/441 - SE NOTIFICÓ DEFENSORÍA OFICIAL Y HABÍA ASUMIDO DEFENSA PARTICULAR</t>
  </si>
  <si>
    <t xml:space="preserve">JUEZ REEMPLAZO: DRA. MUKDSI - SENTENCIA DE JUICIO ABREVIADO - PENA: 7 MESES </t>
  </si>
  <si>
    <t xml:space="preserve">JUEZ REEMPLAZO: DRA. MUKDSI - SENTENCIA DE JUICIO ABREVIADO - PENA: 1 AÑO Y 2 MESES </t>
  </si>
  <si>
    <t>JUEZ REEMPLAZO: DRA. MUKDSI - LIBERTAD RAMOHA</t>
  </si>
  <si>
    <t>HOMICIDIO CULPOSO POR LA CONDUCCION IMPRUDENTE, NEGLIGENTE O ANTIRREGLAMENTARIO DE UN VEHICULO CON MOTOR DOBLEMENTE CALIFICADO POR VIOLAR LAS SEÑALES DE TRANSITO QUE INDICAN EN EL SENTIDO DE CIRCULACION VEHICULAR Y POR SER MAS DE UNA LAS VICTIMAS FATALES</t>
  </si>
  <si>
    <t>PENDIENTE DE REMITIR EL CUERPO ORIGINAL</t>
  </si>
  <si>
    <t>VOLVIO A GARANTIAS PARA RESOLVER PENDIENTES</t>
  </si>
  <si>
    <t>180194/23</t>
  </si>
  <si>
    <t>178542/23</t>
  </si>
  <si>
    <t xml:space="preserve">DIAZ, ROBERTO </t>
  </si>
  <si>
    <t>183823/23</t>
  </si>
  <si>
    <t xml:space="preserve">RIOS, JOSE IGNACIO </t>
  </si>
  <si>
    <t>LESIONES LEVES AGRAVADAS POR EL GENERO Y LA RELACION DE PAREJA PREEXISTENTE Y AMENAZAS</t>
  </si>
  <si>
    <t>DEN: FLORES, BELEN VIRGINIA</t>
  </si>
  <si>
    <t>DEN: CABANA, NATALI MALBA</t>
  </si>
  <si>
    <t>VIOLACION DE DOMICILIO</t>
  </si>
  <si>
    <t xml:space="preserve"> DESOBEDIENCIA JUDICIAL, AMENAZAS Y COACCION </t>
  </si>
  <si>
    <t xml:space="preserve">LAZARTE VILLALBA, FRANCO </t>
  </si>
  <si>
    <t>DEN: MENESES, CAMILA NAZARENA</t>
  </si>
  <si>
    <t>184496/23 + acum 175487/23 + 183936/23</t>
  </si>
  <si>
    <t xml:space="preserve">FS 19 22/05/2023 A HS 12:41 </t>
  </si>
  <si>
    <r>
      <rPr>
        <b/>
        <sz val="10"/>
        <color rgb="FF000000"/>
        <rFont val="Arial"/>
        <family val="2"/>
      </rPr>
      <t>FLORES, MARCO ANTONIO (PRESO)                      VIVERO MALDONADO, FABRICIO (PRESO)</t>
    </r>
    <r>
      <rPr>
        <sz val="10"/>
        <color rgb="FF000000"/>
        <rFont val="Arial"/>
        <family val="2"/>
      </rPr>
      <t xml:space="preserve">       PEREZ, BRISA AGUSTINA S/C MEDIDA SUSTITUTIVA</t>
    </r>
  </si>
  <si>
    <t xml:space="preserve">ROBO SIMPLE - HURTO CALIFICADO </t>
  </si>
  <si>
    <t xml:space="preserve">FS 46 8/06/2023 SIN PLAZO JUI 184496/23 </t>
  </si>
  <si>
    <t>DEN: ANGEL, MARIA JOSE - IMP: FLORES, MARCO ANTONIO Y VIVERO MALDONADO, FABRICIO DEN: PONCE, ARMANDO MARIO IMP: FLORES, ANTONIO MARCO</t>
  </si>
  <si>
    <t>DEFENSORIA PENAL Nº10 -    DEFENSORIA PENAL  Nº14</t>
  </si>
  <si>
    <t>ABREVIADO RECHAZADO</t>
  </si>
  <si>
    <t>186364/23</t>
  </si>
  <si>
    <t xml:space="preserve">NUÑEZ, GABRIEL ALEJANDRO </t>
  </si>
  <si>
    <t xml:space="preserve">ROBO DOBLEMENTE AGRAVADO POR ESCALAMIENTO Y POR EL USO DE ARMA EN GRADO DE TENTATIVA </t>
  </si>
  <si>
    <t xml:space="preserve">DEN: MORALES, GISELA CAROLINA </t>
  </si>
  <si>
    <t>FS 15 14/09/2023 A HS 11:00</t>
  </si>
  <si>
    <t xml:space="preserve">FS 62 06/10/2023 SIN PLAZO </t>
  </si>
  <si>
    <t>182747/23</t>
  </si>
  <si>
    <t xml:space="preserve">ABUSO DE ARMAS - ABUSO DE ARMAS Y TENENCIA DE ARMA DE GUERRA AMBOS EN CONCURSO REAL </t>
  </si>
  <si>
    <t xml:space="preserve">FS 282 7/03/2023 SIN PLAZO </t>
  </si>
  <si>
    <t xml:space="preserve">  FS 221 22/02/2023 A HS 13:27 (TACTAGI)</t>
  </si>
  <si>
    <t xml:space="preserve">PRISION DOMICILIARIA (UADME )           23-06-2023       </t>
  </si>
  <si>
    <t xml:space="preserve">LEON, HECTOR ARIEL (MEDIDA SUSTITUTIVA 07-03-2023) - TACTAGI, MARCOS DAVID   </t>
  </si>
  <si>
    <t>181745/23</t>
  </si>
  <si>
    <t>ELIAS, WALTER MANUEL</t>
  </si>
  <si>
    <t xml:space="preserve">DEN: GONZALEZ, RAQUEL VIC: B.E. (M) </t>
  </si>
  <si>
    <t xml:space="preserve">Dr. Gomez Rene (particular) </t>
  </si>
  <si>
    <t>183991/23</t>
  </si>
  <si>
    <t xml:space="preserve">FERNANDEZ, CARLOS LISANDRO </t>
  </si>
  <si>
    <t xml:space="preserve">COACCION </t>
  </si>
  <si>
    <t>Art. 437 10/11/2023 Art. 441 MISMO DECRETO</t>
  </si>
  <si>
    <t>Art. 437 08/11/2023 Art. 441 MISMO DECRETO</t>
  </si>
  <si>
    <t>Art. 437 06/11/2023 Art. 441 MISMO DECRETO</t>
  </si>
  <si>
    <t>Art. 437 03/11/2023 Art. 441 MISMO DECRETO</t>
  </si>
  <si>
    <t xml:space="preserve">DEN: NUÑO, SONIA TERESITA </t>
  </si>
  <si>
    <t>184817/23</t>
  </si>
  <si>
    <t xml:space="preserve">VEGA, ANGEL ALEJANDRO </t>
  </si>
  <si>
    <t xml:space="preserve">HOMICIDIO CALIFICADO CRIMINIS CAUSA EN GRADO DE TENTATIVA </t>
  </si>
  <si>
    <t xml:space="preserve">Dr. Sosa Omar </t>
  </si>
  <si>
    <t xml:space="preserve">DEN: DIAZ, CELSO ESTRATON </t>
  </si>
  <si>
    <t>FS 23 12/06/2023 A HS 10:18</t>
  </si>
  <si>
    <t xml:space="preserve">FS 68 05/07/2023 SIN PLAZO </t>
  </si>
  <si>
    <t>186242/23</t>
  </si>
  <si>
    <t>LOPEZ, VICTOR RUBEN</t>
  </si>
  <si>
    <t>HOMICIDIO SIMPLE Y ATENTADO CONTRA LA AUTORIDAD AGRAVADO POR PONER MANOS EN LA AUTORIDAD Y DAÑOS AGRAVADO EN CONCURSO REAL</t>
  </si>
  <si>
    <t>DEN: RUEDA, DALMIRO ADRIAN</t>
  </si>
  <si>
    <t>FS 08 06/09/2023 A HS 22:45</t>
  </si>
  <si>
    <t>FS 48/49 26/09/2023 SIN PLAZO</t>
  </si>
  <si>
    <t>NULIDAD DEL AUTO DE ELEVACIÓN - BAJA A GARANTÍAS Nº 4 - INTERVIENE DRA. MUKDSI EN FERIA</t>
  </si>
  <si>
    <t>RESULTADO A DEFINIR EN NUEVA AUDIENCIA. PARTES PIDEN ACUMULAR UNA ÚLTIMA CAUSA. FISCALÍA PIDE ESOS PLAZOS PARA PODER OFRECER PRUEBA EN LA CAUSA ACUMULADA.</t>
  </si>
  <si>
    <t>AUDIENCIA FIJADA A TRAVÉS DE OGA EN FECHA 10/11/2023 A 11,51 HORAS</t>
  </si>
  <si>
    <t xml:space="preserve">178419/23 + acum 179894/23 </t>
  </si>
  <si>
    <t>BELLIDO, ALEXIS</t>
  </si>
  <si>
    <t xml:space="preserve">174044/23 </t>
  </si>
  <si>
    <t xml:space="preserve">JUAN, YESICA; LEANDRAS, DAMIAN; MARTINEZ, EZEQUIEL JUAN </t>
  </si>
  <si>
    <t xml:space="preserve"> ESTAFAS REITERADAS (SIETE HECHOS) Y ASOCIACION ILICITA</t>
  </si>
  <si>
    <t>DEN: ZENOBIA MOLINA; AMPUERO ROJAS, ARNALDO CIPRIANO: BARRAZA FLORES, JOSE DELMIRO; SARAVIA NAVAMUEL RODRIGO; ACEVEDO, NILDA; FERNANDEZ PEREZ, ALICIA; RUFINO, FELISA HAYDEE</t>
  </si>
  <si>
    <t>HURTO CALIFICADO POR SER VEHICULO DEJADO EN LA VIA PUBLICA EN GRADO DE TENTATIVA</t>
  </si>
  <si>
    <t>DEN: DOMINGUEZ, JESICA DANIELA</t>
  </si>
  <si>
    <t>178931/23</t>
  </si>
  <si>
    <t xml:space="preserve">FIORIS, PAOLA </t>
  </si>
  <si>
    <t>183437/23</t>
  </si>
  <si>
    <t xml:space="preserve">PLAZA, VICTOR JULIO </t>
  </si>
  <si>
    <t>168297/21</t>
  </si>
  <si>
    <t xml:space="preserve">TOCONAS, GUILLERMO </t>
  </si>
  <si>
    <t xml:space="preserve">PADILLA, VICTOR HUGO </t>
  </si>
  <si>
    <t>170812/23</t>
  </si>
  <si>
    <t>:::::::::::::::::::::::::::::::::::::::::::::::::::::::::::::::::::::::</t>
  </si>
  <si>
    <t xml:space="preserve"> HOMICIDIO CULPOSO EN ACCIDENTE DE TRANSITO</t>
  </si>
  <si>
    <t xml:space="preserve"> VIC: GENOVEVA VALDEZ, LUCIA BEATRIZ - DEN: GARCIA, JUANA DEL MILAGRO</t>
  </si>
  <si>
    <t xml:space="preserve">LESIONES GRAVES CULPOSAS EN ACCIDENTE DE TRANSITO </t>
  </si>
  <si>
    <t>VIC:  FERNANDEZ, ANA DEL VALLE - DEN: HERRERA, NOEMI GRACIELA</t>
  </si>
  <si>
    <t>INCUMPLIENTO DE LOS DEBERES DE ASISTENCIA FAMILIAR Y DESOBEDIENCIA JUDICIAL TODO ELLO EN CONCURSO REAL</t>
  </si>
  <si>
    <t>DEN: MEDINA CRUZ, MARIA SOLEDAD</t>
  </si>
  <si>
    <t>AMENAZAS (DOS HECHOS) Y DESOBEDIENCIA JUDICIAL (DOS HECHOS) EN CONCURSO REAL</t>
  </si>
  <si>
    <t xml:space="preserve"> DEN: JURADO, MARIA CONCEPCION</t>
  </si>
  <si>
    <t>159840/23</t>
  </si>
  <si>
    <t>FABIAN, KEVIN GASTON - CONDORI GONZA, NICOLAS SANTIAGO</t>
  </si>
  <si>
    <t xml:space="preserve"> ROBO CALIFICADO EN DESPOBLADO Y EN BANDA -  ROBO CALIFICADO CON LA PARTICIPACION DE UN MENOR, EN DESPOBLADO Y EN BANDA</t>
  </si>
  <si>
    <t>DEN: MARINARO, SALVADOR</t>
  </si>
  <si>
    <t>Superposicion de horarios</t>
  </si>
  <si>
    <t>11929/23</t>
  </si>
  <si>
    <t xml:space="preserve">SANTOS, JOSE LEANDRO </t>
  </si>
  <si>
    <t>11862/23</t>
  </si>
  <si>
    <t>182541/23</t>
  </si>
  <si>
    <t xml:space="preserve">LAIME, LUIS </t>
  </si>
  <si>
    <t>154095/23</t>
  </si>
  <si>
    <t xml:space="preserve">CRUZ, FLAVIO JOSE </t>
  </si>
  <si>
    <t>182793/23</t>
  </si>
  <si>
    <t xml:space="preserve">JANCO, MATIAS </t>
  </si>
  <si>
    <t>186358/23</t>
  </si>
  <si>
    <t xml:space="preserve">LOPEZ, SERGIO </t>
  </si>
  <si>
    <t>186184/23</t>
  </si>
  <si>
    <t xml:space="preserve">SALAZAR, ANIANO </t>
  </si>
  <si>
    <t>10306/23</t>
  </si>
  <si>
    <t xml:space="preserve">LOPEZ, ARIEL </t>
  </si>
  <si>
    <t>Art. 437 15/11/2023 Art. 441 MISMO DECRETO</t>
  </si>
  <si>
    <t>185887/23</t>
  </si>
  <si>
    <t xml:space="preserve">TARIFA, CLAUDIO </t>
  </si>
  <si>
    <t>Art. 437 13/11/2023 Art. 441 MISMO DECRETO</t>
  </si>
  <si>
    <t>DEN: PINEDO, DAIANA ESTEFANIA</t>
  </si>
  <si>
    <t>VEJACIONES</t>
  </si>
  <si>
    <t xml:space="preserve"> DEN: CASTILLO, RENE LEONEL</t>
  </si>
  <si>
    <t xml:space="preserve">FRONTERA, HUGO; MAMANI, MICAELA DEL MILAGRO </t>
  </si>
  <si>
    <t>LESIONES LEVES AGRAVADAS POR EL VINCULO Y POR VIOLENCIA DE GENERO Y RESISTENCIA A LA AUTORIDAD -  RESISTENCIA A LA AUTORIDAD Y LESIONES LEVES EN CONCURSO REAL</t>
  </si>
  <si>
    <t>DAÑOS Y DESOBEDIENCIA JUDICIAL (CUATRO HECHOS) TODO ELLO EN CONCURSO REAL</t>
  </si>
  <si>
    <t>Art. 437 16/11/2023 Art. 441 MISMO DECRETO</t>
  </si>
  <si>
    <t>DEN: GUERRA, MELISA AMANDA</t>
  </si>
  <si>
    <t xml:space="preserve">DR. TROYANO DE REEMPLAZO. JUICIO ABREVIADO RECHAZADO. JUEZ NO QUIERE PRONUNCIARSE SOBRE LA PRUEBA. </t>
  </si>
  <si>
    <t>SENTENCIA DE JUICIO ABREVIADO. PENA:3 AÑOS</t>
  </si>
  <si>
    <t>PROBATION POR RODRÍGUEZ + AUTO DE PRUEBA POR LÓPEZ</t>
  </si>
  <si>
    <t>FISCALÍA</t>
  </si>
  <si>
    <t xml:space="preserve">INFORME NO VIVE EN EL DOMICILIO FIJADO </t>
  </si>
  <si>
    <t>ACUMULADA A CAUSA JUI 184154/23</t>
  </si>
  <si>
    <t>ESTABA INTERNADO POR PROBLEMA DE SALUD</t>
  </si>
  <si>
    <t>DR. MAGGIO NO COMPARECE</t>
  </si>
  <si>
    <t>AUTO DE PRUEBA EN SUBSIDIO</t>
  </si>
  <si>
    <t>INCOMPARENCIA FISCAL</t>
  </si>
  <si>
    <t>FALTA DE NOTIFICACIÓN A LA DEFENSA DEL ART 441</t>
  </si>
  <si>
    <t>SENTENCIA DE JUICIO ABREVIADO. PENA: 1 AÑO Y 5 MESES</t>
  </si>
  <si>
    <t xml:space="preserve">SENTENCIA DE JUICIO ABREVIADO. PENA: 7 MESES </t>
  </si>
  <si>
    <t>SENTENCIA DE JUICIO ABREVIADO. PENA: 8 MESES CONDICIONAL</t>
  </si>
  <si>
    <t>SENTENCIA DE JUICIO ABREVIADO. PENA UNIFICADA: 3 AÑOS Y 3 MESES EFECTIVA</t>
  </si>
  <si>
    <t>PEDIDO FISCAL</t>
  </si>
  <si>
    <t>SENTENCIA DE JUICIO ABREVIADO. PENA: 6 MESES CONDICIONAL</t>
  </si>
  <si>
    <t>JUEZ REEMPLAZO: DRA. MUKDSI - REBELDÍA + AUTO DE PRUEBA. SE REMITE A VOCALIA I SALA V HASTA QUE APAREZCA IMPUTADO</t>
  </si>
  <si>
    <t>INFORME DIA:</t>
  </si>
  <si>
    <t>Juicio abreviado</t>
  </si>
  <si>
    <t>OFIJU Juicios</t>
  </si>
  <si>
    <t>Auto de prueba</t>
  </si>
  <si>
    <t>171063/23</t>
  </si>
  <si>
    <t xml:space="preserve">FLORES, JESUS LUIS MATIAS </t>
  </si>
  <si>
    <t xml:space="preserve">ABUSO SEXUAL GRAVEMENTE ULTRAJANTE </t>
  </si>
  <si>
    <t xml:space="preserve">LAMAS, ELSA GISELA ALEJANDRA </t>
  </si>
  <si>
    <t xml:space="preserve">DR: ARIAS CAMACHO, ALVARO GUILLERMO </t>
  </si>
  <si>
    <t>SUSPENDIA POR INCOMP. DEL IMPUTADO (NO QUISO SALIR DE LA CELDA)</t>
  </si>
  <si>
    <t xml:space="preserve"> 28/11/2023</t>
  </si>
  <si>
    <t xml:space="preserve"> 08:30</t>
  </si>
  <si>
    <t xml:space="preserve">SE RESUELVE EN OFIJU GAR </t>
  </si>
  <si>
    <t>PEDIDO DR. MAGGIO</t>
  </si>
  <si>
    <t>NO QUISO SALIR DE LA CELDA EL IMPUTADO</t>
  </si>
  <si>
    <t xml:space="preserve"> VIOLACION DE DOMICILIO, AMENAZAS Y LESIONES AGRAVADAS DOBLEMENTE AGRAVADAS POR LA RELACION DE PAREJA PREEXISTENTE Y POR EL GENERO TODO EN CONCURSO REAL</t>
  </si>
  <si>
    <t>DEN: ALANCAY, IRMA GRACIELA</t>
  </si>
  <si>
    <t>GROOMING EN PERJUICIO DE B., M. D. C. (M)</t>
  </si>
  <si>
    <t xml:space="preserve">DEN: BETANCOR, RAMIRO ANDRES </t>
  </si>
  <si>
    <t>AMENAZAS Y DESOBEDIENCIA JUDICIAL, EN CONCURSO REAL</t>
  </si>
  <si>
    <t>Art. 437 21/11/2023 Art. 441 MISMO DECRETO</t>
  </si>
  <si>
    <t>DEN: CECILIA LORENA AVALOS</t>
  </si>
  <si>
    <t>DEN: COTRINO, MARIELA</t>
  </si>
  <si>
    <t xml:space="preserve">LESIONES LEVES AGRAVADAS POR LA RELACION DE PAREJA PREVIA Y POR EL GENERO (TRES HECHOS) </t>
  </si>
  <si>
    <t>Art. 437 24/11/2023 Art. 441 MISMO DECRETO</t>
  </si>
  <si>
    <t>187524/23</t>
  </si>
  <si>
    <t>VILLAGRA, LUCAS HERNAN</t>
  </si>
  <si>
    <t xml:space="preserve">LESIONES LEVES AGRAVADAS POR LA RELACION DE PAREJA PREEXISTENTE Y POR MEDIAR VIOLENCIA DE GENERO </t>
  </si>
  <si>
    <t>227/11/2023</t>
  </si>
  <si>
    <t>GUAYMAS, JESSICA MARIA BELEN</t>
  </si>
  <si>
    <t>DEFENSA: DR. RAMON MOLINA</t>
  </si>
  <si>
    <t>184044/23</t>
  </si>
  <si>
    <t>TENENCIA DE ESTUPEFACIENTES CON FINES DE COMERCIALIZACION - FACILITACION DE LUGAR PARA COMERCIALIZAR ESTUPEFACIENTES</t>
  </si>
  <si>
    <t>186168/23</t>
  </si>
  <si>
    <t xml:space="preserve">DURAN MARISCAL, JUAN </t>
  </si>
  <si>
    <t>ABUSO SEXUAL SIMPLE EN PERJUICIO DE E. L., M. A. (M)</t>
  </si>
  <si>
    <t xml:space="preserve">DEN: QUISPE SUÁREZ, NOELIA ELIZABETH </t>
  </si>
  <si>
    <t>184619/23</t>
  </si>
  <si>
    <t xml:space="preserve">LOPEZ, CARLOS NICASIO </t>
  </si>
  <si>
    <t>ABUSO SEXUAL CON ACCESO CARNAL AGRAVADO POR EL VINCULO, LA GUARDA Y LA CONVIVENCIA PREEXISTENTE CON UNA MENOR DE 18 AÑOS DE EDAD Y ABUSO SEXUAL GRAVEMENTE ULTRAJANTE POR LAS CIRCUNSTANCIAS DE SU REALIZACION Y LA DURACION EN EL TIEMPO AGRAVADO POR EL VINCULO, LA GUARDA Y LA CONVIVENCIA PREEXISTENTE CON UNA MENOR DE 18 AÑOS DE EDAD TODO EN CONCURSO REAL  EN PERJUICIO DE L.J.L.(M).</t>
  </si>
  <si>
    <t>DEN: LOPEZ, JOSE NICASIO</t>
  </si>
  <si>
    <t xml:space="preserve">FS 18 01/06/2023 A HS 00:53 </t>
  </si>
  <si>
    <t xml:space="preserve">FS 64 15/06/2023 SIN PLAZO </t>
  </si>
  <si>
    <r>
      <rPr>
        <b/>
        <sz val="10"/>
        <color rgb="FF000000"/>
        <rFont val="Arial"/>
        <family val="2"/>
      </rPr>
      <t>RODRIGUEZ VAQUERA, MARIA (P</t>
    </r>
    <r>
      <rPr>
        <sz val="10"/>
        <color rgb="FF000000"/>
        <rFont val="Arial"/>
        <family val="2"/>
      </rPr>
      <t xml:space="preserve">)- VAQUERA PAEZ, MARISOL </t>
    </r>
  </si>
  <si>
    <t xml:space="preserve">FS 81 01/06/2023 A HS 19:50 </t>
  </si>
  <si>
    <t xml:space="preserve">FS 115-122 05/06/2023 SIN PLAZO </t>
  </si>
  <si>
    <t xml:space="preserve">U.C.Nº4 </t>
  </si>
  <si>
    <t xml:space="preserve">2º VEZ. TODOS PRESENTES: FISCAL, DEFENSA, VICTIMA, JUEZ E IMPUTADO POR VIDEOLLAMADA. ACORDARON REALIZAR SUSPENSION DE JUICIO A PRUEBA PERO S.S. NO QUISO QUE SEA REMOTA LA AUDIENCIA PARA EL IMPUTADO. IMPUTADO VIVE EN BS AS. </t>
  </si>
  <si>
    <t>DEFENSA PARTICULAR</t>
  </si>
  <si>
    <t>SENTENCIA DE JUICIO ABREVIADO - PENA: 1 AÑO 8 MESES + REINCIDENTE POR TERCERA VEZ</t>
  </si>
  <si>
    <t xml:space="preserve">1º VEZ. TODOS PRESENTES: FISCAL, DEFENSA, VICTIMA, JUEZ E IMPUTADO POR VIDEOLLAMADA. ACORDARON REALIZAR SUSPENSION DE JUICIO A PRUEBA PERO S.S. NO QUISO QUE SEA REMOTA LA AUDIENCIA PARA EL IMPUTADO. IMPUTADO VIVE EN BS AS. </t>
  </si>
  <si>
    <t xml:space="preserve"> 07/09/2023</t>
  </si>
  <si>
    <t xml:space="preserve"> 01/12/2023</t>
  </si>
  <si>
    <t>LISTA PARA FIJAR AUDIENCIA</t>
  </si>
  <si>
    <t>SE REMITE A SALA VII</t>
  </si>
  <si>
    <t>SE REMITE A DISTRITO JUDICIAL ORÁN</t>
  </si>
  <si>
    <t xml:space="preserve">PENDIENTE DE INFORME EN CORTE DE JUSITICA DE SALTA - QUEJA </t>
  </si>
  <si>
    <t>ESPERANDO VENCIMIENTO DE PLAZOS ART 437/441</t>
  </si>
  <si>
    <t xml:space="preserve">SE REMITE A MESA DISTRIBUIDORA PARA BAJAR A GARANTÍAS. NO TIENE REQUERIMIENTO. </t>
  </si>
  <si>
    <t>LLEGA DESDE IMPUGNACIÓN CON SENTENCIA CONDENATORIA FIRME. PENDIENTE CÓMPUTO DE PENA. SE REALIZA EN OFICINA JUDICIAL Y SE REMITE PARA ARCHIVO DESDE EL 14/11/23</t>
  </si>
  <si>
    <t xml:space="preserve">INFORME AL 29/11: SE REMITIÓ A DEFENSORÍA DE MENORES. ESPERANDO CONTESTACIÓN DE LA VISTA. </t>
  </si>
  <si>
    <t>30/11/2023 FIJAR AUDIENCIA</t>
  </si>
  <si>
    <t xml:space="preserve">CAUSA FIJADA EN FERIA. DEFINIR JUEZ Y AUDIENCISTA. </t>
  </si>
  <si>
    <t>INFORME AL 29/11: ESPERANDO VENCIMIENTO DE PLAZOS 437/441</t>
  </si>
  <si>
    <t>PARTES NEGOCIANDO ACUERDO DE JUICIO ABREVIADO</t>
  </si>
  <si>
    <t>SENTENCIA DE JUICIO ABREVIADO - PENA: 2 MESES Y 21 DÍAS</t>
  </si>
  <si>
    <r>
      <t xml:space="preserve">FS 160 </t>
    </r>
    <r>
      <rPr>
        <sz val="7"/>
        <color theme="0"/>
        <rFont val="Arial"/>
        <family val="2"/>
      </rPr>
      <t>DOMICILIARIA</t>
    </r>
  </si>
  <si>
    <t>186311/23</t>
  </si>
  <si>
    <t xml:space="preserve">CABELLO, NICOLAS ALEJANDRO </t>
  </si>
  <si>
    <t>DAÑOS Y DESOBEDIENCIA JUDICIAL EN CONCURSO IDEAL,  HURTO Y DESOBEDIENCIA JUDICIAL EN CONCURSO IDEAL, TODO EN CONCURSO REAL</t>
  </si>
  <si>
    <t xml:space="preserve">DEN: GUERRA, LAULA LEILA ELIANA </t>
  </si>
  <si>
    <t>FS 15 11/09/2023 A HS 11:20</t>
  </si>
  <si>
    <t xml:space="preserve">FS 56 27/09/2023 SIN PLAZO </t>
  </si>
  <si>
    <t>183908/23</t>
  </si>
  <si>
    <t xml:space="preserve">CRUZ, ESTEBAN ALEJANDRO </t>
  </si>
  <si>
    <t>ROBO EN GRADO DE TENTATIVA Y VIOLACION DE DOMICILIO</t>
  </si>
  <si>
    <t>DEN: SORIA, HECTOR RUBEN</t>
  </si>
  <si>
    <t>181039/23</t>
  </si>
  <si>
    <t>RUIZ, MIGUEL MATIAS</t>
  </si>
  <si>
    <t>DEN: IBARRABAN, MARIANELA SOLEDAD</t>
  </si>
  <si>
    <t>Sentencia d ejuicio abreviado - pena 6 meses</t>
  </si>
  <si>
    <t>Sentencia d ejuicio abreviado - pena: 6 meses</t>
  </si>
  <si>
    <t xml:space="preserve">REPROGRAMADA POR 3ERA VEZ. COORDINADA FUERA DE OGA PARA CERRAR CAUSA. - </t>
  </si>
  <si>
    <t>Se declaro la nulidad de la elevaciòn a juicio . Baja a Garantias</t>
  </si>
  <si>
    <t>SE ORDENA COMPARENDO EN AUIDENCIA</t>
  </si>
  <si>
    <t xml:space="preserve">FISCALÍA NO SOSTIENE ACUSACIÓN </t>
  </si>
  <si>
    <t>SENTENCIA DE JUICIO ABREVIADO - PENA: 10 AÑOS + REINCIDENCIA POR PRIEMRA VEZ</t>
  </si>
</sst>
</file>

<file path=xl/styles.xml><?xml version="1.0" encoding="utf-8"?>
<styleSheet xmlns="http://schemas.openxmlformats.org/spreadsheetml/2006/main">
  <numFmts count="2">
    <numFmt numFmtId="164" formatCode="dd/mm/yyyy;@"/>
    <numFmt numFmtId="165" formatCode="0.0%"/>
  </numFmts>
  <fonts count="4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0"/>
      <color rgb="FF339966"/>
      <name val="Arial"/>
      <family val="2"/>
    </font>
    <font>
      <b/>
      <sz val="10"/>
      <color rgb="FF993366"/>
      <name val="Arial"/>
      <family val="2"/>
    </font>
    <font>
      <b/>
      <sz val="10"/>
      <color rgb="FF0000FF"/>
      <name val="Arial"/>
      <family val="2"/>
    </font>
    <font>
      <b/>
      <sz val="10"/>
      <color rgb="FF000080"/>
      <name val="Arial"/>
      <family val="2"/>
    </font>
    <font>
      <b/>
      <sz val="10"/>
      <color rgb="FF008080"/>
      <name val="Arial"/>
      <family val="2"/>
    </font>
    <font>
      <b/>
      <sz val="10"/>
      <color rgb="FF800000"/>
      <name val="Arial"/>
      <family val="2"/>
    </font>
    <font>
      <b/>
      <sz val="10"/>
      <color rgb="FF0066CC"/>
      <name val="Arial"/>
      <family val="2"/>
    </font>
    <font>
      <b/>
      <sz val="10"/>
      <color rgb="FFFF00FF"/>
      <name val="Arial"/>
      <family val="2"/>
    </font>
    <font>
      <b/>
      <sz val="10"/>
      <color rgb="FFFF6600"/>
      <name val="Arial"/>
      <family val="2"/>
    </font>
    <font>
      <b/>
      <sz val="10"/>
      <color rgb="FF3366FF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0"/>
      <color rgb="FF000000"/>
      <name val="Arial"/>
      <family val="2"/>
    </font>
    <font>
      <b/>
      <sz val="10"/>
      <color rgb="FF80800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b/>
      <sz val="10"/>
      <color rgb="FF00800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name val="Times New Roman"/>
      <family val="1"/>
    </font>
    <font>
      <b/>
      <sz val="11"/>
      <color rgb="FF000000"/>
      <name val="Arial"/>
      <family val="2"/>
    </font>
    <font>
      <sz val="7"/>
      <color theme="0"/>
      <name val="Arial"/>
      <family val="2"/>
    </font>
    <font>
      <b/>
      <sz val="10"/>
      <color rgb="FF008000"/>
      <name val="Arial Rounded MT Bold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65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55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6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20" fontId="0" fillId="4" borderId="1" xfId="0" applyNumberForma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20" fontId="0" fillId="0" borderId="0" xfId="0" applyNumberFormat="1"/>
    <xf numFmtId="0" fontId="0" fillId="0" borderId="1" xfId="0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9" fontId="2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8" fillId="0" borderId="3" xfId="0" applyFont="1" applyBorder="1"/>
    <xf numFmtId="0" fontId="8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164" fontId="2" fillId="8" borderId="2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0" fillId="0" borderId="1" xfId="0" applyBorder="1"/>
    <xf numFmtId="0" fontId="2" fillId="6" borderId="1" xfId="0" applyFont="1" applyFill="1" applyBorder="1"/>
    <xf numFmtId="0" fontId="0" fillId="6" borderId="1" xfId="0" applyFill="1" applyBorder="1"/>
    <xf numFmtId="0" fontId="2" fillId="9" borderId="1" xfId="0" applyFont="1" applyFill="1" applyBorder="1"/>
    <xf numFmtId="0" fontId="0" fillId="9" borderId="1" xfId="0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2" fillId="9" borderId="9" xfId="0" applyFont="1" applyFill="1" applyBorder="1"/>
    <xf numFmtId="0" fontId="2" fillId="9" borderId="9" xfId="0" applyFont="1" applyFill="1" applyBorder="1" applyAlignment="1"/>
    <xf numFmtId="0" fontId="0" fillId="0" borderId="0" xfId="0" applyAlignment="1"/>
    <xf numFmtId="0" fontId="2" fillId="0" borderId="0" xfId="0" applyFont="1" applyFill="1" applyBorder="1"/>
    <xf numFmtId="0" fontId="0" fillId="0" borderId="0" xfId="0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164" fontId="25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" fillId="11" borderId="9" xfId="0" applyFont="1" applyFill="1" applyBorder="1"/>
    <xf numFmtId="0" fontId="3" fillId="0" borderId="0" xfId="0" applyNumberFormat="1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2" fillId="12" borderId="2" xfId="0" applyFont="1" applyFill="1" applyBorder="1" applyAlignment="1">
      <alignment horizontal="center" vertical="center" wrapText="1"/>
    </xf>
    <xf numFmtId="164" fontId="2" fillId="12" borderId="2" xfId="0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14" fontId="0" fillId="12" borderId="2" xfId="0" applyNumberFormat="1" applyFill="1" applyBorder="1" applyAlignment="1">
      <alignment horizontal="center" vertical="center" wrapText="1"/>
    </xf>
    <xf numFmtId="20" fontId="2" fillId="8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164" fontId="2" fillId="13" borderId="2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0" fillId="12" borderId="2" xfId="0" applyNumberFormat="1" applyFill="1" applyBorder="1" applyAlignment="1">
      <alignment horizontal="center" vertical="center" wrapText="1"/>
    </xf>
    <xf numFmtId="14" fontId="2" fillId="12" borderId="2" xfId="0" applyNumberFormat="1" applyFont="1" applyFill="1" applyBorder="1" applyAlignment="1">
      <alignment horizontal="center" vertical="center" wrapText="1"/>
    </xf>
    <xf numFmtId="0" fontId="2" fillId="1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 wrapText="1"/>
    </xf>
    <xf numFmtId="164" fontId="0" fillId="0" borderId="2" xfId="0" applyNumberFormat="1" applyFill="1" applyBorder="1" applyAlignment="1">
      <alignment horizontal="center" vertical="center" wrapText="1"/>
    </xf>
    <xf numFmtId="14" fontId="0" fillId="13" borderId="2" xfId="0" applyNumberForma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164" fontId="3" fillId="10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20" fontId="3" fillId="10" borderId="2" xfId="0" applyNumberFormat="1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 wrapText="1"/>
    </xf>
    <xf numFmtId="164" fontId="0" fillId="16" borderId="2" xfId="0" applyNumberFormat="1" applyFill="1" applyBorder="1" applyAlignment="1">
      <alignment horizontal="center" vertical="center" wrapText="1"/>
    </xf>
    <xf numFmtId="164" fontId="2" fillId="16" borderId="2" xfId="0" applyNumberFormat="1" applyFont="1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/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4" fillId="9" borderId="1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14" fontId="0" fillId="0" borderId="2" xfId="0" applyNumberForma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2" fillId="0" borderId="1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164" fontId="27" fillId="0" borderId="2" xfId="0" applyNumberFormat="1" applyFont="1" applyFill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 wrapText="1"/>
    </xf>
    <xf numFmtId="0" fontId="27" fillId="16" borderId="2" xfId="0" applyFont="1" applyFill="1" applyBorder="1" applyAlignment="1">
      <alignment horizontal="center" vertical="center" wrapText="1"/>
    </xf>
    <xf numFmtId="164" fontId="27" fillId="16" borderId="2" xfId="0" applyNumberFormat="1" applyFont="1" applyFill="1" applyBorder="1" applyAlignment="1">
      <alignment horizontal="center" vertical="center" wrapText="1"/>
    </xf>
    <xf numFmtId="0" fontId="27" fillId="14" borderId="2" xfId="0" applyFont="1" applyFill="1" applyBorder="1" applyAlignment="1">
      <alignment horizontal="center" vertical="center" wrapText="1"/>
    </xf>
    <xf numFmtId="164" fontId="27" fillId="14" borderId="2" xfId="0" applyNumberFormat="1" applyFont="1" applyFill="1" applyBorder="1" applyAlignment="1">
      <alignment horizontal="center" vertical="center" wrapText="1"/>
    </xf>
    <xf numFmtId="0" fontId="30" fillId="14" borderId="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20" fontId="4" fillId="12" borderId="2" xfId="0" applyNumberFormat="1" applyFont="1" applyFill="1" applyBorder="1" applyAlignment="1">
      <alignment horizontal="center" vertical="center" wrapText="1"/>
    </xf>
    <xf numFmtId="20" fontId="4" fillId="8" borderId="2" xfId="0" applyNumberFormat="1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center" vertical="center" wrapText="1"/>
    </xf>
    <xf numFmtId="20" fontId="33" fillId="10" borderId="2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12" borderId="2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2"/>
    </xf>
    <xf numFmtId="0" fontId="34" fillId="0" borderId="0" xfId="0" applyFont="1"/>
    <xf numFmtId="14" fontId="34" fillId="0" borderId="0" xfId="0" applyNumberFormat="1" applyFont="1"/>
    <xf numFmtId="0" fontId="34" fillId="0" borderId="0" xfId="0" applyFont="1" applyAlignment="1">
      <alignment horizontal="center"/>
    </xf>
    <xf numFmtId="14" fontId="3" fillId="10" borderId="1" xfId="0" applyNumberFormat="1" applyFont="1" applyFill="1" applyBorder="1" applyAlignment="1">
      <alignment horizontal="center" vertical="center" wrapText="1"/>
    </xf>
    <xf numFmtId="0" fontId="27" fillId="8" borderId="2" xfId="0" applyFont="1" applyFill="1" applyBorder="1" applyAlignment="1">
      <alignment horizontal="center" vertical="center" wrapText="1"/>
    </xf>
    <xf numFmtId="164" fontId="27" fillId="8" borderId="2" xfId="0" applyNumberFormat="1" applyFont="1" applyFill="1" applyBorder="1" applyAlignment="1">
      <alignment horizontal="center" vertical="center" wrapText="1"/>
    </xf>
    <xf numFmtId="0" fontId="30" fillId="8" borderId="2" xfId="0" applyFont="1" applyFill="1" applyBorder="1" applyAlignment="1">
      <alignment horizontal="center" vertical="center" wrapText="1"/>
    </xf>
    <xf numFmtId="14" fontId="27" fillId="8" borderId="2" xfId="0" applyNumberFormat="1" applyFont="1" applyFill="1" applyBorder="1" applyAlignment="1">
      <alignment horizontal="center" vertical="center" wrapText="1"/>
    </xf>
    <xf numFmtId="0" fontId="25" fillId="13" borderId="2" xfId="0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8" fillId="5" borderId="1" xfId="1" applyFont="1" applyFill="1" applyBorder="1" applyAlignment="1">
      <alignment horizontal="center" vertical="center"/>
    </xf>
    <xf numFmtId="0" fontId="38" fillId="0" borderId="1" xfId="1" applyFont="1" applyBorder="1" applyAlignment="1">
      <alignment horizontal="center" vertical="center"/>
    </xf>
    <xf numFmtId="49" fontId="38" fillId="0" borderId="1" xfId="1" applyNumberFormat="1" applyFont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/>
    </xf>
    <xf numFmtId="49" fontId="32" fillId="0" borderId="1" xfId="1" applyNumberFormat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9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4" fillId="13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164" fontId="27" fillId="12" borderId="2" xfId="0" applyNumberFormat="1" applyFont="1" applyFill="1" applyBorder="1" applyAlignment="1">
      <alignment horizontal="center" vertical="center" wrapText="1"/>
    </xf>
    <xf numFmtId="0" fontId="30" fillId="12" borderId="2" xfId="0" applyFont="1" applyFill="1" applyBorder="1" applyAlignment="1">
      <alignment horizontal="center" vertical="center" wrapText="1"/>
    </xf>
    <xf numFmtId="14" fontId="27" fillId="12" borderId="2" xfId="0" applyNumberFormat="1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vertical="center" wrapText="1"/>
    </xf>
    <xf numFmtId="0" fontId="27" fillId="13" borderId="2" xfId="0" applyFont="1" applyFill="1" applyBorder="1" applyAlignment="1">
      <alignment horizontal="center" vertical="center" wrapText="1"/>
    </xf>
    <xf numFmtId="164" fontId="27" fillId="13" borderId="2" xfId="0" applyNumberFormat="1" applyFont="1" applyFill="1" applyBorder="1" applyAlignment="1">
      <alignment horizontal="center" vertical="center" wrapText="1"/>
    </xf>
    <xf numFmtId="0" fontId="30" fillId="13" borderId="2" xfId="0" applyFont="1" applyFill="1" applyBorder="1" applyAlignment="1">
      <alignment horizontal="center" vertical="center" wrapText="1"/>
    </xf>
    <xf numFmtId="14" fontId="27" fillId="13" borderId="2" xfId="0" applyNumberFormat="1" applyFont="1" applyFill="1" applyBorder="1" applyAlignment="1">
      <alignment horizontal="center" vertical="center" wrapText="1"/>
    </xf>
    <xf numFmtId="0" fontId="36" fillId="13" borderId="2" xfId="0" applyFont="1" applyFill="1" applyBorder="1" applyAlignment="1">
      <alignment horizontal="center" vertical="center" wrapText="1"/>
    </xf>
    <xf numFmtId="164" fontId="36" fillId="13" borderId="2" xfId="0" applyNumberFormat="1" applyFont="1" applyFill="1" applyBorder="1" applyAlignment="1">
      <alignment horizontal="center" vertical="center" wrapText="1"/>
    </xf>
    <xf numFmtId="0" fontId="37" fillId="13" borderId="2" xfId="0" applyFont="1" applyFill="1" applyBorder="1" applyAlignment="1">
      <alignment horizontal="center" vertical="center" wrapText="1"/>
    </xf>
    <xf numFmtId="14" fontId="36" fillId="13" borderId="2" xfId="0" applyNumberFormat="1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14" fontId="2" fillId="13" borderId="2" xfId="0" applyNumberFormat="1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wrapText="1"/>
    </xf>
    <xf numFmtId="164" fontId="4" fillId="13" borderId="2" xfId="0" applyNumberFormat="1" applyFont="1" applyFill="1" applyBorder="1" applyAlignment="1">
      <alignment horizontal="center" vertical="center" wrapText="1"/>
    </xf>
    <xf numFmtId="0" fontId="27" fillId="15" borderId="2" xfId="0" applyFont="1" applyFill="1" applyBorder="1" applyAlignment="1">
      <alignment horizontal="center" vertical="center" wrapText="1"/>
    </xf>
    <xf numFmtId="164" fontId="27" fillId="15" borderId="2" xfId="0" applyNumberFormat="1" applyFont="1" applyFill="1" applyBorder="1" applyAlignment="1">
      <alignment horizontal="center" vertical="center" wrapText="1"/>
    </xf>
    <xf numFmtId="0" fontId="30" fillId="15" borderId="2" xfId="0" applyFont="1" applyFill="1" applyBorder="1" applyAlignment="1">
      <alignment horizontal="center" vertical="center" wrapText="1"/>
    </xf>
    <xf numFmtId="14" fontId="27" fillId="15" borderId="2" xfId="0" applyNumberFormat="1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0" fontId="27" fillId="0" borderId="2" xfId="0" applyNumberFormat="1" applyFont="1" applyFill="1" applyBorder="1" applyAlignment="1">
      <alignment horizontal="center" vertical="center" wrapText="1"/>
    </xf>
    <xf numFmtId="0" fontId="27" fillId="12" borderId="1" xfId="0" applyFont="1" applyFill="1" applyBorder="1" applyAlignment="1">
      <alignment horizontal="center" vertical="center" wrapText="1"/>
    </xf>
    <xf numFmtId="0" fontId="27" fillId="14" borderId="1" xfId="0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3" fillId="10" borderId="13" xfId="0" applyNumberFormat="1" applyFont="1" applyFill="1" applyBorder="1" applyAlignment="1">
      <alignment horizontal="center" vertical="center" wrapText="1"/>
    </xf>
    <xf numFmtId="20" fontId="33" fillId="10" borderId="1" xfId="0" applyNumberFormat="1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left" vertical="center" wrapText="1"/>
    </xf>
    <xf numFmtId="14" fontId="3" fillId="10" borderId="13" xfId="0" applyNumberFormat="1" applyFont="1" applyFill="1" applyBorder="1" applyAlignment="1">
      <alignment horizontal="center" vertical="center" wrapText="1"/>
    </xf>
    <xf numFmtId="164" fontId="0" fillId="13" borderId="2" xfId="0" applyNumberFormat="1" applyFill="1" applyBorder="1" applyAlignment="1">
      <alignment horizontal="center" vertical="center" wrapText="1"/>
    </xf>
    <xf numFmtId="20" fontId="3" fillId="10" borderId="1" xfId="0" applyNumberFormat="1" applyFont="1" applyFill="1" applyBorder="1" applyAlignment="1">
      <alignment horizontal="center" vertical="center" wrapText="1"/>
    </xf>
    <xf numFmtId="0" fontId="27" fillId="13" borderId="1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wrapText="1"/>
    </xf>
    <xf numFmtId="0" fontId="27" fillId="8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27" fillId="10" borderId="0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14" fontId="2" fillId="8" borderId="1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12" borderId="0" xfId="0" applyFont="1" applyFill="1" applyBorder="1" applyAlignment="1">
      <alignment horizontal="center" vertical="center" wrapText="1"/>
    </xf>
    <xf numFmtId="20" fontId="3" fillId="10" borderId="13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14" fontId="8" fillId="0" borderId="0" xfId="0" applyNumberFormat="1" applyFont="1"/>
    <xf numFmtId="0" fontId="32" fillId="5" borderId="1" xfId="0" applyFont="1" applyFill="1" applyBorder="1" applyAlignment="1">
      <alignment horizontal="center" vertical="center"/>
    </xf>
    <xf numFmtId="0" fontId="32" fillId="5" borderId="4" xfId="0" applyFont="1" applyFill="1" applyBorder="1" applyAlignment="1">
      <alignment horizontal="center" vertical="center"/>
    </xf>
    <xf numFmtId="0" fontId="32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2" fillId="6" borderId="1" xfId="0" applyFont="1" applyFill="1" applyBorder="1" applyAlignment="1">
      <alignment horizontal="center" vertical="center"/>
    </xf>
    <xf numFmtId="165" fontId="32" fillId="6" borderId="1" xfId="0" applyNumberFormat="1" applyFont="1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27" fillId="14" borderId="0" xfId="0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0" fontId="9" fillId="15" borderId="2" xfId="0" applyFont="1" applyFill="1" applyBorder="1" applyAlignment="1">
      <alignment horizontal="center" vertical="center" wrapText="1"/>
    </xf>
    <xf numFmtId="20" fontId="33" fillId="10" borderId="13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center" wrapText="1"/>
    </xf>
    <xf numFmtId="0" fontId="40" fillId="12" borderId="2" xfId="0" applyFont="1" applyFill="1" applyBorder="1"/>
    <xf numFmtId="0" fontId="27" fillId="17" borderId="2" xfId="0" applyFont="1" applyFill="1" applyBorder="1" applyAlignment="1">
      <alignment horizontal="center" vertical="center" wrapText="1"/>
    </xf>
    <xf numFmtId="164" fontId="27" fillId="17" borderId="2" xfId="0" applyNumberFormat="1" applyFont="1" applyFill="1" applyBorder="1" applyAlignment="1">
      <alignment horizontal="center" vertical="center" wrapText="1"/>
    </xf>
    <xf numFmtId="164" fontId="27" fillId="8" borderId="1" xfId="0" applyNumberFormat="1" applyFont="1" applyFill="1" applyBorder="1" applyAlignment="1">
      <alignment horizontal="center" vertical="center" wrapText="1"/>
    </xf>
    <xf numFmtId="164" fontId="25" fillId="13" borderId="2" xfId="0" applyNumberFormat="1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0" fontId="3" fillId="10" borderId="1" xfId="0" applyNumberFormat="1" applyFont="1" applyFill="1" applyBorder="1" applyAlignment="1">
      <alignment horizontal="center" vertical="center" wrapText="1"/>
    </xf>
    <xf numFmtId="14" fontId="27" fillId="8" borderId="1" xfId="0" applyNumberFormat="1" applyFont="1" applyFill="1" applyBorder="1" applyAlignment="1">
      <alignment horizontal="center" vertical="center" wrapText="1"/>
    </xf>
    <xf numFmtId="14" fontId="25" fillId="13" borderId="2" xfId="0" applyNumberFormat="1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3" fillId="10" borderId="10" xfId="0" applyFont="1" applyFill="1" applyBorder="1" applyAlignment="1">
      <alignment horizontal="center" vertical="center" wrapText="1"/>
    </xf>
    <xf numFmtId="0" fontId="27" fillId="14" borderId="2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 wrapText="1"/>
    </xf>
    <xf numFmtId="164" fontId="27" fillId="0" borderId="1" xfId="0" applyNumberFormat="1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14" fontId="27" fillId="0" borderId="1" xfId="0" applyNumberFormat="1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14" fontId="27" fillId="10" borderId="2" xfId="0" applyNumberFormat="1" applyFont="1" applyFill="1" applyBorder="1" applyAlignment="1">
      <alignment horizontal="center" vertical="center" wrapText="1"/>
    </xf>
    <xf numFmtId="0" fontId="3" fillId="10" borderId="14" xfId="0" applyFont="1" applyFill="1" applyBorder="1" applyAlignment="1">
      <alignment horizontal="center" vertical="center" wrapText="1"/>
    </xf>
    <xf numFmtId="20" fontId="4" fillId="13" borderId="2" xfId="0" applyNumberFormat="1" applyFont="1" applyFill="1" applyBorder="1" applyAlignment="1">
      <alignment horizontal="center" vertical="center" wrapText="1"/>
    </xf>
    <xf numFmtId="20" fontId="2" fillId="13" borderId="2" xfId="0" applyNumberFormat="1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0" borderId="12" xfId="0" applyFont="1" applyFill="1" applyBorder="1" applyAlignment="1">
      <alignment horizontal="center" vertical="center" wrapText="1"/>
    </xf>
    <xf numFmtId="0" fontId="2" fillId="13" borderId="10" xfId="0" applyFont="1" applyFill="1" applyBorder="1" applyAlignment="1">
      <alignment horizontal="center" vertical="center" wrapText="1"/>
    </xf>
    <xf numFmtId="0" fontId="2" fillId="10" borderId="15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0" xfId="1" applyFont="1" applyAlignment="1">
      <alignment horizontal="left"/>
    </xf>
    <xf numFmtId="0" fontId="39" fillId="0" borderId="0" xfId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993300"/>
      <color rgb="FFFF9900"/>
      <color rgb="FF622D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GÉNERO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Resultados según GÉNERO</c:v>
          </c:tx>
          <c:spPr>
            <a:solidFill>
              <a:srgbClr val="00B050"/>
            </a:solidFill>
            <a:ln>
              <a:noFill/>
            </a:ln>
          </c:spPr>
          <c:dPt>
            <c:idx val="1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2A2-48D4-B1AC-8261B7AFA2D0}"/>
              </c:ext>
            </c:extLst>
          </c:dPt>
          <c:dPt>
            <c:idx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A2-48D4-B1AC-8261B7AFA2D0}"/>
              </c:ext>
            </c:extLst>
          </c:dPt>
          <c:dPt>
            <c:idx val="3"/>
            <c:spPr>
              <a:solidFill>
                <a:srgbClr val="FFFF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2A2-48D4-B1AC-8261B7AFA2D0}"/>
              </c:ext>
            </c:extLst>
          </c:dPt>
          <c:dPt>
            <c:idx val="4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A2-48D4-B1AC-8261B7AFA2D0}"/>
              </c:ext>
            </c:extLst>
          </c:dPt>
          <c:dPt>
            <c:idx val="5"/>
            <c:spPr>
              <a:solidFill>
                <a:srgbClr val="0070C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2A2-48D4-B1AC-8261B7AFA2D0}"/>
              </c:ext>
            </c:extLst>
          </c:dPt>
          <c:dPt>
            <c:idx val="6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A2-48D4-B1AC-8261B7AFA2D0}"/>
              </c:ext>
            </c:extLst>
          </c:dPt>
          <c:dPt>
            <c:idx val="7"/>
            <c:spPr>
              <a:solidFill>
                <a:schemeClr val="accent3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2A2-48D4-B1AC-8261B7AFA2D0}"/>
              </c:ext>
            </c:extLst>
          </c:dPt>
          <c:dPt>
            <c:idx val="8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22-41C9-AC92-C44F1FE0CF99}"/>
              </c:ext>
            </c:extLst>
          </c:dPt>
          <c:dPt>
            <c:idx val="9"/>
            <c:spPr>
              <a:solidFill>
                <a:srgbClr val="FF00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E22-41C9-AC92-C44F1FE0CF99}"/>
              </c:ext>
            </c:extLst>
          </c:dPt>
          <c:dPt>
            <c:idx val="10"/>
            <c:spPr>
              <a:solidFill>
                <a:srgbClr val="7030A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22-41C9-AC92-C44F1FE0CF99}"/>
              </c:ext>
            </c:extLst>
          </c:dPt>
          <c:cat>
            <c:strRef>
              <c:f>'Graficos Estadisticos'!$C$5:$C$15</c:f>
              <c:strCache>
                <c:ptCount val="11"/>
                <c:pt idx="0">
                  <c:v>AUTO DE PRUEBA</c:v>
                </c:pt>
                <c:pt idx="1">
                  <c:v>COLEGIADO</c:v>
                </c:pt>
                <c:pt idx="2">
                  <c:v>EXCLUSION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PROBATION</c:v>
                </c:pt>
                <c:pt idx="6">
                  <c:v>REPROGRAMADA</c:v>
                </c:pt>
                <c:pt idx="7">
                  <c:v>SOBRESEIMIENTO</c:v>
                </c:pt>
                <c:pt idx="8">
                  <c:v>SUSPENDIDA</c:v>
                </c:pt>
                <c:pt idx="9">
                  <c:v>NULIDAD</c:v>
                </c:pt>
                <c:pt idx="10">
                  <c:v>RESULTADO A DEFINIR</c:v>
                </c:pt>
              </c:strCache>
            </c:strRef>
          </c:cat>
          <c:val>
            <c:numRef>
              <c:f>'Graficos Estadisticos'!$A$5:$A$15</c:f>
              <c:numCache>
                <c:formatCode>General</c:formatCode>
                <c:ptCount val="11"/>
                <c:pt idx="0">
                  <c:v>83</c:v>
                </c:pt>
                <c:pt idx="1">
                  <c:v>0</c:v>
                </c:pt>
                <c:pt idx="2">
                  <c:v>15</c:v>
                </c:pt>
                <c:pt idx="3">
                  <c:v>54</c:v>
                </c:pt>
                <c:pt idx="4">
                  <c:v>46</c:v>
                </c:pt>
                <c:pt idx="5">
                  <c:v>24</c:v>
                </c:pt>
                <c:pt idx="6">
                  <c:v>39</c:v>
                </c:pt>
                <c:pt idx="7">
                  <c:v>10</c:v>
                </c:pt>
                <c:pt idx="8">
                  <c:v>55</c:v>
                </c:pt>
                <c:pt idx="9">
                  <c:v>4</c:v>
                </c:pt>
                <c:pt idx="10">
                  <c:v>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A2-48D4-B1AC-8261B7AFA2D0}"/>
            </c:ext>
          </c:extLst>
        </c:ser>
        <c:axId val="87836928"/>
        <c:axId val="87838720"/>
      </c:barChart>
      <c:catAx>
        <c:axId val="87836928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 sz="1000" baseline="0">
                <a:latin typeface="Arial" pitchFamily="34" charset="0"/>
              </a:defRPr>
            </a:pPr>
            <a:endParaRPr lang="es-ES"/>
          </a:p>
        </c:txPr>
        <c:crossAx val="87838720"/>
        <c:crosses val="autoZero"/>
        <c:auto val="1"/>
        <c:lblAlgn val="ctr"/>
        <c:lblOffset val="100"/>
      </c:catAx>
      <c:valAx>
        <c:axId val="87838720"/>
        <c:scaling>
          <c:orientation val="minMax"/>
        </c:scaling>
        <c:axPos val="l"/>
        <c:majorGridlines/>
        <c:title>
          <c:txPr>
            <a:bodyPr/>
            <a:lstStyle/>
            <a:p>
              <a:pPr>
                <a:defRPr lang="es-AR"/>
              </a:pPr>
              <a:endParaRPr lang="es-ES"/>
            </a:p>
          </c:txPr>
        </c:title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7836928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s-AR"/>
            </a:pPr>
            <a:endParaRPr lang="es-ES"/>
          </a:p>
        </c:txPr>
      </c:dTable>
    </c:plotArea>
    <c:plotVisOnly val="1"/>
    <c:dispBlanksAs val="gap"/>
  </c:chart>
  <c:spPr>
    <a:noFill/>
  </c:spPr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title>
      <c:tx>
        <c:rich>
          <a:bodyPr/>
          <a:lstStyle/>
          <a:p>
            <a:pPr>
              <a:defRPr lang="es-ES"/>
            </a:pPr>
            <a:r>
              <a:rPr lang="en-US"/>
              <a:t>Cantidad de audiencias realizadas por mes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'Graficos Estadisticos'!$B$49</c:f>
              <c:strCache>
                <c:ptCount val="1"/>
                <c:pt idx="0">
                  <c:v>Cantidad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Estadisticos'!$C$50:$C$54</c:f>
              <c:strCache>
                <c:ptCount val="5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</c:strCache>
            </c:strRef>
          </c:cat>
          <c:val>
            <c:numRef>
              <c:f>'Graficos Estadisticos'!$B$50:$B$54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08-4D83-A7EC-E9FC05177C6E}"/>
            </c:ext>
          </c:extLst>
        </c:ser>
        <c:dLbls>
          <c:showVal val="1"/>
        </c:dLbls>
        <c:marker val="1"/>
        <c:axId val="87873024"/>
        <c:axId val="87874560"/>
      </c:lineChart>
      <c:catAx>
        <c:axId val="87873024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7874560"/>
        <c:crosses val="autoZero"/>
        <c:auto val="1"/>
        <c:lblAlgn val="ctr"/>
        <c:lblOffset val="100"/>
      </c:catAx>
      <c:valAx>
        <c:axId val="8787456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7873024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por Juzgado Originario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079-47EC-BC3C-133D60F63513}"/>
              </c:ext>
            </c:extLst>
          </c:dPt>
          <c:dPt>
            <c:idx val="2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79-47EC-BC3C-133D60F63513}"/>
              </c:ext>
            </c:extLst>
          </c:dPt>
          <c:dPt>
            <c:idx val="3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079-47EC-BC3C-133D60F635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Estadisticos'!$C$79:$C$82</c:f>
              <c:strCache>
                <c:ptCount val="4"/>
                <c:pt idx="0">
                  <c:v>Garantias 2</c:v>
                </c:pt>
                <c:pt idx="1">
                  <c:v>Garantias 3</c:v>
                </c:pt>
                <c:pt idx="2">
                  <c:v>Garantias 4</c:v>
                </c:pt>
                <c:pt idx="3">
                  <c:v>Garantias 8</c:v>
                </c:pt>
              </c:strCache>
            </c:strRef>
          </c:cat>
          <c:val>
            <c:numRef>
              <c:f>'Graficos Estadisticos'!$A$79:$A$82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079-47EC-BC3C-133D60F63513}"/>
            </c:ext>
          </c:extLst>
        </c:ser>
        <c:gapWidth val="75"/>
        <c:overlap val="40"/>
        <c:axId val="89366912"/>
        <c:axId val="89368448"/>
      </c:barChart>
      <c:catAx>
        <c:axId val="89366912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9368448"/>
        <c:crosses val="autoZero"/>
        <c:auto val="1"/>
        <c:lblAlgn val="ctr"/>
        <c:lblOffset val="100"/>
      </c:catAx>
      <c:valAx>
        <c:axId val="8936844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9366912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asignadas por Juez</a:t>
            </a:r>
          </a:p>
        </c:rich>
      </c:tx>
    </c:title>
    <c:plotArea>
      <c:layout/>
      <c:pieChart>
        <c:varyColors val="1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9-4667-A57C-2B040E4D3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09-4667-A57C-2B040E4D3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400"/>
                      <a:t>52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09-4667-A57C-2B040E4D3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400"/>
                      <a:t>53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09-4667-A57C-2B040E4D3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bestFit"/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Estadisticos'!$C$118:$C$121</c:f>
              <c:strCache>
                <c:ptCount val="4"/>
                <c:pt idx="0">
                  <c:v>Dr. Colombo</c:v>
                </c:pt>
                <c:pt idx="1">
                  <c:v>Dr. Pastrana</c:v>
                </c:pt>
                <c:pt idx="2">
                  <c:v>Dr. Rodriguez Pipino</c:v>
                </c:pt>
                <c:pt idx="3">
                  <c:v>Dra. Puertas</c:v>
                </c:pt>
              </c:strCache>
            </c:strRef>
          </c:cat>
          <c:val>
            <c:numRef>
              <c:f>'Graficos Estadisticos'!$A$118:$A$121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09-4667-A57C-2B040E4D3A50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7547353455825065"/>
          <c:y val="0.3255632108486809"/>
          <c:w val="0.30785979877517688"/>
          <c:h val="0.41357247010794818"/>
        </c:manualLayout>
      </c:layout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ESPECIE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0978-46E4-A742-83947CE09A48}"/>
              </c:ext>
            </c:extLst>
          </c:dPt>
          <c:dPt>
            <c:idx val="1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8-46E4-A742-83947CE09A48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978-46E4-A742-83947CE09A48}"/>
              </c:ext>
            </c:extLst>
          </c:dPt>
          <c:dPt>
            <c:idx val="4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8-46E4-A742-83947CE09A48}"/>
              </c:ext>
            </c:extLst>
          </c:dPt>
          <c:dPt>
            <c:idx val="5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0978-46E4-A742-83947CE09A48}"/>
              </c:ext>
            </c:extLst>
          </c:dPt>
          <c:dPt>
            <c:idx val="6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8-46E4-A742-83947CE09A48}"/>
              </c:ext>
            </c:extLst>
          </c:dPt>
          <c:dPt>
            <c:idx val="7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0978-46E4-A742-83947CE09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Estadisticos'!$C$20:$C$42</c:f>
              <c:strCache>
                <c:ptCount val="23"/>
                <c:pt idx="0">
                  <c:v>Juicio Abreviado - Efectiva</c:v>
                </c:pt>
                <c:pt idx="1">
                  <c:v>Prisión Preventiva</c:v>
                </c:pt>
                <c:pt idx="2">
                  <c:v>Juicio Abreviado - Condicional y reglas de conducta</c:v>
                </c:pt>
                <c:pt idx="3">
                  <c:v> _ Pendientes</c:v>
                </c:pt>
                <c:pt idx="4">
                  <c:v>Libertad con medidas sustitutivas</c:v>
                </c:pt>
                <c:pt idx="13">
                  <c:v>Suspendida por otras causas procesales</c:v>
                </c:pt>
                <c:pt idx="14">
                  <c:v>Libertad</c:v>
                </c:pt>
                <c:pt idx="15">
                  <c:v>Suspensión de juicio a prueba</c:v>
                </c:pt>
                <c:pt idx="16">
                  <c:v>Audiencia cancelada - inimputabilidad</c:v>
                </c:pt>
                <c:pt idx="17">
                  <c:v>Difiere Resolución</c:v>
                </c:pt>
                <c:pt idx="18">
                  <c:v>Prision domiciliaria</c:v>
                </c:pt>
                <c:pt idx="19">
                  <c:v>Juicio Abreviado - Sobreseimiento</c:v>
                </c:pt>
                <c:pt idx="20">
                  <c:v>Probation</c:v>
                </c:pt>
                <c:pt idx="21">
                  <c:v>Suspendida por pedido de las partes</c:v>
                </c:pt>
                <c:pt idx="22">
                  <c:v>Medidas sustitutivas: prisión domiciliaria</c:v>
                </c:pt>
              </c:strCache>
            </c:strRef>
          </c:cat>
          <c:val>
            <c:numRef>
              <c:f>'Graficos Estadisticos'!$A$20:$A$42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307</c:v>
                </c:pt>
                <c:pt idx="4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78-46E4-A742-83947CE09A48}"/>
            </c:ext>
          </c:extLst>
        </c:ser>
        <c:gapWidth val="75"/>
        <c:overlap val="40"/>
        <c:axId val="89553920"/>
        <c:axId val="89555712"/>
      </c:barChart>
      <c:catAx>
        <c:axId val="89553920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9555712"/>
        <c:crosses val="autoZero"/>
        <c:auto val="1"/>
        <c:lblAlgn val="ctr"/>
        <c:lblOffset val="100"/>
      </c:catAx>
      <c:valAx>
        <c:axId val="8955571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9553920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/>
    <c:view3D>
      <c:rotX val="30"/>
      <c:perspective val="0"/>
    </c:view3D>
    <c:plotArea>
      <c:layout>
        <c:manualLayout>
          <c:layoutTarget val="inner"/>
          <c:xMode val="edge"/>
          <c:yMode val="edge"/>
          <c:x val="2.5349940348365602E-2"/>
          <c:y val="0.12470274995610686"/>
          <c:w val="0.63611306768472164"/>
          <c:h val="0.76981938227988533"/>
        </c:manualLayout>
      </c:layout>
      <c:pie3DChart>
        <c:varyColors val="1"/>
        <c:ser>
          <c:idx val="0"/>
          <c:order val="0"/>
          <c:explosion val="25"/>
          <c:dLbls>
            <c:dLbl>
              <c:idx val="0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1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3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 sz="1400" b="1"/>
                </a:pPr>
                <a:endParaRPr lang="es-ES"/>
              </a:p>
            </c:txPr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Estadisticos'!$V$5:$V$11</c:f>
              <c:strCache>
                <c:ptCount val="7"/>
                <c:pt idx="0">
                  <c:v>Juicio Abreviado</c:v>
                </c:pt>
                <c:pt idx="1">
                  <c:v>Auto de Prueba</c:v>
                </c:pt>
                <c:pt idx="2">
                  <c:v>Sobreseimiento</c:v>
                </c:pt>
                <c:pt idx="3">
                  <c:v>Suspendida</c:v>
                </c:pt>
                <c:pt idx="4">
                  <c:v>Excluida</c:v>
                </c:pt>
                <c:pt idx="5">
                  <c:v>Suspensión de juicio a prueba</c:v>
                </c:pt>
                <c:pt idx="6">
                  <c:v>Nulidad</c:v>
                </c:pt>
              </c:strCache>
            </c:strRef>
          </c:cat>
          <c:val>
            <c:numRef>
              <c:f>'Graficos Estadisticos'!$U$5:$U$11</c:f>
              <c:numCache>
                <c:formatCode>General</c:formatCode>
                <c:ptCount val="7"/>
                <c:pt idx="0">
                  <c:v>99</c:v>
                </c:pt>
                <c:pt idx="1">
                  <c:v>83</c:v>
                </c:pt>
                <c:pt idx="2">
                  <c:v>10</c:v>
                </c:pt>
                <c:pt idx="3">
                  <c:v>55</c:v>
                </c:pt>
                <c:pt idx="4">
                  <c:v>15</c:v>
                </c:pt>
                <c:pt idx="5">
                  <c:v>23</c:v>
                </c:pt>
                <c:pt idx="6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2D-4A3B-A26C-9EC37D5A2A10}"/>
            </c:ext>
          </c:extLst>
        </c:ser>
        <c:dLbls>
          <c:showPercent val="1"/>
        </c:dLbls>
      </c:pie3DChart>
    </c:plotArea>
    <c:legend>
      <c:legendPos val="r"/>
      <c:layout>
        <c:manualLayout>
          <c:xMode val="edge"/>
          <c:yMode val="edge"/>
          <c:x val="0.65125739282590001"/>
          <c:y val="0.20482124011900291"/>
          <c:w val="0.34389412232562078"/>
          <c:h val="0.49605417907545768"/>
        </c:manualLayout>
      </c:layout>
      <c:txPr>
        <a:bodyPr/>
        <a:lstStyle/>
        <a:p>
          <a:pPr>
            <a:defRPr sz="16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view3D>
      <c:rAngAx val="1"/>
    </c:view3D>
    <c:plotArea>
      <c:layout/>
      <c:bar3DChart>
        <c:barDir val="col"/>
        <c:grouping val="stacked"/>
        <c:ser>
          <c:idx val="0"/>
          <c:order val="0"/>
          <c:tx>
            <c:strRef>
              <c:f>'Graficos Estadisticos'!$V$21:$V$22</c:f>
              <c:strCache>
                <c:ptCount val="1"/>
                <c:pt idx="0">
                  <c:v>Juicio Abreviado - Condicional y reglas de conducta Juicio Abreviado - Efectiva</c:v>
                </c:pt>
              </c:strCache>
            </c:strRef>
          </c:tx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5E40-4761-B140-1FA881D107D7}"/>
              </c:ext>
            </c:extLst>
          </c:dPt>
          <c:dPt>
            <c:idx val="1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40-4761-B140-1FA881D107D7}"/>
              </c:ext>
            </c:extLst>
          </c:dPt>
          <c:dLbls>
            <c:dLbl>
              <c:idx val="0"/>
              <c:layout>
                <c:manualLayout>
                  <c:x val="4.1845355838809446E-2"/>
                  <c:y val="-0.39900001047246098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40-4761-B140-1FA881D107D7}"/>
                </c:ext>
              </c:extLst>
            </c:dLbl>
            <c:dLbl>
              <c:idx val="1"/>
              <c:layout>
                <c:manualLayout>
                  <c:x val="5.0942172325507296E-2"/>
                  <c:y val="-0.42933334460192479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40-4761-B140-1FA881D10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Estadisticos'!$V$21:$V$22</c:f>
              <c:strCache>
                <c:ptCount val="2"/>
                <c:pt idx="0">
                  <c:v>Juicio Abreviado - Condicional y reglas de conducta</c:v>
                </c:pt>
                <c:pt idx="1">
                  <c:v>Juicio Abreviado - Efectiva</c:v>
                </c:pt>
              </c:strCache>
            </c:strRef>
          </c:cat>
          <c:val>
            <c:numRef>
              <c:f>'Graficos Estadisticos'!$U$21:$U$22</c:f>
              <c:numCache>
                <c:formatCode>General</c:formatCode>
                <c:ptCount val="2"/>
                <c:pt idx="0">
                  <c:v>54</c:v>
                </c:pt>
                <c:pt idx="1">
                  <c:v>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40-4761-B140-1FA881D107D7}"/>
            </c:ext>
          </c:extLst>
        </c:ser>
        <c:shape val="box"/>
        <c:axId val="89433600"/>
        <c:axId val="89435136"/>
        <c:axId val="0"/>
      </c:bar3DChart>
      <c:catAx>
        <c:axId val="89433600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lang="es-AR" sz="1400"/>
            </a:pPr>
            <a:endParaRPr lang="es-ES"/>
          </a:p>
        </c:txPr>
        <c:crossAx val="89435136"/>
        <c:crosses val="autoZero"/>
        <c:auto val="1"/>
        <c:lblAlgn val="ctr"/>
        <c:lblOffset val="100"/>
      </c:catAx>
      <c:valAx>
        <c:axId val="89435136"/>
        <c:scaling>
          <c:orientation val="minMax"/>
          <c:min val="1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AR"/>
            </a:pPr>
            <a:endParaRPr lang="es-ES"/>
          </a:p>
        </c:txPr>
        <c:crossAx val="89433600"/>
        <c:crosses val="autoZero"/>
        <c:crossBetween val="between"/>
        <c:majorUnit val="1"/>
        <c:minorUnit val="1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18"/>
  <c:chart>
    <c:autoTitleDeleted val="1"/>
    <c:plotArea>
      <c:layout>
        <c:manualLayout>
          <c:layoutTarget val="inner"/>
          <c:xMode val="edge"/>
          <c:yMode val="edge"/>
          <c:x val="8.1463254593175619E-2"/>
          <c:y val="0.11823636628754752"/>
          <c:w val="0.46638035870516187"/>
          <c:h val="0.77730059784193639"/>
        </c:manualLayout>
      </c:layout>
      <c:pieChart>
        <c:varyColors val="1"/>
        <c:ser>
          <c:idx val="0"/>
          <c:order val="0"/>
          <c:dLbls>
            <c:numFmt formatCode="0.0%" sourceLinked="0"/>
            <c:txPr>
              <a:bodyPr/>
              <a:lstStyle/>
              <a:p>
                <a:pPr>
                  <a:defRPr sz="1800"/>
                </a:pPr>
                <a:endParaRPr lang="es-ES"/>
              </a:p>
            </c:txPr>
            <c:showPercent val="1"/>
            <c:showLeaderLines val="1"/>
          </c:dLbls>
          <c:cat>
            <c:strRef>
              <c:f>'Graficos Estadisticos'!$V$39:$V$48</c:f>
              <c:strCache>
                <c:ptCount val="10"/>
                <c:pt idx="0">
                  <c:v>AUTO DE PRUEBA</c:v>
                </c:pt>
                <c:pt idx="1">
                  <c:v>EXCLUSION</c:v>
                </c:pt>
                <c:pt idx="2">
                  <c:v>CONCILIACIÓN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NULIDAD</c:v>
                </c:pt>
                <c:pt idx="6">
                  <c:v>PROBATION</c:v>
                </c:pt>
                <c:pt idx="7">
                  <c:v>REPROGRAMADA</c:v>
                </c:pt>
                <c:pt idx="8">
                  <c:v>SOBRESEIMIENTO</c:v>
                </c:pt>
                <c:pt idx="9">
                  <c:v>SUSPENDIDA</c:v>
                </c:pt>
              </c:strCache>
            </c:strRef>
          </c:cat>
          <c:val>
            <c:numRef>
              <c:f>'Graficos Estadisticos'!$U$39:$U$48</c:f>
              <c:numCache>
                <c:formatCode>General</c:formatCode>
                <c:ptCount val="10"/>
                <c:pt idx="0">
                  <c:v>83</c:v>
                </c:pt>
                <c:pt idx="1">
                  <c:v>27</c:v>
                </c:pt>
                <c:pt idx="2">
                  <c:v>1</c:v>
                </c:pt>
                <c:pt idx="3">
                  <c:v>54</c:v>
                </c:pt>
                <c:pt idx="4">
                  <c:v>46</c:v>
                </c:pt>
                <c:pt idx="5">
                  <c:v>4</c:v>
                </c:pt>
                <c:pt idx="6">
                  <c:v>24</c:v>
                </c:pt>
                <c:pt idx="7">
                  <c:v>39</c:v>
                </c:pt>
                <c:pt idx="8">
                  <c:v>10</c:v>
                </c:pt>
                <c:pt idx="9">
                  <c:v>55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890044084295258"/>
          <c:y val="0.10662931556632343"/>
          <c:w val="0.36035522258746788"/>
          <c:h val="0.61751059963658383"/>
        </c:manualLayout>
      </c:layout>
      <c:txPr>
        <a:bodyPr/>
        <a:lstStyle/>
        <a:p>
          <a:pPr rtl="0">
            <a:defRPr sz="1200"/>
          </a:pPr>
          <a:endParaRPr lang="es-ES"/>
        </a:p>
      </c:txPr>
    </c:legend>
    <c:plotVisOnly val="1"/>
  </c:chart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 lang="es-ES"/>
            </a:pPr>
            <a:r>
              <a:rPr lang="es-ES"/>
              <a:t>INFORME</a:t>
            </a:r>
            <a:r>
              <a:rPr lang="es-ES" baseline="0"/>
              <a:t> SEMANAL</a:t>
            </a:r>
          </a:p>
        </c:rich>
      </c:tx>
    </c:title>
    <c:plotArea>
      <c:layout>
        <c:manualLayout>
          <c:layoutTarget val="inner"/>
          <c:xMode val="edge"/>
          <c:yMode val="edge"/>
          <c:x val="6.7855342192897808E-2"/>
          <c:y val="0.16514882448204621"/>
          <c:w val="0.42236739182306077"/>
          <c:h val="0.75786489454775663"/>
        </c:manualLayout>
      </c:layout>
      <c:pieChart>
        <c:varyColors val="1"/>
        <c:ser>
          <c:idx val="0"/>
          <c:order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 sz="1400"/>
                </a:pPr>
                <a:endParaRPr lang="es-ES"/>
              </a:p>
            </c:txPr>
            <c:dLblPos val="bestFit"/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'Informe semanal'!$D$6:$D$10</c:f>
              <c:strCache>
                <c:ptCount val="5"/>
                <c:pt idx="0">
                  <c:v>Auto de prueba</c:v>
                </c:pt>
                <c:pt idx="1">
                  <c:v>Juicio abreviado</c:v>
                </c:pt>
                <c:pt idx="2">
                  <c:v>Suspensión de juicio a prueba</c:v>
                </c:pt>
                <c:pt idx="3">
                  <c:v>NULIDAD</c:v>
                </c:pt>
                <c:pt idx="4">
                  <c:v>SOBRESEIMIENTO</c:v>
                </c:pt>
              </c:strCache>
            </c:strRef>
          </c:cat>
          <c:val>
            <c:numRef>
              <c:f>'Informe semanal'!$B$6:$B$10</c:f>
              <c:numCache>
                <c:formatCode>General</c:formatCode>
                <c:ptCount val="5"/>
                <c:pt idx="0">
                  <c:v>2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9E-46A1-986B-9A64517EC926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36022789112"/>
          <c:y val="0.17440192587391545"/>
          <c:w val="0.35126372955143653"/>
          <c:h val="0.62561211695671803"/>
        </c:manualLayout>
      </c:layout>
      <c:txPr>
        <a:bodyPr/>
        <a:lstStyle/>
        <a:p>
          <a:pPr rtl="0">
            <a:defRPr lang="es-ES" sz="12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32366</xdr:colOff>
      <xdr:row>0</xdr:row>
      <xdr:rowOff>1346574</xdr:rowOff>
    </xdr:from>
    <xdr:to>
      <xdr:col>6</xdr:col>
      <xdr:colOff>808691</xdr:colOff>
      <xdr:row>0</xdr:row>
      <xdr:rowOff>1559486</xdr:rowOff>
    </xdr:to>
    <xdr:sp macro="" textlink="">
      <xdr:nvSpPr>
        <xdr:cNvPr id="11" name="10 CuadroText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5890241" y="1346574"/>
          <a:ext cx="1951075" cy="212912"/>
        </a:xfrm>
        <a:prstGeom prst="rect">
          <a:avLst/>
        </a:prstGeom>
        <a:noFill/>
        <a:ln w="63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 Segùn Juez</a:t>
          </a:r>
        </a:p>
      </xdr:txBody>
    </xdr:sp>
    <xdr:clientData/>
  </xdr:twoCellAnchor>
  <xdr:twoCellAnchor>
    <xdr:from>
      <xdr:col>5</xdr:col>
      <xdr:colOff>52587</xdr:colOff>
      <xdr:row>0</xdr:row>
      <xdr:rowOff>682625</xdr:rowOff>
    </xdr:from>
    <xdr:to>
      <xdr:col>6</xdr:col>
      <xdr:colOff>984249</xdr:colOff>
      <xdr:row>0</xdr:row>
      <xdr:rowOff>954368</xdr:rowOff>
    </xdr:to>
    <xdr:sp macro="" textlink="">
      <xdr:nvSpPr>
        <xdr:cNvPr id="12" name="11 CuadroText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/>
      </xdr:nvSpPr>
      <xdr:spPr>
        <a:xfrm>
          <a:off x="5910462" y="682625"/>
          <a:ext cx="2106412" cy="27174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r>
            <a:rPr lang="es-ES" sz="1100"/>
            <a:t> Ver según</a:t>
          </a:r>
          <a:r>
            <a:rPr lang="es-ES" sz="1100" baseline="0"/>
            <a:t> resultado de la audiencia</a:t>
          </a:r>
          <a:endParaRPr lang="es-ES" sz="1100"/>
        </a:p>
      </xdr:txBody>
    </xdr:sp>
    <xdr:clientData/>
  </xdr:twoCellAnchor>
  <xdr:twoCellAnchor>
    <xdr:from>
      <xdr:col>5</xdr:col>
      <xdr:colOff>43005</xdr:colOff>
      <xdr:row>0</xdr:row>
      <xdr:rowOff>125132</xdr:rowOff>
    </xdr:from>
    <xdr:to>
      <xdr:col>6</xdr:col>
      <xdr:colOff>885031</xdr:colOff>
      <xdr:row>0</xdr:row>
      <xdr:rowOff>301625</xdr:rowOff>
    </xdr:to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/>
      </xdr:nvSpPr>
      <xdr:spPr>
        <a:xfrm>
          <a:off x="5900880" y="125132"/>
          <a:ext cx="2016776" cy="17649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</a:t>
          </a:r>
          <a:r>
            <a:rPr lang="es-ES" sz="1100" baseline="0"/>
            <a:t> según </a:t>
          </a:r>
          <a:r>
            <a:rPr lang="es-ES" sz="1100"/>
            <a:t>Audiencista OFIJU JUI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702623</xdr:colOff>
      <xdr:row>2</xdr:row>
      <xdr:rowOff>204107</xdr:rowOff>
    </xdr:from>
    <xdr:to>
      <xdr:col>11</xdr:col>
      <xdr:colOff>68036</xdr:colOff>
      <xdr:row>15</xdr:row>
      <xdr:rowOff>68035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179294</xdr:colOff>
      <xdr:row>50</xdr:row>
      <xdr:rowOff>11206</xdr:rowOff>
    </xdr:from>
    <xdr:to>
      <xdr:col>9</xdr:col>
      <xdr:colOff>2653394</xdr:colOff>
      <xdr:row>71</xdr:row>
      <xdr:rowOff>0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1066800</xdr:colOff>
      <xdr:row>75</xdr:row>
      <xdr:rowOff>122464</xdr:rowOff>
    </xdr:from>
    <xdr:to>
      <xdr:col>9</xdr:col>
      <xdr:colOff>2354036</xdr:colOff>
      <xdr:row>101</xdr:row>
      <xdr:rowOff>108857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68035</xdr:colOff>
      <xdr:row>118</xdr:row>
      <xdr:rowOff>14969</xdr:rowOff>
    </xdr:from>
    <xdr:to>
      <xdr:col>9</xdr:col>
      <xdr:colOff>2204358</xdr:colOff>
      <xdr:row>160</xdr:row>
      <xdr:rowOff>95251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1</xdr:row>
      <xdr:rowOff>82826</xdr:rowOff>
    </xdr:from>
    <xdr:to>
      <xdr:col>9</xdr:col>
      <xdr:colOff>2723029</xdr:colOff>
      <xdr:row>1</xdr:row>
      <xdr:rowOff>82826</xdr:rowOff>
    </xdr:to>
    <xdr:cxnSp macro="">
      <xdr:nvCxnSpPr>
        <xdr:cNvPr id="9" name="8 Conector recto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CxnSpPr/>
      </xdr:nvCxnSpPr>
      <xdr:spPr>
        <a:xfrm>
          <a:off x="24848" y="239708"/>
          <a:ext cx="1088968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340178</xdr:colOff>
      <xdr:row>17</xdr:row>
      <xdr:rowOff>149677</xdr:rowOff>
    </xdr:from>
    <xdr:to>
      <xdr:col>10</xdr:col>
      <xdr:colOff>734786</xdr:colOff>
      <xdr:row>44</xdr:row>
      <xdr:rowOff>91847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108857</xdr:colOff>
      <xdr:row>3</xdr:row>
      <xdr:rowOff>-1</xdr:rowOff>
    </xdr:from>
    <xdr:to>
      <xdr:col>29</xdr:col>
      <xdr:colOff>537482</xdr:colOff>
      <xdr:row>14</xdr:row>
      <xdr:rowOff>179293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408215</xdr:colOff>
      <xdr:row>19</xdr:row>
      <xdr:rowOff>0</xdr:rowOff>
    </xdr:from>
    <xdr:to>
      <xdr:col>28</xdr:col>
      <xdr:colOff>721179</xdr:colOff>
      <xdr:row>33</xdr:row>
      <xdr:rowOff>258535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435428</xdr:colOff>
      <xdr:row>24</xdr:row>
      <xdr:rowOff>68037</xdr:rowOff>
    </xdr:from>
    <xdr:to>
      <xdr:col>26</xdr:col>
      <xdr:colOff>544285</xdr:colOff>
      <xdr:row>25</xdr:row>
      <xdr:rowOff>40822</xdr:rowOff>
    </xdr:to>
    <xdr:sp macro="" textlink="">
      <xdr:nvSpPr>
        <xdr:cNvPr id="12" name="11 CuadroTexto"/>
        <xdr:cNvSpPr txBox="1"/>
      </xdr:nvSpPr>
      <xdr:spPr>
        <a:xfrm>
          <a:off x="28180392" y="9933216"/>
          <a:ext cx="870857" cy="35378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51,92%</a:t>
          </a:r>
        </a:p>
      </xdr:txBody>
    </xdr:sp>
    <xdr:clientData/>
  </xdr:twoCellAnchor>
  <xdr:twoCellAnchor>
    <xdr:from>
      <xdr:col>22</xdr:col>
      <xdr:colOff>2068287</xdr:colOff>
      <xdr:row>24</xdr:row>
      <xdr:rowOff>136071</xdr:rowOff>
    </xdr:from>
    <xdr:to>
      <xdr:col>23</xdr:col>
      <xdr:colOff>81643</xdr:colOff>
      <xdr:row>25</xdr:row>
      <xdr:rowOff>95250</xdr:rowOff>
    </xdr:to>
    <xdr:sp macro="" textlink="">
      <xdr:nvSpPr>
        <xdr:cNvPr id="13" name="12 CuadroTexto"/>
        <xdr:cNvSpPr txBox="1"/>
      </xdr:nvSpPr>
      <xdr:spPr>
        <a:xfrm>
          <a:off x="25431751" y="10001250"/>
          <a:ext cx="870856" cy="34017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48,08%</a:t>
          </a:r>
        </a:p>
      </xdr:txBody>
    </xdr:sp>
    <xdr:clientData/>
  </xdr:twoCellAnchor>
  <xdr:twoCellAnchor>
    <xdr:from>
      <xdr:col>22</xdr:col>
      <xdr:colOff>152400</xdr:colOff>
      <xdr:row>36</xdr:row>
      <xdr:rowOff>371475</xdr:rowOff>
    </xdr:from>
    <xdr:to>
      <xdr:col>29</xdr:col>
      <xdr:colOff>571500</xdr:colOff>
      <xdr:row>50</xdr:row>
      <xdr:rowOff>28575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4</xdr:row>
      <xdr:rowOff>28575</xdr:rowOff>
    </xdr:from>
    <xdr:to>
      <xdr:col>9</xdr:col>
      <xdr:colOff>466725</xdr:colOff>
      <xdr:row>15</xdr:row>
      <xdr:rowOff>152400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ancay" refreshedDate="45173.526851620372" createdVersion="3" refreshedVersion="3" minRefreshableVersion="3" recordCount="230">
  <cacheSource type="worksheet">
    <worksheetSource ref="D2:W229" sheet="EXPEDIENTES"/>
  </cacheSource>
  <cacheFields count="10"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m/>
        <s v=" "/>
        <s v="RUBÉN"/>
        <s v="CAROLINA"/>
        <s v="MARCELA"/>
        <s v="JUAN PABLO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m/>
        <d v="2023-04-20T00:00:00"/>
        <d v="2023-05-29T00:00:00"/>
        <d v="2023-06-07T00:00:00"/>
        <d v="2023-06-14T00:00:00"/>
        <d v="2023-06-16T00:00:00"/>
        <d v="2023-06-22T00:00:00"/>
        <d v="2023-06-23T00:00:00"/>
        <d v="2023-06-26T00:00:00"/>
        <d v="2023-06-29T00:00:00"/>
        <d v="2023-06-30T00:00:00"/>
        <d v="2023-07-04T00:00:00"/>
        <d v="2023-07-11T00:00:00"/>
        <d v="2023-07-12T00:00:00"/>
        <d v="2023-07-24T00:00:00"/>
        <d v="2023-07-26T00:00:00"/>
        <d v="2023-07-28T00:00:00"/>
        <d v="2023-07-31T00:00:00"/>
        <d v="2023-08-07T00:00:00"/>
        <d v="2023-08-08T00:00:00"/>
        <d v="2023-08-10T00:00:00"/>
        <d v="2023-08-11T00:00:00"/>
        <d v="2023-08-14T00:00:00"/>
        <d v="2023-08-16T00:00:00"/>
        <d v="2023-08-25T00:00:00"/>
        <d v="2023-05-24T00:00:00"/>
        <d v="2023-05-30T00:00:00"/>
        <d v="2023-06-09T00:00:00"/>
        <d v="2023-06-15T00:00:00"/>
        <d v="2023-06-21T00:00:00"/>
        <d v="2023-06-27T00:00:00"/>
        <d v="2023-06-28T00:00:00"/>
        <d v="2023-07-05T00:00:00"/>
        <d v="2023-07-06T00:00:00"/>
        <d v="2023-08-23T00:00:00"/>
        <s v=" 09/08/2023"/>
        <d v="2023-04-24T00:00:00"/>
        <d v="2023-03-20T00:00:00"/>
        <d v="2023-03-30T00:00:00"/>
        <d v="2023-04-19T00:00:00"/>
        <d v="2023-04-21T00:00:00"/>
        <d v="2023-04-25T00:00:00"/>
        <d v="2023-05-03T00:00:00"/>
        <d v="2023-05-10T00:00:00"/>
        <d v="2023-05-11T00:00:00"/>
        <d v="2023-05-12T00:00:00"/>
        <d v="2023-05-17T00:00:00"/>
        <d v="2023-05-18T00:00:00"/>
        <d v="2023-05-19T00:00:00"/>
        <d v="2023-05-27T00:00:00"/>
        <d v="2023-05-31T00:00:00"/>
        <d v="2023-06-01T00:00:00"/>
        <d v="2023-06-02T00:00:00"/>
        <d v="2023-06-05T00:00:00"/>
        <d v="2023-06-08T00:00:00"/>
        <d v="2023-06-12T00:00:00"/>
        <d v="2023-07-01T00:00:00"/>
        <d v="2023-07-03T00:00:00"/>
        <d v="2023-07-07T00:00:00"/>
        <d v="2023-07-10T00:00:00"/>
        <d v="2023-07-13T00:00:00"/>
        <d v="2023-07-17T00:00:00"/>
        <d v="2023-07-18T00:00:00"/>
        <d v="2023-07-19T00:00:00"/>
        <d v="2023-07-20T00:00:00"/>
        <d v="2023-07-21T00:00:00"/>
        <d v="2023-07-27T00:00:00"/>
        <d v="2023-08-01T00:00:00"/>
        <d v="2023-08-02T00:00:00"/>
        <d v="2023-08-04T00:00:00"/>
        <d v="2023-08-09T00:00:00"/>
        <d v="2023-08-15T00:00:00"/>
        <d v="2023-08-17T00:00:00"/>
        <d v="2023-08-18T00:00:00"/>
        <d v="2023-08-22T00:00:00"/>
        <d v="2023-08-24T00:00:00"/>
        <d v="2023-08-29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2T00:00:00"/>
        <d v="2023-09-18T00:00:00"/>
        <d v="2023-09-20T00:00:00"/>
        <d v="2023-09-21T00:00:00"/>
        <d v="2023-09-22T00:00:00"/>
        <d v="2023-09-25T00:00:00"/>
        <d v="2023-09-26T00:00:00"/>
        <d v="2023-09-27T00:00:00"/>
        <d v="2023-09-29T00:00:00"/>
        <d v="2023-10-05T00:00:00"/>
        <d v="2023-10-06T00:00:00"/>
        <d v="2023-10-09T00:00:00"/>
        <d v="2023-10-10T00:00:00"/>
        <d v="2023-10-17T00:00:00"/>
        <d v="2023-10-27T00:00:00"/>
      </sharedItems>
    </cacheField>
    <cacheField name="HORA" numFmtId="0">
      <sharedItems containsDate="1" containsBlank="1" containsMixedTypes="1" minDate="1899-12-30T08:00:00" maxDate="1899-12-30T14:00:00" count="32">
        <m/>
        <d v="1899-12-30T09:00:00"/>
        <d v="1899-12-30T11:00:00"/>
        <s v=" 12:15"/>
        <s v="12:000"/>
        <d v="1899-12-30T10:00:00"/>
        <d v="1899-12-30T13:00:00"/>
        <d v="1899-12-30T12:00:00"/>
        <d v="1899-12-30T12:30:00"/>
        <s v=" 13:00"/>
        <d v="1899-12-30T14:00:00"/>
        <d v="1899-12-30T09:30:00"/>
        <s v=" 11:00"/>
        <s v=" 09:30"/>
        <s v=" 12:30"/>
        <s v=" 12:00"/>
        <s v=" 10:30"/>
        <s v=" 10:15"/>
        <s v=" 19:30"/>
        <d v="1899-12-30T08:00:00"/>
        <s v=" 09:00"/>
        <d v="1899-12-30T10:30:00"/>
        <s v=" 12.00"/>
        <s v=" 14:30"/>
        <s v=" 13:30"/>
        <s v=" 14:00"/>
        <d v="1899-12-30T13:30:00"/>
        <s v=" 08:00"/>
        <s v="  13:30"/>
        <s v=" 11:30"/>
        <s v=" 13:15"/>
        <s v=" 09:30 "/>
      </sharedItems>
    </cacheField>
    <cacheField name="JUEZ PRELIMINAR" numFmtId="164">
      <sharedItems count="7">
        <s v="Dra. Romero Nayar"/>
        <s v="Dra. Mónica Faber"/>
        <s v=" "/>
        <s v="Dr. Marcelo Rubio"/>
        <s v="Dr. Riera"/>
        <s v="Dra. Mónica Mukdsi"/>
        <s v="Dr. Guillermo Pereyra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alancay" refreshedDate="45173.53039537037" createdVersion="3" refreshedVersion="3" minRefreshableVersion="3" recordCount="230">
  <cacheSource type="worksheet">
    <worksheetSource ref="B2:W229" sheet="EXPEDIENTES"/>
  </cacheSource>
  <cacheFields count="12">
    <cacheField name="EXPTE" numFmtId="164">
      <sharedItems/>
    </cacheField>
    <cacheField name="Situacion Personal" numFmtId="0">
      <sharedItems containsBlank="1"/>
    </cacheField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s v="CAROLINA"/>
        <s v="MARCELA"/>
        <m/>
        <s v=" "/>
        <s v="JUAN PABLO"/>
        <s v="RUBÉN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d v="2023-03-20T00:00:00"/>
        <d v="2023-03-30T00:00:00"/>
        <d v="2023-06-14T00:00:00"/>
        <d v="2023-06-27T00:00:00"/>
        <m/>
        <d v="2023-04-19T00:00:00"/>
        <d v="2023-06-15T00:00:00"/>
        <d v="2023-06-28T00:00:00"/>
        <d v="2023-06-16T00:00:00"/>
        <d v="2023-06-21T00:00:00"/>
        <d v="2023-04-21T00:00:00"/>
        <d v="2023-06-26T00:00:00"/>
        <d v="2023-06-29T00:00:00"/>
        <d v="2023-07-04T00:00:00"/>
        <d v="2023-04-25T00:00:00"/>
        <d v="2023-05-29T00:00:00"/>
        <d v="2023-06-30T00:00:00"/>
        <d v="2023-07-12T00:00:00"/>
        <d v="2023-05-03T00:00:00"/>
        <d v="2023-07-03T00:00:00"/>
        <d v="2023-04-24T00:00:00"/>
        <d v="2023-05-10T00:00:00"/>
        <d v="2023-05-11T00:00:00"/>
        <d v="2023-06-23T00:00:00"/>
        <d v="2023-07-11T00:00:00"/>
        <d v="2023-05-12T00:00:00"/>
        <d v="2023-07-07T00:00:00"/>
        <d v="2023-05-17T00:00:00"/>
        <d v="2023-07-18T00:00:00"/>
        <d v="2023-05-18T00:00:00"/>
        <d v="2023-07-31T00:00:00"/>
        <d v="2023-04-20T00:00:00"/>
        <d v="2023-05-19T00:00:00"/>
        <d v="2023-08-04T00:00:00"/>
        <d v="2023-05-31T00:00:00"/>
        <d v="2023-05-24T00:00:00"/>
        <d v="2023-06-01T00:00:00"/>
        <d v="2023-06-07T00:00:00"/>
        <d v="2023-06-22T00:00:00"/>
        <s v=" 09/08/2023"/>
        <d v="2023-05-30T00:00:00"/>
        <d v="2023-06-02T00:00:00"/>
        <d v="2023-06-09T00:00:00"/>
        <d v="2023-07-05T00:00:00"/>
        <d v="2023-08-07T00:00:00"/>
        <d v="2023-06-05T00:00:00"/>
        <d v="2023-07-19T00:00:00"/>
        <d v="2023-06-08T00:00:00"/>
        <d v="2023-09-01T00:00:00"/>
        <d v="2023-08-02T00:00:00"/>
        <d v="2023-06-12T00:00:00"/>
        <d v="2023-10-10T00:00:00"/>
        <d v="2023-07-17T00:00:00"/>
        <d v="2023-08-01T00:00:00"/>
        <d v="2023-07-27T00:00:00"/>
        <d v="2023-09-25T00:00:00"/>
        <d v="2023-10-09T00:00:00"/>
        <d v="2023-08-24T00:00:00"/>
        <d v="2023-08-09T00:00:00"/>
        <d v="2023-08-11T00:00:00"/>
        <d v="2023-07-06T00:00:00"/>
        <d v="2023-07-24T00:00:00"/>
        <d v="2023-05-27T00:00:00"/>
        <d v="2023-07-26T00:00:00"/>
        <d v="2023-07-13T00:00:00"/>
        <d v="2023-07-10T00:00:00"/>
        <d v="2023-08-08T00:00:00"/>
        <d v="2023-08-10T00:00:00"/>
        <d v="2023-08-29T00:00:00"/>
        <d v="2023-07-21T00:00:00"/>
        <d v="2023-08-16T00:00:00"/>
        <d v="2023-08-14T00:00:00"/>
        <d v="2023-07-20T00:00:00"/>
        <d v="2023-08-25T00:00:00"/>
        <d v="2023-08-23T00:00:00"/>
        <d v="2023-09-20T00:00:00"/>
        <d v="2023-09-21T00:00:00"/>
        <d v="2023-07-28T00:00:00"/>
        <d v="2023-08-18T00:00:00"/>
        <d v="2023-09-22T00:00:00"/>
        <d v="2023-09-27T00:00:00"/>
        <d v="2023-08-17T00:00:00"/>
        <d v="2023-07-01T00:00:00"/>
        <d v="2023-09-29T00:00:00"/>
        <d v="2023-09-05T00:00:00"/>
        <d v="2023-08-15T00:00:00"/>
        <d v="2023-09-26T00:00:00"/>
        <d v="2023-09-08T00:00:00"/>
        <d v="2023-09-06T00:00:00"/>
        <d v="2023-10-27T00:00:00"/>
        <d v="2023-09-18T00:00:00"/>
        <d v="2023-09-07T00:00:00"/>
        <d v="2023-08-22T00:00:00"/>
        <d v="2023-09-04T00:00:00"/>
        <d v="2023-09-12T00:00:00"/>
        <d v="2023-10-05T00:00:00"/>
        <d v="2023-08-31T00:00:00"/>
        <d v="2023-10-17T00:00:00"/>
        <d v="2023-10-06T00:00:00"/>
      </sharedItems>
    </cacheField>
    <cacheField name="HORA" numFmtId="0">
      <sharedItems containsDate="1" containsBlank="1" containsMixedTypes="1" minDate="1899-12-30T08:00:00" maxDate="1899-12-30T14:00:00" count="32">
        <s v=" 09:00"/>
        <s v=" 13:00"/>
        <s v=" 12:30"/>
        <s v=" 11:00"/>
        <m/>
        <d v="1899-12-30T09:00:00"/>
        <s v=" 09:30"/>
        <d v="1899-12-30T12:30:00"/>
        <d v="1899-12-30T13:00:00"/>
        <d v="1899-12-30T11:00:00"/>
        <d v="1899-12-30T09:30:00"/>
        <d v="1899-12-30T08:00:00"/>
        <d v="1899-12-30T10:00:00"/>
        <d v="1899-12-30T12:00:00"/>
        <d v="1899-12-30T13:30:00"/>
        <s v=" 11:30"/>
        <d v="1899-12-30T10:30:00"/>
        <s v="12:000"/>
        <d v="1899-12-30T14:00:00"/>
        <s v=" 12:00"/>
        <s v=" 14:00"/>
        <s v=" 19:30"/>
        <s v=" 12:15"/>
        <s v=" 12.00"/>
        <s v=" 10:15"/>
        <s v=" 13:15"/>
        <s v=" 13:30"/>
        <s v=" 10:30"/>
        <s v=" 14:30"/>
        <s v="  13:30"/>
        <s v=" 08:00"/>
        <s v=" 09:30 "/>
      </sharedItems>
    </cacheField>
    <cacheField name="JUEZ PRELIMINAR" numFmtId="164">
      <sharedItems count="7">
        <s v="Dra. Romero Nayar"/>
        <s v="Dra. Mónica Faber"/>
        <s v="Dr. Riera"/>
        <s v="Dra. Mónica Mukdsi"/>
        <s v="Dr. Marcelo Rubio"/>
        <s v="Dr. Guillermo Pereyra"/>
        <s v=" 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0">
  <r>
    <s v="Maizare, Rodrigo Alejandro"/>
    <s v="Amenazas - Genero"/>
    <s v="Art 437: 22/02/2023                   VENCE: 09/03/2023"/>
    <x v="0"/>
    <x v="0"/>
    <x v="0"/>
    <x v="0"/>
    <s v=" "/>
    <s v=" "/>
    <s v=" "/>
  </r>
  <r>
    <s v="Escalante, Jacinto Marino"/>
    <s v="AMENAZAS CON ARMAS - DAÑOS"/>
    <m/>
    <x v="1"/>
    <x v="0"/>
    <x v="0"/>
    <x v="1"/>
    <s v=" "/>
    <s v=" "/>
    <s v=" "/>
  </r>
  <r>
    <s v="Homez, Walter Enrique"/>
    <s v="HOMICIDIO CULPOSO POR LA CONDUCCIÓN IMPRUDENTE, NEGLIGENTE O ANTIRREGLAMENTARO DE UN VEHICULO CON MOTOR  "/>
    <m/>
    <x v="1"/>
    <x v="0"/>
    <x v="0"/>
    <x v="2"/>
    <s v=" "/>
    <s v=" "/>
    <s v=" "/>
  </r>
  <r>
    <s v="Pinos, José Edgardo"/>
    <s v="ROBO POR EFRACCIÓM, ROBO CON ESCALAMIENTO, HURTO CALIFICADO POR ESCALAMIENTO EN TENTATIVA "/>
    <m/>
    <x v="1"/>
    <x v="0"/>
    <x v="0"/>
    <x v="1"/>
    <s v=" "/>
    <s v="FP 6 Dr. Analía Adet Figueroa"/>
    <s v="DOP 10 - Dra.Bohuid"/>
  </r>
  <r>
    <s v="Villaroel, Maxima Isabel -Álvarez, Ramón Domingo"/>
    <s v="COOPERACIÓN EN LA REALIZACIÓN DE DELITOS CONTRA LA INTEGRIDAD SEXUAL - ABUSO SEXUAL CON ACCESO CARNAL CONTINUADO AGRAVADO POR EL VÍNCULO Y LA CONVIVENCIA"/>
    <m/>
    <x v="1"/>
    <x v="0"/>
    <x v="0"/>
    <x v="1"/>
    <s v=" "/>
    <s v="FP UDIS 2 - Dr. Gonzalez Miralpeix"/>
    <s v="DOP 15 - Dr. Bonetto"/>
  </r>
  <r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1"/>
    <x v="0"/>
    <x v="0"/>
    <x v="1"/>
    <s v=" "/>
    <s v=" "/>
    <s v=" "/>
  </r>
  <r>
    <s v="Fabian, José Maximiliano"/>
    <s v="HURTO SIMPLE"/>
    <m/>
    <x v="1"/>
    <x v="0"/>
    <x v="0"/>
    <x v="0"/>
    <s v=" "/>
    <s v=" "/>
    <s v=" "/>
  </r>
  <r>
    <s v="QUERELLA PRESENTADA POR EL DR. AGÜERO, SERGIO EN CONTRA DE GUSTAVO SÁNEZ"/>
    <m/>
    <m/>
    <x v="1"/>
    <x v="0"/>
    <x v="0"/>
    <x v="1"/>
    <s v=" "/>
    <s v=" "/>
    <s v=" "/>
  </r>
  <r>
    <s v="Robledo, Osvaldo Eduardo"/>
    <s v="AMENAZAS - GÉNERO"/>
    <s v="Art 437: 17/02/2023 - VENCE: 08/03/2023 - Art 441: 08/03/2023 - Notificados 08/03/23 - VENCE: 23/03/2023"/>
    <x v="1"/>
    <x v="1"/>
    <x v="1"/>
    <x v="3"/>
    <s v="Tribunal V - Sala 1"/>
    <s v="FP VFG 1 - Dra. Geria"/>
    <s v="Dr. Torrente, Mario Fabian"/>
  </r>
  <r>
    <s v="Aybar, Federico Mauricio"/>
    <s v="ROBO AGRAVADO POR EL USO DE ARMA (TENTATIVA)"/>
    <s v="Art 437: 26/4/2023"/>
    <x v="1"/>
    <x v="2"/>
    <x v="2"/>
    <x v="3"/>
    <s v="Tribunal V - Sala 1"/>
    <s v="FP 5 Dr. Federico Jovanovics"/>
    <s v="DOP Dr. Di Bez"/>
  </r>
  <r>
    <s v="Gramajo, Héctor Mauricio"/>
    <s v="ABUSO SEXUAL CON ACCESO CARNAL"/>
    <s v="Art 437: 16/5/2023 - Art 441: Mismo decreto"/>
    <x v="1"/>
    <x v="3"/>
    <x v="1"/>
    <x v="0"/>
    <s v="Tribunal V - Sala 3"/>
    <s v="UDIS 4 - Dr. Pablo Rivero"/>
    <s v="DOP 5 - Marta Lopez"/>
  </r>
  <r>
    <s v="López Borelli, Federico"/>
    <s v="AMENAZAS + DESOBEDIENCIA JUDICIAL EN CONCURSO REAL"/>
    <s v="Art 437: 29/06/2023 - Art 441: Mismo decreto"/>
    <x v="0"/>
    <x v="4"/>
    <x v="3"/>
    <x v="4"/>
    <s v="Tribunal VI - Sala 1"/>
    <s v="FP de Cerrillos - Dr. Portal"/>
    <s v="DOP 2 - Dra. Liliana Linares Moron"/>
  </r>
  <r>
    <s v="López, Leonardo Javier"/>
    <s v="ROBO EN GRADO DE TENTATIVA"/>
    <s v="Art 437: 24/03/2023 - Art 441: 15/5/2023"/>
    <x v="1"/>
    <x v="5"/>
    <x v="4"/>
    <x v="3"/>
    <s v="Tribunal V - Sala 1"/>
    <s v="FP de Cerrillos - Dr. Portal"/>
    <s v="DOP 17 - Dr. Genovese "/>
  </r>
  <r>
    <s v="Canaza, Julian Cesar - Subia Sulva, Manuel Humberto - Vedia Jimenez, Angel Mariano"/>
    <s v="ROBO SIMPLE"/>
    <s v="Art 437: 16/5/2023 - Art 441: Mismo decreto"/>
    <x v="0"/>
    <x v="6"/>
    <x v="5"/>
    <x v="1"/>
    <s v="Tribunal V - Sala 2"/>
    <s v="FP de Cerrillos - Dr. Portal"/>
    <s v="DR. SERGIO AGUSTÍN ALEMÁN (Para Canaza) - DOP 2 ( Para Vedia y Subia)"/>
  </r>
  <r>
    <s v="Pastrana, Gonzalo Martín"/>
    <s v="ABUSO SEXUAL CON ACCESO CARNAL "/>
    <s v="Art 437. 16/03/2023 - Notificado 22/03/23 - VENCE: 11/04/2023"/>
    <x v="1"/>
    <x v="7"/>
    <x v="2"/>
    <x v="1"/>
    <s v="Tribunal V - Sala 2"/>
    <s v="FP UDIS 3 - Dra. Flores Toranzo"/>
    <s v="DOP de turno"/>
  </r>
  <r>
    <s v="Ontiveros, Walter"/>
    <s v="ABUSO SEXUAL GRAVEMENTE ULTRAJANTE"/>
    <s v="Art 437: 01/06/2023 - Art 441: Mismo Decreto"/>
    <x v="1"/>
    <x v="7"/>
    <x v="6"/>
    <x v="1"/>
    <s v="Tribunal V - Sala 3"/>
    <s v="FP UDIS 3 - Dra. Flores Toranzo"/>
    <s v="DOP 8 - Dra. Cecilia Martinez"/>
  </r>
  <r>
    <s v="Aguirre, Luis Alberto"/>
    <s v="ABUSO SEXUAL SIMPLE AGRAVADO POR EL VÍNCULO"/>
    <s v="Art 437 19/5/2023 - Art 441 Mismo decreto"/>
    <x v="1"/>
    <x v="8"/>
    <x v="6"/>
    <x v="5"/>
    <s v="Tribunal VI - Sala 1"/>
    <s v="UDIS 1 - Federico Obeid"/>
    <s v="DOP 10 - Dra.Bohuid"/>
  </r>
  <r>
    <s v="Oliva, Pablo Andres"/>
    <s v="COACCIÓN Y REDUCCIÓN A LA SERVIDUMBRE EN CONCURSO REAL"/>
    <s v="Art 437: 03/04/2023 - Notificados: 03/04/2023 - Vence: 20/04/2023"/>
    <x v="1"/>
    <x v="9"/>
    <x v="7"/>
    <x v="1"/>
    <s v="Tribunal V - Sala 2"/>
    <s v="FP VFG 2 - Dra. Sodero Calvet"/>
    <s v="DOP 12 - AUX. Dr. Martin Herrera"/>
  </r>
  <r>
    <s v="GUAYMAS, HUGO ORLANDO - MORALES, MARISEL RAMONA"/>
    <s v="COACCIÓN Y DESOBEDIENCIA JUDICIAL "/>
    <s v="Art 437: 8/6/2023 - Art 441: Mismo Decreto"/>
    <x v="1"/>
    <x v="9"/>
    <x v="8"/>
    <x v="4"/>
    <s v="Tribunal VI - Sala 1"/>
    <s v="FP de Cerrillos - Dr. Portal"/>
    <s v="UDP Nº 8 (POR GUAYMAS) Y UDP Nº 10 - DRA. BOHUID (POR MORALES)"/>
  </r>
  <r>
    <s v="Ontiveros, Walter"/>
    <s v="ABUSO SEXUAL GRAVEMENTE ULTRAJANTE"/>
    <s v="Art 437: 01/06/2023 - Art 441: Mismo Decreto"/>
    <x v="1"/>
    <x v="9"/>
    <x v="9"/>
    <x v="1"/>
    <s v="Tribunal V - Sala 1"/>
    <s v="FP UDIS 3 - Dra. Flores Toranzo"/>
    <s v="DOP 8 - Dra. Cecilia Martinez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0"/>
    <x v="10"/>
    <x v="10"/>
    <x v="1"/>
    <s v="Tribunal V - Sala 1"/>
    <s v="FP DDHH Dr. Gonzalez"/>
    <s v="DOP Nº 17 (POR DIEGO ARNALDO QUIROGA) - DRA. ALEJANDRA DEL VALLE (POR RIVAS, CANSINO, RODRÍGUEZBAÑAGASTA)"/>
  </r>
  <r>
    <s v="Sosa, Leandro Maximiliano"/>
    <s v="ROBO CALIFICADO DE VEHÍCULO DEJADO EN LA VÍA PÚBLICA"/>
    <s v="Art 437: 03/04/2023 - Notificados: 03/04/2023 - Vence: 20/04/2023 - Art 441: 21/04/2023 - Notificados 21/04/2023 - Vence: 08/04/2023"/>
    <x v="1"/>
    <x v="11"/>
    <x v="1"/>
    <x v="1"/>
    <s v="Tribunal V - Sala 2"/>
    <s v="FP 5 Dr. Federico Jovanovics"/>
    <s v="DRES. ABRAHAM NAHIR ABDENUR + JUAN MANUEL CREA"/>
  </r>
  <r>
    <s v="Quiroga, Alexando Juan Facundo"/>
    <s v="DESOBEDIENCIA JUDICIAL "/>
    <s v="Art 437: 7/6/2023 - Art 441: Mismo decreto"/>
    <x v="1"/>
    <x v="12"/>
    <x v="11"/>
    <x v="4"/>
    <s v="Tribunal VI - Sala 1"/>
    <s v="FP VFG 3 - Dra. Gabriela Davalos"/>
    <s v="Dr. Hector Armando Leccese"/>
  </r>
  <r>
    <s v="Guzman, Marcos David"/>
    <m/>
    <m/>
    <x v="1"/>
    <x v="13"/>
    <x v="11"/>
    <x v="6"/>
    <s v="Tribunal VI - Sala 1"/>
    <s v="FP 2 - Dr. Ramos Ossorio "/>
    <s v="DOP 15 - Dr. Bonetto"/>
  </r>
  <r>
    <s v="Rivera Gustavo Gabriel"/>
    <s v="ROBO AGRAVADO POR EL USO DE ARMAS (TENTATIVA)"/>
    <s v="Art 437 24/5/2023 - Art 441: Mismo decreto"/>
    <x v="0"/>
    <x v="14"/>
    <x v="12"/>
    <x v="4"/>
    <s v="Tribunal V - Sala 1"/>
    <s v="FP 3 - Dr. Cordoba"/>
    <s v="Dr. Santiago Pedroza  (particular)"/>
  </r>
  <r>
    <s v="PERDIGUERA, EMANUEL ALEJANDRO"/>
    <s v="TENENCIA DE ESTUPEFACIENTES CON FINES DE COMERCIALIZACIÓN "/>
    <s v="Art 437: 07/07/2023 - Art 441: Mismo decreto"/>
    <x v="1"/>
    <x v="15"/>
    <x v="13"/>
    <x v="6"/>
    <s v="Tribunal VI - Sala 1"/>
    <s v="UFINAR - Dr. Lopez Soto"/>
    <s v="Dr. Orfeo Maggio - (particular)"/>
  </r>
  <r>
    <s v="Lamas, Walter Lucio"/>
    <s v="LESIONES LEVES CALIFICADAS POR LA RELACIÓN PREEXISTENTE Y MEDIANDO VIOLENCIA DE GÉNERO"/>
    <s v="Art 437: 27/06/2023 - Art 441: Mismo decreto"/>
    <x v="0"/>
    <x v="16"/>
    <x v="13"/>
    <x v="0"/>
    <s v="A definir"/>
    <s v="FP Rosario de Lerma. Dr. Escalante"/>
    <s v="DOP 17 - Dr. Genovese "/>
  </r>
  <r>
    <s v="Fernández, Franco Emanuel"/>
    <s v="ROBO CALIFICADO POR EL USO DE ARMAS "/>
    <s v="Art 437: 07/07/2023 - Art 441: Mismo decreto"/>
    <x v="1"/>
    <x v="16"/>
    <x v="14"/>
    <x v="6"/>
    <s v="Tribunal VI - Sala 1"/>
    <s v="FP 5 Dr. Federico Jovanovics"/>
    <s v="DOP 14 - Dra. Marcela Robles"/>
  </r>
  <r>
    <s v="Casco, Ivan Mauro Cosme"/>
    <s v="ROBO SIMPLE"/>
    <s v="Art 437: 12/6/2023 - Art 441: Mismo decreto"/>
    <x v="0"/>
    <x v="17"/>
    <x v="11"/>
    <x v="0"/>
    <s v="Tribunal V - Sala 3"/>
    <s v="FP 1 Dr. Pablo Paz"/>
    <s v="Dr. Luis Cesar Fernando"/>
  </r>
  <r>
    <s v="López, Luís Darío"/>
    <s v="ABUSO SEXUAL GRAVEMENTE ULTRAJANTE"/>
    <s v="Art 437: 13/6/2023 - Art 441: Mismo decreto"/>
    <x v="0"/>
    <x v="17"/>
    <x v="8"/>
    <x v="6"/>
    <s v="Tribunal VI - Sala 1"/>
    <s v="FP UDIS 2 - Dr. Gonzalez Miralpeix"/>
    <s v="Dr. Diaz Zabalaga, Luis Fernando"/>
  </r>
  <r>
    <s v="Olmedo, Nicolas Daniel"/>
    <s v="COACCIÓN"/>
    <s v="Art 437: 12/6/2023 - Art 441: Mismo decreto"/>
    <x v="0"/>
    <x v="18"/>
    <x v="11"/>
    <x v="0"/>
    <s v="Tribunal V - Sala 2"/>
    <s v="FP VFG 2 - Dra. Sodero Calvet"/>
    <s v="DOP 8 - Dra. Cecilia Martinez"/>
  </r>
  <r>
    <s v="Sagayo, Leonardo Gabriel"/>
    <s v="ROBO AGRAVADO POR EL USO DE ARMAS + ROBO EN POBLADO Y EN BANDA + COACCIÓN"/>
    <s v="Art 437: 29/5/2023 - Art 441: Mismo decreto"/>
    <x v="0"/>
    <x v="19"/>
    <x v="14"/>
    <x v="4"/>
    <s v="Tribunal VI - Sala 1"/>
    <s v="FP 5 Dr. Federico Jovanovics"/>
    <s v="DOP 4 - Dr. Walter Clark"/>
  </r>
  <r>
    <s v="López, Leonardo Javier"/>
    <s v="ROBO EN GRADO DE TENTATIVA"/>
    <s v="Art 437: 24/03/2023 - Art 441: 15/5/2023"/>
    <x v="0"/>
    <x v="20"/>
    <x v="15"/>
    <x v="3"/>
    <s v="Tribunal V - Sala 1"/>
    <s v="FP de Cerrillos - Dr. Portal"/>
    <s v="DOP 17 - Dr. Genovese "/>
  </r>
  <r>
    <s v="López, Marcelo Enrique"/>
    <s v="AMENAZAS + DAÑOS"/>
    <s v="Art 437: 27/06/2023 - Art 441: Mismo decreto"/>
    <x v="1"/>
    <x v="21"/>
    <x v="7"/>
    <x v="3"/>
    <s v="Tribunal V - Sala 2"/>
    <s v="FP VFG 1 - Dra. Geria"/>
    <s v="DOP 4 - Dr. Walter Clark"/>
  </r>
  <r>
    <s v="Rivera Gustavo Gabriel"/>
    <s v="ROBO AGRAVADO POR EL USO DE ARMAS (TENTATIVA)"/>
    <s v="Art 437: 24/5/2023 - Art 441: Mismo decreto"/>
    <x v="0"/>
    <x v="21"/>
    <x v="16"/>
    <x v="4"/>
    <s v="Tribunal VI - Sala 1"/>
    <s v="FP 3 - Dr. Cordoba"/>
    <s v="Dr. Santiago Pedroza  (particular)"/>
  </r>
  <r>
    <s v="MAMANÍ, PEDRO GABRIEL"/>
    <s v="DESOBEDIENCIA JUDICIAL"/>
    <s v="Art 437: 03/07/2023 Art 441: Mismo decreto"/>
    <x v="0"/>
    <x v="22"/>
    <x v="17"/>
    <x v="0"/>
    <s v="Tribunal V - Sala 1"/>
    <s v="FP de Cerrillos - Dr. Portal"/>
    <s v="DOP 7 - Dr. Di Bez"/>
  </r>
  <r>
    <s v="Guzman, Marcos David"/>
    <m/>
    <m/>
    <x v="0"/>
    <x v="23"/>
    <x v="13"/>
    <x v="6"/>
    <s v="Tribunal V - Sala 3"/>
    <s v="FP 2 - Dr. Ramos Ossorio "/>
    <s v="DOP 15 - Dr. Bonetto"/>
  </r>
  <r>
    <s v="Calpanchay, Joel Javier"/>
    <s v="AMENAZAS"/>
    <m/>
    <x v="0"/>
    <x v="24"/>
    <x v="18"/>
    <x v="1"/>
    <s v="Tribunal V - Sala 2"/>
    <s v="FP 1 Dr. Pablo Paz"/>
    <s v="DOP 1 - Dr. Federico Gutierrez"/>
  </r>
  <r>
    <s v="Quipildor, Exequiel Imanol"/>
    <s v="ROBO (TENTATIVA) + ROBO SIMPLE, CONCURSO REAL"/>
    <s v="Art 437: 3/4/2023"/>
    <x v="1"/>
    <x v="25"/>
    <x v="5"/>
    <x v="1"/>
    <s v="Tribunal V - Sala 2"/>
    <s v="FP 4  Dr. Facundo Ruiz de los Llanos"/>
    <s v="DOP Dr. Di Bez"/>
  </r>
  <r>
    <s v="Puntano, Julio Alberto"/>
    <s v="ABUSO SEXUAL GRAVEMENTE ULTRAJANTE AGRAVADO POR EL VÍNCULO Y CONVIVENCIA "/>
    <m/>
    <x v="1"/>
    <x v="26"/>
    <x v="2"/>
    <x v="3"/>
    <s v="A definir"/>
    <s v="FP UDIS 2 - Dr. Gonzalez Miralpeix"/>
    <s v="Dr. Britos Astiqueta,  Marcelo"/>
  </r>
  <r>
    <s v="PAZ, RAMÓN FIDEL"/>
    <s v="CONCUSIÓN (ART. 266 CP)"/>
    <s v="Art 437: 28/4/2023"/>
    <x v="1"/>
    <x v="27"/>
    <x v="1"/>
    <x v="3"/>
    <s v="Tribunal V - Sala 1"/>
    <s v="FPDEC - Dra. Salinas"/>
    <s v="DOP 1 - Dr. Federico Gutierrez"/>
  </r>
  <r>
    <s v="Aguirre, Luis Alberto"/>
    <s v="ABUSO SEXUAL SIMPLE AGRAVADO POR EL VÍNCULO"/>
    <s v="Art 437 19/5/2023 - Art 441 Mismo decreto"/>
    <x v="1"/>
    <x v="4"/>
    <x v="13"/>
    <x v="5"/>
    <s v="A definir"/>
    <s v="UDIS 1 - Federico Obeid"/>
    <s v="DOP 10 - Dra.Bohuid"/>
  </r>
  <r>
    <s v="Rivera Gustavo Gabriel"/>
    <s v="ROBO AGRAVADO POR EL USO DE ARMAS (TENTATIVA)"/>
    <s v="Art 437 24/5/2023 - Art 441: Mismo decreto"/>
    <x v="0"/>
    <x v="4"/>
    <x v="14"/>
    <x v="4"/>
    <s v="Tribunal VI - Sala 1"/>
    <s v="FP 3 - Dr. Cordoba"/>
    <s v="Dr. Santiago Pedroza  (particular)"/>
  </r>
  <r>
    <s v="Loaiza, Sergio Daniel"/>
    <s v="Amenazas"/>
    <s v="Art 437: 18/5/2023 - Art 441: Mismo decreto"/>
    <x v="1"/>
    <x v="28"/>
    <x v="9"/>
    <x v="5"/>
    <s v="A definir"/>
    <s v="FP de Cerrillos - Dr. Portal"/>
    <s v="DOP 4 - Dr. Walter Clark"/>
  </r>
  <r>
    <s v="Dominguez, Claudio María"/>
    <s v="ROBO CALIFICADO DE VEHÍCULO DEJADO EN LA VÍA PÚBLICA (DOS HECHOS) - CONCURSO REAL"/>
    <s v="Art 437: 29/5/2023 - Art 441: Mismo decreto"/>
    <x v="0"/>
    <x v="5"/>
    <x v="13"/>
    <x v="5"/>
    <s v="A definir"/>
    <s v="FP 5 Dr. Federico Jovanovics"/>
    <s v="DOP 5 - Marta Lopez"/>
  </r>
  <r>
    <s v="Sagayo, Leonardo Gabriel"/>
    <s v="ROBO AGRAVADO POR EL USO DE ARMAS + ROBO EN POBLADO Y EN BANDA + COACCIÓN"/>
    <s v="Art 437: 29/5/2023 - Art 441: Mismo decreto"/>
    <x v="1"/>
    <x v="29"/>
    <x v="8"/>
    <x v="4"/>
    <s v="Tribunal VI - Sala 1"/>
    <s v="FP 5 Dr. Federico Jovanovics"/>
    <s v="DOP 4 - Dr. Walter Clark"/>
  </r>
  <r>
    <s v="Unco, Juen Carlos - Luna, Michel Sergio - Geronimo, Cintia Janeth (3 IMP)"/>
    <s v="ROBO EN POBLADO Y EN BANDA"/>
    <s v="Art 437: 29/5/2023 - Art 441: Mismo decreto"/>
    <x v="1"/>
    <x v="7"/>
    <x v="13"/>
    <x v="6"/>
    <s v="Tribunal V - Sala 3"/>
    <s v="FP 3 - Dr. Cordoba"/>
    <s v="DR. MIGUEL NICOLÁS FERNÁNDEZ (por Unco y Janet) + DR. ARNEDO (por Unco, codefensa) + DR. BELBRUNO (por Luna)"/>
  </r>
  <r>
    <s v="Unco, Juen Carlos - Luna, Michel Sergio - Geronimo, Cintia Janeth (3 IMP)"/>
    <s v="ROBO EN POBLADO Y EN BANDA"/>
    <s v="Art 437: 29/5/2023 - Art 441: Mismo decreto"/>
    <x v="0"/>
    <x v="8"/>
    <x v="13"/>
    <x v="6"/>
    <s v="A definir"/>
    <s v="FP 3 - Dr. Cordoba"/>
    <s v="DR. MIGUEL NICOLÁS FERNÁNDEZ (por Unco y Janet) + DR. ARNEDO (por Unco, codefensa) + DR. BELBRUNO (por Luna)"/>
  </r>
  <r>
    <s v="Aguirre, Luis Alberto"/>
    <s v="ABUSO SEXUAL SIMPLE AGRAVADO POR EL VÍNCULO"/>
    <s v="Art 437 19/5/2023 - Art 441 Mismo decreto"/>
    <x v="1"/>
    <x v="30"/>
    <x v="12"/>
    <x v="5"/>
    <s v="A definir"/>
    <s v="UDIS 1 - Federico Obeid"/>
    <s v="DOP 10 - Dra.Bohuid"/>
  </r>
  <r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31"/>
    <x v="8"/>
    <x v="6"/>
    <s v="Tribunal VI - Sala 1"/>
    <s v="FP VFG 3 - Dra. Gabriela Davalos"/>
    <s v="Dra. Nilda Emilse Garnica"/>
  </r>
  <r>
    <s v="Alvarez, Jorge Maximiliano"/>
    <s v="DESOBEDIENCIA JUDICIAL, AMENAZAS, INCUMPLIMIENTO DE LOS DEBERES DE ASISTENCIA FAMILIAR "/>
    <s v="Art 437: 2/6/2023 - Art 441: Mismo Decreto"/>
    <x v="1"/>
    <x v="31"/>
    <x v="14"/>
    <x v="1"/>
    <s v="Tribunal V - Sala 3"/>
    <s v="FP VFG 2 - Dra. Sodero Calvet"/>
    <s v="DOP 9 - Dr. Sangari"/>
  </r>
  <r>
    <s v="Calpanchay, Joel Javier"/>
    <s v="AMENAZAS"/>
    <m/>
    <x v="0"/>
    <x v="11"/>
    <x v="11"/>
    <x v="1"/>
    <s v="Tribunal V - Sala 3"/>
    <s v="FP 1 Dr. Pablo Paz"/>
    <s v=" "/>
  </r>
  <r>
    <s v="Coria, Lautaro Enrique Esteban"/>
    <s v="ROBO CALIFICADO POR EFRACCIÓN"/>
    <s v="Art 437: 31/05/2023 - Art 441: Mismo decreto"/>
    <x v="1"/>
    <x v="32"/>
    <x v="11"/>
    <x v="3"/>
    <s v="Tribunal V - Sala 3"/>
    <s v="FP 6 Dr. Analía Adet Figueroa"/>
    <s v="DOP 11 - Dr. Pedro Curotto"/>
  </r>
  <r>
    <s v="Basilio Flores, Claudia Esther"/>
    <s v="DESOBEDIENCIA JUDICIAL "/>
    <s v="Art 437: 22/05/2023 - Art 441: Mismo decreto"/>
    <x v="2"/>
    <x v="33"/>
    <x v="6"/>
    <x v="1"/>
    <s v="Tribunal V - Sala 1"/>
    <s v="FP VFG 5. Dra. Liliana Jorge"/>
    <s v="DOP 10 - Dra.Bohuid"/>
  </r>
  <r>
    <s v="Castillo, Luis Fabian"/>
    <s v="Robo simple"/>
    <s v="Art 437: 30/06/2023 - Art 441: Mismo decreto"/>
    <x v="0"/>
    <x v="34"/>
    <x v="14"/>
    <x v="5"/>
    <s v="Tribunal VI - Sala 1"/>
    <s v="FP 6 Dr. Analía Adet Figueroa"/>
    <s v="DOP 16 - Dra. Carrizo Reyes"/>
  </r>
  <r>
    <s v="Motenegro, Eduardo Saúl"/>
    <s v="VIOLACIÓN DE DOMICILIO, LESIONES LEVES AGRAVADAS POR LA RELACIÓN DE PAREJA PREVIA Y POR EL GÉNERO Y AMENAZAS, EN CONCURSO REAL"/>
    <s v="Art 437: 12/6/2023 - Art 441: Mismo decreto"/>
    <x v="0"/>
    <x v="35"/>
    <x v="8"/>
    <x v="3"/>
    <s v="Tribunal V - Sala 1"/>
    <s v="FP VFG 5. Dra. Liliana Jorge"/>
    <s v="DOP 4 - Dr. Walter Clark"/>
  </r>
  <r>
    <s v="Garníca, Juan Ramón"/>
    <s v="ABUSO SEXUAL GRAVEMENTE ULTRAJANTE (4 HECHOS)  Y ABUSO SEXUAL CON ACCESO CARNAL"/>
    <s v="Art 437: 13/03/2023 - Notificados 14/03/2023 -       VENCE: 30/03/2023 - Art 441: 30/3/2023"/>
    <x v="1"/>
    <x v="36"/>
    <x v="19"/>
    <x v="3"/>
    <s v="Tribunal V - Sala 1"/>
    <s v="UDIS 1 - Federico Obeid"/>
    <s v="Dr. Solá Garrido"/>
  </r>
  <r>
    <s v="Gallardo Mariel Eugenia"/>
    <s v="HURTO SIMPLE"/>
    <s v="Art. 437: 15/03/2023 CON FIJACION DE AUDIENCIA POR PRESENTACION DE ACUERDO DE JUICIO ABREVIADO EN FECHA 15/03/2023"/>
    <x v="3"/>
    <x v="37"/>
    <x v="20"/>
    <x v="0"/>
    <s v="Tribunal V - Sala 1"/>
    <s v="FP de Cerrillos - Dr. Portal"/>
    <s v="Dr. Cueto Diaz"/>
  </r>
  <r>
    <s v="VAICONTE, ALDANA GISELA Y GAUNA, CLAUDIA ALEJANDRA"/>
    <s v="TENENCIA DE ESTUPEFACIENTES CON FINES DE COMERCIALIZACIÓN "/>
    <s v="Art. 437: LLEGAN DE LA SALA IV CON TRÁMITE AVANZADO, SE SORTEA NUEVO TRIBUNAL POR ABREVIADO FRUSTRADO"/>
    <x v="4"/>
    <x v="38"/>
    <x v="9"/>
    <x v="1"/>
    <s v="Tribunal V - Sala 2"/>
    <s v="UFINAR - Dr. Torres Rubelt"/>
    <s v="Dr. Horacio Daniel Morales"/>
  </r>
  <r>
    <s v="Sayagua, Gustavo Roberto"/>
    <s v="HURTO CALIFICADO  POR USO DE LLAVE VERDADERA"/>
    <s v="Art 437:   27/02/2023 - Notificado 28/02/23 - VENCE: 15/03/2023  - Art 441: 23/3/2023"/>
    <x v="3"/>
    <x v="39"/>
    <x v="1"/>
    <x v="3"/>
    <s v="Tribunal V - Sala 1"/>
    <s v="FP 4  Dr. Facundo Ruiz de los Llanos"/>
    <s v="DOP Dr. Di Bez"/>
  </r>
  <r>
    <s v="Quispe, Juan Jose Maciel"/>
    <s v="ROBO SMPLE"/>
    <s v="Art. 437: 13/03/2023 - Notificados 14/03/2023 - VENCE: 30/03/2023 - Art"/>
    <x v="5"/>
    <x v="40"/>
    <x v="20"/>
    <x v="3"/>
    <s v="Tribunal V - Sala 1"/>
    <s v="FP 1 Dr. Pablo Paz"/>
    <s v="DOP 4 - Dr. Walter Clark"/>
  </r>
  <r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4"/>
    <x v="36"/>
    <x v="19"/>
    <x v="0"/>
    <s v="Tribunal V - Sala 3"/>
    <s v="FP VFG 1 - Dra. Geria"/>
    <s v="DOP 15 - Dr. Bonetto"/>
  </r>
  <r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4"/>
    <x v="41"/>
    <x v="6"/>
    <x v="1"/>
    <s v="Tribunal V - Sala 2"/>
    <s v="FP VFG 2 - Dra. Sodero Calvet"/>
    <s v="DOP 17 - Dr. Genovese "/>
  </r>
  <r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4"/>
    <x v="42"/>
    <x v="2"/>
    <x v="0"/>
    <s v="Tribunal V - Sala 3"/>
    <s v="FP 2 - Dr. Ramos Ossorio "/>
    <s v="DOP 8 - Dra. Cecilia Martinez"/>
  </r>
  <r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3"/>
    <x v="43"/>
    <x v="2"/>
    <x v="0"/>
    <s v="Tribunal V - Sala 3"/>
    <s v="UDIS 4 - Dr. Pablo Rivero"/>
    <s v="Dr. Arias, Armando Jorge"/>
  </r>
  <r>
    <s v="Villalba, Nicolás Carlos"/>
    <s v="TENENCIA DE ESTUPEFACIENTES CON FINES DE COMERCIALIZACIÓN "/>
    <s v="Art 437: 27/03/2023 - Art 441: 21/4/2023"/>
    <x v="3"/>
    <x v="44"/>
    <x v="1"/>
    <x v="3"/>
    <s v="Tribunal V - Sala 1"/>
    <s v="UFINAR - Dr. Torres Rubelt"/>
    <s v="DR. LUCIANO ROMANO Y DRA. LAURA FLORES MEJÍA"/>
  </r>
  <r>
    <s v="Quinteros, Diego Fernando"/>
    <s v="ABUSO SEXUAL CON ACCESO CARNAL AGRAVADO POR SER COMETIDO POR PERSONAL DE FUERZAS POLICIALES"/>
    <s v="Art 437: 07/03/2023 - Notificados 09/03/23 - VENCE: 27/03/23 - Art 441: 29/03/2023 - Notificados 29/03/2023"/>
    <x v="4"/>
    <x v="45"/>
    <x v="1"/>
    <x v="1"/>
    <s v="Tribunal V - Sala 2"/>
    <s v="FP UDIS 2 - Dr. Gonzalez Miralpeix"/>
    <s v="Dra. Eugenia Yaique"/>
  </r>
  <r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3"/>
    <x v="46"/>
    <x v="1"/>
    <x v="0"/>
    <s v="Tribunal V - Sala 3"/>
    <s v="UDIS 1 - Federico Obeid"/>
    <s v="Dr. Federíco Herrera"/>
  </r>
  <r>
    <s v="Rodríguez, Vñictor Daniel"/>
    <s v="ABUSO SEXUAL GRAVEMENTE ULTRAJANTE (18/05/2023) JUICIO ABREVIADO - CAMBIO CALIF "/>
    <s v="Ar 437: 27/03/23 - Art 441: 20/4/2023"/>
    <x v="3"/>
    <x v="47"/>
    <x v="7"/>
    <x v="0"/>
    <s v="Tribunal V - Sala 3"/>
    <s v="FP UDIS 3 - Dra. Flores Toranzo"/>
    <s v="Dr. Luciano Romano (particular)"/>
  </r>
  <r>
    <s v="Figueroa, Angel Rafael"/>
    <s v="ROBO AGRAVADO POR USO DE ARMA"/>
    <s v="Art 437: 24/05/2023 - Art 441: 5/5/2023"/>
    <x v="4"/>
    <x v="48"/>
    <x v="1"/>
    <x v="1"/>
    <s v="Tribunal V - Sala 2"/>
    <s v="FP 6 Dr. Analía Adet Figueroa"/>
    <s v="DOP 17 - Dr. Genovese "/>
  </r>
  <r>
    <s v="Canaza, Julian Cesar - Subia Sulva, Manuel Humberto - Vedia Jimenez, Angel Mariano"/>
    <s v="ROBO SIMPLE"/>
    <s v="Art 437: 16/5/2023 - Art 441: Mismo decreto"/>
    <x v="4"/>
    <x v="49"/>
    <x v="13"/>
    <x v="1"/>
    <s v="Tribunal V - Sala 3"/>
    <s v="FP de Cerrillos - Dr. Portal"/>
    <s v="DR. SERGIO AGUSTÍN ALEMÁN (Para Canaza) - DOP 2 ( Para Vedia y Subia)"/>
  </r>
  <r>
    <s v="Hoyos Ramirez, Leones Alexis"/>
    <s v="LESIONES CULPOSAS AGRAVADAS POR HABERSE DADO A LA FUGA Y LESIONES LEVES EN C.R. "/>
    <m/>
    <x v="4"/>
    <x v="50"/>
    <x v="7"/>
    <x v="1"/>
    <s v="Tribunal V - Sala 2"/>
    <s v="FP 2 - Dr. Ramos Ossorio "/>
    <s v="Dr. Torres, Jorge"/>
  </r>
  <r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2"/>
    <x v="51"/>
    <x v="7"/>
    <x v="1"/>
    <s v="Tribunal V - Sala 2"/>
    <s v=" "/>
    <s v=" "/>
  </r>
  <r>
    <s v="González, Darío Oscar"/>
    <s v="ABUSO SEXUAL SIMPLE AGRAVADO"/>
    <s v="Art 437:   27/02/2023 - Notificado 28/02/23 - VENCE:15/03/2023 - Art 441: 16/03/2023 - Notificado 22/03/23 - VENCE: 11/04/2023"/>
    <x v="4"/>
    <x v="52"/>
    <x v="1"/>
    <x v="1"/>
    <s v="Tribunal V - Sala 2"/>
    <s v="UDIS 1 - Federico Obeid"/>
    <s v="Dr. Orfeo Maggio - (particular)"/>
  </r>
  <r>
    <s v="Alfaro, Jaime"/>
    <s v="ABUSO SEXUAL SIMPLE CALIFICADO + EXHIBICIONES OBSENAS A MENORES"/>
    <s v="Art 437: 12/5/2023 - Art 441: Mismo decreto"/>
    <x v="3"/>
    <x v="52"/>
    <x v="5"/>
    <x v="1"/>
    <s v="Tribunal V - Sala 2"/>
    <s v="UDIS 1 - Federico Obeid"/>
    <s v="Dr. Vercellino, Vicente"/>
  </r>
  <r>
    <s v="AYBAR, FEDERICO MAURICIO"/>
    <s v="ROBO AGRAVADO POR EL USO DE ARMA (TENTATIVA)"/>
    <s v="Art 437: 26/4/2023"/>
    <x v="3"/>
    <x v="53"/>
    <x v="7"/>
    <x v="3"/>
    <s v="Tribunal V - Sala 1"/>
    <s v="FP 5 Dr. Federico Jovanovics"/>
    <s v="DOP Dr. Di Bez"/>
  </r>
  <r>
    <s v="Izaguirre, Guillermo Omar"/>
    <s v="ABUSO SEXUAL GRAVEMENTE ULTRAJANTE AGRAVADO POR MENOR DE EDAD, CONVIVENCIA Y GUARDA "/>
    <s v="Art 437: 25/04/2023"/>
    <x v="3"/>
    <x v="54"/>
    <x v="1"/>
    <x v="0"/>
    <s v="Tribunal V - Sala 3"/>
    <s v="FP UDIS 3 - Flores Toranzo "/>
    <s v="DOP 13 - Dra. Sandra Ortiz"/>
  </r>
  <r>
    <s v="Paz, Mario Alejandro"/>
    <s v="COACCIÓN, LESIONES AGRAVADAS, PRIVAICOÓN ILEGÍTIMA DE LA LIBERTAD AGRAVADA, DESOBEDIENCIA JUDICIAL, EN CONCURSO IDEAL +  AMENAZAS, CONCURSO REAL"/>
    <s v="Art 437: 17/5/2023- Art 441: Mismo decreto"/>
    <x v="2"/>
    <x v="27"/>
    <x v="11"/>
    <x v="1"/>
    <s v="Tribunal V - Sala 2"/>
    <s v="FP Gral. Güemes - Dr. Vilar Rey "/>
    <s v="Dr. Guzmán Barrionuevo, Rubén Antonio"/>
  </r>
  <r>
    <s v="Ceballos, Ignacio Federico"/>
    <s v="AMENAZAS"/>
    <s v="Art 437: 25/4/2023"/>
    <x v="1"/>
    <x v="55"/>
    <x v="1"/>
    <x v="0"/>
    <s v="Tribunal V - Sala 3"/>
    <s v="FP VFG 1 - Dra. Geria"/>
    <s v="DOP 15 - Dr. Bonetto"/>
  </r>
  <r>
    <s v="ARIAS LÓPEZ, JESÚS LEONEL "/>
    <s v="ROBO AGRAVADO POR EL USO DE ARMA"/>
    <s v="Art 437: 10/4/2023 - Art 441: 26/04/2023 + NOTIFICACIONES AUDIENCIA"/>
    <x v="4"/>
    <x v="4"/>
    <x v="2"/>
    <x v="0"/>
    <s v="Tribunal V - Sala 3"/>
    <s v="FP 6 Dr. Analía Adet Figueroa"/>
    <s v="DOP 2 - Dra. Liliana Linares Moron"/>
  </r>
  <r>
    <s v="Flores, Hécto José"/>
    <s v="AMENAZAS CON ARMAS Y LESIONES LEVES "/>
    <s v="Art 437: 28/4/2023"/>
    <x v="1"/>
    <x v="28"/>
    <x v="1"/>
    <x v="3"/>
    <s v="Tribunal V - Sala 1"/>
    <s v="FP D.S.Lorenzo - Ramos Ossorio (i)"/>
    <s v="Dr. Raúl Alberto Mazza"/>
  </r>
  <r>
    <s v="Dominguez, Claudio María"/>
    <s v="ROBO CALIFICADO DE VEHÍCULO DEJADO EN LA VÍA PÚBLICA (DOS HECHOS) - CONCURSO REAL"/>
    <s v="Art 437: 29/5/2023 - Art 441: Mismo decreto"/>
    <x v="2"/>
    <x v="28"/>
    <x v="6"/>
    <x v="5"/>
    <s v="Tribunal VI - Sala 1"/>
    <s v="FP 5 Dr. Federico Jovanovics"/>
    <s v="DOP 5 - Marta Lopez"/>
  </r>
  <r>
    <s v="Lera, Facundo Anibal"/>
    <s v="ABUSO SEXUAL SIMPLE "/>
    <m/>
    <x v="3"/>
    <x v="5"/>
    <x v="6"/>
    <x v="3"/>
    <s v="Tribunal V - Sala 1"/>
    <s v="FP UDIS 3 - Dra. Flores Toranzo"/>
    <s v="Dr. Arancibia, Marcelo"/>
  </r>
  <r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2"/>
    <x v="29"/>
    <x v="1"/>
    <x v="0"/>
    <s v="Tribunal V - Sala 3"/>
    <s v="FP VFG 4 - Dra. Elisa Perez"/>
    <s v="DRES. MARTÍN D´ANDREA Y FEDERICO GENSEI HIGA"/>
  </r>
  <r>
    <s v="Miranda, Nicolás Martin"/>
    <s v="PRIVACIÓN ILEGÍTIMA DE LA LIBERTAD AGRAVADA "/>
    <s v="Art 437: 19/05/202 - Art 441: Mismo decreto"/>
    <x v="4"/>
    <x v="29"/>
    <x v="7"/>
    <x v="3"/>
    <s v="Tribunal V - Sala 1"/>
    <s v="FP VFG 1 - Dra. Geria"/>
    <s v="DOP 9 - Dr. Sangari"/>
  </r>
  <r>
    <s v="Gramajo, Héctor Mauricio"/>
    <s v="ABUSO SEXUAL CON ACCESO CARNAL"/>
    <s v="Art 437: 16/5/2023 - Art 441: Mismo decreto"/>
    <x v="2"/>
    <x v="6"/>
    <x v="2"/>
    <x v="0"/>
    <s v="Tribunal V - Sala 3"/>
    <s v="UDIS 4 - Dr. Pablo Rivero"/>
    <s v="DOP 5 - Marta Lopez"/>
  </r>
  <r>
    <s v="Perez, Victor Roberto"/>
    <s v="ABUSO SEXUAL CON ACCESO CARNAL CALIFICADO, COACCIÓN, EN CONCURSO REAL"/>
    <s v="Art 437: 17/5/2023 - Art 441: Mismo decreto"/>
    <x v="2"/>
    <x v="8"/>
    <x v="7"/>
    <x v="1"/>
    <s v="Tribunal V - Sala 2"/>
    <s v="UDIS 1 - Federico Obeid"/>
    <s v="Dra. Luisina Victoria Rivero"/>
  </r>
  <r>
    <s v="Zensazo, Ernesto Victor"/>
    <s v="Lesiones Agravadas"/>
    <s v="Art 437: 2/6/2023 - Art 441: Mismo decreto"/>
    <x v="4"/>
    <x v="30"/>
    <x v="9"/>
    <x v="1"/>
    <s v="Tribunal V - Sala 2"/>
    <s v="FP VFG 3 - Dra. Gabriela Davalos"/>
    <s v="DR. ROBERTO TESEYRA Y DR. DAVID LE FAVI"/>
  </r>
  <r>
    <s v="Arroyo Gutierrez, Ricardo Gerónimo"/>
    <s v="ROBO SIMPLE"/>
    <s v="Art 437: 5/6/2023 - Art 441: Mismo decreto"/>
    <x v="2"/>
    <x v="10"/>
    <x v="11"/>
    <x v="0"/>
    <s v="Tribunal V - Sala 3"/>
    <s v="FP 4  Dr. Facundo Ruiz de los Llanos"/>
    <s v="DOP 11 - Dr. Pedro Curotto"/>
  </r>
  <r>
    <s v="Alvarez, Jorge Maximiliano"/>
    <s v="DESOBEDIENCIA JUDICIAL, AMENAZAS, INCUMPLIMIENTO DE LOS DEBERES DE ASISTENCIA FAMILIAR "/>
    <s v="Art 437: 2/6/2023 - Art 441: Mismo decreto"/>
    <x v="4"/>
    <x v="10"/>
    <x v="11"/>
    <x v="1"/>
    <s v="Tribunal V - Sala 2"/>
    <s v="FP VFG 2 - Dra. Sodero Calvet"/>
    <s v="DOP 9 - Dr. Sangari"/>
  </r>
  <r>
    <s v="Oliva, Pablo Andres"/>
    <s v="COACCIÓN Y REDUCCIÓN A LA SERVIDUMBRE EN CONCURSO REAL"/>
    <s v="Art 437: 03/04/2023 - Notificados: 03/04/2023 - Vence: 20/04/2023"/>
    <x v="3"/>
    <x v="56"/>
    <x v="13"/>
    <x v="1"/>
    <s v="Tribunal V - Sala 2"/>
    <s v="FP VFG 2 - Dra. Sodero Calvet"/>
    <s v="DOP 12 - AUX. Dr. Martin Herrera"/>
  </r>
  <r>
    <s v="Villada, Sergio Ernesto"/>
    <s v="ROBO SIMPLE (TREINTA Y CINCO HECHOS)"/>
    <s v="Art 437: 31/5/2023 - Art 441: Mismo decreto"/>
    <x v="3"/>
    <x v="57"/>
    <x v="8"/>
    <x v="6"/>
    <s v="Tribunal VI - Sala 1"/>
    <s v="FP 6 Dr. Analía Adet Figueroa"/>
    <s v="Dr. Dante Humberto Montalbetti"/>
  </r>
  <r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4"/>
    <x v="11"/>
    <x v="11"/>
    <x v="6"/>
    <s v="Tribunal V - Sala 2"/>
    <s v="FP VFG 3 - Dra. Gabriela Davalos"/>
    <s v="Dra. Nilda Emilse Garnica"/>
  </r>
  <r>
    <s v="Figueroa, Brian Nazareno"/>
    <s v="HURTO CALIFICADO DE PRODUCTOS SEPARADOS DEL SUELO"/>
    <s v="Art 437: 25/04/2023"/>
    <x v="4"/>
    <x v="32"/>
    <x v="1"/>
    <x v="0"/>
    <s v="Tribunal V - Sala 3"/>
    <s v="FP Gral. Güemes - Dr. Vilar Rey "/>
    <s v="DOP 4 - Dr. Walter Clark"/>
  </r>
  <r>
    <s v="PAZ, RAMÓN FIDEL"/>
    <s v="CONCUSIÓN (ART. 266 CP)"/>
    <s v="Art 437: 28/4/2023"/>
    <x v="4"/>
    <x v="32"/>
    <x v="2"/>
    <x v="3"/>
    <s v="Tribunal V - Sala 1"/>
    <s v="FPDEC - Dra. Salinas"/>
    <s v="DOP 1 - Dr. Federico Gutierrez"/>
  </r>
  <r>
    <s v="Loaiza, Sergio Daniel"/>
    <s v="Amenazas"/>
    <s v="Art 437: 18/5/2023 - Art 441: Mismo decreto"/>
    <x v="3"/>
    <x v="33"/>
    <x v="21"/>
    <x v="5"/>
    <s v="Tribunal VI - Sala 1"/>
    <s v="FP de Cerrillos - Dr. Portal"/>
    <s v="DOP 4 - Dr. Walter Clark"/>
  </r>
  <r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2"/>
    <x v="58"/>
    <x v="5"/>
    <x v="6"/>
    <s v="Tribunal VI - Sala 1"/>
    <s v="FP 3 - Dr. Cordoba"/>
    <s v="DOP Dr. Di Bez"/>
  </r>
  <r>
    <s v="Ontiveros, Walter"/>
    <s v="ABUSO SEXUAL GRAVEMENTE ULTRAJANTE"/>
    <s v="Art 437: 01/06/2023 - Art 441: Mismo Decreto"/>
    <x v="4"/>
    <x v="58"/>
    <x v="9"/>
    <x v="1"/>
    <s v="Tribunal V - Sala 1"/>
    <s v="FP UDIS 3 - Dra. Flores Toranzo"/>
    <s v="DOP 8 - Dra. Cecilia Martinez"/>
  </r>
  <r>
    <s v="Unco, Juen Carlos - Luna, Michel Sergio - Geronimo, Cintia Janeth (3 IMP)"/>
    <s v="ROBO EN POBLADO Y EN BANDA"/>
    <s v="Art 437: 29/5/2023 - Art 441: Mismo decreto"/>
    <x v="2"/>
    <x v="59"/>
    <x v="13"/>
    <x v="6"/>
    <s v="Tribunal VI - Sala 1"/>
    <s v="FP 3 - Dr. Cordoba"/>
    <s v="DR. MIGUEL NICOLÁS FERNÁNDEZ (por Unco y Janet) + DR. ARNEDO (por Unco, codefensa) + DR. BELBRUNO (por Luna)"/>
  </r>
  <r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1"/>
    <x v="12"/>
    <x v="21"/>
    <x v="4"/>
    <s v="Tribunal VI - Sala 1"/>
    <s v="FP VFG 1 - Dra. Geria"/>
    <s v="Dra. Macarena Rosario Mendoza Salvatierra"/>
  </r>
  <r>
    <s v="Gasiuk, Gustavo Ronal"/>
    <s v="HURTO CALIFICADO (TENTATIVA)"/>
    <s v="Art 437: 16/6/2023 - Art 441: Mismo decreto"/>
    <x v="1"/>
    <x v="13"/>
    <x v="1"/>
    <x v="0"/>
    <s v="Tribunal V - Sala 3"/>
    <s v="FP 6 Dr. Analía Adet Figueroa"/>
    <s v="DOP Dr. Di Bez"/>
  </r>
  <r>
    <s v="Pastrana, Gonzalo Martín"/>
    <s v="ABUSO SEXUAL CON ACCESO CARNAL "/>
    <s v="Art 437. 16/03/2023 - Notificado 22/03/23 - VENCE: 11/04/2023"/>
    <x v="3"/>
    <x v="60"/>
    <x v="15"/>
    <x v="1"/>
    <s v="Tribunal V - Sala 1"/>
    <s v="FP UDIS 3 - Dra. Flores Toranzo"/>
    <s v="DOP de turno"/>
  </r>
  <r>
    <s v="Sotelo Miyo, Silvia Guadalupe"/>
    <s v="LESIONES AGRAVADAS, AMENAZAS CON ARMAS, DAÑOS (CONCURSO REAL)"/>
    <s v="Art 437: 21/6/2023 - Art 441: Mismo decreto"/>
    <x v="2"/>
    <x v="61"/>
    <x v="11"/>
    <x v="0"/>
    <s v="Tribunal V - Sala 3"/>
    <s v="FP 5 Dr. Federico Jovanovics"/>
    <s v="Dr. Orfeo Maggio - (particular)"/>
  </r>
  <r>
    <s v="Pérez, Liliana Noemí - Torres, Luis Alejandro - Pérez, Félix Javier"/>
    <s v="TENENCIA DE ESTUPEFACIENTES CON FINES DE COMERCIALIZACIÓN "/>
    <s v="Art 437: 18/5/2023 - Art 441: Mismo decreto"/>
    <x v="2"/>
    <x v="62"/>
    <x v="11"/>
    <x v="5"/>
    <s v="Tribunal VI - Sala 1"/>
    <s v="UFINAR - Dr. Lopez Soto"/>
    <s v="DR. BELBRUNO (POR TORRES) + DR. ADOLFO MARIANO SÁNCHEZ, POR PÉREZ LILIANA Y PÉREZ FÉLIX)"/>
  </r>
  <r>
    <s v="Huergo, Carlos Adrian"/>
    <s v="ADMINISTRACIÓN FRAUDULENTA + ESTAFAS REITERADAS (5 HECHOS) Y FALSIFICACIÓN DE DOCUMENTO PRIVADO - TODO EN CONCURSO REAL "/>
    <s v="Art 437: 13/6/2023 - Art 441: Mismo decreto"/>
    <x v="2"/>
    <x v="63"/>
    <x v="11"/>
    <x v="3"/>
    <s v="Tribunal V - Sala 1"/>
    <s v="FPDEC - Dra. Salinas"/>
    <s v="Dr. Orfeo Maggio - (particular)"/>
  </r>
  <r>
    <s v="Leal, Samuel Elías"/>
    <s v="EXHIBICIONES OBSCENAS (TRES HEHCOS) + ABUSO SEXUAL GRAVEMENTE ULTRAJANDRA (DOS HECHOS) + ABUSO SEXUAL CON ACCESO CARNAL (1 HECHO) AGRAVADO POR LA GUARDA "/>
    <s v="Art 437: 28/06/2023 - Art 441: Mismo decreto"/>
    <x v="2"/>
    <x v="64"/>
    <x v="13"/>
    <x v="5"/>
    <s v="Tribunal VI - Sala 1"/>
    <s v="UDIS 4 - Dr. Pablo Rivero"/>
    <s v="DRES. MELISA SILVINA ORTIZ CÉSPEDES + DR. GONZALO EMANUEL RAMOS"/>
  </r>
  <r>
    <s v="Cuevas, Alejo Gerardo - Cuevas, Noelia del Milagro"/>
    <s v="AMENAZAS + VIOLACIÓN DE DOMICILIO"/>
    <s v="Art 437: 27/06/2023 - Art 441: Mismo decreto"/>
    <x v="2"/>
    <x v="65"/>
    <x v="13"/>
    <x v="0"/>
    <s v="Tribunal V - Sala 1"/>
    <s v="FP Gral. Güemes - Dr. Vilar Rey "/>
    <s v="Dr. Horacio Daniel Morales"/>
  </r>
  <r>
    <s v="GUAYMAS, HUGO ORLANDO - MORALES, MARISEL RAMONA"/>
    <s v="COACCIÓN Y DESOBEDIENCIA JUDICIAL "/>
    <s v="Art 437: 8/6/2023 - Art 441: Mismo Decreto"/>
    <x v="1"/>
    <x v="14"/>
    <x v="11"/>
    <x v="4"/>
    <s v="Tribunal VI - Sala 1"/>
    <s v="FP de Cerrillos - Dr. Portal"/>
    <s v="UDP Nº 8 (POR GUAYMAS) Y UDP Nº 10 - DRA. BOHUID (POR MORALES)"/>
  </r>
  <r>
    <s v="Aguirre, Luis Alberto"/>
    <s v="ABUSO SEXUAL SIMPLE AGRAVADO POR EL VÍNCULO"/>
    <s v="Art 437 19/5/2023 - Art 441 Mismo decreto"/>
    <x v="3"/>
    <x v="15"/>
    <x v="14"/>
    <x v="5"/>
    <s v="Tribunal VI - Sala 1"/>
    <s v="UDIS 1 - Federico Obeid"/>
    <s v="DOP 10 - Dra.Bohuid"/>
  </r>
  <r>
    <s v="Arzadum, Omar Ismael"/>
    <s v="PRIVACIÓN ILEGÍTIMA DE LA LIBERTAD AGRAVADA + COACCIÓN + LESIONES AGRAVADAS + AMENAZAS CON ARMAS + AMENAZAS (CONCURSO REAL)"/>
    <s v="Art 437: 21/6/2023 - Art 441: Mismo decreto"/>
    <x v="2"/>
    <x v="66"/>
    <x v="7"/>
    <x v="0"/>
    <s v="Tribunal V - Sala 2"/>
    <s v="FP VFG 3 - Dra. Gabriela Davalos"/>
    <s v="DR. CRISTIAN PERALDA FALCÓN"/>
  </r>
  <r>
    <s v="PERDIGUERA, EMANUEL ALEJANDRO"/>
    <s v="TENENCIA DE ESTUPEFACIENTES CON FINES DE COMERCIALIZACIÓN "/>
    <s v="Art 437: 07/07/2023 - Art 441: Mismo decreto"/>
    <x v="4"/>
    <x v="66"/>
    <x v="12"/>
    <x v="6"/>
    <s v="A definir"/>
    <s v="UFINAR - Dr. Lopez Soto"/>
    <s v="Dr. Orfeo Maggio - (particular)"/>
  </r>
  <r>
    <s v="BALMACEDA, DANTE + BULACIO, JOAQUÍN + RASGIDO, LUIS"/>
    <s v="ROBO EN POBLADO Y BANDA (TENTATIVA)"/>
    <s v="Art 437: 14/07/2023 - Art 441: Mismo decreto"/>
    <x v="3"/>
    <x v="66"/>
    <x v="9"/>
    <x v="4"/>
    <s v="Tribunal VI - Sala 1"/>
    <s v="FP 1 Dr. Pablo Paz"/>
    <s v="DRA. LILIANA KARIAN AQUINO (POR BULACIO) - DR. SANTIAGO PEDROZA (POR RASJIDO) - UDP Nº 11 (DR. CUROTTO) "/>
  </r>
  <r>
    <s v="CARDOZO, LAUREANO WENCESLAO + RÍOS, FRANCO MICHEL ALEJANDRO + VELÁZQUEZ, DAIANA GISELA"/>
    <s v="VIOLACIÓN DE DOMICILIO, LESIONES LEVES, DAÑOS "/>
    <s v="Art 437: 21/6/2023 - Art 441: Mismo decreto"/>
    <x v="4"/>
    <x v="67"/>
    <x v="7"/>
    <x v="1"/>
    <s v="Tribunal V - Sala 1"/>
    <s v="FP Cerrilos - AUX. Dra. Valeria Tanjilevich"/>
    <s v="DOP 3 - Dra. Karina Peralta"/>
  </r>
  <r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2"/>
    <x v="67"/>
    <x v="9"/>
    <x v="1"/>
    <s v="A definir"/>
    <s v="FP VFG 3 - Dra. Gabriela Davalos"/>
    <s v="Dra. Palavecino, Maria Lis"/>
  </r>
  <r>
    <s v="Juarez Vargas, Ricardo Abel"/>
    <s v="ROBO SIMPLE (DOS HECHOS) CONCURSO REAL"/>
    <s v="Art 437: 16/6/2023 - Art 441: Mismo decreto"/>
    <x v="3"/>
    <x v="68"/>
    <x v="7"/>
    <x v="6"/>
    <s v="Tribunal VI - Sala 1"/>
    <s v="FP Rosario de Lerma. Dr. Escalante"/>
    <s v="DOP 3 - Dra. Karina Peralta"/>
  </r>
  <r>
    <s v="Brito, Cristian Esteban"/>
    <s v="ABUSO SEXUAL CON ACCESO CARNAL "/>
    <s v="Art 437: 1/6/2023 - Art 441: Mismo decreto"/>
    <x v="3"/>
    <x v="69"/>
    <x v="11"/>
    <x v="3"/>
    <s v="Tribunal V - Sala 2"/>
    <s v="UDIS 1 - Federico Obeid"/>
    <s v="DRES. VÍCTOR GUSTAVO ECHAZÚ Y DR. FRANCISCO HERRERA"/>
  </r>
  <r>
    <s v="POUSA CIANCIA, JUAN CRUZ"/>
    <s v="ROBO CALIFICADO POR EFRACCIÓN"/>
    <s v="Art 437: 07/07/2023 - Art 441: Mismo decreto"/>
    <x v="6"/>
    <x v="69"/>
    <x v="9"/>
    <x v="6"/>
    <s v="A definir"/>
    <s v="FP 2 - Dr. Ramos Ossorio "/>
    <s v="DOP 13 - Dra. Sandra Ortiz"/>
  </r>
  <r>
    <s v="Castillo, Héctor Rafael"/>
    <s v="TENENCIA DE ESTUPEFACIENTES CON FINES DE COMERCIALIZACIÓN "/>
    <s v="Art 437: 27/06/2023 - Art 441: Mismo decreto"/>
    <x v="4"/>
    <x v="18"/>
    <x v="21"/>
    <x v="1"/>
    <s v="Tribunal V - Sala 2"/>
    <s v="UFINAR - Dr. Lopez Soto"/>
    <s v="DOP 12 - Dra. Patricia Gonzalez"/>
  </r>
  <r>
    <s v="López, Luís Darío"/>
    <s v="ABUSO SEXUAL GRAVEMENTE ULTRAJANTE"/>
    <s v="Art 437: 13/6/2023 - Art 441: Mismo decreto"/>
    <x v="3"/>
    <x v="18"/>
    <x v="13"/>
    <x v="6"/>
    <s v="A definir"/>
    <s v="FP UDIS 2 - Dr. Gonzalez Miralpeix"/>
    <s v="Dr. Diaz Zabalaga, Luis Fernando"/>
  </r>
  <r>
    <s v="Cortez, Fernando Nicolas"/>
    <s v="ROBO SIMPLE "/>
    <s v="Art 437: 23/6/2023 - Art 441: Mismo decreto"/>
    <x v="2"/>
    <x v="70"/>
    <x v="8"/>
    <x v="4"/>
    <s v="Tribunal VI - Sala 1"/>
    <s v="FP 3 - Dr. Cordoba"/>
    <s v="DOP 2 - Dra. Liliana Linares Moron"/>
  </r>
  <r>
    <s v="LÓPEZ, LEONEL JOSÉ ROBERTO"/>
    <s v="LESIONES LEVES CALIFICADAS POR LA RELACIÓN PREEXISTENTE Y MEDIANDO VIOLENCIA DE GÉNERO"/>
    <s v="Art 437: 27/06/2023 - Art 441: Mismo decreto"/>
    <x v="4"/>
    <x v="70"/>
    <x v="14"/>
    <x v="0"/>
    <s v="Tribunal V - Sala 2"/>
    <s v="FP VFG 3 - Dra. Gabriela Davalos"/>
    <s v="DOP 16 - Dra. Carrizo Reyes"/>
  </r>
  <r>
    <s v="CHILO, DIEGO SEBASTIÁN - CHILO, DIEGO JESÚS"/>
    <s v="ROBO (DOS HECHOS EN CONCURSO REAL)"/>
    <s v="Art 437: 04/07/2023 - Art 441: Mismo decreto"/>
    <x v="2"/>
    <x v="20"/>
    <x v="13"/>
    <x v="0"/>
    <s v="Tribunal V - Sala 1"/>
    <s v="FP de Cerrillos - Dr. Portal"/>
    <s v="Dr. Rodríguez, Osvaldo Simón"/>
  </r>
  <r>
    <s v="Quiroga, Alexando Juan Facundo"/>
    <s v="DESOBEDIENCIA JUDICIAL "/>
    <s v="Art 437: 7/6/2023 - Art 441: Mismo decreto"/>
    <x v="3"/>
    <x v="20"/>
    <x v="14"/>
    <x v="4"/>
    <s v="Tribunal VI - Sala 1"/>
    <s v="FP VFG 3 - Dra. Gabriela Davalos"/>
    <s v="Dr. Hector Armando Leccese"/>
  </r>
  <r>
    <s v="Morillo, David Nicolas"/>
    <s v="AMENAZAS CON ARMA + DESOBEDIENCIA JUDICIAL + LESIONES LEVES AGRAVADAS POR EL GÉNERO Y POR LA RELACIÓN DE PAREJA"/>
    <s v="Art 437: 26/06/2023 - Art 441: Mismo decreto"/>
    <x v="4"/>
    <x v="21"/>
    <x v="11"/>
    <x v="3"/>
    <s v="A definir"/>
    <s v="FP VFG 1 - Dra. Geria"/>
    <s v="Dr. Pizarro Echeñique, Juan Manuel"/>
  </r>
  <r>
    <s v="Chocobar, Paulo Reinaldo Alejo"/>
    <s v="AMENAZAS + DESOBEDIENCIA JUDICIAL"/>
    <s v="Art 437. 28/06/2023 - Art 441: Mismo decreto"/>
    <x v="2"/>
    <x v="22"/>
    <x v="13"/>
    <x v="3"/>
    <s v="Tribunal V - Sala 2"/>
    <s v="FP El Carril - Dr. Portal"/>
    <s v="DOP 15 - Dr. Bonetto"/>
  </r>
  <r>
    <s v="Nogales, Carlos Ivan"/>
    <s v="DESOBEDIENCIA JUDICIAL (TRES HECHOS)"/>
    <s v="Art 437: 17/07/2023 - Art 441: Mismo decreto"/>
    <x v="3"/>
    <x v="71"/>
    <x v="22"/>
    <x v="6"/>
    <s v="A definir"/>
    <s v="FP VFG 3 - Dra. Gabriela Davalos"/>
    <s v="Dr. Gómez, Nicolás"/>
  </r>
  <r>
    <s v="ZERRUDO, MATÍAS MANUEL MIGUEL ÁNGEL"/>
    <s v="HOMICIDIO CULPOSO POR LA CONDUCCIÓN IMPRUDENTE, NEGLIGENTE O ANTIRREGLAMENTARO DE UN VEHICULO CON MOTOR  "/>
    <s v="Art 437: 07/07/2023 - Art 441: Mismo decreto"/>
    <x v="2"/>
    <x v="71"/>
    <x v="15"/>
    <x v="0"/>
    <s v="Tribunal V - Sala 1"/>
    <s v="GAP 1 - Dr. Leandro Flores"/>
    <s v="Dr. Guanca, Gustavo Alfonso"/>
  </r>
  <r>
    <s v="MERCADO, MARCELO EXEQUIEL "/>
    <s v="AMENZAS ( DOS HECHOS) Y DESOBEDIENCIA JUDICIAL (DOS HECHOS) "/>
    <s v="Art 437: 26/07/2023 - Art 441: Mismo decreto"/>
    <x v="4"/>
    <x v="71"/>
    <x v="23"/>
    <x v="4"/>
    <s v="Tribunal VI - Sala 1"/>
    <s v="FP VFG 1 - Dra. Geria"/>
    <s v="Dr. Vasquez, Hector Emiliano"/>
  </r>
  <r>
    <s v="Lamas, Walter Lucio"/>
    <s v="LESIONES LEVES CALIFICADAS POR LA RELACIÓN PREEXISTENTE Y MEDIANDO VIOLENCIA DE GÉNERO"/>
    <s v="Art 437: 27/06/2023 - Art 441: Mismo decreto"/>
    <x v="3"/>
    <x v="23"/>
    <x v="16"/>
    <x v="0"/>
    <s v="Tribunal V - Sala 1"/>
    <s v="FP Rosario de Lerma. Dr. Escalante"/>
    <s v="DOP 17 - Dr. Genovese "/>
  </r>
  <r>
    <s v="HUAITA, VÍCTOR ALEJANDRO"/>
    <s v="PRIVACIÓN ILEGÍTIMA DE LA LIBERTAD + AMENAZAS EN CONCURSO REAL AGRAVADO + DESOBEDIENCIA JUDICIAL (CONCURSO IDEAL TODO)"/>
    <s v="Art 437: 07/07/2023 - Art 441: Mismo decreto"/>
    <x v="3"/>
    <x v="72"/>
    <x v="13"/>
    <x v="3"/>
    <s v="Tribunal V - Sala 2"/>
    <s v="FP Gral. Güemes - Dr. Vilar Rey "/>
    <s v="DOP 8 - Dra. Cecilia Martinez"/>
  </r>
  <r>
    <s v="LAZARTE, GASTÓN EDUARDO"/>
    <s v="ABUSO SEXUAL SIMPLE EN CONCURSO REAL CON COACCIÓN"/>
    <s v="Art 437: 07/07/2023 - Art 441: Mismo decreto"/>
    <x v="2"/>
    <x v="72"/>
    <x v="13"/>
    <x v="6"/>
    <s v="Tribunal VI - Sala 1"/>
    <s v="UDIS 4 - Dr. Pablo Rivero"/>
    <s v="Dra. Saldaño, Luciana Milagro"/>
  </r>
  <r>
    <s v="CUELLAR, AMÉRICO CRISTIAN"/>
    <s v="DESOBEDIENCIA JUDICIAL"/>
    <s v="Art 437: 11/07/2023 - Art 441: Mismo decreto"/>
    <x v="4"/>
    <x v="72"/>
    <x v="24"/>
    <x v="3"/>
    <s v="Tribunal V - Sala 2"/>
    <s v="FP 1 Dr. Pablo Paz"/>
    <s v="DOP 9 - Dr. Sangari"/>
  </r>
  <r>
    <s v="PAZ, MACARENA BELÉN + PAZ, ALDANA PATRICIA"/>
    <s v="TENENCIA DE ESTUPEFACIENTES CON FINES DE COMERCIALIZACIÓN "/>
    <s v="Art 437: 07/07/2023 - Art 441: Mismo decreto"/>
    <x v="2"/>
    <x v="73"/>
    <x v="13"/>
    <x v="4"/>
    <s v="Tribunal VI - Sala 1"/>
    <s v="UFINAR - Dr. Torres Rubelt"/>
    <s v="Dr. Horacio Daniel Morales"/>
  </r>
  <r>
    <s v="RODRÍGUEZ PONCE, BRIAN JAVIER "/>
    <s v="PRIVACIÓN ILEGÍTIMA DE LA LIBERTAD AGRAVADA, AMENAZAS, HURTO Y DESOBEDIENCIA JUDICIAL EN CONCURSO REAL"/>
    <s v="Art 437: 07/07/2023 - Art 441: Mismo decreto"/>
    <x v="3"/>
    <x v="73"/>
    <x v="16"/>
    <x v="5"/>
    <s v="Tribunal VI - Sala 1"/>
    <s v="FP VFG 2 - Dra. Sodero Calvet"/>
    <s v="DOP 10 - Dra.Bohuid"/>
  </r>
  <r>
    <s v="López Borelli, Federico"/>
    <s v="AMENAZAS + DESOBEDIENCIA JUDICIAL EN CONCURSO REAL"/>
    <s v="Art 437: 29/06/2023 - Art 441: Mismo decreto"/>
    <x v="4"/>
    <x v="73"/>
    <x v="16"/>
    <x v="4"/>
    <s v="A definir"/>
    <s v="FP de Cerrillos - Dr. Portal"/>
    <s v="DOP 2 - Dra. Liliana Linares Moron"/>
  </r>
  <r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4"/>
    <x v="73"/>
    <x v="15"/>
    <x v="5"/>
    <s v="Tribunal VI - Sala 1"/>
    <s v="FP 3 - Dr. Cordoba"/>
    <s v="DOP 14 - Dra. Marcela Robles"/>
  </r>
  <r>
    <s v="Fernández, Franco Emanuel"/>
    <s v="ROBO CALIFICADO POR EL USO DE ARMAS "/>
    <s v="Art 437: 07/07/2023 - Art 441: Mismo decreto"/>
    <x v="4"/>
    <x v="74"/>
    <x v="14"/>
    <x v="6"/>
    <s v="Tribunal VI - Sala 1"/>
    <s v="FP 5 Dr. Federico Jovanovics"/>
    <s v="DOP 14 - Dra. Marcela Robles"/>
  </r>
  <r>
    <s v="OLIVERA, NELSON FRANCO EZEQUIEL "/>
    <s v="ROBO CALIFICADO POR LAS CIRCUNSTANCIAS DEL HURTO CALIFICADO "/>
    <s v="Art 437: 27/07/2023 - Art 441: Mismo decreto"/>
    <x v="3"/>
    <x v="74"/>
    <x v="24"/>
    <x v="0"/>
    <s v="Tribunal V - Sala 1"/>
    <s v="FP 5 Dr. Federico Jovanovics"/>
    <s v="Dr. Holver Martínez, Nelson"/>
  </r>
  <r>
    <s v="RÍOS IVÁN EMANUEL + RUIZ, ERNESTO JULIO ISMAEL"/>
    <s v="ROBO TRIPLEMENTE CALIFICADO POR SER COMETIDO EN POBLADO Y EN BANDA MEDIANTE LESIONES GRAVES Y POR EL USO DE ARMA"/>
    <s v="Art 437: 07/07/2023 - Art 441: Mismo decreto"/>
    <x v="2"/>
    <x v="34"/>
    <x v="13"/>
    <x v="3"/>
    <s v="A definir"/>
    <s v="FP 6 Dr. Analía Adet Figueroa"/>
    <s v="DR. MAGGIO (POR RUIZ) + DR. REYES ROBERTO ADRIÁN (POR RÍOS)"/>
  </r>
  <r>
    <s v="GUAYMAS VIVERO, WILLIAM ARIEL "/>
    <s v="GROOMING"/>
    <s v="Art 437: 27/07/2023 - Art 441: Mismo decreto"/>
    <x v="3"/>
    <x v="34"/>
    <x v="13"/>
    <x v="5"/>
    <s v="tribunal de impugnacion"/>
    <s v="FP UDIS 2 - Dr. Gonzalez Miralpeix"/>
    <s v="Dr. Galván, Martín Rodolfo"/>
  </r>
  <r>
    <s v="Jerez Zerpa, Esteban Ismael"/>
    <s v="AMENAZAS"/>
    <s v="Art 437: 21/6/2023 - Art 441: Mismo decreto"/>
    <x v="3"/>
    <x v="75"/>
    <x v="2"/>
    <x v="1"/>
    <s v="Tribunal V - Sala 2"/>
    <s v="FP VFG 5. Dra. Liliana Jorge"/>
    <s v="Dr. Ortin Fernandez (particular)"/>
  </r>
  <r>
    <s v="MAMANÍ AGUILAR, JUAN CARLOS"/>
    <s v="ABUSO SEXUAL GRAVEMENTE ULTRAJANTE AGRAVADO POR LA CONVIVENCIA CON MENOR DE 18 AÑOS (DOS HECHOS)"/>
    <s v="Art 437: 11/07/2023 - Art 441: Mismo decreto"/>
    <x v="4"/>
    <x v="75"/>
    <x v="9"/>
    <x v="4"/>
    <s v="Tribunal VI - Sala 1"/>
    <s v="FP UDIS 3 - Dra. Flores Toranzo"/>
    <s v="DOP 4 - Dr. Walter Clark"/>
  </r>
  <r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2"/>
    <x v="75"/>
    <x v="25"/>
    <x v="5"/>
    <s v="Tribunal VI - Sala 1"/>
    <s v="FP VFG 4 - Dra. Elisa Perez"/>
    <s v="DOP 4 - Dr. Walter Clark"/>
  </r>
  <r>
    <s v="SARMIENTO, EDUARDO JULIO "/>
    <s v="ABUSO SEXUAL SIMPLE CALIFICADO; CONCURSO REAL ART,55 ABUSO SEXUAL CON ACCESO CARNAL Y  CALIFICADO "/>
    <s v="Art 437: 28/07/2023 - Art 441: Mismo decreto"/>
    <x v="4"/>
    <x v="24"/>
    <x v="14"/>
    <x v="0"/>
    <s v="Tribunal V - Sala 2"/>
    <s v="FP UDIS 1 - Federico Obeid"/>
    <s v="Dr. Soto, Cristian Maximiliano"/>
  </r>
  <r>
    <s v="Puntano, Julio Alberto"/>
    <s v="ABUSO SEXUAL GRAVEMENTE ULTRAJANTE AGRAVADO POR EL VÍNCULO Y CONVIVENCIA "/>
    <m/>
    <x v="3"/>
    <x v="27"/>
    <x v="5"/>
    <x v="3"/>
    <s v="A definir"/>
    <s v="FP UDIS 2 - Dr. Gonzalez Miralpeix"/>
    <s v="Dr. Britos Astiqueta,  Marcelo"/>
  </r>
  <r>
    <s v="Aparicio, Roberto René - Trujillo Guzmán, Jorge Abraham"/>
    <s v="ESTAFA"/>
    <s v="Art 437: 12/6/2023 - Art 441: Mismo decreto"/>
    <x v="2"/>
    <x v="69"/>
    <x v="26"/>
    <x v="6"/>
    <s v="Tribunal VI - Sala 1"/>
    <s v="FPDEC - Dra. Salinas"/>
    <s v="Dr. Adet, Matías"/>
  </r>
  <r>
    <s v="ZERRUDO, MATÍAS MANUEL MIGUEL ÁNGEL"/>
    <s v="HOMICIDIO CULPOSO POR LA CONDUCCIÓN IMPRUDENTE, NEGLIGENTE O ANTIRREGLAMENTARO DE UN VEHICULO CON MOTOR  "/>
    <s v="Art 437: 07/07/2023 - Art 441: Mismo decreto"/>
    <x v="2"/>
    <x v="24"/>
    <x v="27"/>
    <x v="0"/>
    <s v="A definir"/>
    <s v="GAP 1 - Dr. Leandro Flores"/>
    <s v="Dr. Guanca, Gustavo Alfonso"/>
  </r>
  <r>
    <s v="ROJAS, FACUNDO ISAAC "/>
    <s v="TENENCIA DE ESTUPEFACIENTES CON FINES DE COMERCIALIZACIÓN Y PORTACION ILEGITIMA DE ARMA DE FUEGO DE USO CIVIL "/>
    <s v="Art 437: 03/08/2023 - Art 441: Mismo decreto"/>
    <x v="3"/>
    <x v="76"/>
    <x v="13"/>
    <x v="5"/>
    <s v="Tribunal VI - Sala 1"/>
    <s v="UFINAR - Dr. Torres Rubelt"/>
    <s v="Dr. Belbruno, Ricardo (MP 6015)"/>
  </r>
  <r>
    <s v="Guanuco, Angel Leandro"/>
    <s v="AMENAZAS"/>
    <s v="Art 437: 27/06/2023 - Art 441: Mismo decreto"/>
    <x v="2"/>
    <x v="76"/>
    <x v="25"/>
    <x v="1"/>
    <s v="Tribunal V - Sala 1"/>
    <s v="FP VFG 3 - Dra. Gabriela Davalos"/>
    <s v="DOP 10 - Dra.Bohuid"/>
  </r>
  <r>
    <s v="Rivera Gustavo Gabriel"/>
    <s v="ROBO AGRAVADO POR EL USO DE ARMAS (TENTATIVA)"/>
    <s v="Art 437: 24/5/2023 - Art 441: Mismo decreto"/>
    <x v="4"/>
    <x v="77"/>
    <x v="28"/>
    <x v="4"/>
    <s v="Tribunal VI - Sala 1"/>
    <s v="FP 3 - Dr. Cordoba"/>
    <s v="Dr. Santiago Pedroza  (particular)"/>
  </r>
  <r>
    <s v="Ibarra, Alvaro Leonel - Ibarra, Ivan Anibal"/>
    <s v="ROBO CALIFICADO POR PROVOCAR LESIONES GRAVES EN GRADO DE TENTATIVA"/>
    <s v="Art 437: 12/6/2023 - Art 441: Mismo decreto"/>
    <x v="2"/>
    <x v="78"/>
    <x v="11"/>
    <x v="3"/>
    <s v="Tribunal V - Sala 1"/>
    <s v="FP de Cerrillos - Dr. Portal"/>
    <s v="DR. JOSÉ MARÍA GUAIMAS  (POR IBARRA, ÁLVARO EN AMBAS CAUSAS Y TMB IBARRA, IVÁN)"/>
  </r>
  <r>
    <s v="DOS SANTOS, ARIEL NAHUEL "/>
    <s v="HURTO SIMPLE"/>
    <s v="Art 437: 03/07/2023 Art 441: Mismo decreto"/>
    <x v="4"/>
    <x v="78"/>
    <x v="29"/>
    <x v="1"/>
    <s v="Tribunal V - Sala 3"/>
    <s v="FP de Cerrillos - Dr. Portal"/>
    <s v="DOP 5 - Marta Lopez"/>
  </r>
  <r>
    <s v="VILLALBA, FLORENCIA VALERIA  "/>
    <s v="TENENCIA DE ESTUPEFACIENTES CON FINES DE COMERCIALIZACIÓN "/>
    <s v="Art 437: 07/07/2023 - Art 441: Mismo decreto"/>
    <x v="3"/>
    <x v="78"/>
    <x v="29"/>
    <x v="3"/>
    <s v="Tribunal V - Sala 1"/>
    <s v="UFINAR - Dr. Torres Rubelt"/>
    <s v="Dr. Romano- Luciano"/>
  </r>
  <r>
    <s v="VILTE, JAIRO MARCOS EMANUEL; MONTEROS, PABLO EZEQUIEL o EXEQUIEL "/>
    <s v="ROBO DOBLEMENTE CALIFICADO POR EL USO DE ARMA DE FUEGO Y DE SER COMETIDO POR   POBLADO Y EN BANDA "/>
    <s v="Art 437: 07/08/2023 - Art 441: Mismo decreto"/>
    <x v="3"/>
    <x v="79"/>
    <x v="13"/>
    <x v="0"/>
    <s v="A definir"/>
    <s v="UNICROH - Dra. Guzman"/>
    <s v="DOP 16 - Dra. Carrizo Reyes"/>
  </r>
  <r>
    <s v="MAGNO, HUGO HERNAN MILAGRO "/>
    <s v="DESOEDIENCIA JUDICIAL "/>
    <s v="Art 437: 25/07/2023 - Art 441: Mismo decreto"/>
    <x v="4"/>
    <x v="79"/>
    <x v="15"/>
    <x v="5"/>
    <s v="A definir"/>
    <s v="FP VFG 4 - Dra. Elisa Perez"/>
    <s v="DOP 13 - Dra. Sandra Ortiz"/>
  </r>
  <r>
    <s v="Castillo, Luis Fabian"/>
    <s v="Robo simple"/>
    <s v="Art 437: 30/06/2023 - Art 441: Mismo decreto"/>
    <x v="4"/>
    <x v="80"/>
    <x v="13"/>
    <x v="5"/>
    <s v="Tribunal V - Sala 3"/>
    <s v="FP 6 Dr. Analía Adet Figueroa"/>
    <s v="DOP 16 - Dra. Carrizo Reyes"/>
  </r>
  <r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2"/>
    <x v="80"/>
    <x v="15"/>
    <x v="5"/>
    <s v="A definir"/>
    <s v="FP VFG 5. Dra. Liliana Jorge"/>
    <s v="DOP 17 - Dr. Genovese "/>
  </r>
  <r>
    <s v="GUZMAN, MOISES GERARDO +  ARROYO, CRISTIAN ALBERTO "/>
    <s v="ROBO SIMPLE "/>
    <s v="Art 437: 25/07/2023 - Art 441: Mismo decreto"/>
    <x v="4"/>
    <x v="81"/>
    <x v="14"/>
    <x v="3"/>
    <s v="Tribunal V - Sala 3"/>
    <s v="FP 3 - Dr. Cordoba"/>
    <s v="DOP Nª13 Y DR MARTIN D&quot;ANDREA Y FEDERICO HENSEI HIGA "/>
  </r>
  <r>
    <s v="CHAVEZ, DIEGO + SORIANO, EMANUEL "/>
    <s v="ROBO SIMPLE + LESIONES -EVASION "/>
    <s v="Art 437: 21/07/2023 - Art 441: Mismo decreto"/>
    <x v="2"/>
    <x v="82"/>
    <x v="29"/>
    <x v="0"/>
    <s v="Tribunal V - Sala 2"/>
    <s v="FP D.S.Lorenzo - Analía Alisio"/>
    <s v="DOP 8 - Dra. Cecilia Martinez"/>
  </r>
  <r>
    <s v="RIZO, VICENTE -RIZO, JORGE ADRIAN "/>
    <s v="ABUSO SEXUAL CON ACCESO CARNAL Y CALIFICADO; COACCION "/>
    <s v="Art 437: 08/08/2023 - Art 441: Mismo decreto"/>
    <x v="4"/>
    <x v="83"/>
    <x v="14"/>
    <x v="0"/>
    <s v="Tribunal V - Sala 2"/>
    <s v="FP UDIS 4 - Dr. Pablo Rivero"/>
    <s v="DRES: SILVIA BLANCO  POR VICENTE RIZO( MP 6063)  Y DANIEL ARNEDO POR JORGE ANDRIAN RIZO (MP5427) "/>
  </r>
  <r>
    <s v="RENÉ, IGNACIO"/>
    <s v="ABUSO SEXUAL CON ACCESO CARNAL + ABUSO SEXUAL GRAVEMENTE ULTRAJANTE EN CONCURSO REAL"/>
    <s v="Art 437: 24/07/2023 - Art 441: Mismo decreto"/>
    <x v="3"/>
    <x v="83"/>
    <x v="9"/>
    <x v="5"/>
    <s v="A definir"/>
    <s v="FP UDIS 3 - Dra. Flores Toranzo"/>
    <s v="DOP 11 - Dr. Pedro Curotto"/>
  </r>
  <r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2"/>
    <x v="84"/>
    <x v="12"/>
    <x v="6"/>
    <s v="Tribunal V - Sala 2"/>
    <s v="FP UDIS 2 - Dr. Gonzalez Miralpeix"/>
    <s v="Dr. Damris Pereyra (MP 6814)"/>
  </r>
  <r>
    <s v="CAMARGO, BEATRIZ ZULMA "/>
    <s v="ESTAFA (DOS HECHOS) Y ESTAFA EN GRADO DE TENTATIVA (TRES HECHOS9 "/>
    <s v="Art 437 22/08/2023 - Art 441: mismo decreto "/>
    <x v="4"/>
    <x v="85"/>
    <x v="13"/>
    <x v="6"/>
    <s v="A definir"/>
    <s v="FISCALIA PENAL Nª 5 FEDERICO JOVANOVICS "/>
    <s v="DR: ORFEO MAGGIO "/>
  </r>
  <r>
    <s v="CARRASCO, DAMIAN FAUSTINO "/>
    <s v="ABUSO SEXUAL GRAVEMENTE ULTRAJANTE POR SU CIRCUNSTANCIA DE REALIZACION AGRAVADO POR LA GUARDA (DOS HECHOS) EN CONCURSO REAL "/>
    <s v="Art 437: 28/07/2023 - Art 441: Mismo decreto"/>
    <x v="3"/>
    <x v="85"/>
    <x v="29"/>
    <x v="6"/>
    <s v="Tribunal V - Sala 2"/>
    <s v="FP UDIS 4 - Dr. Pablo Rivero"/>
    <s v="Dr. Herrera, Gaston"/>
  </r>
  <r>
    <s v="Calpanchay, Joel Javier"/>
    <s v="AMENAZAS"/>
    <m/>
    <x v="2"/>
    <x v="85"/>
    <x v="25"/>
    <x v="1"/>
    <s v="Tribunal V - Sala 1"/>
    <s v="FP 1 Dr. Pablo Paz"/>
    <s v=" "/>
  </r>
  <r>
    <s v="PONS, RAÚL RUBÉN"/>
    <s v="LESIONES LEVES CALIFICADAS POR LA RELACIÓN PREEXISTENTE Y MEDIANDO VIOLENCIA DE GÉNERO + AMENAZAS EN CONCURSO REAL"/>
    <s v="Art 437: 03/07/2023 Art 441: Mismo decreto"/>
    <x v="2"/>
    <x v="86"/>
    <x v="13"/>
    <x v="4"/>
    <s v="A definir"/>
    <s v="FP de Cerrillos - Dr. Portal"/>
    <s v="DOP 6 - Lopez Figueroa, Benjamìn"/>
  </r>
  <r>
    <s v="NAVAMUEL, CARLOS ALBERTO"/>
    <s v="ROBO SIMPLE "/>
    <s v="Art 437: 30/06/2023 - Art 441: Mismo decreto"/>
    <x v="4"/>
    <x v="87"/>
    <x v="22"/>
    <x v="1"/>
    <s v="Tribunal V - Sala 1"/>
    <s v="FP 5 Dr. Federico Jovanovics"/>
    <s v="DOP 11 - Dr. Pedro Curotto"/>
  </r>
  <r>
    <s v="DELGADO, DIEGO EMLIANO "/>
    <s v="AMENAZAS Y DESOBEDICIENCIA JUDICIAL EN CONCURSO REAL "/>
    <s v="Art 437: 11/08/2023 - Art 441: Mismo decreto"/>
    <x v="2"/>
    <x v="87"/>
    <x v="15"/>
    <x v="6"/>
    <s v="Tribunal VI - Sala 1"/>
    <s v="FP D.S.Lorenzo - Analía Alisio"/>
    <s v="DOP 13 - Dra. Sandra Ortiz"/>
  </r>
  <r>
    <s v="LÓPEZ, LEONARDO JAVIER "/>
    <s v="ROBO EN GRADO DE TENTATIVA"/>
    <s v="Art 437: 24/03/2023 - Art 441:15/05/2023"/>
    <x v="3"/>
    <x v="87"/>
    <x v="9"/>
    <x v="3"/>
    <s v="Tribunal V - Sala 1"/>
    <s v="FP de Cerrillos - Dr. Portal"/>
    <s v="DOP 17 - Dr. Genovese "/>
  </r>
  <r>
    <s v="Motenegro, Eduardo Saúl"/>
    <s v="VIOLACIÓN DE DOMICILIO, LESIONES LEVES AGRAVADAS POR LA RELACIÓN DE PAREJA PREVIA Y POR EL GÉNERO Y AMENAZAS, EN CONCURSO REAL"/>
    <s v="Art 437: 12/6/2023 - Art 441: Mismo decreto"/>
    <x v="4"/>
    <x v="88"/>
    <x v="13"/>
    <x v="3"/>
    <s v="A definir"/>
    <s v="FP VFG 5. Dra. Liliana Jorge"/>
    <s v="DOP 4 - Dr. Walter Clark"/>
  </r>
  <r>
    <s v="BAIS LUCHINI, EDUARDO MAURICIO "/>
    <s v="ABUSO SEXUAL CON ACCESO CARNAL "/>
    <s v="Art 437 29/08/2023 Art 441 MISMO DECRETO "/>
    <x v="3"/>
    <x v="88"/>
    <x v="15"/>
    <x v="0"/>
    <s v="Tribunal V - Sala 3"/>
    <s v="FP UDIS 1 - Dr. Obeid"/>
    <s v="DOP 5 - Marta Lopez"/>
  </r>
  <r>
    <s v="ALFARO, MARCOS SEBASTIÁN + CHAILE, JUSTINA (DEFENSA: DR. ORFEO MAGGIO) "/>
    <s v="DEFRAUDACIÓN POR ADMINISTRACIÓN FRAUDULENTA "/>
    <s v="Art 437:  - Art 441: Mismo decreto"/>
    <x v="2"/>
    <x v="88"/>
    <x v="14"/>
    <x v="4"/>
    <s v="Tribunal VI - Sala 1"/>
    <s v="FPDEC - Dra. Salinas"/>
    <s v="Dr. Orfeo Maggio - (particular)"/>
  </r>
  <r>
    <s v="VAZQUEZ, JOSE ALEJANDRO "/>
    <s v="ABUSO SEXUAL SIMPLE CALIFICADO  "/>
    <s v="Art 437 22/08/2023 - Art 441: mismo decreto "/>
    <x v="1"/>
    <x v="88"/>
    <x v="9"/>
    <x v="3"/>
    <s v="Tribunal V - Sala 2"/>
    <s v="FP UDIS 1 - Dr. Obeid"/>
    <s v="DR: MASILLA DANIEL DAVID "/>
  </r>
  <r>
    <s v="Moreno, Ariel Alejandro"/>
    <s v="LESIONES LEVES "/>
    <s v="Art 437: 23/6/2023 - Art 441: Mismo decreto"/>
    <x v="4"/>
    <x v="89"/>
    <x v="13"/>
    <x v="1"/>
    <s v="Tribunal V - Sala 2"/>
    <s v="FP de Cerrillos - Dr. Portal"/>
    <s v="DOP Dr. Di Bez"/>
  </r>
  <r>
    <s v="Cardozo, Enrique Domingo"/>
    <s v="EXHIBICIONES OBSCENAS "/>
    <s v="Art 437: 21/06/2023 - Art 441: Mismo decreto"/>
    <x v="3"/>
    <x v="89"/>
    <x v="9"/>
    <x v="1"/>
    <s v="Tribunal V - Sala 1"/>
    <s v="UDIS 1 - Federico Obeid"/>
    <s v="Dr. Martin Vaca"/>
  </r>
  <r>
    <s v="SAJAMA, JUAN GUILLERMO "/>
    <s v="ABUSO SEXUAL CON ACCESO CARNAL  "/>
    <s v="Art 437 18/08/2023 Art 441mismo decreto "/>
    <x v="2"/>
    <x v="89"/>
    <x v="9"/>
    <x v="5"/>
    <s v="Tribunal VI - Sala 1"/>
    <s v="UDIS Nª 2 DR: GONZALO MIRALPEIX "/>
    <s v="DR: RICARDO BELBRUNO M.P 6015 "/>
  </r>
  <r>
    <s v="Basilio Flores, Claudia Esther"/>
    <s v="DESOBEDIENCIA JUDICIAL "/>
    <s v="Art 437: 22/05/2023 - Art 441: Mismo decreto"/>
    <x v="4"/>
    <x v="90"/>
    <x v="13"/>
    <x v="1"/>
    <s v="Tribunal V - Sala 2"/>
    <s v="FP VFG 5. Dra. Liliana Jorge"/>
    <s v="DOP 10 - Dra.Bohuid"/>
  </r>
  <r>
    <s v=" Morel, Javier Andres "/>
    <s v="COACCION Y COACCION CON ARMA (DOS HECHOS) "/>
    <s v="Art 437 22/08/2023 - Art 441: mismo decreto "/>
    <x v="3"/>
    <x v="90"/>
    <x v="13"/>
    <x v="3"/>
    <s v="Tribunal V - Sala 3"/>
    <s v="FP. VFG Nª 1 DRA: CLAUDIA GERIA "/>
    <s v="DOP Nª 5  "/>
  </r>
  <r>
    <s v="CARDOZO, JAVIER ENZO + GONZÁLEZ LÓPEZ, NICOLÁS EZEQUIEL + LERA, JONATHAN RAFAEL + SALVA, CRISTIAN OMAR + SALVA, NICOLÁS EDUARDO + SALVA, RAFAEL EDUARDO"/>
    <m/>
    <s v="Art 437: 20/07/2023 - Art 441: Mismo decreto"/>
    <x v="2"/>
    <x v="90"/>
    <x v="15"/>
    <x v="3"/>
    <s v="Tribunal V - Sala 1"/>
    <s v=" "/>
    <s v=" "/>
  </r>
  <r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2"/>
    <x v="90"/>
    <x v="15"/>
    <x v="3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AYARDE, WILFREDO "/>
    <s v="POR LESIONES LEVES AGRAVADAS POR LA RELACION DE PAREJA Y POR MEDIA VIOLENCIA DE GENERO Y COACCION, EN CONCURSO REAL "/>
    <s v="Art 437: 28/07/2023 - Art 441: Mismo decreto"/>
    <x v="4"/>
    <x v="90"/>
    <x v="14"/>
    <x v="4"/>
    <s v="Tribunal VI - Sala 1"/>
    <s v="FP Gral. Güemes - Dr. Vilar Rey "/>
    <s v="Dra. Altamirano, Rocio Sinahi"/>
  </r>
  <r>
    <s v="OSINAGA, OSCAR ANTONIO ; SANDOVAL, RENE ADOLFO "/>
    <s v="LESIONES AGRAVADAS; DAÑOS AGRAVADOS; AMENAZAS "/>
    <s v="Art 437 23/08/2023 Art 441 MISMO DECRETO "/>
    <x v="1"/>
    <x v="91"/>
    <x v="3"/>
    <x v="0"/>
    <s v="A definir"/>
    <s v="FP 5 Dr. Federico Jovanovics"/>
    <s v="DOP 9 -"/>
  </r>
  <r>
    <s v="ARAMAYO, JOSÉ ALBERTO"/>
    <s v="ABUSO SEXUAL CON ACCESO CARNAL + ABUSO SEXUAL SIMPLE"/>
    <s v="Art 437 07/08/2023 Art 441 MISMO DECRETO"/>
    <x v="4"/>
    <x v="91"/>
    <x v="14"/>
    <x v="3"/>
    <s v="Tribunal V - Sala 1"/>
    <s v="FP UDIS 3 - Dra. Sodero Calvet"/>
    <s v="Dr. Luis Fernando Díaz Zabalaga + Dr. Juan José Damuri"/>
  </r>
  <r>
    <s v="CORIA, LAUTARO ENRIQUE ESTEBAN "/>
    <s v="ROBO CALIFICADO POR EFRACCIÓN"/>
    <s v="Art 437: 31/05/2023 - Art 441: Mismo decreto"/>
    <x v="2"/>
    <x v="91"/>
    <x v="30"/>
    <x v="3"/>
    <s v="Tribunal V - Sala 1"/>
    <s v="FP 6 Dr. Analía Adet Figueroa"/>
    <s v="DOP 11 - Dr. Pedro Curotto"/>
  </r>
  <r>
    <s v="ROMERO, ARIEL RICARDO"/>
    <s v="RESISTENCIA A LA AUTORIDAD + DESOBEDIENCIA JUDICIAL EN CONCURSO REAL"/>
    <s v="Art 437:  05/07/2023 - Art 441: Mismo decreto"/>
    <x v="3"/>
    <x v="92"/>
    <x v="14"/>
    <x v="3"/>
    <s v="Tribunal V - Sala 1"/>
    <s v="FP Gral. Güemes - Dr. Vilar Rey "/>
    <s v="DOP 2 - Dra. Liliana Linares Moron"/>
  </r>
  <r>
    <s v="CHOQUE, FRANCISCO RAMON "/>
    <s v="ABUSO SEXUAL GRAVEMENTE ULTRAJANTE Y  CALIFICADO "/>
    <s v="Art 437: 04/08/2023 - Art 441: Mismo decreto"/>
    <x v="4"/>
    <x v="92"/>
    <x v="14"/>
    <x v="6"/>
    <s v="Tribunal VI - Sala 1"/>
    <s v="FP UDIS 3 - Dra. Sodero Calvet"/>
    <s v="Dr. Holver Martínez, Nelson"/>
  </r>
  <r>
    <s v="PAZ, MACARENA BELÉN + PAZ, ALDANA PATRICIA"/>
    <s v="TENENCIA DE ESTUPEFACIENTES CON FINES DE COMERCIALIZACIÓN "/>
    <s v="Art 437: 07/07/2023 - Art 441: Mismo decreto"/>
    <x v="2"/>
    <x v="92"/>
    <x v="24"/>
    <x v="4"/>
    <s v="Tribunal VI - Sala 1"/>
    <s v="UFINAR - Dr. Torres Rubelt"/>
    <s v="Dr. Horacio Daniel Morales"/>
  </r>
  <r>
    <s v="PEREZ, ANDRES ROBERTO "/>
    <s v="LESIONES AGRAVADS "/>
    <s v="Art 437: 11/08/2023 - Art 441: Mismo decreto"/>
    <x v="3"/>
    <x v="93"/>
    <x v="15"/>
    <x v="4"/>
    <s v="Tribunal VI - Sala 1"/>
    <s v="FP VFG 1 - Dra. Siemensen de Bielke"/>
    <s v="DOP 17 - Dr. Genovese "/>
  </r>
  <r>
    <s v="FABIAN, JOSE ALEJANDRO "/>
    <s v="COACCIONES AGRAVADAS POR USO DE ARMAS O ANONIMA "/>
    <s v="Art 437 17/08/2023- Art 441MISMO DECRETO "/>
    <x v="1"/>
    <x v="94"/>
    <x v="13"/>
    <x v="1"/>
    <s v="Tribunal V - Sala 3"/>
    <s v="FP VFG 3 - Dra. Gabriela Davalos"/>
    <s v="DOP 8 - Dra. Cecilia Martinez"/>
  </r>
  <r>
    <s v="VILTE, JORGE ANTONIO "/>
    <s v="FALSA DENUNCIA "/>
    <s v="Art 437  16/08/2023- Art 441 MISMO DECRETO "/>
    <x v="1"/>
    <x v="94"/>
    <x v="16"/>
    <x v="1"/>
    <s v="Tribunal V - Sala 3"/>
    <s v="FP 2 - Dr. Ramos Ossorio "/>
    <s v="DR: RAMIRO SEBASTIAN GUTIERREZ "/>
  </r>
  <r>
    <s v="Guitian, Mariano Alejandro"/>
    <s v="ABUSO SEXUAL GRAVEMENTE ULTRAJANTE Y CALIFICADO + COACCIÓN"/>
    <s v="Art 437: 21/6/2023 - Art 441: Mismo decreto"/>
    <x v="4"/>
    <x v="95"/>
    <x v="13"/>
    <x v="1"/>
    <s v="Tribunal V - Sala 2"/>
    <s v="FP UDIS 2 - Dr. Gonzalez Miralpeix"/>
    <s v="DOP 10 - Dra.Bohuid"/>
  </r>
  <r>
    <s v="ANAGUA, CARLOS ORLANDO"/>
    <s v="LESIONES LEVES AGRAVADAS POR LA RELACION DE PAREJA PREEXITENTE Y POR GÉNERO + AMENAZAS + DESOBEDIENCIA JUDIICAL EN CONCURSO REAL"/>
    <s v="Art 437: 06/07/2023 - Art 441: Mismo decreto"/>
    <x v="3"/>
    <x v="95"/>
    <x v="13"/>
    <x v="4"/>
    <s v="Tribunal VI - Sala 1"/>
    <s v="FP Gral. Güemes - Dr. Vilar Rey "/>
    <s v="DOP 15 - Dr. Bonetto"/>
  </r>
  <r>
    <s v="NAVIA, BRIAN ENZO LEONEL + RODRÍGUEZ, MAXIMILIANO EMANUEL"/>
    <s v="ROBO CALIFICADO POR ESCALAMIENTO "/>
    <s v="Art 437: 04/07/2023 - Art 441: Mismo decreto"/>
    <x v="4"/>
    <x v="96"/>
    <x v="13"/>
    <x v="1"/>
    <s v="Tribunal V - Sala 2"/>
    <s v="FP 6 Dr. Analía Adet Figueroa"/>
    <s v="DOP 6 - Lopez Figueroa, Benjamìn"/>
  </r>
  <r>
    <s v="Vega, Paulo Esteban"/>
    <s v="ABUSO SEXUAL SIMPLE AGRAVADO POR LA GUARDA, AMENAZAS CON ARMAS Y TURBACIÓN DE LA POSESIÓN TODO "/>
    <s v="Art 437: 21/6/2023 - Art 441: Mismo decreto"/>
    <x v="2"/>
    <x v="96"/>
    <x v="29"/>
    <x v="1"/>
    <s v="Tribunal V - Sala 2"/>
    <s v="UDIS 4 - Dr. Pablo Rivero"/>
    <s v="DOP 10 - Dra.Bohuid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97"/>
    <x v="31"/>
    <x v="1"/>
    <s v="Tribunal V - Sala 1"/>
    <s v="FP DDHH Dr. Gonzalez"/>
    <s v="DOP Nº 17 (POR DIEGO ARNALDO QUIROGA) - DRA. ALEJANDRA DEL VALLE (POR RIVAS, CANSINO, RODRÍGUEZBAÑAGASTA)"/>
  </r>
  <r>
    <s v="RAUL MARCIAL BALTAZAR "/>
    <s v="ABUSO SEXUAL SIMPLE AGRAVADO POR EL VINCULO Y LA CONVIVENCIA CON MENOR DE DIECIOCHO AÑOS "/>
    <s v="Art 437: 01/08/2023 - Art 441: Mismo decreto"/>
    <x v="4"/>
    <x v="98"/>
    <x v="14"/>
    <x v="4"/>
    <s v="Tribunal VI - Sala 1"/>
    <s v="FP UDIS 3 - Dra. Flores Toranzo"/>
    <s v="Dr. Estrada, Arnaldo Damian"/>
  </r>
  <r>
    <s v="CAMACHO, PABLO ANDRÉS - RAMOHA, JOSÉ ALBERTO ARMANDO - MARTÍNEZ, JOSÉ AUGUSTO "/>
    <s v="ROBO EN POBLADO Y EN BANDA"/>
    <s v="Art 437: 04/07/2023 - Art 441: Mismo decreto"/>
    <x v="1"/>
    <x v="0"/>
    <x v="0"/>
    <x v="3"/>
    <s v=" "/>
    <s v="FP 2 - Dr. Ramos Ossorio "/>
    <s v="DOP 6 - Lopez Figueroa, Benjamìn"/>
  </r>
  <r>
    <s v="VASQUEZ, FRANCO GABRIEL"/>
    <s v="HOMICIDIO CULPOSO"/>
    <s v="Art 437: 03/07/2023 Art 441: Mismo decreto"/>
    <x v="1"/>
    <x v="0"/>
    <x v="0"/>
    <x v="4"/>
    <s v=" "/>
    <s v="GAP 1 - Dr. Leandro Flores"/>
    <s v="DOP 4 - Dr. Walter Clark"/>
  </r>
  <r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1"/>
    <x v="0"/>
    <x v="0"/>
    <x v="3"/>
    <s v=" "/>
    <s v="FPDEC - Dra. Salinas"/>
    <s v="DR. MARCELO EDUARDO ARANCIBIA (POR DÍAZ ISELLA) + DR. RICARDO EDUARDO SEPÚLVEDA (POR ISELLA)"/>
  </r>
  <r>
    <s v="ORQUERA, MATÍAS ALEJANDRO + GARRIDO LLAVER, FACUNDO ELÍAS"/>
    <s v="ROBO CALIFICADO POR EL USO DE ARMAS (DOS HECHOS) - PARA ORQUERA + ROBO CALIFICADO POR EL USO DE ARMAS - PARA GARRIDO"/>
    <s v="Art 437: 07/07/2023 - Art 441: Mismo decreto"/>
    <x v="1"/>
    <x v="0"/>
    <x v="0"/>
    <x v="2"/>
    <s v=" "/>
    <s v="FP 5 Dr. Federico Jovanovics"/>
    <s v="DOP 11 - Dr. Pedro Curotto"/>
  </r>
  <r>
    <s v="VIVAS, JOSÉ LEONEL"/>
    <s v="ESTAFA"/>
    <s v="Art 437: 06/07/2023 - Art 441: Mismo decreto"/>
    <x v="1"/>
    <x v="0"/>
    <x v="0"/>
    <x v="3"/>
    <s v=" "/>
    <s v="FP 2 - Dr. Ramos Ossorio "/>
    <s v="Dr. Corregidor, Nicolas"/>
  </r>
  <r>
    <s v="TAPIA, RAMÓN GABRIEL"/>
    <s v="LEISONES AGRAVADAS + AMENAZAS + DAÑOS EN CONCURSO REAL"/>
    <s v="Art 437: 04/07/2023 - Art 441: Mismo decreto"/>
    <x v="1"/>
    <x v="0"/>
    <x v="0"/>
    <x v="1"/>
    <s v=" "/>
    <s v="FP Gral. Güemes - Dr. Vilar Rey "/>
    <s v="DOP 12 - Dra. Patricia Gonzalez"/>
  </r>
  <r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1"/>
    <x v="0"/>
    <x v="0"/>
    <x v="5"/>
    <s v=" "/>
    <s v="FP DDHH Dr. Gonzalez"/>
    <s v="Dr. Píntos Cordoba, Eduardo Esteban"/>
  </r>
  <r>
    <s v="RODRÍGUEZ, JOAQUÍN LEANDRO"/>
    <s v="AMENAZAS (DOS HECHOS) + DESOBEDIENCIA JUDICIAL (DOS HECHOS)"/>
    <s v="Art 437: 07/07/2023 - Art 441: Mismo decreto"/>
    <x v="1"/>
    <x v="0"/>
    <x v="0"/>
    <x v="2"/>
    <s v=" "/>
    <s v="FP VFG 1 - Dra. Geria"/>
    <s v="DOP 3 - Dra. Karina Peralta"/>
  </r>
  <r>
    <s v="RAMIREZ, ESTABAN ISRAEL "/>
    <s v="LESIONES AGRAVADAS POR  EL GENERO Y POR LA RELACION D PAREJA "/>
    <s v="Art 437: 26/07/2023 - Art 441: Mismo decreto"/>
    <x v="1"/>
    <x v="0"/>
    <x v="0"/>
    <x v="3"/>
    <s v=" "/>
    <s v="FP VFG 1 - Dra. Geria"/>
    <s v="Dr. López Figueroa, Jaime"/>
  </r>
  <r>
    <s v="TARRAGA, MODESTO ARTURO "/>
    <s v="ABUSO SEXUAL CON ACCESO CARNAL Y ABUSO SEXUAL SIMPLE EN CONCURSO REAL "/>
    <s v="Art 437: 28/07/2023 - Art 441: Mismo decreto"/>
    <x v="1"/>
    <x v="0"/>
    <x v="0"/>
    <x v="6"/>
    <s v=" "/>
    <s v="FP UDIS 1 - Dr. Obeid"/>
    <s v="Dra. Blanco, Silvia"/>
  </r>
  <r>
    <s v="WITTE, PATRICIO NICOLAS "/>
    <s v="LESIONES LEVES AGRAVADAS POR LA RELACION Y POR EL GENERO, PRIVACION  ILEGITIMA DE LA LIBERTAD AGRAVADA, AMENAZAS Y SAÑOS "/>
    <s v="Art 437: 07/08/2023 - Art 441: Mismo decreto"/>
    <x v="1"/>
    <x v="0"/>
    <x v="0"/>
    <x v="5"/>
    <s v=" "/>
    <s v="FP VFG 1 - Dra. Siemensen de Bielke"/>
    <s v="DOP 6 - Lopez Figueroa, Benjamìn"/>
  </r>
  <r>
    <s v="ECHAZU, JOSE DANIEL "/>
    <s v="ABUSO SEXUAL GRAVEMENTE ULTRAJANTE (DOS HECHOS) EN CONCURSO REAL "/>
    <s v="Art 437: 14/08/2023 - Art 441: Mismo decreto"/>
    <x v="1"/>
    <x v="0"/>
    <x v="0"/>
    <x v="4"/>
    <s v=" "/>
    <s v="FP UDIS 2 - Dr. Gonzalez Miralpeix"/>
    <s v="DOP 13 - Dra. Sandra Ortiz"/>
  </r>
  <r>
    <s v="ALANCAY, JUAN ALEJANDRO "/>
    <s v="AMENAZAS "/>
    <s v="Art 437: 07/08/2023 - Art 441: Mismo decreto"/>
    <x v="1"/>
    <x v="0"/>
    <x v="0"/>
    <x v="3"/>
    <s v=" "/>
    <s v="FP Gral. Güemes - Dr. Vilar Rey "/>
    <s v="DOP 6 - Lopez Figueroa, Benjamìn"/>
  </r>
  <r>
    <s v="GUTIERREZ, MARIANO AGUSTIN "/>
    <s v="ROBO SIMPLE EN GRADO DE TENTATIVA "/>
    <s v="Art 437: 03/08/2023 - Art 441: Mismo decreto"/>
    <x v="1"/>
    <x v="0"/>
    <x v="0"/>
    <x v="3"/>
    <s v=" "/>
    <s v="FP 2 - Dr. Ramos Ossorio "/>
    <s v="DOP 10 - Dra.Bohuid"/>
  </r>
  <r>
    <s v="GALLARDO, VALERIA NOEMI"/>
    <s v="VIOLACION DE DOMICILIO Y DAÑOS TODO ELLO EN CONCURSO REAL "/>
    <s v="Art 437: 10/08/2023 - Art 441: Mismo decreto"/>
    <x v="1"/>
    <x v="0"/>
    <x v="0"/>
    <x v="6"/>
    <s v=" "/>
    <s v="FP VFG 5. Dra. Liliana Jorge"/>
    <s v="DOP 17 - Dr. Genovese "/>
  </r>
  <r>
    <s v="GUAYMAS, SERGIO RAMON "/>
    <s v="LESIONES AGRAVADAS "/>
    <s v="Art 437: 08/08/2023 - Art 441: Mismo decreto"/>
    <x v="1"/>
    <x v="0"/>
    <x v="0"/>
    <x v="1"/>
    <s v=" "/>
    <s v="FP VFG 5. Dra. Liliana Jorge"/>
    <s v="DOP 17 - Dr. Genovese "/>
  </r>
  <r>
    <s v="SOSA, MAURICIO NADIR "/>
    <s v="LESIONES GRAVES "/>
    <s v="Art 437: 10/08/2023 - Art 441: Mismo decreto"/>
    <x v="1"/>
    <x v="0"/>
    <x v="0"/>
    <x v="3"/>
    <s v=" "/>
    <s v="FP Gral. Güemes - Dr. Vilar Rey "/>
    <s v="DOP 6 - Lopez Figueroa, Benjamìn"/>
  </r>
  <r>
    <s v="CORTEZ, FERNANDO NICOLÁS + BEJARANO, ARMANDO "/>
    <s v="TENTATIVA DE HURTO Y AMENAZAS EN CONCURSO REAL "/>
    <s v="Art: 437: 11/08/2023 - Art. 441: mismo decreto"/>
    <x v="1"/>
    <x v="0"/>
    <x v="0"/>
    <x v="2"/>
    <s v=" "/>
    <s v="FP 3 - Dr. Cordoba"/>
    <s v="DOP 16 - Dra. Carrizo Reyes"/>
  </r>
  <r>
    <s v="LEMOS, RICARDO LUIS"/>
    <s v="LESIONES AGRAVADAS"/>
    <s v="Art 437: 11/08/2023 - Art 441: Mismo decreto"/>
    <x v="1"/>
    <x v="0"/>
    <x v="0"/>
    <x v="3"/>
    <s v=" "/>
    <s v="FP VFG 2 - Dra. Sodero Calvet"/>
    <s v="DOP 14 - Dra. Marcela Robles"/>
  </r>
  <r>
    <s v="PACHECO, JAVIER ALEJANDRO "/>
    <s v="ROBO SIMPLE EN  GRADO DE TENTATIVA; HURTO CON ESCALAMIENTO EN GRADO DE TENTATIVA Y HURTO SIMPLE EN GRADO DE TENTATIVA "/>
    <s v="Art. 437: 10/08/2023- Art 441 mismo decreto "/>
    <x v="1"/>
    <x v="0"/>
    <x v="0"/>
    <x v="3"/>
    <s v=" "/>
    <s v="FP 3 - Dr. Cordoba"/>
    <s v="DOP 10 - Dra.Bohuid"/>
  </r>
  <r>
    <s v="López, Marcelo Enrique"/>
    <s v="AMENAZAS + DAÑOS"/>
    <s v="Art 437: 23/08/2023 - Art 441: PENDIENTE"/>
    <x v="1"/>
    <x v="0"/>
    <x v="0"/>
    <x v="3"/>
    <s v=" "/>
    <s v="FP VFG 1 - Dra. Geria"/>
    <s v="DOP 6 - Lopez Figueroa, Benjamìn"/>
  </r>
  <r>
    <s v="Olmedo, Nicolas Daniel"/>
    <s v="COACCIÓN"/>
    <s v="Art 437: 12/6/2023 - Art 441: Mismo decreto"/>
    <x v="2"/>
    <x v="0"/>
    <x v="0"/>
    <x v="0"/>
    <s v=" "/>
    <s v="FP VFG 2 - Dra. Sodero Calvet"/>
    <s v="DOP 8 - Dra. Cecilia Martinez"/>
  </r>
  <r>
    <s v="LOPEZ HEREDIA, JOSE CARLOS "/>
    <s v="DESOBEDIENCIA JUDICIAL, VIOLACION DE DOMICILIO, AMENAZAS Y ROBO TODO EN CONCURSO REAL "/>
    <s v="Art 437 22/08/2023 - Art 441: mismo decreto "/>
    <x v="1"/>
    <x v="0"/>
    <x v="0"/>
    <x v="4"/>
    <s v=" "/>
    <s v="FPVG Nª 4 DRA: ELISA PEREZ "/>
    <s v="DOP Nª 6 DR: JAIME LOPEZ FIGUEROA "/>
  </r>
  <r>
    <s v="PEÑA, JUAN JOSE MAXILILIANO "/>
    <s v="AMENAZAS, AMENAZAS CON ARMA, HUERTO Y DESOBEDIENCIA JUDICIAL "/>
    <s v="Art 437 22/08/2023 - Art 441: mismo decreto "/>
    <x v="1"/>
    <x v="0"/>
    <x v="0"/>
    <x v="4"/>
    <s v=" "/>
    <s v="FP VFG 1 - Dra. Siemensen de Bielke"/>
    <s v="DOP 17 - Dr. Genovese "/>
  </r>
  <r>
    <s v="LAVAYEN, RODRIGO DAMIAN "/>
    <s v="AMENAZAS  "/>
    <s v="Art 437 24/08/2023-Art 441 MISMO DECRETO "/>
    <x v="1"/>
    <x v="0"/>
    <x v="0"/>
    <x v="4"/>
    <s v=" "/>
    <s v="FP 1 Dr. Pablo Paz"/>
    <s v="DOP 2 - Dra. Liliana Linares Moron"/>
  </r>
  <r>
    <s v="CHAZARRETA, JUAN MANUEL "/>
    <s v="ABUSOO SEXUAL SIMPLE; CONCURSO REAL ART.55 "/>
    <s v="Art 437 25/08/2023 MISMO DECRETO "/>
    <x v="1"/>
    <x v="0"/>
    <x v="0"/>
    <x v="0"/>
    <s v=" "/>
    <s v="FP UDIS 3 - Dra. Sodero Calvet"/>
    <s v="DR: VIDAL VILLALBA SAMANIEGO"/>
  </r>
  <r>
    <s v="PEREZ, MIGUEL ANGEL "/>
    <s v="AMENAZAS Y LESIONES LEVES EN CONCURSO REAL "/>
    <s v="Art 437 29/08/2023 Art 441 MISMO DECRETO "/>
    <x v="1"/>
    <x v="0"/>
    <x v="0"/>
    <x v="3"/>
    <s v=" "/>
    <s v="FP Cerrrilos Dra. Analia Adet "/>
    <s v="DOP 17 - Dr. Genovese "/>
  </r>
  <r>
    <s v="CUELLAR, JULIAN NAHIR; ROJAS, JUAN MAURICIO "/>
    <s v="HURTO CALIFICADO "/>
    <s v="Art 437  29/08/2023 Art 441 MISMO DECRETO "/>
    <x v="1"/>
    <x v="0"/>
    <x v="0"/>
    <x v="1"/>
    <s v=" "/>
    <s v="FP Gral. Güemes - Dr. Vilar Rey "/>
    <s v="DOP 16 - Dra. Carrizo Reyes"/>
  </r>
  <r>
    <s v="DIAZ, VANESA DANIELA "/>
    <s v="ABANDONO DE PERSONA AMENAZAS CON ARMAS LESIONES LEVES TODO ELLO EN CONCURSO REAL "/>
    <s v="Art 437 30/08/2023 Art 441 MISMO DECRETO "/>
    <x v="1"/>
    <x v="0"/>
    <x v="0"/>
    <x v="6"/>
    <s v=" "/>
    <s v="FP VFG 4 - Dra. Elisa Perez"/>
    <s v="DOP 14 - Dra. Marcela Robles"/>
  </r>
  <r>
    <s v="ORTEGA, ALVARO BENJAMIN "/>
    <s v="HURTO Y FALSA DENUNCIA "/>
    <s v="Art 437 29/08/2023 Art 441 MISMO DECRETO "/>
    <x v="1"/>
    <x v="0"/>
    <x v="0"/>
    <x v="5"/>
    <s v=" "/>
    <s v="FP Rosario de Lerma. Dr. Escalante"/>
    <s v="DOP 6 - Lopez Figueroa, Benjamìn"/>
  </r>
  <r>
    <s v="ALDERETE, PATRICIO JESUS "/>
    <s v="ROBO CALIFICADO POR EFRACCION EN GRADO DE TENTATIVA "/>
    <s v="Art 437 29/08/2023 Art 441 MISMO DECRETO "/>
    <x v="1"/>
    <x v="0"/>
    <x v="0"/>
    <x v="5"/>
    <s v=" "/>
    <s v="FP Gral. Güemes - Dr. Vilar Rey "/>
    <s v="DOP 6 - Lopez Figueroa, Benjamìn"/>
  </r>
  <r>
    <s v="HERRERA, RAMON EZEQUIEL "/>
    <s v="AMENAZAS. (CINCO HECHOS) "/>
    <s v="Art 437 31/08/2023 Art 441 MISMO DECRETO "/>
    <x v="1"/>
    <x v="0"/>
    <x v="0"/>
    <x v="0"/>
    <s v=" "/>
    <s v="FP VFG 1 - Dra. Siemensen de Bielke"/>
    <s v="DOP 15 - Dr. Bonetto"/>
  </r>
  <r>
    <s v="SORIA, SERGIO EMANUEL "/>
    <s v="AMENAZAS (DOS HECHOS)  "/>
    <s v="Art 437 31/08/2023 Art 441 MISMO DECRETO "/>
    <x v="1"/>
    <x v="0"/>
    <x v="0"/>
    <x v="3"/>
    <s v=" "/>
    <s v="FP VFG 1 - Dra. Siemensen de Bielke"/>
    <s v="DR: LAUTARO EZEQUIEL HUMACATA "/>
  </r>
  <r>
    <s v="CHOCOBAR, SERGIO MAXIMILIANO "/>
    <s v="AMENAZAS CON ARMA  "/>
    <s v="Art 437 31/08/2023 Art 441 MISMO DECRETO "/>
    <x v="1"/>
    <x v="0"/>
    <x v="0"/>
    <x v="4"/>
    <s v=" "/>
    <s v="FP Cerrrilos Dra. Analia Adet "/>
    <s v="DOP 6 - Lopez Figueroa, Benjamì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">
  <r>
    <s v="182313/22"/>
    <s v="Preso"/>
    <s v="Gallardo Mariel Eugenia"/>
    <s v="HURTO SIMPLE"/>
    <s v="Art. 437: 15/03/2023 CON FIJACION DE AUDIENCIA POR PRESENTACION DE ACUERDO DE JUICIO ABREVIADO EN FECHA 15/03/2023"/>
    <x v="0"/>
    <x v="0"/>
    <x v="0"/>
    <x v="0"/>
    <s v="Tribunal V - Sala 1"/>
    <s v="FP de Cerrillos - Dr. Portal"/>
    <s v="Dr. Cueto Diaz"/>
  </r>
  <r>
    <s v="180802/23"/>
    <s v="Preso"/>
    <s v="VAICONTE, ALDANA GISELA Y GAUNA, CLAUDIA ALEJANDRA"/>
    <s v="TENENCIA DE ESTUPEFACIENTES CON FINES DE COMERCIALIZACIÓN "/>
    <s v="Art. 437: LLEGAN DE LA SALA IV CON TRÁMITE AVANZADO, SE SORTEA NUEVO TRIBUNAL POR ABREVIADO FRUSTRADO"/>
    <x v="1"/>
    <x v="1"/>
    <x v="1"/>
    <x v="1"/>
    <s v="Tribunal V - Sala 2"/>
    <s v="UFINAR - Dr. Torres Rubelt"/>
    <s v="Dr. Horacio Daniel Morales"/>
  </r>
  <r>
    <s v="167962/23"/>
    <m/>
    <s v="Rivera Gustavo Gabriel"/>
    <s v="ROBO AGRAVADO POR EL USO DE ARMAS (TENTATIVA)"/>
    <s v="Art 437 24/5/2023 - Art 441: Mismo decreto"/>
    <x v="2"/>
    <x v="2"/>
    <x v="2"/>
    <x v="2"/>
    <s v="Tribunal VI - Sala 1"/>
    <s v="FP 3 - Dr. Cordoba"/>
    <s v="Dr. Santiago Pedroza  (particular)"/>
  </r>
  <r>
    <s v="175088/23"/>
    <m/>
    <s v="Aguirre, Luis Alberto"/>
    <s v="ABUSO SEXUAL SIMPLE AGRAVADO POR EL VÍNCULO"/>
    <s v="Art 437 19/5/2023 - Art 441 Mismo decreto"/>
    <x v="3"/>
    <x v="3"/>
    <x v="3"/>
    <x v="3"/>
    <s v="A definir"/>
    <s v="UDIS 1 - Federico Obeid"/>
    <s v="DOP 10 - Dra.Bohuid"/>
  </r>
  <r>
    <s v="182729/23"/>
    <m/>
    <s v="Zensazo, Ernesto Victor"/>
    <s v="Lesiones Agravadas"/>
    <s v="Art 437: 2/6/2023 - Art 441: Mismo decreto"/>
    <x v="1"/>
    <x v="3"/>
    <x v="1"/>
    <x v="1"/>
    <s v="Tribunal V - Sala 2"/>
    <s v="FP VFG 3 - Dra. Gabriela Davalos"/>
    <s v="DR. ROBERTO TESEYRA Y DR. DAVID LE FAVI"/>
  </r>
  <r>
    <s v="177949/23"/>
    <s v="LIBERTAD 23/05/2022"/>
    <s v="Maizare, Rodrigo Alejandro"/>
    <s v="Amenazas - Genero"/>
    <s v="Art 437: 22/02/2023                   VENCE: 09/03/2023"/>
    <x v="2"/>
    <x v="4"/>
    <x v="4"/>
    <x v="0"/>
    <s v=" "/>
    <s v=" "/>
    <s v=" "/>
  </r>
  <r>
    <s v="181525/22"/>
    <s v="Preso"/>
    <s v="Sayagua, Gustavo Roberto"/>
    <s v="HURTO CALIFICADO  POR USO DE LLAVE VERDADERA"/>
    <s v="Art 437:   27/02/2023 - Notificado 28/02/23 - VENCE: 15/03/2023  - Art 441: 23/3/2023"/>
    <x v="0"/>
    <x v="5"/>
    <x v="5"/>
    <x v="4"/>
    <s v="Tribunal V - Sala 1"/>
    <s v="FP 4  Dr. Facundo Ruiz de los Llanos"/>
    <s v="DOP Dr. Di Bez"/>
  </r>
  <r>
    <s v="175088/23"/>
    <m/>
    <s v="Aguirre, Luis Alberto"/>
    <s v="ABUSO SEXUAL SIMPLE AGRAVADO POR EL VÍNCULO"/>
    <s v="Art 437 19/5/2023 - Art 441 Mismo decreto"/>
    <x v="3"/>
    <x v="2"/>
    <x v="6"/>
    <x v="3"/>
    <s v="A definir"/>
    <s v="UDIS 1 - Federico Obeid"/>
    <s v="DOP 10 - Dra.Bohuid"/>
  </r>
  <r>
    <s v="170065/23"/>
    <m/>
    <s v="Loaiza, Sergio Daniel"/>
    <s v="Amenazas"/>
    <s v="Art 437: 18/5/2023 - Art 441: Mismo decreto"/>
    <x v="3"/>
    <x v="6"/>
    <x v="1"/>
    <x v="3"/>
    <s v="A definir"/>
    <s v="FP de Cerrillos - Dr. Portal"/>
    <s v="DOP 4 - Dr. Walter Clark"/>
  </r>
  <r>
    <s v="178709/23"/>
    <m/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3"/>
    <x v="7"/>
    <x v="7"/>
    <x v="5"/>
    <s v="Tribunal VI - Sala 1"/>
    <s v="FP VFG 3 - Dra. Gabriela Davalos"/>
    <s v="Dra. Nilda Emilse Garnica"/>
  </r>
  <r>
    <s v="179994/22"/>
    <m/>
    <s v="Escalante, Jacinto Marino"/>
    <s v="AMENAZAS CON ARMAS - DAÑOS"/>
    <m/>
    <x v="3"/>
    <x v="4"/>
    <x v="4"/>
    <x v="1"/>
    <s v=" "/>
    <s v=" "/>
    <s v=" "/>
  </r>
  <r>
    <s v="183347/23"/>
    <s v="Preso"/>
    <s v="Dominguez, Claudio María"/>
    <s v="ROBO CALIFICADO DE VEHÍCULO DEJADO EN LA VÍA PÚBLICA (DOS HECHOS) - CONCURSO REAL"/>
    <s v="Art 437: 29/5/2023 - Art 441: Mismo decreto"/>
    <x v="2"/>
    <x v="8"/>
    <x v="6"/>
    <x v="3"/>
    <s v="A definir"/>
    <s v="FP 5 Dr. Federico Jovanovics"/>
    <s v="DOP 5 - Marta Lopez"/>
  </r>
  <r>
    <s v="183183/23"/>
    <s v="EN LIBERTAD DESDE 12/06/23"/>
    <s v="Sagayo, Leonardo Gabriel"/>
    <s v="ROBO AGRAVADO POR EL USO DE ARMAS + ROBO EN POBLADO Y EN BANDA + COACCIÓN"/>
    <s v="Art 437: 29/5/2023 - Art 441: Mismo decreto"/>
    <x v="3"/>
    <x v="9"/>
    <x v="7"/>
    <x v="2"/>
    <s v="Tribunal VI - Sala 1"/>
    <s v="FP 5 Dr. Federico Jovanovics"/>
    <s v="DOP 4 - Dr. Walter Clark"/>
  </r>
  <r>
    <s v="174478/23"/>
    <m/>
    <s v="Alvarez, Jorge Maximiliano"/>
    <s v="DESOBEDIENCIA JUDICIAL, AMENAZAS, INCUMPLIMIENTO DE LOS DEBERES DE ASISTENCIA FAMILIAR "/>
    <s v="Art 437: 2/6/2023 - Art 441: Mismo decreto"/>
    <x v="3"/>
    <x v="7"/>
    <x v="2"/>
    <x v="1"/>
    <s v="Tribunal V - Sala 3"/>
    <s v="FP VFG 2 - Dra. Sodero Calvet"/>
    <s v="DOP 9 - Dr. Sangari"/>
  </r>
  <r>
    <s v="180484/23"/>
    <m/>
    <s v="Homez, Walter Enrique"/>
    <s v="HOMICIDIO CULPOSO POR LA CONDUCCIÓN IMPRUDENTE, NEGLIGENTE O ANTIRREGLAMENTARO DE UN VEHICULO CON MOTOR  "/>
    <m/>
    <x v="3"/>
    <x v="4"/>
    <x v="4"/>
    <x v="6"/>
    <s v=" "/>
    <s v=" "/>
    <s v=" "/>
  </r>
  <r>
    <s v="11841/23"/>
    <s v="Preso"/>
    <s v="Quispe, Juan Jose Maciel"/>
    <s v="ROBO SMPLE"/>
    <s v="Art. 437: 13/03/2023 - Notificados 14/03/2023 - VENCE: 30/03/2023 - Art"/>
    <x v="4"/>
    <x v="10"/>
    <x v="0"/>
    <x v="4"/>
    <s v="Tribunal V - Sala 1"/>
    <s v="FP 1 Dr. Pablo Paz"/>
    <s v="DOP 4 - Dr. Walter Clark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2"/>
    <x v="11"/>
    <x v="6"/>
    <x v="5"/>
    <s v="A definir"/>
    <s v="FP 3 - Dr. Cordoba"/>
    <s v="DR. MIGUEL NICOLÁS FERNÁNDEZ (por Unco y Janet) + DR. ARNEDO (por Unco, codefensa) + DR. BELBRUNO (por Luna)"/>
  </r>
  <r>
    <s v="157245/23"/>
    <m/>
    <s v="GUAYMAS, HUGO ORLANDO - MORALES, MARISEL RAMONA"/>
    <s v="COACCIÓN Y DESOBEDIENCIA JUDICIAL "/>
    <s v="Art 437: 8/6/2023 - Art 441: Mismo Decreto"/>
    <x v="3"/>
    <x v="12"/>
    <x v="7"/>
    <x v="2"/>
    <s v="Tribunal VI - Sala 1"/>
    <s v="FP de Cerrillos - Dr. Portal"/>
    <s v="UDP Nº 8 (POR GUAYMAS) Y UDP Nº 10 - DRA. BOHUID (POR MORALES)"/>
  </r>
  <r>
    <s v="174960/23"/>
    <m/>
    <s v="Sosa, Leandro Maximiliano"/>
    <s v="ROBO CALIFICADO DE VEHÍCULO DEJADO EN LA VÍA PÚBLICA"/>
    <s v="Art 437: 03/04/2023 - Notificados: 03/04/2023 - Vence: 20/04/2023 - Art 441: 21/04/2023 - Notificados 21/04/2023 - Vence: 08/04/2023"/>
    <x v="3"/>
    <x v="13"/>
    <x v="5"/>
    <x v="1"/>
    <s v="Tribunal V - Sala 2"/>
    <s v="FP 5 Dr. Federico Jovanovics"/>
    <s v="DRES. ABRAHAM NAHIR ABDENUR + JUAN MANUEL CREA"/>
  </r>
  <r>
    <s v="181.110/23 y acum. 172664/23"/>
    <s v="Preso"/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1"/>
    <x v="14"/>
    <x v="8"/>
    <x v="1"/>
    <s v="Tribunal V - Sala 2"/>
    <s v="FP VFG 2 - Dra. Sodero Calvet"/>
    <s v="DOP 17 - Dr. Genovese "/>
  </r>
  <r>
    <s v="183629/23"/>
    <s v="Preso"/>
    <s v="Aybar, Federico Mauricio"/>
    <s v="ROBO AGRAVADO POR EL USO DE ARMA (TENTATIVA)"/>
    <s v="Art 437: 26/4/2023"/>
    <x v="3"/>
    <x v="15"/>
    <x v="9"/>
    <x v="4"/>
    <s v="Tribunal V - Sala 1"/>
    <s v="FP 5 Dr. Federico Jovanovics"/>
    <s v="DOP Dr. Di Bez"/>
  </r>
  <r>
    <s v="175319/23"/>
    <m/>
    <s v="Arroyo Gutierrez, Ricardo Gerónimo"/>
    <s v="ROBO SIMPLE"/>
    <s v="Art 437: 5/6/2023 - Art 441: Mismo decreto"/>
    <x v="5"/>
    <x v="16"/>
    <x v="10"/>
    <x v="0"/>
    <s v="Tribunal V - Sala 3"/>
    <s v="FP 4  Dr. Facundo Ruiz de los Llanos"/>
    <s v="DOP 11 - Dr. Pedro Curotto"/>
  </r>
  <r>
    <s v="11571/23"/>
    <m/>
    <s v="Guzman, Marcos David"/>
    <m/>
    <m/>
    <x v="3"/>
    <x v="17"/>
    <x v="10"/>
    <x v="5"/>
    <s v="Tribunal VI - Sala 1"/>
    <s v="FP 2 - Dr. Ramos Ossorio "/>
    <s v="DOP 15 - Dr. Bonetto"/>
  </r>
  <r>
    <s v="182224/23"/>
    <s v="Preso"/>
    <s v="Pinos, José Edgardo"/>
    <s v="ROBO POR EFRACCIÓM, ROBO CON ESCALAMIENTO, HURTO CALIFICADO POR ESCALAMIENTO EN TENTATIVA "/>
    <m/>
    <x v="3"/>
    <x v="4"/>
    <x v="4"/>
    <x v="1"/>
    <s v=" "/>
    <s v="FP 6 Dr. Analía Adet Figueroa"/>
    <s v="DOP 10 - Dra.Bohuid"/>
  </r>
  <r>
    <s v="156116/23"/>
    <m/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1"/>
    <x v="18"/>
    <x v="9"/>
    <x v="0"/>
    <s v="Tribunal V - Sala 3"/>
    <s v="FP 2 - Dr. Ramos Ossorio "/>
    <s v="DOP 8 - Dra. Cecilia Martinez"/>
  </r>
  <r>
    <s v="174297/23"/>
    <m/>
    <s v="Villada, Sergio Ernesto"/>
    <s v="ROBO SIMPLE (TREINTA Y CINCO HECHOS)"/>
    <s v="Art 437: 31/5/2023 - Art 441: Mismo decreto"/>
    <x v="0"/>
    <x v="19"/>
    <x v="7"/>
    <x v="5"/>
    <s v="Tribunal VI - Sala 1"/>
    <s v="FP 6 Dr. Analía Adet Figueroa"/>
    <s v="Dr. Dante Humberto Montalbetti"/>
  </r>
  <r>
    <s v="182242/23 (ppal) -Acum 162949/23"/>
    <s v="Preso"/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1"/>
    <x v="20"/>
    <x v="11"/>
    <x v="0"/>
    <s v="Tribunal V - Sala 3"/>
    <s v="FP VFG 1 - Dra. Geria"/>
    <s v="DOP 15 - Dr. Bonetto"/>
  </r>
  <r>
    <s v="178709/23"/>
    <m/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13"/>
    <x v="10"/>
    <x v="5"/>
    <s v="Tribunal V - Sala 2"/>
    <s v="FP VFG 3 - Dra. Gabriela Davalos"/>
    <s v="Dra. Nilda Emilse Garnica"/>
  </r>
  <r>
    <s v="179770/23"/>
    <s v="Preso"/>
    <s v="Villaroel, Maxima Isabel -Álvarez, Ramón Domingo"/>
    <s v="COOPERACIÓN EN LA REALIZACIÓN DE DELITOS CONTRA LA INTEGRIDAD SEXUAL - ABUSO SEXUAL CON ACCESO CARNAL CONTINUADO AGRAVADO POR EL VÍNCULO Y LA CONVIVENCIA"/>
    <m/>
    <x v="3"/>
    <x v="4"/>
    <x v="4"/>
    <x v="1"/>
    <s v=" "/>
    <s v="FP UDIS 2 - Dr. Gonzalez Miralpeix"/>
    <s v="DOP 15 - Dr. Bonetto"/>
  </r>
  <r>
    <s v="180889/23"/>
    <s v="Preso"/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0"/>
    <x v="21"/>
    <x v="9"/>
    <x v="0"/>
    <s v="Tribunal V - Sala 3"/>
    <s v="UDIS 4 - Dr. Pablo Rivero"/>
    <s v="Dr. Arias, Armando Jorge"/>
  </r>
  <r>
    <s v="183347/23"/>
    <s v="Preso"/>
    <s v="Dominguez, Claudio María"/>
    <s v="ROBO CALIFICADO DE VEHÍCULO DEJADO EN LA VÍA PÚBLICA (DOS HECHOS) - CONCURSO REAL"/>
    <s v="Art 437: 29/5/2023 - Art 441: Mismo decreto"/>
    <x v="5"/>
    <x v="6"/>
    <x v="8"/>
    <x v="3"/>
    <s v="Tribunal VI - Sala 1"/>
    <s v="FP 5 Dr. Federico Jovanovics"/>
    <s v="DOP 5 - Marta Lopez"/>
  </r>
  <r>
    <s v="011618/23"/>
    <m/>
    <s v="Calpanchay, Joel Javier"/>
    <s v="Amenazas"/>
    <m/>
    <x v="2"/>
    <x v="13"/>
    <x v="10"/>
    <x v="1"/>
    <s v="Tribunal V - Sala 3"/>
    <s v="FP 1 Dr. Pablo Paz"/>
    <s v=" "/>
  </r>
  <r>
    <s v="179055/23"/>
    <s v="Preso"/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3"/>
    <x v="4"/>
    <x v="4"/>
    <x v="1"/>
    <s v=" "/>
    <s v=" "/>
    <s v=" "/>
  </r>
  <r>
    <s v="182283/23"/>
    <s v="Preso"/>
    <s v="Villalba, Nicolás Carlos"/>
    <s v="TENENCIA DE ESTUPEFACIENTES CON FINES DE COMERCIALIZACIÓN "/>
    <s v="Art 437: 27/03/2023 - Art 441: 21/4/2023"/>
    <x v="0"/>
    <x v="22"/>
    <x v="5"/>
    <x v="4"/>
    <s v="Tribunal V - Sala 1"/>
    <s v="UFINAR - Dr. Torres Rubelt"/>
    <s v="DR. LUCIANO ROMANO Y DRA. LAURA FLORES MEJÍA"/>
  </r>
  <r>
    <s v="175088/23"/>
    <m/>
    <s v="Aguirre, Luis Alberto"/>
    <s v="ABUSO SEXUAL SIMPLE AGRAVADO POR EL VÍNCULO"/>
    <s v="Art 437 19/5/2023 - Art 441 Mismo decreto"/>
    <x v="3"/>
    <x v="11"/>
    <x v="8"/>
    <x v="3"/>
    <s v="Tribunal VI - Sala 1"/>
    <s v="UDIS 1 - Federico Obeid"/>
    <s v="DOP 10 - Dra.Bohuid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3"/>
    <x v="23"/>
    <x v="6"/>
    <x v="5"/>
    <s v="Tribunal V - Sala 3"/>
    <s v="FP 3 - Dr. Cordoba"/>
    <s v="DR. MIGUEL NICOLÁS FERNÁNDEZ (por Unco y Janet) + DR. ARNEDO (por Unco, codefensa) + DR. BELBRUNO (por Luna)"/>
  </r>
  <r>
    <s v="011848/23"/>
    <m/>
    <s v="Quiroga, Alexando Juan Facundo"/>
    <s v="DESOBEDIENCIA JUDICIAL "/>
    <s v="Art 437: 7/6/2023 - Art 441: Mismo decreto"/>
    <x v="3"/>
    <x v="24"/>
    <x v="10"/>
    <x v="2"/>
    <s v="Tribunal VI - Sala 1"/>
    <s v="FP VFG 3 - Dra. Gabriela Davalos"/>
    <s v="Dr. Hector Armando Leccese"/>
  </r>
  <r>
    <s v="183871/23"/>
    <s v="Preso"/>
    <s v="Fabian, José Maximiliano"/>
    <s v="HURTO SIMPLE"/>
    <m/>
    <x v="3"/>
    <x v="4"/>
    <x v="4"/>
    <x v="0"/>
    <s v=" "/>
    <s v=" "/>
    <s v=" "/>
  </r>
  <r>
    <s v="172719/23"/>
    <m/>
    <s v="Quinteros, Diego Fernando"/>
    <s v="ABUSO SEXUAL CON ACCESO CARNAL AGRAVADO POR SER COMETIDO POR PERSONAL DE FUERZAS POLICIALES"/>
    <s v="Art 437: 07/03/2023 - Notificados 09/03/23 - VENCE: 27/03/23 - Art 441: 29/03/2023 - Notificados 29/03/2023"/>
    <x v="1"/>
    <x v="25"/>
    <x v="5"/>
    <x v="1"/>
    <s v="Tribunal V - Sala 2"/>
    <s v="FP UDIS 2 - Dr. Gonzalez Miralpeix"/>
    <s v="Dra. Eugenia Yaique"/>
  </r>
  <r>
    <s v="183608/23"/>
    <s v="PRESOS *CON ARRESTO DOMICILIARIO + UADME"/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5"/>
    <x v="26"/>
    <x v="12"/>
    <x v="5"/>
    <s v="Tribunal VI - Sala 1"/>
    <s v="FP 3 - Dr. Cordoba"/>
    <s v="DOP Dr. Di Bez"/>
  </r>
  <r>
    <s v="169833/23"/>
    <s v="PRESO * ARRESTO DOMICILIARIO"/>
    <s v="Garníca, Juan Ramón"/>
    <s v="ABUSO SEXUAL GRAVEMENTE ULTRAJANTE (4 HECHOS)  Y ABUSO SEXUAL CON ACCESO CARNAL"/>
    <s v="Art 437: 13/03/2023 - Notificados 14/03/2023 -       VENCE: 30/03/2023 - Art 441: 30/3/2023"/>
    <x v="3"/>
    <x v="20"/>
    <x v="11"/>
    <x v="4"/>
    <s v="Tribunal V - Sala 1"/>
    <s v="UDIS 1 - Federico Obeid"/>
    <s v="Dr. Solá Garrido"/>
  </r>
  <r>
    <s v="165966/23"/>
    <m/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0"/>
    <x v="27"/>
    <x v="5"/>
    <x v="0"/>
    <s v="Tribunal V - Sala 3"/>
    <s v="UDIS 1 - Federico Obeid"/>
    <s v="Dr. Federíco Herrera"/>
  </r>
  <r>
    <s v="179950/23"/>
    <s v="PRESOS (ALCAIDÍA GENERAL TORRES Y PÉREZ FÉLIX) + UNIDAD CARCELARIA Nº 4 (PÉREZ LILIANA)"/>
    <s v="Pérez, Liliana Noemí - Torres, Luis Alejandro - Pérez, Félix Javier"/>
    <s v="TENENCIA DE ESTUPEFACIENTES CON FINES DE COMERCIALIZACIÓN "/>
    <s v="Art 437: 18/5/2023 - Art 441: Mismo decreto"/>
    <x v="5"/>
    <x v="28"/>
    <x v="10"/>
    <x v="3"/>
    <s v="Tribunal VI - Sala 1"/>
    <s v="UFINAR - Dr. Lopez Soto"/>
    <s v="DR. BELBRUNO (POR TORRES) + DR. ADOLFO MARIANO SÁNCHEZ, POR PÉREZ LILIANA Y PÉREZ FÉLIX)"/>
  </r>
  <r>
    <s v="134484/23"/>
    <s v="LIBERTAD 18/05/2022"/>
    <s v="Rodríguez, Vñictor Daniel"/>
    <s v="ABUSO SEXUAL GRAVEMENTE ULTRAJANTE (18/05/2023) JUICIO ABREVIADO - CAMBIO CALIF "/>
    <s v="Ar 437: 27/03/23 - Art 441: 20/4/2023"/>
    <x v="0"/>
    <x v="29"/>
    <x v="13"/>
    <x v="0"/>
    <s v="Tribunal V - Sala 3"/>
    <s v="FP UDIS 3 - Dra. Flores Toranzo"/>
    <s v="Dr. Luciano Romano (particular)"/>
  </r>
  <r>
    <s v="183650/23"/>
    <m/>
    <s v="López, Luís Darío"/>
    <s v="ABUSO SEXUAL GRAVEMENTE ULTRAJANTE"/>
    <s v="Art 437: 13/6/2023 - Art 441: Mismo decreto"/>
    <x v="2"/>
    <x v="30"/>
    <x v="7"/>
    <x v="5"/>
    <s v="Tribunal VI - Sala 1"/>
    <s v="FP UDIS 2 - Dr. Gonzalez Miralpeix"/>
    <s v="Dr. Diaz Zabalaga, Luis Fernando"/>
  </r>
  <r>
    <s v="179142/23"/>
    <m/>
    <s v="Robledo, Osvaldo Eduardo"/>
    <s v="AMENAZAS - GÉNERO"/>
    <s v="Art 437: 17/02/2023 - VENCE: 08/03/2023 - Art 441: 08/03/2023 - Notificados 08/03/23 - VENCE: 23/03/2023"/>
    <x v="3"/>
    <x v="31"/>
    <x v="5"/>
    <x v="4"/>
    <s v="Tribunal V - Sala 1"/>
    <s v="FP VFG 1 - Dra. Geria"/>
    <s v="Dr. Torrente, Mario Fabian"/>
  </r>
  <r>
    <s v="1811/06/23"/>
    <s v="LIBERTAD 22/11/2022"/>
    <s v="Figueroa, Angel Rafael"/>
    <s v="ROBO AGRAVADO POR USO DE ARMA"/>
    <s v="Art 437: 24/05/2023 - Art 441: 5/5/2023"/>
    <x v="1"/>
    <x v="32"/>
    <x v="5"/>
    <x v="1"/>
    <s v="Tribunal V - Sala 2"/>
    <s v="FP 6 Dr. Analía Adet Figueroa"/>
    <s v="DOP 17 - Dr. Genovese "/>
  </r>
  <r>
    <s v="175591/23"/>
    <m/>
    <s v="Aparicio, Roberto René - Trujillo Guzmán, Jorge Abraham"/>
    <s v="ESTAFA"/>
    <s v="Art 437: 12/6/2023 - Art 441: Mismo decreto"/>
    <x v="5"/>
    <x v="33"/>
    <x v="14"/>
    <x v="5"/>
    <s v="Tribunal VI - Sala 1"/>
    <s v="FPDEC - Dra. Salinas"/>
    <s v="Dr. Adet, Matías"/>
  </r>
  <r>
    <s v="180491/23"/>
    <m/>
    <s v="Hoyos Ramirez, Leones Alexis"/>
    <s v="LESIONES CULPOSAS AGRAVADAS POR HABERSE DADO A LA FUGA Y LESIONES LEVES EN C.R. "/>
    <m/>
    <x v="1"/>
    <x v="34"/>
    <x v="13"/>
    <x v="1"/>
    <s v="Tribunal V - Sala 2"/>
    <s v="FP 2 - Dr. Ramos Ossorio "/>
    <s v="Dr. Torres, Jorge"/>
  </r>
  <r>
    <s v="159576/23"/>
    <m/>
    <s v="Brito, Cristian Esteban"/>
    <s v="ABUSO SEXUAL CON ACCESO CARNAL "/>
    <s v="Art 437: 1/6/2023 - Art 441: Mismo decreto"/>
    <x v="0"/>
    <x v="33"/>
    <x v="10"/>
    <x v="4"/>
    <s v="Tribunal V - Sala 2"/>
    <s v="UDIS 1 - Federico Obeid"/>
    <s v="DRES. VÍCTOR GUSTAVO ECHAZÚ Y DR. FRANCISCO HERRERA"/>
  </r>
  <r>
    <s v="181828/23"/>
    <m/>
    <s v="Quipildor, Exequiel Imanol"/>
    <s v="ROBO (TENTATIVA) + ROBO SIMPLE, CONCURSO REAL"/>
    <s v="Art 437: 3/4/2023"/>
    <x v="3"/>
    <x v="35"/>
    <x v="12"/>
    <x v="1"/>
    <s v="Tribunal V - Sala 2"/>
    <s v="FP 4  Dr. Facundo Ruiz de los Llanos"/>
    <s v="DOP Dr. Di Bez"/>
  </r>
  <r>
    <s v="181340/23"/>
    <s v="PRESO (Casimiro) // LIBERTAD (Diaz)"/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5"/>
    <x v="36"/>
    <x v="13"/>
    <x v="1"/>
    <s v="Tribunal V - Sala 2"/>
    <s v=" "/>
    <s v=" "/>
  </r>
  <r>
    <s v="139556/23"/>
    <m/>
    <s v="Gramajo, Héctor Mauricio"/>
    <s v="ABUSO SEXUAL CON ACCESO CARNAL"/>
    <s v="Art 437: 16/5/2023 - Art 441: Mismo decreto"/>
    <x v="3"/>
    <x v="37"/>
    <x v="5"/>
    <x v="0"/>
    <s v="Tribunal V - Sala 3"/>
    <s v="UDIS 4 - Dr. Pablo Rivero"/>
    <s v="DOP 5 - Marta Lopez"/>
  </r>
  <r>
    <s v="139556/23"/>
    <m/>
    <s v="Gramajo, Héctor Mauricio"/>
    <s v="ABUSO SEXUAL CON ACCESO CARNAL"/>
    <s v="Art 437: 16/5/2023 - Art 441: Mismo decreto"/>
    <x v="5"/>
    <x v="38"/>
    <x v="9"/>
    <x v="0"/>
    <s v="Tribunal V - Sala 3"/>
    <s v="UDIS 4 - Dr. Pablo Rivero"/>
    <s v="DOP 5 - Marta Lopez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2"/>
    <x v="39"/>
    <x v="7"/>
    <x v="4"/>
    <s v="Tribunal V - Sala 1"/>
    <s v="FP VFG 5. Dra. Liliana Jorge"/>
    <s v="DOP 4 - Dr. Walter Clark"/>
  </r>
  <r>
    <s v="182181/23"/>
    <m/>
    <s v="Puntano, Julio Alberto"/>
    <s v="ABUSO SEXUAL GRAVEMENTE ULTRAJANTE AGRAVADO POR EL VÍNCULO Y CONVIVENCIA "/>
    <m/>
    <x v="3"/>
    <x v="40"/>
    <x v="9"/>
    <x v="4"/>
    <s v="A definir"/>
    <s v="FP UDIS 2 - Dr. Gonzalez Miralpeix"/>
    <s v="Dr. Britos Astiqueta,  Marcelo"/>
  </r>
  <r>
    <s v="155541/23"/>
    <m/>
    <s v="Alfaro, Jaime"/>
    <s v="ABUSO SEXUAL SIMPLE CALIFICADO + EXHIBICIONES OBSENAS A MENORES"/>
    <s v="Art 437: 12/5/2023 - Art 441: Mismo decreto"/>
    <x v="0"/>
    <x v="41"/>
    <x v="12"/>
    <x v="1"/>
    <s v="Tribunal V - Sala 2"/>
    <s v="UDIS 1 - Federico Obeid"/>
    <s v="Dr. Vercellino, Vicente"/>
  </r>
  <r>
    <s v="175534/23"/>
    <m/>
    <s v="Casco, Ivan Mauro Cosme"/>
    <s v="ROBO SIMPLE"/>
    <s v="Art 437: 12/6/2023 - Art 441: Mismo decreto"/>
    <x v="2"/>
    <x v="30"/>
    <x v="10"/>
    <x v="0"/>
    <s v="Tribunal V - Sala 3"/>
    <s v="FP 1 Dr. Pablo Paz"/>
    <s v="Dr. Luis Cesar Fernando"/>
  </r>
  <r>
    <s v="165959/23"/>
    <m/>
    <s v="González, Darío Oscar"/>
    <s v="ABUSO SEXUAL SIMPLE AGRAVADO"/>
    <s v="Art 437:   27/02/2023 - Notificado 28/02/23 - VENCE:15/03/2023 - Art 441: 16/03/2023 - Notificado 22/03/23 - VENCE: 11/04/2023"/>
    <x v="1"/>
    <x v="41"/>
    <x v="5"/>
    <x v="1"/>
    <s v="Tribunal V - Sala 2"/>
    <s v="UDIS 1 - Federico Obeid"/>
    <s v="Dr. Orfeo Maggio - (particular)"/>
  </r>
  <r>
    <s v="168840/23"/>
    <m/>
    <s v="PAZ, RAMÓN FIDEL"/>
    <s v="CONCUSIÓN (ART. 266 CP)"/>
    <s v="Art 437: 28/4/2023"/>
    <x v="3"/>
    <x v="42"/>
    <x v="5"/>
    <x v="4"/>
    <s v="Tribunal V - Sala 1"/>
    <s v="FPDEC - Dra. Salinas"/>
    <s v="DOP 1 - Dr. Federico Gutierrez"/>
  </r>
  <r>
    <s v="168840/23"/>
    <m/>
    <s v="PAZ, RAMÓN FIDEL"/>
    <s v="CONCUSIÓN (ART. 266 CP)"/>
    <s v="Art 437: 28/4/2023"/>
    <x v="1"/>
    <x v="43"/>
    <x v="9"/>
    <x v="4"/>
    <s v="Tribunal V - Sala 1"/>
    <s v="FPDEC - Dra. Salinas"/>
    <s v="DOP 1 - Dr. Federico Gutierrez"/>
  </r>
  <r>
    <s v="167920/23"/>
    <m/>
    <s v="Olmedo, Nicolas Daniel"/>
    <s v="COACCIÓN"/>
    <s v="Art 437: 12/6/2023 - Art 441: Mismo decreto"/>
    <x v="2"/>
    <x v="44"/>
    <x v="10"/>
    <x v="0"/>
    <s v="Tribunal V - Sala 2"/>
    <s v="FP VFG 2 - Dra. Sodero Calvet"/>
    <s v="DOP 8 - Dra. Cecilia Martinez"/>
  </r>
  <r>
    <s v="183629/23"/>
    <s v="Preso"/>
    <s v="AYBAR, FEDERICO MAURICIO"/>
    <s v="ROBO AGRAVADO POR EL USO DE ARMA (TENTATIVA)"/>
    <s v="Art 437: 26/4/2023"/>
    <x v="0"/>
    <x v="45"/>
    <x v="13"/>
    <x v="4"/>
    <s v="Tribunal V - Sala 1"/>
    <s v="FP 5 Dr. Federico Jovanovics"/>
    <s v="DOP Dr. Di Bez"/>
  </r>
  <r>
    <s v="155613/23"/>
    <s v="Preso"/>
    <s v="Huergo, Carlos Adrian"/>
    <s v="ADMINISTRACIÓN FRAUDULENTA + ESTAFAS REITERADAS (5 HECHOS) Y FALSIFICACIÓN DE DOCUMENTO PRIVADO - TODO EN CONCURSO REAL "/>
    <s v="Art 437: 13/6/2023 - Art 441: Mismo decreto"/>
    <x v="5"/>
    <x v="46"/>
    <x v="10"/>
    <x v="4"/>
    <s v="Tribunal V - Sala 1"/>
    <s v="FPDEC - Dra. Salinas"/>
    <s v="Dr. Orfeo Maggio - (particular)"/>
  </r>
  <r>
    <s v="157007/23"/>
    <m/>
    <s v="Izaguirre, Guillermo Omar"/>
    <s v="ABUSO SEXUAL GRAVEMENTE ULTRAJANTE AGRAVADO POR MENOR DE EDAD, CONVIVENCIA Y GUARDA "/>
    <s v="Art 437: 25/04/2023"/>
    <x v="0"/>
    <x v="47"/>
    <x v="5"/>
    <x v="0"/>
    <s v="Tribunal V - Sala 3"/>
    <s v="FP UDIS 3 - Flores Toranzo "/>
    <s v="DOP 13 - Dra. Sandra Ortiz"/>
  </r>
  <r>
    <s v="161584/23"/>
    <m/>
    <s v="Ibarra, Alvaro Leonel - Ibarra, Ivan Anibal"/>
    <s v="ROBO CALIFICADO POR PROVOCAR LESIONES GRAVES EN GRADO DE TENTATIVA"/>
    <s v="Art 437: 12/6/2023 - Art 441: Mismo decreto"/>
    <x v="5"/>
    <x v="48"/>
    <x v="10"/>
    <x v="4"/>
    <s v="Tribunal V - Sala 1"/>
    <s v="FP de Cerrillos - Dr. Portal"/>
    <s v="DR. JOSÉ MARÍA GUAIMAS  (POR IBARRA, ÁLVARO EN AMBAS CAUSAS Y TMB IBARRA, IVÁN)"/>
  </r>
  <r>
    <s v="182101/23"/>
    <m/>
    <s v="Puntano, Julio Alberto"/>
    <s v="ABUSO SEXUAL GRAVEMENTE ULTRAJANTE AGRAVADO POR EL VÍNCULO Y CONVIVENCIA "/>
    <m/>
    <x v="0"/>
    <x v="42"/>
    <x v="12"/>
    <x v="4"/>
    <s v="A definir"/>
    <s v="FP UDIS 2 - Dr. Gonzalez Miralpeix"/>
    <s v="Dr. Britos Astiqueta,  Marcelo"/>
  </r>
  <r>
    <s v="171215/23"/>
    <m/>
    <s v="Juarez Vargas, Ricardo Abel"/>
    <s v="ROBO SIMPLE (DOS HECHOS) CONCURSO REAL"/>
    <s v="Art 437: 16/6/2023 - Art 441: Mismo decreto"/>
    <x v="0"/>
    <x v="49"/>
    <x v="13"/>
    <x v="5"/>
    <s v="Tribunal VI - Sala 1"/>
    <s v="FP Rosario de Lerma. Dr. Escalante"/>
    <s v="DOP 3 - Dra. Karina Peralta"/>
  </r>
  <r>
    <s v="183482/23"/>
    <m/>
    <s v="QUERELLA PRESENTADA POR EL DR. AGÜERO, SERGIO EN CONTRA DE GUSTAVO SÁNEZ"/>
    <m/>
    <m/>
    <x v="3"/>
    <x v="4"/>
    <x v="4"/>
    <x v="1"/>
    <s v=" "/>
    <s v=" "/>
    <s v=" "/>
  </r>
  <r>
    <s v="182710/23"/>
    <s v="Preso"/>
    <s v="Paz, Mario Alejandro"/>
    <s v="COACCIÓN, LESIONES AGRAVADAS, PRIVAICOÓN ILEGÍTIMA DE LA LIBERTAD AGRAVADA, DESOBEDIENCIA JUDICIAL, EN CONCURSO IDEAL +  AMENAZAS, CONCURSO REAL"/>
    <s v="Art 437: 17/5/2023- Art 441: Mismo decreto"/>
    <x v="5"/>
    <x v="42"/>
    <x v="10"/>
    <x v="1"/>
    <s v="Tribunal V - Sala 2"/>
    <s v="FP Gral. Güemes - Dr. Vilar Rey "/>
    <s v="Dr. Guzmán Barrionuevo, Rubén Antonio"/>
  </r>
  <r>
    <s v="181137/23"/>
    <s v="Preso"/>
    <s v="ARIAS LÓPEZ, JESÚS LEONEL "/>
    <s v="ROBO AGRAVADO POR EL USO DE ARMA"/>
    <s v="Art 437: 10/4/2023 - Art 441: 26/04/2023 + NOTIFICACIONES AUDIENCIA"/>
    <x v="1"/>
    <x v="2"/>
    <x v="9"/>
    <x v="0"/>
    <s v="Tribunal V - Sala 3"/>
    <s v="FP 6 Dr. Analía Adet Figueroa"/>
    <s v="DOP 2 - Dra. Liliana Linares Moron"/>
  </r>
  <r>
    <s v="183732/23"/>
    <s v="Preso"/>
    <s v="Gasiuk, Gustavo Ronal"/>
    <s v="HURTO CALIFICADO (TENTATIVA)"/>
    <s v="Art 437: 16/6/2023 - Art 441: Mismo decreto"/>
    <x v="3"/>
    <x v="17"/>
    <x v="5"/>
    <x v="0"/>
    <s v="Tribunal V - Sala 3"/>
    <s v="FP 6 Dr. Analía Adet Figueroa"/>
    <s v="DOP Dr. Di Bez"/>
  </r>
  <r>
    <s v="179418/23"/>
    <m/>
    <s v="Ceballos, Ignacio Federico"/>
    <s v="AMENAZAS"/>
    <s v="Art 437: 25/4/2023"/>
    <x v="3"/>
    <x v="50"/>
    <x v="5"/>
    <x v="0"/>
    <s v="Tribunal V - Sala 3"/>
    <s v="FP VFG 1 - Dra. Geria"/>
    <s v="DOP 15 - Dr. Bonetto"/>
  </r>
  <r>
    <s v="180168/23"/>
    <m/>
    <s v="Vega, Paulo Esteban"/>
    <s v="ABUSO SEXUAL SIMPLE AGRAVADO POR LA GUARDA, AMENAZAS CON ARMAS Y TURBACIÓN DE LA POSESIÓN TODO "/>
    <s v="Art 437: 21/6/2023 - Art 441: Mismo decreto"/>
    <x v="5"/>
    <x v="51"/>
    <x v="15"/>
    <x v="1"/>
    <s v="Tribunal V - Sala 2"/>
    <s v="UDIS 4 - Dr. Pablo Rivero"/>
    <s v="DOP 10 - Dra.Bohuid"/>
  </r>
  <r>
    <s v="180588/23"/>
    <m/>
    <s v="Flores, Hécto José"/>
    <s v="AMENAZAS CON ARMAS Y LESIONES LEVES "/>
    <s v="Art 437: 28/4/2023"/>
    <x v="3"/>
    <x v="6"/>
    <x v="5"/>
    <x v="4"/>
    <s v="Tribunal V - Sala 1"/>
    <s v="FP D.S.Lorenzo - Ramos Ossorio (i)"/>
    <s v="Dr. Raúl Alberto Mazza"/>
  </r>
  <r>
    <s v="181660/23"/>
    <s v="Preso"/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3"/>
    <x v="24"/>
    <x v="16"/>
    <x v="2"/>
    <s v="Tribunal VI - Sala 1"/>
    <s v="FP VFG 1 - Dra. Geria"/>
    <s v="Dra. Macarena Rosario Mendoza Salvatierra"/>
  </r>
  <r>
    <s v="184021/23"/>
    <s v="Preso"/>
    <s v="Sotelo Miyo, Silvia Guadalupe"/>
    <s v="LESIONES AGRAVADAS, AMENAZAS CON ARMAS, DAÑOS (CONCURSO REAL)"/>
    <s v="Art 437: 21/6/2023 - Art 441: Mismo decreto"/>
    <x v="5"/>
    <x v="52"/>
    <x v="10"/>
    <x v="0"/>
    <s v="Tribunal V - Sala 3"/>
    <s v="FP 5 Dr. Federico Jovanovics"/>
    <s v="Dr. Orfeo Maggio - (particular)"/>
  </r>
  <r>
    <s v="180980/23"/>
    <m/>
    <s v="López, Leonardo Javier"/>
    <s v="ROBO EN GRADO DE TENTATIVA"/>
    <s v="Art 437: 24/03/2023 - Art 441: 15/5/2023"/>
    <x v="3"/>
    <x v="8"/>
    <x v="17"/>
    <x v="4"/>
    <s v="Tribunal V - Sala 1"/>
    <s v="FP de Cerrillos - Dr. Portal"/>
    <s v="DOP 17 - Dr. Genovese "/>
  </r>
  <r>
    <s v="179312/23"/>
    <m/>
    <s v="CARDOZO, LAUREANO WENCESLAO + RÍOS, FRANCO MICHEL ALEJANDRO + VELÁZQUEZ, DAIANA GISELA"/>
    <s v="VIOLACIÓN DE DOMICILIO, LESIONES LEVES, DAÑOS "/>
    <s v="Art 437: 21/6/2023 - Art 441: Mismo decreto"/>
    <x v="1"/>
    <x v="53"/>
    <x v="13"/>
    <x v="1"/>
    <s v="Tribunal V - Sala 1"/>
    <s v="FP Cerrilos - AUX. Dra. Valeria Tanjilevich"/>
    <s v="DOP 3 - Dra. Karina Peralta"/>
  </r>
  <r>
    <s v="181786/23"/>
    <m/>
    <s v="Lera, Facundo Anibal"/>
    <s v="ABUSO SEXUAL SIMPLE "/>
    <m/>
    <x v="0"/>
    <x v="8"/>
    <x v="8"/>
    <x v="4"/>
    <s v="Tribunal V - Sala 1"/>
    <s v="FP UDIS 3 - Dra. Flores Toranzo"/>
    <s v="Dr. Arancibia, Marcelo"/>
  </r>
  <r>
    <s v="175156/23"/>
    <m/>
    <s v="Arzadum, Omar Ismael"/>
    <s v="PRIVACIÓN ILEGÍTIMA DE LA LIBERTAD AGRAVADA + COACCIÓN + LESIONES AGRAVADAS + AMENAZAS CON ARMAS + AMENAZAS (CONCURSO REAL)"/>
    <s v="Art 437: 21/6/2023 - Art 441: Mismo decreto"/>
    <x v="5"/>
    <x v="54"/>
    <x v="13"/>
    <x v="0"/>
    <s v="Tribunal V - Sala 2"/>
    <s v="FP VFG 3 - Dra. Gabriela Davalos"/>
    <s v="DR. CRISTIAN PERALDA FALCÓN"/>
  </r>
  <r>
    <s v="179600/23"/>
    <m/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5"/>
    <x v="9"/>
    <x v="5"/>
    <x v="0"/>
    <s v="Tribunal V - Sala 3"/>
    <s v="FP VFG 4 - Dra. Elisa Perez"/>
    <s v="DRES. MARTÍN D´ANDREA Y FEDERICO GENSEI HIGA"/>
  </r>
  <r>
    <s v="183609/23"/>
    <m/>
    <s v="Moreno, Ariel Alejandro"/>
    <s v="LESIONES LEVES "/>
    <s v="Art 437: 23/6/2023 - Art 441: Mismo decreto"/>
    <x v="1"/>
    <x v="55"/>
    <x v="6"/>
    <x v="1"/>
    <s v="Tribunal V - Sala 2"/>
    <s v="FP de Cerrillos - Dr. Portal"/>
    <s v="DOP Dr. Di Bez"/>
  </r>
  <r>
    <s v="172724/23 y acum 176490/23"/>
    <m/>
    <s v="Canaza, Julian Cesar - Subia Sulva, Manuel Humberto - Vedia Jimenez, Angel Mariano"/>
    <s v="ROBO SIMPLE"/>
    <s v="Art 437: 16/5/2023 - Art 441: Mismo decreto"/>
    <x v="2"/>
    <x v="38"/>
    <x v="12"/>
    <x v="1"/>
    <s v="Tribunal V - Sala 2"/>
    <s v="FP de Cerrillos - Dr. Portal"/>
    <s v="DR. SERGIO AGUSTÍN ALEMÁN (Para Canaza) - DOP 2 ( Para Vedia y Subia)"/>
  </r>
  <r>
    <s v="178936/23"/>
    <m/>
    <s v="Guitian, Mariano Alejandro"/>
    <s v="ABUSO SEXUAL GRAVEMENTE ULTRAJANTE Y CALIFICADO + COACCIÓN"/>
    <s v="Art 437: 21/6/2023 - Art 441: Mismo decreto"/>
    <x v="1"/>
    <x v="56"/>
    <x v="6"/>
    <x v="1"/>
    <s v="Tribunal V - Sala 2"/>
    <s v="FP UDIS 2 - Dr. Gonzalez Miralpeix"/>
    <s v="DOP 10 - Dra.Bohuid"/>
  </r>
  <r>
    <s v="180764/23"/>
    <s v="Preso"/>
    <s v="Pastrana, Gonzalo Martín"/>
    <s v="ABUSO SEXUAL CON ACCESO CARNAL "/>
    <s v="Art 437. 16/03/2023 - Notificado 22/03/23 - VENCE: 11/04/2023"/>
    <x v="3"/>
    <x v="23"/>
    <x v="9"/>
    <x v="1"/>
    <s v="Tribunal V - Sala 2"/>
    <s v="FP UDIS 3 - Dra. Flores Toranzo"/>
    <s v="DOP de turno"/>
  </r>
  <r>
    <s v="182974/23"/>
    <m/>
    <s v="Jerez Zerpa, Esteban Ismael"/>
    <s v="AMENAZAS"/>
    <s v="Art 437: 21/6/2023 - Art 441: Mismo decreto"/>
    <x v="0"/>
    <x v="57"/>
    <x v="9"/>
    <x v="1"/>
    <s v="Tribunal V - Sala 2"/>
    <s v="FP VFG 5. Dra. Liliana Jorge"/>
    <s v="Dr. Ortin Fernandez (particular)"/>
  </r>
  <r>
    <s v="183015/23"/>
    <m/>
    <s v="Cortez, Fernando Nicolas"/>
    <s v="ROBO SIMPLE "/>
    <s v="Art 437: 23/6/2023 - Art 441: Mismo decreto"/>
    <x v="5"/>
    <x v="58"/>
    <x v="7"/>
    <x v="2"/>
    <s v="Tribunal VI - Sala 1"/>
    <s v="FP 3 - Dr. Cordoba"/>
    <s v="DOP 2 - Dra. Liliana Linares Moron"/>
  </r>
  <r>
    <s v="179394/23"/>
    <s v="PRESO *CON ARRESTO DOMICILIARIO"/>
    <s v="Perez, Victor Roberto"/>
    <s v="ABUSO SEXUAL CON ACCESO CARNAL CALIFICADO, COACCIÓN, EN CONCURSO REAL"/>
    <s v="Art 437: 17/5/2023 - Art 441: Mismo decreto"/>
    <x v="5"/>
    <x v="11"/>
    <x v="13"/>
    <x v="1"/>
    <s v="Tribunal V - Sala 2"/>
    <s v="UDIS 1 - Federico Obeid"/>
    <s v="Dra. Luisina Victoria Rivero"/>
  </r>
  <r>
    <s v="182234/23"/>
    <m/>
    <s v="Morillo, David Nicolas"/>
    <s v="AMENAZAS CON ARMA + DESOBEDIENCIA JUDICIAL + LESIONES LEVES AGRAVADAS POR EL GÉNERO Y POR LA RELACIÓN DE PAREJA"/>
    <s v="Art 437: 26/06/2023 - Art 441: Mismo decreto"/>
    <x v="1"/>
    <x v="59"/>
    <x v="10"/>
    <x v="4"/>
    <s v="A definir"/>
    <s v="FP VFG 1 - Dra. Geria"/>
    <s v="Dr. Pizarro Echeñique, Juan Manuel"/>
  </r>
  <r>
    <s v="171099/23"/>
    <m/>
    <s v="Oliva, Pablo Andres"/>
    <s v="COACCIÓN Y REDUCCIÓN A LA SERVIDUMBRE EN CONCURSO REAL"/>
    <s v="Art 437: 03/04/2023 - Notificados: 03/04/2023 - Vence: 20/04/2023"/>
    <x v="3"/>
    <x v="12"/>
    <x v="13"/>
    <x v="1"/>
    <s v="Tribunal V - Sala 2"/>
    <s v="FP VFG 2 - Dra. Sodero Calvet"/>
    <s v="DOP 12 - AUX. Dr. Martin Herrera"/>
  </r>
  <r>
    <s v="169000/23"/>
    <m/>
    <s v="Cardozo, Enrique Domingo"/>
    <s v="EXHIBICIONES OBSCENAS "/>
    <s v="Art 437: 21/06/2023 - Art 441: Mismo decreto"/>
    <x v="0"/>
    <x v="55"/>
    <x v="1"/>
    <x v="1"/>
    <s v="Tribunal V - Sala 1"/>
    <s v="UDIS 1 - Federico Obeid"/>
    <s v="Dr. Martin Vaca"/>
  </r>
  <r>
    <s v="175392/23"/>
    <m/>
    <s v="Figueroa, Brian Nazareno"/>
    <s v="HURTO CALIFICADO DE PRODUCTOS SEPARADOS DEL SUELO"/>
    <s v="Art 437: 25/04/2023"/>
    <x v="1"/>
    <x v="43"/>
    <x v="5"/>
    <x v="0"/>
    <s v="Tribunal V - Sala 3"/>
    <s v="FP Gral. Güemes - Dr. Vilar Rey "/>
    <s v="DOP 4 - Dr. Walter Clark"/>
  </r>
  <r>
    <s v="173103/23"/>
    <m/>
    <s v="López, Marcelo Enrique"/>
    <s v="AMENAZAS + DAÑOS"/>
    <s v="Art 437: 27/06/2023 - Art 441: Mismo decreto"/>
    <x v="3"/>
    <x v="59"/>
    <x v="13"/>
    <x v="4"/>
    <s v="Tribunal V - Sala 2"/>
    <s v="FP VFG 1 - Dra. Geria"/>
    <s v="DOP 4 - Dr. Walter Clark"/>
  </r>
  <r>
    <s v="176683/23"/>
    <m/>
    <s v="Basilio Flores, Claudia Esther"/>
    <s v="DESOBEDIENCIA JUDICIAL "/>
    <s v="Art 437: 22/05/2023 - Art 441: Mismo decreto"/>
    <x v="5"/>
    <x v="60"/>
    <x v="8"/>
    <x v="1"/>
    <s v="Tribunal V - Sala 1"/>
    <s v="FP VFG 5. Dra. Liliana Jorge"/>
    <s v="DOP 10 - Dra.Bohuid"/>
  </r>
  <r>
    <s v="184299/23"/>
    <s v="Preso"/>
    <s v="Castillo, Héctor Rafael"/>
    <s v="TENENCIA DE ESTUPEFACIENTES CON FINES DE COMERCIALIZACIÓN "/>
    <s v="Art 437: 27/06/2023 - Art 441: Mismo decreto"/>
    <x v="1"/>
    <x v="44"/>
    <x v="16"/>
    <x v="1"/>
    <s v="Tribunal V - Sala 2"/>
    <s v="UFINAR - Dr. Lopez Soto"/>
    <s v="DOP 12 - Dra. Patricia Gonzalez"/>
  </r>
  <r>
    <s v="175148/23"/>
    <m/>
    <s v="Miranda, Nicolás Martin"/>
    <s v="PRIVACIÓN ILEGÍTIMA DE LA LIBERTAD AGRAVADA "/>
    <s v="Art 437: 19/05/202 - Art 441: Mismo decreto"/>
    <x v="1"/>
    <x v="9"/>
    <x v="13"/>
    <x v="4"/>
    <s v="Tribunal V - Sala 1"/>
    <s v="FP VFG 1 - Dra. Geria"/>
    <s v="DOP 9 - Dr. Sangari"/>
  </r>
  <r>
    <s v="157245/23"/>
    <m/>
    <s v="GUAYMAS, HUGO ORLANDO - MORALES, MARISEL RAMONA"/>
    <s v="COACCIÓN Y DESOBEDIENCIA JUDICIAL "/>
    <s v="Art 437: 8/6/2023 - Art 441: Mismo Decreto"/>
    <x v="3"/>
    <x v="61"/>
    <x v="10"/>
    <x v="2"/>
    <s v="Tribunal VI - Sala 1"/>
    <s v="FP de Cerrillos - Dr. Portal"/>
    <s v="UDP Nº 8 (POR GUAYMAS) Y UDP Nº 10 - DRA. BOHUID (POR MORALES)"/>
  </r>
  <r>
    <s v="181955/23"/>
    <s v="PRESO *CON ARRESTO DOMICILIARIO"/>
    <s v="Ontiveros, Walter"/>
    <s v="ABUSO SEXUAL GRAVEMENTE ULTRAJANTE"/>
    <s v="Art 437: 01/06/2023 - Art 441: Mismo Decreto"/>
    <x v="3"/>
    <x v="23"/>
    <x v="8"/>
    <x v="1"/>
    <s v="Tribunal V - Sala 3"/>
    <s v="FP UDIS 3 - Dra. Flores Toranzo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16"/>
    <x v="18"/>
    <x v="1"/>
    <s v="Tribunal V - Sala 1"/>
    <s v="FP DDHH Dr. Gonzalez"/>
    <s v="DOP Nº 17 (POR DIEGO ARNALDO QUIROGA) - DRA. ALEJANDRA DEL VALLE (POR RIVAS, CANSINO, RODRÍGUEZBAÑAGASTA)"/>
  </r>
  <r>
    <s v="180276/23"/>
    <m/>
    <s v="Coria, Lautaro Enrique Esteban"/>
    <s v="ROBO CALIFICADO POR EFRACCIÓN"/>
    <s v="Art 437: 31/05/2023 - Art 441: Mismo decreto"/>
    <x v="3"/>
    <x v="43"/>
    <x v="10"/>
    <x v="4"/>
    <s v="Tribunal V - Sala 3"/>
    <s v="FP 6 Dr. Analía Adet Figueroa"/>
    <s v="DOP 11 - Dr. Pedro Curotto"/>
  </r>
  <r>
    <s v="170065/23"/>
    <m/>
    <s v="Loaiza, Sergio Daniel"/>
    <s v="Amenazas"/>
    <s v="Art 437: 18/5/2023 - Art 441: Mismo decreto"/>
    <x v="0"/>
    <x v="60"/>
    <x v="16"/>
    <x v="3"/>
    <s v="Tribunal VI - Sala 1"/>
    <s v="FP de Cerrillos - Dr. Portal"/>
    <s v="DOP 4 - Dr. Walter Clark"/>
  </r>
  <r>
    <s v="172724/23 y acum 176490/23"/>
    <m/>
    <s v="Canaza, Julian Cesar - Subia Sulva, Manuel Humberto - Vedia Jimenez, Angel Mariano"/>
    <s v="ROBO SIMPLE"/>
    <s v="Art 437: 16/5/2023 - Art 441: Mismo decreto"/>
    <x v="1"/>
    <x v="62"/>
    <x v="6"/>
    <x v="1"/>
    <s v="Tribunal V - Sala 3"/>
    <s v="FP de Cerrillos - Dr. Portal"/>
    <s v="DR. SERGIO AGUSTÍN ALEMÁN (Para Canaza) - DOP 2 ( Para Vedia y Subia)"/>
  </r>
  <r>
    <s v="175088/23"/>
    <m/>
    <s v="Aguirre, Luis Alberto"/>
    <s v="ABUSO SEXUAL SIMPLE AGRAVADO POR EL VÍNCULO"/>
    <s v="Art 437 19/5/2023 - Art 441 Mismo decreto"/>
    <x v="0"/>
    <x v="63"/>
    <x v="2"/>
    <x v="3"/>
    <s v="Tribunal VI - Sala 1"/>
    <s v="UDIS 1 - Federico Obeid"/>
    <s v="DOP 10 - Dra.Bohuid"/>
  </r>
  <r>
    <s v="180764/23"/>
    <s v="Preso"/>
    <s v="Pastrana, Gonzalo Martín"/>
    <s v="ABUSO SEXUAL CON ACCESO CARNAL "/>
    <s v="Art 437. 16/03/2023 - Notificado 22/03/23 - VENCE: 11/04/2023"/>
    <x v="0"/>
    <x v="64"/>
    <x v="19"/>
    <x v="1"/>
    <s v="Tribunal V - Sala 1"/>
    <s v="FP UDIS 3 - Dra. Flores Toranzo"/>
    <s v="DOP de turno"/>
  </r>
  <r>
    <s v="181955/23"/>
    <s v="PRESO *CON ARRESTO DOMICILIARIO"/>
    <s v="Ontiveros, Walter"/>
    <s v="ABUSO SEXUAL GRAVEMENTE ULTRAJANTE"/>
    <s v="Art 437: 01/06/2023 - Art 441: Mismo Decreto"/>
    <x v="3"/>
    <x v="12"/>
    <x v="1"/>
    <x v="1"/>
    <s v="Tribunal V - Sala 1"/>
    <s v="FP UDIS 3 - Dra. Flores Toranzo"/>
    <s v="DOP 8 - Dra. Cecilia Martinez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5"/>
    <x v="65"/>
    <x v="6"/>
    <x v="5"/>
    <s v="Tribunal VI - Sala 1"/>
    <s v="FP 3 - Dr. Cordoba"/>
    <s v="DR. MIGUEL NICOLÁS FERNÁNDEZ (por Unco y Janet) + DR. ARNEDO (por Unco, codefensa) + DR. BELBRUNO (por Luna)"/>
  </r>
  <r>
    <s v="183183/23"/>
    <s v="EN LIBERTAD DESDE 12/06/23"/>
    <s v="Sagayo, Leonardo Gabriel"/>
    <s v="ROBO AGRAVADO POR EL USO DE ARMAS + ROBO EN POBLADO Y EN BANDA + COACCIÓN"/>
    <s v="Art 437: 29/5/2023 - Art 441: Mismo decreto"/>
    <x v="2"/>
    <x v="66"/>
    <x v="2"/>
    <x v="2"/>
    <s v="Tribunal VI - Sala 1"/>
    <s v="FP 5 Dr. Federico Jovanovics"/>
    <s v="DOP 4 - Dr. Walter Clark"/>
  </r>
  <r>
    <s v="167962/23"/>
    <m/>
    <s v="Rivera Gustavo Gabriel"/>
    <s v="ROBO AGRAVADO POR EL USO DE ARMAS (TENTATIVA)"/>
    <s v="Art 437 24/5/2023 - Art 441: Mismo decreto"/>
    <x v="2"/>
    <x v="61"/>
    <x v="3"/>
    <x v="2"/>
    <s v="Tribunal V - Sala 1"/>
    <s v="FP 3 - Dr. Cordoba"/>
    <s v="Dr. Santiago Pedroza  (particular)"/>
  </r>
  <r>
    <s v="011848/23"/>
    <m/>
    <s v="Quiroga, Alexando Juan Facundo"/>
    <s v="DESOBEDIENCIA JUDICIAL "/>
    <s v="Art 437: 7/6/2023 - Art 441: Mismo decreto"/>
    <x v="0"/>
    <x v="67"/>
    <x v="2"/>
    <x v="2"/>
    <s v="Tribunal VI - Sala 1"/>
    <s v="FP VFG 3 - Dra. Gabriela Davalos"/>
    <s v="Dr. Hector Armando Leccese"/>
  </r>
  <r>
    <s v="174478/23"/>
    <m/>
    <s v="Alvarez, Jorge Maximiliano"/>
    <s v="DESOBEDIENCIA JUDICIAL, AMENAZAS, INCUMPLIMIENTO DE LOS DEBERES DE ASISTENCIA FAMILIAR "/>
    <s v="Art 437: 2/6/2023 - Art 441: Mismo decreto"/>
    <x v="1"/>
    <x v="16"/>
    <x v="10"/>
    <x v="1"/>
    <s v="Tribunal V - Sala 2"/>
    <s v="FP VFG 2 - Dra. Sodero Calvet"/>
    <s v="DOP 9 - Dr. Sangari"/>
  </r>
  <r>
    <s v="180980/23"/>
    <m/>
    <s v="López, Leonardo Javier"/>
    <s v="ROBO EN GRADO DE TENTATIVA"/>
    <s v="Art 437: 24/03/2023 - Art 441: 15/5/2023"/>
    <x v="2"/>
    <x v="67"/>
    <x v="19"/>
    <x v="4"/>
    <s v="Tribunal V - Sala 1"/>
    <s v="FP de Cerrillos - Dr. Portal"/>
    <s v="DOP 17 - Dr. Genovese "/>
  </r>
  <r>
    <s v="163268/23"/>
    <m/>
    <s v="Guanuco, Angel Leandro"/>
    <s v="AMENAZAS"/>
    <s v="Art 437: 27/06/2023 - Art 441: Mismo decreto"/>
    <x v="5"/>
    <x v="68"/>
    <x v="20"/>
    <x v="1"/>
    <s v="Tribunal V - Sala 1"/>
    <s v="FP VFG 3 - Dra. Gabriela Davalos"/>
    <s v="DOP 10 - Dra.Bohuid"/>
  </r>
  <r>
    <s v="184031/23"/>
    <s v="PRESOS (CUEVAS, ALEJO EN UC 1 // CUEVAS, NOELIA EN *ARRESTO DOMICILIARIO)"/>
    <s v="Cuevas, Alejo Gerardo - Cuevas, Noelia del Milagro"/>
    <s v="AMENAZAS + VIOLACIÓN DE DOMICILIO"/>
    <s v="Art 437: 27/06/2023 - Art 441: Mismo decreto"/>
    <x v="5"/>
    <x v="69"/>
    <x v="6"/>
    <x v="0"/>
    <s v="Tribunal V - Sala 1"/>
    <s v="FP Gral. Güemes - Dr. Vilar Rey "/>
    <s v="Dr. Horacio Daniel Morales"/>
  </r>
  <r>
    <s v="11571/23"/>
    <m/>
    <s v="Guzman, Marcos David"/>
    <m/>
    <m/>
    <x v="2"/>
    <x v="70"/>
    <x v="6"/>
    <x v="5"/>
    <s v="Tribunal V - Sala 3"/>
    <s v="FP 2 - Dr. Ramos Ossorio "/>
    <s v="DOP 15 - Dr. Bonetto"/>
  </r>
  <r>
    <s v="182608/23"/>
    <s v="Preso"/>
    <s v="Chocobar, Paulo Reinaldo Alejo"/>
    <s v="AMENAZAS + DESOBEDIENCIA JUDICIAL"/>
    <s v="Art 437. 28/06/2023 - Art 441: Mismo decreto"/>
    <x v="5"/>
    <x v="71"/>
    <x v="6"/>
    <x v="4"/>
    <s v="Tribunal V - Sala 2"/>
    <s v="FP El Carril - Dr. Portal"/>
    <s v="DOP 15 - Dr. Bonetto"/>
  </r>
  <r>
    <s v="181955/23"/>
    <s v="PRESO *CON ARRESTO DOMICILIARIO"/>
    <s v="Ontiveros, Walter"/>
    <s v="ABUSO SEXUAL GRAVEMENTE ULTRAJANTE"/>
    <s v="Art 437: 01/06/2023 - Art 441: Mismo Decreto"/>
    <x v="1"/>
    <x v="26"/>
    <x v="1"/>
    <x v="1"/>
    <s v="Tribunal V - Sala 1"/>
    <s v="FP UDIS 3 - Dra. Flores Toranzo"/>
    <s v="DOP 8 - Dra. Cecilia Martinez"/>
  </r>
  <r>
    <s v="181704/23"/>
    <s v="PRESO * ARRESTO DOMICILIARIO"/>
    <s v="Leal, Samuel Elías"/>
    <s v="EXHIBICIONES OBSCENAS (TRES HEHCOS) + ABUSO SEXUAL GRAVEMENTE ULTRAJANDRA (DOS HECHOS) + ABUSO SEXUAL CON ACCESO CARNAL (1 HECHO) AGRAVADO POR LA GUARDA "/>
    <s v="Art 437: 28/06/2023 - Art 441: Mismo decreto"/>
    <x v="5"/>
    <x v="72"/>
    <x v="6"/>
    <x v="3"/>
    <s v="Tribunal VI - Sala 1"/>
    <s v="UDIS 4 - Dr. Pablo Rivero"/>
    <s v="DRES. MELISA SILVINA ORTIZ CÉSPEDES + DR. GONZALO EMANUEL RAMOS"/>
  </r>
  <r>
    <s v="011618/23"/>
    <m/>
    <s v="Calpanchay, Joel Javier"/>
    <s v="AMENAZAS"/>
    <m/>
    <x v="2"/>
    <x v="73"/>
    <x v="21"/>
    <x v="1"/>
    <s v="Tribunal V - Sala 2"/>
    <s v="FP 1 Dr. Pablo Paz"/>
    <s v="DOP 1 - Dr. Federico Gutierrez"/>
  </r>
  <r>
    <s v="182986/23"/>
    <s v="PRESO *ARRESTO DOMICILIARIO"/>
    <s v="López Borelli, Federico"/>
    <s v="AMENAZAS + DESOBEDIENCIA JUDICIAL EN CONCURSO REAL"/>
    <s v="Art 437: 29/06/2023 - Art 441: Mismo decreto"/>
    <x v="2"/>
    <x v="2"/>
    <x v="22"/>
    <x v="2"/>
    <s v="Tribunal VI - Sala 1"/>
    <s v="FP de Cerrillos - Dr. Portal"/>
    <s v="DOP 2 - Dra. Liliana Linares Moron"/>
  </r>
  <r>
    <s v="157136/23"/>
    <m/>
    <s v="Castillo, Luis Fabian"/>
    <s v="Robo simple"/>
    <s v="Art 437: 30/06/2023 - Art 441: Mismo decreto"/>
    <x v="2"/>
    <x v="74"/>
    <x v="2"/>
    <x v="3"/>
    <s v="Tribunal VI - Sala 1"/>
    <s v="FP 6 Dr. Analía Adet Figueroa"/>
    <s v="DOP 16 - Dra. Carrizo Reyes"/>
  </r>
  <r>
    <s v="181672/23"/>
    <m/>
    <s v="CAMACHO, PABLO ANDRÉS - RAMOHA, JOSÉ ALBERTO ARMANDO - MARTÍNEZ, JOSÉ AUGUSTO "/>
    <s v="ROBO EN POBLADO Y EN BANDA"/>
    <s v="Art 437: 04/07/2023 - Art 441: Mismo decreto"/>
    <x v="3"/>
    <x v="4"/>
    <x v="4"/>
    <x v="4"/>
    <s v=" "/>
    <s v="FP 2 - Dr. Ramos Ossorio "/>
    <s v="DOP 6 - Lopez Figueroa, Benjamìn"/>
  </r>
  <r>
    <s v="180504/23"/>
    <m/>
    <s v="VASQUEZ, FRANCO GABRIEL"/>
    <s v="HOMICIDIO CULPOSO"/>
    <s v="Art 437: 03/07/2023 Art 441: Mismo decreto"/>
    <x v="3"/>
    <x v="4"/>
    <x v="4"/>
    <x v="2"/>
    <s v=" "/>
    <s v="GAP 1 - Dr. Leandro Flores"/>
    <s v="DOP 4 - Dr. Walter Clark"/>
  </r>
  <r>
    <s v="164182/23"/>
    <m/>
    <s v="PONS, RAÚL RUBÉN"/>
    <s v="LESIONES LEVES CALIFICADAS POR LA RELACIÓN PREEXISTENTE Y MEDIANDO VIOLENCIA DE GÉNERO + AMENAZAS EN CONCURSO REAL"/>
    <s v="Art 437: 03/07/2023 Art 441: Mismo decreto"/>
    <x v="5"/>
    <x v="75"/>
    <x v="6"/>
    <x v="2"/>
    <s v="A definir"/>
    <s v="FP de Cerrillos - Dr. Portal"/>
    <s v="DOP 6 - Lopez Figueroa, Benjamìn"/>
  </r>
  <r>
    <s v="182525/23"/>
    <m/>
    <s v="NAVAMUEL, CARLOS ALBERTO"/>
    <s v="ROBO SIMPLE "/>
    <s v="Art 437: 30/06/2023 - Art 441: Mismo decreto"/>
    <x v="1"/>
    <x v="76"/>
    <x v="23"/>
    <x v="1"/>
    <s v="Tribunal V - Sala 1"/>
    <s v="FP 5 Dr. Federico Jovanovics"/>
    <s v="DOP 11 - Dr. Pedro Curotto"/>
  </r>
  <r>
    <s v="183433/23"/>
    <m/>
    <s v="DOS SANTOS, ARIEL NAHUEL "/>
    <s v="HURTO SIMPLE"/>
    <s v="Art 437: 03/07/2023 Art 441: Mismo decreto"/>
    <x v="1"/>
    <x v="48"/>
    <x v="15"/>
    <x v="1"/>
    <s v="Tribunal V - Sala 3"/>
    <s v="FP de Cerrillos - Dr. Portal"/>
    <s v="DOP 5 - Marta Lopez"/>
  </r>
  <r>
    <s v="183342/23"/>
    <m/>
    <s v="Lamas, Walter Lucio"/>
    <s v="LESIONES LEVES CALIFICADAS POR LA RELACIÓN PREEXISTENTE Y MEDIANDO VIOLENCIA DE GÉNERO"/>
    <s v="Art 437: 27/06/2023 - Art 441: Mismo decreto"/>
    <x v="2"/>
    <x v="77"/>
    <x v="6"/>
    <x v="0"/>
    <s v="A definir"/>
    <s v="FP Rosario de Lerma. Dr. Escalante"/>
    <s v="DOP 17 - Dr. Genovese "/>
  </r>
  <r>
    <s v="11838/23"/>
    <m/>
    <s v="LÓPEZ, LEONEL JOSÉ ROBERTO"/>
    <s v="LESIONES LEVES CALIFICADAS POR LA RELACIÓN PREEXISTENTE Y MEDIANDO VIOLENCIA DE GÉNERO"/>
    <s v="Art 437: 27/06/2023 - Art 441: Mismo decreto"/>
    <x v="1"/>
    <x v="58"/>
    <x v="2"/>
    <x v="0"/>
    <s v="Tribunal V - Sala 2"/>
    <s v="FP VFG 3 - Dra. Gabriela Davalos"/>
    <s v="DOP 16 - Dra. Carrizo Reyes"/>
  </r>
  <r>
    <s v="181993/23"/>
    <m/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1"/>
    <x v="78"/>
    <x v="19"/>
    <x v="3"/>
    <s v="Tribunal VI - Sala 1"/>
    <s v="FP 3 - Dr. Cordoba"/>
    <s v="DOP 14 - Dra. Marcela Robles"/>
  </r>
  <r>
    <s v="118347/23"/>
    <m/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3"/>
    <x v="4"/>
    <x v="4"/>
    <x v="4"/>
    <s v=" "/>
    <s v="FPDEC - Dra. Salinas"/>
    <s v="DR. MARCELO EDUARDO ARANCIBIA (POR DÍAZ ISELLA) + DR. RICARDO EDUARDO SEPÚLVEDA (POR ISELLA)"/>
  </r>
  <r>
    <s v="175873/23"/>
    <m/>
    <s v="CHILO, DIEGO SEBASTIÁN - CHILO, DIEGO JESÚS"/>
    <s v="ROBO (DOS HECHOS EN CONCURSO REAL)"/>
    <s v="Art 437: 04/07/2023 - Art 441: Mismo decreto"/>
    <x v="5"/>
    <x v="67"/>
    <x v="6"/>
    <x v="0"/>
    <s v="Tribunal V - Sala 1"/>
    <s v="FP de Cerrillos - Dr. Portal"/>
    <s v="Dr. Rodríguez, Osvaldo Simón"/>
  </r>
  <r>
    <s v="181771/23"/>
    <m/>
    <s v="MAMANÍ, PEDRO GABRIEL"/>
    <s v="DESOBEDIENCIA JUDICIAL"/>
    <s v="Art 437: 03/07/2023 Art 441: Mismo decreto"/>
    <x v="2"/>
    <x v="71"/>
    <x v="24"/>
    <x v="0"/>
    <s v="Tribunal V - Sala 1"/>
    <s v="FP de Cerrillos - Dr. Portal"/>
    <s v="DOP 7 - Dr. Di Bez"/>
  </r>
  <r>
    <s v="168464/23"/>
    <m/>
    <s v="ALFARO, MARCOS SEBASTIÁN + CHAILE, JUSTINA (DEFENSA: DR. ORFEO MAGGIO) "/>
    <s v="DEFRAUDACIÓN POR ADMINISTRACIÓN FRAUDULENTA "/>
    <s v="Art 437:  - Art 441: Mismo decreto"/>
    <x v="5"/>
    <x v="79"/>
    <x v="2"/>
    <x v="2"/>
    <s v="Tribunal VI - Sala 1"/>
    <s v="FPDEC - Dra. Salinas"/>
    <s v="Dr. Orfeo Maggio - (particular)"/>
  </r>
  <r>
    <s v="183604/23"/>
    <s v="Preso"/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5"/>
    <x v="53"/>
    <x v="1"/>
    <x v="1"/>
    <s v="A definir"/>
    <s v="FP VFG 3 - Dra. Gabriela Davalos"/>
    <s v="Dra. Palavecino, Maria Lis"/>
  </r>
  <r>
    <s v="180276/23"/>
    <m/>
    <s v="CORIA, LAUTARO ENRIQUE ESTEBAN "/>
    <s v="ROBO CALIFICADO POR EFRACCIÓN"/>
    <s v="Art 437: 31/05/2023 - Art 441: Mismo decreto"/>
    <x v="5"/>
    <x v="80"/>
    <x v="25"/>
    <x v="4"/>
    <s v="Tribunal V - Sala 1"/>
    <s v="FP 6 Dr. Analía Adet Figueroa"/>
    <s v="DOP 11 - Dr. Pedro Curotto"/>
  </r>
  <r>
    <s v="184501/23"/>
    <s v="Preso"/>
    <s v="Fernández, Franco Emanuel"/>
    <s v="ROBO CALIFICADO POR EL USO DE ARMAS "/>
    <s v="Art 437: 07/07/2023 - Art 441: Mismo decreto"/>
    <x v="3"/>
    <x v="77"/>
    <x v="2"/>
    <x v="5"/>
    <s v="Tribunal VI - Sala 1"/>
    <s v="FP 5 Dr. Federico Jovanovics"/>
    <s v="DOP 14 - Dra. Marcela Robles"/>
  </r>
  <r>
    <s v="183801/23"/>
    <s v="Preso"/>
    <s v="HUAITA, VÍCTOR ALEJANDRO"/>
    <s v="PRIVACIÓN ILEGÍTIMA DE LA LIBERTAD + AMENAZAS EN CONCURSO REAL AGRAVADO + DESOBEDIENCIA JUDICIAL (CONCURSO IDEAL TODO)"/>
    <s v="Art 437: 07/07/2023 - Art 441: Mismo decreto"/>
    <x v="0"/>
    <x v="81"/>
    <x v="6"/>
    <x v="4"/>
    <s v="Tribunal V - Sala 2"/>
    <s v="FP Gral. Güemes - Dr. Vilar Rey "/>
    <s v="DOP 8 - Dra. Cecilia Martinez"/>
  </r>
  <r>
    <s v="181395/23"/>
    <s v="PRESO *ARRESTO DOMICILIARIO"/>
    <s v="LAZARTE, GASTÓN EDUARDO"/>
    <s v="ABUSO SEXUAL SIMPLE EN CONCURSO REAL CON COACCIÓN"/>
    <s v="Art 437: 07/07/2023 - Art 441: Mismo decreto"/>
    <x v="5"/>
    <x v="81"/>
    <x v="6"/>
    <x v="5"/>
    <s v="Tribunal VI - Sala 1"/>
    <s v="UDIS 4 - Dr. Pablo Rivero"/>
    <s v="Dra. Saldaño, Luciana Milagro"/>
  </r>
  <r>
    <s v="182284/23"/>
    <s v="Preso"/>
    <s v="ORQUERA, MATÍAS ALEJANDRO + GARRIDO LLAVER, FACUNDO ELÍAS"/>
    <s v="ROBO CALIFICADO POR EL USO DE ARMAS (DOS HECHOS) - PARA ORQUERA + ROBO CALIFICADO POR EL USO DE ARMAS - PARA GARRIDO"/>
    <s v="Art 437: 07/07/2023 - Art 441: Mismo decreto"/>
    <x v="3"/>
    <x v="4"/>
    <x v="4"/>
    <x v="6"/>
    <s v=" "/>
    <s v="FP 5 Dr. Federico Jovanovics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3"/>
    <x v="63"/>
    <x v="6"/>
    <x v="5"/>
    <s v="Tribunal VI - Sala 1"/>
    <s v="UFINAR - Dr. Lopez Soto"/>
    <s v="Dr. Orfeo Maggio - (particular)"/>
  </r>
  <r>
    <s v="184000/23"/>
    <s v="Preso"/>
    <s v="PAZ, MACARENA BELÉN + PAZ, ALDANA PATRICIA"/>
    <s v="TENENCIA DE ESTUPEFACIENTES CON FINES DE COMERCIALIZACIÓN "/>
    <s v="Art 437: 07/07/2023 - Art 441: Mismo decreto"/>
    <x v="5"/>
    <x v="78"/>
    <x v="6"/>
    <x v="2"/>
    <s v="Tribunal VI - Sala 1"/>
    <s v="UFINAR - Dr. Torres Rubelt"/>
    <s v="Dr. Horacio Daniel Morales"/>
  </r>
  <r>
    <s v="182283/23"/>
    <s v="PRESO *ARRESTO DOMICILIARIO"/>
    <s v="VILLALBA, FLORENCIA VALERIA  "/>
    <s v="TENENCIA DE ESTUPEFACIENTES CON FINES DE COMERCIALIZACIÓN "/>
    <s v="Art 437: 07/07/2023 - Art 441: Mismo decreto"/>
    <x v="0"/>
    <x v="48"/>
    <x v="15"/>
    <x v="4"/>
    <s v="Tribunal V - Sala 1"/>
    <s v="UFINAR - Dr. Torres Rubelt"/>
    <s v="Dr. Romano- Luciano"/>
  </r>
  <r>
    <s v="180723/23"/>
    <s v="Preso"/>
    <s v="RÍOS IVÁN EMANUEL + RUIZ, ERNESTO JULIO ISMAEL"/>
    <s v="ROBO TRIPLEMENTE CALIFICADO POR SER COMETIDO EN POBLADO Y EN BANDA MEDIANTE LESIONES GRAVES Y POR EL USO DE ARMA"/>
    <s v="Art 437: 07/07/2023 - Art 441: Mismo decreto"/>
    <x v="5"/>
    <x v="74"/>
    <x v="6"/>
    <x v="4"/>
    <s v="A definir"/>
    <s v="FP 6 Dr. Analía Adet Figueroa"/>
    <s v="DR. MAGGIO (POR RUIZ) + DR. REYES ROBERTO ADRIÁN (POR RÍOS)"/>
  </r>
  <r>
    <s v="171099/23"/>
    <m/>
    <s v="Oliva, Pablo Andres"/>
    <s v="COACCIÓN Y REDUCCIÓN A LA SERVIDUMBRE EN CONCURSO REAL"/>
    <s v="Art 437: 03/04/2023 - Notificados: 03/04/2023 - Vence: 20/04/2023"/>
    <x v="0"/>
    <x v="82"/>
    <x v="6"/>
    <x v="1"/>
    <s v="Tribunal V - Sala 2"/>
    <s v="FP VFG 2 - Dra. Sodero Calvet"/>
    <s v="DOP 12 - AUX. Dr. Martin Herrera"/>
  </r>
  <r>
    <s v="183514/23"/>
    <s v="Preso"/>
    <s v="CUELLAR, AMÉRICO CRISTIAN"/>
    <s v="DESOBEDIENCIA JUDICIAL"/>
    <s v="Art 437: 11/07/2023 - Art 441: Mismo decreto"/>
    <x v="1"/>
    <x v="81"/>
    <x v="26"/>
    <x v="4"/>
    <s v="Tribunal V - Sala 2"/>
    <s v="FP 1 Dr. Pablo Paz"/>
    <s v="DOP 9 - Dr. Sangari"/>
  </r>
  <r>
    <s v="182312/23"/>
    <s v="PRESOS: BULACIO Y RASJIDO (BALMACEDA EN LIBERTAD)"/>
    <s v="BALMACEDA, DANTE + BULACIO, JOAQUÍN + RASGIDO, LUIS"/>
    <s v="ROBO EN POBLADO Y BANDA (TENTATIVA)"/>
    <s v="Art 437: 14/07/2023 - Art 441: Mismo decreto"/>
    <x v="0"/>
    <x v="54"/>
    <x v="1"/>
    <x v="2"/>
    <s v="Tribunal VI - Sala 1"/>
    <s v="FP 1 Dr. Pablo Paz"/>
    <s v="DRA. LILIANA KARIAN AQUINO (POR BULACIO) - DR. SANTIAGO PEDROZA (POR RASJIDO) - UDP Nº 11 (DR. CUROTTO) "/>
  </r>
  <r>
    <s v="183243/23"/>
    <s v="Preso"/>
    <s v="MAMANÍ AGUILAR, JUAN CARLOS"/>
    <s v="ABUSO SEXUAL GRAVEMENTE ULTRAJANTE AGRAVADO POR LA CONVIVENCIA CON MENOR DE 18 AÑOS (DOS HECHOS)"/>
    <s v="Art 437: 11/07/2023 - Art 441: Mismo decreto"/>
    <x v="1"/>
    <x v="57"/>
    <x v="1"/>
    <x v="2"/>
    <s v="Tribunal VI - Sala 1"/>
    <s v="FP UDIS 3 - Dra. Flores Toranzo"/>
    <s v="DOP 4 - Dr. Walter Clark"/>
  </r>
  <r>
    <s v="171486/23"/>
    <m/>
    <s v="VIVAS, JOSÉ LEONEL"/>
    <s v="ESTAFA"/>
    <s v="Art 437: 06/07/2023 - Art 441: Mismo decreto"/>
    <x v="3"/>
    <x v="4"/>
    <x v="4"/>
    <x v="4"/>
    <s v=" "/>
    <s v="FP 2 - Dr. Ramos Ossorio "/>
    <s v="Dr. Corregidor, Nicolas"/>
  </r>
  <r>
    <s v="177526/23"/>
    <m/>
    <s v="TAPIA, RAMÓN GABRIEL"/>
    <s v="LEISONES AGRAVADAS + AMENAZAS + DAÑOS EN CONCURSO REAL"/>
    <s v="Art 437: 04/07/2023 - Art 441: Mismo decreto"/>
    <x v="3"/>
    <x v="4"/>
    <x v="4"/>
    <x v="1"/>
    <s v=" "/>
    <s v="FP Gral. Güemes - Dr. Vilar Rey "/>
    <s v="DOP 12 - Dra. Patricia Gonzalez"/>
  </r>
  <r>
    <s v="181663/23"/>
    <m/>
    <s v="ROMERO, ARIEL RICARDO"/>
    <s v="RESISTENCIA A LA AUTORIDAD + DESOBEDIENCIA JUDICIAL EN CONCURSO REAL"/>
    <s v="Art 437:  05/07/2023 - Art 441: Mismo decreto"/>
    <x v="0"/>
    <x v="83"/>
    <x v="2"/>
    <x v="4"/>
    <s v="Tribunal V - Sala 1"/>
    <s v="FP Gral. Güemes - Dr. Vilar Rey "/>
    <s v="DOP 2 - Dra. Liliana Linares Moron"/>
  </r>
  <r>
    <s v="179047/23"/>
    <m/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5"/>
    <x v="84"/>
    <x v="19"/>
    <x v="3"/>
    <s v="A definir"/>
    <s v="FP VFG 5. Dra. Liliana Jorge"/>
    <s v="DOP 17 - Dr. Genovese "/>
  </r>
  <r>
    <s v="183620/23"/>
    <m/>
    <s v="NAVIA, BRIAN ENZO LEONEL + RODRÍGUEZ, MAXIMILIANO EMANUEL"/>
    <s v="ROBO CALIFICADO POR ESCALAMIENTO "/>
    <s v="Art 437: 04/07/2023 - Art 441: Mismo decreto"/>
    <x v="1"/>
    <x v="51"/>
    <x v="6"/>
    <x v="1"/>
    <s v="Tribunal V - Sala 2"/>
    <s v="FP 6 Dr. Analía Adet Figueroa"/>
    <s v="DOP 6 - Lopez Figueroa, Benjamìn"/>
  </r>
  <r>
    <s v="181597/23"/>
    <m/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3"/>
    <x v="4"/>
    <x v="4"/>
    <x v="3"/>
    <s v=" "/>
    <s v="FP DDHH Dr. Gonzalez"/>
    <s v="Dr. Píntos Cordoba, Eduardo Esteban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85"/>
    <x v="19"/>
    <x v="0"/>
    <s v="Tribunal V - Sala 1"/>
    <s v="GAP 1 - Dr. Leandro Flores"/>
    <s v="Dr. Guanca, Gustavo Alfonso"/>
  </r>
  <r>
    <s v="179288/23"/>
    <m/>
    <s v="RODRÍGUEZ, JOAQUÍN LEANDRO"/>
    <s v="AMENAZAS (DOS HECHOS) + DESOBEDIENCIA JUDICIAL (DOS HECHOS)"/>
    <s v="Art 437: 07/07/2023 - Art 441: Mismo decreto"/>
    <x v="3"/>
    <x v="4"/>
    <x v="4"/>
    <x v="6"/>
    <s v=" "/>
    <s v="FP VFG 1 - Dra. Geria"/>
    <s v="DOP 3 - Dra. Karina Peralta"/>
  </r>
  <r>
    <s v="182668/23"/>
    <m/>
    <s v="ANAGUA, CARLOS ORLANDO"/>
    <s v="LESIONES LEVES AGRAVADAS POR LA RELACION DE PAREJA PREEXITENTE Y POR GÉNERO + AMENAZAS + DESOBEDIENCIA JUDIICAL EN CONCURSO REAL"/>
    <s v="Art 437: 06/07/2023 - Art 441: Mismo decreto"/>
    <x v="0"/>
    <x v="56"/>
    <x v="6"/>
    <x v="2"/>
    <s v="Tribunal VI - Sala 1"/>
    <s v="FP Gral. Güemes - Dr. Vilar Rey "/>
    <s v="DOP 15 - Dr. Bonetto"/>
  </r>
  <r>
    <s v="184089/23"/>
    <s v="Preso"/>
    <s v="Nogales, Carlos Ivan"/>
    <s v="DESOBEDIENCIA JUDICIAL (TRES HECHOS)"/>
    <s v="Art 437: 17/07/2023 - Art 441: Mismo decreto"/>
    <x v="0"/>
    <x v="85"/>
    <x v="23"/>
    <x v="5"/>
    <s v="A definir"/>
    <s v="FP VFG 3 - Dra. Gabriela Davalos"/>
    <s v="Dr. Gómez, Nicolás"/>
  </r>
  <r>
    <s v="181351/23"/>
    <s v="Preso"/>
    <s v="CARDOZO, JAVIER ENZO + GONZÁLEZ LÓPEZ, NICOLÁS EZEQUIEL + LERA, JONATHAN RAFAEL + SALVA, CRISTIAN OMAR + SALVA, NICOLÁS EDUARDO + SALVA, RAFAEL EDUARDO"/>
    <m/>
    <s v="Art 437: 20/07/2023 - Art 441: Mismo decreto"/>
    <x v="5"/>
    <x v="86"/>
    <x v="19"/>
    <x v="4"/>
    <s v="Tribunal V - Sala 1"/>
    <s v=" "/>
    <s v=" "/>
  </r>
  <r>
    <s v="182201/23"/>
    <s v="Preso"/>
    <s v="RODRÍGUEZ PONCE, BRIAN JAVIER "/>
    <s v="PRIVACIÓN ILEGÍTIMA DE LA LIBERTAD AGRAVADA, AMENAZAS, HURTO Y DESOBEDIENCIA JUDICIAL EN CONCURSO REAL"/>
    <s v="Art 437: 07/07/2023 - Art 441: Mismo decreto"/>
    <x v="0"/>
    <x v="78"/>
    <x v="27"/>
    <x v="3"/>
    <s v="Tribunal VI - Sala 1"/>
    <s v="FP VFG 2 - Dra. Sodero Calvet"/>
    <s v="DOP 10 - Dra.Bohuid"/>
  </r>
  <r>
    <s v="184487/23"/>
    <s v="Preso"/>
    <s v="POUSA CIANCIA, JUAN CRUZ"/>
    <s v="ROBO CALIFICADO POR EFRACCIÓN"/>
    <s v="Art 437: 07/07/2023 - Art 441: Mismo decreto"/>
    <x v="6"/>
    <x v="33"/>
    <x v="1"/>
    <x v="5"/>
    <s v="A definir"/>
    <s v="FP 2 - Dr. Ramos Ossorio "/>
    <s v="DOP 13 - Dra. Sandra Ortiz"/>
  </r>
  <r>
    <s v="15076/23"/>
    <m/>
    <s v="RENÉ, IGNACIO"/>
    <s v="ABUSO SEXUAL CON ACCESO CARNAL + ABUSO SEXUAL GRAVEMENTE ULTRAJANTE EN CONCURSO REAL"/>
    <s v="Art 437: 24/07/2023 - Art 441: Mismo decreto"/>
    <x v="0"/>
    <x v="87"/>
    <x v="1"/>
    <x v="3"/>
    <s v="A definir"/>
    <s v="FP UDIS 3 - Dra. Flores Toranzo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1"/>
    <x v="54"/>
    <x v="3"/>
    <x v="5"/>
    <s v="A definir"/>
    <s v="UFINAR - Dr. Lopez Soto"/>
    <s v="Dr. Orfeo Maggio - (particular)"/>
  </r>
  <r>
    <s v="183650/23"/>
    <m/>
    <s v="López, Luís Darío"/>
    <s v="ABUSO SEXUAL GRAVEMENTE ULTRAJANTE"/>
    <s v="Art 437: 13/6/2023 - Art 441: Mismo decreto"/>
    <x v="0"/>
    <x v="44"/>
    <x v="6"/>
    <x v="5"/>
    <s v="A definir"/>
    <s v="FP UDIS 2 - Dr. Gonzalez Miralpeix"/>
    <s v="Dr. Diaz Zabalaga, Luis Fernando"/>
  </r>
  <r>
    <s v="183451/23"/>
    <s v="Preso"/>
    <s v="MERCADO, MARCELO EXEQUIEL "/>
    <s v="AMENZAS ( DOS HECHOS) Y DESOBEDIENCIA JUDICIAL (DOS HECHOS) "/>
    <s v="Art 437: 26/07/2023 - Art 441: Mismo decreto"/>
    <x v="1"/>
    <x v="85"/>
    <x v="28"/>
    <x v="2"/>
    <s v="Tribunal VI - Sala 1"/>
    <s v="FP VFG 1 - Dra. Geria"/>
    <s v="Dr. Vasquez, Hector Emiliano"/>
  </r>
  <r>
    <s v="184127/23"/>
    <m/>
    <s v="AYARDE, WILFREDO "/>
    <s v="POR LESIONES LEVES AGRAVADAS POR LA RELACION DE PAREJA Y POR MEDIA VIOLENCIA DE GENERO Y COACCION, EN CONCURSO REAL "/>
    <s v="Art 437: 28/07/2023 - Art 441: Mismo decreto"/>
    <x v="1"/>
    <x v="86"/>
    <x v="2"/>
    <x v="2"/>
    <s v="Tribunal VI - Sala 1"/>
    <s v="FP Gral. Güemes - Dr. Vilar Rey "/>
    <s v="Dra. Altamirano, Rocio Sinahi"/>
  </r>
  <r>
    <s v="183523/23"/>
    <m/>
    <s v="RAMIREZ, ESTABAN ISRAEL "/>
    <s v="LESIONES AGRAVADAS POR  EL GENERO Y POR LA RELACION D PAREJA "/>
    <s v="Art 437: 26/07/2023 - Art 441: Mismo decreto"/>
    <x v="3"/>
    <x v="4"/>
    <x v="4"/>
    <x v="4"/>
    <s v=" "/>
    <s v="FP VFG 1 - Dra. Geria"/>
    <s v="Dr. López Figueroa, Jaime"/>
  </r>
  <r>
    <s v="184438/23"/>
    <s v="Preso"/>
    <s v="GUZMAN, MOISES GERARDO +  ARROYO, CRISTIAN ALBERTO "/>
    <s v="ROBO SIMPLE "/>
    <s v="Art 437: 25/07/2023 - Art 441: Mismo decreto"/>
    <x v="1"/>
    <x v="88"/>
    <x v="2"/>
    <x v="4"/>
    <s v="Tribunal V - Sala 3"/>
    <s v="FP 3 - Dr. Cordoba"/>
    <s v="DOP Nª13 Y DR MARTIN D&quot;ANDREA Y FEDERICO HENSEI HIGA "/>
  </r>
  <r>
    <s v="181351/23"/>
    <s v="Preso"/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5"/>
    <x v="86"/>
    <x v="19"/>
    <x v="4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11746/23"/>
    <m/>
    <s v="GUAYMAS VIVERO, WILLIAM ARIEL "/>
    <s v="GROOMING"/>
    <s v="Art 437: 27/07/2023 - Art 441: Mismo decreto"/>
    <x v="0"/>
    <x v="74"/>
    <x v="6"/>
    <x v="3"/>
    <s v="tribunal de impugnacion"/>
    <s v="FP UDIS 2 - Dr. Gonzalez Miralpeix"/>
    <s v="Dr. Galván, Martín Rodolfo"/>
  </r>
  <r>
    <s v="173556/23"/>
    <m/>
    <s v="TARRAGA, MODESTO ARTURO "/>
    <s v="ABUSO SEXUAL CON ACCESO CARNAL Y ABUSO SEXUAL SIMPLE EN CONCURSO REAL "/>
    <s v="Art 437: 28/07/2023 - Art 441: Mismo decreto"/>
    <x v="3"/>
    <x v="4"/>
    <x v="4"/>
    <x v="5"/>
    <s v=" "/>
    <s v="FP UDIS 1 - Dr. Obeid"/>
    <s v="Dra. Blanco, Silvia"/>
  </r>
  <r>
    <s v="148578/23"/>
    <m/>
    <s v="RAUL MARCIAL BALTAZAR "/>
    <s v="ABUSO SEXUAL SIMPLE AGRAVADO POR EL VINCULO Y LA CONVIVENCIA CON MENOR DE DIECIOCHO AÑOS "/>
    <s v="Art 437: 01/08/2023 - Art 441: Mismo decreto"/>
    <x v="1"/>
    <x v="89"/>
    <x v="2"/>
    <x v="2"/>
    <s v="Tribunal VI - Sala 1"/>
    <s v="FP UDIS 3 - Dra. Flores Toranzo"/>
    <s v="Dr. Estrada, Arnaldo Damian"/>
  </r>
  <r>
    <s v="183995/23"/>
    <s v="Preso"/>
    <s v="CARRASCO, DAMIAN FAUSTINO "/>
    <s v="ABUSO SEXUAL GRAVEMENTE ULTRAJANTE POR SU CIRCUNSTANCIA DE REALIZACION AGRAVADO POR LA GUARDA (DOS HECHOS) EN CONCURSO REAL "/>
    <s v="Art 437: 28/07/2023 - Art 441: Mismo decreto"/>
    <x v="0"/>
    <x v="90"/>
    <x v="15"/>
    <x v="5"/>
    <s v="Tribunal V - Sala 2"/>
    <s v="FP UDIS 4 - Dr. Pablo Rivero"/>
    <s v="Dr. Herrera, Gaston"/>
  </r>
  <r>
    <s v="183766/23"/>
    <s v="Preso"/>
    <s v="CHAVEZ, DIEGO + SORIANO, EMANUEL "/>
    <s v="ROBO SIMPLE + LESIONES -EVASION "/>
    <s v="Art 437: 21/07/2023 - Art 441: Mismo decreto"/>
    <x v="5"/>
    <x v="91"/>
    <x v="15"/>
    <x v="0"/>
    <s v="Tribunal V - Sala 2"/>
    <s v="FP D.S.Lorenzo - Analía Alisio"/>
    <s v="DOP 8 - Dra. Cecilia Martinez"/>
  </r>
  <r>
    <s v="18232/23"/>
    <s v="Preso"/>
    <s v="SARMIENTO, EDUARDO JULIO "/>
    <s v="ABUSO SEXUAL SIMPLE CALIFICADO; CONCURSO REAL ART,55 ABUSO SEXUAL CON ACCESO CARNAL Y  CALIFICADO "/>
    <s v="Art 437: 28/07/2023 - Art 441: Mismo decreto"/>
    <x v="1"/>
    <x v="73"/>
    <x v="2"/>
    <x v="0"/>
    <s v="Tribunal V - Sala 2"/>
    <s v="FP UDIS 1 - Federico Obeid"/>
    <s v="Dr. Soto, Cristian Maximiliano"/>
  </r>
  <r>
    <s v="184099/23"/>
    <s v="Preso"/>
    <s v="OLIVERA, NELSON FRANCO EZEQUIEL "/>
    <s v="ROBO CALIFICADO POR LAS CIRCUNSTANCIAS DEL HURTO CALIFICADO "/>
    <s v="Art 437: 27/07/2023 - Art 441: Mismo decreto"/>
    <x v="0"/>
    <x v="92"/>
    <x v="26"/>
    <x v="0"/>
    <s v="Tribunal V - Sala 1"/>
    <s v="FP 5 Dr. Federico Jovanovics"/>
    <s v="Dr. Holver Martínez, Nelson"/>
  </r>
  <r>
    <s v="167962/23"/>
    <m/>
    <s v="Rivera Gustavo Gabriel"/>
    <s v="ROBO AGRAVADO POR EL USO DE ARMAS (TENTATIVA)"/>
    <s v="Art 437: 24/5/2023 - Art 441: Mismo decreto"/>
    <x v="2"/>
    <x v="59"/>
    <x v="27"/>
    <x v="2"/>
    <s v="Tribunal VI - Sala 1"/>
    <s v="FP 3 - Dr. Cordoba"/>
    <s v="Dr. Santiago Pedroza  (particular)"/>
  </r>
  <r>
    <s v="184368/23"/>
    <s v="Preso"/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5"/>
    <x v="57"/>
    <x v="20"/>
    <x v="3"/>
    <s v="Tribunal VI - Sala 1"/>
    <s v="FP VFG 4 - Dra. Elisa Perez"/>
    <s v="DOP 4 - Dr. Walter Clark"/>
  </r>
  <r>
    <s v="181500/23"/>
    <m/>
    <s v="WITTE, PATRICIO NICOLAS "/>
    <s v="LESIONES LEVES AGRAVADAS POR LA RELACION Y POR EL GENERO, PRIVACION  ILEGITIMA DE LA LIBERTAD AGRAVADA, AMENAZAS Y SAÑOS "/>
    <s v="Art 437: 07/08/2023 - Art 441: Mismo decreto"/>
    <x v="3"/>
    <x v="4"/>
    <x v="4"/>
    <x v="3"/>
    <s v=" "/>
    <s v="FP VFG 1 - Dra. Siemensen de Bielke"/>
    <s v="DOP 6 - Lopez Figueroa, Benjamìn"/>
  </r>
  <r>
    <s v="179640/23"/>
    <s v="Preso"/>
    <s v="RIZO, VICENTE -RIZO, JORGE ADRIAN "/>
    <s v="ABUSO SEXUAL CON ACCESO CARNAL Y CALIFICADO; COACCION "/>
    <s v="Art 437: 08/08/2023 - Art 441: Mismo decreto"/>
    <x v="1"/>
    <x v="87"/>
    <x v="2"/>
    <x v="0"/>
    <s v="Tribunal V - Sala 2"/>
    <s v="FP UDIS 4 - Dr. Pablo Rivero"/>
    <s v="DRES: SILVIA BLANCO  POR VICENTE RIZO( MP 6063)  Y DANIEL ARNEDO POR JORGE ANDRIAN RIZO (MP5427) "/>
  </r>
  <r>
    <s v="182717/23"/>
    <s v="Preso"/>
    <s v="VILTE, JAIRO MARCOS EMANUEL; MONTEROS, PABLO EZEQUIEL o EXEQUIEL "/>
    <s v="ROBO DOBLEMENTE CALIFICADO POR EL USO DE ARMA DE FUEGO Y DE SER COMETIDO POR   POBLADO Y EN BANDA "/>
    <s v="Art 437: 07/08/2023 - Art 441: Mismo decreto"/>
    <x v="0"/>
    <x v="93"/>
    <x v="6"/>
    <x v="0"/>
    <s v="A definir"/>
    <s v="UNICROH - Dra. Guzman"/>
    <s v="DOP 16 - Dra. Carrizo Reyes"/>
  </r>
  <r>
    <s v="184742/23"/>
    <s v="Preso"/>
    <s v="ROJAS, FACUNDO ISAAC "/>
    <s v="TENENCIA DE ESTUPEFACIENTES CON FINES DE COMERCIALIZACIÓN Y PORTACION ILEGITIMA DE ARMA DE FUEGO DE USO CIVIL "/>
    <s v="Art 437: 03/08/2023 - Art 441: Mismo decreto"/>
    <x v="0"/>
    <x v="68"/>
    <x v="6"/>
    <x v="3"/>
    <s v="Tribunal VI - Sala 1"/>
    <s v="UFINAR - Dr. Torres Rubelt"/>
    <s v="Dr. Belbruno, Ricardo (MP 6015)"/>
  </r>
  <r>
    <s v="11807/23"/>
    <s v="Preso"/>
    <s v="CHOQUE, FRANCISCO RAMON "/>
    <s v="ABUSO SEXUAL GRAVEMENTE ULTRAJANTE Y  CALIFICADO "/>
    <s v="Art 437: 04/08/2023 - Art 441: Mismo decreto"/>
    <x v="1"/>
    <x v="83"/>
    <x v="2"/>
    <x v="5"/>
    <s v="Tribunal VI - Sala 1"/>
    <s v="FP UDIS 3 - Dra. Sodero Calvet"/>
    <s v="Dr. Holver Martínez, Nelson"/>
  </r>
  <r>
    <s v="11884/23"/>
    <m/>
    <s v="MAGNO, HUGO HERNAN MILAGRO "/>
    <s v="DESOEDIENCIA JUDICIAL "/>
    <s v="Art 437: 25/07/2023 - Art 441: Mismo decreto"/>
    <x v="1"/>
    <x v="93"/>
    <x v="19"/>
    <x v="3"/>
    <s v="A definir"/>
    <s v="FP VFG 4 - Dra. Elisa Perez"/>
    <s v="DOP 13 - Dra. Sandra Ortiz"/>
  </r>
  <r>
    <s v="180980/23"/>
    <m/>
    <s v="LÓPEZ, LEONARDO JAVIER "/>
    <s v="ROBO EN GRADO DE TENTATIVA"/>
    <s v="Art 437: 24/03/2023 - Art 441:15/05/2023"/>
    <x v="0"/>
    <x v="76"/>
    <x v="1"/>
    <x v="4"/>
    <s v="Tribunal V - Sala 1"/>
    <s v="FP de Cerrillos - Dr. Portal"/>
    <s v="DOP 17 - Dr. Genovese "/>
  </r>
  <r>
    <s v="173889/23"/>
    <s v="Preso"/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5"/>
    <x v="94"/>
    <x v="3"/>
    <x v="5"/>
    <s v="Tribunal V - Sala 2"/>
    <s v="FP UDIS 2 - Dr. Gonzalez Miralpeix"/>
    <s v="Dr. Damris Pereyra (MP 6814)"/>
  </r>
  <r>
    <s v="151868/23"/>
    <m/>
    <s v="ECHAZU, JOSE DANIEL "/>
    <s v="ABUSO SEXUAL GRAVEMENTE ULTRAJANTE (DOS HECHOS) EN CONCURSO REAL "/>
    <s v="Art 437: 14/08/2023 - Art 441: Mismo decreto"/>
    <x v="3"/>
    <x v="4"/>
    <x v="4"/>
    <x v="2"/>
    <s v=" "/>
    <s v="FP UDIS 2 - Dr. Gonzalez Miralpeix"/>
    <s v="DOP 13 - Dra. Sandra Ortiz"/>
  </r>
  <r>
    <s v="176999/23"/>
    <m/>
    <s v="ALANCAY, JUAN ALEJANDRO "/>
    <s v="AMENAZAS "/>
    <s v="Art 437: 07/08/2023 - Art 441: Mismo decreto"/>
    <x v="3"/>
    <x v="4"/>
    <x v="4"/>
    <x v="4"/>
    <s v=" "/>
    <s v="FP Gral. Güemes - Dr. Vilar Rey "/>
    <s v="DOP 6 - Lopez Figueroa, Benjamìn"/>
  </r>
  <r>
    <s v="180193/23"/>
    <m/>
    <s v="GUTIERREZ, MARIANO AGUSTIN "/>
    <s v="ROBO SIMPLE EN GRADO DE TENTATIVA "/>
    <s v="Art 437: 03/08/2023 - Art 441: Mismo decreto"/>
    <x v="3"/>
    <x v="4"/>
    <x v="4"/>
    <x v="4"/>
    <s v=" "/>
    <s v="FP 2 - Dr. Ramos Ossorio "/>
    <s v="DOP 10 - Dra.Bohuid"/>
  </r>
  <r>
    <s v="181222/23"/>
    <m/>
    <s v="GALLARDO, VALERIA NOEMI"/>
    <s v="VIOLACION DE DOMICILIO Y DAÑOS TODO ELLO EN CONCURSO REAL "/>
    <s v="Art 437: 10/08/2023 - Art 441: Mismo decreto"/>
    <x v="3"/>
    <x v="4"/>
    <x v="4"/>
    <x v="5"/>
    <s v=" "/>
    <s v="FP VFG 5. Dra. Liliana Jorge"/>
    <s v="DOP 17 - Dr. Genovese "/>
  </r>
  <r>
    <s v="176294/23"/>
    <m/>
    <s v="PEREZ, ANDRES ROBERTO "/>
    <s v="LESIONES AGRAVADS "/>
    <s v="Art 437: 11/08/2023 - Art 441: Mismo decreto"/>
    <x v="0"/>
    <x v="95"/>
    <x v="19"/>
    <x v="2"/>
    <s v="Tribunal VI - Sala 1"/>
    <s v="FP VFG 1 - Dra. Siemensen de Bielke"/>
    <s v="DOP 17 - Dr. Genovese "/>
  </r>
  <r>
    <s v="181581/23"/>
    <m/>
    <s v="GUAYMAS, SERGIO RAMON "/>
    <s v="LESIONES AGRAVADAS "/>
    <s v="Art 437: 08/08/2023 - Art 441: Mismo decreto"/>
    <x v="3"/>
    <x v="4"/>
    <x v="4"/>
    <x v="1"/>
    <s v=" "/>
    <s v="FP VFG 5. Dra. Liliana Jorge"/>
    <s v="DOP 17 - Dr. Genovese "/>
  </r>
  <r>
    <s v="183257/23"/>
    <m/>
    <s v="SOSA, MAURICIO NADIR "/>
    <s v="LESIONES GRAVES "/>
    <s v="Art 437: 10/08/2023 - Art 441: Mismo decreto"/>
    <x v="3"/>
    <x v="4"/>
    <x v="4"/>
    <x v="4"/>
    <s v=" "/>
    <s v="FP Gral. Güemes - Dr. Vilar Rey "/>
    <s v="DOP 6 - Lopez Figueroa, Benjamìn"/>
  </r>
  <r>
    <s v="167962/23"/>
    <m/>
    <s v="Rivera Gustavo Gabriel"/>
    <s v="ROBO AGRAVADO POR EL USO DE ARMAS (TENTATIVA)"/>
    <s v="Art 437: 24/5/2023 - Art 441: Mismo decreto"/>
    <x v="1"/>
    <x v="96"/>
    <x v="29"/>
    <x v="2"/>
    <s v="Tribunal VI - Sala 1"/>
    <s v="FP 3 - Dr. Cordoba"/>
    <s v="Dr. Santiago Pedroza  (particular)"/>
  </r>
  <r>
    <s v="184787/23"/>
    <s v="Preso"/>
    <s v="CORTEZ, FERNANDO NICOLÁS + BEJARANO, ARMANDO "/>
    <s v="TENTATIVA DE HURTO Y AMENAZAS EN CONCURSO REAL "/>
    <s v="Art: 437: 11/08/2023 - Art. 441: mismo decreto"/>
    <x v="3"/>
    <x v="4"/>
    <x v="4"/>
    <x v="6"/>
    <s v=" "/>
    <s v="FP 3 - Dr. Cordoba"/>
    <s v="DOP 16 - Dra. Carrizo Reyes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73"/>
    <x v="30"/>
    <x v="0"/>
    <s v="A definir"/>
    <s v="GAP 1 - Dr. Leandro Flores"/>
    <s v="Dr. Guanca, Gustavo Alfonso"/>
  </r>
  <r>
    <s v="184501/23"/>
    <s v="Preso"/>
    <s v="Fernández, Franco Emanuel"/>
    <s v="ROBO CALIFICADO POR EL USO DE ARMAS "/>
    <s v="Art 437: 07/07/2023 - Art 441: Mismo decreto"/>
    <x v="1"/>
    <x v="92"/>
    <x v="2"/>
    <x v="5"/>
    <s v="Tribunal VI - Sala 1"/>
    <s v="FP 5 Dr. Federico Jovanovics"/>
    <s v="DOP 14 - Dra. Marcela Robles"/>
  </r>
  <r>
    <s v="178678/23"/>
    <m/>
    <s v="LEMOS, RICARDO LUIS"/>
    <s v="LESIONES AGRAVADAS"/>
    <s v="Art 437: 11/08/2023 - Art 441: Mismo decreto"/>
    <x v="3"/>
    <x v="4"/>
    <x v="4"/>
    <x v="4"/>
    <s v=" "/>
    <s v="FP VFG 2 - Dra. Sodero Calvet"/>
    <s v="DOP 14 - Dra. Marcela Robles"/>
  </r>
  <r>
    <s v="182986/23"/>
    <s v="PRESO *ARRESTO DOMICILIARIO"/>
    <s v="López Borelli, Federico"/>
    <s v="AMENAZAS + DESOBEDIENCIA JUDICIAL EN CONCURSO REAL"/>
    <s v="Art 437: 29/06/2023 - Art 441: Mismo decreto"/>
    <x v="1"/>
    <x v="78"/>
    <x v="27"/>
    <x v="2"/>
    <s v="A definir"/>
    <s v="FP de Cerrillos - Dr. Portal"/>
    <s v="DOP 2 - Dra. Liliana Linares Moron"/>
  </r>
  <r>
    <s v="180145/23"/>
    <m/>
    <s v="PACHECO, JAVIER ALEJANDRO "/>
    <s v="ROBO SIMPLE EN  GRADO DE TENTATIVA; HURTO CON ESCALAMIENTO EN GRADO DE TENTATIVA Y HURTO SIMPLE EN GRADO DE TENTATIVA "/>
    <s v="Art. 437: 10/08/2023- Art 441 mismo decreto "/>
    <x v="3"/>
    <x v="4"/>
    <x v="4"/>
    <x v="4"/>
    <s v=" "/>
    <s v="FP 3 - Dr. Cordoba"/>
    <s v="DOP 10 - Dra.Bohuid"/>
  </r>
  <r>
    <s v="183342/23"/>
    <m/>
    <s v="Lamas, Walter Lucio"/>
    <s v="LESIONES LEVES CALIFICADAS POR LA RELACIÓN PREEXISTENTE Y MEDIANDO VIOLENCIA DE GÉNERO"/>
    <s v="Art 437: 27/06/2023 - Art 441: Mismo decreto"/>
    <x v="0"/>
    <x v="70"/>
    <x v="27"/>
    <x v="0"/>
    <s v="Tribunal V - Sala 1"/>
    <s v="FP Rosario de Lerma. Dr. Escalante"/>
    <s v="DOP 17 - Dr. Genovese "/>
  </r>
  <r>
    <s v="184389/23"/>
    <s v="Preso"/>
    <s v="DELGADO, DIEGO EMLIANO "/>
    <s v="AMENAZAS Y DESOBEDICIENCIA JUDICIAL EN CONCURSO REAL "/>
    <s v="Art 437: 11/08/2023 - Art 441: Mismo decreto"/>
    <x v="5"/>
    <x v="76"/>
    <x v="19"/>
    <x v="5"/>
    <s v="Tribunal VI - Sala 1"/>
    <s v="FP D.S.Lorenzo - Analía Alisio"/>
    <s v="DOP 13 - Dra. Sandra Ortiz"/>
  </r>
  <r>
    <s v="184000/23"/>
    <s v="Preso"/>
    <s v="PAZ, MACARENA BELÉN + PAZ, ALDANA PATRICIA"/>
    <s v="TENENCIA DE ESTUPEFACIENTES CON FINES DE COMERCIALIZACIÓN "/>
    <s v="Art 437: 07/07/2023 - Art 441: Mismo decreto"/>
    <x v="5"/>
    <x v="83"/>
    <x v="26"/>
    <x v="2"/>
    <s v="Tribunal VI - Sala 1"/>
    <s v="UFINAR - Dr. Torres Rubelt"/>
    <s v="Dr. Horacio Daniel Morales"/>
  </r>
  <r>
    <s v="157136/23"/>
    <m/>
    <s v="Castillo, Luis Fabian"/>
    <s v="Robo simple"/>
    <s v="Art 437: 30/06/2023 - Art 441: Mismo decreto"/>
    <x v="1"/>
    <x v="84"/>
    <x v="6"/>
    <x v="3"/>
    <s v="Tribunal V - Sala 3"/>
    <s v="FP 6 Dr. Analía Adet Figueroa"/>
    <s v="DOP 16 - Dra. Carrizo Reyes"/>
  </r>
  <r>
    <s v="173103/23"/>
    <m/>
    <s v="López, Marcelo Enrique"/>
    <s v="AMENAZAS + DAÑOS"/>
    <s v="Art 437: 23/08/2023 - Art 441: PENDIENTE"/>
    <x v="3"/>
    <x v="4"/>
    <x v="4"/>
    <x v="4"/>
    <s v=" "/>
    <s v="FP VFG 1 - Dra. Geria"/>
    <s v="DOP 6 - Lopez Figueroa, Benjamìn"/>
  </r>
  <r>
    <s v="167920/23"/>
    <m/>
    <s v="Olmedo, Nicolas Daniel"/>
    <s v="COACCIÓN"/>
    <s v="Art 437: 12/6/2023 - Art 441: Mismo decreto"/>
    <x v="5"/>
    <x v="4"/>
    <x v="4"/>
    <x v="0"/>
    <s v=" "/>
    <s v="FP VFG 2 - Dra. Sodero Calvet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5"/>
    <x v="97"/>
    <x v="31"/>
    <x v="1"/>
    <s v="Tribunal V - Sala 1"/>
    <s v="FP DDHH Dr. Gonzalez"/>
    <s v="DOP Nº 17 (POR DIEGO ARNALDO QUIROGA) - DRA. ALEJANDRA DEL VALLE (POR RIVAS, CANSINO, RODRÍGUEZBAÑAGASTA)"/>
  </r>
  <r>
    <s v="176683/23"/>
    <m/>
    <s v="Basilio Flores, Claudia Esther"/>
    <s v="DESOBEDIENCIA JUDICIAL "/>
    <s v="Art 437: 22/05/2023 - Art 441: Mismo decreto"/>
    <x v="1"/>
    <x v="86"/>
    <x v="6"/>
    <x v="1"/>
    <s v="Tribunal V - Sala 2"/>
    <s v="FP VFG 5. Dra. Liliana Jorge"/>
    <s v="DOP 10 - Dra.Bohuid"/>
  </r>
  <r>
    <s v="183240/23"/>
    <s v="PRESO "/>
    <s v=" Morel, Javier Andres "/>
    <s v="COACCION Y COACCION CON ARMA (DOS HECHOS) "/>
    <s v="Art 437 22/08/2023 - Art 441: mismo decreto "/>
    <x v="0"/>
    <x v="86"/>
    <x v="6"/>
    <x v="4"/>
    <s v="Tribunal V - Sala 3"/>
    <s v="FP. VFG Nª 1 DRA: CLAUDIA GERIA "/>
    <s v="DOP Nª 5  "/>
  </r>
  <r>
    <s v="181757/23"/>
    <s v="PRESO "/>
    <s v="SAJAMA, JUAN GUILLERMO "/>
    <s v="ABUSO SEXUAL CON ACCESO CARNAL  "/>
    <s v="Art 437 18/08/2023 Art 441mismo decreto "/>
    <x v="5"/>
    <x v="55"/>
    <x v="1"/>
    <x v="3"/>
    <s v="Tribunal VI - Sala 1"/>
    <s v="UDIS Nª 2 DR: GONZALO MIRALPEIX "/>
    <s v="DR: RICARDO BELBRUNO M.P 6015 "/>
  </r>
  <r>
    <s v="184666/23"/>
    <s v="PRESO "/>
    <s v="CAMARGO, BEATRIZ ZULMA "/>
    <s v="ESTAFA (DOS HECHOS) Y ESTAFA EN GRADO DE TENTATIVA (TRES HECHOS9 "/>
    <s v="Art 437 22/08/2023 - Art 441: mismo decreto "/>
    <x v="1"/>
    <x v="90"/>
    <x v="6"/>
    <x v="5"/>
    <s v="A definir"/>
    <s v="FISCALIA PENAL Nª 5 FEDERICO JOVANOVICS "/>
    <s v="DR: ORFEO MAGGIO "/>
  </r>
  <r>
    <s v="169149/23"/>
    <m/>
    <s v="LOPEZ HEREDIA, JOSE CARLOS "/>
    <s v="DESOBEDIENCIA JUDICIAL, VIOLACION DE DOMICILIO, AMENAZAS Y ROBO TODO EN CONCURSO REAL "/>
    <s v="Art 437 22/08/2023 - Art 441: mismo decreto "/>
    <x v="3"/>
    <x v="4"/>
    <x v="4"/>
    <x v="2"/>
    <s v=" "/>
    <s v="FPVG Nª 4 DRA: ELISA PEREZ "/>
    <s v="DOP Nª 6 DR: JAIME LOPEZ FIGUEROA "/>
  </r>
  <r>
    <s v="120942/23"/>
    <m/>
    <s v="VAZQUEZ, JOSE ALEJANDRO "/>
    <s v="ABUSO SEXUAL SIMPLE CALIFICADO  "/>
    <s v="Art 437 22/08/2023 - Art 441: mismo decreto "/>
    <x v="3"/>
    <x v="79"/>
    <x v="1"/>
    <x v="4"/>
    <s v="Tribunal V - Sala 2"/>
    <s v="FP UDIS 1 - Dr. Obeid"/>
    <s v="DR: MASILLA DANIEL DAVID "/>
  </r>
  <r>
    <s v="182775/23"/>
    <m/>
    <s v="PEÑA, JUAN JOSE MAXILILIANO "/>
    <s v="AMENAZAS, AMENAZAS CON ARMA, HUERTO Y DESOBEDIENCIA JUDICIAL "/>
    <s v="Art 437 22/08/2023 - Art 441: mismo decreto "/>
    <x v="3"/>
    <x v="4"/>
    <x v="4"/>
    <x v="2"/>
    <s v=" "/>
    <s v="FP VFG 1 - Dra. Siemensen de Bielke"/>
    <s v="DOP 17 - Dr. Genovese "/>
  </r>
  <r>
    <s v="178878/23"/>
    <m/>
    <s v="VILTE, JORGE ANTONIO "/>
    <s v="FALSA DENUNCIA "/>
    <s v="Art 437  16/08/2023- Art 441 MISMO DECRETO "/>
    <x v="3"/>
    <x v="98"/>
    <x v="27"/>
    <x v="1"/>
    <s v="Tribunal V - Sala 3"/>
    <s v="FP 2 - Dr. Ramos Ossorio "/>
    <s v="DR: RAMIRO SEBASTIAN GUTIERREZ "/>
  </r>
  <r>
    <s v="173309/23"/>
    <m/>
    <s v="FABIAN, JOSE ALEJANDRO "/>
    <s v="COACCIONES AGRAVADAS POR USO DE ARMAS O ANONIMA "/>
    <s v="Art 437 17/08/2023- Art 441MISMO DECRETO "/>
    <x v="3"/>
    <x v="98"/>
    <x v="6"/>
    <x v="1"/>
    <s v="Tribunal V - Sala 3"/>
    <s v="FP VFG 3 - Dra. Gabriela Davalos"/>
    <s v="DOP 8 - Dra. Cecilia Martinez"/>
  </r>
  <r>
    <s v="1847940/23"/>
    <m/>
    <s v="LAVAYEN, RODRIGO DAMIAN "/>
    <s v="AMENAZAS  "/>
    <s v="Art 437 24/08/2023-Art 441 MISMO DECRETO "/>
    <x v="3"/>
    <x v="4"/>
    <x v="4"/>
    <x v="2"/>
    <s v=" "/>
    <s v="FP 1 Dr. Pablo Paz"/>
    <s v="DOP 2 - Dra. Liliana Linares Moron"/>
  </r>
  <r>
    <s v="166523/23"/>
    <m/>
    <s v="OSINAGA, OSCAR ANTONIO ; SANDOVAL, RENE ADOLFO "/>
    <s v="LESIONES AGRAVADAS; DAÑOS AGRAVADOS; AMENAZAS "/>
    <s v="Art 437 23/08/2023 Art 441 MISMO DECRETO "/>
    <x v="3"/>
    <x v="80"/>
    <x v="22"/>
    <x v="0"/>
    <s v="A definir"/>
    <s v="FP 5 Dr. Federico Jovanovics"/>
    <s v="DOP 9 -"/>
  </r>
  <r>
    <s v="169095/23"/>
    <m/>
    <s v="CHAZARRETA, JUAN MANUEL "/>
    <s v="ABUSOO SEXUAL SIMPLE; CONCURSO REAL ART.55 "/>
    <s v="Art 437 25/08/2023 MISMO DECRETO "/>
    <x v="3"/>
    <x v="4"/>
    <x v="4"/>
    <x v="0"/>
    <s v=" "/>
    <s v="FP UDIS 3 - Dra. Sodero Calvet"/>
    <s v="DR: VIDAL VILLALBA SAMANIEGO"/>
  </r>
  <r>
    <s v="182488/23"/>
    <s v="PRESO "/>
    <s v="BAIS LUCHINI, EDUARDO MAURICIO "/>
    <s v="ABUSO SEXUAL CON ACCESO CARNAL "/>
    <s v="Art 437 29/08/2023 Art 441 MISMO DECRETO "/>
    <x v="0"/>
    <x v="79"/>
    <x v="19"/>
    <x v="0"/>
    <s v="Tribunal V - Sala 3"/>
    <s v="FP UDIS 1 - Dr. Obeid"/>
    <s v="DOP 5 - Marta Lopez"/>
  </r>
  <r>
    <s v="180972/23"/>
    <m/>
    <s v="PEREZ, MIGUEL ANGEL "/>
    <s v="AMENAZAS Y LESIONES LEVES EN CONCURSO REAL "/>
    <s v="Art 437 29/08/2023 Art 441 MISMO DECRETO "/>
    <x v="3"/>
    <x v="4"/>
    <x v="4"/>
    <x v="4"/>
    <s v=" "/>
    <s v="FP Cerrrilos Dra. Analia Adet "/>
    <s v="DOP 17 - Dr. Genovese "/>
  </r>
  <r>
    <s v="177112/23"/>
    <m/>
    <s v="CUELLAR, JULIAN NAHIR; ROJAS, JUAN MAURICIO "/>
    <s v="HURTO CALIFICADO "/>
    <s v="Art 437  29/08/2023 Art 441 MISMO DECRETO "/>
    <x v="3"/>
    <x v="4"/>
    <x v="4"/>
    <x v="1"/>
    <s v=" "/>
    <s v="FP Gral. Güemes - Dr. Vilar Rey "/>
    <s v="DOP 16 - Dra. Carrizo Reyes"/>
  </r>
  <r>
    <s v="178942/23"/>
    <m/>
    <s v="DIAZ, VANESA DANIELA "/>
    <s v="ABANDONO DE PERSONA AMENAZAS CON ARMAS LESIONES LEVES TODO ELLO EN CONCURSO REAL "/>
    <s v="Art 437 30/08/2023 Art 441 MISMO DECRETO "/>
    <x v="3"/>
    <x v="4"/>
    <x v="4"/>
    <x v="5"/>
    <s v=" "/>
    <s v="FP VFG 4 - Dra. Elisa Perez"/>
    <s v="DOP 14 - Dra. Marcela Robles"/>
  </r>
  <r>
    <s v="177804/23"/>
    <m/>
    <s v="ORTEGA, ALVARO BENJAMIN "/>
    <s v="HURTO Y FALSA DENUNCIA "/>
    <s v="Art 437 29/08/2023 Art 441 MISMO DECRETO "/>
    <x v="3"/>
    <x v="4"/>
    <x v="4"/>
    <x v="3"/>
    <s v=" "/>
    <s v="FP Rosario de Lerma. Dr. Escalante"/>
    <s v="DOP 6 - Lopez Figueroa, Benjamìn"/>
  </r>
  <r>
    <s v="183591/23"/>
    <m/>
    <s v="ALDERETE, PATRICIO JESUS "/>
    <s v="ROBO CALIFICADO POR EFRACCION EN GRADO DE TENTATIVA "/>
    <s v="Art 437 29/08/2023 Art 441 MISMO DECRETO "/>
    <x v="3"/>
    <x v="4"/>
    <x v="4"/>
    <x v="3"/>
    <s v=" "/>
    <s v="FP Gral. Güemes - Dr. Vilar Rey "/>
    <s v="DOP 6 - Lopez Figueroa, Benjamìn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1"/>
    <x v="79"/>
    <x v="6"/>
    <x v="4"/>
    <s v="A definir"/>
    <s v="FP VFG 5. Dra. Liliana Jorge"/>
    <s v="DOP 4 - Dr. Walter Clark"/>
  </r>
  <r>
    <s v="011618/23"/>
    <m/>
    <s v="Calpanchay, Joel Javier"/>
    <s v="AMENAZAS"/>
    <m/>
    <x v="5"/>
    <x v="90"/>
    <x v="20"/>
    <x v="1"/>
    <s v="Tribunal V - Sala 1"/>
    <s v="FP 1 Dr. Pablo Paz"/>
    <s v=" "/>
  </r>
  <r>
    <s v="167928/23"/>
    <m/>
    <s v="ARAMAYO, JOSÉ ALBERTO"/>
    <s v="ABUSO SEXUAL CON ACCESO CARNAL + ABUSO SEXUAL SIMPLE"/>
    <s v="Art 437 07/08/2023 Art 441 MISMO DECRETO"/>
    <x v="1"/>
    <x v="80"/>
    <x v="2"/>
    <x v="4"/>
    <s v="Tribunal V - Sala 1"/>
    <s v="FP UDIS 3 - Dra. Sodero Calvet"/>
    <s v="Dr. Luis Fernando Díaz Zabalaga + Dr. Juan José Damuri"/>
  </r>
  <r>
    <s v="182625/23"/>
    <m/>
    <s v="HERRERA, RAMON EZEQUIEL "/>
    <s v="AMENAZAS. (CINCO HECHOS) "/>
    <s v="Art 437 31/08/2023 Art 441 MISMO DECRETO "/>
    <x v="3"/>
    <x v="4"/>
    <x v="4"/>
    <x v="0"/>
    <s v=" "/>
    <s v="FP VFG 1 - Dra. Siemensen de Bielke"/>
    <s v="DOP 15 - Dr. Bonetto"/>
  </r>
  <r>
    <s v="184663/23"/>
    <m/>
    <s v="SORIA, SERGIO EMANUEL "/>
    <s v="AMENAZAS (DOS HECHOS)  "/>
    <s v="Art 437 31/08/2023 Art 441 MISMO DECRETO "/>
    <x v="3"/>
    <x v="4"/>
    <x v="4"/>
    <x v="4"/>
    <s v=" "/>
    <s v="FP VFG 1 - Dra. Siemensen de Bielke"/>
    <s v="DR: LAUTARO EZEQUIEL HUMACATA "/>
  </r>
  <r>
    <s v="185404/23"/>
    <m/>
    <s v="CHOCOBAR, SERGIO MAXIMILIANO "/>
    <s v="AMENAZAS CON ARMA  "/>
    <s v="Art 437 31/08/2023 Art 441 MISMO DECRETO "/>
    <x v="3"/>
    <x v="4"/>
    <x v="4"/>
    <x v="2"/>
    <s v=" "/>
    <s v="FP Cerrrilos Dra. Analia Adet "/>
    <s v="DOP 6 - Lopez Figueroa, Benjamì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A16" firstHeaderRow="1" firstDataRow="1" firstDataCol="1" rowPageCount="1" colPageCount="1"/>
  <pivotFields count="10">
    <pivotField showAll="0"/>
    <pivotField showAll="0"/>
    <pivotField showAll="0"/>
    <pivotField axis="axisRow" showAll="0">
      <items count="8">
        <item x="1"/>
        <item x="3"/>
        <item x="5"/>
        <item x="6"/>
        <item x="4"/>
        <item x="2"/>
        <item x="0"/>
        <item t="default"/>
      </items>
    </pivotField>
    <pivotField axis="axisPage" showAll="0">
      <items count="100">
        <item x="35"/>
        <item x="37"/>
        <item x="38"/>
        <item x="39"/>
        <item x="1"/>
        <item x="40"/>
        <item x="36"/>
        <item x="41"/>
        <item x="42"/>
        <item x="43"/>
        <item x="44"/>
        <item x="45"/>
        <item x="46"/>
        <item x="47"/>
        <item x="48"/>
        <item x="25"/>
        <item x="49"/>
        <item x="2"/>
        <item x="26"/>
        <item x="50"/>
        <item x="51"/>
        <item x="52"/>
        <item x="53"/>
        <item x="3"/>
        <item x="54"/>
        <item x="27"/>
        <item x="55"/>
        <item x="4"/>
        <item x="28"/>
        <item x="5"/>
        <item x="29"/>
        <item x="6"/>
        <item x="7"/>
        <item x="8"/>
        <item x="30"/>
        <item x="31"/>
        <item x="9"/>
        <item x="10"/>
        <item x="56"/>
        <item x="57"/>
        <item x="11"/>
        <item x="32"/>
        <item x="33"/>
        <item x="58"/>
        <item x="59"/>
        <item x="12"/>
        <item x="13"/>
        <item x="60"/>
        <item x="61"/>
        <item x="62"/>
        <item x="63"/>
        <item x="64"/>
        <item x="65"/>
        <item x="14"/>
        <item x="15"/>
        <item x="66"/>
        <item x="16"/>
        <item x="17"/>
        <item x="67"/>
        <item x="68"/>
        <item x="69"/>
        <item x="18"/>
        <item x="19"/>
        <item x="70"/>
        <item x="20"/>
        <item x="21"/>
        <item x="22"/>
        <item x="71"/>
        <item x="23"/>
        <item x="72"/>
        <item x="73"/>
        <item x="74"/>
        <item x="34"/>
        <item x="75"/>
        <item x="2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0"/>
        <item t="default"/>
      </items>
    </pivotField>
    <pivotField axis="axisRow" showAll="0">
      <items count="33">
        <item x="28"/>
        <item x="27"/>
        <item x="20"/>
        <item x="13"/>
        <item x="31"/>
        <item x="17"/>
        <item x="16"/>
        <item x="12"/>
        <item x="29"/>
        <item x="22"/>
        <item x="15"/>
        <item x="3"/>
        <item x="14"/>
        <item x="9"/>
        <item x="30"/>
        <item x="24"/>
        <item x="25"/>
        <item x="23"/>
        <item x="18"/>
        <item x="4"/>
        <item x="19"/>
        <item x="1"/>
        <item x="11"/>
        <item x="5"/>
        <item x="21"/>
        <item x="2"/>
        <item x="7"/>
        <item x="8"/>
        <item x="6"/>
        <item x="26"/>
        <item x="10"/>
        <item x="0"/>
        <item t="default"/>
      </items>
    </pivotField>
    <pivotField axis="axisRow" showAll="0">
      <items count="8">
        <item x="2"/>
        <item x="6"/>
        <item x="3"/>
        <item x="4"/>
        <item x="1"/>
        <item x="5"/>
        <item x="0"/>
        <item t="default"/>
      </items>
    </pivotField>
    <pivotField showAll="0"/>
    <pivotField showAll="0"/>
    <pivotField showAll="0"/>
  </pivotFields>
  <rowFields count="3">
    <field x="6"/>
    <field x="3"/>
    <field x="5"/>
  </rowFields>
  <rowItems count="12">
    <i>
      <x v="2"/>
    </i>
    <i r="1">
      <x/>
    </i>
    <i r="2">
      <x v="13"/>
    </i>
    <i r="1">
      <x v="4"/>
    </i>
    <i r="2">
      <x v="3"/>
    </i>
    <i>
      <x v="3"/>
    </i>
    <i r="1">
      <x v="5"/>
    </i>
    <i r="2">
      <x v="12"/>
    </i>
    <i>
      <x v="6"/>
    </i>
    <i r="1">
      <x v="1"/>
    </i>
    <i r="2">
      <x v="10"/>
    </i>
    <i t="grand">
      <x/>
    </i>
  </rowItems>
  <colItems count="1">
    <i/>
  </colItems>
  <pageFields count="1">
    <pageField fld="4" item="87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D4:D13" firstHeaderRow="1" firstDataRow="1" firstDataCol="1" rowPageCount="1" colPageCount="1"/>
  <pivotFields count="12">
    <pivotField showAll="0"/>
    <pivotField showAll="0"/>
    <pivotField showAll="0"/>
    <pivotField showAll="0"/>
    <pivotField showAll="0"/>
    <pivotField axis="axisRow" showAll="0">
      <items count="8">
        <item x="3"/>
        <item x="0"/>
        <item x="4"/>
        <item x="6"/>
        <item x="1"/>
        <item x="5"/>
        <item x="2"/>
        <item t="default"/>
      </items>
    </pivotField>
    <pivotField axis="axisPage" showAll="0">
      <items count="100">
        <item x="39"/>
        <item x="0"/>
        <item x="1"/>
        <item x="5"/>
        <item x="31"/>
        <item x="10"/>
        <item x="20"/>
        <item x="14"/>
        <item x="18"/>
        <item x="21"/>
        <item x="22"/>
        <item x="25"/>
        <item x="27"/>
        <item x="29"/>
        <item x="32"/>
        <item x="35"/>
        <item x="62"/>
        <item x="15"/>
        <item x="40"/>
        <item x="34"/>
        <item x="36"/>
        <item x="41"/>
        <item x="45"/>
        <item x="37"/>
        <item x="47"/>
        <item x="42"/>
        <item x="50"/>
        <item x="2"/>
        <item x="6"/>
        <item x="8"/>
        <item x="9"/>
        <item x="38"/>
        <item x="23"/>
        <item x="11"/>
        <item x="3"/>
        <item x="7"/>
        <item x="12"/>
        <item x="16"/>
        <item x="82"/>
        <item x="19"/>
        <item x="13"/>
        <item x="43"/>
        <item x="60"/>
        <item x="26"/>
        <item x="65"/>
        <item x="24"/>
        <item x="17"/>
        <item x="64"/>
        <item x="52"/>
        <item x="28"/>
        <item x="46"/>
        <item x="72"/>
        <item x="69"/>
        <item x="61"/>
        <item x="63"/>
        <item x="54"/>
        <item x="77"/>
        <item x="30"/>
        <item x="53"/>
        <item x="49"/>
        <item x="33"/>
        <item x="44"/>
        <item x="66"/>
        <item x="58"/>
        <item x="67"/>
        <item x="59"/>
        <item x="71"/>
        <item x="85"/>
        <item x="70"/>
        <item x="81"/>
        <item x="78"/>
        <item x="92"/>
        <item x="74"/>
        <item x="57"/>
        <item x="73"/>
        <item x="68"/>
        <item x="96"/>
        <item x="48"/>
        <item x="93"/>
        <item x="84"/>
        <item x="88"/>
        <item x="91"/>
        <item x="87"/>
        <item x="94"/>
        <item x="90"/>
        <item x="75"/>
        <item x="76"/>
        <item x="79"/>
        <item x="55"/>
        <item x="86"/>
        <item x="80"/>
        <item x="83"/>
        <item x="95"/>
        <item x="98"/>
        <item x="56"/>
        <item x="51"/>
        <item x="97"/>
        <item x="89"/>
        <item x="4"/>
        <item t="default"/>
      </items>
    </pivotField>
    <pivotField axis="axisRow" showAll="0">
      <items count="33">
        <item x="29"/>
        <item x="30"/>
        <item x="0"/>
        <item x="6"/>
        <item x="31"/>
        <item x="24"/>
        <item x="27"/>
        <item x="3"/>
        <item x="15"/>
        <item x="23"/>
        <item x="19"/>
        <item x="22"/>
        <item x="2"/>
        <item x="1"/>
        <item x="25"/>
        <item x="26"/>
        <item x="20"/>
        <item x="28"/>
        <item x="21"/>
        <item x="17"/>
        <item x="11"/>
        <item x="5"/>
        <item x="10"/>
        <item x="12"/>
        <item x="16"/>
        <item x="9"/>
        <item x="13"/>
        <item x="7"/>
        <item x="8"/>
        <item x="14"/>
        <item x="18"/>
        <item x="4"/>
        <item t="default"/>
      </items>
    </pivotField>
    <pivotField axis="axisRow" showAll="0">
      <items count="8"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showAll="0"/>
  </pivotFields>
  <rowFields count="3">
    <field x="8"/>
    <field x="7"/>
    <field x="5"/>
  </rowFields>
  <rowItems count="9">
    <i>
      <x v="4"/>
    </i>
    <i r="1">
      <x v="3"/>
    </i>
    <i r="2">
      <x v="4"/>
    </i>
    <i r="1">
      <x v="13"/>
    </i>
    <i r="2">
      <x v="1"/>
    </i>
    <i>
      <x v="5"/>
    </i>
    <i r="1">
      <x v="13"/>
    </i>
    <i r="2">
      <x v="5"/>
    </i>
    <i t="grand">
      <x/>
    </i>
  </rowItems>
  <colItems count="1">
    <i/>
  </colItems>
  <pageFields count="1">
    <pageField fld="6" item="88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9.xml"/><Relationship Id="rId34" Type="http://schemas.openxmlformats.org/officeDocument/2006/relationships/ctrlProp" Target="../ctrlProps/ctrlProp22.xml"/><Relationship Id="rId7" Type="http://schemas.openxmlformats.org/officeDocument/2006/relationships/control" Target="../activeX/activeX1.x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33" Type="http://schemas.openxmlformats.org/officeDocument/2006/relationships/ctrlProp" Target="../ctrlProps/ctrlProp21.xml"/><Relationship Id="rId38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29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24" Type="http://schemas.openxmlformats.org/officeDocument/2006/relationships/ctrlProp" Target="../ctrlProps/ctrlProp12.xml"/><Relationship Id="rId32" Type="http://schemas.openxmlformats.org/officeDocument/2006/relationships/ctrlProp" Target="../ctrlProps/ctrlProp20.xml"/><Relationship Id="rId37" Type="http://schemas.openxmlformats.org/officeDocument/2006/relationships/ctrlProp" Target="../ctrlProps/ctrlProp2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36" Type="http://schemas.openxmlformats.org/officeDocument/2006/relationships/ctrlProp" Target="../ctrlProps/ctrlProp24.xml"/><Relationship Id="rId19" Type="http://schemas.openxmlformats.org/officeDocument/2006/relationships/ctrlProp" Target="../ctrlProps/ctrlProp7.xml"/><Relationship Id="rId31" Type="http://schemas.openxmlformats.org/officeDocument/2006/relationships/ctrlProp" Target="../ctrlProps/ctrlProp19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Relationship Id="rId35" Type="http://schemas.openxmlformats.org/officeDocument/2006/relationships/ctrlProp" Target="../ctrlProps/ctrlProp2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2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4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K457"/>
  <sheetViews>
    <sheetView tabSelected="1" zoomScale="80" zoomScaleNormal="80" zoomScaleSheetLayoutView="55" workbookViewId="0">
      <pane xSplit="4" ySplit="2" topLeftCell="E362" activePane="bottomRight" state="frozen"/>
      <selection pane="topRight" activeCell="E1" sqref="E1"/>
      <selection pane="bottomLeft" activeCell="A3" sqref="A3"/>
      <selection pane="bottomRight" activeCell="L368" sqref="L368"/>
    </sheetView>
  </sheetViews>
  <sheetFormatPr baseColWidth="10" defaultColWidth="11.42578125" defaultRowHeight="12.75"/>
  <cols>
    <col min="1" max="1" width="8.85546875" style="1" customWidth="1"/>
    <col min="2" max="2" width="11.7109375" style="2" customWidth="1"/>
    <col min="3" max="3" width="16.7109375" style="212" customWidth="1"/>
    <col min="4" max="4" width="26" style="1" customWidth="1"/>
    <col min="5" max="5" width="38.7109375" style="1" customWidth="1"/>
    <col min="6" max="6" width="17.7109375" style="1" customWidth="1"/>
    <col min="7" max="7" width="23.7109375" style="1" customWidth="1"/>
    <col min="8" max="8" width="15.140625" style="1" customWidth="1"/>
    <col min="9" max="9" width="13.28515625" style="2" customWidth="1"/>
    <col min="10" max="10" width="12.5703125" style="2" customWidth="1"/>
    <col min="11" max="11" width="15.42578125" style="1" customWidth="1"/>
    <col min="12" max="12" width="14.28515625" style="1" customWidth="1"/>
    <col min="13" max="13" width="18.28515625" style="2" customWidth="1"/>
    <col min="14" max="14" width="35.7109375" style="1" customWidth="1"/>
    <col min="15" max="15" width="30" style="1" customWidth="1"/>
    <col min="16" max="16" width="35.7109375" style="1" customWidth="1"/>
    <col min="17" max="17" width="27.7109375" style="1" customWidth="1"/>
    <col min="18" max="18" width="15.140625" style="1" customWidth="1"/>
    <col min="19" max="19" width="17" style="3" customWidth="1"/>
    <col min="20" max="20" width="12.7109375" style="1" customWidth="1"/>
    <col min="21" max="21" width="11.42578125" style="1" customWidth="1"/>
    <col min="22" max="22" width="20.7109375" style="1" customWidth="1"/>
    <col min="23" max="23" width="25.5703125" style="1" customWidth="1"/>
    <col min="24" max="24" width="27.28515625" style="1" customWidth="1"/>
    <col min="25" max="25" width="29.28515625" style="3" hidden="1" customWidth="1"/>
    <col min="26" max="26" width="13.42578125" style="3" hidden="1" customWidth="1"/>
    <col min="27" max="28" width="31" style="3" customWidth="1"/>
    <col min="29" max="30" width="11.42578125" style="61" hidden="1" customWidth="1"/>
    <col min="31" max="31" width="18.7109375" style="1" customWidth="1"/>
    <col min="32" max="32" width="16.140625" style="1" customWidth="1"/>
    <col min="33" max="34" width="11.42578125" style="1" hidden="1" customWidth="1"/>
    <col min="35" max="35" width="37" style="1" customWidth="1"/>
    <col min="36" max="36" width="11.42578125" style="1" hidden="1" customWidth="1"/>
    <col min="37" max="51" width="11.42578125" style="1"/>
    <col min="52" max="52" width="12.7109375" style="1" bestFit="1" customWidth="1"/>
    <col min="53" max="16384" width="11.42578125" style="1"/>
  </cols>
  <sheetData>
    <row r="1" spans="1:37" s="5" customFormat="1" ht="159.94999999999999" customHeight="1">
      <c r="A1" s="122">
        <v>455</v>
      </c>
      <c r="B1" s="96"/>
      <c r="C1" s="202"/>
      <c r="D1" s="96"/>
      <c r="E1" s="123"/>
      <c r="F1" s="121"/>
      <c r="G1" s="123"/>
      <c r="H1" s="124"/>
      <c r="I1" s="125"/>
      <c r="J1" s="126"/>
      <c r="K1" s="124" t="s">
        <v>355</v>
      </c>
      <c r="L1" s="121"/>
      <c r="M1" s="134" t="s">
        <v>1643</v>
      </c>
      <c r="N1" s="121"/>
      <c r="O1" s="121"/>
      <c r="P1" s="96"/>
      <c r="Q1" s="121"/>
      <c r="R1" s="121"/>
      <c r="S1" s="96"/>
      <c r="T1" s="121"/>
      <c r="U1" s="121"/>
      <c r="V1" s="127" t="s">
        <v>333</v>
      </c>
      <c r="W1" s="124"/>
      <c r="X1" s="128"/>
      <c r="Y1" s="128"/>
      <c r="Z1" s="129">
        <v>45261</v>
      </c>
      <c r="AA1" s="97">
        <v>45098</v>
      </c>
      <c r="AB1" s="97">
        <v>45100</v>
      </c>
      <c r="AC1" s="130"/>
      <c r="AD1" s="131"/>
      <c r="AE1" s="121"/>
      <c r="AF1" s="121"/>
      <c r="AG1" s="121"/>
      <c r="AH1" s="121"/>
      <c r="AI1" s="132"/>
      <c r="AJ1" s="121"/>
    </row>
    <row r="2" spans="1:37" ht="39.950000000000003" customHeight="1">
      <c r="A2" s="85" t="s">
        <v>293</v>
      </c>
      <c r="B2" s="86" t="s">
        <v>1</v>
      </c>
      <c r="C2" s="203" t="s">
        <v>310</v>
      </c>
      <c r="D2" s="85" t="s">
        <v>158</v>
      </c>
      <c r="E2" s="85" t="s">
        <v>313</v>
      </c>
      <c r="F2" s="48" t="s">
        <v>392</v>
      </c>
      <c r="G2" s="85" t="s">
        <v>314</v>
      </c>
      <c r="H2" s="85" t="s">
        <v>312</v>
      </c>
      <c r="I2" s="86" t="s">
        <v>4</v>
      </c>
      <c r="J2" s="85" t="s">
        <v>5</v>
      </c>
      <c r="K2" s="85" t="s">
        <v>20</v>
      </c>
      <c r="L2" s="48" t="s">
        <v>1657</v>
      </c>
      <c r="M2" s="85" t="s">
        <v>311</v>
      </c>
      <c r="N2" s="48" t="s">
        <v>321</v>
      </c>
      <c r="O2" s="48" t="s">
        <v>2028</v>
      </c>
      <c r="P2" s="48" t="s">
        <v>226</v>
      </c>
      <c r="Q2" s="48" t="s">
        <v>1527</v>
      </c>
      <c r="R2" s="48" t="s">
        <v>1528</v>
      </c>
      <c r="S2" s="48" t="s">
        <v>318</v>
      </c>
      <c r="T2" s="48" t="s">
        <v>319</v>
      </c>
      <c r="U2" s="48" t="s">
        <v>320</v>
      </c>
      <c r="V2" s="85" t="s">
        <v>18</v>
      </c>
      <c r="W2" s="85" t="s">
        <v>19</v>
      </c>
      <c r="X2" s="85" t="s">
        <v>315</v>
      </c>
      <c r="Y2" s="48" t="s">
        <v>108</v>
      </c>
      <c r="Z2" s="48">
        <v>18</v>
      </c>
      <c r="AA2" s="48" t="s">
        <v>316</v>
      </c>
      <c r="AB2" s="48" t="s">
        <v>317</v>
      </c>
      <c r="AC2" s="87"/>
      <c r="AD2" s="81" t="s">
        <v>227</v>
      </c>
      <c r="AE2" s="48" t="s">
        <v>391</v>
      </c>
      <c r="AF2" s="48" t="s">
        <v>384</v>
      </c>
      <c r="AG2" s="48" t="s">
        <v>323</v>
      </c>
      <c r="AH2" s="48" t="s">
        <v>2037</v>
      </c>
      <c r="AI2" s="48" t="s">
        <v>252</v>
      </c>
      <c r="AJ2" s="48" t="s">
        <v>2132</v>
      </c>
    </row>
    <row r="3" spans="1:37" s="3" customFormat="1" ht="114.75">
      <c r="A3" s="98" t="s">
        <v>111</v>
      </c>
      <c r="B3" s="99" t="s">
        <v>617</v>
      </c>
      <c r="C3" s="206" t="s">
        <v>619</v>
      </c>
      <c r="D3" s="98" t="s">
        <v>618</v>
      </c>
      <c r="E3" s="98" t="s">
        <v>620</v>
      </c>
      <c r="F3" s="153">
        <v>44994</v>
      </c>
      <c r="G3" s="98"/>
      <c r="H3" s="98" t="s">
        <v>111</v>
      </c>
      <c r="I3" s="99">
        <v>45040</v>
      </c>
      <c r="J3" s="141">
        <v>0.33333333333333331</v>
      </c>
      <c r="K3" s="98" t="s">
        <v>362</v>
      </c>
      <c r="L3" s="192"/>
      <c r="M3" s="99" t="s">
        <v>330</v>
      </c>
      <c r="N3" s="98" t="s">
        <v>361</v>
      </c>
      <c r="O3" s="98"/>
      <c r="P3" s="98" t="s">
        <v>621</v>
      </c>
      <c r="Q3" s="270" t="s">
        <v>111</v>
      </c>
      <c r="R3" s="192"/>
      <c r="S3" s="98" t="s">
        <v>626</v>
      </c>
      <c r="T3" s="98" t="s">
        <v>627</v>
      </c>
      <c r="U3" s="98" t="s">
        <v>628</v>
      </c>
      <c r="V3" s="98" t="s">
        <v>194</v>
      </c>
      <c r="W3" s="98" t="s">
        <v>622</v>
      </c>
      <c r="X3" s="98" t="s">
        <v>623</v>
      </c>
      <c r="Y3" s="162" t="str">
        <f ca="1">IF(I3&lt;&gt;"",IF(I3&lt;=TODAY(),IF(OR(N3="REPROGRAMADA",N3="SUSPENDIDA",N3="EXCLUSION",N3="COLEGIADO"),"NO HECHA",IF(N3=" ","SINRESULTADO","SI")),"NO"),IF(N3="EXCLUSION","NO HECHA","LIMBO"))</f>
        <v>NO HECHA</v>
      </c>
      <c r="Z3" s="98" t="str">
        <f>IF($Z$1=I3,"DIASOL", "DIANOSOL")</f>
        <v>DIANOSOL</v>
      </c>
      <c r="AA3" s="98" t="s">
        <v>624</v>
      </c>
      <c r="AB3" s="98" t="s">
        <v>625</v>
      </c>
      <c r="AC3" s="98" t="str">
        <f>IF(H3=$M$1,"SI","NO")</f>
        <v>NO</v>
      </c>
      <c r="AD3" s="98"/>
      <c r="AE3" s="98"/>
      <c r="AF3" s="297">
        <v>45040</v>
      </c>
      <c r="AG3" s="294" t="str">
        <f>IF(COUNTIF(C3,"*preso*")&gt;0,"SI","NO")</f>
        <v>SI</v>
      </c>
      <c r="AH3" s="244">
        <f>NroOrden(N3)</f>
        <v>1</v>
      </c>
      <c r="AI3" s="98" t="s">
        <v>629</v>
      </c>
      <c r="AJ3" s="48" t="str">
        <f ca="1">IF(OR(Y3="NO",Y3="LIMBO"),"IMP","NOIMP")</f>
        <v>NOIMP</v>
      </c>
    </row>
    <row r="4" spans="1:37" ht="76.5">
      <c r="A4" s="136">
        <v>183</v>
      </c>
      <c r="B4" s="137" t="s">
        <v>1312</v>
      </c>
      <c r="C4" s="204"/>
      <c r="D4" s="136" t="s">
        <v>1313</v>
      </c>
      <c r="E4" s="136" t="s">
        <v>1314</v>
      </c>
      <c r="F4" s="147">
        <v>45146</v>
      </c>
      <c r="G4" s="136" t="s">
        <v>1208</v>
      </c>
      <c r="H4" s="136" t="s">
        <v>1641</v>
      </c>
      <c r="I4" s="137">
        <v>45173</v>
      </c>
      <c r="J4" s="137" t="s">
        <v>960</v>
      </c>
      <c r="K4" s="136" t="s">
        <v>403</v>
      </c>
      <c r="L4" s="242"/>
      <c r="M4" s="137" t="s">
        <v>333</v>
      </c>
      <c r="N4" s="136" t="s">
        <v>2031</v>
      </c>
      <c r="O4" s="136" t="s">
        <v>2034</v>
      </c>
      <c r="P4" s="136" t="s">
        <v>1632</v>
      </c>
      <c r="Q4" s="136" t="s">
        <v>111</v>
      </c>
      <c r="R4" s="242"/>
      <c r="S4" s="136"/>
      <c r="T4" s="136"/>
      <c r="U4" s="136"/>
      <c r="V4" s="136" t="s">
        <v>343</v>
      </c>
      <c r="W4" s="136" t="s">
        <v>202</v>
      </c>
      <c r="X4" s="136" t="s">
        <v>111</v>
      </c>
      <c r="Y4" s="159" t="str">
        <f ca="1">IF(I4&lt;&gt;"",IF(I4&lt;=TODAY(),IF(OR(N4="REPROGRAMADA",N4="SUSPENDIDA",N4="EXCLUSION",N4="COLEGIADO"),"NO HECHA",IF(N4=" ","SINRESULTADO","SI")),"NO"),IF(N4="EXCLUSION","NO HECHA","LIMBO"))</f>
        <v>SI</v>
      </c>
      <c r="Z4" s="149" t="str">
        <f>IF($Z$1=I4,"DIASOL", "DIANOSOL")</f>
        <v>DIANOSOL</v>
      </c>
      <c r="AA4" s="136" t="s">
        <v>240</v>
      </c>
      <c r="AB4" s="136" t="s">
        <v>1315</v>
      </c>
      <c r="AC4" s="151" t="str">
        <f>IF(H4=$M$1,"SI","NO")</f>
        <v>NO</v>
      </c>
      <c r="AD4" s="151"/>
      <c r="AE4" s="147">
        <v>45118</v>
      </c>
      <c r="AF4" s="147">
        <v>45180</v>
      </c>
      <c r="AG4" s="84" t="str">
        <f>IF(COUNTIF(C4,"*preso*")&gt;0,"SI","NO")</f>
        <v>NO</v>
      </c>
      <c r="AH4" s="244">
        <f>NroOrden(N4)</f>
        <v>1</v>
      </c>
      <c r="AI4" s="136"/>
      <c r="AJ4" s="48" t="str">
        <f ca="1">IF(OR(Y4="NO",Y4="LIMBO"),"IMP","NOIMP")</f>
        <v>NOIMP</v>
      </c>
      <c r="AK4" s="5"/>
    </row>
    <row r="5" spans="1:37" ht="306">
      <c r="A5" s="159">
        <v>179</v>
      </c>
      <c r="B5" s="160" t="s">
        <v>1286</v>
      </c>
      <c r="C5" s="208" t="s">
        <v>501</v>
      </c>
      <c r="D5" s="159" t="s">
        <v>1287</v>
      </c>
      <c r="E5" s="159" t="s">
        <v>1288</v>
      </c>
      <c r="F5" s="256">
        <v>45147</v>
      </c>
      <c r="G5" s="159" t="s">
        <v>1289</v>
      </c>
      <c r="H5" s="159" t="s">
        <v>1641</v>
      </c>
      <c r="I5" s="160">
        <v>45177</v>
      </c>
      <c r="J5" s="160" t="s">
        <v>396</v>
      </c>
      <c r="K5" s="159" t="s">
        <v>363</v>
      </c>
      <c r="L5" s="246"/>
      <c r="M5" s="160" t="s">
        <v>328</v>
      </c>
      <c r="N5" s="159" t="s">
        <v>2031</v>
      </c>
      <c r="O5" s="159" t="s">
        <v>2034</v>
      </c>
      <c r="P5" s="159" t="s">
        <v>2076</v>
      </c>
      <c r="Q5" s="159" t="s">
        <v>111</v>
      </c>
      <c r="R5" s="184"/>
      <c r="S5" s="159" t="s">
        <v>374</v>
      </c>
      <c r="T5" s="159" t="s">
        <v>1649</v>
      </c>
      <c r="U5" s="159" t="s">
        <v>1292</v>
      </c>
      <c r="V5" s="159" t="s">
        <v>1128</v>
      </c>
      <c r="W5" s="159" t="s">
        <v>1290</v>
      </c>
      <c r="X5" s="159" t="s">
        <v>111</v>
      </c>
      <c r="Y5" s="159" t="str">
        <f ca="1">IF(I5&lt;&gt;"",IF(I5&lt;=TODAY(),IF(OR(N5="REPROGRAMADA",N5="SUSPENDIDA",N5="EXCLUSION",N5="COLEGIADO"),"NO HECHA",IF(N5=" ","SINRESULTADO","SI")),"NO"),IF(N5="EXCLUSION","NO HECHA","LIMBO"))</f>
        <v>SI</v>
      </c>
      <c r="Z5" s="159" t="str">
        <f>IF($Z$1=I5,"DIASOL", "DIANOSOL")</f>
        <v>DIANOSOL</v>
      </c>
      <c r="AA5" s="159"/>
      <c r="AB5" s="159" t="s">
        <v>1291</v>
      </c>
      <c r="AC5" s="159" t="str">
        <f>IF(H5=$M$1,"SI","NO")</f>
        <v>NO</v>
      </c>
      <c r="AD5" s="159"/>
      <c r="AE5" s="256">
        <v>45142</v>
      </c>
      <c r="AF5" s="256">
        <v>45188</v>
      </c>
      <c r="AG5" s="159" t="str">
        <f>IF(COUNTIF(C5,"*preso*")&gt;0,"SI","NO")</f>
        <v>SI</v>
      </c>
      <c r="AH5" s="244">
        <f>NroOrden(N5)</f>
        <v>1</v>
      </c>
      <c r="AI5" s="159" t="s">
        <v>1650</v>
      </c>
      <c r="AJ5" s="48" t="str">
        <f ca="1">IF(OR(Y5="NO",Y5="LIMBO"),"IMP","NOIMP")</f>
        <v>NOIMP</v>
      </c>
      <c r="AK5" s="5"/>
    </row>
    <row r="6" spans="1:37" ht="41.25" customHeight="1">
      <c r="A6" s="159">
        <v>150</v>
      </c>
      <c r="B6" s="160" t="s">
        <v>1139</v>
      </c>
      <c r="C6" s="208"/>
      <c r="D6" s="159" t="s">
        <v>1140</v>
      </c>
      <c r="E6" s="159" t="s">
        <v>1141</v>
      </c>
      <c r="F6" s="159"/>
      <c r="G6" s="159" t="s">
        <v>1142</v>
      </c>
      <c r="H6" s="159" t="s">
        <v>1638</v>
      </c>
      <c r="I6" s="160">
        <v>45198</v>
      </c>
      <c r="J6" s="160" t="s">
        <v>396</v>
      </c>
      <c r="K6" s="159" t="s">
        <v>362</v>
      </c>
      <c r="L6" s="184"/>
      <c r="M6" s="160" t="s">
        <v>330</v>
      </c>
      <c r="N6" s="159" t="s">
        <v>2031</v>
      </c>
      <c r="O6" s="159" t="s">
        <v>2036</v>
      </c>
      <c r="P6" s="159" t="s">
        <v>2120</v>
      </c>
      <c r="Q6" s="159" t="s">
        <v>111</v>
      </c>
      <c r="R6" s="184"/>
      <c r="S6" s="159"/>
      <c r="T6" s="159"/>
      <c r="U6" s="159"/>
      <c r="V6" s="159" t="s">
        <v>184</v>
      </c>
      <c r="W6" s="159" t="s">
        <v>117</v>
      </c>
      <c r="X6" s="159" t="s">
        <v>111</v>
      </c>
      <c r="Y6" s="159" t="str">
        <f ca="1">IF(I6&lt;&gt;"",IF(I6&lt;=TODAY(),IF(OR(N6="REPROGRAMADA",N6="SUSPENDIDA",N6="EXCLUSION",N6="COLEGIADO"),"NO HECHA",IF(N6=" ","SINRESULTADO","SI")),"NO"),IF(N6="EXCLUSION","NO HECHA","LIMBO"))</f>
        <v>SI</v>
      </c>
      <c r="Z6" s="159" t="str">
        <f>IF($Z$1=I6,"DIASOL", "DIANOSOL")</f>
        <v>DIANOSOL</v>
      </c>
      <c r="AA6" s="159" t="s">
        <v>240</v>
      </c>
      <c r="AB6" s="159" t="s">
        <v>1143</v>
      </c>
      <c r="AC6" s="159" t="str">
        <f>IF(H6=$M$1,"SI","NO")</f>
        <v>NO</v>
      </c>
      <c r="AD6" s="159"/>
      <c r="AE6" s="256">
        <v>45107</v>
      </c>
      <c r="AF6" s="256">
        <v>45188</v>
      </c>
      <c r="AG6" s="159" t="str">
        <f>IF(COUNTIF(C6,"*preso*")&gt;0,"SI","NO")</f>
        <v>NO</v>
      </c>
      <c r="AH6" s="254">
        <f>NroOrden(N6)</f>
        <v>1</v>
      </c>
      <c r="AI6" s="159" t="s">
        <v>1655</v>
      </c>
      <c r="AJ6" s="48" t="str">
        <f ca="1">IF(OR(Y6="NO",Y6="LIMBO"),"IMP","NOIMP")</f>
        <v>NOIMP</v>
      </c>
      <c r="AK6" s="5"/>
    </row>
    <row r="7" spans="1:37" ht="127.5">
      <c r="A7" s="249">
        <v>244</v>
      </c>
      <c r="B7" s="250" t="s">
        <v>1048</v>
      </c>
      <c r="C7" s="251"/>
      <c r="D7" s="249" t="s">
        <v>1049</v>
      </c>
      <c r="E7" s="249" t="s">
        <v>1050</v>
      </c>
      <c r="F7" s="252"/>
      <c r="G7" s="249" t="s">
        <v>1332</v>
      </c>
      <c r="H7" s="249" t="s">
        <v>1637</v>
      </c>
      <c r="I7" s="250">
        <v>45201</v>
      </c>
      <c r="J7" s="250" t="s">
        <v>1665</v>
      </c>
      <c r="K7" s="249" t="s">
        <v>1666</v>
      </c>
      <c r="L7" s="280" t="s">
        <v>1658</v>
      </c>
      <c r="M7" s="250" t="s">
        <v>332</v>
      </c>
      <c r="N7" s="249" t="s">
        <v>2031</v>
      </c>
      <c r="O7" s="249" t="s">
        <v>2036</v>
      </c>
      <c r="P7" s="249"/>
      <c r="Q7" s="249"/>
      <c r="R7" s="280"/>
      <c r="S7" s="249"/>
      <c r="T7" s="249"/>
      <c r="U7" s="249"/>
      <c r="V7" s="249" t="s">
        <v>347</v>
      </c>
      <c r="W7" s="249" t="s">
        <v>180</v>
      </c>
      <c r="X7" s="249" t="s">
        <v>1051</v>
      </c>
      <c r="Y7" s="194" t="str">
        <f ca="1">IF(I7&lt;&gt;"",IF(I7&lt;=TODAY(),IF(OR(N7="REPROGRAMADA",N7="SUSPENDIDA",N7="EXCLUSION",N7="COLEGIADO"),"NO HECHA",IF(N7=" ","SINRESULTADO","SI")),"NO"),IF(N7="EXCLUSION","NO HECHA","LIMBO"))</f>
        <v>SI</v>
      </c>
      <c r="Z7" s="194" t="str">
        <f>IF($Z$1=I7,"DIASOL", "DIANOSOL")</f>
        <v>DIANOSOL</v>
      </c>
      <c r="AA7" s="249" t="s">
        <v>240</v>
      </c>
      <c r="AB7" s="249" t="s">
        <v>1052</v>
      </c>
      <c r="AC7" s="194" t="str">
        <f>IF(H7=$M$1,"SI","NO")</f>
        <v>NO</v>
      </c>
      <c r="AD7" s="194"/>
      <c r="AE7" s="252">
        <v>45098</v>
      </c>
      <c r="AF7" s="252">
        <v>45196</v>
      </c>
      <c r="AG7" s="194" t="str">
        <f>IF(COUNTIF(C7,"*preso*")&gt;0,"SI","NO")</f>
        <v>NO</v>
      </c>
      <c r="AH7" s="244">
        <f>NroOrden(N7)</f>
        <v>1</v>
      </c>
      <c r="AI7" s="249" t="s">
        <v>2178</v>
      </c>
      <c r="AJ7" s="48" t="str">
        <f ca="1">IF(OR(Y7="NO",Y7="LIMBO"),"IMP","NOIMP")</f>
        <v>NOIMP</v>
      </c>
      <c r="AK7" s="5"/>
    </row>
    <row r="8" spans="1:37" ht="25.5">
      <c r="A8" s="249">
        <v>230</v>
      </c>
      <c r="B8" s="250" t="s">
        <v>1582</v>
      </c>
      <c r="C8" s="251"/>
      <c r="D8" s="249" t="s">
        <v>1583</v>
      </c>
      <c r="E8" s="249" t="s">
        <v>1584</v>
      </c>
      <c r="F8" s="252">
        <v>45170</v>
      </c>
      <c r="G8" s="249" t="s">
        <v>1575</v>
      </c>
      <c r="H8" s="249" t="s">
        <v>1640</v>
      </c>
      <c r="I8" s="250">
        <v>45209</v>
      </c>
      <c r="J8" s="250" t="s">
        <v>1999</v>
      </c>
      <c r="K8" s="249" t="s">
        <v>1674</v>
      </c>
      <c r="L8" s="188" t="s">
        <v>1659</v>
      </c>
      <c r="M8" s="250" t="s">
        <v>332</v>
      </c>
      <c r="N8" s="249" t="s">
        <v>2031</v>
      </c>
      <c r="O8" s="249" t="s">
        <v>2036</v>
      </c>
      <c r="P8" s="249" t="s">
        <v>2055</v>
      </c>
      <c r="Q8" s="249" t="s">
        <v>111</v>
      </c>
      <c r="R8" s="280"/>
      <c r="S8" s="249"/>
      <c r="T8" s="249"/>
      <c r="U8" s="249"/>
      <c r="V8" s="249" t="s">
        <v>337</v>
      </c>
      <c r="W8" s="249" t="s">
        <v>134</v>
      </c>
      <c r="X8" s="249" t="s">
        <v>111</v>
      </c>
      <c r="Y8" s="249" t="str">
        <f ca="1">IF(I8&lt;&gt;"",IF(I8&lt;=TODAY(),IF(OR(N8="REPROGRAMADA",N8="SUSPENDIDA",N8="EXCLUSION",N8="COLEGIADO"),"NO HECHA",IF(N8=" ","SINRESULTADO","SI")),"NO"),IF(N8="EXCLUSION","NO HECHA","LIMBO"))</f>
        <v>SI</v>
      </c>
      <c r="Z8" s="249" t="str">
        <f>IF($Z$1=I8,"DIASOL", "DIANOSOL")</f>
        <v>DIANOSOL</v>
      </c>
      <c r="AA8" s="249" t="s">
        <v>240</v>
      </c>
      <c r="AB8" s="249" t="s">
        <v>1585</v>
      </c>
      <c r="AC8" s="249" t="str">
        <f>IF(H8=$M$1,"SI","NO")</f>
        <v>NO</v>
      </c>
      <c r="AD8" s="249"/>
      <c r="AE8" s="252">
        <v>45168</v>
      </c>
      <c r="AF8" s="252">
        <v>45209</v>
      </c>
      <c r="AG8" s="249" t="str">
        <f>IF(COUNTIF(C8,"*preso*")&gt;0,"SI","NO")</f>
        <v>NO</v>
      </c>
      <c r="AH8" s="253">
        <f>NroOrden(N8)</f>
        <v>1</v>
      </c>
      <c r="AI8" s="249"/>
      <c r="AJ8" s="48" t="str">
        <f ca="1">IF(OR(Y8="NO",Y8="LIMBO"),"IMP","NOIMP")</f>
        <v>NOIMP</v>
      </c>
      <c r="AK8" s="5"/>
    </row>
    <row r="9" spans="1:37" ht="51">
      <c r="A9" s="138">
        <v>152</v>
      </c>
      <c r="B9" s="137" t="s">
        <v>1148</v>
      </c>
      <c r="C9" s="204"/>
      <c r="D9" s="138" t="s">
        <v>1149</v>
      </c>
      <c r="E9" s="136" t="s">
        <v>1150</v>
      </c>
      <c r="F9" s="140">
        <v>45112</v>
      </c>
      <c r="G9" s="136" t="s">
        <v>1004</v>
      </c>
      <c r="H9" s="136" t="s">
        <v>1641</v>
      </c>
      <c r="I9" s="213">
        <v>45209</v>
      </c>
      <c r="J9" s="137" t="s">
        <v>282</v>
      </c>
      <c r="K9" s="138" t="s">
        <v>363</v>
      </c>
      <c r="L9" s="188" t="s">
        <v>1658</v>
      </c>
      <c r="M9" s="137" t="s">
        <v>329</v>
      </c>
      <c r="N9" s="136" t="s">
        <v>2031</v>
      </c>
      <c r="O9" s="136" t="s">
        <v>2036</v>
      </c>
      <c r="P9" s="136" t="s">
        <v>2161</v>
      </c>
      <c r="Q9" s="138" t="s">
        <v>111</v>
      </c>
      <c r="R9" s="291"/>
      <c r="S9" s="136"/>
      <c r="T9" s="138"/>
      <c r="U9" s="138"/>
      <c r="V9" s="136" t="s">
        <v>193</v>
      </c>
      <c r="W9" s="136" t="s">
        <v>134</v>
      </c>
      <c r="X9" s="136" t="s">
        <v>111</v>
      </c>
      <c r="Y9" s="193" t="str">
        <f ca="1">IF(I9&lt;&gt;"",IF(I9&lt;=TODAY(),IF(OR(N9="REPROGRAMADA",N9="SUSPENDIDA",N9="EXCLUSION",N9="COLEGIADO"),"NO HECHA",IF(N9=" ","SINRESULTADO","SI")),"NO"),IF(N9="EXCLUSION","NO HECHA","LIMBO"))</f>
        <v>SI</v>
      </c>
      <c r="Z9" s="136" t="str">
        <f>IF($Z$1=I9,"DIASOL", "DIANOSOL")</f>
        <v>DIANOSOL</v>
      </c>
      <c r="AA9" s="136" t="s">
        <v>240</v>
      </c>
      <c r="AB9" s="136" t="s">
        <v>1151</v>
      </c>
      <c r="AC9" s="139" t="str">
        <f>IF(H9=$M$1,"SI","NO")</f>
        <v>NO</v>
      </c>
      <c r="AD9" s="139"/>
      <c r="AE9" s="147">
        <v>45111</v>
      </c>
      <c r="AF9" s="140">
        <v>45204</v>
      </c>
      <c r="AG9" s="138" t="str">
        <f>IF(COUNTIF(C9,"*preso*")&gt;0,"SI","NO")</f>
        <v>NO</v>
      </c>
      <c r="AH9" s="244">
        <f>NroOrden(N9)</f>
        <v>1</v>
      </c>
      <c r="AI9" s="136"/>
      <c r="AJ9" s="48" t="str">
        <f ca="1">IF(OR(Y9="NO",Y9="LIMBO"),"IMP","NOIMP")</f>
        <v>NOIMP</v>
      </c>
      <c r="AK9" s="5"/>
    </row>
    <row r="10" spans="1:37" ht="63.75">
      <c r="A10" s="249">
        <v>249</v>
      </c>
      <c r="B10" s="250" t="s">
        <v>1696</v>
      </c>
      <c r="C10" s="251"/>
      <c r="D10" s="249" t="s">
        <v>1694</v>
      </c>
      <c r="E10" s="249" t="s">
        <v>1693</v>
      </c>
      <c r="F10" s="252">
        <v>45195</v>
      </c>
      <c r="G10" s="249"/>
      <c r="H10" s="249" t="s">
        <v>1644</v>
      </c>
      <c r="I10" s="250">
        <v>45210</v>
      </c>
      <c r="J10" s="250" t="s">
        <v>396</v>
      </c>
      <c r="K10" s="249" t="s">
        <v>1674</v>
      </c>
      <c r="L10" s="280" t="s">
        <v>1659</v>
      </c>
      <c r="M10" s="250" t="s">
        <v>332</v>
      </c>
      <c r="N10" s="249" t="s">
        <v>361</v>
      </c>
      <c r="O10" s="249" t="s">
        <v>2034</v>
      </c>
      <c r="P10" s="249" t="s">
        <v>2124</v>
      </c>
      <c r="Q10" s="249"/>
      <c r="R10" s="280"/>
      <c r="S10" s="249"/>
      <c r="T10" s="249"/>
      <c r="U10" s="249"/>
      <c r="V10" s="249" t="s">
        <v>181</v>
      </c>
      <c r="W10" s="249" t="s">
        <v>117</v>
      </c>
      <c r="X10" s="249" t="s">
        <v>111</v>
      </c>
      <c r="Y10" s="249" t="str">
        <f ca="1">IF(I10&lt;&gt;"",IF(I10&lt;=TODAY(),IF(OR(N10="REPROGRAMADA",N10="SUSPENDIDA",N10="EXCLUSION",N10="COLEGIADO"),"NO HECHA",IF(N10=" ","SINRESULTADO","SI")),"NO"),IF(N10="EXCLUSION","NO HECHA","LIMBO"))</f>
        <v>NO HECHA</v>
      </c>
      <c r="Z10" s="249" t="str">
        <f>IF($Z$1=I10,"DIASOL", "DIANOSOL")</f>
        <v>DIANOSOL</v>
      </c>
      <c r="AA10" s="249" t="s">
        <v>240</v>
      </c>
      <c r="AB10" s="249" t="s">
        <v>1695</v>
      </c>
      <c r="AC10" s="249" t="str">
        <f>IF(H10=$M$1,"SI","NO")</f>
        <v>NO</v>
      </c>
      <c r="AD10" s="249"/>
      <c r="AE10" s="252">
        <v>45195</v>
      </c>
      <c r="AF10" s="252">
        <v>45218</v>
      </c>
      <c r="AG10" s="249" t="str">
        <f>IF(COUNTIF(C10,"*preso*")&gt;0,"SI","NO")</f>
        <v>NO</v>
      </c>
      <c r="AH10" s="253">
        <f>NroOrden(N10)</f>
        <v>1</v>
      </c>
      <c r="AI10" s="249"/>
      <c r="AJ10" s="48" t="str">
        <f ca="1">IF(OR(Y10="NO",Y10="LIMBO"),"IMP","NOIMP")</f>
        <v>NOIMP</v>
      </c>
      <c r="AK10" s="5"/>
    </row>
    <row r="11" spans="1:37" ht="102">
      <c r="A11" s="138">
        <v>206</v>
      </c>
      <c r="B11" s="213" t="s">
        <v>943</v>
      </c>
      <c r="C11" s="204"/>
      <c r="D11" s="138" t="s">
        <v>944</v>
      </c>
      <c r="E11" s="138" t="s">
        <v>945</v>
      </c>
      <c r="F11" s="140"/>
      <c r="G11" s="138" t="s">
        <v>940</v>
      </c>
      <c r="H11" s="136" t="s">
        <v>1641</v>
      </c>
      <c r="I11" s="137">
        <v>45216</v>
      </c>
      <c r="J11" s="137" t="s">
        <v>1444</v>
      </c>
      <c r="K11" s="138" t="s">
        <v>362</v>
      </c>
      <c r="L11" s="188" t="s">
        <v>1659</v>
      </c>
      <c r="M11" s="137" t="s">
        <v>329</v>
      </c>
      <c r="N11" s="136" t="s">
        <v>2031</v>
      </c>
      <c r="O11" s="136" t="s">
        <v>2036</v>
      </c>
      <c r="P11" s="138"/>
      <c r="Q11" s="138" t="s">
        <v>111</v>
      </c>
      <c r="R11" s="188"/>
      <c r="S11" s="136"/>
      <c r="T11" s="138"/>
      <c r="U11" s="138"/>
      <c r="V11" s="136" t="s">
        <v>946</v>
      </c>
      <c r="W11" s="136" t="s">
        <v>947</v>
      </c>
      <c r="X11" s="136" t="s">
        <v>111</v>
      </c>
      <c r="Y11" s="193" t="str">
        <f ca="1">IF(I11&lt;&gt;"",IF(I11&lt;=TODAY(),IF(OR(N11="REPROGRAMADA",N11="SUSPENDIDA",N11="EXCLUSION",N11="COLEGIADO"),"NO HECHA",IF(N11=" ","SINRESULTADO","SI")),"NO"),IF(N11="EXCLUSION","NO HECHA","LIMBO"))</f>
        <v>SI</v>
      </c>
      <c r="Z11" s="136" t="str">
        <f>IF($Z$1=I11,"DIASOL", "DIANOSOL")</f>
        <v>DIANOSOL</v>
      </c>
      <c r="AA11" s="136" t="s">
        <v>240</v>
      </c>
      <c r="AB11" s="136" t="s">
        <v>948</v>
      </c>
      <c r="AC11" s="139" t="str">
        <f>IF(H11=$M$1,"SI","NO")</f>
        <v>NO</v>
      </c>
      <c r="AD11" s="139"/>
      <c r="AE11" s="138"/>
      <c r="AF11" s="138"/>
      <c r="AG11" s="138" t="str">
        <f>IF(COUNTIF(C11,"*preso*")&gt;0,"SI","NO")</f>
        <v>NO</v>
      </c>
      <c r="AH11" s="253">
        <f>NroOrden(N11)</f>
        <v>1</v>
      </c>
      <c r="AI11" s="138"/>
      <c r="AJ11" s="48" t="str">
        <f ca="1">IF(OR(Y11="NO",Y11="LIMBO"),"IMP","NOIMP")</f>
        <v>NOIMP</v>
      </c>
      <c r="AK11" s="5"/>
    </row>
    <row r="12" spans="1:37" ht="25.5">
      <c r="A12" s="249">
        <v>346</v>
      </c>
      <c r="B12" s="250" t="s">
        <v>1785</v>
      </c>
      <c r="C12" s="251"/>
      <c r="D12" s="249" t="s">
        <v>1786</v>
      </c>
      <c r="E12" s="249" t="s">
        <v>672</v>
      </c>
      <c r="F12" s="249">
        <v>45190</v>
      </c>
      <c r="G12" s="249"/>
      <c r="H12" s="249" t="s">
        <v>1637</v>
      </c>
      <c r="I12" s="250">
        <v>45240</v>
      </c>
      <c r="J12" s="250" t="s">
        <v>309</v>
      </c>
      <c r="K12" s="249" t="s">
        <v>364</v>
      </c>
      <c r="L12" s="280" t="s">
        <v>1659</v>
      </c>
      <c r="M12" s="250" t="s">
        <v>332</v>
      </c>
      <c r="N12" s="249" t="s">
        <v>2031</v>
      </c>
      <c r="O12" s="249"/>
      <c r="P12" s="249" t="s">
        <v>2584</v>
      </c>
      <c r="Q12" s="249" t="s">
        <v>240</v>
      </c>
      <c r="R12" s="280"/>
      <c r="S12" s="249"/>
      <c r="T12" s="249"/>
      <c r="U12" s="249"/>
      <c r="V12" s="249" t="s">
        <v>339</v>
      </c>
      <c r="W12" s="249" t="s">
        <v>269</v>
      </c>
      <c r="X12" s="249" t="s">
        <v>111</v>
      </c>
      <c r="Y12" s="249" t="str">
        <f ca="1">IF(I12&lt;&gt;"",IF(I12&lt;=TODAY(),IF(OR(N12="REPROGRAMADA",N12="SUSPENDIDA",N12="EXCLUSION",N12="COLEGIADO"),"NO HECHA",IF(N12=" ","SINRESULTADO","SI")),"NO"),IF(N12="EXCLUSION","NO HECHA","LIMBO"))</f>
        <v>SI</v>
      </c>
      <c r="Z12" s="249" t="str">
        <f>IF($Z$1=I12,"DIASOL", "DIANOSOL")</f>
        <v>DIANOSOL</v>
      </c>
      <c r="AA12" s="249" t="s">
        <v>240</v>
      </c>
      <c r="AB12" s="252"/>
      <c r="AC12" s="249" t="str">
        <f>IF(H12=$M$1,"SI","NO")</f>
        <v>NO</v>
      </c>
      <c r="AD12" s="249"/>
      <c r="AE12" s="249">
        <v>45190</v>
      </c>
      <c r="AF12" s="249"/>
      <c r="AG12" s="249" t="str">
        <f>IF(COUNTIF(C12,"*preso*")&gt;0,"SI","NO")</f>
        <v>NO</v>
      </c>
      <c r="AH12" s="299">
        <f>NroOrden(N12)</f>
        <v>1</v>
      </c>
      <c r="AI12" s="249" t="s">
        <v>2133</v>
      </c>
      <c r="AJ12" s="242" t="str">
        <f ca="1">IF(OR(Y12="NO",Y12="LIMBO"),"IMP","NOIMP")</f>
        <v>NOIMP</v>
      </c>
      <c r="AK12" s="5"/>
    </row>
    <row r="13" spans="1:37" ht="51">
      <c r="A13" s="249">
        <v>235</v>
      </c>
      <c r="B13" s="250" t="s">
        <v>1614</v>
      </c>
      <c r="C13" s="251"/>
      <c r="D13" s="249" t="s">
        <v>1615</v>
      </c>
      <c r="E13" s="249" t="s">
        <v>1616</v>
      </c>
      <c r="F13" s="252">
        <v>45174</v>
      </c>
      <c r="G13" s="249" t="s">
        <v>1617</v>
      </c>
      <c r="H13" s="249" t="s">
        <v>1640</v>
      </c>
      <c r="I13" s="250">
        <v>45252</v>
      </c>
      <c r="J13" s="250" t="s">
        <v>282</v>
      </c>
      <c r="K13" s="249" t="s">
        <v>362</v>
      </c>
      <c r="L13" s="188" t="s">
        <v>1658</v>
      </c>
      <c r="M13" s="250" t="s">
        <v>330</v>
      </c>
      <c r="N13" s="249" t="s">
        <v>2031</v>
      </c>
      <c r="O13" s="249" t="s">
        <v>2036</v>
      </c>
      <c r="P13" s="249" t="s">
        <v>2609</v>
      </c>
      <c r="Q13" s="249" t="s">
        <v>111</v>
      </c>
      <c r="R13" s="280"/>
      <c r="S13" s="249"/>
      <c r="T13" s="249"/>
      <c r="U13" s="249"/>
      <c r="V13" s="249" t="s">
        <v>100</v>
      </c>
      <c r="W13" s="249" t="s">
        <v>133</v>
      </c>
      <c r="X13" s="249" t="s">
        <v>111</v>
      </c>
      <c r="Y13" s="249" t="str">
        <f ca="1">IF(I13&lt;&gt;"",IF(I13&lt;=TODAY(),IF(OR(N13="REPROGRAMADA",N13="SUSPENDIDA",N13="EXCLUSION",N13="COLEGIADO"),"NO HECHA",IF(N13=" ","SINRESULTADO","SI")),"NO"),IF(N13="EXCLUSION","NO HECHA","LIMBO"))</f>
        <v>SI</v>
      </c>
      <c r="Z13" s="249" t="str">
        <f>IF($Z$1=I13,"DIASOL", "DIANOSOL")</f>
        <v>DIANOSOL</v>
      </c>
      <c r="AA13" s="249" t="s">
        <v>240</v>
      </c>
      <c r="AB13" s="249"/>
      <c r="AC13" s="249" t="str">
        <f>IF(H13=$M$1,"SI","NO")</f>
        <v>NO</v>
      </c>
      <c r="AD13" s="249"/>
      <c r="AE13" s="252">
        <v>45170</v>
      </c>
      <c r="AF13" s="249"/>
      <c r="AG13" s="249" t="str">
        <f>IF(COUNTIF(C13,"*preso*")&gt;0,"SI","NO")</f>
        <v>NO</v>
      </c>
      <c r="AH13" s="253">
        <f>NroOrden(N13)</f>
        <v>1</v>
      </c>
      <c r="AI13" s="249"/>
      <c r="AJ13" s="242" t="str">
        <f ca="1">IF(OR(Y13="NO",Y13="LIMBO"),"IMP","NOIMP")</f>
        <v>NOIMP</v>
      </c>
      <c r="AK13" s="5"/>
    </row>
    <row r="14" spans="1:37" ht="51">
      <c r="A14" s="136">
        <v>11</v>
      </c>
      <c r="B14" s="137" t="s">
        <v>443</v>
      </c>
      <c r="C14" s="204"/>
      <c r="D14" s="136" t="s">
        <v>444</v>
      </c>
      <c r="E14" s="136" t="s">
        <v>445</v>
      </c>
      <c r="F14" s="140"/>
      <c r="G14" s="136"/>
      <c r="H14" s="136" t="s">
        <v>111</v>
      </c>
      <c r="I14" s="137"/>
      <c r="J14" s="136"/>
      <c r="K14" s="138" t="s">
        <v>111</v>
      </c>
      <c r="L14" s="188"/>
      <c r="M14" s="137" t="s">
        <v>329</v>
      </c>
      <c r="N14" s="136" t="s">
        <v>361</v>
      </c>
      <c r="O14" s="136"/>
      <c r="P14" s="138" t="s">
        <v>446</v>
      </c>
      <c r="Q14" s="138" t="s">
        <v>111</v>
      </c>
      <c r="R14" s="188"/>
      <c r="S14" s="136"/>
      <c r="T14" s="138"/>
      <c r="U14" s="138"/>
      <c r="V14" s="136" t="s">
        <v>111</v>
      </c>
      <c r="W14" s="136" t="s">
        <v>111</v>
      </c>
      <c r="X14" s="136" t="s">
        <v>111</v>
      </c>
      <c r="Y14" s="193" t="str">
        <f ca="1">IF(I14&lt;&gt;"",IF(I14&lt;=TODAY(),IF(OR(N14="REPROGRAMADA",N14="SUSPENDIDA",N14="EXCLUSION",N14="COLEGIADO"),"NO HECHA",IF(N14=" ","SINRESULTADO","SI")),"NO"),IF(N14="EXCLUSION","NO HECHA","LIMBO"))</f>
        <v>NO HECHA</v>
      </c>
      <c r="Z14" s="136" t="str">
        <f>IF($Z$1=I14,"DIASOL", "DIANOSOL")</f>
        <v>DIANOSOL</v>
      </c>
      <c r="AA14" s="136" t="s">
        <v>240</v>
      </c>
      <c r="AB14" s="136"/>
      <c r="AC14" s="139" t="str">
        <f>IF(H14=$M$1,"SI","NO")</f>
        <v>NO</v>
      </c>
      <c r="AD14" s="139"/>
      <c r="AE14" s="138"/>
      <c r="AF14" s="138"/>
      <c r="AG14" s="138" t="str">
        <f>IF(COUNTIF(C14,"*preso*")&gt;0,"SI","NO")</f>
        <v>NO</v>
      </c>
      <c r="AH14" s="244">
        <f>NroOrden(N14)</f>
        <v>1</v>
      </c>
      <c r="AI14" s="138" t="s">
        <v>447</v>
      </c>
      <c r="AJ14" s="48" t="str">
        <f ca="1">IF(OR(Y14="NO",Y14="LIMBO"),"IMP","NOIMP")</f>
        <v>NOIMP</v>
      </c>
      <c r="AK14" s="5"/>
    </row>
    <row r="15" spans="1:37" ht="51">
      <c r="A15" s="136">
        <v>15</v>
      </c>
      <c r="B15" s="137" t="s">
        <v>466</v>
      </c>
      <c r="C15" s="205"/>
      <c r="D15" s="136" t="s">
        <v>467</v>
      </c>
      <c r="E15" s="136" t="s">
        <v>468</v>
      </c>
      <c r="F15" s="140">
        <v>44985</v>
      </c>
      <c r="G15" s="136"/>
      <c r="H15" s="136" t="s">
        <v>111</v>
      </c>
      <c r="I15" s="137"/>
      <c r="J15" s="136"/>
      <c r="K15" s="138" t="s">
        <v>111</v>
      </c>
      <c r="L15" s="188"/>
      <c r="M15" s="137" t="s">
        <v>111</v>
      </c>
      <c r="N15" s="136" t="s">
        <v>361</v>
      </c>
      <c r="O15" s="136"/>
      <c r="P15" s="138" t="s">
        <v>469</v>
      </c>
      <c r="Q15" s="138" t="s">
        <v>111</v>
      </c>
      <c r="R15" s="188"/>
      <c r="S15" s="136"/>
      <c r="T15" s="138"/>
      <c r="U15" s="138"/>
      <c r="V15" s="136" t="s">
        <v>111</v>
      </c>
      <c r="W15" s="136" t="s">
        <v>111</v>
      </c>
      <c r="X15" s="136" t="s">
        <v>111</v>
      </c>
      <c r="Y15" s="193" t="str">
        <f ca="1">IF(I15&lt;&gt;"",IF(I15&lt;=TODAY(),IF(OR(N15="REPROGRAMADA",N15="SUSPENDIDA",N15="EXCLUSION",N15="COLEGIADO"),"NO HECHA",IF(N15=" ","SINRESULTADO","SI")),"NO"),IF(N15="EXCLUSION","NO HECHA","LIMBO"))</f>
        <v>NO HECHA</v>
      </c>
      <c r="Z15" s="136" t="str">
        <f>IF($Z$1=I15,"DIASOL", "DIANOSOL")</f>
        <v>DIANOSOL</v>
      </c>
      <c r="AA15" s="136" t="s">
        <v>240</v>
      </c>
      <c r="AB15" s="136"/>
      <c r="AC15" s="139" t="str">
        <f>IF(H15=$M$1,"SI","NO")</f>
        <v>NO</v>
      </c>
      <c r="AD15" s="139"/>
      <c r="AE15" s="138"/>
      <c r="AF15" s="138"/>
      <c r="AG15" s="138" t="str">
        <f>IF(COUNTIF(C15,"*preso*")&gt;0,"SI","NO")</f>
        <v>NO</v>
      </c>
      <c r="AH15" s="244">
        <f>NroOrden(N15)</f>
        <v>1</v>
      </c>
      <c r="AI15" s="138" t="s">
        <v>470</v>
      </c>
      <c r="AJ15" s="48" t="str">
        <f ca="1">IF(OR(Y15="NO",Y15="LIMBO"),"IMP","NOIMP")</f>
        <v>NOIMP</v>
      </c>
      <c r="AK15" s="5"/>
    </row>
    <row r="16" spans="1:37" ht="306">
      <c r="A16" s="136">
        <v>24</v>
      </c>
      <c r="B16" s="137" t="s">
        <v>525</v>
      </c>
      <c r="C16" s="205" t="s">
        <v>501</v>
      </c>
      <c r="D16" s="136" t="s">
        <v>526</v>
      </c>
      <c r="E16" s="136" t="s">
        <v>527</v>
      </c>
      <c r="F16" s="140">
        <v>44993</v>
      </c>
      <c r="G16" s="136"/>
      <c r="H16" s="136" t="s">
        <v>111</v>
      </c>
      <c r="I16" s="137"/>
      <c r="J16" s="136"/>
      <c r="K16" s="138" t="s">
        <v>111</v>
      </c>
      <c r="L16" s="188"/>
      <c r="M16" s="137" t="s">
        <v>329</v>
      </c>
      <c r="N16" s="136" t="s">
        <v>361</v>
      </c>
      <c r="O16" s="136"/>
      <c r="P16" s="146" t="s">
        <v>528</v>
      </c>
      <c r="Q16" s="138" t="s">
        <v>111</v>
      </c>
      <c r="R16" s="188"/>
      <c r="S16" s="136" t="s">
        <v>374</v>
      </c>
      <c r="T16" s="140">
        <v>44933</v>
      </c>
      <c r="U16" s="136" t="s">
        <v>476</v>
      </c>
      <c r="V16" s="136" t="s">
        <v>193</v>
      </c>
      <c r="W16" s="136" t="s">
        <v>141</v>
      </c>
      <c r="X16" s="136" t="s">
        <v>111</v>
      </c>
      <c r="Y16" s="193" t="str">
        <f ca="1">IF(I16&lt;&gt;"",IF(I16&lt;=TODAY(),IF(OR(N16="REPROGRAMADA",N16="SUSPENDIDA",N16="EXCLUSION",N16="COLEGIADO"),"NO HECHA",IF(N16=" ","SINRESULTADO","SI")),"NO"),IF(N16="EXCLUSION","NO HECHA","LIMBO"))</f>
        <v>NO HECHA</v>
      </c>
      <c r="Z16" s="136" t="str">
        <f>IF($Z$1=I16,"DIASOL", "DIANOSOL")</f>
        <v>DIANOSOL</v>
      </c>
      <c r="AA16" s="136" t="s">
        <v>240</v>
      </c>
      <c r="AB16" s="136" t="s">
        <v>529</v>
      </c>
      <c r="AC16" s="139" t="str">
        <f>IF(H16=$M$1,"SI","NO")</f>
        <v>NO</v>
      </c>
      <c r="AD16" s="139"/>
      <c r="AE16" s="138"/>
      <c r="AF16" s="140">
        <v>45006</v>
      </c>
      <c r="AG16" s="138" t="str">
        <f>IF(COUNTIF(C16,"*preso*")&gt;0,"SI","NO")</f>
        <v>SI</v>
      </c>
      <c r="AH16" s="244">
        <f>NroOrden(N16)</f>
        <v>1</v>
      </c>
      <c r="AI16" s="138" t="s">
        <v>530</v>
      </c>
      <c r="AJ16" s="48" t="str">
        <f ca="1">IF(OR(Y16="NO",Y16="LIMBO"),"IMP","NOIMP")</f>
        <v>NOIMP</v>
      </c>
      <c r="AK16" s="5"/>
    </row>
    <row r="17" spans="1:37" ht="127.5">
      <c r="A17" s="136">
        <v>29</v>
      </c>
      <c r="B17" s="137" t="s">
        <v>558</v>
      </c>
      <c r="C17" s="205" t="s">
        <v>501</v>
      </c>
      <c r="D17" s="136" t="s">
        <v>559</v>
      </c>
      <c r="E17" s="136" t="s">
        <v>560</v>
      </c>
      <c r="F17" s="147">
        <v>45035</v>
      </c>
      <c r="G17" s="136"/>
      <c r="H17" s="136" t="s">
        <v>111</v>
      </c>
      <c r="I17" s="137"/>
      <c r="J17" s="136"/>
      <c r="K17" s="138" t="s">
        <v>111</v>
      </c>
      <c r="L17" s="188"/>
      <c r="M17" s="137" t="s">
        <v>329</v>
      </c>
      <c r="N17" s="136" t="s">
        <v>361</v>
      </c>
      <c r="O17" s="136"/>
      <c r="P17" s="146" t="s">
        <v>561</v>
      </c>
      <c r="Q17" s="138" t="s">
        <v>111</v>
      </c>
      <c r="R17" s="188"/>
      <c r="S17" s="136"/>
      <c r="T17" s="138"/>
      <c r="U17" s="138"/>
      <c r="V17" s="136" t="s">
        <v>186</v>
      </c>
      <c r="W17" s="136" t="s">
        <v>132</v>
      </c>
      <c r="X17" s="136" t="s">
        <v>111</v>
      </c>
      <c r="Y17" s="193" t="str">
        <f ca="1">IF(I17&lt;&gt;"",IF(I17&lt;=TODAY(),IF(OR(N17="REPROGRAMADA",N17="SUSPENDIDA",N17="EXCLUSION",N17="COLEGIADO"),"NO HECHA",IF(N17=" ","SINRESULTADO","SI")),"NO"),IF(N17="EXCLUSION","NO HECHA","LIMBO"))</f>
        <v>NO HECHA</v>
      </c>
      <c r="Z17" s="136" t="str">
        <f>IF($Z$1=I17,"DIASOL", "DIANOSOL")</f>
        <v>DIANOSOL</v>
      </c>
      <c r="AA17" s="136" t="s">
        <v>240</v>
      </c>
      <c r="AB17" s="136"/>
      <c r="AC17" s="139" t="str">
        <f>IF(H17=$M$1,"SI","NO")</f>
        <v>NO</v>
      </c>
      <c r="AD17" s="139"/>
      <c r="AE17" s="138"/>
      <c r="AF17" s="140">
        <v>45035</v>
      </c>
      <c r="AG17" s="138" t="str">
        <f>IF(COUNTIF(C17,"*preso*")&gt;0,"SI","NO")</f>
        <v>SI</v>
      </c>
      <c r="AH17" s="244">
        <f>NroOrden(N17)</f>
        <v>1</v>
      </c>
      <c r="AI17" s="138" t="s">
        <v>562</v>
      </c>
      <c r="AJ17" s="48" t="str">
        <f ca="1">IF(OR(Y17="NO",Y17="LIMBO"),"IMP","NOIMP")</f>
        <v>NOIMP</v>
      </c>
      <c r="AK17" s="5"/>
    </row>
    <row r="18" spans="1:37" ht="153">
      <c r="A18" s="136">
        <v>33</v>
      </c>
      <c r="B18" s="137" t="s">
        <v>575</v>
      </c>
      <c r="C18" s="205" t="s">
        <v>501</v>
      </c>
      <c r="D18" s="136" t="s">
        <v>576</v>
      </c>
      <c r="E18" s="136" t="s">
        <v>577</v>
      </c>
      <c r="F18" s="140">
        <v>45095</v>
      </c>
      <c r="G18" s="148" t="s">
        <v>578</v>
      </c>
      <c r="H18" s="136" t="s">
        <v>111</v>
      </c>
      <c r="I18" s="137"/>
      <c r="J18" s="136"/>
      <c r="K18" s="138" t="s">
        <v>111</v>
      </c>
      <c r="L18" s="188"/>
      <c r="M18" s="137" t="s">
        <v>329</v>
      </c>
      <c r="N18" s="136" t="s">
        <v>361</v>
      </c>
      <c r="O18" s="136"/>
      <c r="P18" s="138" t="s">
        <v>579</v>
      </c>
      <c r="Q18" s="138" t="s">
        <v>111</v>
      </c>
      <c r="R18" s="188"/>
      <c r="S18" s="136"/>
      <c r="T18" s="138"/>
      <c r="U18" s="138"/>
      <c r="V18" s="136" t="s">
        <v>111</v>
      </c>
      <c r="W18" s="136" t="s">
        <v>111</v>
      </c>
      <c r="X18" s="136" t="s">
        <v>111</v>
      </c>
      <c r="Y18" s="193" t="str">
        <f ca="1">IF(I18&lt;&gt;"",IF(I18&lt;=TODAY(),IF(OR(N18="REPROGRAMADA",N18="SUSPENDIDA",N18="EXCLUSION",N18="COLEGIADO"),"NO HECHA",IF(N18=" ","SINRESULTADO","SI")),"NO"),IF(N18="EXCLUSION","NO HECHA","LIMBO"))</f>
        <v>NO HECHA</v>
      </c>
      <c r="Z18" s="136" t="str">
        <f>IF($Z$1=I18,"DIASOL", "DIANOSOL")</f>
        <v>DIANOSOL</v>
      </c>
      <c r="AA18" s="136" t="s">
        <v>240</v>
      </c>
      <c r="AB18" s="136"/>
      <c r="AC18" s="139" t="str">
        <f>IF(H18=$M$1,"SI","NO")</f>
        <v>NO</v>
      </c>
      <c r="AD18" s="139"/>
      <c r="AE18" s="138"/>
      <c r="AF18" s="140">
        <v>45041</v>
      </c>
      <c r="AG18" s="138" t="str">
        <f>IF(COUNTIF(C18,"*preso*")&gt;0,"SI","NO")</f>
        <v>SI</v>
      </c>
      <c r="AH18" s="244">
        <f>NroOrden(N18)</f>
        <v>1</v>
      </c>
      <c r="AI18" s="138" t="s">
        <v>580</v>
      </c>
      <c r="AJ18" s="48" t="str">
        <f ca="1">IF(OR(Y18="NO",Y18="LIMBO"),"IMP","NOIMP")</f>
        <v>NOIMP</v>
      </c>
      <c r="AK18" s="5"/>
    </row>
    <row r="19" spans="1:37" ht="111" customHeight="1">
      <c r="A19" s="136">
        <v>38</v>
      </c>
      <c r="B19" s="137" t="s">
        <v>595</v>
      </c>
      <c r="C19" s="205" t="s">
        <v>501</v>
      </c>
      <c r="D19" s="136" t="s">
        <v>596</v>
      </c>
      <c r="E19" s="136" t="s">
        <v>369</v>
      </c>
      <c r="F19" s="140">
        <v>45040</v>
      </c>
      <c r="G19" s="136"/>
      <c r="H19" s="136" t="s">
        <v>111</v>
      </c>
      <c r="I19" s="137"/>
      <c r="J19" s="136"/>
      <c r="K19" s="138" t="s">
        <v>111</v>
      </c>
      <c r="L19" s="188"/>
      <c r="M19" s="137" t="s">
        <v>328</v>
      </c>
      <c r="N19" s="136" t="s">
        <v>361</v>
      </c>
      <c r="O19" s="136"/>
      <c r="P19" s="138" t="s">
        <v>597</v>
      </c>
      <c r="Q19" s="138" t="s">
        <v>111</v>
      </c>
      <c r="R19" s="188"/>
      <c r="S19" s="136"/>
      <c r="T19" s="138"/>
      <c r="U19" s="138"/>
      <c r="V19" s="136" t="s">
        <v>111</v>
      </c>
      <c r="W19" s="136" t="s">
        <v>111</v>
      </c>
      <c r="X19" s="136" t="s">
        <v>111</v>
      </c>
      <c r="Y19" s="193" t="str">
        <f ca="1">IF(I19&lt;&gt;"",IF(I19&lt;=TODAY(),IF(OR(N19="REPROGRAMADA",N19="SUSPENDIDA",N19="EXCLUSION",N19="COLEGIADO"),"NO HECHA",IF(N19=" ","SINRESULTADO","SI")),"NO"),IF(N19="EXCLUSION","NO HECHA","LIMBO"))</f>
        <v>NO HECHA</v>
      </c>
      <c r="Z19" s="136" t="str">
        <f>IF($Z$1=I19,"DIASOL", "DIANOSOL")</f>
        <v>DIANOSOL</v>
      </c>
      <c r="AA19" s="136" t="s">
        <v>240</v>
      </c>
      <c r="AB19" s="136"/>
      <c r="AC19" s="139" t="str">
        <f>IF(H19=$M$1,"SI","NO")</f>
        <v>NO</v>
      </c>
      <c r="AD19" s="139"/>
      <c r="AE19" s="138"/>
      <c r="AF19" s="140">
        <v>45040</v>
      </c>
      <c r="AG19" s="138" t="str">
        <f>IF(COUNTIF(C19,"*preso*")&gt;0,"SI","NO")</f>
        <v>SI</v>
      </c>
      <c r="AH19" s="244">
        <f>NroOrden(N19)</f>
        <v>1</v>
      </c>
      <c r="AI19" s="138" t="s">
        <v>598</v>
      </c>
      <c r="AJ19" s="48" t="str">
        <f ca="1">IF(OR(Y19="NO",Y19="LIMBO"),"IMP","NOIMP")</f>
        <v>NOIMP</v>
      </c>
      <c r="AK19" s="5"/>
    </row>
    <row r="20" spans="1:37" ht="98.25" customHeight="1">
      <c r="A20" s="136">
        <v>69</v>
      </c>
      <c r="B20" s="137" t="s">
        <v>774</v>
      </c>
      <c r="C20" s="205"/>
      <c r="D20" s="136" t="s">
        <v>775</v>
      </c>
      <c r="E20" s="136"/>
      <c r="F20" s="140"/>
      <c r="G20" s="136"/>
      <c r="H20" s="136" t="s">
        <v>111</v>
      </c>
      <c r="I20" s="137"/>
      <c r="J20" s="136"/>
      <c r="K20" s="138" t="s">
        <v>111</v>
      </c>
      <c r="L20" s="188"/>
      <c r="M20" s="137" t="s">
        <v>329</v>
      </c>
      <c r="N20" s="136" t="s">
        <v>361</v>
      </c>
      <c r="O20" s="136"/>
      <c r="P20" s="138"/>
      <c r="Q20" s="138" t="s">
        <v>111</v>
      </c>
      <c r="R20" s="188"/>
      <c r="S20" s="136"/>
      <c r="T20" s="138"/>
      <c r="U20" s="138"/>
      <c r="V20" s="136" t="s">
        <v>111</v>
      </c>
      <c r="W20" s="136" t="s">
        <v>111</v>
      </c>
      <c r="X20" s="136" t="s">
        <v>111</v>
      </c>
      <c r="Y20" s="193" t="str">
        <f ca="1">IF(I20&lt;&gt;"",IF(I20&lt;=TODAY(),IF(OR(N20="REPROGRAMADA",N20="SUSPENDIDA",N20="EXCLUSION",N20="COLEGIADO"),"NO HECHA",IF(N20=" ","SINRESULTADO","SI")),"NO"),IF(N20="EXCLUSION","NO HECHA","LIMBO"))</f>
        <v>NO HECHA</v>
      </c>
      <c r="Z20" s="136" t="str">
        <f>IF($Z$1=I20,"DIASOL", "DIANOSOL")</f>
        <v>DIANOSOL</v>
      </c>
      <c r="AA20" s="136" t="s">
        <v>240</v>
      </c>
      <c r="AB20" s="136"/>
      <c r="AC20" s="139" t="str">
        <f>IF(H20=$M$1,"SI","NO")</f>
        <v>NO</v>
      </c>
      <c r="AD20" s="139"/>
      <c r="AE20" s="138"/>
      <c r="AF20" s="140">
        <v>45068</v>
      </c>
      <c r="AG20" s="138" t="str">
        <f>IF(COUNTIF(C20,"*preso*")&gt;0,"SI","NO")</f>
        <v>NO</v>
      </c>
      <c r="AH20" s="244">
        <f>NroOrden(N20)</f>
        <v>1</v>
      </c>
      <c r="AI20" s="138" t="s">
        <v>776</v>
      </c>
      <c r="AJ20" s="48" t="str">
        <f ca="1">IF(OR(Y20="NO",Y20="LIMBO"),"IMP","NOIMP")</f>
        <v>NOIMP</v>
      </c>
      <c r="AK20" s="5"/>
    </row>
    <row r="21" spans="1:37" ht="127.5">
      <c r="A21" s="138">
        <v>139</v>
      </c>
      <c r="B21" s="137" t="s">
        <v>1081</v>
      </c>
      <c r="C21" s="204" t="s">
        <v>501</v>
      </c>
      <c r="D21" s="138" t="s">
        <v>1082</v>
      </c>
      <c r="E21" s="136" t="s">
        <v>1083</v>
      </c>
      <c r="F21" s="140">
        <v>45114</v>
      </c>
      <c r="G21" s="138" t="s">
        <v>1064</v>
      </c>
      <c r="H21" s="136" t="s">
        <v>111</v>
      </c>
      <c r="I21" s="213"/>
      <c r="J21" s="213"/>
      <c r="K21" s="138" t="s">
        <v>111</v>
      </c>
      <c r="L21" s="188"/>
      <c r="M21" s="137" t="s">
        <v>111</v>
      </c>
      <c r="N21" s="136" t="s">
        <v>2031</v>
      </c>
      <c r="O21" s="136"/>
      <c r="P21" s="136" t="s">
        <v>1571</v>
      </c>
      <c r="Q21" s="138" t="s">
        <v>111</v>
      </c>
      <c r="R21" s="188"/>
      <c r="S21" s="136" t="s">
        <v>374</v>
      </c>
      <c r="T21" s="136" t="s">
        <v>1085</v>
      </c>
      <c r="U21" s="136" t="s">
        <v>1086</v>
      </c>
      <c r="V21" s="136" t="s">
        <v>192</v>
      </c>
      <c r="W21" s="136" t="s">
        <v>140</v>
      </c>
      <c r="X21" s="136" t="s">
        <v>111</v>
      </c>
      <c r="Y21" s="193" t="str">
        <f ca="1">IF(I21&lt;&gt;"",IF(I21&lt;=TODAY(),IF(OR(N21="REPROGRAMADA",N21="SUSPENDIDA",N21="EXCLUSION",N21="COLEGIADO"),"NO HECHA",IF(N21=" ","SINRESULTADO","SI")),"NO"),IF(N21="EXCLUSION","NO HECHA","LIMBO"))</f>
        <v>LIMBO</v>
      </c>
      <c r="Z21" s="136" t="str">
        <f>IF($Z$1=I21,"DIASOL", "DIANOSOL")</f>
        <v>DIANOSOL</v>
      </c>
      <c r="AA21" s="136" t="s">
        <v>240</v>
      </c>
      <c r="AB21" s="136" t="s">
        <v>1084</v>
      </c>
      <c r="AC21" s="139" t="str">
        <f>IF(H21=$M$1,"SI","NO")</f>
        <v>NO</v>
      </c>
      <c r="AD21" s="139"/>
      <c r="AE21" s="138"/>
      <c r="AF21" s="138"/>
      <c r="AG21" s="138" t="str">
        <f>IF(COUNTIF(C21,"*preso*")&gt;0,"SI","NO")</f>
        <v>SI</v>
      </c>
      <c r="AH21" s="244">
        <f>NroOrden(N21)</f>
        <v>1</v>
      </c>
      <c r="AI21" s="138"/>
      <c r="AJ21" s="48" t="str">
        <f ca="1">IF(OR(Y21="NO",Y21="LIMBO"),"IMP","NOIMP")</f>
        <v>IMP</v>
      </c>
      <c r="AK21" s="5"/>
    </row>
    <row r="22" spans="1:37" ht="61.5" customHeight="1">
      <c r="A22" s="249">
        <v>233</v>
      </c>
      <c r="B22" s="250" t="s">
        <v>1606</v>
      </c>
      <c r="C22" s="249"/>
      <c r="D22" s="249" t="s">
        <v>1653</v>
      </c>
      <c r="E22" s="249" t="s">
        <v>1607</v>
      </c>
      <c r="F22" s="252">
        <v>45173</v>
      </c>
      <c r="G22" s="249" t="s">
        <v>1601</v>
      </c>
      <c r="H22" s="249" t="s">
        <v>111</v>
      </c>
      <c r="I22" s="250"/>
      <c r="J22" s="250"/>
      <c r="K22" s="249" t="s">
        <v>111</v>
      </c>
      <c r="L22" s="188"/>
      <c r="M22" s="250" t="s">
        <v>332</v>
      </c>
      <c r="N22" s="249" t="s">
        <v>361</v>
      </c>
      <c r="O22" s="249" t="s">
        <v>2036</v>
      </c>
      <c r="P22" s="249" t="s">
        <v>2355</v>
      </c>
      <c r="Q22" s="249" t="s">
        <v>111</v>
      </c>
      <c r="R22" s="280"/>
      <c r="S22" s="249"/>
      <c r="T22" s="249"/>
      <c r="U22" s="249"/>
      <c r="V22" s="249" t="s">
        <v>1281</v>
      </c>
      <c r="W22" s="249" t="s">
        <v>1608</v>
      </c>
      <c r="X22" s="249" t="s">
        <v>111</v>
      </c>
      <c r="Y22" s="249" t="str">
        <f ca="1">IF(I22&lt;&gt;"",IF(I22&lt;=TODAY(),IF(OR(N22="REPROGRAMADA",N22="SUSPENDIDA",N22="EXCLUSION",N22="COLEGIADO"),"NO HECHA",IF(N22=" ","SINRESULTADO","SI")),"NO"),IF(N22="EXCLUSION","NO HECHA","LIMBO"))</f>
        <v>NO HECHA</v>
      </c>
      <c r="Z22" s="249" t="str">
        <f>IF($Z$1=I22,"DIASOL", "DIANOSOL")</f>
        <v>DIANOSOL</v>
      </c>
      <c r="AA22" s="249" t="s">
        <v>1609</v>
      </c>
      <c r="AB22" s="249" t="s">
        <v>1610</v>
      </c>
      <c r="AC22" s="249" t="str">
        <f>IF(H22=$M$1,"SI","NO")</f>
        <v>NO</v>
      </c>
      <c r="AD22" s="249"/>
      <c r="AE22" s="252">
        <v>45169</v>
      </c>
      <c r="AF22" s="249"/>
      <c r="AG22" s="249" t="str">
        <f>IF(COUNTIF(C22,"*preso*")&gt;0,"SI","NO")</f>
        <v>NO</v>
      </c>
      <c r="AH22" s="253">
        <f>NroOrden(N22)</f>
        <v>1</v>
      </c>
      <c r="AI22" s="249"/>
      <c r="AJ22" s="242" t="str">
        <f ca="1">IF(OR(Y22="NO",Y22="LIMBO"),"IMP","NOIMP")</f>
        <v>NOIMP</v>
      </c>
      <c r="AK22" s="5"/>
    </row>
    <row r="23" spans="1:37" ht="242.25">
      <c r="A23" s="249">
        <v>260</v>
      </c>
      <c r="B23" s="250" t="s">
        <v>1738</v>
      </c>
      <c r="C23" s="251"/>
      <c r="D23" s="249" t="s">
        <v>1739</v>
      </c>
      <c r="E23" s="249" t="s">
        <v>1740</v>
      </c>
      <c r="F23" s="252">
        <v>45180</v>
      </c>
      <c r="G23" s="249" t="s">
        <v>1742</v>
      </c>
      <c r="H23" s="249" t="s">
        <v>111</v>
      </c>
      <c r="I23" s="250"/>
      <c r="J23" s="250"/>
      <c r="K23" s="249" t="s">
        <v>111</v>
      </c>
      <c r="L23" s="280" t="s">
        <v>111</v>
      </c>
      <c r="M23" s="250" t="s">
        <v>332</v>
      </c>
      <c r="N23" s="249" t="s">
        <v>361</v>
      </c>
      <c r="O23" s="249" t="s">
        <v>2036</v>
      </c>
      <c r="P23" s="249" t="s">
        <v>2356</v>
      </c>
      <c r="Q23" s="249"/>
      <c r="R23" s="280"/>
      <c r="S23" s="249"/>
      <c r="T23" s="249"/>
      <c r="U23" s="249"/>
      <c r="V23" s="249" t="s">
        <v>189</v>
      </c>
      <c r="W23" s="249" t="s">
        <v>111</v>
      </c>
      <c r="X23" s="249" t="s">
        <v>111</v>
      </c>
      <c r="Y23" s="249" t="str">
        <f ca="1">IF(I23&lt;&gt;"",IF(I23&lt;=TODAY(),IF(OR(N23="REPROGRAMADA",N23="SUSPENDIDA",N23="EXCLUSION",N23="COLEGIADO"),"NO HECHA",IF(N23=" ","SINRESULTADO","SI")),"NO"),IF(N23="EXCLUSION","NO HECHA","LIMBO"))</f>
        <v>NO HECHA</v>
      </c>
      <c r="Z23" s="249" t="str">
        <f>IF($Z$1=I23,"DIASOL", "DIANOSOL")</f>
        <v>DIANOSOL</v>
      </c>
      <c r="AA23" s="249" t="s">
        <v>240</v>
      </c>
      <c r="AB23" s="249" t="s">
        <v>1741</v>
      </c>
      <c r="AC23" s="249" t="str">
        <f>IF(H23=$M$1,"SI","NO")</f>
        <v>NO</v>
      </c>
      <c r="AD23" s="249"/>
      <c r="AE23" s="252">
        <v>45169</v>
      </c>
      <c r="AF23" s="249"/>
      <c r="AG23" s="249" t="str">
        <f>IF(COUNTIF(C23,"*preso*")&gt;0,"SI","NO")</f>
        <v>NO</v>
      </c>
      <c r="AH23" s="253">
        <f>NroOrden(N23)</f>
        <v>1</v>
      </c>
      <c r="AI23" s="249"/>
      <c r="AJ23" s="242" t="str">
        <f ca="1">IF(OR(Y23="NO",Y23="LIMBO"),"IMP","NOIMP")</f>
        <v>NOIMP</v>
      </c>
      <c r="AK23" s="5"/>
    </row>
    <row r="24" spans="1:37" ht="54.75" customHeight="1">
      <c r="A24" s="136">
        <v>328</v>
      </c>
      <c r="B24" s="137" t="s">
        <v>413</v>
      </c>
      <c r="C24" s="204" t="s">
        <v>414</v>
      </c>
      <c r="D24" s="136" t="s">
        <v>415</v>
      </c>
      <c r="E24" s="136" t="s">
        <v>416</v>
      </c>
      <c r="F24" s="140">
        <v>44974</v>
      </c>
      <c r="G24" s="136" t="s">
        <v>417</v>
      </c>
      <c r="H24" s="136"/>
      <c r="I24" s="137"/>
      <c r="J24" s="136"/>
      <c r="K24" s="138" t="s">
        <v>111</v>
      </c>
      <c r="L24" s="242"/>
      <c r="M24" s="137" t="s">
        <v>328</v>
      </c>
      <c r="N24" s="136" t="s">
        <v>361</v>
      </c>
      <c r="O24" s="136"/>
      <c r="P24" s="138" t="s">
        <v>418</v>
      </c>
      <c r="Q24" s="138" t="s">
        <v>111</v>
      </c>
      <c r="R24" s="242"/>
      <c r="S24" s="136"/>
      <c r="T24" s="138"/>
      <c r="U24" s="138"/>
      <c r="V24" s="136" t="s">
        <v>111</v>
      </c>
      <c r="W24" s="136" t="s">
        <v>111</v>
      </c>
      <c r="X24" s="136" t="s">
        <v>111</v>
      </c>
      <c r="Y24" s="193" t="str">
        <f ca="1">IF(I24&lt;&gt;"",IF(I24&lt;=TODAY(),IF(OR(N24="REPROGRAMADA",N24="SUSPENDIDA",N24="EXCLUSION",N24="COLEGIADO"),"NO HECHA",IF(N24=" ","SINRESULTADO","SI")),"NO"),IF(N24="EXCLUSION","NO HECHA","LIMBO"))</f>
        <v>NO HECHA</v>
      </c>
      <c r="Z24" s="136" t="str">
        <f>IF($Z$1=I24,"DIASOL", "DIANOSOL")</f>
        <v>DIANOSOL</v>
      </c>
      <c r="AA24" s="136" t="s">
        <v>240</v>
      </c>
      <c r="AB24" s="136"/>
      <c r="AC24" s="139" t="str">
        <f>IF(H24=$M$1,"SI","NO")</f>
        <v>NO</v>
      </c>
      <c r="AD24" s="139"/>
      <c r="AE24" s="138"/>
      <c r="AF24" s="140">
        <v>44994</v>
      </c>
      <c r="AG24" s="138" t="str">
        <f>IF(COUNTIF(C24,"*preso*")&gt;0,"SI","NO")</f>
        <v>NO</v>
      </c>
      <c r="AH24" s="244">
        <f>NroOrden(N24)</f>
        <v>1</v>
      </c>
      <c r="AI24" s="138" t="s">
        <v>418</v>
      </c>
      <c r="AJ24" s="48" t="str">
        <f ca="1">IF(OR(Y24="NO",Y24="LIMBO"),"IMP","NOIMP")</f>
        <v>NOIMP</v>
      </c>
      <c r="AK24" s="5"/>
    </row>
    <row r="25" spans="1:37" ht="63.75">
      <c r="A25" s="138">
        <v>192</v>
      </c>
      <c r="B25" s="137" t="s">
        <v>1375</v>
      </c>
      <c r="C25" s="204"/>
      <c r="D25" s="138" t="s">
        <v>1376</v>
      </c>
      <c r="E25" s="136" t="s">
        <v>1377</v>
      </c>
      <c r="F25" s="140">
        <v>45149</v>
      </c>
      <c r="G25" s="136" t="s">
        <v>1344</v>
      </c>
      <c r="H25" s="136" t="s">
        <v>111</v>
      </c>
      <c r="I25" s="213"/>
      <c r="J25" s="213"/>
      <c r="K25" s="136" t="s">
        <v>111</v>
      </c>
      <c r="L25" s="188"/>
      <c r="M25" s="137" t="s">
        <v>330</v>
      </c>
      <c r="N25" s="136" t="s">
        <v>361</v>
      </c>
      <c r="O25" s="136" t="s">
        <v>2036</v>
      </c>
      <c r="P25" s="136" t="s">
        <v>1633</v>
      </c>
      <c r="Q25" s="136" t="s">
        <v>111</v>
      </c>
      <c r="R25" s="188"/>
      <c r="S25" s="136"/>
      <c r="T25" s="138"/>
      <c r="U25" s="138"/>
      <c r="V25" s="136" t="s">
        <v>184</v>
      </c>
      <c r="W25" s="136" t="s">
        <v>134</v>
      </c>
      <c r="X25" s="136" t="s">
        <v>111</v>
      </c>
      <c r="Y25" s="159" t="str">
        <f ca="1">IF(I25&lt;&gt;"",IF(I25&lt;=TODAY(),IF(OR(N25="REPROGRAMADA",N25="SUSPENDIDA",N25="EXCLUSION",N25="COLEGIADO"),"NO HECHA",IF(N25=" ","SINRESULTADO","SI")),"NO"),IF(N25="EXCLUSION","NO HECHA","LIMBO"))</f>
        <v>NO HECHA</v>
      </c>
      <c r="Z25" s="149" t="str">
        <f>IF($Z$1=I25,"DIASOL", "DIANOSOL")</f>
        <v>DIANOSOL</v>
      </c>
      <c r="AA25" s="136" t="s">
        <v>240</v>
      </c>
      <c r="AB25" s="317" t="s">
        <v>1378</v>
      </c>
      <c r="AC25" s="149" t="str">
        <f>IF(H25=$M$1,"SI","NO")</f>
        <v>NO</v>
      </c>
      <c r="AD25" s="151"/>
      <c r="AE25" s="138"/>
      <c r="AF25" s="138"/>
      <c r="AG25" s="149" t="str">
        <f>IF(COUNTIF(C25,"*preso*")&gt;0,"SI","NO")</f>
        <v>NO</v>
      </c>
      <c r="AH25" s="244">
        <f>NroOrden(N25)</f>
        <v>1</v>
      </c>
      <c r="AI25" s="138"/>
      <c r="AJ25" s="48" t="str">
        <f ca="1">IF(OR(Y25="NO",Y25="LIMBO"),"IMP","NOIMP")</f>
        <v>NOIMP</v>
      </c>
      <c r="AK25" s="5"/>
    </row>
    <row r="26" spans="1:37" ht="51">
      <c r="A26" s="138">
        <v>288</v>
      </c>
      <c r="B26" s="250" t="s">
        <v>1854</v>
      </c>
      <c r="C26" s="251"/>
      <c r="D26" s="249" t="s">
        <v>1855</v>
      </c>
      <c r="E26" s="249" t="s">
        <v>1856</v>
      </c>
      <c r="F26" s="252">
        <v>45194</v>
      </c>
      <c r="G26" s="249" t="s">
        <v>1836</v>
      </c>
      <c r="H26" s="249" t="s">
        <v>111</v>
      </c>
      <c r="I26" s="250"/>
      <c r="J26" s="250"/>
      <c r="K26" s="249" t="s">
        <v>111</v>
      </c>
      <c r="L26" s="280" t="s">
        <v>111</v>
      </c>
      <c r="M26" s="250" t="s">
        <v>330</v>
      </c>
      <c r="N26" s="249" t="s">
        <v>2031</v>
      </c>
      <c r="O26" s="249" t="s">
        <v>2036</v>
      </c>
      <c r="P26" s="249" t="s">
        <v>2652</v>
      </c>
      <c r="Q26" s="249"/>
      <c r="R26" s="280"/>
      <c r="S26" s="249"/>
      <c r="T26" s="249"/>
      <c r="U26" s="249"/>
      <c r="V26" s="249" t="s">
        <v>1279</v>
      </c>
      <c r="W26" s="249" t="s">
        <v>111</v>
      </c>
      <c r="X26" s="249" t="s">
        <v>111</v>
      </c>
      <c r="Y26" s="194" t="str">
        <f ca="1">IF(I26&lt;&gt;"",IF(I26&lt;=TODAY(),IF(OR(N26="REPROGRAMADA",N26="SUSPENDIDA",N26="EXCLUSION",N26="COLEGIADO"),"NO HECHA",IF(N26=" ","SINRESULTADO","SI")),"NO"),IF(N26="EXCLUSION","NO HECHA","LIMBO"))</f>
        <v>LIMBO</v>
      </c>
      <c r="Z26" s="194" t="str">
        <f>IF($Z$1=I26,"DIASOL", "DIANOSOL")</f>
        <v>DIANOSOL</v>
      </c>
      <c r="AA26" s="249" t="s">
        <v>240</v>
      </c>
      <c r="AB26" s="249" t="s">
        <v>1857</v>
      </c>
      <c r="AC26" s="194" t="str">
        <f>IF(H26=$M$1,"SI","NO")</f>
        <v>NO</v>
      </c>
      <c r="AD26" s="194"/>
      <c r="AE26" s="252">
        <v>45177</v>
      </c>
      <c r="AF26" s="249"/>
      <c r="AG26" s="194" t="str">
        <f>IF(COUNTIF(C26,"*preso*")&gt;0,"SI","NO")</f>
        <v>NO</v>
      </c>
      <c r="AH26" s="244">
        <f>NroOrden(N26)</f>
        <v>1</v>
      </c>
      <c r="AI26" s="249"/>
      <c r="AJ26" s="48" t="str">
        <f ca="1">IF(OR(Y26="NO",Y26="LIMBO"),"IMP","NOIMP")</f>
        <v>IMP</v>
      </c>
      <c r="AK26" s="5"/>
    </row>
    <row r="27" spans="1:37" ht="76.5">
      <c r="A27" s="249">
        <v>324</v>
      </c>
      <c r="B27" s="250" t="s">
        <v>2205</v>
      </c>
      <c r="C27" s="251" t="s">
        <v>1472</v>
      </c>
      <c r="D27" s="249" t="s">
        <v>2019</v>
      </c>
      <c r="E27" s="249" t="s">
        <v>2020</v>
      </c>
      <c r="F27" s="252">
        <v>45202</v>
      </c>
      <c r="G27" s="249"/>
      <c r="H27" s="249" t="s">
        <v>111</v>
      </c>
      <c r="I27" s="250"/>
      <c r="J27" s="250"/>
      <c r="K27" s="249" t="s">
        <v>111</v>
      </c>
      <c r="L27" s="280" t="s">
        <v>111</v>
      </c>
      <c r="M27" s="250" t="s">
        <v>332</v>
      </c>
      <c r="N27" s="249" t="s">
        <v>361</v>
      </c>
      <c r="O27" s="249" t="s">
        <v>2036</v>
      </c>
      <c r="P27" s="249" t="s">
        <v>2655</v>
      </c>
      <c r="Q27" s="249"/>
      <c r="R27" s="280"/>
      <c r="S27" s="249" t="s">
        <v>2017</v>
      </c>
      <c r="T27" s="249" t="s">
        <v>2022</v>
      </c>
      <c r="U27" s="249" t="s">
        <v>2017</v>
      </c>
      <c r="V27" s="249" t="s">
        <v>343</v>
      </c>
      <c r="W27" s="249" t="s">
        <v>134</v>
      </c>
      <c r="X27" s="249"/>
      <c r="Y27" s="199" t="str">
        <f ca="1">IF(I27&lt;&gt;"",IF(I27&lt;=TODAY(),IF(OR(N27="REPROGRAMADA",N27="SUSPENDIDA",N27="EXCLUSION",N27="COLEGIADO"),"NO HECHA",IF(N27=" ","SINRESULTADO","SI")),"NO"),IF(N27="EXCLUSION","NO HECHA","LIMBO"))</f>
        <v>NO HECHA</v>
      </c>
      <c r="Z27" s="199" t="str">
        <f>IF($Z$1=I27,"DIASOL", "DIANOSOL")</f>
        <v>DIANOSOL</v>
      </c>
      <c r="AA27" s="249"/>
      <c r="AB27" s="318" t="s">
        <v>2021</v>
      </c>
      <c r="AC27" s="199" t="str">
        <f>IF(H27=$M$1,"SI","NO")</f>
        <v>NO</v>
      </c>
      <c r="AD27" s="199"/>
      <c r="AE27" s="249"/>
      <c r="AF27" s="249"/>
      <c r="AG27" s="199" t="str">
        <f>IF(COUNTIF(C27,"*preso*")&gt;0,"SI","NO")</f>
        <v>SI</v>
      </c>
      <c r="AH27" s="248">
        <f>NroOrden(N27)</f>
        <v>1</v>
      </c>
      <c r="AI27" s="249"/>
      <c r="AJ27" s="48" t="str">
        <f ca="1">IF(OR(Y27="NO",Y27="LIMBO"),"IMP","NOIMP")</f>
        <v>NOIMP</v>
      </c>
      <c r="AK27" s="5"/>
    </row>
    <row r="28" spans="1:37" ht="25.5">
      <c r="A28" s="249">
        <v>331</v>
      </c>
      <c r="B28" s="250" t="s">
        <v>2064</v>
      </c>
      <c r="C28" s="251"/>
      <c r="D28" s="249" t="s">
        <v>2065</v>
      </c>
      <c r="E28" s="249" t="s">
        <v>573</v>
      </c>
      <c r="F28" s="252">
        <v>45208</v>
      </c>
      <c r="G28" s="249" t="s">
        <v>2067</v>
      </c>
      <c r="H28" s="249"/>
      <c r="I28" s="250"/>
      <c r="J28" s="250"/>
      <c r="K28" s="249"/>
      <c r="L28" s="280"/>
      <c r="M28" s="250" t="s">
        <v>330</v>
      </c>
      <c r="N28" s="249" t="s">
        <v>2031</v>
      </c>
      <c r="O28" s="249" t="s">
        <v>2036</v>
      </c>
      <c r="P28" s="249" t="s">
        <v>2651</v>
      </c>
      <c r="Q28" s="249" t="s">
        <v>240</v>
      </c>
      <c r="R28" s="280"/>
      <c r="S28" s="249"/>
      <c r="T28" s="249"/>
      <c r="U28" s="249"/>
      <c r="V28" s="249" t="s">
        <v>1275</v>
      </c>
      <c r="W28" s="249" t="s">
        <v>134</v>
      </c>
      <c r="X28" s="249"/>
      <c r="Y28" s="194" t="str">
        <f ca="1">IF(I28&lt;&gt;"",IF(I28&lt;=TODAY(),IF(OR(N28="REPROGRAMADA",N28="SUSPENDIDA",N28="EXCLUSION",N28="COLEGIADO"),"NO HECHA",IF(N28=" ","SINRESULTADO","SI")),"NO"),IF(N28="EXCLUSION","NO HECHA","LIMBO"))</f>
        <v>LIMBO</v>
      </c>
      <c r="Z28" s="194" t="str">
        <f>IF($Z$1=I28,"DIASOL", "DIANOSOL")</f>
        <v>DIANOSOL</v>
      </c>
      <c r="AA28" s="249"/>
      <c r="AB28" s="249" t="s">
        <v>2066</v>
      </c>
      <c r="AC28" s="194" t="str">
        <f>IF(H28=$M$1,"SI","NO")</f>
        <v>NO</v>
      </c>
      <c r="AD28" s="194"/>
      <c r="AE28" s="252">
        <v>45208</v>
      </c>
      <c r="AF28" s="249"/>
      <c r="AG28" s="194" t="str">
        <f>IF(COUNTIF(C28,"*preso*")&gt;0,"SI","NO")</f>
        <v>NO</v>
      </c>
      <c r="AH28" s="328">
        <f>NroOrden(N28)</f>
        <v>1</v>
      </c>
      <c r="AI28" s="249"/>
      <c r="AJ28" s="48" t="str">
        <f ca="1">IF(OR(Y28="NO",Y28="LIMBO"),"IMP","NOIMP")</f>
        <v>IMP</v>
      </c>
      <c r="AK28" s="5"/>
    </row>
    <row r="29" spans="1:37" ht="76.5">
      <c r="A29" s="249">
        <v>397</v>
      </c>
      <c r="B29" s="250" t="s">
        <v>2384</v>
      </c>
      <c r="C29" s="251" t="s">
        <v>1472</v>
      </c>
      <c r="D29" s="249" t="s">
        <v>2385</v>
      </c>
      <c r="E29" s="249" t="s">
        <v>2386</v>
      </c>
      <c r="F29" s="252">
        <v>45232</v>
      </c>
      <c r="G29" s="249"/>
      <c r="H29" s="249"/>
      <c r="I29" s="250"/>
      <c r="J29" s="250"/>
      <c r="K29" s="249"/>
      <c r="L29" s="280"/>
      <c r="M29" s="250" t="s">
        <v>1802</v>
      </c>
      <c r="N29" s="249" t="s">
        <v>361</v>
      </c>
      <c r="O29" s="249" t="s">
        <v>2036</v>
      </c>
      <c r="P29" s="249" t="s">
        <v>2656</v>
      </c>
      <c r="Q29" s="249" t="s">
        <v>1802</v>
      </c>
      <c r="R29" s="280"/>
      <c r="S29" s="249" t="s">
        <v>2390</v>
      </c>
      <c r="T29" s="249" t="s">
        <v>2388</v>
      </c>
      <c r="U29" s="249" t="s">
        <v>2389</v>
      </c>
      <c r="V29" s="249" t="s">
        <v>186</v>
      </c>
      <c r="W29" s="249" t="s">
        <v>1046</v>
      </c>
      <c r="X29" s="249"/>
      <c r="Y29" s="199" t="str">
        <f ca="1">IF(I29&lt;&gt;"",IF(I29&lt;=TODAY(),IF(OR(N29="REPROGRAMADA",N29="SUSPENDIDA",N29="EXCLUSION",N29="COLEGIADO"),"NO HECHA",IF(N29=" ","SINRESULTADO","SI")),"NO"),IF(N29="EXCLUSION","NO HECHA","LIMBO"))</f>
        <v>NO HECHA</v>
      </c>
      <c r="Z29" s="199" t="str">
        <f>IF($Z$1=I29,"DIASOL", "DIANOSOL")</f>
        <v>DIANOSOL</v>
      </c>
      <c r="AA29" s="249" t="s">
        <v>624</v>
      </c>
      <c r="AB29" s="249" t="s">
        <v>2387</v>
      </c>
      <c r="AC29" s="199" t="str">
        <f>IF(H29=$M$1,"SI","NO")</f>
        <v>NO</v>
      </c>
      <c r="AD29" s="199"/>
      <c r="AE29" s="252">
        <v>45232</v>
      </c>
      <c r="AF29" s="249"/>
      <c r="AG29" s="199" t="str">
        <f>IF(COUNTIF(C29,"*preso*")&gt;0,"SI","NO")</f>
        <v>SI</v>
      </c>
      <c r="AH29" s="311">
        <f>NroOrden(N29)</f>
        <v>1</v>
      </c>
      <c r="AI29" s="249"/>
      <c r="AJ29" s="281" t="str">
        <f ca="1">IF(OR(Y29="NO",Y29="LIMBO"),"IMP","NOIMP")</f>
        <v>NOIMP</v>
      </c>
      <c r="AK29" s="5"/>
    </row>
    <row r="30" spans="1:37" ht="102">
      <c r="A30" s="98">
        <v>21</v>
      </c>
      <c r="B30" s="99" t="s">
        <v>509</v>
      </c>
      <c r="C30" s="207" t="s">
        <v>501</v>
      </c>
      <c r="D30" s="98" t="s">
        <v>510</v>
      </c>
      <c r="E30" s="98" t="s">
        <v>511</v>
      </c>
      <c r="F30" s="153">
        <v>45041</v>
      </c>
      <c r="G30" s="98"/>
      <c r="H30" s="98" t="s">
        <v>111</v>
      </c>
      <c r="I30" s="99">
        <v>45075</v>
      </c>
      <c r="J30" s="141">
        <v>0.45833333333333331</v>
      </c>
      <c r="K30" s="98" t="s">
        <v>362</v>
      </c>
      <c r="L30" s="192"/>
      <c r="M30" s="99" t="s">
        <v>330</v>
      </c>
      <c r="N30" s="98" t="s">
        <v>353</v>
      </c>
      <c r="O30" s="98" t="s">
        <v>2333</v>
      </c>
      <c r="P30" s="98" t="s">
        <v>513</v>
      </c>
      <c r="Q30" s="98" t="s">
        <v>111</v>
      </c>
      <c r="R30" s="192"/>
      <c r="S30" s="98" t="s">
        <v>374</v>
      </c>
      <c r="T30" s="98" t="s">
        <v>515</v>
      </c>
      <c r="U30" s="98"/>
      <c r="V30" s="98" t="s">
        <v>192</v>
      </c>
      <c r="W30" s="98" t="s">
        <v>423</v>
      </c>
      <c r="X30" s="98" t="s">
        <v>111</v>
      </c>
      <c r="Y30" s="162" t="str">
        <f ca="1">IF(I30&lt;&gt;"",IF(I30&lt;=TODAY(),IF(OR(N30="REPROGRAMADA",N30="SUSPENDIDA",N30="EXCLUSION",N30="COLEGIADO"),"NO HECHA",IF(N30=" ","SINRESULTADO","SI")),"NO"),IF(N30="EXCLUSION","NO HECHA","LIMBO"))</f>
        <v>NO HECHA</v>
      </c>
      <c r="Z30" s="98" t="str">
        <f>IF($Z$1=I30,"DIASOL", "DIANOSOL")</f>
        <v>DIANOSOL</v>
      </c>
      <c r="AA30" s="98" t="s">
        <v>240</v>
      </c>
      <c r="AB30" s="98" t="s">
        <v>514</v>
      </c>
      <c r="AC30" s="98" t="str">
        <f>IF(H30=$M$1,"SI","NO")</f>
        <v>NO</v>
      </c>
      <c r="AD30" s="98"/>
      <c r="AE30" s="98"/>
      <c r="AF30" s="98"/>
      <c r="AG30" s="162" t="str">
        <f>IF(COUNTIF(C30,"*preso*")&gt;0,"SI","NO")</f>
        <v>SI</v>
      </c>
      <c r="AH30" s="255">
        <f>NroOrden(N30)</f>
        <v>2</v>
      </c>
      <c r="AI30" s="98"/>
      <c r="AJ30" s="270" t="str">
        <f ca="1">IF(OR(Y30="NO",Y30="LIMBO"),"IMP","NOIMP")</f>
        <v>NOIMP</v>
      </c>
      <c r="AK30" s="5"/>
    </row>
    <row r="31" spans="1:37" ht="38.25">
      <c r="A31" s="98">
        <v>53</v>
      </c>
      <c r="B31" s="99" t="s">
        <v>703</v>
      </c>
      <c r="C31" s="206"/>
      <c r="D31" s="98" t="s">
        <v>704</v>
      </c>
      <c r="E31" s="98" t="s">
        <v>705</v>
      </c>
      <c r="F31" s="153">
        <v>45062</v>
      </c>
      <c r="G31" s="98"/>
      <c r="H31" s="98" t="s">
        <v>111</v>
      </c>
      <c r="I31" s="99">
        <v>45084</v>
      </c>
      <c r="J31" s="141">
        <v>0.375</v>
      </c>
      <c r="K31" s="98" t="s">
        <v>364</v>
      </c>
      <c r="L31" s="192"/>
      <c r="M31" s="99" t="s">
        <v>328</v>
      </c>
      <c r="N31" s="98" t="s">
        <v>353</v>
      </c>
      <c r="O31" s="98" t="s">
        <v>2333</v>
      </c>
      <c r="P31" s="98" t="s">
        <v>707</v>
      </c>
      <c r="Q31" s="98" t="s">
        <v>111</v>
      </c>
      <c r="R31" s="192"/>
      <c r="S31" s="98"/>
      <c r="T31" s="98"/>
      <c r="U31" s="98"/>
      <c r="V31" s="98" t="s">
        <v>268</v>
      </c>
      <c r="W31" s="98" t="s">
        <v>136</v>
      </c>
      <c r="X31" s="98" t="s">
        <v>111</v>
      </c>
      <c r="Y31" s="162" t="str">
        <f ca="1">IF(I31&lt;&gt;"",IF(I31&lt;=TODAY(),IF(OR(N31="REPROGRAMADA",N31="SUSPENDIDA",N31="EXCLUSION",N31="COLEGIADO"),"NO HECHA",IF(N31=" ","SINRESULTADO","SI")),"NO"),IF(N31="EXCLUSION","NO HECHA","LIMBO"))</f>
        <v>NO HECHA</v>
      </c>
      <c r="Z31" s="98" t="str">
        <f>IF($Z$1=I31,"DIASOL", "DIANOSOL")</f>
        <v>DIANOSOL</v>
      </c>
      <c r="AA31" s="98" t="s">
        <v>240</v>
      </c>
      <c r="AB31" s="98" t="s">
        <v>708</v>
      </c>
      <c r="AC31" s="98" t="str">
        <f>IF(H31=$M$1,"SI","NO")</f>
        <v>NO</v>
      </c>
      <c r="AD31" s="98"/>
      <c r="AE31" s="98"/>
      <c r="AF31" s="98"/>
      <c r="AG31" s="162" t="str">
        <f>IF(COUNTIF(C31,"*preso*")&gt;0,"SI","NO")</f>
        <v>NO</v>
      </c>
      <c r="AH31" s="255">
        <f>NroOrden(N31)</f>
        <v>2</v>
      </c>
      <c r="AI31" s="98"/>
      <c r="AJ31" s="270" t="str">
        <f ca="1">IF(OR(Y31="NO",Y31="LIMBO"),"IMP","NOIMP")</f>
        <v>NOIMP</v>
      </c>
      <c r="AK31" s="5"/>
    </row>
    <row r="32" spans="1:37" ht="63.75">
      <c r="A32" s="98">
        <v>120</v>
      </c>
      <c r="B32" s="99" t="s">
        <v>988</v>
      </c>
      <c r="C32" s="207" t="s">
        <v>989</v>
      </c>
      <c r="D32" s="98" t="s">
        <v>990</v>
      </c>
      <c r="E32" s="98" t="s">
        <v>991</v>
      </c>
      <c r="F32" s="153">
        <v>45106</v>
      </c>
      <c r="G32" s="98"/>
      <c r="H32" s="98"/>
      <c r="I32" s="99">
        <v>45091</v>
      </c>
      <c r="J32" s="99" t="s">
        <v>993</v>
      </c>
      <c r="K32" s="98" t="s">
        <v>365</v>
      </c>
      <c r="L32" s="192"/>
      <c r="M32" s="99" t="s">
        <v>332</v>
      </c>
      <c r="N32" s="98" t="s">
        <v>353</v>
      </c>
      <c r="O32" s="98" t="s">
        <v>2281</v>
      </c>
      <c r="P32" s="98" t="s">
        <v>1418</v>
      </c>
      <c r="Q32" s="98" t="s">
        <v>111</v>
      </c>
      <c r="R32" s="192"/>
      <c r="S32" s="98" t="s">
        <v>614</v>
      </c>
      <c r="T32" s="98" t="s">
        <v>995</v>
      </c>
      <c r="U32" s="98" t="s">
        <v>996</v>
      </c>
      <c r="V32" s="98" t="s">
        <v>182</v>
      </c>
      <c r="W32" s="98" t="s">
        <v>117</v>
      </c>
      <c r="X32" s="98" t="s">
        <v>111</v>
      </c>
      <c r="Y32" s="162" t="str">
        <f ca="1">IF(I32&lt;&gt;"",IF(I32&lt;=TODAY(),IF(OR(N32="REPROGRAMADA",N32="SUSPENDIDA",N32="EXCLUSION",N32="COLEGIADO"),"NO HECHA",IF(N32=" ","SINRESULTADO","SI")),"NO"),IF(N32="EXCLUSION","NO HECHA","LIMBO"))</f>
        <v>NO HECHA</v>
      </c>
      <c r="Z32" s="162" t="str">
        <f>IF($Z$1=I32,"DIASOL", "DIANOSOL")</f>
        <v>DIANOSOL</v>
      </c>
      <c r="AA32" s="98" t="s">
        <v>240</v>
      </c>
      <c r="AB32" s="98" t="s">
        <v>994</v>
      </c>
      <c r="AC32" s="162" t="str">
        <f>IF(H32=$M$1,"SI","NO")</f>
        <v>NO</v>
      </c>
      <c r="AD32" s="162"/>
      <c r="AE32" s="153">
        <v>45105</v>
      </c>
      <c r="AF32" s="98" t="s">
        <v>2177</v>
      </c>
      <c r="AG32" s="162" t="str">
        <f>IF(COUNTIF(C32,"*preso*")&gt;0,"SI","NO")</f>
        <v>SI</v>
      </c>
      <c r="AH32" s="244">
        <f>NroOrden(N32)</f>
        <v>2</v>
      </c>
      <c r="AI32" s="98"/>
      <c r="AJ32" s="48" t="str">
        <f ca="1">IF(OR(Y32="NO",Y32="LIMBO"),"IMP","NOIMP")</f>
        <v>NOIMP</v>
      </c>
      <c r="AK32" s="5"/>
    </row>
    <row r="33" spans="1:37" ht="25.5">
      <c r="A33" s="98">
        <v>78</v>
      </c>
      <c r="B33" s="99" t="s">
        <v>829</v>
      </c>
      <c r="C33" s="206"/>
      <c r="D33" s="98" t="s">
        <v>830</v>
      </c>
      <c r="E33" s="98" t="s">
        <v>831</v>
      </c>
      <c r="F33" s="153">
        <v>45026</v>
      </c>
      <c r="G33" s="98"/>
      <c r="H33" s="98" t="s">
        <v>111</v>
      </c>
      <c r="I33" s="99">
        <v>45093</v>
      </c>
      <c r="J33" s="98" t="s">
        <v>832</v>
      </c>
      <c r="K33" s="98" t="s">
        <v>362</v>
      </c>
      <c r="L33" s="192"/>
      <c r="M33" s="99" t="s">
        <v>330</v>
      </c>
      <c r="N33" s="98" t="s">
        <v>353</v>
      </c>
      <c r="O33" s="98" t="s">
        <v>2281</v>
      </c>
      <c r="P33" s="98" t="s">
        <v>833</v>
      </c>
      <c r="Q33" s="98" t="s">
        <v>111</v>
      </c>
      <c r="R33" s="192"/>
      <c r="S33" s="98"/>
      <c r="T33" s="98"/>
      <c r="U33" s="98"/>
      <c r="V33" s="98" t="s">
        <v>182</v>
      </c>
      <c r="W33" s="98" t="s">
        <v>116</v>
      </c>
      <c r="X33" s="98" t="s">
        <v>111</v>
      </c>
      <c r="Y33" s="162" t="str">
        <f ca="1">IF(I33&lt;&gt;"",IF(I33&lt;=TODAY(),IF(OR(N33="REPROGRAMADA",N33="SUSPENDIDA",N33="EXCLUSION",N33="COLEGIADO"),"NO HECHA",IF(N33=" ","SINRESULTADO","SI")),"NO"),IF(N33="EXCLUSION","NO HECHA","LIMBO"))</f>
        <v>NO HECHA</v>
      </c>
      <c r="Z33" s="98" t="str">
        <f>IF($Z$1=I33,"DIASOL", "DIANOSOL")</f>
        <v>DIANOSOL</v>
      </c>
      <c r="AA33" s="98" t="s">
        <v>240</v>
      </c>
      <c r="AB33" s="98" t="s">
        <v>834</v>
      </c>
      <c r="AC33" s="98" t="str">
        <f>IF(H33=$M$1,"SI","NO")</f>
        <v>NO</v>
      </c>
      <c r="AD33" s="98"/>
      <c r="AE33" s="98"/>
      <c r="AF33" s="98"/>
      <c r="AG33" s="162" t="str">
        <f>IF(COUNTIF(C33,"*preso*")&gt;0,"SI","NO")</f>
        <v>NO</v>
      </c>
      <c r="AH33" s="244">
        <f>NroOrden(N33)</f>
        <v>2</v>
      </c>
      <c r="AI33" s="98"/>
      <c r="AJ33" s="48" t="str">
        <f ca="1">IF(OR(Y33="NO",Y33="LIMBO"),"IMP","NOIMP")</f>
        <v>NOIMP</v>
      </c>
      <c r="AK33" s="5"/>
    </row>
    <row r="34" spans="1:37" ht="61.5" customHeight="1">
      <c r="A34" s="98">
        <v>84</v>
      </c>
      <c r="B34" s="99" t="s">
        <v>862</v>
      </c>
      <c r="C34" s="206"/>
      <c r="D34" s="98" t="s">
        <v>864</v>
      </c>
      <c r="E34" s="98" t="s">
        <v>518</v>
      </c>
      <c r="F34" s="153">
        <v>45064</v>
      </c>
      <c r="G34" s="98"/>
      <c r="H34" s="98"/>
      <c r="I34" s="99">
        <v>45099</v>
      </c>
      <c r="J34" s="141">
        <v>0.41666666666666669</v>
      </c>
      <c r="K34" s="98" t="s">
        <v>363</v>
      </c>
      <c r="L34" s="192"/>
      <c r="M34" s="99" t="s">
        <v>329</v>
      </c>
      <c r="N34" s="98" t="s">
        <v>353</v>
      </c>
      <c r="O34" s="98" t="s">
        <v>2284</v>
      </c>
      <c r="P34" s="98" t="s">
        <v>863</v>
      </c>
      <c r="Q34" s="98" t="s">
        <v>111</v>
      </c>
      <c r="R34" s="192"/>
      <c r="S34" s="98"/>
      <c r="T34" s="98"/>
      <c r="U34" s="98"/>
      <c r="V34" s="98" t="s">
        <v>182</v>
      </c>
      <c r="W34" s="98" t="s">
        <v>865</v>
      </c>
      <c r="X34" s="98" t="s">
        <v>111</v>
      </c>
      <c r="Y34" s="162" t="str">
        <f ca="1">IF(I34&lt;&gt;"",IF(I34&lt;=TODAY(),IF(OR(N34="REPROGRAMADA",N34="SUSPENDIDA",N34="EXCLUSION",N34="COLEGIADO"),"NO HECHA",IF(N34=" ","SINRESULTADO","SI")),"NO"),IF(N34="EXCLUSION","NO HECHA","LIMBO"))</f>
        <v>NO HECHA</v>
      </c>
      <c r="Z34" s="98" t="str">
        <f>IF($Z$1=I34,"DIASOL", "DIANOSOL")</f>
        <v>DIANOSOL</v>
      </c>
      <c r="AA34" s="98" t="s">
        <v>240</v>
      </c>
      <c r="AB34" s="98" t="s">
        <v>866</v>
      </c>
      <c r="AC34" s="98" t="str">
        <f>IF(H34=$M$1,"SI","NO")</f>
        <v>NO</v>
      </c>
      <c r="AD34" s="98"/>
      <c r="AE34" s="98"/>
      <c r="AF34" s="98"/>
      <c r="AG34" s="162" t="str">
        <f>IF(COUNTIF(C34,"*preso*")&gt;0,"SI","NO")</f>
        <v>NO</v>
      </c>
      <c r="AH34" s="244">
        <f>NroOrden(N34)</f>
        <v>2</v>
      </c>
      <c r="AI34" s="98"/>
      <c r="AJ34" s="48" t="str">
        <f ca="1">IF(OR(Y34="NO",Y34="LIMBO"),"IMP","NOIMP")</f>
        <v>NOIMP</v>
      </c>
      <c r="AK34" s="5"/>
    </row>
    <row r="35" spans="1:37" ht="81" customHeight="1">
      <c r="A35" s="98">
        <v>86</v>
      </c>
      <c r="B35" s="99" t="s">
        <v>871</v>
      </c>
      <c r="C35" s="207" t="s">
        <v>501</v>
      </c>
      <c r="D35" s="98" t="s">
        <v>872</v>
      </c>
      <c r="E35" s="98" t="s">
        <v>685</v>
      </c>
      <c r="F35" s="153">
        <v>44999</v>
      </c>
      <c r="G35" s="98"/>
      <c r="H35" s="98" t="s">
        <v>111</v>
      </c>
      <c r="I35" s="99">
        <v>45100</v>
      </c>
      <c r="J35" s="141">
        <v>0.45833333333333331</v>
      </c>
      <c r="K35" s="98" t="s">
        <v>363</v>
      </c>
      <c r="L35" s="192"/>
      <c r="M35" s="99" t="s">
        <v>329</v>
      </c>
      <c r="N35" s="98" t="s">
        <v>353</v>
      </c>
      <c r="O35" s="98" t="s">
        <v>2338</v>
      </c>
      <c r="P35" s="98" t="s">
        <v>874</v>
      </c>
      <c r="Q35" s="98" t="s">
        <v>111</v>
      </c>
      <c r="R35" s="192"/>
      <c r="S35" s="98" t="s">
        <v>374</v>
      </c>
      <c r="T35" s="98" t="s">
        <v>878</v>
      </c>
      <c r="U35" s="98" t="s">
        <v>879</v>
      </c>
      <c r="V35" s="98" t="s">
        <v>340</v>
      </c>
      <c r="W35" s="98" t="s">
        <v>876</v>
      </c>
      <c r="X35" s="98" t="s">
        <v>111</v>
      </c>
      <c r="Y35" s="162" t="str">
        <f ca="1">IF(I35&lt;&gt;"",IF(I35&lt;=TODAY(),IF(OR(N35="REPROGRAMADA",N35="SUSPENDIDA",N35="EXCLUSION",N35="COLEGIADO"),"NO HECHA",IF(N35=" ","SINRESULTADO","SI")),"NO"),IF(N35="EXCLUSION","NO HECHA","LIMBO"))</f>
        <v>NO HECHA</v>
      </c>
      <c r="Z35" s="98" t="str">
        <f>IF($Z$1=I35,"DIASOL", "DIANOSOL")</f>
        <v>DIANOSOL</v>
      </c>
      <c r="AA35" s="98" t="s">
        <v>681</v>
      </c>
      <c r="AB35" s="98" t="s">
        <v>877</v>
      </c>
      <c r="AC35" s="98" t="str">
        <f>IF(H35=$M$1,"SI","NO")</f>
        <v>NO</v>
      </c>
      <c r="AD35" s="98"/>
      <c r="AE35" s="98"/>
      <c r="AF35" s="98"/>
      <c r="AG35" s="162" t="str">
        <f>IF(COUNTIF(C35,"*preso*")&gt;0,"SI","NO")</f>
        <v>SI</v>
      </c>
      <c r="AH35" s="244">
        <f>NroOrden(N35)</f>
        <v>2</v>
      </c>
      <c r="AI35" s="98" t="s">
        <v>875</v>
      </c>
      <c r="AJ35" s="48" t="str">
        <f ca="1">IF(OR(Y35="NO",Y35="LIMBO"),"IMP","NOIMP")</f>
        <v>NOIMP</v>
      </c>
      <c r="AK35" s="5"/>
    </row>
    <row r="36" spans="1:37" ht="106.5" customHeight="1">
      <c r="A36" s="98">
        <v>99</v>
      </c>
      <c r="B36" s="99" t="s">
        <v>938</v>
      </c>
      <c r="C36" s="206" t="s">
        <v>888</v>
      </c>
      <c r="D36" s="98" t="s">
        <v>939</v>
      </c>
      <c r="E36" s="98" t="s">
        <v>652</v>
      </c>
      <c r="F36" s="153"/>
      <c r="G36" s="98"/>
      <c r="H36" s="98" t="s">
        <v>111</v>
      </c>
      <c r="I36" s="99">
        <v>45100</v>
      </c>
      <c r="J36" s="141">
        <v>0.54166666666666663</v>
      </c>
      <c r="K36" s="98" t="s">
        <v>364</v>
      </c>
      <c r="L36" s="192"/>
      <c r="M36" s="99" t="s">
        <v>329</v>
      </c>
      <c r="N36" s="98" t="s">
        <v>353</v>
      </c>
      <c r="O36" s="98" t="s">
        <v>2284</v>
      </c>
      <c r="P36" s="98" t="s">
        <v>941</v>
      </c>
      <c r="Q36" s="98" t="s">
        <v>111</v>
      </c>
      <c r="R36" s="192"/>
      <c r="S36" s="98"/>
      <c r="T36" s="98"/>
      <c r="U36" s="98"/>
      <c r="V36" s="98" t="s">
        <v>340</v>
      </c>
      <c r="W36" s="98" t="s">
        <v>535</v>
      </c>
      <c r="X36" s="98" t="s">
        <v>111</v>
      </c>
      <c r="Y36" s="162" t="str">
        <f ca="1">IF(I36&lt;&gt;"",IF(I36&lt;=TODAY(),IF(OR(N36="REPROGRAMADA",N36="SUSPENDIDA",N36="EXCLUSION",N36="COLEGIADO"),"NO HECHA",IF(N36=" ","SINRESULTADO","SI")),"NO"),IF(N36="EXCLUSION","NO HECHA","LIMBO"))</f>
        <v>NO HECHA</v>
      </c>
      <c r="Z36" s="98" t="str">
        <f>IF($Z$1=I36,"DIASOL", "DIANOSOL")</f>
        <v>DIANOSOL</v>
      </c>
      <c r="AA36" s="98" t="s">
        <v>737</v>
      </c>
      <c r="AB36" s="98" t="s">
        <v>942</v>
      </c>
      <c r="AC36" s="98" t="str">
        <f>IF(H36=$M$1,"SI","NO")</f>
        <v>NO</v>
      </c>
      <c r="AD36" s="98"/>
      <c r="AE36" s="98"/>
      <c r="AF36" s="98"/>
      <c r="AG36" s="162" t="str">
        <f>IF(COUNTIF(C36,"*preso*")&gt;0,"SI","NO")</f>
        <v>SI</v>
      </c>
      <c r="AH36" s="244">
        <f>NroOrden(N36)</f>
        <v>2</v>
      </c>
      <c r="AI36" s="98"/>
      <c r="AJ36" s="48" t="str">
        <f ca="1">IF(OR(Y36="NO",Y36="LIMBO"),"IMP","NOIMP")</f>
        <v>NOIMP</v>
      </c>
      <c r="AK36" s="5"/>
    </row>
    <row r="37" spans="1:37" ht="59.25" customHeight="1">
      <c r="A37" s="98">
        <v>35</v>
      </c>
      <c r="B37" s="99" t="s">
        <v>399</v>
      </c>
      <c r="C37" s="206"/>
      <c r="D37" s="98" t="s">
        <v>400</v>
      </c>
      <c r="E37" s="98" t="s">
        <v>401</v>
      </c>
      <c r="F37" s="153">
        <v>45069</v>
      </c>
      <c r="G37" s="98"/>
      <c r="H37" s="98" t="s">
        <v>111</v>
      </c>
      <c r="I37" s="99">
        <v>45103</v>
      </c>
      <c r="J37" s="141">
        <v>0.54166666666666663</v>
      </c>
      <c r="K37" s="98" t="s">
        <v>365</v>
      </c>
      <c r="L37" s="192"/>
      <c r="M37" s="99" t="s">
        <v>333</v>
      </c>
      <c r="N37" s="98" t="s">
        <v>353</v>
      </c>
      <c r="O37" s="98" t="s">
        <v>2338</v>
      </c>
      <c r="P37" s="98" t="s">
        <v>587</v>
      </c>
      <c r="Q37" s="98" t="s">
        <v>111</v>
      </c>
      <c r="R37" s="192"/>
      <c r="S37" s="98"/>
      <c r="T37" s="98"/>
      <c r="U37" s="98"/>
      <c r="V37" s="98" t="s">
        <v>194</v>
      </c>
      <c r="W37" s="98" t="s">
        <v>141</v>
      </c>
      <c r="X37" s="98" t="s">
        <v>404</v>
      </c>
      <c r="Y37" s="162" t="str">
        <f ca="1">IF(I37&lt;&gt;"",IF(I37&lt;=TODAY(),IF(OR(N37="REPROGRAMADA",N37="SUSPENDIDA",N37="EXCLUSION",N37="COLEGIADO"),"NO HECHA",IF(N37=" ","SINRESULTADO","SI")),"NO"),IF(N37="EXCLUSION","NO HECHA","LIMBO"))</f>
        <v>NO HECHA</v>
      </c>
      <c r="Z37" s="98" t="str">
        <f>IF($Z$1=I37,"DIASOL", "DIANOSOL")</f>
        <v>DIANOSOL</v>
      </c>
      <c r="AA37" s="98" t="s">
        <v>240</v>
      </c>
      <c r="AB37" s="98" t="s">
        <v>405</v>
      </c>
      <c r="AC37" s="98" t="str">
        <f>IF(H37=$M$1,"SI","NO")</f>
        <v>NO</v>
      </c>
      <c r="AD37" s="98"/>
      <c r="AE37" s="98"/>
      <c r="AF37" s="98" t="s">
        <v>2177</v>
      </c>
      <c r="AG37" s="162" t="str">
        <f>IF(COUNTIF(C37,"*preso*")&gt;0,"SI","NO")</f>
        <v>NO</v>
      </c>
      <c r="AH37" s="255">
        <f>NroOrden(N37)</f>
        <v>2</v>
      </c>
      <c r="AI37" s="98"/>
      <c r="AJ37" s="270" t="str">
        <f ca="1">IF(OR(Y37="NO",Y37="LIMBO"),"IMP","NOIMP")</f>
        <v>NOIMP</v>
      </c>
      <c r="AK37" s="5"/>
    </row>
    <row r="38" spans="1:37" ht="96.75" customHeight="1">
      <c r="A38" s="98">
        <v>17</v>
      </c>
      <c r="B38" s="99" t="s">
        <v>478</v>
      </c>
      <c r="C38" s="207" t="s">
        <v>480</v>
      </c>
      <c r="D38" s="98" t="s">
        <v>479</v>
      </c>
      <c r="E38" s="98" t="s">
        <v>481</v>
      </c>
      <c r="F38" s="153">
        <v>45076</v>
      </c>
      <c r="G38" s="98"/>
      <c r="H38" s="98"/>
      <c r="I38" s="99">
        <v>45103</v>
      </c>
      <c r="J38" s="98" t="s">
        <v>282</v>
      </c>
      <c r="K38" s="98" t="s">
        <v>403</v>
      </c>
      <c r="L38" s="192"/>
      <c r="M38" s="99" t="s">
        <v>331</v>
      </c>
      <c r="N38" s="98" t="s">
        <v>353</v>
      </c>
      <c r="O38" s="98" t="s">
        <v>2282</v>
      </c>
      <c r="P38" s="98" t="s">
        <v>482</v>
      </c>
      <c r="Q38" s="98" t="s">
        <v>111</v>
      </c>
      <c r="R38" s="192"/>
      <c r="S38" s="98" t="s">
        <v>374</v>
      </c>
      <c r="T38" s="98" t="s">
        <v>485</v>
      </c>
      <c r="U38" s="98"/>
      <c r="V38" s="98" t="s">
        <v>189</v>
      </c>
      <c r="W38" s="98" t="s">
        <v>483</v>
      </c>
      <c r="X38" s="98" t="s">
        <v>111</v>
      </c>
      <c r="Y38" s="162" t="str">
        <f ca="1">IF(I38&lt;&gt;"",IF(I38&lt;=TODAY(),IF(OR(N38="REPROGRAMADA",N38="SUSPENDIDA",N38="EXCLUSION",N38="COLEGIADO"),"NO HECHA",IF(N38=" ","SINRESULTADO","SI")),"NO"),IF(N38="EXCLUSION","NO HECHA","LIMBO"))</f>
        <v>NO HECHA</v>
      </c>
      <c r="Z38" s="98" t="str">
        <f>IF($Z$1=I38,"DIASOL", "DIANOSOL")</f>
        <v>DIANOSOL</v>
      </c>
      <c r="AA38" s="98" t="s">
        <v>240</v>
      </c>
      <c r="AB38" s="98" t="s">
        <v>484</v>
      </c>
      <c r="AC38" s="98" t="str">
        <f>IF(H38=$M$1,"SI","NO")</f>
        <v>NO</v>
      </c>
      <c r="AD38" s="98"/>
      <c r="AE38" s="98"/>
      <c r="AF38" s="98" t="s">
        <v>2177</v>
      </c>
      <c r="AG38" s="162" t="str">
        <f>IF(COUNTIF(C38,"*preso*")&gt;0,"SI","NO")</f>
        <v>SI</v>
      </c>
      <c r="AH38" s="255">
        <f>NroOrden(N38)</f>
        <v>2</v>
      </c>
      <c r="AI38" s="98"/>
      <c r="AJ38" s="270" t="str">
        <f ca="1">IF(OR(Y38="NO",Y38="LIMBO"),"IMP","NOIMP")</f>
        <v>NOIMP</v>
      </c>
      <c r="AK38" s="5"/>
    </row>
    <row r="39" spans="1:37" ht="69" customHeight="1">
      <c r="A39" s="98">
        <v>91</v>
      </c>
      <c r="B39" s="99" t="s">
        <v>901</v>
      </c>
      <c r="C39" s="206"/>
      <c r="D39" s="98" t="s">
        <v>902</v>
      </c>
      <c r="E39" s="98" t="s">
        <v>903</v>
      </c>
      <c r="F39" s="153">
        <v>45014</v>
      </c>
      <c r="G39" s="98"/>
      <c r="H39" s="98" t="s">
        <v>111</v>
      </c>
      <c r="I39" s="99">
        <v>45106</v>
      </c>
      <c r="J39" s="141">
        <v>0.5</v>
      </c>
      <c r="K39" s="98" t="s">
        <v>363</v>
      </c>
      <c r="L39" s="192"/>
      <c r="M39" s="99" t="s">
        <v>329</v>
      </c>
      <c r="N39" s="98" t="s">
        <v>353</v>
      </c>
      <c r="O39" s="98" t="s">
        <v>2281</v>
      </c>
      <c r="P39" s="98" t="s">
        <v>905</v>
      </c>
      <c r="Q39" s="98" t="s">
        <v>111</v>
      </c>
      <c r="R39" s="192"/>
      <c r="S39" s="98"/>
      <c r="T39" s="98"/>
      <c r="U39" s="98"/>
      <c r="V39" s="98" t="s">
        <v>344</v>
      </c>
      <c r="W39" s="98" t="s">
        <v>348</v>
      </c>
      <c r="X39" s="98" t="s">
        <v>111</v>
      </c>
      <c r="Y39" s="162" t="str">
        <f ca="1">IF(I39&lt;&gt;"",IF(I39&lt;=TODAY(),IF(OR(N39="REPROGRAMADA",N39="SUSPENDIDA",N39="EXCLUSION",N39="COLEGIADO"),"NO HECHA",IF(N39=" ","SINRESULTADO","SI")),"NO"),IF(N39="EXCLUSION","NO HECHA","LIMBO"))</f>
        <v>NO HECHA</v>
      </c>
      <c r="Z39" s="98" t="str">
        <f>IF($Z$1=I39,"DIASOL", "DIANOSOL")</f>
        <v>DIANOSOL</v>
      </c>
      <c r="AA39" s="98" t="s">
        <v>906</v>
      </c>
      <c r="AB39" s="98" t="s">
        <v>907</v>
      </c>
      <c r="AC39" s="98" t="str">
        <f>IF(H39=$M$1,"SI","NO")</f>
        <v>NO</v>
      </c>
      <c r="AD39" s="98"/>
      <c r="AE39" s="98"/>
      <c r="AF39" s="153">
        <v>45106</v>
      </c>
      <c r="AG39" s="162" t="str">
        <f>IF(COUNTIF(C39,"*preso*")&gt;0,"SI","NO")</f>
        <v>NO</v>
      </c>
      <c r="AH39" s="244">
        <f>NroOrden(N39)</f>
        <v>2</v>
      </c>
      <c r="AI39" s="98" t="s">
        <v>908</v>
      </c>
      <c r="AJ39" s="48" t="str">
        <f ca="1">IF(OR(Y39="NO",Y39="LIMBO"),"IMP","NOIMP")</f>
        <v>NOIMP</v>
      </c>
      <c r="AK39" s="5"/>
    </row>
    <row r="40" spans="1:37" ht="102" customHeight="1">
      <c r="A40" s="98">
        <v>18</v>
      </c>
      <c r="B40" s="99" t="s">
        <v>486</v>
      </c>
      <c r="C40" s="206"/>
      <c r="D40" s="98" t="s">
        <v>487</v>
      </c>
      <c r="E40" s="98" t="s">
        <v>488</v>
      </c>
      <c r="F40" s="153">
        <v>45086</v>
      </c>
      <c r="G40" s="98"/>
      <c r="H40" s="98" t="s">
        <v>111</v>
      </c>
      <c r="I40" s="99">
        <v>45106</v>
      </c>
      <c r="J40" s="141">
        <v>0.52083333333333337</v>
      </c>
      <c r="K40" s="98" t="s">
        <v>365</v>
      </c>
      <c r="L40" s="192"/>
      <c r="M40" s="99" t="s">
        <v>332</v>
      </c>
      <c r="N40" s="98" t="s">
        <v>353</v>
      </c>
      <c r="O40" s="98" t="s">
        <v>2338</v>
      </c>
      <c r="P40" s="98" t="s">
        <v>492</v>
      </c>
      <c r="Q40" s="98" t="s">
        <v>111</v>
      </c>
      <c r="R40" s="192"/>
      <c r="S40" s="98"/>
      <c r="T40" s="98"/>
      <c r="U40" s="98"/>
      <c r="V40" s="98" t="s">
        <v>182</v>
      </c>
      <c r="W40" s="98" t="s">
        <v>490</v>
      </c>
      <c r="X40" s="98" t="s">
        <v>111</v>
      </c>
      <c r="Y40" s="162" t="str">
        <f ca="1">IF(I40&lt;&gt;"",IF(I40&lt;=TODAY(),IF(OR(N40="REPROGRAMADA",N40="SUSPENDIDA",N40="EXCLUSION",N40="COLEGIADO"),"NO HECHA",IF(N40=" ","SINRESULTADO","SI")),"NO"),IF(N40="EXCLUSION","NO HECHA","LIMBO"))</f>
        <v>NO HECHA</v>
      </c>
      <c r="Z40" s="98" t="str">
        <f>IF($Z$1=I40,"DIASOL", "DIANOSOL")</f>
        <v>DIANOSOL</v>
      </c>
      <c r="AA40" s="98" t="s">
        <v>240</v>
      </c>
      <c r="AB40" s="98" t="s">
        <v>491</v>
      </c>
      <c r="AC40" s="98" t="str">
        <f>IF(H40=$M$1,"SI","NO")</f>
        <v>NO</v>
      </c>
      <c r="AD40" s="98"/>
      <c r="AE40" s="98"/>
      <c r="AF40" s="98" t="s">
        <v>2177</v>
      </c>
      <c r="AG40" s="162" t="str">
        <f>IF(COUNTIF(C40,"*preso*")&gt;0,"SI","NO")</f>
        <v>NO</v>
      </c>
      <c r="AH40" s="255">
        <f>NroOrden(N40)</f>
        <v>2</v>
      </c>
      <c r="AI40" s="98"/>
      <c r="AJ40" s="270" t="str">
        <f ca="1">IF(OR(Y40="NO",Y40="LIMBO"),"IMP","NOIMP")</f>
        <v>NOIMP</v>
      </c>
      <c r="AK40" s="5"/>
    </row>
    <row r="41" spans="1:37" ht="61.5" customHeight="1">
      <c r="A41" s="98">
        <v>106</v>
      </c>
      <c r="B41" s="99" t="s">
        <v>938</v>
      </c>
      <c r="C41" s="207" t="s">
        <v>888</v>
      </c>
      <c r="D41" s="98" t="s">
        <v>939</v>
      </c>
      <c r="E41" s="98" t="s">
        <v>652</v>
      </c>
      <c r="F41" s="153"/>
      <c r="G41" s="98"/>
      <c r="H41" s="98" t="s">
        <v>111</v>
      </c>
      <c r="I41" s="99">
        <v>45106</v>
      </c>
      <c r="J41" s="99" t="s">
        <v>14</v>
      </c>
      <c r="K41" s="98" t="s">
        <v>362</v>
      </c>
      <c r="L41" s="192"/>
      <c r="M41" s="99" t="s">
        <v>329</v>
      </c>
      <c r="N41" s="98" t="s">
        <v>353</v>
      </c>
      <c r="O41" s="98" t="s">
        <v>2285</v>
      </c>
      <c r="P41" s="98" t="s">
        <v>957</v>
      </c>
      <c r="Q41" s="98" t="s">
        <v>111</v>
      </c>
      <c r="R41" s="192"/>
      <c r="S41" s="98"/>
      <c r="T41" s="98"/>
      <c r="U41" s="98"/>
      <c r="V41" s="98" t="s">
        <v>340</v>
      </c>
      <c r="W41" s="98" t="s">
        <v>535</v>
      </c>
      <c r="X41" s="98" t="s">
        <v>111</v>
      </c>
      <c r="Y41" s="162" t="str">
        <f ca="1">IF(I41&lt;&gt;"",IF(I41&lt;=TODAY(),IF(OR(N41="REPROGRAMADA",N41="SUSPENDIDA",N41="EXCLUSION",N41="COLEGIADO"),"NO HECHA",IF(N41=" ","SINRESULTADO","SI")),"NO"),IF(N41="EXCLUSION","NO HECHA","LIMBO"))</f>
        <v>NO HECHA</v>
      </c>
      <c r="Z41" s="98" t="str">
        <f>IF($Z$1=I41,"DIASOL", "DIANOSOL")</f>
        <v>DIANOSOL</v>
      </c>
      <c r="AA41" s="98" t="s">
        <v>737</v>
      </c>
      <c r="AB41" s="98" t="s">
        <v>942</v>
      </c>
      <c r="AC41" s="98" t="str">
        <f>IF(H41=$M$1,"SI","NO")</f>
        <v>NO</v>
      </c>
      <c r="AD41" s="98"/>
      <c r="AE41" s="98"/>
      <c r="AF41" s="98"/>
      <c r="AG41" s="162" t="str">
        <f>IF(COUNTIF(C41,"*preso*")&gt;0,"SI","NO")</f>
        <v>SI</v>
      </c>
      <c r="AH41" s="244">
        <f>NroOrden(N41)</f>
        <v>2</v>
      </c>
      <c r="AI41" s="98"/>
      <c r="AJ41" s="48" t="str">
        <f ca="1">IF(OR(Y41="NO",Y41="LIMBO"),"IMP","NOIMP")</f>
        <v>NOIMP</v>
      </c>
      <c r="AK41" s="5"/>
    </row>
    <row r="42" spans="1:37" ht="51">
      <c r="A42" s="98">
        <v>19</v>
      </c>
      <c r="B42" s="99" t="s">
        <v>493</v>
      </c>
      <c r="C42" s="206"/>
      <c r="D42" s="98" t="s">
        <v>494</v>
      </c>
      <c r="E42" s="98" t="s">
        <v>495</v>
      </c>
      <c r="F42" s="153">
        <v>45015</v>
      </c>
      <c r="G42" s="98"/>
      <c r="H42" s="98" t="s">
        <v>111</v>
      </c>
      <c r="I42" s="99">
        <v>45111</v>
      </c>
      <c r="J42" s="141">
        <v>0.375</v>
      </c>
      <c r="K42" s="98" t="s">
        <v>363</v>
      </c>
      <c r="L42" s="192"/>
      <c r="M42" s="99" t="s">
        <v>329</v>
      </c>
      <c r="N42" s="98" t="s">
        <v>353</v>
      </c>
      <c r="O42" s="98" t="s">
        <v>2333</v>
      </c>
      <c r="P42" s="98" t="s">
        <v>496</v>
      </c>
      <c r="Q42" s="98" t="s">
        <v>111</v>
      </c>
      <c r="R42" s="192"/>
      <c r="S42" s="98"/>
      <c r="T42" s="98"/>
      <c r="U42" s="98"/>
      <c r="V42" s="98" t="s">
        <v>192</v>
      </c>
      <c r="W42" s="98" t="s">
        <v>497</v>
      </c>
      <c r="X42" s="98" t="s">
        <v>111</v>
      </c>
      <c r="Y42" s="162" t="str">
        <f ca="1">IF(I42&lt;&gt;"",IF(I42&lt;=TODAY(),IF(OR(N42="REPROGRAMADA",N42="SUSPENDIDA",N42="EXCLUSION",N42="COLEGIADO"),"NO HECHA",IF(N42=" ","SINRESULTADO","SI")),"NO"),IF(N42="EXCLUSION","NO HECHA","LIMBO"))</f>
        <v>NO HECHA</v>
      </c>
      <c r="Z42" s="98" t="str">
        <f>IF($Z$1=I42,"DIASOL", "DIANOSOL")</f>
        <v>DIANOSOL</v>
      </c>
      <c r="AA42" s="98" t="s">
        <v>240</v>
      </c>
      <c r="AB42" s="98" t="s">
        <v>498</v>
      </c>
      <c r="AC42" s="98" t="str">
        <f>IF(H42=$M$1,"SI","NO")</f>
        <v>NO</v>
      </c>
      <c r="AD42" s="98"/>
      <c r="AE42" s="98"/>
      <c r="AF42" s="98"/>
      <c r="AG42" s="162" t="str">
        <f>IF(COUNTIF(C42,"*preso*")&gt;0,"SI","NO")</f>
        <v>NO</v>
      </c>
      <c r="AH42" s="255">
        <f>NroOrden(N42)</f>
        <v>2</v>
      </c>
      <c r="AI42" s="98" t="s">
        <v>499</v>
      </c>
      <c r="AJ42" s="270" t="str">
        <f ca="1">IF(OR(Y42="NO",Y42="LIMBO"),"IMP","NOIMP")</f>
        <v>NOIMP</v>
      </c>
      <c r="AK42" s="5"/>
    </row>
    <row r="43" spans="1:37" ht="94.5" customHeight="1">
      <c r="A43" s="98">
        <v>109</v>
      </c>
      <c r="B43" s="99" t="s">
        <v>393</v>
      </c>
      <c r="C43" s="207"/>
      <c r="D43" s="98" t="s">
        <v>394</v>
      </c>
      <c r="E43" s="98" t="s">
        <v>395</v>
      </c>
      <c r="F43" s="153">
        <v>45076</v>
      </c>
      <c r="G43" s="98"/>
      <c r="H43" s="98"/>
      <c r="I43" s="99">
        <v>45131</v>
      </c>
      <c r="J43" s="99" t="s">
        <v>16</v>
      </c>
      <c r="K43" s="98" t="s">
        <v>362</v>
      </c>
      <c r="L43" s="192"/>
      <c r="M43" s="99" t="s">
        <v>332</v>
      </c>
      <c r="N43" s="98" t="s">
        <v>353</v>
      </c>
      <c r="O43" s="98" t="s">
        <v>2281</v>
      </c>
      <c r="P43" s="98" t="s">
        <v>959</v>
      </c>
      <c r="Q43" s="98" t="s">
        <v>111</v>
      </c>
      <c r="R43" s="192"/>
      <c r="S43" s="98"/>
      <c r="T43" s="98"/>
      <c r="U43" s="98"/>
      <c r="V43" s="98" t="s">
        <v>189</v>
      </c>
      <c r="W43" s="98" t="s">
        <v>264</v>
      </c>
      <c r="X43" s="98" t="s">
        <v>111</v>
      </c>
      <c r="Y43" s="162" t="str">
        <f ca="1">IF(I43&lt;&gt;"",IF(I43&lt;=TODAY(),IF(OR(N43="REPROGRAMADA",N43="SUSPENDIDA",N43="EXCLUSION",N43="COLEGIADO"),"NO HECHA",IF(N43=" ","SINRESULTADO","SI")),"NO"),IF(N43="EXCLUSION","NO HECHA","LIMBO"))</f>
        <v>NO HECHA</v>
      </c>
      <c r="Z43" s="98" t="str">
        <f>IF($Z$1=I43,"DIASOL", "DIANOSOL")</f>
        <v>DIANOSOL</v>
      </c>
      <c r="AA43" s="98" t="s">
        <v>240</v>
      </c>
      <c r="AB43" s="98" t="s">
        <v>397</v>
      </c>
      <c r="AC43" s="98" t="str">
        <f>IF(H43=$M$1,"SI","NO")</f>
        <v>NO</v>
      </c>
      <c r="AD43" s="98"/>
      <c r="AE43" s="98"/>
      <c r="AF43" s="98" t="s">
        <v>2177</v>
      </c>
      <c r="AG43" s="162" t="str">
        <f>IF(COUNTIF(C43,"*preso*")&gt;0,"SI","NO")</f>
        <v>NO</v>
      </c>
      <c r="AH43" s="244">
        <f>NroOrden(N43)</f>
        <v>2</v>
      </c>
      <c r="AI43" s="98"/>
      <c r="AJ43" s="48" t="str">
        <f ca="1">IF(OR(Y43="NO",Y43="LIMBO"),"IMP","NOIMP")</f>
        <v>NOIMP</v>
      </c>
      <c r="AK43" s="5"/>
    </row>
    <row r="44" spans="1:37" ht="67.5" customHeight="1">
      <c r="A44" s="98">
        <v>140</v>
      </c>
      <c r="B44" s="99" t="s">
        <v>1087</v>
      </c>
      <c r="C44" s="207" t="s">
        <v>501</v>
      </c>
      <c r="D44" s="98" t="s">
        <v>1088</v>
      </c>
      <c r="E44" s="98" t="s">
        <v>383</v>
      </c>
      <c r="F44" s="153">
        <v>45114</v>
      </c>
      <c r="G44" s="98"/>
      <c r="H44" s="98" t="s">
        <v>111</v>
      </c>
      <c r="I44" s="99">
        <v>45133</v>
      </c>
      <c r="J44" s="99" t="s">
        <v>282</v>
      </c>
      <c r="K44" s="98" t="s">
        <v>365</v>
      </c>
      <c r="L44" s="192"/>
      <c r="M44" s="99" t="s">
        <v>331</v>
      </c>
      <c r="N44" s="98" t="s">
        <v>353</v>
      </c>
      <c r="O44" s="98" t="s">
        <v>2283</v>
      </c>
      <c r="P44" s="98" t="s">
        <v>1089</v>
      </c>
      <c r="Q44" s="98" t="s">
        <v>111</v>
      </c>
      <c r="R44" s="192"/>
      <c r="S44" s="98" t="s">
        <v>374</v>
      </c>
      <c r="T44" s="98" t="s">
        <v>1090</v>
      </c>
      <c r="U44" s="98" t="s">
        <v>1091</v>
      </c>
      <c r="V44" s="98" t="s">
        <v>97</v>
      </c>
      <c r="W44" s="98" t="s">
        <v>180</v>
      </c>
      <c r="X44" s="98" t="s">
        <v>111</v>
      </c>
      <c r="Y44" s="162" t="str">
        <f ca="1">IF(I44&lt;&gt;"",IF(I44&lt;=TODAY(),IF(OR(N44="REPROGRAMADA",N44="SUSPENDIDA",N44="EXCLUSION",N44="COLEGIADO"),"NO HECHA",IF(N44=" ","SINRESULTADO","SI")),"NO"),IF(N44="EXCLUSION","NO HECHA","LIMBO"))</f>
        <v>NO HECHA</v>
      </c>
      <c r="Z44" s="98" t="str">
        <f>IF($Z$1=I44,"DIASOL", "DIANOSOL")</f>
        <v>DIANOSOL</v>
      </c>
      <c r="AA44" s="98" t="s">
        <v>240</v>
      </c>
      <c r="AB44" s="98"/>
      <c r="AC44" s="98" t="str">
        <f>IF(H44=$M$1,"SI","NO")</f>
        <v>NO</v>
      </c>
      <c r="AD44" s="98"/>
      <c r="AE44" s="98"/>
      <c r="AF44" s="98" t="s">
        <v>2177</v>
      </c>
      <c r="AG44" s="162" t="str">
        <f>IF(COUNTIF(C44,"*preso*")&gt;0,"SI","NO")</f>
        <v>SI</v>
      </c>
      <c r="AH44" s="244">
        <f>NroOrden(N44)</f>
        <v>2</v>
      </c>
      <c r="AI44" s="98"/>
      <c r="AJ44" s="48" t="str">
        <f ca="1">IF(OR(Y44="NO",Y44="LIMBO"),"IMP","NOIMP")</f>
        <v>NOIMP</v>
      </c>
      <c r="AK44" s="5"/>
    </row>
    <row r="45" spans="1:37" ht="38.25">
      <c r="A45" s="98">
        <v>127</v>
      </c>
      <c r="B45" s="99" t="s">
        <v>1020</v>
      </c>
      <c r="C45" s="207"/>
      <c r="D45" s="98" t="s">
        <v>1021</v>
      </c>
      <c r="E45" s="98" t="s">
        <v>1022</v>
      </c>
      <c r="F45" s="98"/>
      <c r="G45" s="98"/>
      <c r="H45" s="98"/>
      <c r="I45" s="99">
        <v>45135</v>
      </c>
      <c r="J45" s="99" t="s">
        <v>282</v>
      </c>
      <c r="K45" s="98" t="s">
        <v>403</v>
      </c>
      <c r="L45" s="192"/>
      <c r="M45" s="99" t="s">
        <v>328</v>
      </c>
      <c r="N45" s="98" t="s">
        <v>353</v>
      </c>
      <c r="O45" s="98" t="s">
        <v>2281</v>
      </c>
      <c r="P45" s="98" t="s">
        <v>959</v>
      </c>
      <c r="Q45" s="98" t="s">
        <v>111</v>
      </c>
      <c r="R45" s="192"/>
      <c r="S45" s="98"/>
      <c r="T45" s="98"/>
      <c r="U45" s="98"/>
      <c r="V45" s="98" t="s">
        <v>185</v>
      </c>
      <c r="W45" s="98" t="s">
        <v>116</v>
      </c>
      <c r="X45" s="98" t="s">
        <v>111</v>
      </c>
      <c r="Y45" s="162" t="str">
        <f ca="1">IF(I45&lt;&gt;"",IF(I45&lt;=TODAY(),IF(OR(N45="REPROGRAMADA",N45="SUSPENDIDA",N45="EXCLUSION",N45="COLEGIADO"),"NO HECHA",IF(N45=" ","SINRESULTADO","SI")),"NO"),IF(N45="EXCLUSION","NO HECHA","LIMBO"))</f>
        <v>NO HECHA</v>
      </c>
      <c r="Z45" s="98" t="str">
        <f>IF($Z$1=I45,"DIASOL", "DIANOSOL")</f>
        <v>DIANOSOL</v>
      </c>
      <c r="AA45" s="98" t="s">
        <v>240</v>
      </c>
      <c r="AB45" s="98" t="s">
        <v>1023</v>
      </c>
      <c r="AC45" s="98" t="str">
        <f>IF(H45=$M$1,"SI","NO")</f>
        <v>NO</v>
      </c>
      <c r="AD45" s="98"/>
      <c r="AE45" s="98"/>
      <c r="AF45" s="98"/>
      <c r="AG45" s="162" t="str">
        <f>IF(COUNTIF(C45,"*preso*")&gt;0,"SI","NO")</f>
        <v>NO</v>
      </c>
      <c r="AH45" s="244">
        <f>NroOrden(N45)</f>
        <v>2</v>
      </c>
      <c r="AI45" s="98"/>
      <c r="AJ45" s="48" t="str">
        <f ca="1">IF(OR(Y45="NO",Y45="LIMBO"),"IMP","NOIMP")</f>
        <v>NOIMP</v>
      </c>
      <c r="AK45" s="5"/>
    </row>
    <row r="46" spans="1:37" ht="63.75">
      <c r="A46" s="98">
        <v>136</v>
      </c>
      <c r="B46" s="99" t="s">
        <v>1061</v>
      </c>
      <c r="C46" s="207" t="s">
        <v>501</v>
      </c>
      <c r="D46" s="98" t="s">
        <v>1062</v>
      </c>
      <c r="E46" s="98" t="s">
        <v>1063</v>
      </c>
      <c r="F46" s="153">
        <v>45114</v>
      </c>
      <c r="G46" s="98"/>
      <c r="H46" s="98" t="s">
        <v>111</v>
      </c>
      <c r="I46" s="99">
        <v>45135</v>
      </c>
      <c r="J46" s="99" t="s">
        <v>396</v>
      </c>
      <c r="K46" s="98" t="s">
        <v>365</v>
      </c>
      <c r="L46" s="192"/>
      <c r="M46" s="99" t="s">
        <v>331</v>
      </c>
      <c r="N46" s="98" t="s">
        <v>353</v>
      </c>
      <c r="O46" s="98" t="s">
        <v>2337</v>
      </c>
      <c r="P46" s="98" t="s">
        <v>1065</v>
      </c>
      <c r="Q46" s="98" t="s">
        <v>111</v>
      </c>
      <c r="R46" s="192"/>
      <c r="S46" s="98" t="s">
        <v>374</v>
      </c>
      <c r="T46" s="98" t="s">
        <v>1067</v>
      </c>
      <c r="U46" s="98" t="s">
        <v>1068</v>
      </c>
      <c r="V46" s="98" t="s">
        <v>192</v>
      </c>
      <c r="W46" s="98" t="s">
        <v>269</v>
      </c>
      <c r="X46" s="98" t="s">
        <v>111</v>
      </c>
      <c r="Y46" s="162" t="str">
        <f ca="1">IF(I46&lt;&gt;"",IF(I46&lt;=TODAY(),IF(OR(N46="REPROGRAMADA",N46="SUSPENDIDA",N46="EXCLUSION",N46="COLEGIADO"),"NO HECHA",IF(N46=" ","SINRESULTADO","SI")),"NO"),IF(N46="EXCLUSION","NO HECHA","LIMBO"))</f>
        <v>NO HECHA</v>
      </c>
      <c r="Z46" s="98" t="str">
        <f>IF($Z$1=I46,"DIASOL", "DIANOSOL")</f>
        <v>DIANOSOL</v>
      </c>
      <c r="AA46" s="98" t="s">
        <v>240</v>
      </c>
      <c r="AB46" s="98" t="s">
        <v>1066</v>
      </c>
      <c r="AC46" s="98" t="str">
        <f>IF(H46=$M$1,"SI","NO")</f>
        <v>NO</v>
      </c>
      <c r="AD46" s="98"/>
      <c r="AE46" s="98"/>
      <c r="AF46" s="98" t="s">
        <v>2177</v>
      </c>
      <c r="AG46" s="162" t="str">
        <f>IF(COUNTIF(C46,"*preso*")&gt;0,"SI","NO")</f>
        <v>SI</v>
      </c>
      <c r="AH46" s="244">
        <f>NroOrden(N46)</f>
        <v>2</v>
      </c>
      <c r="AI46" s="98"/>
      <c r="AJ46" s="48" t="str">
        <f ca="1">IF(OR(Y46="NO",Y46="LIMBO"),"IMP","NOIMP")</f>
        <v>NOIMP</v>
      </c>
      <c r="AK46" s="5"/>
    </row>
    <row r="47" spans="1:37" ht="84.75" customHeight="1">
      <c r="A47" s="98">
        <v>58</v>
      </c>
      <c r="B47" s="99" t="s">
        <v>728</v>
      </c>
      <c r="C47" s="206"/>
      <c r="D47" s="98" t="s">
        <v>729</v>
      </c>
      <c r="E47" s="98" t="s">
        <v>518</v>
      </c>
      <c r="F47" s="182">
        <v>45091</v>
      </c>
      <c r="G47" s="98"/>
      <c r="H47" s="98"/>
      <c r="I47" s="99">
        <v>45138</v>
      </c>
      <c r="J47" s="141">
        <v>0.39583333333333331</v>
      </c>
      <c r="K47" s="180" t="s">
        <v>364</v>
      </c>
      <c r="L47" s="192"/>
      <c r="M47" s="99" t="s">
        <v>328</v>
      </c>
      <c r="N47" s="98" t="s">
        <v>353</v>
      </c>
      <c r="O47" s="98" t="s">
        <v>2281</v>
      </c>
      <c r="P47" s="98" t="s">
        <v>1436</v>
      </c>
      <c r="Q47" s="180" t="s">
        <v>111</v>
      </c>
      <c r="R47" s="192"/>
      <c r="S47" s="98"/>
      <c r="T47" s="180"/>
      <c r="U47" s="180"/>
      <c r="V47" s="98" t="s">
        <v>191</v>
      </c>
      <c r="W47" s="98" t="s">
        <v>730</v>
      </c>
      <c r="X47" s="98" t="s">
        <v>111</v>
      </c>
      <c r="Y47" s="162" t="str">
        <f ca="1">IF(I47&lt;&gt;"",IF(I47&lt;=TODAY(),IF(OR(N47="REPROGRAMADA",N47="SUSPENDIDA",N47="EXCLUSION",N47="COLEGIADO"),"NO HECHA",IF(N47=" ","SINRESULTADO","SI")),"NO"),IF(N47="EXCLUSION","NO HECHA","LIMBO"))</f>
        <v>NO HECHA</v>
      </c>
      <c r="Z47" s="98" t="str">
        <f>IF($Z$1=I47,"DIASOL", "DIANOSOL")</f>
        <v>DIANOSOL</v>
      </c>
      <c r="AA47" s="98" t="s">
        <v>240</v>
      </c>
      <c r="AB47" s="98" t="s">
        <v>731</v>
      </c>
      <c r="AC47" s="183" t="str">
        <f>IF(H47=$M$1,"SI","NO")</f>
        <v>NO</v>
      </c>
      <c r="AD47" s="183"/>
      <c r="AE47" s="180"/>
      <c r="AF47" s="182"/>
      <c r="AG47" s="180" t="str">
        <f>IF(COUNTIF(C47,"*preso*")&gt;0,"SI","NO")</f>
        <v>NO</v>
      </c>
      <c r="AH47" s="244">
        <f>NroOrden(N47)</f>
        <v>2</v>
      </c>
      <c r="AI47" s="98" t="s">
        <v>1590</v>
      </c>
      <c r="AJ47" s="48" t="str">
        <f ca="1">IF(OR(Y47="NO",Y47="LIMBO"),"IMP","NOIMP")</f>
        <v>NOIMP</v>
      </c>
      <c r="AK47" s="5"/>
    </row>
    <row r="48" spans="1:37" ht="25.5">
      <c r="A48" s="98">
        <v>45</v>
      </c>
      <c r="B48" s="99" t="s">
        <v>650</v>
      </c>
      <c r="C48" s="206"/>
      <c r="D48" s="98" t="s">
        <v>651</v>
      </c>
      <c r="E48" s="98" t="s">
        <v>652</v>
      </c>
      <c r="F48" s="153">
        <v>45091</v>
      </c>
      <c r="G48" s="98"/>
      <c r="H48" s="98"/>
      <c r="I48" s="99">
        <v>45138</v>
      </c>
      <c r="J48" s="141">
        <v>0.52083333333333337</v>
      </c>
      <c r="K48" s="98" t="s">
        <v>365</v>
      </c>
      <c r="L48" s="192"/>
      <c r="M48" s="99" t="s">
        <v>331</v>
      </c>
      <c r="N48" s="98" t="s">
        <v>353</v>
      </c>
      <c r="O48" s="179"/>
      <c r="P48" s="179"/>
      <c r="Q48" s="98" t="s">
        <v>111</v>
      </c>
      <c r="R48" s="192"/>
      <c r="S48" s="98"/>
      <c r="T48" s="98"/>
      <c r="U48" s="98"/>
      <c r="V48" s="98" t="s">
        <v>186</v>
      </c>
      <c r="W48" s="98" t="s">
        <v>654</v>
      </c>
      <c r="X48" s="98" t="s">
        <v>111</v>
      </c>
      <c r="Y48" s="162" t="str">
        <f ca="1">IF(I48&lt;&gt;"",IF(I48&lt;=TODAY(),IF(OR(N48="REPROGRAMADA",N48="SUSPENDIDA",N48="EXCLUSION",N48="COLEGIADO"),"NO HECHA",IF(N48=" ","SINRESULTADO","SI")),"NO"),IF(N48="EXCLUSION","NO HECHA","LIMBO"))</f>
        <v>NO HECHA</v>
      </c>
      <c r="Z48" s="98" t="str">
        <f>IF($Z$1=I48,"DIASOL", "DIANOSOL")</f>
        <v>DIANOSOL</v>
      </c>
      <c r="AA48" s="98" t="s">
        <v>240</v>
      </c>
      <c r="AB48" s="98" t="s">
        <v>655</v>
      </c>
      <c r="AC48" s="98" t="str">
        <f>IF(H48=$M$1,"SI","NO")</f>
        <v>NO</v>
      </c>
      <c r="AD48" s="98"/>
      <c r="AE48" s="98"/>
      <c r="AF48" s="98" t="s">
        <v>2177</v>
      </c>
      <c r="AG48" s="162" t="str">
        <f>IF(COUNTIF(C48,"*preso*")&gt;0,"SI","NO")</f>
        <v>NO</v>
      </c>
      <c r="AH48" s="244">
        <f>NroOrden(N48)</f>
        <v>2</v>
      </c>
      <c r="AI48" s="98"/>
      <c r="AJ48" s="48" t="str">
        <f ca="1">IF(OR(Y48="NO",Y48="LIMBO"),"IMP","NOIMP")</f>
        <v>NOIMP</v>
      </c>
      <c r="AK48" s="5"/>
    </row>
    <row r="49" spans="1:37" ht="25.5">
      <c r="A49" s="98">
        <v>62</v>
      </c>
      <c r="B49" s="99" t="s">
        <v>746</v>
      </c>
      <c r="C49" s="206"/>
      <c r="D49" s="98" t="s">
        <v>747</v>
      </c>
      <c r="E49" s="98" t="s">
        <v>748</v>
      </c>
      <c r="F49" s="182">
        <v>45091</v>
      </c>
      <c r="G49" s="98"/>
      <c r="H49" s="98"/>
      <c r="I49" s="99">
        <v>45145</v>
      </c>
      <c r="J49" s="141">
        <v>0.39583333333333331</v>
      </c>
      <c r="K49" s="180" t="s">
        <v>363</v>
      </c>
      <c r="L49" s="192"/>
      <c r="M49" s="99" t="s">
        <v>328</v>
      </c>
      <c r="N49" s="98" t="s">
        <v>353</v>
      </c>
      <c r="O49" s="98" t="s">
        <v>2281</v>
      </c>
      <c r="P49" s="98" t="s">
        <v>1436</v>
      </c>
      <c r="Q49" s="180" t="s">
        <v>111</v>
      </c>
      <c r="R49" s="192"/>
      <c r="S49" s="98"/>
      <c r="T49" s="180"/>
      <c r="U49" s="180"/>
      <c r="V49" s="98" t="s">
        <v>344</v>
      </c>
      <c r="W49" s="98" t="s">
        <v>535</v>
      </c>
      <c r="X49" s="98" t="s">
        <v>111</v>
      </c>
      <c r="Y49" s="162" t="str">
        <f ca="1">IF(I49&lt;&gt;"",IF(I49&lt;=TODAY(),IF(OR(N49="REPROGRAMADA",N49="SUSPENDIDA",N49="EXCLUSION",N49="COLEGIADO"),"NO HECHA",IF(N49=" ","SINRESULTADO","SI")),"NO"),IF(N49="EXCLUSION","NO HECHA","LIMBO"))</f>
        <v>NO HECHA</v>
      </c>
      <c r="Z49" s="98" t="str">
        <f>IF($Z$1=I49,"DIASOL", "DIANOSOL")</f>
        <v>DIANOSOL</v>
      </c>
      <c r="AA49" s="98" t="s">
        <v>240</v>
      </c>
      <c r="AB49" s="98" t="s">
        <v>749</v>
      </c>
      <c r="AC49" s="183" t="str">
        <f>IF(H49=$M$1,"SI","NO")</f>
        <v>NO</v>
      </c>
      <c r="AD49" s="183"/>
      <c r="AE49" s="180"/>
      <c r="AF49" s="180"/>
      <c r="AG49" s="180" t="str">
        <f>IF(COUNTIF(C49,"*preso*")&gt;0,"SI","NO")</f>
        <v>NO</v>
      </c>
      <c r="AH49" s="244">
        <f>NroOrden(N49)</f>
        <v>2</v>
      </c>
      <c r="AI49" s="180"/>
      <c r="AJ49" s="48" t="str">
        <f ca="1">IF(OR(Y49="NO",Y49="LIMBO"),"IMP","NOIMP")</f>
        <v>NOIMP</v>
      </c>
      <c r="AK49" s="5"/>
    </row>
    <row r="50" spans="1:37" ht="76.5">
      <c r="A50" s="98">
        <v>108</v>
      </c>
      <c r="B50" s="99" t="s">
        <v>37</v>
      </c>
      <c r="C50" s="207" t="s">
        <v>454</v>
      </c>
      <c r="D50" s="98" t="s">
        <v>1592</v>
      </c>
      <c r="E50" s="98" t="s">
        <v>456</v>
      </c>
      <c r="F50" s="153">
        <v>45076</v>
      </c>
      <c r="G50" s="98"/>
      <c r="H50" s="98"/>
      <c r="I50" s="99">
        <v>45146</v>
      </c>
      <c r="J50" s="99" t="s">
        <v>396</v>
      </c>
      <c r="K50" s="98" t="s">
        <v>365</v>
      </c>
      <c r="L50" s="192"/>
      <c r="M50" s="99" t="s">
        <v>332</v>
      </c>
      <c r="N50" s="98" t="s">
        <v>353</v>
      </c>
      <c r="O50" s="98" t="s">
        <v>2281</v>
      </c>
      <c r="P50" s="98" t="s">
        <v>1337</v>
      </c>
      <c r="Q50" s="98" t="s">
        <v>329</v>
      </c>
      <c r="R50" s="192"/>
      <c r="S50" s="98"/>
      <c r="T50" s="98"/>
      <c r="U50" s="98"/>
      <c r="V50" s="98" t="s">
        <v>192</v>
      </c>
      <c r="W50" s="98" t="s">
        <v>119</v>
      </c>
      <c r="X50" s="98" t="s">
        <v>111</v>
      </c>
      <c r="Y50" s="162" t="str">
        <f ca="1">IF(I50&lt;&gt;"",IF(I50&lt;=TODAY(),IF(OR(N50="REPROGRAMADA",N50="SUSPENDIDA",N50="EXCLUSION",N50="COLEGIADO"),"NO HECHA",IF(N50=" ","SINRESULTADO","SI")),"NO"),IF(N50="EXCLUSION","NO HECHA","LIMBO"))</f>
        <v>NO HECHA</v>
      </c>
      <c r="Z50" s="98" t="str">
        <f>IF($Z$1=I50,"DIASOL", "DIANOSOL")</f>
        <v>DIANOSOL</v>
      </c>
      <c r="AA50" s="98" t="s">
        <v>458</v>
      </c>
      <c r="AB50" s="98" t="s">
        <v>464</v>
      </c>
      <c r="AC50" s="98" t="str">
        <f>IF(H50=$M$1,"SI","NO")</f>
        <v>NO</v>
      </c>
      <c r="AD50" s="98"/>
      <c r="AE50" s="98"/>
      <c r="AF50" s="98" t="s">
        <v>2177</v>
      </c>
      <c r="AG50" s="162" t="str">
        <f>IF(COUNTIF(C50,"*preso*")&gt;0,"SI","NO")</f>
        <v>NO</v>
      </c>
      <c r="AH50" s="244">
        <f>NroOrden(N50)</f>
        <v>2</v>
      </c>
      <c r="AI50" s="98" t="s">
        <v>459</v>
      </c>
      <c r="AJ50" s="48" t="str">
        <f ca="1">IF(OR(Y50="NO",Y50="LIMBO"),"IMP","NOIMP")</f>
        <v>NOIMP</v>
      </c>
      <c r="AK50" s="5"/>
    </row>
    <row r="51" spans="1:37" ht="25.5">
      <c r="A51" s="98">
        <v>112</v>
      </c>
      <c r="B51" s="99" t="s">
        <v>829</v>
      </c>
      <c r="C51" s="207"/>
      <c r="D51" s="98" t="s">
        <v>830</v>
      </c>
      <c r="E51" s="98" t="s">
        <v>831</v>
      </c>
      <c r="F51" s="153">
        <v>45026</v>
      </c>
      <c r="G51" s="98"/>
      <c r="H51" s="98"/>
      <c r="I51" s="99">
        <v>45148</v>
      </c>
      <c r="J51" s="99" t="s">
        <v>960</v>
      </c>
      <c r="K51" s="98" t="s">
        <v>362</v>
      </c>
      <c r="L51" s="192"/>
      <c r="M51" s="99" t="s">
        <v>330</v>
      </c>
      <c r="N51" s="98" t="s">
        <v>353</v>
      </c>
      <c r="O51" s="98" t="s">
        <v>2282</v>
      </c>
      <c r="P51" s="98" t="s">
        <v>1336</v>
      </c>
      <c r="Q51" s="98" t="s">
        <v>111</v>
      </c>
      <c r="R51" s="192"/>
      <c r="S51" s="98"/>
      <c r="T51" s="98"/>
      <c r="U51" s="98"/>
      <c r="V51" s="98" t="s">
        <v>182</v>
      </c>
      <c r="W51" s="98" t="s">
        <v>116</v>
      </c>
      <c r="X51" s="98" t="s">
        <v>111</v>
      </c>
      <c r="Y51" s="162" t="str">
        <f ca="1">IF(I51&lt;&gt;"",IF(I51&lt;=TODAY(),IF(OR(N51="REPROGRAMADA",N51="SUSPENDIDA",N51="EXCLUSION",N51="COLEGIADO"),"NO HECHA",IF(N51=" ","SINRESULTADO","SI")),"NO"),IF(N51="EXCLUSION","NO HECHA","LIMBO"))</f>
        <v>NO HECHA</v>
      </c>
      <c r="Z51" s="98" t="str">
        <f>IF($Z$1=I51,"DIASOL", "DIANOSOL")</f>
        <v>DIANOSOL</v>
      </c>
      <c r="AA51" s="98" t="s">
        <v>240</v>
      </c>
      <c r="AB51" s="98" t="s">
        <v>834</v>
      </c>
      <c r="AC51" s="98" t="str">
        <f>IF(H51=$M$1,"SI","NO")</f>
        <v>NO</v>
      </c>
      <c r="AD51" s="98"/>
      <c r="AE51" s="98"/>
      <c r="AF51" s="98"/>
      <c r="AG51" s="162" t="str">
        <f>IF(COUNTIF(C51,"*preso*")&gt;0,"SI","NO")</f>
        <v>NO</v>
      </c>
      <c r="AH51" s="244">
        <f>NroOrden(N51)</f>
        <v>2</v>
      </c>
      <c r="AI51" s="98"/>
      <c r="AJ51" s="48" t="str">
        <f ca="1">IF(OR(Y51="NO",Y51="LIMBO"),"IMP","NOIMP")</f>
        <v>NOIMP</v>
      </c>
      <c r="AK51" s="5"/>
    </row>
    <row r="52" spans="1:37" ht="39.75" customHeight="1">
      <c r="A52" s="98">
        <v>176</v>
      </c>
      <c r="B52" s="99" t="s">
        <v>393</v>
      </c>
      <c r="C52" s="207"/>
      <c r="D52" s="98" t="s">
        <v>394</v>
      </c>
      <c r="E52" s="98" t="s">
        <v>395</v>
      </c>
      <c r="F52" s="153">
        <v>45076</v>
      </c>
      <c r="G52" s="98"/>
      <c r="H52" s="98"/>
      <c r="I52" s="99">
        <v>45149</v>
      </c>
      <c r="J52" s="99" t="s">
        <v>1181</v>
      </c>
      <c r="K52" s="98" t="s">
        <v>365</v>
      </c>
      <c r="L52" s="192"/>
      <c r="M52" s="99" t="s">
        <v>332</v>
      </c>
      <c r="N52" s="98" t="s">
        <v>353</v>
      </c>
      <c r="O52" s="98" t="s">
        <v>2281</v>
      </c>
      <c r="P52" s="98" t="s">
        <v>1263</v>
      </c>
      <c r="Q52" s="98" t="s">
        <v>111</v>
      </c>
      <c r="R52" s="192"/>
      <c r="S52" s="98"/>
      <c r="T52" s="98"/>
      <c r="U52" s="98"/>
      <c r="V52" s="98" t="s">
        <v>189</v>
      </c>
      <c r="W52" s="98" t="s">
        <v>264</v>
      </c>
      <c r="X52" s="98" t="s">
        <v>111</v>
      </c>
      <c r="Y52" s="162" t="str">
        <f ca="1">IF(I52&lt;&gt;"",IF(I52&lt;=TODAY(),IF(OR(N52="REPROGRAMADA",N52="SUSPENDIDA",N52="EXCLUSION",N52="COLEGIADO"),"NO HECHA",IF(N52=" ","SINRESULTADO","SI")),"NO"),IF(N52="EXCLUSION","NO HECHA","LIMBO"))</f>
        <v>NO HECHA</v>
      </c>
      <c r="Z52" s="162" t="str">
        <f>IF($Z$1=I52,"DIASOL", "DIANOSOL")</f>
        <v>DIANOSOL</v>
      </c>
      <c r="AA52" s="98" t="s">
        <v>240</v>
      </c>
      <c r="AB52" s="98" t="s">
        <v>397</v>
      </c>
      <c r="AC52" s="162" t="str">
        <f>IF(H52=$M$1,"SI","NO")</f>
        <v>NO</v>
      </c>
      <c r="AD52" s="162"/>
      <c r="AE52" s="98"/>
      <c r="AF52" s="98" t="s">
        <v>2177</v>
      </c>
      <c r="AG52" s="162" t="str">
        <f>IF(COUNTIF(C52,"*preso*")&gt;0,"SI","NO")</f>
        <v>NO</v>
      </c>
      <c r="AH52" s="244">
        <f>NroOrden(N52)</f>
        <v>2</v>
      </c>
      <c r="AI52" s="98" t="s">
        <v>1264</v>
      </c>
      <c r="AJ52" s="48" t="str">
        <f ca="1">IF(OR(Y52="NO",Y52="LIMBO"),"IMP","NOIMP")</f>
        <v>NOIMP</v>
      </c>
      <c r="AK52" s="5"/>
    </row>
    <row r="53" spans="1:37" ht="50.25" customHeight="1">
      <c r="A53" s="180">
        <v>115</v>
      </c>
      <c r="B53" s="181" t="s">
        <v>524</v>
      </c>
      <c r="C53" s="207"/>
      <c r="D53" s="180" t="s">
        <v>521</v>
      </c>
      <c r="E53" s="180"/>
      <c r="F53" s="182"/>
      <c r="G53" s="180"/>
      <c r="H53" s="98"/>
      <c r="I53" s="181">
        <v>45154</v>
      </c>
      <c r="J53" s="99" t="s">
        <v>282</v>
      </c>
      <c r="K53" s="180" t="s">
        <v>364</v>
      </c>
      <c r="L53" s="192"/>
      <c r="M53" s="99" t="s">
        <v>331</v>
      </c>
      <c r="N53" s="98" t="s">
        <v>353</v>
      </c>
      <c r="O53" s="98" t="s">
        <v>2334</v>
      </c>
      <c r="P53" s="98" t="s">
        <v>1420</v>
      </c>
      <c r="Q53" s="180" t="s">
        <v>111</v>
      </c>
      <c r="R53" s="192"/>
      <c r="S53" s="98"/>
      <c r="T53" s="180"/>
      <c r="U53" s="180"/>
      <c r="V53" s="98" t="s">
        <v>339</v>
      </c>
      <c r="W53" s="98" t="s">
        <v>132</v>
      </c>
      <c r="X53" s="98" t="s">
        <v>111</v>
      </c>
      <c r="Y53" s="162" t="str">
        <f ca="1">IF(I53&lt;&gt;"",IF(I53&lt;=TODAY(),IF(OR(N53="REPROGRAMADA",N53="SUSPENDIDA",N53="EXCLUSION",N53="COLEGIADO"),"NO HECHA",IF(N53=" ","SINRESULTADO","SI")),"NO"),IF(N53="EXCLUSION","NO HECHA","LIMBO"))</f>
        <v>NO HECHA</v>
      </c>
      <c r="Z53" s="98" t="str">
        <f>IF($Z$1=I53,"DIASOL", "DIANOSOL")</f>
        <v>DIANOSOL</v>
      </c>
      <c r="AA53" s="98" t="s">
        <v>240</v>
      </c>
      <c r="AB53" s="98" t="s">
        <v>523</v>
      </c>
      <c r="AC53" s="183" t="str">
        <f>IF(H53=$M$1,"SI","NO")</f>
        <v>NO</v>
      </c>
      <c r="AD53" s="183"/>
      <c r="AE53" s="180"/>
      <c r="AF53" s="98" t="s">
        <v>2177</v>
      </c>
      <c r="AG53" s="180" t="str">
        <f>IF(COUNTIF(C53,"*preso*")&gt;0,"SI","NO")</f>
        <v>NO</v>
      </c>
      <c r="AH53" s="255">
        <f>NroOrden(N53)</f>
        <v>2</v>
      </c>
      <c r="AI53" s="180"/>
      <c r="AJ53" s="270" t="str">
        <f ca="1">IF(OR(Y53="NO",Y53="LIMBO"),"IMP","NOIMP")</f>
        <v>NOIMP</v>
      </c>
      <c r="AK53" s="5"/>
    </row>
    <row r="54" spans="1:37" ht="25.5">
      <c r="A54" s="180">
        <v>119</v>
      </c>
      <c r="B54" s="181" t="s">
        <v>572</v>
      </c>
      <c r="C54" s="207"/>
      <c r="D54" s="98" t="s">
        <v>1335</v>
      </c>
      <c r="E54" s="180" t="s">
        <v>573</v>
      </c>
      <c r="F54" s="182">
        <v>45079</v>
      </c>
      <c r="G54" s="180"/>
      <c r="H54" s="98"/>
      <c r="I54" s="181">
        <v>45163</v>
      </c>
      <c r="J54" s="99" t="s">
        <v>987</v>
      </c>
      <c r="K54" s="180" t="s">
        <v>363</v>
      </c>
      <c r="L54" s="192"/>
      <c r="M54" s="99" t="s">
        <v>329</v>
      </c>
      <c r="N54" s="98" t="s">
        <v>353</v>
      </c>
      <c r="O54" s="98" t="s">
        <v>2281</v>
      </c>
      <c r="P54" s="98" t="s">
        <v>1523</v>
      </c>
      <c r="Q54" s="180" t="s">
        <v>111</v>
      </c>
      <c r="R54" s="192"/>
      <c r="S54" s="98"/>
      <c r="T54" s="180"/>
      <c r="U54" s="180"/>
      <c r="V54" s="98" t="s">
        <v>191</v>
      </c>
      <c r="W54" s="98" t="s">
        <v>744</v>
      </c>
      <c r="X54" s="98" t="s">
        <v>111</v>
      </c>
      <c r="Y54" s="162" t="str">
        <f ca="1">IF(I54&lt;&gt;"",IF(I54&lt;=TODAY(),IF(OR(N54="REPROGRAMADA",N54="SUSPENDIDA",N54="EXCLUSION",N54="COLEGIADO"),"NO HECHA",IF(N54=" ","SINRESULTADO","SI")),"NO"),IF(N54="EXCLUSION","NO HECHA","LIMBO"))</f>
        <v>NO HECHA</v>
      </c>
      <c r="Z54" s="98" t="str">
        <f>IF($Z$1=I54,"DIASOL", "DIANOSOL")</f>
        <v>DIANOSOL</v>
      </c>
      <c r="AA54" s="98" t="s">
        <v>240</v>
      </c>
      <c r="AB54" s="98" t="s">
        <v>574</v>
      </c>
      <c r="AC54" s="183" t="str">
        <f>IF(H54=$M$1,"SI","NO")</f>
        <v>NO</v>
      </c>
      <c r="AD54" s="183"/>
      <c r="AE54" s="180"/>
      <c r="AF54" s="180"/>
      <c r="AG54" s="180" t="str">
        <f>IF(COUNTIF(C54,"*preso*")&gt;0,"SI","NO")</f>
        <v>NO</v>
      </c>
      <c r="AH54" s="244">
        <f>NroOrden(N54)</f>
        <v>2</v>
      </c>
      <c r="AI54" s="180"/>
      <c r="AJ54" s="48" t="str">
        <f ca="1">IF(OR(Y54="NO",Y54="LIMBO"),"IMP","NOIMP")</f>
        <v>NOIMP</v>
      </c>
      <c r="AK54" s="5"/>
    </row>
    <row r="55" spans="1:37" ht="114.75">
      <c r="A55" s="180">
        <v>124</v>
      </c>
      <c r="B55" s="99" t="s">
        <v>1513</v>
      </c>
      <c r="C55" s="207"/>
      <c r="D55" s="180" t="s">
        <v>1011</v>
      </c>
      <c r="E55" s="98" t="s">
        <v>1012</v>
      </c>
      <c r="F55" s="182">
        <v>45110</v>
      </c>
      <c r="G55" s="98" t="s">
        <v>1009</v>
      </c>
      <c r="H55" s="98"/>
      <c r="I55" s="181">
        <v>45189</v>
      </c>
      <c r="J55" s="99" t="s">
        <v>282</v>
      </c>
      <c r="K55" s="180" t="s">
        <v>403</v>
      </c>
      <c r="L55" s="192"/>
      <c r="M55" s="99" t="s">
        <v>332</v>
      </c>
      <c r="N55" s="98" t="s">
        <v>353</v>
      </c>
      <c r="O55" s="179"/>
      <c r="P55" s="278"/>
      <c r="Q55" s="180" t="s">
        <v>111</v>
      </c>
      <c r="R55" s="192"/>
      <c r="S55" s="98"/>
      <c r="T55" s="180"/>
      <c r="U55" s="180"/>
      <c r="V55" s="98" t="s">
        <v>182</v>
      </c>
      <c r="W55" s="98" t="s">
        <v>134</v>
      </c>
      <c r="X55" s="98" t="s">
        <v>111</v>
      </c>
      <c r="Y55" s="162" t="str">
        <f ca="1">IF(I55&lt;&gt;"",IF(I55&lt;=TODAY(),IF(OR(N55="REPROGRAMADA",N55="SUSPENDIDA",N55="EXCLUSION",N55="COLEGIADO"),"NO HECHA",IF(N55=" ","SINRESULTADO","SI")),"NO"),IF(N55="EXCLUSION","NO HECHA","LIMBO"))</f>
        <v>NO HECHA</v>
      </c>
      <c r="Z55" s="98" t="str">
        <f>IF($Z$1=I55,"DIASOL", "DIANOSOL")</f>
        <v>DIANOSOL</v>
      </c>
      <c r="AA55" s="98" t="s">
        <v>240</v>
      </c>
      <c r="AB55" s="98" t="s">
        <v>1013</v>
      </c>
      <c r="AC55" s="183" t="str">
        <f>IF(H55=$M$1,"SI","NO")</f>
        <v>NO</v>
      </c>
      <c r="AD55" s="183"/>
      <c r="AE55" s="180"/>
      <c r="AF55" s="98" t="s">
        <v>2177</v>
      </c>
      <c r="AG55" s="180" t="str">
        <f>IF(COUNTIF(C55,"*preso*")&gt;0,"SI","NO")</f>
        <v>NO</v>
      </c>
      <c r="AH55" s="244">
        <f>NroOrden(N55)</f>
        <v>2</v>
      </c>
      <c r="AI55" s="98" t="s">
        <v>1663</v>
      </c>
      <c r="AJ55" s="48" t="str">
        <f ca="1">IF(OR(Y55="NO",Y55="LIMBO"),"IMP","NOIMP")</f>
        <v>NOIMP</v>
      </c>
      <c r="AK55" s="5"/>
    </row>
    <row r="56" spans="1:37" ht="25.5">
      <c r="A56" s="180">
        <v>125</v>
      </c>
      <c r="B56" s="99" t="s">
        <v>1014</v>
      </c>
      <c r="C56" s="207"/>
      <c r="D56" s="180" t="s">
        <v>1015</v>
      </c>
      <c r="E56" s="98" t="s">
        <v>885</v>
      </c>
      <c r="F56" s="180"/>
      <c r="G56" s="98"/>
      <c r="H56" s="98" t="s">
        <v>1641</v>
      </c>
      <c r="I56" s="181">
        <v>45190</v>
      </c>
      <c r="J56" s="99" t="s">
        <v>1173</v>
      </c>
      <c r="K56" s="180" t="s">
        <v>362</v>
      </c>
      <c r="L56" s="192"/>
      <c r="M56" s="99" t="s">
        <v>329</v>
      </c>
      <c r="N56" s="98" t="s">
        <v>353</v>
      </c>
      <c r="O56" s="98" t="s">
        <v>2281</v>
      </c>
      <c r="P56" s="98" t="s">
        <v>959</v>
      </c>
      <c r="Q56" s="180" t="s">
        <v>111</v>
      </c>
      <c r="R56" s="192"/>
      <c r="S56" s="98"/>
      <c r="T56" s="180"/>
      <c r="U56" s="180"/>
      <c r="V56" s="98" t="s">
        <v>192</v>
      </c>
      <c r="W56" s="98" t="s">
        <v>140</v>
      </c>
      <c r="X56" s="98" t="s">
        <v>111</v>
      </c>
      <c r="Y56" s="162" t="str">
        <f ca="1">IF(I56&lt;&gt;"",IF(I56&lt;=TODAY(),IF(OR(N56="REPROGRAMADA",N56="SUSPENDIDA",N56="EXCLUSION",N56="COLEGIADO"),"NO HECHA",IF(N56=" ","SINRESULTADO","SI")),"NO"),IF(N56="EXCLUSION","NO HECHA","LIMBO"))</f>
        <v>NO HECHA</v>
      </c>
      <c r="Z56" s="98" t="str">
        <f>IF($Z$1=I56,"DIASOL", "DIANOSOL")</f>
        <v>DIANOSOL</v>
      </c>
      <c r="AA56" s="98" t="s">
        <v>240</v>
      </c>
      <c r="AB56" s="98" t="s">
        <v>1016</v>
      </c>
      <c r="AC56" s="183" t="str">
        <f>IF(H56=$M$1,"SI","NO")</f>
        <v>NO</v>
      </c>
      <c r="AD56" s="183"/>
      <c r="AE56" s="180"/>
      <c r="AF56" s="180"/>
      <c r="AG56" s="180" t="str">
        <f>IF(COUNTIF(C56,"*preso*")&gt;0,"SI","NO")</f>
        <v>NO</v>
      </c>
      <c r="AH56" s="255">
        <f>NroOrden(N56)</f>
        <v>2</v>
      </c>
      <c r="AI56" s="180"/>
      <c r="AJ56" s="48" t="str">
        <f ca="1">IF(OR(Y56="NO",Y56="LIMBO"),"IMP","NOIMP")</f>
        <v>NOIMP</v>
      </c>
      <c r="AK56" s="5"/>
    </row>
    <row r="57" spans="1:37" ht="72.75" customHeight="1">
      <c r="A57" s="221">
        <v>225</v>
      </c>
      <c r="B57" s="222" t="s">
        <v>711</v>
      </c>
      <c r="C57" s="223"/>
      <c r="D57" s="221" t="s">
        <v>712</v>
      </c>
      <c r="E57" s="221" t="s">
        <v>713</v>
      </c>
      <c r="F57" s="224">
        <v>45090</v>
      </c>
      <c r="G57" s="221"/>
      <c r="H57" s="221"/>
      <c r="I57" s="222">
        <v>45191</v>
      </c>
      <c r="J57" s="222" t="s">
        <v>282</v>
      </c>
      <c r="K57" s="221" t="s">
        <v>403</v>
      </c>
      <c r="L57" s="192"/>
      <c r="M57" s="222" t="s">
        <v>330</v>
      </c>
      <c r="N57" s="221" t="s">
        <v>353</v>
      </c>
      <c r="O57" s="221" t="s">
        <v>2333</v>
      </c>
      <c r="P57" s="221" t="s">
        <v>1656</v>
      </c>
      <c r="Q57" s="221" t="s">
        <v>111</v>
      </c>
      <c r="R57" s="257"/>
      <c r="S57" s="221"/>
      <c r="T57" s="221"/>
      <c r="U57" s="221"/>
      <c r="V57" s="221" t="s">
        <v>346</v>
      </c>
      <c r="W57" s="221" t="s">
        <v>119</v>
      </c>
      <c r="X57" s="221" t="s">
        <v>111</v>
      </c>
      <c r="Y57" s="221" t="str">
        <f ca="1">IF(I57&lt;&gt;"",IF(I57&lt;=TODAY(),IF(OR(N57="REPROGRAMADA",N57="SUSPENDIDA",N57="EXCLUSION",N57="COLEGIADO"),"NO HECHA",IF(N57=" ","SINRESULTADO","SI")),"NO"),IF(N57="EXCLUSION","NO HECHA","LIMBO"))</f>
        <v>NO HECHA</v>
      </c>
      <c r="Z57" s="221" t="str">
        <f>IF($Z$1=I57,"DIASOL", "DIANOSOL")</f>
        <v>DIANOSOL</v>
      </c>
      <c r="AA57" s="221" t="s">
        <v>240</v>
      </c>
      <c r="AB57" s="221" t="s">
        <v>714</v>
      </c>
      <c r="AC57" s="221" t="str">
        <f>IF(H57=$M$1,"SI","NO")</f>
        <v>NO</v>
      </c>
      <c r="AD57" s="221"/>
      <c r="AE57" s="221"/>
      <c r="AF57" s="221"/>
      <c r="AG57" s="221" t="str">
        <f>IF(COUNTIF(C57,"*preso*")&gt;0,"SI","NO")</f>
        <v>NO</v>
      </c>
      <c r="AH57" s="255">
        <f>NroOrden(N57)</f>
        <v>2</v>
      </c>
      <c r="AI57" s="221"/>
      <c r="AJ57" s="270" t="str">
        <f ca="1">IF(OR(Y57="NO",Y57="LIMBO"),"IMP","NOIMP")</f>
        <v>NOIMP</v>
      </c>
      <c r="AK57" s="5"/>
    </row>
    <row r="58" spans="1:37" ht="25.5">
      <c r="A58" s="98">
        <v>83</v>
      </c>
      <c r="B58" s="99" t="s">
        <v>857</v>
      </c>
      <c r="C58" s="206"/>
      <c r="D58" s="98" t="s">
        <v>858</v>
      </c>
      <c r="E58" s="98" t="s">
        <v>859</v>
      </c>
      <c r="F58" s="182">
        <v>45103</v>
      </c>
      <c r="G58" s="98"/>
      <c r="H58" s="98" t="s">
        <v>1641</v>
      </c>
      <c r="I58" s="99">
        <v>45194</v>
      </c>
      <c r="J58" s="98" t="s">
        <v>282</v>
      </c>
      <c r="K58" s="180" t="s">
        <v>363</v>
      </c>
      <c r="L58" s="192"/>
      <c r="M58" s="99" t="s">
        <v>329</v>
      </c>
      <c r="N58" s="98" t="s">
        <v>353</v>
      </c>
      <c r="O58" s="98" t="s">
        <v>2281</v>
      </c>
      <c r="P58" s="98" t="s">
        <v>959</v>
      </c>
      <c r="Q58" s="180" t="s">
        <v>111</v>
      </c>
      <c r="R58" s="192"/>
      <c r="S58" s="98"/>
      <c r="T58" s="180"/>
      <c r="U58" s="180"/>
      <c r="V58" s="98" t="s">
        <v>182</v>
      </c>
      <c r="W58" s="98" t="s">
        <v>423</v>
      </c>
      <c r="X58" s="98" t="s">
        <v>111</v>
      </c>
      <c r="Y58" s="162" t="str">
        <f ca="1">IF(I58&lt;&gt;"",IF(I58&lt;=TODAY(),IF(OR(N58="REPROGRAMADA",N58="SUSPENDIDA",N58="EXCLUSION",N58="COLEGIADO"),"NO HECHA",IF(N58=" ","SINRESULTADO","SI")),"NO"),IF(N58="EXCLUSION","NO HECHA","LIMBO"))</f>
        <v>NO HECHA</v>
      </c>
      <c r="Z58" s="98" t="str">
        <f>IF($Z$1=I58,"DIASOL", "DIANOSOL")</f>
        <v>DIANOSOL</v>
      </c>
      <c r="AA58" s="98" t="s">
        <v>861</v>
      </c>
      <c r="AB58" s="98"/>
      <c r="AC58" s="183" t="str">
        <f>IF(H58=$M$1,"SI","NO")</f>
        <v>NO</v>
      </c>
      <c r="AD58" s="183"/>
      <c r="AE58" s="180"/>
      <c r="AF58" s="180"/>
      <c r="AG58" s="180" t="str">
        <f>IF(COUNTIF(C58,"*preso*")&gt;0,"SI","NO")</f>
        <v>NO</v>
      </c>
      <c r="AH58" s="255">
        <f>NroOrden(N58)</f>
        <v>2</v>
      </c>
      <c r="AI58" s="180"/>
      <c r="AJ58" s="48" t="str">
        <f ca="1">IF(OR(Y58="NO",Y58="LIMBO"),"IMP","NOIMP")</f>
        <v>NOIMP</v>
      </c>
      <c r="AK58" s="5"/>
    </row>
    <row r="59" spans="1:37" ht="60" customHeight="1">
      <c r="A59" s="180">
        <v>202</v>
      </c>
      <c r="B59" s="181" t="s">
        <v>1092</v>
      </c>
      <c r="C59" s="207" t="s">
        <v>501</v>
      </c>
      <c r="D59" s="180" t="s">
        <v>1093</v>
      </c>
      <c r="E59" s="180" t="s">
        <v>383</v>
      </c>
      <c r="F59" s="182">
        <v>45114</v>
      </c>
      <c r="G59" s="180" t="s">
        <v>1064</v>
      </c>
      <c r="H59" s="98" t="s">
        <v>1644</v>
      </c>
      <c r="I59" s="99">
        <v>45198</v>
      </c>
      <c r="J59" s="99" t="s">
        <v>309</v>
      </c>
      <c r="K59" s="180" t="s">
        <v>365</v>
      </c>
      <c r="L59" s="192"/>
      <c r="M59" s="99" t="s">
        <v>332</v>
      </c>
      <c r="N59" s="98" t="s">
        <v>353</v>
      </c>
      <c r="O59" s="98" t="s">
        <v>2282</v>
      </c>
      <c r="P59" s="98" t="s">
        <v>1810</v>
      </c>
      <c r="Q59" s="180" t="s">
        <v>111</v>
      </c>
      <c r="R59" s="192"/>
      <c r="S59" s="98" t="s">
        <v>374</v>
      </c>
      <c r="T59" s="180" t="s">
        <v>1094</v>
      </c>
      <c r="U59" s="180" t="s">
        <v>1095</v>
      </c>
      <c r="V59" s="98" t="s">
        <v>100</v>
      </c>
      <c r="W59" s="98" t="s">
        <v>387</v>
      </c>
      <c r="X59" s="98" t="s">
        <v>111</v>
      </c>
      <c r="Y59" s="162" t="str">
        <f ca="1">IF(I59&lt;&gt;"",IF(I59&lt;=TODAY(),IF(OR(N59="REPROGRAMADA",N59="SUSPENDIDA",N59="EXCLUSION",N59="COLEGIADO"),"NO HECHA",IF(N59=" ","SINRESULTADO","SI")),"NO"),IF(N59="EXCLUSION","NO HECHA","LIMBO"))</f>
        <v>NO HECHA</v>
      </c>
      <c r="Z59" s="98" t="str">
        <f>IF($Z$1=I59,"DIASOL", "DIANOSOL")</f>
        <v>DIANOSOL</v>
      </c>
      <c r="AA59" s="98" t="s">
        <v>893</v>
      </c>
      <c r="AB59" s="98"/>
      <c r="AC59" s="183" t="str">
        <f>IF(H59=$M$1,"SI","NO")</f>
        <v>NO</v>
      </c>
      <c r="AD59" s="183"/>
      <c r="AE59" s="180">
        <v>45114</v>
      </c>
      <c r="AF59" s="98" t="s">
        <v>2177</v>
      </c>
      <c r="AG59" s="180" t="str">
        <f>IF(COUNTIF(C59,"*preso*")&gt;0,"SI","NO")</f>
        <v>SI</v>
      </c>
      <c r="AH59" s="244">
        <f>NroOrden(N59)</f>
        <v>2</v>
      </c>
      <c r="AI59" s="180"/>
      <c r="AJ59" s="48" t="str">
        <f ca="1">IF(OR(Y59="NO",Y59="LIMBO"),"IMP","NOIMP")</f>
        <v>NOIMP</v>
      </c>
      <c r="AK59" s="5"/>
    </row>
    <row r="60" spans="1:37" ht="145.5" customHeight="1">
      <c r="A60" s="180">
        <v>216</v>
      </c>
      <c r="B60" s="99" t="s">
        <v>1669</v>
      </c>
      <c r="C60" s="207"/>
      <c r="D60" s="98" t="s">
        <v>1498</v>
      </c>
      <c r="E60" s="98" t="s">
        <v>1499</v>
      </c>
      <c r="F60" s="98" t="s">
        <v>1501</v>
      </c>
      <c r="G60" s="98"/>
      <c r="H60" s="98"/>
      <c r="I60" s="181">
        <v>45209</v>
      </c>
      <c r="J60" s="99" t="s">
        <v>1562</v>
      </c>
      <c r="K60" s="98" t="s">
        <v>1670</v>
      </c>
      <c r="L60" s="192" t="s">
        <v>1659</v>
      </c>
      <c r="M60" s="99" t="s">
        <v>332</v>
      </c>
      <c r="N60" s="98" t="s">
        <v>353</v>
      </c>
      <c r="O60" s="98" t="s">
        <v>2281</v>
      </c>
      <c r="P60" s="98" t="s">
        <v>2122</v>
      </c>
      <c r="Q60" s="180" t="s">
        <v>111</v>
      </c>
      <c r="R60" s="192"/>
      <c r="S60" s="98"/>
      <c r="T60" s="180"/>
      <c r="U60" s="180"/>
      <c r="V60" s="98" t="s">
        <v>191</v>
      </c>
      <c r="W60" s="98" t="s">
        <v>117</v>
      </c>
      <c r="X60" s="98" t="s">
        <v>111</v>
      </c>
      <c r="Y60" s="162" t="str">
        <f ca="1">IF(I60&lt;&gt;"",IF(I60&lt;=TODAY(),IF(OR(N60="REPROGRAMADA",N60="SUSPENDIDA",N60="EXCLUSION",N60="COLEGIADO"),"NO HECHA",IF(N60=" ","SINRESULTADO","SI")),"NO"),IF(N60="EXCLUSION","NO HECHA","LIMBO"))</f>
        <v>NO HECHA</v>
      </c>
      <c r="Z60" s="98" t="str">
        <f>IF($Z$1=I60,"DIASOL", "DIANOSOL")</f>
        <v>DIANOSOL</v>
      </c>
      <c r="AA60" s="98" t="s">
        <v>240</v>
      </c>
      <c r="AB60" s="98" t="s">
        <v>1500</v>
      </c>
      <c r="AC60" s="183" t="str">
        <f>IF(H60=$M$1,"SI","NO")</f>
        <v>NO</v>
      </c>
      <c r="AD60" s="183"/>
      <c r="AE60" s="182">
        <v>45161</v>
      </c>
      <c r="AF60" s="98" t="s">
        <v>2177</v>
      </c>
      <c r="AG60" s="180" t="str">
        <f>IF(COUNTIF(C60,"*preso*")&gt;0,"SI","NO")</f>
        <v>NO</v>
      </c>
      <c r="AH60" s="255">
        <f>NroOrden(N60)</f>
        <v>2</v>
      </c>
      <c r="AI60" s="180"/>
      <c r="AJ60" s="48" t="str">
        <f ca="1">IF(OR(Y60="NO",Y60="LIMBO"),"IMP","NOIMP")</f>
        <v>NOIMP</v>
      </c>
      <c r="AK60" s="5"/>
    </row>
    <row r="61" spans="1:37" ht="25.5">
      <c r="A61" s="221">
        <v>273</v>
      </c>
      <c r="B61" s="222" t="s">
        <v>1785</v>
      </c>
      <c r="C61" s="223"/>
      <c r="D61" s="221" t="s">
        <v>1786</v>
      </c>
      <c r="E61" s="221" t="s">
        <v>672</v>
      </c>
      <c r="F61" s="224">
        <v>45190</v>
      </c>
      <c r="G61" s="221"/>
      <c r="H61" s="221"/>
      <c r="I61" s="222">
        <v>45211</v>
      </c>
      <c r="J61" s="222" t="s">
        <v>282</v>
      </c>
      <c r="K61" s="221" t="s">
        <v>1674</v>
      </c>
      <c r="L61" s="257" t="s">
        <v>1658</v>
      </c>
      <c r="M61" s="222" t="s">
        <v>332</v>
      </c>
      <c r="N61" s="221" t="s">
        <v>353</v>
      </c>
      <c r="O61" s="221" t="s">
        <v>2281</v>
      </c>
      <c r="P61" s="221" t="s">
        <v>959</v>
      </c>
      <c r="Q61" s="221"/>
      <c r="R61" s="257"/>
      <c r="S61" s="221"/>
      <c r="T61" s="221"/>
      <c r="U61" s="221"/>
      <c r="V61" s="221" t="s">
        <v>339</v>
      </c>
      <c r="W61" s="221" t="s">
        <v>269</v>
      </c>
      <c r="X61" s="221" t="s">
        <v>111</v>
      </c>
      <c r="Y61" s="221" t="str">
        <f ca="1">IF(I61&lt;&gt;"",IF(I61&lt;=TODAY(),IF(OR(N61="REPROGRAMADA",N61="SUSPENDIDA",N61="EXCLUSION",N61="COLEGIADO"),"NO HECHA",IF(N61=" ","SINRESULTADO","SI")),"NO"),IF(N61="EXCLUSION","NO HECHA","LIMBO"))</f>
        <v>NO HECHA</v>
      </c>
      <c r="Z61" s="221" t="str">
        <f>IF($Z$1=I61,"DIASOL", "DIANOSOL")</f>
        <v>DIANOSOL</v>
      </c>
      <c r="AA61" s="221" t="s">
        <v>240</v>
      </c>
      <c r="AB61" s="221" t="s">
        <v>1787</v>
      </c>
      <c r="AC61" s="221" t="str">
        <f>IF(H61=$M$1,"SI","NO")</f>
        <v>NO</v>
      </c>
      <c r="AD61" s="221"/>
      <c r="AE61" s="224">
        <v>45190</v>
      </c>
      <c r="AF61" s="221" t="s">
        <v>2177</v>
      </c>
      <c r="AG61" s="221" t="str">
        <f>IF(COUNTIF(C61,"*preso*")&gt;0,"SI","NO")</f>
        <v>NO</v>
      </c>
      <c r="AH61" s="255">
        <f>NroOrden(N61)</f>
        <v>2</v>
      </c>
      <c r="AI61" s="221"/>
      <c r="AJ61" s="48" t="str">
        <f ca="1">IF(OR(Y61="NO",Y61="LIMBO"),"IMP","NOIMP")</f>
        <v>NOIMP</v>
      </c>
      <c r="AK61" s="5"/>
    </row>
    <row r="62" spans="1:37" ht="38.25">
      <c r="A62" s="180">
        <v>213</v>
      </c>
      <c r="B62" s="99" t="s">
        <v>1484</v>
      </c>
      <c r="C62" s="207"/>
      <c r="D62" s="98" t="s">
        <v>1485</v>
      </c>
      <c r="E62" s="98" t="s">
        <v>1486</v>
      </c>
      <c r="F62" s="180"/>
      <c r="G62" s="98"/>
      <c r="H62" s="98"/>
      <c r="I62" s="181">
        <v>45211</v>
      </c>
      <c r="J62" s="99" t="s">
        <v>1667</v>
      </c>
      <c r="K62" s="98" t="s">
        <v>1668</v>
      </c>
      <c r="L62" s="192" t="s">
        <v>1659</v>
      </c>
      <c r="M62" s="99" t="s">
        <v>332</v>
      </c>
      <c r="N62" s="98" t="s">
        <v>353</v>
      </c>
      <c r="O62" s="98" t="s">
        <v>2333</v>
      </c>
      <c r="P62" s="98" t="s">
        <v>2183</v>
      </c>
      <c r="Q62" s="180" t="s">
        <v>111</v>
      </c>
      <c r="R62" s="192"/>
      <c r="S62" s="98"/>
      <c r="T62" s="180"/>
      <c r="U62" s="180"/>
      <c r="V62" s="98" t="s">
        <v>1275</v>
      </c>
      <c r="W62" s="98" t="s">
        <v>116</v>
      </c>
      <c r="X62" s="98" t="s">
        <v>111</v>
      </c>
      <c r="Y62" s="162" t="str">
        <f ca="1">IF(I62&lt;&gt;"",IF(I62&lt;=TODAY(),IF(OR(N62="REPROGRAMADA",N62="SUSPENDIDA",N62="EXCLUSION",N62="COLEGIADO"),"NO HECHA",IF(N62=" ","SINRESULTADO","SI")),"NO"),IF(N62="EXCLUSION","NO HECHA","LIMBO"))</f>
        <v>NO HECHA</v>
      </c>
      <c r="Z62" s="98" t="str">
        <f>IF($Z$1=I62,"DIASOL", "DIANOSOL")</f>
        <v>DIANOSOL</v>
      </c>
      <c r="AA62" s="98" t="s">
        <v>240</v>
      </c>
      <c r="AB62" s="98" t="s">
        <v>1487</v>
      </c>
      <c r="AC62" s="183" t="str">
        <f>IF(H62=$M$1,"SI","NO")</f>
        <v>NO</v>
      </c>
      <c r="AD62" s="183"/>
      <c r="AE62" s="182">
        <v>45155</v>
      </c>
      <c r="AF62" s="98" t="s">
        <v>2182</v>
      </c>
      <c r="AG62" s="180" t="str">
        <f>IF(COUNTIF(C62,"*preso*")&gt;0,"SI","NO")</f>
        <v>NO</v>
      </c>
      <c r="AH62" s="255">
        <f>NroOrden(N62)</f>
        <v>2</v>
      </c>
      <c r="AI62" s="180"/>
      <c r="AJ62" s="270" t="str">
        <f ca="1">IF(OR(Y62="NO",Y62="LIMBO"),"IMP","NOIMP")</f>
        <v>NOIMP</v>
      </c>
      <c r="AK62" s="5"/>
    </row>
    <row r="63" spans="1:37" ht="85.5" customHeight="1">
      <c r="A63" s="221">
        <v>221</v>
      </c>
      <c r="B63" s="222" t="s">
        <v>1546</v>
      </c>
      <c r="C63" s="223"/>
      <c r="D63" s="221" t="s">
        <v>1547</v>
      </c>
      <c r="E63" s="221" t="s">
        <v>1548</v>
      </c>
      <c r="F63" s="221" t="s">
        <v>1550</v>
      </c>
      <c r="G63" s="221"/>
      <c r="H63" s="221"/>
      <c r="I63" s="222">
        <v>45216</v>
      </c>
      <c r="J63" s="222" t="s">
        <v>282</v>
      </c>
      <c r="K63" s="221" t="s">
        <v>363</v>
      </c>
      <c r="L63" s="192" t="s">
        <v>1658</v>
      </c>
      <c r="M63" s="222" t="s">
        <v>328</v>
      </c>
      <c r="N63" s="221" t="s">
        <v>353</v>
      </c>
      <c r="O63" s="221" t="s">
        <v>2281</v>
      </c>
      <c r="P63" s="221" t="s">
        <v>2158</v>
      </c>
      <c r="Q63" s="221" t="s">
        <v>111</v>
      </c>
      <c r="R63" s="257"/>
      <c r="S63" s="221"/>
      <c r="T63" s="221"/>
      <c r="U63" s="221"/>
      <c r="V63" s="221" t="s">
        <v>184</v>
      </c>
      <c r="W63" s="221" t="s">
        <v>133</v>
      </c>
      <c r="X63" s="221" t="s">
        <v>111</v>
      </c>
      <c r="Y63" s="221" t="str">
        <f ca="1">IF(I63&lt;&gt;"",IF(I63&lt;=TODAY(),IF(OR(N63="REPROGRAMADA",N63="SUSPENDIDA",N63="EXCLUSION",N63="COLEGIADO"),"NO HECHA",IF(N63=" ","SINRESULTADO","SI")),"NO"),IF(N63="EXCLUSION","NO HECHA","LIMBO"))</f>
        <v>NO HECHA</v>
      </c>
      <c r="Z63" s="221" t="str">
        <f>IF($Z$1=I63,"DIASOL", "DIANOSOL")</f>
        <v>DIANOSOL</v>
      </c>
      <c r="AA63" s="221" t="s">
        <v>240</v>
      </c>
      <c r="AB63" s="221" t="s">
        <v>1549</v>
      </c>
      <c r="AC63" s="221" t="str">
        <f>IF(H63=$M$1,"SI","NO")</f>
        <v>NO</v>
      </c>
      <c r="AD63" s="221"/>
      <c r="AE63" s="224">
        <v>45163</v>
      </c>
      <c r="AF63" s="221"/>
      <c r="AG63" s="221" t="str">
        <f>IF(COUNTIF(C63,"*preso*")&gt;0,"SI","NO")</f>
        <v>NO</v>
      </c>
      <c r="AH63" s="255">
        <f>NroOrden(N63)</f>
        <v>2</v>
      </c>
      <c r="AI63" s="221"/>
      <c r="AJ63" s="270" t="str">
        <f ca="1">IF(OR(Y63="NO",Y63="LIMBO"),"IMP","NOIMP")</f>
        <v>NOIMP</v>
      </c>
      <c r="AK63" s="5"/>
    </row>
    <row r="64" spans="1:37" ht="25.5">
      <c r="A64" s="221">
        <v>267</v>
      </c>
      <c r="B64" s="222" t="s">
        <v>1872</v>
      </c>
      <c r="C64" s="223"/>
      <c r="D64" s="221" t="s">
        <v>1765</v>
      </c>
      <c r="E64" s="221" t="s">
        <v>1766</v>
      </c>
      <c r="F64" s="224">
        <v>45189</v>
      </c>
      <c r="G64" s="221"/>
      <c r="H64" s="221"/>
      <c r="I64" s="222">
        <v>45218</v>
      </c>
      <c r="J64" s="222" t="s">
        <v>282</v>
      </c>
      <c r="K64" s="221" t="s">
        <v>362</v>
      </c>
      <c r="L64" s="257" t="s">
        <v>1659</v>
      </c>
      <c r="M64" s="222" t="s">
        <v>330</v>
      </c>
      <c r="N64" s="221" t="s">
        <v>353</v>
      </c>
      <c r="O64" s="221" t="s">
        <v>2281</v>
      </c>
      <c r="P64" s="221" t="s">
        <v>2187</v>
      </c>
      <c r="Q64" s="221"/>
      <c r="R64" s="257"/>
      <c r="S64" s="221"/>
      <c r="T64" s="221"/>
      <c r="U64" s="221"/>
      <c r="V64" s="221" t="s">
        <v>345</v>
      </c>
      <c r="W64" s="221" t="s">
        <v>132</v>
      </c>
      <c r="X64" s="221" t="s">
        <v>111</v>
      </c>
      <c r="Y64" s="221" t="str">
        <f ca="1">IF(I64&lt;&gt;"",IF(I64&lt;=TODAY(),IF(OR(N64="REPROGRAMADA",N64="SUSPENDIDA",N64="EXCLUSION",N64="COLEGIADO"),"NO HECHA",IF(N64=" ","SINRESULTADO","SI")),"NO"),IF(N64="EXCLUSION","NO HECHA","LIMBO"))</f>
        <v>NO HECHA</v>
      </c>
      <c r="Z64" s="221" t="str">
        <f>IF($Z$1=I64,"DIASOL", "DIANOSOL")</f>
        <v>DIANOSOL</v>
      </c>
      <c r="AA64" s="221" t="s">
        <v>240</v>
      </c>
      <c r="AB64" s="221" t="s">
        <v>1767</v>
      </c>
      <c r="AC64" s="221" t="str">
        <f>IF(H64=$M$1,"SI","NO")</f>
        <v>NO</v>
      </c>
      <c r="AD64" s="221"/>
      <c r="AE64" s="224">
        <v>45177</v>
      </c>
      <c r="AF64" s="221"/>
      <c r="AG64" s="221" t="str">
        <f>IF(COUNTIF(C64,"*preso*")&gt;0,"SI","NO")</f>
        <v>NO</v>
      </c>
      <c r="AH64" s="255">
        <f>NroOrden(N64)</f>
        <v>2</v>
      </c>
      <c r="AI64" s="221"/>
      <c r="AJ64" s="270" t="str">
        <f ca="1">IF(OR(Y64="NO",Y64="LIMBO"),"IMP","NOIMP")</f>
        <v>NOIMP</v>
      </c>
      <c r="AK64" s="5"/>
    </row>
    <row r="65" spans="1:37" ht="78" customHeight="1">
      <c r="A65" s="221">
        <v>269</v>
      </c>
      <c r="B65" s="222" t="s">
        <v>1772</v>
      </c>
      <c r="C65" s="223"/>
      <c r="D65" s="221" t="s">
        <v>1773</v>
      </c>
      <c r="E65" s="221" t="s">
        <v>1774</v>
      </c>
      <c r="F65" s="224">
        <v>45188</v>
      </c>
      <c r="G65" s="221"/>
      <c r="H65" s="221"/>
      <c r="I65" s="222">
        <v>45218</v>
      </c>
      <c r="J65" s="222" t="s">
        <v>1181</v>
      </c>
      <c r="K65" s="221" t="s">
        <v>362</v>
      </c>
      <c r="L65" s="257" t="s">
        <v>1658</v>
      </c>
      <c r="M65" s="222" t="s">
        <v>330</v>
      </c>
      <c r="N65" s="221" t="s">
        <v>353</v>
      </c>
      <c r="O65" s="221" t="s">
        <v>2281</v>
      </c>
      <c r="P65" s="221" t="s">
        <v>2188</v>
      </c>
      <c r="Q65" s="221"/>
      <c r="R65" s="257"/>
      <c r="S65" s="221"/>
      <c r="T65" s="221"/>
      <c r="U65" s="221"/>
      <c r="V65" s="221" t="s">
        <v>100</v>
      </c>
      <c r="W65" s="221" t="s">
        <v>535</v>
      </c>
      <c r="X65" s="221" t="s">
        <v>111</v>
      </c>
      <c r="Y65" s="194" t="str">
        <f ca="1">IF(I65&lt;&gt;"",IF(I65&lt;=TODAY(),IF(OR(N65="REPROGRAMADA",N65="SUSPENDIDA",N65="EXCLUSION",N65="COLEGIADO"),"NO HECHA",IF(N65=" ","SINRESULTADO","SI")),"NO"),IF(N65="EXCLUSION","NO HECHA","LIMBO"))</f>
        <v>NO HECHA</v>
      </c>
      <c r="Z65" s="194" t="str">
        <f>IF($Z$1=I65,"DIASOL", "DIANOSOL")</f>
        <v>DIANOSOL</v>
      </c>
      <c r="AA65" s="221" t="s">
        <v>240</v>
      </c>
      <c r="AB65" s="221" t="s">
        <v>1751</v>
      </c>
      <c r="AC65" s="194" t="str">
        <f>IF(H65=$M$1,"SI","NO")</f>
        <v>NO</v>
      </c>
      <c r="AD65" s="194"/>
      <c r="AE65" s="224">
        <v>45188</v>
      </c>
      <c r="AF65" s="221"/>
      <c r="AG65" s="194" t="str">
        <f>IF(COUNTIF(C65,"*preso*")&gt;0,"SI","NO")</f>
        <v>NO</v>
      </c>
      <c r="AH65" s="244">
        <f>NroOrden(N65)</f>
        <v>2</v>
      </c>
      <c r="AI65" s="221" t="s">
        <v>2175</v>
      </c>
      <c r="AJ65" s="48" t="str">
        <f ca="1">IF(OR(Y65="NO",Y65="LIMBO"),"IMP","NOIMP")</f>
        <v>NOIMP</v>
      </c>
      <c r="AK65" s="5"/>
    </row>
    <row r="66" spans="1:37" ht="102">
      <c r="A66" s="221">
        <v>250</v>
      </c>
      <c r="B66" s="222" t="s">
        <v>1697</v>
      </c>
      <c r="C66" s="223"/>
      <c r="D66" s="221" t="s">
        <v>1699</v>
      </c>
      <c r="E66" s="221" t="s">
        <v>1698</v>
      </c>
      <c r="F66" s="224">
        <v>45176</v>
      </c>
      <c r="G66" s="221"/>
      <c r="H66" s="221" t="s">
        <v>1671</v>
      </c>
      <c r="I66" s="222">
        <v>45223</v>
      </c>
      <c r="J66" s="222" t="s">
        <v>396</v>
      </c>
      <c r="K66" s="221" t="s">
        <v>1674</v>
      </c>
      <c r="L66" s="257" t="s">
        <v>1658</v>
      </c>
      <c r="M66" s="222" t="s">
        <v>331</v>
      </c>
      <c r="N66" s="221" t="s">
        <v>353</v>
      </c>
      <c r="O66" s="221" t="s">
        <v>2334</v>
      </c>
      <c r="P66" s="221" t="s">
        <v>2647</v>
      </c>
      <c r="Q66" s="221"/>
      <c r="R66" s="257"/>
      <c r="S66" s="221"/>
      <c r="T66" s="221"/>
      <c r="U66" s="221"/>
      <c r="V66" s="221" t="s">
        <v>337</v>
      </c>
      <c r="W66" s="221" t="s">
        <v>111</v>
      </c>
      <c r="X66" s="221" t="s">
        <v>111</v>
      </c>
      <c r="Y66" s="221" t="str">
        <f ca="1">IF(I66&lt;&gt;"",IF(I66&lt;=TODAY(),IF(OR(N66="REPROGRAMADA",N66="SUSPENDIDA",N66="EXCLUSION",N66="COLEGIADO"),"NO HECHA",IF(N66=" ","SINRESULTADO","SI")),"NO"),IF(N66="EXCLUSION","NO HECHA","LIMBO"))</f>
        <v>NO HECHA</v>
      </c>
      <c r="Z66" s="221" t="str">
        <f>IF($Z$1=I66,"DIASOL", "DIANOSOL")</f>
        <v>DIANOSOL</v>
      </c>
      <c r="AA66" s="221" t="s">
        <v>240</v>
      </c>
      <c r="AB66" s="221" t="s">
        <v>1700</v>
      </c>
      <c r="AC66" s="221" t="str">
        <f>IF(H66=$M$1,"SI","NO")</f>
        <v>NO</v>
      </c>
      <c r="AD66" s="221"/>
      <c r="AE66" s="224">
        <v>45167</v>
      </c>
      <c r="AF66" s="221"/>
      <c r="AG66" s="221" t="str">
        <f>IF(COUNTIF(C66,"*preso*")&gt;0,"SI","NO")</f>
        <v>NO</v>
      </c>
      <c r="AH66" s="255">
        <f>NroOrden(N66)</f>
        <v>2</v>
      </c>
      <c r="AI66" s="221"/>
      <c r="AJ66" s="270" t="str">
        <f ca="1">IF(OR(Y66="NO",Y66="LIMBO"),"IMP","NOIMP")</f>
        <v>NOIMP</v>
      </c>
      <c r="AK66" s="5"/>
    </row>
    <row r="67" spans="1:37" ht="51">
      <c r="A67" s="221">
        <v>295</v>
      </c>
      <c r="B67" s="222" t="s">
        <v>1885</v>
      </c>
      <c r="C67" s="223" t="s">
        <v>1472</v>
      </c>
      <c r="D67" s="221" t="s">
        <v>1886</v>
      </c>
      <c r="E67" s="221" t="s">
        <v>1887</v>
      </c>
      <c r="F67" s="224">
        <v>45194</v>
      </c>
      <c r="G67" s="221"/>
      <c r="H67" s="221"/>
      <c r="I67" s="222">
        <v>45224</v>
      </c>
      <c r="J67" s="222" t="s">
        <v>396</v>
      </c>
      <c r="K67" s="221" t="s">
        <v>1827</v>
      </c>
      <c r="L67" s="257" t="s">
        <v>1659</v>
      </c>
      <c r="M67" s="222" t="s">
        <v>1750</v>
      </c>
      <c r="N67" s="221" t="s">
        <v>353</v>
      </c>
      <c r="O67" s="221" t="s">
        <v>2337</v>
      </c>
      <c r="P67" s="221" t="s">
        <v>2299</v>
      </c>
      <c r="Q67" s="221"/>
      <c r="R67" s="257"/>
      <c r="S67" s="221" t="s">
        <v>1888</v>
      </c>
      <c r="T67" s="221" t="s">
        <v>1889</v>
      </c>
      <c r="U67" s="221" t="s">
        <v>1890</v>
      </c>
      <c r="V67" s="221" t="s">
        <v>186</v>
      </c>
      <c r="W67" s="221" t="s">
        <v>1459</v>
      </c>
      <c r="X67" s="221" t="s">
        <v>111</v>
      </c>
      <c r="Y67" s="221" t="str">
        <f ca="1">IF(I67&lt;&gt;"",IF(I67&lt;=TODAY(),IF(OR(N67="REPROGRAMADA",N67="SUSPENDIDA",N67="EXCLUSION",N67="COLEGIADO"),"NO HECHA",IF(N67=" ","SINRESULTADO","SI")),"NO"),IF(N67="EXCLUSION","NO HECHA","LIMBO"))</f>
        <v>NO HECHA</v>
      </c>
      <c r="Z67" s="221" t="str">
        <f>IF($Z$1=I67,"DIASOL", "DIANOSOL")</f>
        <v>DIANOSOL</v>
      </c>
      <c r="AA67" s="221" t="s">
        <v>240</v>
      </c>
      <c r="AB67" s="221" t="s">
        <v>1891</v>
      </c>
      <c r="AC67" s="221" t="str">
        <f>IF(H67=$M$1,"SI","NO")</f>
        <v>NO</v>
      </c>
      <c r="AD67" s="221"/>
      <c r="AE67" s="221"/>
      <c r="AF67" s="221"/>
      <c r="AG67" s="221" t="str">
        <f>IF(COUNTIF(C67,"*preso*")&gt;0,"SI","NO")</f>
        <v>SI</v>
      </c>
      <c r="AH67" s="255">
        <f>NroOrden(N67)</f>
        <v>2</v>
      </c>
      <c r="AI67" s="221"/>
      <c r="AJ67" s="270" t="str">
        <f ca="1">IF(OR(Y67="NO",Y67="LIMBO"),"IMP","NOIMP")</f>
        <v>NOIMP</v>
      </c>
      <c r="AK67" s="5"/>
    </row>
    <row r="68" spans="1:37" ht="25.5">
      <c r="A68" s="180">
        <v>188</v>
      </c>
      <c r="B68" s="99" t="s">
        <v>1358</v>
      </c>
      <c r="C68" s="207"/>
      <c r="D68" s="180" t="s">
        <v>1359</v>
      </c>
      <c r="E68" s="98" t="s">
        <v>1360</v>
      </c>
      <c r="F68" s="182">
        <v>45141</v>
      </c>
      <c r="G68" s="98"/>
      <c r="H68" s="98" t="s">
        <v>1638</v>
      </c>
      <c r="I68" s="181">
        <v>45225</v>
      </c>
      <c r="J68" s="99" t="s">
        <v>282</v>
      </c>
      <c r="K68" s="98" t="s">
        <v>1826</v>
      </c>
      <c r="L68" s="192" t="s">
        <v>1659</v>
      </c>
      <c r="M68" s="99" t="s">
        <v>330</v>
      </c>
      <c r="N68" s="98" t="s">
        <v>353</v>
      </c>
      <c r="O68" s="98" t="s">
        <v>2281</v>
      </c>
      <c r="P68" s="98" t="s">
        <v>2297</v>
      </c>
      <c r="Q68" s="98" t="s">
        <v>111</v>
      </c>
      <c r="R68" s="192"/>
      <c r="S68" s="98"/>
      <c r="T68" s="180"/>
      <c r="U68" s="180"/>
      <c r="V68" s="98" t="s">
        <v>339</v>
      </c>
      <c r="W68" s="98" t="s">
        <v>141</v>
      </c>
      <c r="X68" s="98" t="s">
        <v>111</v>
      </c>
      <c r="Y68" s="162" t="str">
        <f ca="1">IF(I68&lt;&gt;"",IF(I68&lt;=TODAY(),IF(OR(N68="REPROGRAMADA",N68="SUSPENDIDA",N68="EXCLUSION",N68="COLEGIADO"),"NO HECHA",IF(N68=" ","SINRESULTADO","SI")),"NO"),IF(N68="EXCLUSION","NO HECHA","LIMBO"))</f>
        <v>NO HECHA</v>
      </c>
      <c r="Z68" s="98" t="str">
        <f>IF($Z$1=I68,"DIASOL", "DIANOSOL")</f>
        <v>DIANOSOL</v>
      </c>
      <c r="AA68" s="98" t="s">
        <v>240</v>
      </c>
      <c r="AB68" s="292" t="s">
        <v>1361</v>
      </c>
      <c r="AC68" s="98" t="str">
        <f>IF(H68=$M$1,"SI","NO")</f>
        <v>NO</v>
      </c>
      <c r="AD68" s="183"/>
      <c r="AE68" s="180"/>
      <c r="AF68" s="180"/>
      <c r="AG68" s="98" t="str">
        <f>IF(COUNTIF(C68,"*preso*")&gt;0,"SI","NO")</f>
        <v>NO</v>
      </c>
      <c r="AH68" s="255">
        <f>NroOrden(N68)</f>
        <v>2</v>
      </c>
      <c r="AI68" s="180"/>
      <c r="AJ68" s="270" t="str">
        <f ca="1">IF(OR(Y68="NO",Y68="LIMBO"),"IMP","NOIMP")</f>
        <v>NOIMP</v>
      </c>
      <c r="AK68" s="5"/>
    </row>
    <row r="69" spans="1:37" ht="25.5">
      <c r="A69" s="221">
        <v>234</v>
      </c>
      <c r="B69" s="222" t="s">
        <v>1611</v>
      </c>
      <c r="C69" s="223"/>
      <c r="D69" s="221" t="s">
        <v>1612</v>
      </c>
      <c r="E69" s="221" t="s">
        <v>885</v>
      </c>
      <c r="F69" s="224">
        <v>45173</v>
      </c>
      <c r="G69" s="221"/>
      <c r="H69" s="221"/>
      <c r="I69" s="222">
        <v>45226</v>
      </c>
      <c r="J69" s="222" t="s">
        <v>309</v>
      </c>
      <c r="K69" s="221" t="s">
        <v>1674</v>
      </c>
      <c r="L69" s="192" t="s">
        <v>1658</v>
      </c>
      <c r="M69" s="222" t="s">
        <v>332</v>
      </c>
      <c r="N69" s="221" t="s">
        <v>353</v>
      </c>
      <c r="O69" s="221" t="s">
        <v>2281</v>
      </c>
      <c r="P69" s="221"/>
      <c r="Q69" s="221" t="s">
        <v>111</v>
      </c>
      <c r="R69" s="257"/>
      <c r="S69" s="221"/>
      <c r="T69" s="221"/>
      <c r="U69" s="221"/>
      <c r="V69" s="221" t="s">
        <v>191</v>
      </c>
      <c r="W69" s="221" t="s">
        <v>169</v>
      </c>
      <c r="X69" s="221" t="s">
        <v>111</v>
      </c>
      <c r="Y69" s="221" t="str">
        <f ca="1">IF(I69&lt;&gt;"",IF(I69&lt;=TODAY(),IF(OR(N69="REPROGRAMADA",N69="SUSPENDIDA",N69="EXCLUSION",N69="COLEGIADO"),"NO HECHA",IF(N69=" ","SINRESULTADO","SI")),"NO"),IF(N69="EXCLUSION","NO HECHA","LIMBO"))</f>
        <v>NO HECHA</v>
      </c>
      <c r="Z69" s="221" t="str">
        <f>IF($Z$1=I69,"DIASOL", "DIANOSOL")</f>
        <v>DIANOSOL</v>
      </c>
      <c r="AA69" s="221" t="s">
        <v>240</v>
      </c>
      <c r="AB69" s="221" t="s">
        <v>1613</v>
      </c>
      <c r="AC69" s="221" t="str">
        <f>IF(H69=$M$1,"SI","NO")</f>
        <v>NO</v>
      </c>
      <c r="AD69" s="221"/>
      <c r="AE69" s="224">
        <v>45170</v>
      </c>
      <c r="AF69" s="221"/>
      <c r="AG69" s="221" t="str">
        <f>IF(COUNTIF(C69,"*preso*")&gt;0,"SI","NO")</f>
        <v>NO</v>
      </c>
      <c r="AH69" s="255">
        <f>NroOrden(N69)</f>
        <v>2</v>
      </c>
      <c r="AI69" s="221"/>
      <c r="AJ69" s="270" t="str">
        <f ca="1">IF(OR(Y69="NO",Y69="LIMBO"),"IMP","NOIMP")</f>
        <v>NOIMP</v>
      </c>
      <c r="AK69" s="5"/>
    </row>
    <row r="70" spans="1:37" ht="67.5" customHeight="1">
      <c r="A70" s="221">
        <v>271</v>
      </c>
      <c r="B70" s="222" t="s">
        <v>1779</v>
      </c>
      <c r="C70" s="223"/>
      <c r="D70" s="221" t="s">
        <v>1778</v>
      </c>
      <c r="E70" s="221" t="s">
        <v>1780</v>
      </c>
      <c r="F70" s="224">
        <v>45181</v>
      </c>
      <c r="G70" s="221"/>
      <c r="H70" s="221"/>
      <c r="I70" s="222">
        <v>45229</v>
      </c>
      <c r="J70" s="222" t="s">
        <v>1181</v>
      </c>
      <c r="K70" s="221" t="s">
        <v>1827</v>
      </c>
      <c r="L70" s="257" t="s">
        <v>1658</v>
      </c>
      <c r="M70" s="222" t="s">
        <v>332</v>
      </c>
      <c r="N70" s="221" t="s">
        <v>353</v>
      </c>
      <c r="O70" s="221" t="s">
        <v>2281</v>
      </c>
      <c r="P70" s="221"/>
      <c r="Q70" s="221"/>
      <c r="R70" s="257"/>
      <c r="S70" s="221"/>
      <c r="T70" s="221"/>
      <c r="U70" s="221"/>
      <c r="V70" s="221" t="s">
        <v>343</v>
      </c>
      <c r="W70" s="221" t="s">
        <v>1252</v>
      </c>
      <c r="X70" s="221" t="s">
        <v>111</v>
      </c>
      <c r="Y70" s="221" t="str">
        <f ca="1">IF(I70&lt;&gt;"",IF(I70&lt;=TODAY(),IF(OR(N70="REPROGRAMADA",N70="SUSPENDIDA",N70="EXCLUSION",N70="COLEGIADO"),"NO HECHA",IF(N70=" ","SINRESULTADO","SI")),"NO"),IF(N70="EXCLUSION","NO HECHA","LIMBO"))</f>
        <v>NO HECHA</v>
      </c>
      <c r="Z70" s="221" t="str">
        <f>IF($Z$1=I70,"DIASOL", "DIANOSOL")</f>
        <v>DIANOSOL</v>
      </c>
      <c r="AA70" s="221" t="s">
        <v>240</v>
      </c>
      <c r="AB70" s="221" t="s">
        <v>1781</v>
      </c>
      <c r="AC70" s="221" t="str">
        <f>IF(H70=$M$1,"SI","NO")</f>
        <v>NO</v>
      </c>
      <c r="AD70" s="221"/>
      <c r="AE70" s="224">
        <v>45174</v>
      </c>
      <c r="AF70" s="221"/>
      <c r="AG70" s="221" t="str">
        <f>IF(COUNTIF(C70,"*preso*")&gt;0,"SI","NO")</f>
        <v>NO</v>
      </c>
      <c r="AH70" s="255">
        <f>NroOrden(N70)</f>
        <v>2</v>
      </c>
      <c r="AI70" s="221"/>
      <c r="AJ70" s="270" t="str">
        <f ca="1">IF(OR(Y70="NO",Y70="LIMBO"),"IMP","NOIMP")</f>
        <v>NOIMP</v>
      </c>
      <c r="AK70" s="5"/>
    </row>
    <row r="71" spans="1:37" ht="38.25">
      <c r="A71" s="221">
        <v>315</v>
      </c>
      <c r="B71" s="222" t="s">
        <v>1968</v>
      </c>
      <c r="C71" s="223"/>
      <c r="D71" s="221" t="s">
        <v>1970</v>
      </c>
      <c r="E71" s="221" t="s">
        <v>1973</v>
      </c>
      <c r="F71" s="224">
        <v>45202</v>
      </c>
      <c r="G71" s="221"/>
      <c r="H71" s="221"/>
      <c r="I71" s="222">
        <v>45229</v>
      </c>
      <c r="J71" s="222" t="s">
        <v>396</v>
      </c>
      <c r="K71" s="221" t="s">
        <v>2130</v>
      </c>
      <c r="L71" s="257" t="s">
        <v>1658</v>
      </c>
      <c r="M71" s="222" t="s">
        <v>1807</v>
      </c>
      <c r="N71" s="221" t="s">
        <v>353</v>
      </c>
      <c r="O71" s="221" t="s">
        <v>2338</v>
      </c>
      <c r="P71" s="221" t="s">
        <v>2329</v>
      </c>
      <c r="Q71" s="221"/>
      <c r="R71" s="257"/>
      <c r="S71" s="221"/>
      <c r="T71" s="221"/>
      <c r="U71" s="221"/>
      <c r="V71" s="221" t="s">
        <v>192</v>
      </c>
      <c r="W71" s="221" t="s">
        <v>111</v>
      </c>
      <c r="X71" s="221" t="s">
        <v>111</v>
      </c>
      <c r="Y71" s="221" t="str">
        <f ca="1">IF(I71&lt;&gt;"",IF(I71&lt;=TODAY(),IF(OR(N71="REPROGRAMADA",N71="SUSPENDIDA",N71="EXCLUSION",N71="COLEGIADO"),"NO HECHA",IF(N71=" ","SINRESULTADO","SI")),"NO"),IF(N71="EXCLUSION","NO HECHA","LIMBO"))</f>
        <v>NO HECHA</v>
      </c>
      <c r="Z71" s="221" t="str">
        <f>IF($Z$1=I71,"DIASOL", "DIANOSOL")</f>
        <v>DIANOSOL</v>
      </c>
      <c r="AA71" s="221" t="s">
        <v>240</v>
      </c>
      <c r="AB71" s="221" t="s">
        <v>1974</v>
      </c>
      <c r="AC71" s="221" t="str">
        <f>IF(H71=$M$1,"SI","NO")</f>
        <v>NO</v>
      </c>
      <c r="AD71" s="221"/>
      <c r="AE71" s="224">
        <v>45202</v>
      </c>
      <c r="AF71" s="221"/>
      <c r="AG71" s="221" t="str">
        <f>IF(COUNTIF(C71,"*preso*")&gt;0,"SI","NO")</f>
        <v>NO</v>
      </c>
      <c r="AH71" s="255">
        <f>NroOrden(N71)</f>
        <v>2</v>
      </c>
      <c r="AI71" s="221"/>
      <c r="AJ71" s="270" t="str">
        <f ca="1">IF(OR(Y71="NO",Y71="LIMBO"),"IMP","NOIMP")</f>
        <v>NOIMP</v>
      </c>
      <c r="AK71" s="5"/>
    </row>
    <row r="72" spans="1:37" ht="38.25">
      <c r="A72" s="221">
        <v>222</v>
      </c>
      <c r="B72" s="222" t="s">
        <v>1551</v>
      </c>
      <c r="C72" s="223"/>
      <c r="D72" s="221" t="s">
        <v>1552</v>
      </c>
      <c r="E72" s="221" t="s">
        <v>1553</v>
      </c>
      <c r="F72" s="224">
        <v>45169</v>
      </c>
      <c r="G72" s="221"/>
      <c r="H72" s="221" t="s">
        <v>1641</v>
      </c>
      <c r="I72" s="222">
        <v>45231</v>
      </c>
      <c r="J72" s="222" t="s">
        <v>960</v>
      </c>
      <c r="K72" s="221" t="s">
        <v>1674</v>
      </c>
      <c r="L72" s="192" t="s">
        <v>1658</v>
      </c>
      <c r="M72" s="222" t="s">
        <v>331</v>
      </c>
      <c r="N72" s="221" t="s">
        <v>353</v>
      </c>
      <c r="O72" s="274"/>
      <c r="P72" s="221"/>
      <c r="Q72" s="221" t="s">
        <v>111</v>
      </c>
      <c r="R72" s="257"/>
      <c r="S72" s="221"/>
      <c r="T72" s="221"/>
      <c r="U72" s="221"/>
      <c r="V72" s="221" t="s">
        <v>343</v>
      </c>
      <c r="W72" s="221" t="s">
        <v>269</v>
      </c>
      <c r="X72" s="221" t="s">
        <v>111</v>
      </c>
      <c r="Y72" s="221" t="str">
        <f ca="1">IF(I72&lt;&gt;"",IF(I72&lt;=TODAY(),IF(OR(N72="REPROGRAMADA",N72="SUSPENDIDA",N72="EXCLUSION",N72="COLEGIADO"),"NO HECHA",IF(N72=" ","SINRESULTADO","SI")),"NO"),IF(N72="EXCLUSION","NO HECHA","LIMBO"))</f>
        <v>NO HECHA</v>
      </c>
      <c r="Z72" s="221" t="str">
        <f>IF($Z$1=I72,"DIASOL", "DIANOSOL")</f>
        <v>DIANOSOL</v>
      </c>
      <c r="AA72" s="221" t="s">
        <v>240</v>
      </c>
      <c r="AB72" s="221" t="s">
        <v>1554</v>
      </c>
      <c r="AC72" s="221" t="str">
        <f>IF(H72=$M$1,"SI","NO")</f>
        <v>NO</v>
      </c>
      <c r="AD72" s="221"/>
      <c r="AE72" s="224">
        <v>45167</v>
      </c>
      <c r="AF72" s="221"/>
      <c r="AG72" s="221" t="str">
        <f>IF(COUNTIF(C72,"*preso*")&gt;0,"SI","NO")</f>
        <v>NO</v>
      </c>
      <c r="AH72" s="255">
        <f>NroOrden(N72)</f>
        <v>2</v>
      </c>
      <c r="AI72" s="221"/>
      <c r="AJ72" s="270" t="str">
        <f ca="1">IF(OR(Y72="NO",Y72="LIMBO"),"IMP","NOIMP")</f>
        <v>NOIMP</v>
      </c>
      <c r="AK72" s="5"/>
    </row>
    <row r="73" spans="1:37" ht="147" customHeight="1">
      <c r="A73" s="221">
        <v>330</v>
      </c>
      <c r="B73" s="222" t="s">
        <v>2059</v>
      </c>
      <c r="C73" s="223"/>
      <c r="D73" s="221" t="s">
        <v>2060</v>
      </c>
      <c r="E73" s="221" t="s">
        <v>2061</v>
      </c>
      <c r="F73" s="224">
        <v>45208</v>
      </c>
      <c r="G73" s="221"/>
      <c r="H73" s="221"/>
      <c r="I73" s="222">
        <v>45237</v>
      </c>
      <c r="J73" s="222" t="s">
        <v>1181</v>
      </c>
      <c r="K73" s="221" t="s">
        <v>362</v>
      </c>
      <c r="L73" s="257" t="s">
        <v>1659</v>
      </c>
      <c r="M73" s="222" t="s">
        <v>328</v>
      </c>
      <c r="N73" s="221" t="s">
        <v>353</v>
      </c>
      <c r="O73" s="221" t="s">
        <v>2338</v>
      </c>
      <c r="P73" s="221" t="s">
        <v>2455</v>
      </c>
      <c r="Q73" s="221" t="s">
        <v>240</v>
      </c>
      <c r="R73" s="257"/>
      <c r="S73" s="221"/>
      <c r="T73" s="221"/>
      <c r="U73" s="221" t="s">
        <v>111</v>
      </c>
      <c r="V73" s="221" t="s">
        <v>184</v>
      </c>
      <c r="W73" s="221" t="s">
        <v>2063</v>
      </c>
      <c r="X73" s="221" t="s">
        <v>434</v>
      </c>
      <c r="Y73" s="221" t="str">
        <f ca="1">IF(I73&lt;&gt;"",IF(I73&lt;=TODAY(),IF(OR(N73="REPROGRAMADA",N73="SUSPENDIDA",N73="EXCLUSION",N73="COLEGIADO"),"NO HECHA",IF(N73=" ","SINRESULTADO","SI")),"NO"),IF(N73="EXCLUSION","NO HECHA","LIMBO"))</f>
        <v>NO HECHA</v>
      </c>
      <c r="Z73" s="221" t="str">
        <f>IF($Z$1=I73,"DIASOL", "DIANOSOL")</f>
        <v>DIANOSOL</v>
      </c>
      <c r="AA73" s="221"/>
      <c r="AB73" s="221" t="s">
        <v>2062</v>
      </c>
      <c r="AC73" s="221" t="str">
        <f>IF(H73=$M$1,"SI","NO")</f>
        <v>NO</v>
      </c>
      <c r="AD73" s="221"/>
      <c r="AE73" s="224">
        <v>45208</v>
      </c>
      <c r="AF73" s="221"/>
      <c r="AG73" s="221" t="str">
        <f>IF(COUNTIF(C73,"*preso*")&gt;0,"SI","NO")</f>
        <v>NO</v>
      </c>
      <c r="AH73" s="293">
        <f>NroOrden(N73)</f>
        <v>2</v>
      </c>
      <c r="AI73" s="221"/>
      <c r="AJ73" s="270" t="str">
        <f ca="1">IF(OR(Y73="NO",Y73="LIMBO"),"IMP","NOIMP")</f>
        <v>NOIMP</v>
      </c>
      <c r="AK73" s="5"/>
    </row>
    <row r="74" spans="1:37" ht="55.5" customHeight="1">
      <c r="A74" s="221">
        <v>320</v>
      </c>
      <c r="B74" s="222" t="s">
        <v>1995</v>
      </c>
      <c r="C74" s="223"/>
      <c r="D74" s="221" t="s">
        <v>1996</v>
      </c>
      <c r="E74" s="221" t="s">
        <v>1904</v>
      </c>
      <c r="F74" s="224">
        <v>45197</v>
      </c>
      <c r="G74" s="221"/>
      <c r="H74" s="221"/>
      <c r="I74" s="222">
        <v>45239</v>
      </c>
      <c r="J74" s="222" t="s">
        <v>1667</v>
      </c>
      <c r="K74" s="221" t="s">
        <v>362</v>
      </c>
      <c r="L74" s="257" t="s">
        <v>1658</v>
      </c>
      <c r="M74" s="222" t="s">
        <v>328</v>
      </c>
      <c r="N74" s="221" t="s">
        <v>353</v>
      </c>
      <c r="O74" s="221" t="s">
        <v>2335</v>
      </c>
      <c r="P74" s="221" t="s">
        <v>2582</v>
      </c>
      <c r="Q74" s="221"/>
      <c r="R74" s="257"/>
      <c r="S74" s="221"/>
      <c r="T74" s="221"/>
      <c r="U74" s="221"/>
      <c r="V74" s="221" t="s">
        <v>182</v>
      </c>
      <c r="W74" s="221" t="s">
        <v>119</v>
      </c>
      <c r="X74" s="221" t="s">
        <v>111</v>
      </c>
      <c r="Y74" s="221" t="str">
        <f ca="1">IF(I74&lt;&gt;"",IF(I74&lt;=TODAY(),IF(OR(N74="REPROGRAMADA",N74="SUSPENDIDA",N74="EXCLUSION",N74="COLEGIADO"),"NO HECHA",IF(N74=" ","SINRESULTADO","SI")),"NO"),IF(N74="EXCLUSION","NO HECHA","LIMBO"))</f>
        <v>NO HECHA</v>
      </c>
      <c r="Z74" s="221" t="str">
        <f>IF($Z$1=I74,"DIASOL", "DIANOSOL")</f>
        <v>DIANOSOL</v>
      </c>
      <c r="AA74" s="221" t="s">
        <v>240</v>
      </c>
      <c r="AB74" s="221" t="s">
        <v>1905</v>
      </c>
      <c r="AC74" s="221" t="str">
        <f>IF(H74=$M$1,"SI","NO")</f>
        <v>NO</v>
      </c>
      <c r="AD74" s="221"/>
      <c r="AE74" s="224">
        <v>44989</v>
      </c>
      <c r="AF74" s="221"/>
      <c r="AG74" s="221" t="str">
        <f>IF(COUNTIF(C74,"*preso*")&gt;0,"SI","NO")</f>
        <v>NO</v>
      </c>
      <c r="AH74" s="255">
        <f>NroOrden(N74)</f>
        <v>2</v>
      </c>
      <c r="AI74" s="221"/>
      <c r="AJ74" s="270" t="str">
        <f ca="1">IF(OR(Y74="NO",Y74="LIMBO"),"IMP","NOIMP")</f>
        <v>NOIMP</v>
      </c>
      <c r="AK74" s="5"/>
    </row>
    <row r="75" spans="1:37" ht="51">
      <c r="A75" s="221">
        <v>355</v>
      </c>
      <c r="B75" s="222" t="s">
        <v>1797</v>
      </c>
      <c r="C75" s="223"/>
      <c r="D75" s="221" t="s">
        <v>1798</v>
      </c>
      <c r="E75" s="221" t="s">
        <v>1799</v>
      </c>
      <c r="F75" s="221">
        <v>45194</v>
      </c>
      <c r="G75" s="221"/>
      <c r="H75" s="221" t="s">
        <v>1643</v>
      </c>
      <c r="I75" s="222">
        <v>45240</v>
      </c>
      <c r="J75" s="222" t="s">
        <v>1667</v>
      </c>
      <c r="K75" s="221" t="s">
        <v>1826</v>
      </c>
      <c r="L75" s="257" t="s">
        <v>1658</v>
      </c>
      <c r="M75" s="222" t="s">
        <v>1750</v>
      </c>
      <c r="N75" s="221" t="s">
        <v>353</v>
      </c>
      <c r="O75" s="221" t="s">
        <v>2332</v>
      </c>
      <c r="P75" s="221" t="s">
        <v>2583</v>
      </c>
      <c r="Q75" s="221" t="s">
        <v>240</v>
      </c>
      <c r="R75" s="257"/>
      <c r="S75" s="221"/>
      <c r="T75" s="221"/>
      <c r="U75" s="221"/>
      <c r="V75" s="221" t="s">
        <v>193</v>
      </c>
      <c r="W75" s="221" t="s">
        <v>141</v>
      </c>
      <c r="X75" s="221" t="s">
        <v>111</v>
      </c>
      <c r="Y75" s="221" t="str">
        <f ca="1">IF(I75&lt;&gt;"",IF(I75&lt;=TODAY(),IF(OR(N75="REPROGRAMADA",N75="SUSPENDIDA",N75="EXCLUSION",N75="COLEGIADO"),"NO HECHA",IF(N75=" ","SINRESULTADO","SI")),"NO"),IF(N75="EXCLUSION","NO HECHA","LIMBO"))</f>
        <v>NO HECHA</v>
      </c>
      <c r="Z75" s="221" t="str">
        <f>IF($Z$1=I75,"DIASOL", "DIANOSOL")</f>
        <v>DIANOSOL</v>
      </c>
      <c r="AA75" s="221" t="s">
        <v>240</v>
      </c>
      <c r="AB75" s="224"/>
      <c r="AC75" s="221" t="str">
        <f>IF(H75=$M$1,"SI","NO")</f>
        <v>SI</v>
      </c>
      <c r="AD75" s="221"/>
      <c r="AE75" s="221">
        <v>45194</v>
      </c>
      <c r="AF75" s="221"/>
      <c r="AG75" s="221" t="str">
        <f>IF(COUNTIF(C75,"*preso*")&gt;0,"SI","NO")</f>
        <v>NO</v>
      </c>
      <c r="AH75" s="293">
        <f>NroOrden(N75)</f>
        <v>2</v>
      </c>
      <c r="AI75" s="221" t="s">
        <v>2109</v>
      </c>
      <c r="AJ75" s="257" t="str">
        <f ca="1">IF(OR(Y75="NO",Y75="LIMBO"),"IMP","NOIMP")</f>
        <v>NOIMP</v>
      </c>
      <c r="AK75" s="5"/>
    </row>
    <row r="76" spans="1:37" ht="25.5">
      <c r="A76" s="221">
        <v>344</v>
      </c>
      <c r="B76" s="222" t="s">
        <v>2125</v>
      </c>
      <c r="C76" s="223"/>
      <c r="D76" s="221" t="s">
        <v>2126</v>
      </c>
      <c r="E76" s="221" t="s">
        <v>2127</v>
      </c>
      <c r="F76" s="224">
        <v>45204</v>
      </c>
      <c r="G76" s="221"/>
      <c r="H76" s="221" t="s">
        <v>1639</v>
      </c>
      <c r="I76" s="222">
        <v>45243</v>
      </c>
      <c r="J76" s="222" t="s">
        <v>282</v>
      </c>
      <c r="K76" s="221" t="s">
        <v>1938</v>
      </c>
      <c r="L76" s="257" t="s">
        <v>1658</v>
      </c>
      <c r="M76" s="222" t="s">
        <v>331</v>
      </c>
      <c r="N76" s="221" t="s">
        <v>353</v>
      </c>
      <c r="O76" s="221" t="s">
        <v>2332</v>
      </c>
      <c r="P76" s="221" t="s">
        <v>2585</v>
      </c>
      <c r="Q76" s="221" t="s">
        <v>240</v>
      </c>
      <c r="R76" s="257"/>
      <c r="S76" s="221"/>
      <c r="T76" s="221"/>
      <c r="U76" s="221"/>
      <c r="V76" s="221" t="s">
        <v>199</v>
      </c>
      <c r="W76" s="221" t="s">
        <v>169</v>
      </c>
      <c r="X76" s="221"/>
      <c r="Y76" s="221" t="str">
        <f ca="1">IF(I76&lt;&gt;"",IF(I76&lt;=TODAY(),IF(OR(N76="REPROGRAMADA",N76="SUSPENDIDA",N76="EXCLUSION",N76="COLEGIADO"),"NO HECHA",IF(N76=" ","SINRESULTADO","SI")),"NO"),IF(N76="EXCLUSION","NO HECHA","LIMBO"))</f>
        <v>NO HECHA</v>
      </c>
      <c r="Z76" s="221" t="str">
        <f>IF($Z$1=I76,"DIASOL", "DIANOSOL")</f>
        <v>DIANOSOL</v>
      </c>
      <c r="AA76" s="221"/>
      <c r="AB76" s="221" t="s">
        <v>2128</v>
      </c>
      <c r="AC76" s="221" t="str">
        <f>IF(H76=$M$1,"SI","NO")</f>
        <v>NO</v>
      </c>
      <c r="AD76" s="221"/>
      <c r="AE76" s="224">
        <v>45204</v>
      </c>
      <c r="AF76" s="221"/>
      <c r="AG76" s="221" t="str">
        <f>IF(COUNTIF(C76,"*preso*")&gt;0,"SI","NO")</f>
        <v>NO</v>
      </c>
      <c r="AH76" s="293">
        <f>NroOrden(N76)</f>
        <v>2</v>
      </c>
      <c r="AI76" s="221"/>
      <c r="AJ76" s="270" t="str">
        <f ca="1">IF(OR(Y76="NO",Y76="LIMBO"),"IMP","NOIMP")</f>
        <v>NOIMP</v>
      </c>
      <c r="AK76" s="5"/>
    </row>
    <row r="77" spans="1:37" ht="25.5">
      <c r="A77" s="180">
        <v>123</v>
      </c>
      <c r="B77" s="99" t="s">
        <v>1006</v>
      </c>
      <c r="C77" s="207"/>
      <c r="D77" s="180" t="s">
        <v>1007</v>
      </c>
      <c r="E77" s="98" t="s">
        <v>1008</v>
      </c>
      <c r="F77" s="182">
        <v>45110</v>
      </c>
      <c r="G77" s="98"/>
      <c r="H77" s="98" t="s">
        <v>1642</v>
      </c>
      <c r="I77" s="181">
        <v>45243</v>
      </c>
      <c r="J77" s="99" t="s">
        <v>309</v>
      </c>
      <c r="K77" s="180" t="s">
        <v>1674</v>
      </c>
      <c r="L77" s="192" t="s">
        <v>1659</v>
      </c>
      <c r="M77" s="99" t="s">
        <v>332</v>
      </c>
      <c r="N77" s="98" t="s">
        <v>353</v>
      </c>
      <c r="O77" s="98" t="s">
        <v>2335</v>
      </c>
      <c r="P77" s="98" t="s">
        <v>2586</v>
      </c>
      <c r="Q77" s="180" t="s">
        <v>111</v>
      </c>
      <c r="R77" s="192"/>
      <c r="S77" s="98"/>
      <c r="T77" s="180"/>
      <c r="U77" s="180"/>
      <c r="V77" s="98" t="s">
        <v>114</v>
      </c>
      <c r="W77" s="98" t="s">
        <v>119</v>
      </c>
      <c r="X77" s="98" t="s">
        <v>111</v>
      </c>
      <c r="Y77" s="162" t="str">
        <f ca="1">IF(I77&lt;&gt;"",IF(I77&lt;=TODAY(),IF(OR(N77="REPROGRAMADA",N77="SUSPENDIDA",N77="EXCLUSION",N77="COLEGIADO"),"NO HECHA",IF(N77=" ","SINRESULTADO","SI")),"NO"),IF(N77="EXCLUSION","NO HECHA","LIMBO"))</f>
        <v>NO HECHA</v>
      </c>
      <c r="Z77" s="98" t="str">
        <f>IF($Z$1=I77,"DIASOL", "DIANOSOL")</f>
        <v>DIANOSOL</v>
      </c>
      <c r="AA77" s="98" t="s">
        <v>240</v>
      </c>
      <c r="AB77" s="98" t="s">
        <v>1010</v>
      </c>
      <c r="AC77" s="183" t="str">
        <f>IF(H77=$M$1,"SI","NO")</f>
        <v>NO</v>
      </c>
      <c r="AD77" s="183"/>
      <c r="AE77" s="180"/>
      <c r="AF77" s="180"/>
      <c r="AG77" s="180" t="str">
        <f>IF(COUNTIF(C77,"*preso*")&gt;0,"SI","NO")</f>
        <v>NO</v>
      </c>
      <c r="AH77" s="255">
        <f>NroOrden(N77)</f>
        <v>2</v>
      </c>
      <c r="AI77" s="180"/>
      <c r="AJ77" s="270" t="str">
        <f ca="1">IF(OR(Y77="NO",Y77="LIMBO"),"IMP","NOIMP")</f>
        <v>NOIMP</v>
      </c>
      <c r="AK77" s="5"/>
    </row>
    <row r="78" spans="1:37" ht="25.5">
      <c r="A78" s="221">
        <v>289</v>
      </c>
      <c r="B78" s="222" t="s">
        <v>1858</v>
      </c>
      <c r="C78" s="223"/>
      <c r="D78" s="221" t="s">
        <v>1859</v>
      </c>
      <c r="E78" s="221" t="s">
        <v>1860</v>
      </c>
      <c r="F78" s="224">
        <v>45194</v>
      </c>
      <c r="G78" s="221"/>
      <c r="H78" s="221"/>
      <c r="I78" s="222">
        <v>45245</v>
      </c>
      <c r="J78" s="222" t="s">
        <v>282</v>
      </c>
      <c r="K78" s="221" t="s">
        <v>1674</v>
      </c>
      <c r="L78" s="257" t="s">
        <v>1659</v>
      </c>
      <c r="M78" s="222" t="s">
        <v>332</v>
      </c>
      <c r="N78" s="221" t="s">
        <v>353</v>
      </c>
      <c r="O78" s="221"/>
      <c r="P78" s="221" t="s">
        <v>2610</v>
      </c>
      <c r="Q78" s="221"/>
      <c r="R78" s="257"/>
      <c r="S78" s="221"/>
      <c r="T78" s="221"/>
      <c r="U78" s="221"/>
      <c r="V78" s="221" t="s">
        <v>111</v>
      </c>
      <c r="W78" s="221" t="s">
        <v>111</v>
      </c>
      <c r="X78" s="221" t="s">
        <v>111</v>
      </c>
      <c r="Y78" s="221" t="str">
        <f ca="1">IF(I78&lt;&gt;"",IF(I78&lt;=TODAY(),IF(OR(N78="REPROGRAMADA",N78="SUSPENDIDA",N78="EXCLUSION",N78="COLEGIADO"),"NO HECHA",IF(N78=" ","SINRESULTADO","SI")),"NO"),IF(N78="EXCLUSION","NO HECHA","LIMBO"))</f>
        <v>NO HECHA</v>
      </c>
      <c r="Z78" s="221" t="str">
        <f>IF($Z$1=I78,"DIASOL", "DIANOSOL")</f>
        <v>DIANOSOL</v>
      </c>
      <c r="AA78" s="221" t="s">
        <v>240</v>
      </c>
      <c r="AB78" s="221"/>
      <c r="AC78" s="221" t="str">
        <f>IF(H78=$M$1,"SI","NO")</f>
        <v>NO</v>
      </c>
      <c r="AD78" s="221"/>
      <c r="AE78" s="224">
        <v>45194</v>
      </c>
      <c r="AF78" s="221"/>
      <c r="AG78" s="221" t="str">
        <f>IF(COUNTIF(C78,"*preso*")&gt;0,"SI","NO")</f>
        <v>NO</v>
      </c>
      <c r="AH78" s="255">
        <f>NroOrden(N78)</f>
        <v>2</v>
      </c>
      <c r="AI78" s="221"/>
      <c r="AJ78" s="270" t="str">
        <f ca="1">IF(OR(Y78="NO",Y78="LIMBO"),"IMP","NOIMP")</f>
        <v>NOIMP</v>
      </c>
      <c r="AK78" s="5"/>
    </row>
    <row r="79" spans="1:37" ht="84" customHeight="1">
      <c r="A79" s="221">
        <v>303</v>
      </c>
      <c r="B79" s="222" t="s">
        <v>1914</v>
      </c>
      <c r="C79" s="223"/>
      <c r="D79" s="221" t="s">
        <v>1915</v>
      </c>
      <c r="E79" s="221" t="s">
        <v>1916</v>
      </c>
      <c r="F79" s="224">
        <v>45201</v>
      </c>
      <c r="G79" s="221"/>
      <c r="H79" s="221" t="s">
        <v>1642</v>
      </c>
      <c r="I79" s="222">
        <v>45245</v>
      </c>
      <c r="J79" s="222" t="s">
        <v>396</v>
      </c>
      <c r="K79" s="221" t="s">
        <v>1827</v>
      </c>
      <c r="L79" s="257" t="s">
        <v>1659</v>
      </c>
      <c r="M79" s="222" t="s">
        <v>1805</v>
      </c>
      <c r="N79" s="221" t="s">
        <v>353</v>
      </c>
      <c r="O79" s="221" t="s">
        <v>2335</v>
      </c>
      <c r="P79" s="221" t="s">
        <v>2588</v>
      </c>
      <c r="Q79" s="221"/>
      <c r="R79" s="257"/>
      <c r="S79" s="221"/>
      <c r="T79" s="221"/>
      <c r="U79" s="221"/>
      <c r="V79" s="221" t="s">
        <v>346</v>
      </c>
      <c r="W79" s="221" t="s">
        <v>111</v>
      </c>
      <c r="X79" s="221" t="s">
        <v>111</v>
      </c>
      <c r="Y79" s="221" t="str">
        <f ca="1">IF(I79&lt;&gt;"",IF(I79&lt;=TODAY(),IF(OR(N79="REPROGRAMADA",N79="SUSPENDIDA",N79="EXCLUSION",N79="COLEGIADO"),"NO HECHA",IF(N79=" ","SINRESULTADO","SI")),"NO"),IF(N79="EXCLUSION","NO HECHA","LIMBO"))</f>
        <v>NO HECHA</v>
      </c>
      <c r="Z79" s="221" t="str">
        <f>IF($Z$1=I79,"DIASOL", "DIANOSOL")</f>
        <v>DIANOSOL</v>
      </c>
      <c r="AA79" s="221" t="s">
        <v>240</v>
      </c>
      <c r="AB79" s="221" t="s">
        <v>1917</v>
      </c>
      <c r="AC79" s="221" t="str">
        <f>IF(H79=$M$1,"SI","NO")</f>
        <v>NO</v>
      </c>
      <c r="AD79" s="221"/>
      <c r="AE79" s="224">
        <v>45201</v>
      </c>
      <c r="AF79" s="221"/>
      <c r="AG79" s="221" t="str">
        <f>IF(COUNTIF(C79,"*preso*")&gt;0,"SI","NO")</f>
        <v>NO</v>
      </c>
      <c r="AH79" s="255">
        <f>NroOrden(N79)</f>
        <v>2</v>
      </c>
      <c r="AI79" s="221"/>
      <c r="AJ79" s="270" t="str">
        <f ca="1">IF(OR(Y79="NO",Y79="LIMBO"),"IMP","NOIMP")</f>
        <v>NOIMP</v>
      </c>
      <c r="AK79" s="5"/>
    </row>
    <row r="80" spans="1:37" ht="25.5">
      <c r="A80" s="221">
        <v>294</v>
      </c>
      <c r="B80" s="222" t="s">
        <v>1882</v>
      </c>
      <c r="C80" s="223"/>
      <c r="D80" s="221" t="s">
        <v>1883</v>
      </c>
      <c r="E80" s="221" t="s">
        <v>1884</v>
      </c>
      <c r="F80" s="224">
        <v>45198</v>
      </c>
      <c r="G80" s="221"/>
      <c r="H80" s="221" t="s">
        <v>1637</v>
      </c>
      <c r="I80" s="222">
        <v>45251</v>
      </c>
      <c r="J80" s="222" t="s">
        <v>396</v>
      </c>
      <c r="K80" s="221" t="s">
        <v>1827</v>
      </c>
      <c r="L80" s="257" t="s">
        <v>1658</v>
      </c>
      <c r="M80" s="222" t="s">
        <v>1802</v>
      </c>
      <c r="N80" s="221" t="s">
        <v>353</v>
      </c>
      <c r="O80" s="221"/>
      <c r="P80" s="221" t="s">
        <v>2589</v>
      </c>
      <c r="Q80" s="221"/>
      <c r="R80" s="257"/>
      <c r="S80" s="221"/>
      <c r="T80" s="221"/>
      <c r="U80" s="221"/>
      <c r="V80" s="221" t="s">
        <v>100</v>
      </c>
      <c r="W80" s="221" t="s">
        <v>111</v>
      </c>
      <c r="X80" s="221" t="s">
        <v>111</v>
      </c>
      <c r="Y80" s="221" t="str">
        <f ca="1">IF(I80&lt;&gt;"",IF(I80&lt;=TODAY(),IF(OR(N80="REPROGRAMADA",N80="SUSPENDIDA",N80="EXCLUSION",N80="COLEGIADO"),"NO HECHA",IF(N80=" ","SINRESULTADO","SI")),"NO"),IF(N80="EXCLUSION","NO HECHA","LIMBO"))</f>
        <v>NO HECHA</v>
      </c>
      <c r="Z80" s="221" t="str">
        <f>IF($Z$1=I80,"DIASOL", "DIANOSOL")</f>
        <v>DIANOSOL</v>
      </c>
      <c r="AA80" s="221" t="s">
        <v>240</v>
      </c>
      <c r="AB80" s="221"/>
      <c r="AC80" s="221" t="str">
        <f>IF(H80=$M$1,"SI","NO")</f>
        <v>NO</v>
      </c>
      <c r="AD80" s="221"/>
      <c r="AE80" s="224">
        <v>45198</v>
      </c>
      <c r="AF80" s="221"/>
      <c r="AG80" s="221" t="str">
        <f>IF(COUNTIF(C80,"*preso*")&gt;0,"SI","NO")</f>
        <v>NO</v>
      </c>
      <c r="AH80" s="255">
        <f>NroOrden(N80)</f>
        <v>2</v>
      </c>
      <c r="AI80" s="221"/>
      <c r="AJ80" s="270" t="str">
        <f ca="1">IF(OR(Y80="NO",Y80="LIMBO"),"IMP","NOIMP")</f>
        <v>NOIMP</v>
      </c>
      <c r="AK80" s="5"/>
    </row>
    <row r="81" spans="1:37" ht="63.75">
      <c r="A81" s="221">
        <v>365</v>
      </c>
      <c r="B81" s="222" t="s">
        <v>2225</v>
      </c>
      <c r="C81" s="223"/>
      <c r="D81" s="221" t="s">
        <v>2226</v>
      </c>
      <c r="E81" s="221" t="s">
        <v>2229</v>
      </c>
      <c r="F81" s="224">
        <v>45219</v>
      </c>
      <c r="G81" s="221"/>
      <c r="H81" s="221"/>
      <c r="I81" s="222">
        <v>45253</v>
      </c>
      <c r="J81" s="222" t="s">
        <v>1181</v>
      </c>
      <c r="K81" s="221" t="s">
        <v>1674</v>
      </c>
      <c r="L81" s="257" t="s">
        <v>1658</v>
      </c>
      <c r="M81" s="222" t="s">
        <v>1808</v>
      </c>
      <c r="N81" s="221" t="s">
        <v>353</v>
      </c>
      <c r="O81" s="221"/>
      <c r="P81" s="221" t="s">
        <v>2594</v>
      </c>
      <c r="Q81" s="221" t="s">
        <v>240</v>
      </c>
      <c r="R81" s="257"/>
      <c r="S81" s="221"/>
      <c r="T81" s="221"/>
      <c r="U81" s="221"/>
      <c r="V81" s="221" t="s">
        <v>186</v>
      </c>
      <c r="W81" s="221" t="s">
        <v>2227</v>
      </c>
      <c r="X81" s="221"/>
      <c r="Y81" s="221" t="str">
        <f ca="1">IF(I81&lt;&gt;"",IF(I81&lt;=TODAY(),IF(OR(N81="REPROGRAMADA",N81="SUSPENDIDA",N81="EXCLUSION",N81="COLEGIADO"),"NO HECHA",IF(N81=" ","SINRESULTADO","SI")),"NO"),IF(N81="EXCLUSION","NO HECHA","LIMBO"))</f>
        <v>NO HECHA</v>
      </c>
      <c r="Z81" s="221" t="str">
        <f>IF($Z$1=I81,"DIASOL", "DIANOSOL")</f>
        <v>DIANOSOL</v>
      </c>
      <c r="AA81" s="221"/>
      <c r="AB81" s="221" t="s">
        <v>2228</v>
      </c>
      <c r="AC81" s="221" t="str">
        <f>IF(H81=$M$1,"SI","NO")</f>
        <v>NO</v>
      </c>
      <c r="AD81" s="221"/>
      <c r="AE81" s="224">
        <v>45219</v>
      </c>
      <c r="AF81" s="221"/>
      <c r="AG81" s="221" t="str">
        <f>IF(COUNTIF(C81,"*preso*")&gt;0,"SI","NO")</f>
        <v>NO</v>
      </c>
      <c r="AH81" s="293">
        <f>NroOrden(N81)</f>
        <v>2</v>
      </c>
      <c r="AI81" s="221"/>
      <c r="AJ81" s="257" t="str">
        <f ca="1">IF(OR(Y81="NO",Y81="LIMBO"),"IMP","NOIMP")</f>
        <v>NOIMP</v>
      </c>
      <c r="AK81" s="5"/>
    </row>
    <row r="82" spans="1:37" ht="51">
      <c r="A82" s="221">
        <v>352</v>
      </c>
      <c r="B82" s="222" t="s">
        <v>2164</v>
      </c>
      <c r="C82" s="223" t="s">
        <v>1472</v>
      </c>
      <c r="D82" s="221" t="s">
        <v>2165</v>
      </c>
      <c r="E82" s="221" t="s">
        <v>2166</v>
      </c>
      <c r="F82" s="224">
        <v>45217</v>
      </c>
      <c r="G82" s="221"/>
      <c r="H82" s="221" t="s">
        <v>1637</v>
      </c>
      <c r="I82" s="222">
        <v>45254</v>
      </c>
      <c r="J82" s="222" t="s">
        <v>1181</v>
      </c>
      <c r="K82" s="221" t="s">
        <v>362</v>
      </c>
      <c r="L82" s="257" t="s">
        <v>1658</v>
      </c>
      <c r="M82" s="222" t="s">
        <v>328</v>
      </c>
      <c r="N82" s="221" t="s">
        <v>353</v>
      </c>
      <c r="O82" s="221" t="s">
        <v>2332</v>
      </c>
      <c r="P82" s="221" t="s">
        <v>2611</v>
      </c>
      <c r="Q82" s="221" t="s">
        <v>240</v>
      </c>
      <c r="R82" s="257"/>
      <c r="S82" s="221" t="s">
        <v>1946</v>
      </c>
      <c r="T82" s="221" t="s">
        <v>2168</v>
      </c>
      <c r="U82" s="221" t="s">
        <v>2169</v>
      </c>
      <c r="V82" s="221" t="s">
        <v>199</v>
      </c>
      <c r="W82" s="221" t="s">
        <v>134</v>
      </c>
      <c r="X82" s="221"/>
      <c r="Y82" s="199" t="str">
        <f ca="1">IF(I82&lt;&gt;"",IF(I82&lt;=TODAY(),IF(OR(N82="REPROGRAMADA",N82="SUSPENDIDA",N82="EXCLUSION",N82="COLEGIADO"),"NO HECHA",IF(N82=" ","SINRESULTADO","SI")),"NO"),IF(N82="EXCLUSION","NO HECHA","LIMBO"))</f>
        <v>NO HECHA</v>
      </c>
      <c r="Z82" s="199" t="str">
        <f>IF($Z$1=I82,"DIASOL", "DIANOSOL")</f>
        <v>DIANOSOL</v>
      </c>
      <c r="AA82" s="221"/>
      <c r="AB82" s="221" t="s">
        <v>2167</v>
      </c>
      <c r="AC82" s="199" t="str">
        <f>IF(H82=$M$1,"SI","NO")</f>
        <v>NO</v>
      </c>
      <c r="AD82" s="199"/>
      <c r="AE82" s="224">
        <v>45217</v>
      </c>
      <c r="AF82" s="221"/>
      <c r="AG82" s="199" t="str">
        <f>IF(COUNTIF(C82,"*preso*")&gt;0,"SI","NO")</f>
        <v>SI</v>
      </c>
      <c r="AH82" s="311">
        <f>NroOrden(N82)</f>
        <v>2</v>
      </c>
      <c r="AI82" s="221" t="s">
        <v>2606</v>
      </c>
      <c r="AJ82" s="281" t="str">
        <f ca="1">IF(OR(Y82="NO",Y82="LIMBO"),"IMP","NOIMP")</f>
        <v>NOIMP</v>
      </c>
      <c r="AK82" s="5"/>
    </row>
    <row r="83" spans="1:37" ht="102">
      <c r="A83" s="221">
        <v>392</v>
      </c>
      <c r="B83" s="222" t="s">
        <v>1697</v>
      </c>
      <c r="C83" s="223"/>
      <c r="D83" s="221" t="s">
        <v>1699</v>
      </c>
      <c r="E83" s="221" t="s">
        <v>1698</v>
      </c>
      <c r="F83" s="221" t="s">
        <v>2648</v>
      </c>
      <c r="G83" s="221"/>
      <c r="H83" s="221"/>
      <c r="I83" s="222">
        <v>45258</v>
      </c>
      <c r="J83" s="222" t="s">
        <v>960</v>
      </c>
      <c r="K83" s="221" t="s">
        <v>1674</v>
      </c>
      <c r="L83" s="257" t="s">
        <v>1659</v>
      </c>
      <c r="M83" s="222" t="s">
        <v>331</v>
      </c>
      <c r="N83" s="221" t="s">
        <v>353</v>
      </c>
      <c r="O83" s="221" t="s">
        <v>2334</v>
      </c>
      <c r="P83" s="221" t="s">
        <v>2644</v>
      </c>
      <c r="Q83" s="221" t="s">
        <v>240</v>
      </c>
      <c r="R83" s="257"/>
      <c r="S83" s="221"/>
      <c r="T83" s="221"/>
      <c r="U83" s="221"/>
      <c r="V83" s="221" t="s">
        <v>337</v>
      </c>
      <c r="W83" s="221" t="s">
        <v>111</v>
      </c>
      <c r="X83" s="221" t="s">
        <v>111</v>
      </c>
      <c r="Y83" s="221" t="str">
        <f ca="1">IF(I83&lt;&gt;"",IF(I83&lt;=TODAY(),IF(OR(N83="REPROGRAMADA",N83="SUSPENDIDA",N83="EXCLUSION",N83="COLEGIADO"),"NO HECHA",IF(N83=" ","SINRESULTADO","SI")),"NO"),IF(N83="EXCLUSION","NO HECHA","LIMBO"))</f>
        <v>NO HECHA</v>
      </c>
      <c r="Z83" s="221" t="str">
        <f>IF($Z$1=I83,"DIASOL", "DIANOSOL")</f>
        <v>DIANOSOL</v>
      </c>
      <c r="AA83" s="221" t="s">
        <v>240</v>
      </c>
      <c r="AB83" s="224"/>
      <c r="AC83" s="221" t="str">
        <f>IF(H83=$M$1,"SI","NO")</f>
        <v>NO</v>
      </c>
      <c r="AD83" s="221"/>
      <c r="AE83" s="221">
        <v>45167</v>
      </c>
      <c r="AF83" s="221"/>
      <c r="AG83" s="221" t="str">
        <f>IF(COUNTIF(C83,"*preso*")&gt;0,"SI","NO")</f>
        <v>NO</v>
      </c>
      <c r="AH83" s="293">
        <f>NroOrden(N83)</f>
        <v>2</v>
      </c>
      <c r="AI83" s="221"/>
      <c r="AJ83" s="257" t="str">
        <f ca="1">IF(OR(Y83="NO",Y83="LIMBO"),"IMP","NOIMP")</f>
        <v>NOIMP</v>
      </c>
      <c r="AK83" s="5"/>
    </row>
    <row r="84" spans="1:37" ht="76.5">
      <c r="A84" s="98">
        <v>51</v>
      </c>
      <c r="B84" s="99" t="s">
        <v>689</v>
      </c>
      <c r="C84" s="206"/>
      <c r="D84" s="98" t="s">
        <v>690</v>
      </c>
      <c r="E84" s="98" t="s">
        <v>691</v>
      </c>
      <c r="F84" s="153" t="s">
        <v>1526</v>
      </c>
      <c r="G84" s="98"/>
      <c r="H84" s="98"/>
      <c r="I84" s="99">
        <v>45070</v>
      </c>
      <c r="J84" s="141">
        <v>0.41666666666666669</v>
      </c>
      <c r="K84" s="98" t="s">
        <v>363</v>
      </c>
      <c r="L84" s="192"/>
      <c r="M84" s="99" t="s">
        <v>329</v>
      </c>
      <c r="N84" s="98" t="s">
        <v>354</v>
      </c>
      <c r="O84" s="98" t="s">
        <v>2334</v>
      </c>
      <c r="P84" s="98" t="s">
        <v>693</v>
      </c>
      <c r="Q84" s="98" t="s">
        <v>111</v>
      </c>
      <c r="R84" s="192"/>
      <c r="S84" s="98"/>
      <c r="T84" s="98"/>
      <c r="U84" s="98"/>
      <c r="V84" s="98" t="s">
        <v>190</v>
      </c>
      <c r="W84" s="98" t="s">
        <v>423</v>
      </c>
      <c r="X84" s="98" t="s">
        <v>111</v>
      </c>
      <c r="Y84" s="162" t="str">
        <f ca="1">IF(I84&lt;&gt;"",IF(I84&lt;=TODAY(),IF(OR(N84="REPROGRAMADA",N84="SUSPENDIDA",N84="EXCLUSION",N84="COLEGIADO"),"NO HECHA",IF(N84=" ","SINRESULTADO","SI")),"NO"),IF(N84="EXCLUSION","NO HECHA","LIMBO"))</f>
        <v>NO HECHA</v>
      </c>
      <c r="Z84" s="98" t="str">
        <f>IF($Z$1=I84,"DIASOL", "DIANOSOL")</f>
        <v>DIANOSOL</v>
      </c>
      <c r="AA84" s="98" t="s">
        <v>240</v>
      </c>
      <c r="AB84" s="98" t="s">
        <v>694</v>
      </c>
      <c r="AC84" s="98" t="str">
        <f>IF(H84=$M$1,"SI","NO")</f>
        <v>NO</v>
      </c>
      <c r="AD84" s="98"/>
      <c r="AE84" s="98"/>
      <c r="AF84" s="98"/>
      <c r="AG84" s="162" t="str">
        <f>IF(COUNTIF(C84,"*preso*")&gt;0,"SI","NO")</f>
        <v>NO</v>
      </c>
      <c r="AH84" s="255">
        <f>NroOrden(N84)</f>
        <v>3</v>
      </c>
      <c r="AI84" s="98"/>
      <c r="AJ84" s="270" t="str">
        <f ca="1">IF(OR(Y84="NO",Y84="LIMBO"),"IMP","NOIMP")</f>
        <v>NOIMP</v>
      </c>
      <c r="AK84" s="5"/>
    </row>
    <row r="85" spans="1:37" ht="38.25">
      <c r="A85" s="98">
        <v>56</v>
      </c>
      <c r="B85" s="99" t="s">
        <v>715</v>
      </c>
      <c r="C85" s="206"/>
      <c r="D85" s="98" t="s">
        <v>716</v>
      </c>
      <c r="E85" s="98" t="s">
        <v>717</v>
      </c>
      <c r="F85" s="153"/>
      <c r="G85" s="98"/>
      <c r="H85" s="98" t="s">
        <v>111</v>
      </c>
      <c r="I85" s="99">
        <v>45076</v>
      </c>
      <c r="J85" s="141">
        <v>0.45833333333333331</v>
      </c>
      <c r="K85" s="98" t="s">
        <v>403</v>
      </c>
      <c r="L85" s="192"/>
      <c r="M85" s="99" t="s">
        <v>330</v>
      </c>
      <c r="N85" s="98" t="s">
        <v>354</v>
      </c>
      <c r="O85" s="98" t="s">
        <v>2316</v>
      </c>
      <c r="P85" s="98" t="s">
        <v>718</v>
      </c>
      <c r="Q85" s="98" t="s">
        <v>111</v>
      </c>
      <c r="R85" s="192"/>
      <c r="S85" s="98"/>
      <c r="T85" s="98"/>
      <c r="U85" s="98"/>
      <c r="V85" s="98" t="s">
        <v>186</v>
      </c>
      <c r="W85" s="98" t="s">
        <v>719</v>
      </c>
      <c r="X85" s="98" t="s">
        <v>111</v>
      </c>
      <c r="Y85" s="162" t="str">
        <f ca="1">IF(I85&lt;&gt;"",IF(I85&lt;=TODAY(),IF(OR(N85="REPROGRAMADA",N85="SUSPENDIDA",N85="EXCLUSION",N85="COLEGIADO"),"NO HECHA",IF(N85=" ","SINRESULTADO","SI")),"NO"),IF(N85="EXCLUSION","NO HECHA","LIMBO"))</f>
        <v>NO HECHA</v>
      </c>
      <c r="Z85" s="98" t="str">
        <f>IF($Z$1=I85,"DIASOL", "DIANOSOL")</f>
        <v>DIANOSOL</v>
      </c>
      <c r="AA85" s="98" t="s">
        <v>240</v>
      </c>
      <c r="AB85" s="98" t="s">
        <v>720</v>
      </c>
      <c r="AC85" s="98" t="str">
        <f>IF(H85=$M$1,"SI","NO")</f>
        <v>NO</v>
      </c>
      <c r="AD85" s="98"/>
      <c r="AE85" s="98"/>
      <c r="AF85" s="98"/>
      <c r="AG85" s="162" t="str">
        <f>IF(COUNTIF(C85,"*preso*")&gt;0,"SI","NO")</f>
        <v>NO</v>
      </c>
      <c r="AH85" s="255">
        <f>NroOrden(N85)</f>
        <v>3</v>
      </c>
      <c r="AI85" s="98"/>
      <c r="AJ85" s="270" t="str">
        <f ca="1">IF(OR(Y85="NO",Y85="LIMBO"),"IMP","NOIMP")</f>
        <v>NOIMP</v>
      </c>
      <c r="AK85" s="5"/>
    </row>
    <row r="86" spans="1:37" ht="76.5">
      <c r="A86" s="98">
        <v>60</v>
      </c>
      <c r="B86" s="99" t="s">
        <v>739</v>
      </c>
      <c r="C86" s="206"/>
      <c r="D86" s="98" t="s">
        <v>740</v>
      </c>
      <c r="E86" s="98" t="s">
        <v>741</v>
      </c>
      <c r="F86" s="153">
        <v>45042</v>
      </c>
      <c r="G86" s="98"/>
      <c r="H86" s="98" t="s">
        <v>111</v>
      </c>
      <c r="I86" s="99">
        <v>45086</v>
      </c>
      <c r="J86" s="141">
        <v>0.375</v>
      </c>
      <c r="K86" s="98" t="s">
        <v>362</v>
      </c>
      <c r="L86" s="192"/>
      <c r="M86" s="99" t="s">
        <v>330</v>
      </c>
      <c r="N86" s="98" t="s">
        <v>354</v>
      </c>
      <c r="O86" s="98" t="s">
        <v>2285</v>
      </c>
      <c r="P86" s="98" t="s">
        <v>743</v>
      </c>
      <c r="Q86" s="98" t="s">
        <v>111</v>
      </c>
      <c r="R86" s="192"/>
      <c r="S86" s="98"/>
      <c r="T86" s="98"/>
      <c r="U86" s="98"/>
      <c r="V86" s="98" t="s">
        <v>347</v>
      </c>
      <c r="W86" s="98" t="s">
        <v>744</v>
      </c>
      <c r="X86" s="98" t="s">
        <v>111</v>
      </c>
      <c r="Y86" s="162" t="str">
        <f ca="1">IF(I86&lt;&gt;"",IF(I86&lt;=TODAY(),IF(OR(N86="REPROGRAMADA",N86="SUSPENDIDA",N86="EXCLUSION",N86="COLEGIADO"),"NO HECHA",IF(N86=" ","SINRESULTADO","SI")),"NO"),IF(N86="EXCLUSION","NO HECHA","LIMBO"))</f>
        <v>NO HECHA</v>
      </c>
      <c r="Z86" s="98" t="str">
        <f>IF($Z$1=I86,"DIASOL", "DIANOSOL")</f>
        <v>DIANOSOL</v>
      </c>
      <c r="AA86" s="98" t="s">
        <v>240</v>
      </c>
      <c r="AB86" s="98" t="s">
        <v>745</v>
      </c>
      <c r="AC86" s="98" t="str">
        <f>IF(H86=$M$1,"SI","NO")</f>
        <v>NO</v>
      </c>
      <c r="AD86" s="98"/>
      <c r="AE86" s="98"/>
      <c r="AF86" s="98"/>
      <c r="AG86" s="162" t="str">
        <f>IF(COUNTIF(C86,"*preso*")&gt;0,"SI","NO")</f>
        <v>NO</v>
      </c>
      <c r="AH86" s="244">
        <f>NroOrden(N86)</f>
        <v>3</v>
      </c>
      <c r="AI86" s="98"/>
      <c r="AJ86" s="48" t="str">
        <f ca="1">IF(OR(Y86="NO",Y86="LIMBO"),"IMP","NOIMP")</f>
        <v>NOIMP</v>
      </c>
      <c r="AK86" s="5"/>
    </row>
    <row r="87" spans="1:37" ht="25.5">
      <c r="A87" s="98">
        <v>8</v>
      </c>
      <c r="B87" s="99" t="s">
        <v>399</v>
      </c>
      <c r="C87" s="207"/>
      <c r="D87" s="98" t="s">
        <v>400</v>
      </c>
      <c r="E87" s="98" t="s">
        <v>401</v>
      </c>
      <c r="F87" s="153">
        <v>45069</v>
      </c>
      <c r="G87" s="98"/>
      <c r="H87" s="98" t="s">
        <v>111</v>
      </c>
      <c r="I87" s="99">
        <v>45091</v>
      </c>
      <c r="J87" s="98" t="s">
        <v>282</v>
      </c>
      <c r="K87" s="98" t="s">
        <v>403</v>
      </c>
      <c r="L87" s="192"/>
      <c r="M87" s="99" t="s">
        <v>333</v>
      </c>
      <c r="N87" s="98" t="s">
        <v>354</v>
      </c>
      <c r="O87" s="98" t="s">
        <v>2285</v>
      </c>
      <c r="P87" s="98" t="s">
        <v>429</v>
      </c>
      <c r="Q87" s="98" t="s">
        <v>111</v>
      </c>
      <c r="R87" s="192"/>
      <c r="S87" s="98"/>
      <c r="T87" s="98"/>
      <c r="U87" s="98"/>
      <c r="V87" s="98" t="s">
        <v>194</v>
      </c>
      <c r="W87" s="98" t="s">
        <v>141</v>
      </c>
      <c r="X87" s="98" t="s">
        <v>404</v>
      </c>
      <c r="Y87" s="162" t="str">
        <f ca="1">IF(I87&lt;&gt;"",IF(I87&lt;=TODAY(),IF(OR(N87="REPROGRAMADA",N87="SUSPENDIDA",N87="EXCLUSION",N87="COLEGIADO"),"NO HECHA",IF(N87=" ","SINRESULTADO","SI")),"NO"),IF(N87="EXCLUSION","NO HECHA","LIMBO"))</f>
        <v>NO HECHA</v>
      </c>
      <c r="Z87" s="98" t="str">
        <f>IF($Z$1=I87,"DIASOL", "DIANOSOL")</f>
        <v>DIANOSOL</v>
      </c>
      <c r="AA87" s="98" t="s">
        <v>240</v>
      </c>
      <c r="AB87" s="98" t="s">
        <v>405</v>
      </c>
      <c r="AC87" s="98" t="str">
        <f>IF(H87=$M$1,"SI","NO")</f>
        <v>NO</v>
      </c>
      <c r="AD87" s="98"/>
      <c r="AE87" s="98"/>
      <c r="AF87" s="98" t="s">
        <v>2177</v>
      </c>
      <c r="AG87" s="162" t="str">
        <f>IF(COUNTIF(C87,"*preso*")&gt;0,"SI","NO")</f>
        <v>NO</v>
      </c>
      <c r="AH87" s="244">
        <f>NroOrden(N87)</f>
        <v>3</v>
      </c>
      <c r="AI87" s="98"/>
      <c r="AJ87" s="48" t="str">
        <f ca="1">IF(OR(Y87="NO",Y87="LIMBO"),"IMP","NOIMP")</f>
        <v>NOIMP</v>
      </c>
      <c r="AK87" s="5"/>
    </row>
    <row r="88" spans="1:37" ht="102">
      <c r="A88" s="98">
        <v>3</v>
      </c>
      <c r="B88" s="99" t="s">
        <v>393</v>
      </c>
      <c r="C88" s="207"/>
      <c r="D88" s="98" t="s">
        <v>394</v>
      </c>
      <c r="E88" s="98" t="s">
        <v>395</v>
      </c>
      <c r="F88" s="153">
        <v>45076</v>
      </c>
      <c r="G88" s="98"/>
      <c r="H88" s="98"/>
      <c r="I88" s="99">
        <v>45091</v>
      </c>
      <c r="J88" s="98" t="s">
        <v>396</v>
      </c>
      <c r="K88" s="98" t="s">
        <v>365</v>
      </c>
      <c r="L88" s="192"/>
      <c r="M88" s="99" t="s">
        <v>332</v>
      </c>
      <c r="N88" s="98" t="s">
        <v>354</v>
      </c>
      <c r="O88" s="98" t="s">
        <v>2338</v>
      </c>
      <c r="P88" s="98" t="s">
        <v>398</v>
      </c>
      <c r="Q88" s="98" t="s">
        <v>111</v>
      </c>
      <c r="R88" s="192"/>
      <c r="S88" s="98"/>
      <c r="T88" s="98"/>
      <c r="U88" s="98"/>
      <c r="V88" s="98" t="s">
        <v>189</v>
      </c>
      <c r="W88" s="98" t="s">
        <v>264</v>
      </c>
      <c r="X88" s="98" t="s">
        <v>111</v>
      </c>
      <c r="Y88" s="162" t="str">
        <f ca="1">IF(I88&lt;&gt;"",IF(I88&lt;=TODAY(),IF(OR(N88="REPROGRAMADA",N88="SUSPENDIDA",N88="EXCLUSION",N88="COLEGIADO"),"NO HECHA",IF(N88=" ","SINRESULTADO","SI")),"NO"),IF(N88="EXCLUSION","NO HECHA","LIMBO"))</f>
        <v>NO HECHA</v>
      </c>
      <c r="Z88" s="98" t="str">
        <f>IF($Z$1=I88,"DIASOL", "DIANOSOL")</f>
        <v>DIANOSOL</v>
      </c>
      <c r="AA88" s="98" t="s">
        <v>240</v>
      </c>
      <c r="AB88" s="98" t="s">
        <v>397</v>
      </c>
      <c r="AC88" s="98" t="str">
        <f>IF(H88=$M$1,"SI","NO")</f>
        <v>NO</v>
      </c>
      <c r="AD88" s="98"/>
      <c r="AE88" s="98"/>
      <c r="AF88" s="98" t="s">
        <v>2177</v>
      </c>
      <c r="AG88" s="162" t="str">
        <f>IF(COUNTIF(C88,"*preso*")&gt;0,"SI","NO")</f>
        <v>NO</v>
      </c>
      <c r="AH88" s="255">
        <f>NroOrden(N88)</f>
        <v>3</v>
      </c>
      <c r="AI88" s="98"/>
      <c r="AJ88" s="270" t="str">
        <f ca="1">IF(OR(Y88="NO",Y88="LIMBO"),"IMP","NOIMP")</f>
        <v>NOIMP</v>
      </c>
      <c r="AK88" s="5"/>
    </row>
    <row r="89" spans="1:37" ht="44.25" customHeight="1">
      <c r="A89" s="98">
        <v>9</v>
      </c>
      <c r="B89" s="99" t="s">
        <v>430</v>
      </c>
      <c r="C89" s="207"/>
      <c r="D89" s="98" t="s">
        <v>431</v>
      </c>
      <c r="E89" s="98" t="s">
        <v>432</v>
      </c>
      <c r="F89" s="153">
        <v>45068</v>
      </c>
      <c r="G89" s="98"/>
      <c r="H89" s="98" t="s">
        <v>111</v>
      </c>
      <c r="I89" s="99">
        <v>45092</v>
      </c>
      <c r="J89" s="98" t="s">
        <v>14</v>
      </c>
      <c r="K89" s="98" t="s">
        <v>403</v>
      </c>
      <c r="L89" s="192"/>
      <c r="M89" s="99" t="s">
        <v>333</v>
      </c>
      <c r="N89" s="98" t="s">
        <v>354</v>
      </c>
      <c r="O89" s="98" t="s">
        <v>2285</v>
      </c>
      <c r="P89" s="98" t="s">
        <v>436</v>
      </c>
      <c r="Q89" s="98" t="s">
        <v>111</v>
      </c>
      <c r="R89" s="192"/>
      <c r="S89" s="98"/>
      <c r="T89" s="98"/>
      <c r="U89" s="98"/>
      <c r="V89" s="98" t="s">
        <v>182</v>
      </c>
      <c r="W89" s="98" t="s">
        <v>119</v>
      </c>
      <c r="X89" s="98" t="s">
        <v>434</v>
      </c>
      <c r="Y89" s="162" t="str">
        <f ca="1">IF(I89&lt;&gt;"",IF(I89&lt;=TODAY(),IF(OR(N89="REPROGRAMADA",N89="SUSPENDIDA",N89="EXCLUSION",N89="COLEGIADO"),"NO HECHA",IF(N89=" ","SINRESULTADO","SI")),"NO"),IF(N89="EXCLUSION","NO HECHA","LIMBO"))</f>
        <v>NO HECHA</v>
      </c>
      <c r="Z89" s="98" t="str">
        <f>IF($Z$1=I89,"DIASOL", "DIANOSOL")</f>
        <v>DIANOSOL</v>
      </c>
      <c r="AA89" s="98" t="s">
        <v>240</v>
      </c>
      <c r="AB89" s="98" t="s">
        <v>435</v>
      </c>
      <c r="AC89" s="98" t="str">
        <f>IF(H89=$M$1,"SI","NO")</f>
        <v>NO</v>
      </c>
      <c r="AD89" s="98"/>
      <c r="AE89" s="98"/>
      <c r="AF89" s="98" t="s">
        <v>2177</v>
      </c>
      <c r="AG89" s="162" t="str">
        <f>IF(COUNTIF(C89,"*preso*")&gt;0,"SI","NO")</f>
        <v>NO</v>
      </c>
      <c r="AH89" s="244">
        <f>NroOrden(N89)</f>
        <v>3</v>
      </c>
      <c r="AI89" s="98"/>
      <c r="AJ89" s="48" t="str">
        <f ca="1">IF(OR(Y89="NO",Y89="LIMBO"),"IMP","NOIMP")</f>
        <v>NOIMP</v>
      </c>
      <c r="AK89" s="5"/>
    </row>
    <row r="90" spans="1:37" s="5" customFormat="1" ht="38.25">
      <c r="A90" s="98">
        <v>12</v>
      </c>
      <c r="B90" s="99" t="s">
        <v>448</v>
      </c>
      <c r="C90" s="207" t="s">
        <v>367</v>
      </c>
      <c r="D90" s="98" t="s">
        <v>449</v>
      </c>
      <c r="E90" s="98" t="s">
        <v>450</v>
      </c>
      <c r="F90" s="153">
        <v>45076</v>
      </c>
      <c r="G90" s="98"/>
      <c r="H90" s="98"/>
      <c r="I90" s="99">
        <v>45093</v>
      </c>
      <c r="J90" s="98" t="s">
        <v>282</v>
      </c>
      <c r="K90" s="98" t="s">
        <v>403</v>
      </c>
      <c r="L90" s="192"/>
      <c r="M90" s="99" t="s">
        <v>333</v>
      </c>
      <c r="N90" s="98" t="s">
        <v>354</v>
      </c>
      <c r="O90" s="98" t="s">
        <v>2285</v>
      </c>
      <c r="P90" s="98" t="s">
        <v>429</v>
      </c>
      <c r="Q90" s="98" t="s">
        <v>111</v>
      </c>
      <c r="R90" s="192"/>
      <c r="S90" s="98" t="s">
        <v>374</v>
      </c>
      <c r="T90" s="98" t="s">
        <v>453</v>
      </c>
      <c r="U90" s="98"/>
      <c r="V90" s="98" t="s">
        <v>192</v>
      </c>
      <c r="W90" s="98" t="s">
        <v>136</v>
      </c>
      <c r="X90" s="98" t="s">
        <v>111</v>
      </c>
      <c r="Y90" s="162" t="str">
        <f ca="1">IF(I90&lt;&gt;"",IF(I90&lt;=TODAY(),IF(OR(N90="REPROGRAMADA",N90="SUSPENDIDA",N90="EXCLUSION",N90="COLEGIADO"),"NO HECHA",IF(N90=" ","SINRESULTADO","SI")),"NO"),IF(N90="EXCLUSION","NO HECHA","LIMBO"))</f>
        <v>NO HECHA</v>
      </c>
      <c r="Z90" s="98" t="str">
        <f>IF($Z$1=I90,"DIASOL", "DIANOSOL")</f>
        <v>DIANOSOL</v>
      </c>
      <c r="AA90" s="98" t="s">
        <v>240</v>
      </c>
      <c r="AB90" s="98" t="s">
        <v>452</v>
      </c>
      <c r="AC90" s="98" t="str">
        <f>IF(H90=$M$1,"SI","NO")</f>
        <v>NO</v>
      </c>
      <c r="AD90" s="98"/>
      <c r="AE90" s="98"/>
      <c r="AF90" s="98" t="s">
        <v>2177</v>
      </c>
      <c r="AG90" s="162" t="str">
        <f>IF(COUNTIF(C90,"*preso*")&gt;0,"SI","NO")</f>
        <v>SI</v>
      </c>
      <c r="AH90" s="244">
        <f>NroOrden(N90)</f>
        <v>3</v>
      </c>
      <c r="AI90" s="98"/>
      <c r="AJ90" s="48" t="str">
        <f ca="1">IF(OR(Y90="NO",Y90="LIMBO"),"IMP","NOIMP")</f>
        <v>NOIMP</v>
      </c>
    </row>
    <row r="91" spans="1:37" ht="38.25">
      <c r="A91" s="98">
        <v>13</v>
      </c>
      <c r="B91" s="99" t="s">
        <v>37</v>
      </c>
      <c r="C91" s="207" t="s">
        <v>454</v>
      </c>
      <c r="D91" s="98" t="s">
        <v>455</v>
      </c>
      <c r="E91" s="98" t="s">
        <v>456</v>
      </c>
      <c r="F91" s="153">
        <v>45076</v>
      </c>
      <c r="G91" s="98"/>
      <c r="H91" s="98"/>
      <c r="I91" s="99">
        <v>45098</v>
      </c>
      <c r="J91" s="141">
        <v>0.52083333333333337</v>
      </c>
      <c r="K91" s="98" t="s">
        <v>365</v>
      </c>
      <c r="L91" s="192"/>
      <c r="M91" s="99" t="s">
        <v>332</v>
      </c>
      <c r="N91" s="98" t="s">
        <v>354</v>
      </c>
      <c r="O91" s="98" t="s">
        <v>2281</v>
      </c>
      <c r="P91" s="98" t="s">
        <v>457</v>
      </c>
      <c r="Q91" s="98" t="s">
        <v>111</v>
      </c>
      <c r="R91" s="192"/>
      <c r="S91" s="98"/>
      <c r="T91" s="98"/>
      <c r="U91" s="98"/>
      <c r="V91" s="98" t="s">
        <v>192</v>
      </c>
      <c r="W91" s="98" t="s">
        <v>119</v>
      </c>
      <c r="X91" s="98" t="s">
        <v>111</v>
      </c>
      <c r="Y91" s="162" t="str">
        <f ca="1">IF(I91&lt;&gt;"",IF(I91&lt;=TODAY(),IF(OR(N91="REPROGRAMADA",N91="SUSPENDIDA",N91="EXCLUSION",N91="COLEGIADO"),"NO HECHA",IF(N91=" ","SINRESULTADO","SI")),"NO"),IF(N91="EXCLUSION","NO HECHA","LIMBO"))</f>
        <v>NO HECHA</v>
      </c>
      <c r="Z91" s="98" t="str">
        <f>IF($Z$1=I91,"DIASOL", "DIANOSOL")</f>
        <v>DIANOSOL</v>
      </c>
      <c r="AA91" s="98" t="s">
        <v>458</v>
      </c>
      <c r="AB91" s="98" t="s">
        <v>464</v>
      </c>
      <c r="AC91" s="98" t="str">
        <f>IF(H91=$M$1,"SI","NO")</f>
        <v>NO</v>
      </c>
      <c r="AD91" s="98"/>
      <c r="AE91" s="98"/>
      <c r="AF91" s="98" t="s">
        <v>2177</v>
      </c>
      <c r="AG91" s="162" t="str">
        <f>IF(COUNTIF(C91,"*preso*")&gt;0,"SI","NO")</f>
        <v>NO</v>
      </c>
      <c r="AH91" s="244">
        <f>NroOrden(N91)</f>
        <v>3</v>
      </c>
      <c r="AI91" s="98" t="s">
        <v>459</v>
      </c>
      <c r="AJ91" s="48" t="str">
        <f ca="1">IF(OR(Y91="NO",Y91="LIMBO"),"IMP","NOIMP")</f>
        <v>NOIMP</v>
      </c>
      <c r="AK91" s="5"/>
    </row>
    <row r="92" spans="1:37" s="3" customFormat="1" ht="204">
      <c r="A92" s="98">
        <v>36</v>
      </c>
      <c r="B92" s="99" t="s">
        <v>478</v>
      </c>
      <c r="C92" s="206" t="s">
        <v>480</v>
      </c>
      <c r="D92" s="98" t="s">
        <v>479</v>
      </c>
      <c r="E92" s="98" t="s">
        <v>481</v>
      </c>
      <c r="F92" s="153">
        <v>45076</v>
      </c>
      <c r="G92" s="98"/>
      <c r="H92" s="98" t="s">
        <v>111</v>
      </c>
      <c r="I92" s="99">
        <v>45100</v>
      </c>
      <c r="J92" s="98" t="s">
        <v>282</v>
      </c>
      <c r="K92" s="98" t="s">
        <v>364</v>
      </c>
      <c r="L92" s="192"/>
      <c r="M92" s="99" t="s">
        <v>331</v>
      </c>
      <c r="N92" s="98" t="s">
        <v>354</v>
      </c>
      <c r="O92" s="98" t="s">
        <v>2337</v>
      </c>
      <c r="P92" s="98" t="s">
        <v>442</v>
      </c>
      <c r="Q92" s="98" t="s">
        <v>111</v>
      </c>
      <c r="R92" s="192"/>
      <c r="S92" s="98" t="s">
        <v>374</v>
      </c>
      <c r="T92" s="98" t="s">
        <v>485</v>
      </c>
      <c r="U92" s="98"/>
      <c r="V92" s="98" t="s">
        <v>189</v>
      </c>
      <c r="W92" s="98" t="s">
        <v>483</v>
      </c>
      <c r="X92" s="98" t="s">
        <v>111</v>
      </c>
      <c r="Y92" s="162" t="str">
        <f ca="1">IF(I92&lt;&gt;"",IF(I92&lt;=TODAY(),IF(OR(N92="REPROGRAMADA",N92="SUSPENDIDA",N92="EXCLUSION",N92="COLEGIADO"),"NO HECHA",IF(N92=" ","SINRESULTADO","SI")),"NO"),IF(N92="EXCLUSION","NO HECHA","LIMBO"))</f>
        <v>NO HECHA</v>
      </c>
      <c r="Z92" s="98" t="str">
        <f>IF($Z$1=I92,"DIASOL", "DIANOSOL")</f>
        <v>DIANOSOL</v>
      </c>
      <c r="AA92" s="98" t="s">
        <v>240</v>
      </c>
      <c r="AB92" s="98" t="s">
        <v>484</v>
      </c>
      <c r="AC92" s="98" t="str">
        <f>IF(H92=$M$1,"SI","NO")</f>
        <v>NO</v>
      </c>
      <c r="AD92" s="98"/>
      <c r="AE92" s="98"/>
      <c r="AF92" s="98" t="s">
        <v>2177</v>
      </c>
      <c r="AG92" s="162" t="str">
        <f>IF(COUNTIF(C92,"*preso*")&gt;0,"SI","NO")</f>
        <v>SI</v>
      </c>
      <c r="AH92" s="244">
        <f>NroOrden(N92)</f>
        <v>3</v>
      </c>
      <c r="AI92" s="98"/>
      <c r="AJ92" s="48" t="str">
        <f ca="1">IF(OR(Y92="NO",Y92="LIMBO"),"IMP","NOIMP")</f>
        <v>NOIMP</v>
      </c>
      <c r="AK92" s="19"/>
    </row>
    <row r="93" spans="1:37" ht="38.25">
      <c r="A93" s="98">
        <v>4</v>
      </c>
      <c r="B93" s="99" t="s">
        <v>399</v>
      </c>
      <c r="C93" s="207"/>
      <c r="D93" s="98" t="s">
        <v>400</v>
      </c>
      <c r="E93" s="98" t="s">
        <v>401</v>
      </c>
      <c r="F93" s="153">
        <v>45069</v>
      </c>
      <c r="G93" s="98"/>
      <c r="H93" s="98" t="s">
        <v>111</v>
      </c>
      <c r="I93" s="99">
        <v>45104</v>
      </c>
      <c r="J93" s="98" t="s">
        <v>16</v>
      </c>
      <c r="K93" s="98" t="s">
        <v>403</v>
      </c>
      <c r="L93" s="192"/>
      <c r="M93" s="99" t="s">
        <v>333</v>
      </c>
      <c r="N93" s="98" t="s">
        <v>354</v>
      </c>
      <c r="O93" s="98" t="s">
        <v>2284</v>
      </c>
      <c r="P93" s="98" t="s">
        <v>406</v>
      </c>
      <c r="Q93" s="98" t="s">
        <v>111</v>
      </c>
      <c r="R93" s="192"/>
      <c r="S93" s="98"/>
      <c r="T93" s="98"/>
      <c r="U93" s="98"/>
      <c r="V93" s="98" t="s">
        <v>194</v>
      </c>
      <c r="W93" s="98" t="s">
        <v>141</v>
      </c>
      <c r="X93" s="98" t="s">
        <v>404</v>
      </c>
      <c r="Y93" s="162" t="str">
        <f ca="1">IF(I93&lt;&gt;"",IF(I93&lt;=TODAY(),IF(OR(N93="REPROGRAMADA",N93="SUSPENDIDA",N93="EXCLUSION",N93="COLEGIADO"),"NO HECHA",IF(N93=" ","SINRESULTADO","SI")),"NO"),IF(N93="EXCLUSION","NO HECHA","LIMBO"))</f>
        <v>NO HECHA</v>
      </c>
      <c r="Z93" s="98" t="str">
        <f>IF($Z$1=I93,"DIASOL", "DIANOSOL")</f>
        <v>DIANOSOL</v>
      </c>
      <c r="AA93" s="98" t="s">
        <v>240</v>
      </c>
      <c r="AB93" s="98" t="s">
        <v>405</v>
      </c>
      <c r="AC93" s="98" t="str">
        <f>IF(H93=$M$1,"SI","NO")</f>
        <v>NO</v>
      </c>
      <c r="AD93" s="98"/>
      <c r="AE93" s="98"/>
      <c r="AF93" s="98" t="s">
        <v>2177</v>
      </c>
      <c r="AG93" s="162" t="str">
        <f>IF(COUNTIF(C93,"*preso*")&gt;0,"SI","NO")</f>
        <v>NO</v>
      </c>
      <c r="AH93" s="244">
        <f>NroOrden(N93)</f>
        <v>3</v>
      </c>
      <c r="AI93" s="98"/>
      <c r="AJ93" s="48" t="str">
        <f ca="1">IF(OR(Y93="NO",Y93="LIMBO"),"IMP","NOIMP")</f>
        <v>NOIMP</v>
      </c>
      <c r="AK93" s="5"/>
    </row>
    <row r="94" spans="1:37" ht="63.75">
      <c r="A94" s="98">
        <v>10</v>
      </c>
      <c r="B94" s="99" t="s">
        <v>437</v>
      </c>
      <c r="C94" s="207"/>
      <c r="D94" s="98" t="s">
        <v>438</v>
      </c>
      <c r="E94" s="98" t="s">
        <v>439</v>
      </c>
      <c r="F94" s="153">
        <v>45079</v>
      </c>
      <c r="G94" s="98"/>
      <c r="H94" s="98" t="s">
        <v>111</v>
      </c>
      <c r="I94" s="99">
        <v>45105</v>
      </c>
      <c r="J94" s="141">
        <v>0.52083333333333337</v>
      </c>
      <c r="K94" s="98" t="s">
        <v>365</v>
      </c>
      <c r="L94" s="192"/>
      <c r="M94" s="99" t="s">
        <v>331</v>
      </c>
      <c r="N94" s="98" t="s">
        <v>354</v>
      </c>
      <c r="O94" s="98" t="s">
        <v>2283</v>
      </c>
      <c r="P94" s="98" t="s">
        <v>442</v>
      </c>
      <c r="Q94" s="98" t="s">
        <v>111</v>
      </c>
      <c r="R94" s="192"/>
      <c r="S94" s="98"/>
      <c r="T94" s="98"/>
      <c r="U94" s="98"/>
      <c r="V94" s="98" t="s">
        <v>345</v>
      </c>
      <c r="W94" s="98" t="s">
        <v>440</v>
      </c>
      <c r="X94" s="98" t="s">
        <v>434</v>
      </c>
      <c r="Y94" s="162" t="str">
        <f ca="1">IF(I94&lt;&gt;"",IF(I94&lt;=TODAY(),IF(OR(N94="REPROGRAMADA",N94="SUSPENDIDA",N94="EXCLUSION",N94="COLEGIADO"),"NO HECHA",IF(N94=" ","SINRESULTADO","SI")),"NO"),IF(N94="EXCLUSION","NO HECHA","LIMBO"))</f>
        <v>NO HECHA</v>
      </c>
      <c r="Z94" s="98" t="str">
        <f>IF($Z$1=I94,"DIASOL", "DIANOSOL")</f>
        <v>DIANOSOL</v>
      </c>
      <c r="AA94" s="98" t="s">
        <v>240</v>
      </c>
      <c r="AB94" s="98" t="s">
        <v>441</v>
      </c>
      <c r="AC94" s="98" t="str">
        <f>IF(H94=$M$1,"SI","NO")</f>
        <v>NO</v>
      </c>
      <c r="AD94" s="98"/>
      <c r="AE94" s="98"/>
      <c r="AF94" s="98" t="s">
        <v>2177</v>
      </c>
      <c r="AG94" s="162" t="str">
        <f>IF(COUNTIF(C94,"*preso*")&gt;0,"SI","NO")</f>
        <v>NO</v>
      </c>
      <c r="AH94" s="244">
        <f>NroOrden(N94)</f>
        <v>3</v>
      </c>
      <c r="AI94" s="98"/>
      <c r="AJ94" s="48" t="str">
        <f ca="1">IF(OR(Y94="NO",Y94="LIMBO"),"IMP","NOIMP")</f>
        <v>NOIMP</v>
      </c>
      <c r="AK94" s="5"/>
    </row>
    <row r="95" spans="1:37" ht="76.5">
      <c r="A95" s="98">
        <v>14</v>
      </c>
      <c r="B95" s="99" t="s">
        <v>460</v>
      </c>
      <c r="C95" s="207"/>
      <c r="D95" s="98" t="s">
        <v>461</v>
      </c>
      <c r="E95" s="98" t="s">
        <v>462</v>
      </c>
      <c r="F95" s="153">
        <v>45083</v>
      </c>
      <c r="G95" s="98"/>
      <c r="H95" s="98" t="s">
        <v>111</v>
      </c>
      <c r="I95" s="99">
        <v>45105</v>
      </c>
      <c r="J95" s="98" t="s">
        <v>396</v>
      </c>
      <c r="K95" s="98" t="s">
        <v>364</v>
      </c>
      <c r="L95" s="192"/>
      <c r="M95" s="99" t="s">
        <v>329</v>
      </c>
      <c r="N95" s="98" t="s">
        <v>354</v>
      </c>
      <c r="O95" s="98" t="s">
        <v>2283</v>
      </c>
      <c r="P95" s="98" t="s">
        <v>465</v>
      </c>
      <c r="Q95" s="98" t="s">
        <v>111</v>
      </c>
      <c r="R95" s="192"/>
      <c r="S95" s="98"/>
      <c r="T95" s="98"/>
      <c r="U95" s="98"/>
      <c r="V95" s="98" t="s">
        <v>344</v>
      </c>
      <c r="W95" s="98" t="s">
        <v>135</v>
      </c>
      <c r="X95" s="98" t="s">
        <v>111</v>
      </c>
      <c r="Y95" s="162" t="str">
        <f ca="1">IF(I95&lt;&gt;"",IF(I95&lt;=TODAY(),IF(OR(N95="REPROGRAMADA",N95="SUSPENDIDA",N95="EXCLUSION",N95="COLEGIADO"),"NO HECHA",IF(N95=" ","SINRESULTADO","SI")),"NO"),IF(N95="EXCLUSION","NO HECHA","LIMBO"))</f>
        <v>NO HECHA</v>
      </c>
      <c r="Z95" s="98" t="str">
        <f>IF($Z$1=I95,"DIASOL", "DIANOSOL")</f>
        <v>DIANOSOL</v>
      </c>
      <c r="AA95" s="98" t="s">
        <v>240</v>
      </c>
      <c r="AB95" s="98" t="s">
        <v>463</v>
      </c>
      <c r="AC95" s="98" t="str">
        <f>IF(H95=$M$1,"SI","NO")</f>
        <v>NO</v>
      </c>
      <c r="AD95" s="98"/>
      <c r="AE95" s="98"/>
      <c r="AF95" s="98"/>
      <c r="AG95" s="162" t="str">
        <f>IF(COUNTIF(C95,"*preso*")&gt;0,"SI","NO")</f>
        <v>NO</v>
      </c>
      <c r="AH95" s="244">
        <f>NroOrden(N95)</f>
        <v>3</v>
      </c>
      <c r="AI95" s="98"/>
      <c r="AJ95" s="48" t="str">
        <f ca="1">IF(OR(Y95="NO",Y95="LIMBO"),"IMP","NOIMP")</f>
        <v>NOIMP</v>
      </c>
      <c r="AK95" s="5"/>
    </row>
    <row r="96" spans="1:37" ht="102">
      <c r="A96" s="98">
        <v>100</v>
      </c>
      <c r="B96" s="99" t="s">
        <v>943</v>
      </c>
      <c r="C96" s="206"/>
      <c r="D96" s="98" t="s">
        <v>944</v>
      </c>
      <c r="E96" s="98" t="s">
        <v>945</v>
      </c>
      <c r="F96" s="182"/>
      <c r="G96" s="98"/>
      <c r="H96" s="98"/>
      <c r="I96" s="99">
        <v>45107</v>
      </c>
      <c r="J96" s="141">
        <v>0.58333333333333337</v>
      </c>
      <c r="K96" s="180" t="s">
        <v>362</v>
      </c>
      <c r="L96" s="192"/>
      <c r="M96" s="99" t="s">
        <v>329</v>
      </c>
      <c r="N96" s="98" t="s">
        <v>354</v>
      </c>
      <c r="O96" s="98" t="s">
        <v>2334</v>
      </c>
      <c r="P96" s="98" t="s">
        <v>1422</v>
      </c>
      <c r="Q96" s="180" t="s">
        <v>111</v>
      </c>
      <c r="R96" s="192"/>
      <c r="S96" s="98"/>
      <c r="T96" s="180"/>
      <c r="U96" s="180"/>
      <c r="V96" s="98" t="s">
        <v>946</v>
      </c>
      <c r="W96" s="98" t="s">
        <v>947</v>
      </c>
      <c r="X96" s="98" t="s">
        <v>111</v>
      </c>
      <c r="Y96" s="162" t="str">
        <f ca="1">IF(I96&lt;&gt;"",IF(I96&lt;=TODAY(),IF(OR(N96="REPROGRAMADA",N96="SUSPENDIDA",N96="EXCLUSION",N96="COLEGIADO"),"NO HECHA",IF(N96=" ","SINRESULTADO","SI")),"NO"),IF(N96="EXCLUSION","NO HECHA","LIMBO"))</f>
        <v>NO HECHA</v>
      </c>
      <c r="Z96" s="98" t="str">
        <f>IF($Z$1=I96,"DIASOL", "DIANOSOL")</f>
        <v>DIANOSOL</v>
      </c>
      <c r="AA96" s="98" t="s">
        <v>240</v>
      </c>
      <c r="AB96" s="98" t="s">
        <v>948</v>
      </c>
      <c r="AC96" s="183" t="str">
        <f>IF(H96=$M$1,"SI","NO")</f>
        <v>NO</v>
      </c>
      <c r="AD96" s="183"/>
      <c r="AE96" s="180"/>
      <c r="AF96" s="180"/>
      <c r="AG96" s="180" t="str">
        <f>IF(COUNTIF(C96,"*preso*")&gt;0,"SI","NO")</f>
        <v>NO</v>
      </c>
      <c r="AH96" s="255">
        <f>NroOrden(N96)</f>
        <v>3</v>
      </c>
      <c r="AI96" s="180"/>
      <c r="AJ96" s="270" t="str">
        <f ca="1">IF(OR(Y96="NO",Y96="LIMBO"),"IMP","NOIMP")</f>
        <v>NOIMP</v>
      </c>
      <c r="AK96" s="5"/>
    </row>
    <row r="97" spans="1:37" ht="25.5">
      <c r="A97" s="98">
        <v>32</v>
      </c>
      <c r="B97" s="99" t="s">
        <v>572</v>
      </c>
      <c r="C97" s="206"/>
      <c r="D97" s="98" t="s">
        <v>1335</v>
      </c>
      <c r="E97" s="98" t="s">
        <v>573</v>
      </c>
      <c r="F97" s="153">
        <v>45079</v>
      </c>
      <c r="G97" s="98"/>
      <c r="H97" s="98"/>
      <c r="I97" s="99">
        <v>45111</v>
      </c>
      <c r="J97" s="141">
        <v>0.39583333333333331</v>
      </c>
      <c r="K97" s="98" t="s">
        <v>364</v>
      </c>
      <c r="L97" s="192"/>
      <c r="M97" s="99" t="s">
        <v>329</v>
      </c>
      <c r="N97" s="98" t="s">
        <v>354</v>
      </c>
      <c r="O97" s="179"/>
      <c r="P97" s="179"/>
      <c r="Q97" s="98" t="s">
        <v>111</v>
      </c>
      <c r="R97" s="192"/>
      <c r="S97" s="98"/>
      <c r="T97" s="98"/>
      <c r="U97" s="98"/>
      <c r="V97" s="98" t="s">
        <v>191</v>
      </c>
      <c r="W97" s="98" t="s">
        <v>111</v>
      </c>
      <c r="X97" s="98" t="s">
        <v>111</v>
      </c>
      <c r="Y97" s="162" t="str">
        <f ca="1">IF(I97&lt;&gt;"",IF(I97&lt;=TODAY(),IF(OR(N97="REPROGRAMADA",N97="SUSPENDIDA",N97="EXCLUSION",N97="COLEGIADO"),"NO HECHA",IF(N97=" ","SINRESULTADO","SI")),"NO"),IF(N97="EXCLUSION","NO HECHA","LIMBO"))</f>
        <v>NO HECHA</v>
      </c>
      <c r="Z97" s="98" t="str">
        <f>IF($Z$1=I97,"DIASOL", "DIANOSOL")</f>
        <v>DIANOSOL</v>
      </c>
      <c r="AA97" s="98" t="s">
        <v>240</v>
      </c>
      <c r="AB97" s="98" t="s">
        <v>574</v>
      </c>
      <c r="AC97" s="98" t="str">
        <f>IF(H97=$M$1,"SI","NO")</f>
        <v>NO</v>
      </c>
      <c r="AD97" s="98"/>
      <c r="AE97" s="98"/>
      <c r="AF97" s="98"/>
      <c r="AG97" s="162" t="str">
        <f>IF(COUNTIF(C97,"*preso*")&gt;0,"SI","NO")</f>
        <v>NO</v>
      </c>
      <c r="AH97" s="244">
        <f>NroOrden(N97)</f>
        <v>3</v>
      </c>
      <c r="AI97" s="98"/>
      <c r="AJ97" s="48" t="str">
        <f ca="1">IF(OR(Y97="NO",Y97="LIMBO"),"IMP","NOIMP")</f>
        <v>NOIMP</v>
      </c>
      <c r="AK97" s="5"/>
    </row>
    <row r="98" spans="1:37" ht="155.25" customHeight="1">
      <c r="A98" s="98">
        <v>101</v>
      </c>
      <c r="B98" s="99" t="s">
        <v>949</v>
      </c>
      <c r="C98" s="206"/>
      <c r="D98" s="98" t="s">
        <v>950</v>
      </c>
      <c r="E98" s="98" t="s">
        <v>951</v>
      </c>
      <c r="F98" s="153"/>
      <c r="G98" s="98"/>
      <c r="H98" s="98" t="s">
        <v>111</v>
      </c>
      <c r="I98" s="99">
        <v>45112</v>
      </c>
      <c r="J98" s="141">
        <v>0.39583333333333331</v>
      </c>
      <c r="K98" s="98" t="s">
        <v>364</v>
      </c>
      <c r="L98" s="192"/>
      <c r="M98" s="99" t="s">
        <v>330</v>
      </c>
      <c r="N98" s="98" t="s">
        <v>354</v>
      </c>
      <c r="O98" s="98" t="s">
        <v>2281</v>
      </c>
      <c r="P98" s="98" t="s">
        <v>953</v>
      </c>
      <c r="Q98" s="98" t="s">
        <v>111</v>
      </c>
      <c r="R98" s="192"/>
      <c r="S98" s="98"/>
      <c r="T98" s="98"/>
      <c r="U98" s="98"/>
      <c r="V98" s="98" t="s">
        <v>193</v>
      </c>
      <c r="W98" s="98" t="s">
        <v>140</v>
      </c>
      <c r="X98" s="98" t="s">
        <v>111</v>
      </c>
      <c r="Y98" s="162" t="str">
        <f ca="1">IF(I98&lt;&gt;"",IF(I98&lt;=TODAY(),IF(OR(N98="REPROGRAMADA",N98="SUSPENDIDA",N98="EXCLUSION",N98="COLEGIADO"),"NO HECHA",IF(N98=" ","SINRESULTADO","SI")),"NO"),IF(N98="EXCLUSION","NO HECHA","LIMBO"))</f>
        <v>NO HECHA</v>
      </c>
      <c r="Z98" s="98" t="str">
        <f>IF($Z$1=I98,"DIASOL", "DIANOSOL")</f>
        <v>DIANOSOL</v>
      </c>
      <c r="AA98" s="98" t="s">
        <v>240</v>
      </c>
      <c r="AB98" s="98" t="s">
        <v>954</v>
      </c>
      <c r="AC98" s="98" t="str">
        <f>IF(H98=$M$1,"SI","NO")</f>
        <v>NO</v>
      </c>
      <c r="AD98" s="98"/>
      <c r="AE98" s="98"/>
      <c r="AF98" s="98"/>
      <c r="AG98" s="162" t="str">
        <f>IF(COUNTIF(C98,"*preso*")&gt;0,"SI","NO")</f>
        <v>NO</v>
      </c>
      <c r="AH98" s="244">
        <f>NroOrden(N98)</f>
        <v>3</v>
      </c>
      <c r="AI98" s="98"/>
      <c r="AJ98" s="48" t="str">
        <f ca="1">IF(OR(Y98="NO",Y98="LIMBO"),"IMP","NOIMP")</f>
        <v>NOIMP</v>
      </c>
      <c r="AK98" s="5"/>
    </row>
    <row r="99" spans="1:37" ht="25.5">
      <c r="A99" s="98">
        <v>95</v>
      </c>
      <c r="B99" s="99" t="s">
        <v>926</v>
      </c>
      <c r="C99" s="206"/>
      <c r="D99" s="98" t="s">
        <v>927</v>
      </c>
      <c r="E99" s="98" t="s">
        <v>590</v>
      </c>
      <c r="F99" s="182">
        <v>45068</v>
      </c>
      <c r="G99" s="98"/>
      <c r="H99" s="98" t="s">
        <v>1644</v>
      </c>
      <c r="I99" s="99">
        <v>45113</v>
      </c>
      <c r="J99" s="141">
        <v>0.54166666666666663</v>
      </c>
      <c r="K99" s="180" t="s">
        <v>362</v>
      </c>
      <c r="L99" s="192"/>
      <c r="M99" s="99" t="s">
        <v>329</v>
      </c>
      <c r="N99" s="98" t="s">
        <v>354</v>
      </c>
      <c r="O99" s="98" t="s">
        <v>2334</v>
      </c>
      <c r="P99" s="98" t="s">
        <v>1422</v>
      </c>
      <c r="Q99" s="180" t="s">
        <v>111</v>
      </c>
      <c r="R99" s="192"/>
      <c r="S99" s="98"/>
      <c r="T99" s="180"/>
      <c r="U99" s="180"/>
      <c r="V99" s="98" t="s">
        <v>346</v>
      </c>
      <c r="W99" s="98" t="s">
        <v>141</v>
      </c>
      <c r="X99" s="98" t="s">
        <v>111</v>
      </c>
      <c r="Y99" s="162" t="str">
        <f ca="1">IF(I99&lt;&gt;"",IF(I99&lt;=TODAY(),IF(OR(N99="REPROGRAMADA",N99="SUSPENDIDA",N99="EXCLUSION",N99="COLEGIADO"),"NO HECHA",IF(N99=" ","SINRESULTADO","SI")),"NO"),IF(N99="EXCLUSION","NO HECHA","LIMBO"))</f>
        <v>NO HECHA</v>
      </c>
      <c r="Z99" s="98" t="str">
        <f>IF($Z$1=I99,"DIASOL", "DIANOSOL")</f>
        <v>DIANOSOL</v>
      </c>
      <c r="AA99" s="98" t="s">
        <v>240</v>
      </c>
      <c r="AB99" s="98" t="s">
        <v>929</v>
      </c>
      <c r="AC99" s="183" t="str">
        <f>IF(H99=$M$1,"SI","NO")</f>
        <v>NO</v>
      </c>
      <c r="AD99" s="183"/>
      <c r="AE99" s="180"/>
      <c r="AF99" s="180"/>
      <c r="AG99" s="180" t="str">
        <f>IF(COUNTIF(C99,"*preso*")&gt;0,"SI","NO")</f>
        <v>NO</v>
      </c>
      <c r="AH99" s="255">
        <f>NroOrden(N99)</f>
        <v>3</v>
      </c>
      <c r="AI99" s="180"/>
      <c r="AJ99" s="270" t="str">
        <f ca="1">IF(OR(Y99="NO",Y99="LIMBO"),"IMP","NOIMP")</f>
        <v>NOIMP</v>
      </c>
      <c r="AK99" s="5"/>
    </row>
    <row r="100" spans="1:37" ht="25.5">
      <c r="A100" s="98">
        <v>37</v>
      </c>
      <c r="B100" s="99" t="s">
        <v>588</v>
      </c>
      <c r="C100" s="206"/>
      <c r="D100" s="98" t="s">
        <v>589</v>
      </c>
      <c r="E100" s="98" t="s">
        <v>590</v>
      </c>
      <c r="F100" s="153">
        <v>45085</v>
      </c>
      <c r="G100" s="98"/>
      <c r="H100" s="98" t="s">
        <v>111</v>
      </c>
      <c r="I100" s="99">
        <v>45118</v>
      </c>
      <c r="J100" s="141">
        <v>0.39583333333333331</v>
      </c>
      <c r="K100" s="98" t="s">
        <v>365</v>
      </c>
      <c r="L100" s="192"/>
      <c r="M100" s="99" t="s">
        <v>332</v>
      </c>
      <c r="N100" s="98" t="s">
        <v>354</v>
      </c>
      <c r="O100" s="98" t="s">
        <v>2331</v>
      </c>
      <c r="P100" s="98" t="s">
        <v>592</v>
      </c>
      <c r="Q100" s="98" t="s">
        <v>111</v>
      </c>
      <c r="R100" s="192"/>
      <c r="S100" s="98"/>
      <c r="T100" s="98"/>
      <c r="U100" s="98"/>
      <c r="V100" s="98" t="s">
        <v>345</v>
      </c>
      <c r="W100" s="98" t="s">
        <v>593</v>
      </c>
      <c r="X100" s="98" t="s">
        <v>111</v>
      </c>
      <c r="Y100" s="162" t="str">
        <f ca="1">IF(I100&lt;&gt;"",IF(I100&lt;=TODAY(),IF(OR(N100="REPROGRAMADA",N100="SUSPENDIDA",N100="EXCLUSION",N100="COLEGIADO"),"NO HECHA",IF(N100=" ","SINRESULTADO","SI")),"NO"),IF(N100="EXCLUSION","NO HECHA","LIMBO"))</f>
        <v>NO HECHA</v>
      </c>
      <c r="Z100" s="98" t="str">
        <f>IF($Z$1=I100,"DIASOL", "DIANOSOL")</f>
        <v>DIANOSOL</v>
      </c>
      <c r="AA100" s="98" t="s">
        <v>240</v>
      </c>
      <c r="AB100" s="98" t="s">
        <v>594</v>
      </c>
      <c r="AC100" s="98" t="str">
        <f>IF(H100=$M$1,"SI","NO")</f>
        <v>NO</v>
      </c>
      <c r="AD100" s="98"/>
      <c r="AE100" s="98"/>
      <c r="AF100" s="98" t="s">
        <v>2177</v>
      </c>
      <c r="AG100" s="162" t="str">
        <f>IF(COUNTIF(C100,"*preso*")&gt;0,"SI","NO")</f>
        <v>NO</v>
      </c>
      <c r="AH100" s="255">
        <f>NroOrden(N100)</f>
        <v>3</v>
      </c>
      <c r="AI100" s="98"/>
      <c r="AJ100" s="270" t="str">
        <f ca="1">IF(OR(Y100="NO",Y100="LIMBO"),"IMP","NOIMP")</f>
        <v>NOIMP</v>
      </c>
      <c r="AK100" s="5"/>
    </row>
    <row r="101" spans="1:37" ht="39.950000000000003" customHeight="1">
      <c r="A101" s="98">
        <v>23</v>
      </c>
      <c r="B101" s="99" t="s">
        <v>524</v>
      </c>
      <c r="C101" s="206"/>
      <c r="D101" s="98" t="s">
        <v>521</v>
      </c>
      <c r="E101" s="98"/>
      <c r="F101" s="153"/>
      <c r="G101" s="98"/>
      <c r="H101" s="98" t="s">
        <v>111</v>
      </c>
      <c r="I101" s="99">
        <v>45119</v>
      </c>
      <c r="J101" s="141">
        <v>0.39583333333333331</v>
      </c>
      <c r="K101" s="98" t="s">
        <v>365</v>
      </c>
      <c r="L101" s="192"/>
      <c r="M101" s="99" t="s">
        <v>331</v>
      </c>
      <c r="N101" s="98" t="s">
        <v>354</v>
      </c>
      <c r="O101" s="98" t="s">
        <v>2331</v>
      </c>
      <c r="P101" s="98" t="s">
        <v>522</v>
      </c>
      <c r="Q101" s="98" t="s">
        <v>111</v>
      </c>
      <c r="R101" s="192"/>
      <c r="S101" s="98"/>
      <c r="T101" s="98"/>
      <c r="U101" s="98"/>
      <c r="V101" s="98" t="s">
        <v>339</v>
      </c>
      <c r="W101" s="98" t="s">
        <v>132</v>
      </c>
      <c r="X101" s="98" t="s">
        <v>111</v>
      </c>
      <c r="Y101" s="162" t="str">
        <f ca="1">IF(I101&lt;&gt;"",IF(I101&lt;=TODAY(),IF(OR(N101="REPROGRAMADA",N101="SUSPENDIDA",N101="EXCLUSION",N101="COLEGIADO"),"NO HECHA",IF(N101=" ","SINRESULTADO","SI")),"NO"),IF(N101="EXCLUSION","NO HECHA","LIMBO"))</f>
        <v>NO HECHA</v>
      </c>
      <c r="Z101" s="98" t="str">
        <f>IF($Z$1=I101,"DIASOL", "DIANOSOL")</f>
        <v>DIANOSOL</v>
      </c>
      <c r="AA101" s="98" t="s">
        <v>240</v>
      </c>
      <c r="AB101" s="98" t="s">
        <v>523</v>
      </c>
      <c r="AC101" s="98" t="str">
        <f>IF(H101=$M$1,"SI","NO")</f>
        <v>NO</v>
      </c>
      <c r="AD101" s="98"/>
      <c r="AE101" s="98"/>
      <c r="AF101" s="98" t="s">
        <v>2177</v>
      </c>
      <c r="AG101" s="162" t="str">
        <f>IF(COUNTIF(C101,"*preso*")&gt;0,"SI","NO")</f>
        <v>NO</v>
      </c>
      <c r="AH101" s="255">
        <f>NroOrden(N101)</f>
        <v>3</v>
      </c>
      <c r="AI101" s="98"/>
      <c r="AJ101" s="270" t="str">
        <f ca="1">IF(OR(Y101="NO",Y101="LIMBO"),"IMP","NOIMP")</f>
        <v>NOIMP</v>
      </c>
      <c r="AK101" s="5"/>
    </row>
    <row r="102" spans="1:37" ht="29.25" customHeight="1">
      <c r="A102" s="98">
        <v>94</v>
      </c>
      <c r="B102" s="99" t="s">
        <v>921</v>
      </c>
      <c r="C102" s="206"/>
      <c r="D102" s="98" t="s">
        <v>922</v>
      </c>
      <c r="E102" s="98" t="s">
        <v>923</v>
      </c>
      <c r="F102" s="153">
        <v>45104</v>
      </c>
      <c r="G102" s="98"/>
      <c r="H102" s="98" t="s">
        <v>111</v>
      </c>
      <c r="I102" s="99">
        <v>45149</v>
      </c>
      <c r="J102" s="141">
        <v>0.5</v>
      </c>
      <c r="K102" s="98" t="s">
        <v>363</v>
      </c>
      <c r="L102" s="192"/>
      <c r="M102" s="99" t="s">
        <v>330</v>
      </c>
      <c r="N102" s="98" t="s">
        <v>354</v>
      </c>
      <c r="O102" s="98" t="s">
        <v>2285</v>
      </c>
      <c r="P102" s="98" t="s">
        <v>1437</v>
      </c>
      <c r="Q102" s="98" t="s">
        <v>111</v>
      </c>
      <c r="R102" s="192"/>
      <c r="S102" s="98"/>
      <c r="T102" s="98"/>
      <c r="U102" s="98"/>
      <c r="V102" s="98" t="s">
        <v>342</v>
      </c>
      <c r="W102" s="98" t="s">
        <v>119</v>
      </c>
      <c r="X102" s="98" t="s">
        <v>111</v>
      </c>
      <c r="Y102" s="162" t="str">
        <f ca="1">IF(I102&lt;&gt;"",IF(I102&lt;=TODAY(),IF(OR(N102="REPROGRAMADA",N102="SUSPENDIDA",N102="EXCLUSION",N102="COLEGIADO"),"NO HECHA",IF(N102=" ","SINRESULTADO","SI")),"NO"),IF(N102="EXCLUSION","NO HECHA","LIMBO"))</f>
        <v>NO HECHA</v>
      </c>
      <c r="Z102" s="98" t="str">
        <f>IF($Z$1=I102,"DIASOL", "DIANOSOL")</f>
        <v>DIANOSOL</v>
      </c>
      <c r="AA102" s="98" t="s">
        <v>240</v>
      </c>
      <c r="AB102" s="98" t="s">
        <v>925</v>
      </c>
      <c r="AC102" s="98" t="str">
        <f>IF(H102=$M$1,"SI","NO")</f>
        <v>NO</v>
      </c>
      <c r="AD102" s="98"/>
      <c r="AE102" s="98"/>
      <c r="AF102" s="98"/>
      <c r="AG102" s="162" t="str">
        <f>IF(COUNTIF(C102,"*preso*")&gt;0,"SI","NO")</f>
        <v>NO</v>
      </c>
      <c r="AH102" s="244">
        <f>NroOrden(N102)</f>
        <v>3</v>
      </c>
      <c r="AI102" s="98" t="s">
        <v>1438</v>
      </c>
      <c r="AJ102" s="48" t="str">
        <f ca="1">IF(OR(Y102="NO",Y102="LIMBO"),"IMP","NOIMP")</f>
        <v>NOIMP</v>
      </c>
      <c r="AK102" s="5"/>
    </row>
    <row r="103" spans="1:37" ht="39.950000000000003" customHeight="1">
      <c r="A103" s="98">
        <v>132</v>
      </c>
      <c r="B103" s="99" t="s">
        <v>1042</v>
      </c>
      <c r="C103" s="207"/>
      <c r="D103" s="98" t="s">
        <v>1043</v>
      </c>
      <c r="E103" s="98" t="s">
        <v>1044</v>
      </c>
      <c r="F103" s="98"/>
      <c r="G103" s="98"/>
      <c r="H103" s="98"/>
      <c r="I103" s="99">
        <v>45152</v>
      </c>
      <c r="J103" s="99" t="s">
        <v>1045</v>
      </c>
      <c r="K103" s="98" t="s">
        <v>362</v>
      </c>
      <c r="L103" s="192"/>
      <c r="M103" s="99" t="s">
        <v>328</v>
      </c>
      <c r="N103" s="98" t="s">
        <v>354</v>
      </c>
      <c r="O103" s="98" t="s">
        <v>2334</v>
      </c>
      <c r="P103" s="98" t="s">
        <v>1333</v>
      </c>
      <c r="Q103" s="98" t="s">
        <v>111</v>
      </c>
      <c r="R103" s="192"/>
      <c r="S103" s="98"/>
      <c r="T103" s="98"/>
      <c r="U103" s="98"/>
      <c r="V103" s="98" t="s">
        <v>182</v>
      </c>
      <c r="W103" s="98" t="s">
        <v>1046</v>
      </c>
      <c r="X103" s="98" t="s">
        <v>111</v>
      </c>
      <c r="Y103" s="162" t="str">
        <f ca="1">IF(I103&lt;&gt;"",IF(I103&lt;=TODAY(),IF(OR(N103="REPROGRAMADA",N103="SUSPENDIDA",N103="EXCLUSION",N103="COLEGIADO"),"NO HECHA",IF(N103=" ","SINRESULTADO","SI")),"NO"),IF(N103="EXCLUSION","NO HECHA","LIMBO"))</f>
        <v>NO HECHA</v>
      </c>
      <c r="Z103" s="98" t="str">
        <f>IF($Z$1=I103,"DIASOL", "DIANOSOL")</f>
        <v>DIANOSOL</v>
      </c>
      <c r="AA103" s="98" t="s">
        <v>240</v>
      </c>
      <c r="AB103" s="98" t="s">
        <v>1047</v>
      </c>
      <c r="AC103" s="98" t="str">
        <f>IF(H103=$M$1,"SI","NO")</f>
        <v>NO</v>
      </c>
      <c r="AD103" s="98"/>
      <c r="AE103" s="98"/>
      <c r="AF103" s="98"/>
      <c r="AG103" s="162" t="str">
        <f>IF(COUNTIF(C103,"*preso*")&gt;0,"SI","NO")</f>
        <v>NO</v>
      </c>
      <c r="AH103" s="255">
        <f>NroOrden(N103)</f>
        <v>3</v>
      </c>
      <c r="AI103" s="98" t="s">
        <v>1442</v>
      </c>
      <c r="AJ103" s="270" t="str">
        <f ca="1">IF(OR(Y103="NO",Y103="LIMBO"),"IMP","NOIMP")</f>
        <v>NOIMP</v>
      </c>
      <c r="AK103" s="5"/>
    </row>
    <row r="104" spans="1:37" ht="39.950000000000003" customHeight="1">
      <c r="A104" s="180">
        <v>121</v>
      </c>
      <c r="B104" s="99" t="s">
        <v>997</v>
      </c>
      <c r="C104" s="207"/>
      <c r="D104" s="98" t="s">
        <v>998</v>
      </c>
      <c r="E104" s="98" t="s">
        <v>999</v>
      </c>
      <c r="F104" s="182">
        <v>45110</v>
      </c>
      <c r="G104" s="98"/>
      <c r="H104" s="98"/>
      <c r="I104" s="181">
        <v>45161</v>
      </c>
      <c r="J104" s="99" t="s">
        <v>396</v>
      </c>
      <c r="K104" s="180" t="s">
        <v>365</v>
      </c>
      <c r="L104" s="192"/>
      <c r="M104" s="99" t="s">
        <v>333</v>
      </c>
      <c r="N104" s="98" t="s">
        <v>354</v>
      </c>
      <c r="O104" s="98" t="s">
        <v>2285</v>
      </c>
      <c r="P104" s="98" t="s">
        <v>1433</v>
      </c>
      <c r="Q104" s="180" t="s">
        <v>111</v>
      </c>
      <c r="R104" s="192"/>
      <c r="S104" s="98"/>
      <c r="T104" s="180"/>
      <c r="U104" s="180"/>
      <c r="V104" s="98" t="s">
        <v>193</v>
      </c>
      <c r="W104" s="98" t="s">
        <v>133</v>
      </c>
      <c r="X104" s="98" t="s">
        <v>111</v>
      </c>
      <c r="Y104" s="162" t="str">
        <f ca="1">IF(I104&lt;&gt;"",IF(I104&lt;=TODAY(),IF(OR(N104="REPROGRAMADA",N104="SUSPENDIDA",N104="EXCLUSION",N104="COLEGIADO"),"NO HECHA",IF(N104=" ","SINRESULTADO","SI")),"NO"),IF(N104="EXCLUSION","NO HECHA","LIMBO"))</f>
        <v>NO HECHA</v>
      </c>
      <c r="Z104" s="98" t="str">
        <f>IF($Z$1=I104,"DIASOL", "DIANOSOL")</f>
        <v>DIANOSOL</v>
      </c>
      <c r="AA104" s="98" t="s">
        <v>240</v>
      </c>
      <c r="AB104" s="98" t="s">
        <v>1001</v>
      </c>
      <c r="AC104" s="183" t="str">
        <f>IF(H104=$M$1,"SI","NO")</f>
        <v>NO</v>
      </c>
      <c r="AD104" s="183"/>
      <c r="AE104" s="180"/>
      <c r="AF104" s="98" t="s">
        <v>2177</v>
      </c>
      <c r="AG104" s="180" t="str">
        <f>IF(COUNTIF(C104,"*preso*")&gt;0,"SI","NO")</f>
        <v>NO</v>
      </c>
      <c r="AH104" s="244">
        <f>NroOrden(N104)</f>
        <v>3</v>
      </c>
      <c r="AI104" s="180"/>
      <c r="AJ104" s="48" t="str">
        <f ca="1">IF(OR(Y104="NO",Y104="LIMBO"),"IMP","NOIMP")</f>
        <v>NOIMP</v>
      </c>
      <c r="AK104" s="5"/>
    </row>
    <row r="105" spans="1:37" ht="127.5">
      <c r="A105" s="180">
        <v>133</v>
      </c>
      <c r="B105" s="99" t="s">
        <v>1048</v>
      </c>
      <c r="C105" s="207"/>
      <c r="D105" s="180" t="s">
        <v>1049</v>
      </c>
      <c r="E105" s="98" t="s">
        <v>1050</v>
      </c>
      <c r="F105" s="180"/>
      <c r="G105" s="98"/>
      <c r="H105" s="98" t="s">
        <v>1644</v>
      </c>
      <c r="I105" s="181">
        <v>45191</v>
      </c>
      <c r="J105" s="99" t="s">
        <v>396</v>
      </c>
      <c r="K105" s="180" t="s">
        <v>365</v>
      </c>
      <c r="L105" s="192"/>
      <c r="M105" s="99" t="s">
        <v>332</v>
      </c>
      <c r="N105" s="98" t="s">
        <v>354</v>
      </c>
      <c r="O105" s="98" t="s">
        <v>2285</v>
      </c>
      <c r="P105" s="98" t="s">
        <v>2118</v>
      </c>
      <c r="Q105" s="180" t="s">
        <v>111</v>
      </c>
      <c r="R105" s="192"/>
      <c r="S105" s="98"/>
      <c r="T105" s="180"/>
      <c r="U105" s="180"/>
      <c r="V105" s="98" t="s">
        <v>347</v>
      </c>
      <c r="W105" s="98" t="s">
        <v>180</v>
      </c>
      <c r="X105" s="98" t="s">
        <v>1051</v>
      </c>
      <c r="Y105" s="162" t="str">
        <f ca="1">IF(I105&lt;&gt;"",IF(I105&lt;=TODAY(),IF(OR(N105="REPROGRAMADA",N105="SUSPENDIDA",N105="EXCLUSION",N105="COLEGIADO"),"NO HECHA",IF(N105=" ","SINRESULTADO","SI")),"NO"),IF(N105="EXCLUSION","NO HECHA","LIMBO"))</f>
        <v>NO HECHA</v>
      </c>
      <c r="Z105" s="98" t="str">
        <f>IF($Z$1=I105,"DIASOL", "DIANOSOL")</f>
        <v>DIANOSOL</v>
      </c>
      <c r="AA105" s="98" t="s">
        <v>240</v>
      </c>
      <c r="AB105" s="98" t="s">
        <v>1052</v>
      </c>
      <c r="AC105" s="183" t="str">
        <f>IF(H105=$M$1,"SI","NO")</f>
        <v>NO</v>
      </c>
      <c r="AD105" s="183"/>
      <c r="AE105" s="180"/>
      <c r="AF105" s="98" t="s">
        <v>2177</v>
      </c>
      <c r="AG105" s="180" t="str">
        <f>IF(COUNTIF(C105,"*preso*")&gt;0,"SI","NO")</f>
        <v>NO</v>
      </c>
      <c r="AH105" s="244">
        <f>NroOrden(N105)</f>
        <v>3</v>
      </c>
      <c r="AI105" s="180"/>
      <c r="AJ105" s="48" t="str">
        <f ca="1">IF(OR(Y105="NO",Y105="LIMBO"),"IMP","NOIMP")</f>
        <v>NOIMP</v>
      </c>
    </row>
    <row r="106" spans="1:37" ht="61.5" customHeight="1">
      <c r="A106" s="98">
        <v>92</v>
      </c>
      <c r="B106" s="99" t="s">
        <v>909</v>
      </c>
      <c r="C106" s="206"/>
      <c r="D106" s="98" t="s">
        <v>910</v>
      </c>
      <c r="E106" s="98" t="s">
        <v>911</v>
      </c>
      <c r="F106" s="182">
        <v>45104</v>
      </c>
      <c r="G106" s="98"/>
      <c r="H106" s="98"/>
      <c r="I106" s="99">
        <v>45194</v>
      </c>
      <c r="J106" s="98" t="s">
        <v>14</v>
      </c>
      <c r="K106" s="180" t="s">
        <v>362</v>
      </c>
      <c r="L106" s="227"/>
      <c r="M106" s="99" t="s">
        <v>329</v>
      </c>
      <c r="N106" s="98" t="s">
        <v>354</v>
      </c>
      <c r="O106" s="98" t="s">
        <v>2331</v>
      </c>
      <c r="P106" s="98" t="s">
        <v>2119</v>
      </c>
      <c r="Q106" s="180" t="s">
        <v>111</v>
      </c>
      <c r="R106" s="192"/>
      <c r="S106" s="98"/>
      <c r="T106" s="180"/>
      <c r="U106" s="180"/>
      <c r="V106" s="98" t="s">
        <v>194</v>
      </c>
      <c r="W106" s="98" t="s">
        <v>914</v>
      </c>
      <c r="X106" s="98" t="s">
        <v>111</v>
      </c>
      <c r="Y106" s="162" t="str">
        <f ca="1">IF(I106&lt;&gt;"",IF(I106&lt;=TODAY(),IF(OR(N106="REPROGRAMADA",N106="SUSPENDIDA",N106="EXCLUSION",N106="COLEGIADO"),"NO HECHA",IF(N106=" ","SINRESULTADO","SI")),"NO"),IF(N106="EXCLUSION","NO HECHA","LIMBO"))</f>
        <v>NO HECHA</v>
      </c>
      <c r="Z106" s="98" t="str">
        <f>IF($Z$1=I106,"DIASOL", "DIANOSOL")</f>
        <v>DIANOSOL</v>
      </c>
      <c r="AA106" s="98" t="s">
        <v>240</v>
      </c>
      <c r="AB106" s="98" t="s">
        <v>915</v>
      </c>
      <c r="AC106" s="183" t="str">
        <f>IF(H106=$M$1,"SI","NO")</f>
        <v>NO</v>
      </c>
      <c r="AD106" s="183"/>
      <c r="AE106" s="180"/>
      <c r="AF106" s="180"/>
      <c r="AG106" s="180" t="str">
        <f>IF(COUNTIF(C106,"*preso*")&gt;0,"SI","NO")</f>
        <v>NO</v>
      </c>
      <c r="AH106" s="255">
        <f>NroOrden(N106)</f>
        <v>3</v>
      </c>
      <c r="AI106" s="180"/>
      <c r="AJ106" s="270" t="str">
        <f ca="1">IF(OR(Y106="NO",Y106="LIMBO"),"IMP","NOIMP")</f>
        <v>NOIMP</v>
      </c>
    </row>
    <row r="107" spans="1:37" ht="58.5" customHeight="1">
      <c r="A107" s="180">
        <v>209</v>
      </c>
      <c r="B107" s="99" t="s">
        <v>1454</v>
      </c>
      <c r="C107" s="207" t="s">
        <v>1472</v>
      </c>
      <c r="D107" s="98" t="s">
        <v>1455</v>
      </c>
      <c r="E107" s="98" t="s">
        <v>1456</v>
      </c>
      <c r="F107" s="182">
        <v>45161</v>
      </c>
      <c r="G107" s="98" t="s">
        <v>1457</v>
      </c>
      <c r="H107" s="98"/>
      <c r="I107" s="99">
        <v>45194</v>
      </c>
      <c r="J107" s="99" t="s">
        <v>14</v>
      </c>
      <c r="K107" s="180" t="s">
        <v>365</v>
      </c>
      <c r="L107" s="192"/>
      <c r="M107" s="99" t="s">
        <v>333</v>
      </c>
      <c r="N107" s="98" t="s">
        <v>354</v>
      </c>
      <c r="O107" s="98" t="s">
        <v>2285</v>
      </c>
      <c r="P107" s="98" t="s">
        <v>1811</v>
      </c>
      <c r="Q107" s="180" t="s">
        <v>111</v>
      </c>
      <c r="R107" s="192"/>
      <c r="S107" s="98" t="s">
        <v>1347</v>
      </c>
      <c r="T107" s="98" t="s">
        <v>1462</v>
      </c>
      <c r="U107" s="98" t="s">
        <v>1463</v>
      </c>
      <c r="V107" s="98" t="s">
        <v>1458</v>
      </c>
      <c r="W107" s="98" t="s">
        <v>1459</v>
      </c>
      <c r="X107" s="98" t="s">
        <v>1460</v>
      </c>
      <c r="Y107" s="165" t="str">
        <f ca="1">IF(I107&lt;&gt;"",IF(I107&lt;=TODAY(),IF(OR(N107="REPROGRAMADA",N107="SUSPENDIDA",N107="EXCLUSION",N107="COLEGIADO"),"NO HECHA",IF(N107=" ","SINRESULTADO","SI")),"NO"),IF(N107="EXCLUSION","NO HECHA","LIMBO"))</f>
        <v>NO HECHA</v>
      </c>
      <c r="Z107" s="154" t="str">
        <f>IF($Z$1=I107,"DIASOL", "DIANOSOL")</f>
        <v>DIANOSOL</v>
      </c>
      <c r="AA107" s="98" t="s">
        <v>240</v>
      </c>
      <c r="AB107" s="98" t="s">
        <v>1461</v>
      </c>
      <c r="AC107" s="156" t="str">
        <f>IF(H107=$M$1,"SI","NO")</f>
        <v>NO</v>
      </c>
      <c r="AD107" s="156"/>
      <c r="AE107" s="182">
        <v>45155</v>
      </c>
      <c r="AF107" s="98" t="s">
        <v>2177</v>
      </c>
      <c r="AG107" s="155" t="str">
        <f>IF(COUNTIF(C107,"*preso*")&gt;0,"SI","NO")</f>
        <v>SI</v>
      </c>
      <c r="AH107" s="244">
        <f>NroOrden(N107)</f>
        <v>3</v>
      </c>
      <c r="AI107" s="180"/>
      <c r="AJ107" s="48" t="str">
        <f ca="1">IF(OR(Y107="NO",Y107="LIMBO"),"IMP","NOIMP")</f>
        <v>NOIMP</v>
      </c>
    </row>
    <row r="108" spans="1:37" ht="86.25" customHeight="1">
      <c r="A108" s="180">
        <v>217</v>
      </c>
      <c r="B108" s="99" t="s">
        <v>1651</v>
      </c>
      <c r="C108" s="207"/>
      <c r="D108" s="98" t="s">
        <v>1502</v>
      </c>
      <c r="E108" s="98" t="s">
        <v>1503</v>
      </c>
      <c r="F108" s="182">
        <v>45162</v>
      </c>
      <c r="G108" s="98"/>
      <c r="H108" s="98"/>
      <c r="I108" s="181">
        <v>45196</v>
      </c>
      <c r="J108" s="99" t="s">
        <v>993</v>
      </c>
      <c r="K108" s="180" t="s">
        <v>403</v>
      </c>
      <c r="L108" s="192"/>
      <c r="M108" s="99" t="s">
        <v>328</v>
      </c>
      <c r="N108" s="98" t="s">
        <v>354</v>
      </c>
      <c r="O108" s="98" t="s">
        <v>2333</v>
      </c>
      <c r="P108" s="98" t="s">
        <v>2077</v>
      </c>
      <c r="Q108" s="180" t="s">
        <v>111</v>
      </c>
      <c r="R108" s="192"/>
      <c r="S108" s="98"/>
      <c r="T108" s="180"/>
      <c r="U108" s="180"/>
      <c r="V108" s="98" t="s">
        <v>192</v>
      </c>
      <c r="W108" s="98" t="s">
        <v>1505</v>
      </c>
      <c r="X108" s="98" t="s">
        <v>111</v>
      </c>
      <c r="Y108" s="162" t="str">
        <f ca="1">IF(I108&lt;&gt;"",IF(I108&lt;=TODAY(),IF(OR(N108="REPROGRAMADA",N108="SUSPENDIDA",N108="EXCLUSION",N108="COLEGIADO"),"NO HECHA",IF(N108=" ","SINRESULTADO","SI")),"NO"),IF(N108="EXCLUSION","NO HECHA","LIMBO"))</f>
        <v>NO HECHA</v>
      </c>
      <c r="Z108" s="98" t="str">
        <f>IF($Z$1=I108,"DIASOL", "DIANOSOL")</f>
        <v>DIANOSOL</v>
      </c>
      <c r="AA108" s="98" t="s">
        <v>240</v>
      </c>
      <c r="AB108" s="98" t="s">
        <v>1506</v>
      </c>
      <c r="AC108" s="183" t="str">
        <f>IF(H108=$M$1,"SI","NO")</f>
        <v>NO</v>
      </c>
      <c r="AD108" s="183"/>
      <c r="AE108" s="182">
        <v>45153</v>
      </c>
      <c r="AF108" s="180"/>
      <c r="AG108" s="180" t="str">
        <f>IF(COUNTIF(C108,"*preso*")&gt;0,"SI","NO")</f>
        <v>NO</v>
      </c>
      <c r="AH108" s="255">
        <f>NroOrden(N108)</f>
        <v>3</v>
      </c>
      <c r="AI108" s="180"/>
      <c r="AJ108" s="270" t="str">
        <f ca="1">IF(OR(Y108="NO",Y108="LIMBO"),"IMP","NOIMP")</f>
        <v>NOIMP</v>
      </c>
    </row>
    <row r="109" spans="1:37" ht="38.25">
      <c r="A109" s="221">
        <v>245</v>
      </c>
      <c r="B109" s="222" t="s">
        <v>909</v>
      </c>
      <c r="C109" s="223"/>
      <c r="D109" s="221" t="s">
        <v>910</v>
      </c>
      <c r="E109" s="221" t="s">
        <v>911</v>
      </c>
      <c r="F109" s="224">
        <v>45104</v>
      </c>
      <c r="G109" s="221"/>
      <c r="H109" s="221" t="s">
        <v>1638</v>
      </c>
      <c r="I109" s="222">
        <v>45208</v>
      </c>
      <c r="J109" s="222" t="s">
        <v>14</v>
      </c>
      <c r="K109" s="221" t="s">
        <v>363</v>
      </c>
      <c r="L109" s="257" t="s">
        <v>1658</v>
      </c>
      <c r="M109" s="222" t="s">
        <v>329</v>
      </c>
      <c r="N109" s="221" t="s">
        <v>354</v>
      </c>
      <c r="O109" s="221" t="s">
        <v>2333</v>
      </c>
      <c r="P109" s="221" t="s">
        <v>2162</v>
      </c>
      <c r="Q109" s="221"/>
      <c r="R109" s="257"/>
      <c r="S109" s="221"/>
      <c r="T109" s="221"/>
      <c r="U109" s="221"/>
      <c r="V109" s="221" t="s">
        <v>194</v>
      </c>
      <c r="W109" s="221" t="s">
        <v>914</v>
      </c>
      <c r="X109" s="221" t="s">
        <v>111</v>
      </c>
      <c r="Y109" s="221" t="str">
        <f ca="1">IF(I109&lt;&gt;"",IF(I109&lt;=TODAY(),IF(OR(N109="REPROGRAMADA",N109="SUSPENDIDA",N109="EXCLUSION",N109="COLEGIADO"),"NO HECHA",IF(N109=" ","SINRESULTADO","SI")),"NO"),IF(N109="EXCLUSION","NO HECHA","LIMBO"))</f>
        <v>NO HECHA</v>
      </c>
      <c r="Z109" s="221" t="str">
        <f>IF($Z$1=I109,"DIASOL", "DIANOSOL")</f>
        <v>DIANOSOL</v>
      </c>
      <c r="AA109" s="221" t="s">
        <v>240</v>
      </c>
      <c r="AB109" s="221" t="s">
        <v>915</v>
      </c>
      <c r="AC109" s="221" t="str">
        <f>IF(H109=$M$1,"SI","NO")</f>
        <v>NO</v>
      </c>
      <c r="AD109" s="221"/>
      <c r="AE109" s="221"/>
      <c r="AF109" s="221"/>
      <c r="AG109" s="221" t="str">
        <f>IF(COUNTIF(C109,"*preso*")&gt;0,"SI","NO")</f>
        <v>NO</v>
      </c>
      <c r="AH109" s="255">
        <f>NroOrden(N109)</f>
        <v>3</v>
      </c>
      <c r="AI109" s="221"/>
      <c r="AJ109" s="270" t="str">
        <f ca="1">IF(OR(Y109="NO",Y109="LIMBO"),"IMP","NOIMP")</f>
        <v>NOIMP</v>
      </c>
    </row>
    <row r="110" spans="1:37" ht="39.950000000000003" customHeight="1">
      <c r="A110" s="180">
        <v>204</v>
      </c>
      <c r="B110" s="181" t="s">
        <v>921</v>
      </c>
      <c r="C110" s="207"/>
      <c r="D110" s="180" t="s">
        <v>922</v>
      </c>
      <c r="E110" s="180" t="s">
        <v>923</v>
      </c>
      <c r="F110" s="182">
        <v>45104</v>
      </c>
      <c r="G110" s="98"/>
      <c r="H110" s="98" t="s">
        <v>1637</v>
      </c>
      <c r="I110" s="181">
        <v>45210</v>
      </c>
      <c r="J110" s="99" t="s">
        <v>282</v>
      </c>
      <c r="K110" s="180" t="s">
        <v>363</v>
      </c>
      <c r="L110" s="192" t="s">
        <v>1659</v>
      </c>
      <c r="M110" s="99" t="s">
        <v>330</v>
      </c>
      <c r="N110" s="98" t="s">
        <v>354</v>
      </c>
      <c r="O110" s="98" t="s">
        <v>2285</v>
      </c>
      <c r="P110" s="98" t="s">
        <v>2123</v>
      </c>
      <c r="Q110" s="180" t="s">
        <v>111</v>
      </c>
      <c r="R110" s="192"/>
      <c r="S110" s="98"/>
      <c r="T110" s="180"/>
      <c r="U110" s="180"/>
      <c r="V110" s="98" t="s">
        <v>342</v>
      </c>
      <c r="W110" s="98" t="s">
        <v>134</v>
      </c>
      <c r="X110" s="98" t="s">
        <v>111</v>
      </c>
      <c r="Y110" s="159" t="str">
        <f ca="1">IF(I110&lt;&gt;"",IF(I110&lt;=TODAY(),IF(OR(N110="REPROGRAMADA",N110="SUSPENDIDA",N110="EXCLUSION",N110="COLEGIADO"),"NO HECHA",IF(N110=" ","SINRESULTADO","SI")),"NO"),IF(N110="EXCLUSION","NO HECHA","LIMBO"))</f>
        <v>NO HECHA</v>
      </c>
      <c r="Z110" s="149" t="str">
        <f>IF($Z$1=I110,"DIASOL", "DIANOSOL")</f>
        <v>DIANOSOL</v>
      </c>
      <c r="AA110" s="98" t="s">
        <v>240</v>
      </c>
      <c r="AB110" s="98" t="s">
        <v>925</v>
      </c>
      <c r="AC110" s="151" t="str">
        <f>IF(H110=$M$1,"SI","NO")</f>
        <v>NO</v>
      </c>
      <c r="AD110" s="151"/>
      <c r="AE110" s="180"/>
      <c r="AF110" s="180"/>
      <c r="AG110" s="84" t="str">
        <f>IF(COUNTIF(C110,"*preso*")&gt;0,"SI","NO")</f>
        <v>NO</v>
      </c>
      <c r="AH110" s="244">
        <f>NroOrden(N110)</f>
        <v>3</v>
      </c>
      <c r="AI110" s="180" t="s">
        <v>1438</v>
      </c>
      <c r="AJ110" s="48" t="str">
        <f ca="1">IF(OR(Y110="NO",Y110="LIMBO"),"IMP","NOIMP")</f>
        <v>NOIMP</v>
      </c>
    </row>
    <row r="111" spans="1:37" ht="39.950000000000003" customHeight="1">
      <c r="A111" s="221">
        <v>232</v>
      </c>
      <c r="B111" s="222" t="s">
        <v>1597</v>
      </c>
      <c r="C111" s="223" t="s">
        <v>1472</v>
      </c>
      <c r="D111" s="221" t="s">
        <v>1598</v>
      </c>
      <c r="E111" s="221" t="s">
        <v>1599</v>
      </c>
      <c r="F111" s="224">
        <v>45174</v>
      </c>
      <c r="G111" s="221"/>
      <c r="H111" s="221"/>
      <c r="I111" s="222">
        <v>45211</v>
      </c>
      <c r="J111" s="222" t="s">
        <v>282</v>
      </c>
      <c r="K111" s="221" t="s">
        <v>365</v>
      </c>
      <c r="L111" s="192"/>
      <c r="M111" s="222" t="s">
        <v>331</v>
      </c>
      <c r="N111" s="221" t="s">
        <v>354</v>
      </c>
      <c r="O111" s="221" t="s">
        <v>2285</v>
      </c>
      <c r="P111" s="221" t="s">
        <v>2185</v>
      </c>
      <c r="Q111" s="221" t="s">
        <v>111</v>
      </c>
      <c r="R111" s="257"/>
      <c r="S111" s="221" t="s">
        <v>1603</v>
      </c>
      <c r="T111" s="221" t="s">
        <v>1604</v>
      </c>
      <c r="U111" s="221" t="s">
        <v>1605</v>
      </c>
      <c r="V111" s="221" t="s">
        <v>186</v>
      </c>
      <c r="W111" s="221" t="s">
        <v>842</v>
      </c>
      <c r="X111" s="221" t="s">
        <v>111</v>
      </c>
      <c r="Y111" s="221" t="str">
        <f ca="1">IF(I111&lt;&gt;"",IF(I111&lt;=TODAY(),IF(OR(N111="REPROGRAMADA",N111="SUSPENDIDA",N111="EXCLUSION",N111="COLEGIADO"),"NO HECHA",IF(N111=" ","SINRESULTADO","SI")),"NO"),IF(N111="EXCLUSION","NO HECHA","LIMBO"))</f>
        <v>NO HECHA</v>
      </c>
      <c r="Z111" s="221" t="str">
        <f>IF($Z$1=I111,"DIASOL", "DIANOSOL")</f>
        <v>DIANOSOL</v>
      </c>
      <c r="AA111" s="221" t="s">
        <v>738</v>
      </c>
      <c r="AB111" s="221" t="s">
        <v>1602</v>
      </c>
      <c r="AC111" s="221" t="str">
        <f>IF(H111=$M$1,"SI","NO")</f>
        <v>NO</v>
      </c>
      <c r="AD111" s="221"/>
      <c r="AE111" s="224">
        <v>45170</v>
      </c>
      <c r="AF111" s="221" t="s">
        <v>2177</v>
      </c>
      <c r="AG111" s="221" t="str">
        <f>IF(COUNTIF(C111,"*preso*")&gt;0,"SI","NO")</f>
        <v>SI</v>
      </c>
      <c r="AH111" s="244">
        <f>NroOrden(N111)</f>
        <v>3</v>
      </c>
      <c r="AI111" s="221"/>
      <c r="AJ111" s="48" t="str">
        <f ca="1">IF(OR(Y111="NO",Y111="LIMBO"),"IMP","NOIMP")</f>
        <v>NOIMP</v>
      </c>
    </row>
    <row r="112" spans="1:37" ht="39.950000000000003" customHeight="1">
      <c r="A112" s="221">
        <v>323</v>
      </c>
      <c r="B112" s="222" t="s">
        <v>2014</v>
      </c>
      <c r="C112" s="223" t="s">
        <v>1472</v>
      </c>
      <c r="D112" s="221" t="s">
        <v>2016</v>
      </c>
      <c r="E112" s="221" t="s">
        <v>2015</v>
      </c>
      <c r="F112" s="224">
        <v>45198</v>
      </c>
      <c r="G112" s="221"/>
      <c r="H112" s="221"/>
      <c r="I112" s="222">
        <v>45216</v>
      </c>
      <c r="J112" s="222" t="s">
        <v>309</v>
      </c>
      <c r="K112" s="221" t="s">
        <v>1938</v>
      </c>
      <c r="L112" s="257" t="s">
        <v>1997</v>
      </c>
      <c r="M112" s="222" t="s">
        <v>2155</v>
      </c>
      <c r="N112" s="221" t="s">
        <v>354</v>
      </c>
      <c r="O112" s="221" t="s">
        <v>2333</v>
      </c>
      <c r="P112" s="221" t="s">
        <v>2157</v>
      </c>
      <c r="Q112" s="221"/>
      <c r="R112" s="257"/>
      <c r="S112" s="221" t="s">
        <v>1688</v>
      </c>
      <c r="T112" s="221" t="s">
        <v>2053</v>
      </c>
      <c r="U112" s="221" t="s">
        <v>2054</v>
      </c>
      <c r="V112" s="221" t="s">
        <v>1281</v>
      </c>
      <c r="W112" s="221"/>
      <c r="X112" s="221"/>
      <c r="Y112" s="221" t="str">
        <f ca="1">IF(I112&lt;&gt;"",IF(I112&lt;=TODAY(),IF(OR(N112="REPROGRAMADA",N112="SUSPENDIDA",N112="EXCLUSION",N112="COLEGIADO"),"NO HECHA",IF(N112=" ","SINRESULTADO","SI")),"NO"),IF(N112="EXCLUSION","NO HECHA","LIMBO"))</f>
        <v>NO HECHA</v>
      </c>
      <c r="Z112" s="221" t="str">
        <f>IF($Z$1=I112,"DIASOL", "DIANOSOL")</f>
        <v>DIANOSOL</v>
      </c>
      <c r="AA112" s="221" t="s">
        <v>738</v>
      </c>
      <c r="AB112" s="221" t="s">
        <v>2018</v>
      </c>
      <c r="AC112" s="221" t="str">
        <f>IF(H112=$M$1,"SI","NO")</f>
        <v>NO</v>
      </c>
      <c r="AD112" s="221"/>
      <c r="AE112" s="221"/>
      <c r="AF112" s="221"/>
      <c r="AG112" s="221" t="str">
        <f>IF(COUNTIF(C112,"*preso*")&gt;0,"SI","NO")</f>
        <v>SI</v>
      </c>
      <c r="AH112" s="255">
        <f>NroOrden(N112)</f>
        <v>3</v>
      </c>
      <c r="AI112" s="221" t="s">
        <v>2176</v>
      </c>
      <c r="AJ112" s="270" t="str">
        <f ca="1">IF(OR(Y112="NO",Y112="LIMBO"),"IMP","NOIMP")</f>
        <v>NOIMP</v>
      </c>
    </row>
    <row r="113" spans="1:36" ht="51">
      <c r="A113" s="221">
        <v>276</v>
      </c>
      <c r="B113" s="222" t="s">
        <v>1797</v>
      </c>
      <c r="C113" s="223"/>
      <c r="D113" s="221" t="s">
        <v>1798</v>
      </c>
      <c r="E113" s="221" t="s">
        <v>1799</v>
      </c>
      <c r="F113" s="224">
        <v>45194</v>
      </c>
      <c r="G113" s="221"/>
      <c r="H113" s="221"/>
      <c r="I113" s="222">
        <v>45217</v>
      </c>
      <c r="J113" s="222" t="s">
        <v>16</v>
      </c>
      <c r="K113" s="221" t="s">
        <v>1826</v>
      </c>
      <c r="L113" s="257" t="s">
        <v>1658</v>
      </c>
      <c r="M113" s="222" t="s">
        <v>1750</v>
      </c>
      <c r="N113" s="221" t="s">
        <v>354</v>
      </c>
      <c r="O113" s="221" t="s">
        <v>2333</v>
      </c>
      <c r="P113" s="221" t="s">
        <v>2139</v>
      </c>
      <c r="Q113" s="221"/>
      <c r="R113" s="257"/>
      <c r="S113" s="221"/>
      <c r="T113" s="221"/>
      <c r="U113" s="221"/>
      <c r="V113" s="221" t="s">
        <v>193</v>
      </c>
      <c r="W113" s="221" t="s">
        <v>141</v>
      </c>
      <c r="X113" s="221" t="s">
        <v>111</v>
      </c>
      <c r="Y113" s="221" t="str">
        <f ca="1">IF(I113&lt;&gt;"",IF(I113&lt;=TODAY(),IF(OR(N113="REPROGRAMADA",N113="SUSPENDIDA",N113="EXCLUSION",N113="COLEGIADO"),"NO HECHA",IF(N113=" ","SINRESULTADO","SI")),"NO"),IF(N113="EXCLUSION","NO HECHA","LIMBO"))</f>
        <v>NO HECHA</v>
      </c>
      <c r="Z113" s="221" t="str">
        <f>IF($Z$1=I113,"DIASOL", "DIANOSOL")</f>
        <v>DIANOSOL</v>
      </c>
      <c r="AA113" s="221" t="s">
        <v>240</v>
      </c>
      <c r="AB113" s="221" t="s">
        <v>1800</v>
      </c>
      <c r="AC113" s="221" t="str">
        <f>IF(H113=$M$1,"SI","NO")</f>
        <v>NO</v>
      </c>
      <c r="AD113" s="221"/>
      <c r="AE113" s="224">
        <v>45194</v>
      </c>
      <c r="AF113" s="221"/>
      <c r="AG113" s="221" t="str">
        <f>IF(COUNTIF(C113,"*preso*")&gt;0,"SI","NO")</f>
        <v>NO</v>
      </c>
      <c r="AH113" s="255">
        <f>NroOrden(N113)</f>
        <v>3</v>
      </c>
      <c r="AI113" s="221" t="s">
        <v>2109</v>
      </c>
      <c r="AJ113" s="270" t="str">
        <f ca="1">IF(OR(Y113="NO",Y113="LIMBO"),"IMP","NOIMP")</f>
        <v>NOIMP</v>
      </c>
    </row>
    <row r="114" spans="1:36" ht="81" customHeight="1">
      <c r="A114" s="221">
        <v>305</v>
      </c>
      <c r="B114" s="222" t="s">
        <v>1922</v>
      </c>
      <c r="C114" s="223" t="s">
        <v>501</v>
      </c>
      <c r="D114" s="221" t="s">
        <v>1923</v>
      </c>
      <c r="E114" s="221" t="s">
        <v>1924</v>
      </c>
      <c r="F114" s="224">
        <v>45201</v>
      </c>
      <c r="G114" s="221"/>
      <c r="H114" s="221"/>
      <c r="I114" s="222">
        <v>45222</v>
      </c>
      <c r="J114" s="222" t="s">
        <v>1667</v>
      </c>
      <c r="K114" s="221" t="s">
        <v>1931</v>
      </c>
      <c r="L114" s="257" t="s">
        <v>1659</v>
      </c>
      <c r="M114" s="222" t="s">
        <v>333</v>
      </c>
      <c r="N114" s="221" t="s">
        <v>354</v>
      </c>
      <c r="O114" s="221" t="s">
        <v>2285</v>
      </c>
      <c r="P114" s="221"/>
      <c r="Q114" s="221"/>
      <c r="R114" s="257"/>
      <c r="S114" s="221" t="s">
        <v>1928</v>
      </c>
      <c r="T114" s="221" t="s">
        <v>1929</v>
      </c>
      <c r="U114" s="221" t="s">
        <v>1930</v>
      </c>
      <c r="V114" s="221" t="s">
        <v>199</v>
      </c>
      <c r="W114" s="221" t="s">
        <v>1925</v>
      </c>
      <c r="X114" s="221" t="s">
        <v>1926</v>
      </c>
      <c r="Y114" s="221" t="str">
        <f ca="1">IF(I114&lt;&gt;"",IF(I114&lt;=TODAY(),IF(OR(N114="REPROGRAMADA",N114="SUSPENDIDA",N114="EXCLUSION",N114="COLEGIADO"),"NO HECHA",IF(N114=" ","SINRESULTADO","SI")),"NO"),IF(N114="EXCLUSION","NO HECHA","LIMBO"))</f>
        <v>NO HECHA</v>
      </c>
      <c r="Z114" s="221" t="str">
        <f>IF($Z$1=I114,"DIASOL", "DIANOSOL")</f>
        <v>DIANOSOL</v>
      </c>
      <c r="AA114" s="221" t="s">
        <v>240</v>
      </c>
      <c r="AB114" s="221" t="s">
        <v>1927</v>
      </c>
      <c r="AC114" s="221" t="str">
        <f>IF(H114=$M$1,"SI","NO")</f>
        <v>NO</v>
      </c>
      <c r="AD114" s="221"/>
      <c r="AE114" s="224">
        <v>45169</v>
      </c>
      <c r="AF114" s="221"/>
      <c r="AG114" s="221" t="str">
        <f>IF(COUNTIF(C114,"*preso*")&gt;0,"SI","NO")</f>
        <v>SI</v>
      </c>
      <c r="AH114" s="255">
        <f>NroOrden(N114)</f>
        <v>3</v>
      </c>
      <c r="AI114" s="221"/>
      <c r="AJ114" s="270" t="str">
        <f ca="1">IF(OR(Y114="NO",Y114="LIMBO"),"IMP","NOIMP")</f>
        <v>NOIMP</v>
      </c>
    </row>
    <row r="115" spans="1:36" ht="78" customHeight="1">
      <c r="A115" s="257">
        <v>268</v>
      </c>
      <c r="B115" s="321" t="s">
        <v>1768</v>
      </c>
      <c r="C115" s="323"/>
      <c r="D115" s="257" t="s">
        <v>1769</v>
      </c>
      <c r="E115" s="257" t="s">
        <v>1770</v>
      </c>
      <c r="F115" s="326">
        <v>45189</v>
      </c>
      <c r="G115" s="257"/>
      <c r="H115" s="257" t="s">
        <v>1637</v>
      </c>
      <c r="I115" s="321">
        <v>45224</v>
      </c>
      <c r="J115" s="321" t="s">
        <v>1417</v>
      </c>
      <c r="K115" s="257" t="s">
        <v>362</v>
      </c>
      <c r="L115" s="257" t="s">
        <v>1658</v>
      </c>
      <c r="M115" s="321" t="s">
        <v>328</v>
      </c>
      <c r="N115" s="257" t="s">
        <v>354</v>
      </c>
      <c r="O115" s="257" t="s">
        <v>2285</v>
      </c>
      <c r="P115" s="257"/>
      <c r="Q115" s="257"/>
      <c r="R115" s="257"/>
      <c r="S115" s="257"/>
      <c r="T115" s="257"/>
      <c r="U115" s="257"/>
      <c r="V115" s="257" t="s">
        <v>189</v>
      </c>
      <c r="W115" s="257" t="s">
        <v>118</v>
      </c>
      <c r="X115" s="257" t="s">
        <v>111</v>
      </c>
      <c r="Y115" s="221" t="str">
        <f ca="1">IF(I115&lt;&gt;"",IF(I115&lt;=TODAY(),IF(OR(N115="REPROGRAMADA",N115="SUSPENDIDA",N115="EXCLUSION",N115="COLEGIADO"),"NO HECHA",IF(N115=" ","SINRESULTADO","SI")),"NO"),IF(N115="EXCLUSION","NO HECHA","LIMBO"))</f>
        <v>NO HECHA</v>
      </c>
      <c r="Z115" s="221" t="str">
        <f>IF($Z$1=I115,"DIASOL", "DIANOSOL")</f>
        <v>DIANOSOL</v>
      </c>
      <c r="AA115" s="257" t="s">
        <v>240</v>
      </c>
      <c r="AB115" s="257" t="s">
        <v>1771</v>
      </c>
      <c r="AC115" s="221" t="str">
        <f>IF(H115=$M$1,"SI","NO")</f>
        <v>NO</v>
      </c>
      <c r="AD115" s="221"/>
      <c r="AE115" s="326">
        <v>45189</v>
      </c>
      <c r="AF115" s="257"/>
      <c r="AG115" s="221" t="str">
        <f>IF(COUNTIF(C115,"*preso*")&gt;0,"SI","NO")</f>
        <v>NO</v>
      </c>
      <c r="AH115" s="255">
        <f>NroOrden(N115)</f>
        <v>3</v>
      </c>
      <c r="AI115" s="257" t="s">
        <v>2210</v>
      </c>
      <c r="AJ115" s="270" t="str">
        <f ca="1">IF(OR(Y115="NO",Y115="LIMBO"),"IMP","NOIMP")</f>
        <v>NOIMP</v>
      </c>
    </row>
    <row r="116" spans="1:36" ht="57.75" customHeight="1">
      <c r="A116" s="180">
        <v>171</v>
      </c>
      <c r="B116" s="99" t="s">
        <v>1231</v>
      </c>
      <c r="C116" s="207"/>
      <c r="D116" s="180" t="s">
        <v>1232</v>
      </c>
      <c r="E116" s="98" t="s">
        <v>1233</v>
      </c>
      <c r="F116" s="182">
        <v>45140</v>
      </c>
      <c r="G116" s="98"/>
      <c r="H116" s="98"/>
      <c r="I116" s="181">
        <v>45226</v>
      </c>
      <c r="J116" s="99" t="s">
        <v>396</v>
      </c>
      <c r="K116" s="180" t="s">
        <v>365</v>
      </c>
      <c r="L116" s="192" t="s">
        <v>1658</v>
      </c>
      <c r="M116" s="99" t="s">
        <v>332</v>
      </c>
      <c r="N116" s="98" t="s">
        <v>354</v>
      </c>
      <c r="O116" s="98" t="s">
        <v>2285</v>
      </c>
      <c r="P116" s="98" t="s">
        <v>2298</v>
      </c>
      <c r="Q116" s="180" t="s">
        <v>111</v>
      </c>
      <c r="R116" s="192"/>
      <c r="S116" s="98"/>
      <c r="T116" s="180"/>
      <c r="U116" s="180"/>
      <c r="V116" s="98" t="s">
        <v>340</v>
      </c>
      <c r="W116" s="98" t="s">
        <v>1234</v>
      </c>
      <c r="X116" s="98" t="s">
        <v>1235</v>
      </c>
      <c r="Y116" s="159" t="str">
        <f ca="1">IF(I116&lt;&gt;"",IF(I116&lt;=TODAY(),IF(OR(N116="REPROGRAMADA",N116="SUSPENDIDA",N116="EXCLUSION",N116="COLEGIADO"),"NO HECHA",IF(N116=" ","SINRESULTADO","SI")),"NO"),IF(N116="EXCLUSION","NO HECHA","LIMBO"))</f>
        <v>NO HECHA</v>
      </c>
      <c r="Z116" s="149" t="str">
        <f>IF($Z$1=I116,"DIASOL", "DIANOSOL")</f>
        <v>DIANOSOL</v>
      </c>
      <c r="AA116" s="98" t="s">
        <v>240</v>
      </c>
      <c r="AB116" s="98" t="s">
        <v>1236</v>
      </c>
      <c r="AC116" s="151" t="str">
        <f>IF(H116=$M$1,"SI","NO")</f>
        <v>NO</v>
      </c>
      <c r="AD116" s="151"/>
      <c r="AE116" s="180"/>
      <c r="AF116" s="180"/>
      <c r="AG116" s="84" t="str">
        <f>IF(COUNTIF(C116,"*preso*")&gt;0,"SI","NO")</f>
        <v>NO</v>
      </c>
      <c r="AH116" s="244">
        <f>NroOrden(N116)</f>
        <v>3</v>
      </c>
      <c r="AI116" s="98" t="s">
        <v>2274</v>
      </c>
      <c r="AJ116" s="48" t="str">
        <f ca="1">IF(OR(Y116="NO",Y116="LIMBO"),"IMP","NOIMP")</f>
        <v>NOIMP</v>
      </c>
    </row>
    <row r="117" spans="1:36" ht="39.950000000000003" customHeight="1">
      <c r="A117" s="221">
        <v>287</v>
      </c>
      <c r="B117" s="222" t="s">
        <v>1849</v>
      </c>
      <c r="C117" s="223"/>
      <c r="D117" s="221" t="s">
        <v>1850</v>
      </c>
      <c r="E117" s="221" t="s">
        <v>1851</v>
      </c>
      <c r="F117" s="224">
        <v>45191</v>
      </c>
      <c r="G117" s="221"/>
      <c r="H117" s="221"/>
      <c r="I117" s="222">
        <v>45245</v>
      </c>
      <c r="J117" s="222" t="s">
        <v>396</v>
      </c>
      <c r="K117" s="221" t="s">
        <v>2131</v>
      </c>
      <c r="L117" s="257" t="s">
        <v>1659</v>
      </c>
      <c r="M117" s="222" t="s">
        <v>1807</v>
      </c>
      <c r="N117" s="221" t="s">
        <v>354</v>
      </c>
      <c r="O117" s="221" t="s">
        <v>2331</v>
      </c>
      <c r="P117" s="221"/>
      <c r="Q117" s="221"/>
      <c r="R117" s="257"/>
      <c r="S117" s="221"/>
      <c r="T117" s="221"/>
      <c r="U117" s="221"/>
      <c r="V117" s="221" t="s">
        <v>1275</v>
      </c>
      <c r="W117" s="221" t="s">
        <v>111</v>
      </c>
      <c r="X117" s="221" t="s">
        <v>111</v>
      </c>
      <c r="Y117" s="221" t="str">
        <f ca="1">IF(I117&lt;&gt;"",IF(I117&lt;=TODAY(),IF(OR(N117="REPROGRAMADA",N117="SUSPENDIDA",N117="EXCLUSION",N117="COLEGIADO"),"NO HECHA",IF(N117=" ","SINRESULTADO","SI")),"NO"),IF(N117="EXCLUSION","NO HECHA","LIMBO"))</f>
        <v>NO HECHA</v>
      </c>
      <c r="Z117" s="221" t="str">
        <f>IF($Z$1=I117,"DIASOL", "DIANOSOL")</f>
        <v>DIANOSOL</v>
      </c>
      <c r="AA117" s="221" t="s">
        <v>240</v>
      </c>
      <c r="AB117" s="221" t="s">
        <v>1853</v>
      </c>
      <c r="AC117" s="221" t="str">
        <f>IF(H117=$M$1,"SI","NO")</f>
        <v>NO</v>
      </c>
      <c r="AD117" s="221"/>
      <c r="AE117" s="224">
        <v>45191</v>
      </c>
      <c r="AF117" s="221"/>
      <c r="AG117" s="221" t="str">
        <f>IF(COUNTIF(C117,"*preso*")&gt;0,"SI","NO")</f>
        <v>NO</v>
      </c>
      <c r="AH117" s="255">
        <f>NroOrden(N117)</f>
        <v>3</v>
      </c>
      <c r="AI117" s="221" t="s">
        <v>2551</v>
      </c>
      <c r="AJ117" s="270" t="str">
        <f ca="1">IF(OR(Y117="NO",Y117="LIMBO"),"IMP","NOIMP")</f>
        <v>NOIMP</v>
      </c>
    </row>
    <row r="118" spans="1:36" ht="39.950000000000003" customHeight="1">
      <c r="A118" s="221">
        <v>313</v>
      </c>
      <c r="B118" s="222" t="s">
        <v>1963</v>
      </c>
      <c r="C118" s="223"/>
      <c r="D118" s="221" t="s">
        <v>1964</v>
      </c>
      <c r="E118" s="221" t="s">
        <v>1965</v>
      </c>
      <c r="F118" s="224">
        <v>45202</v>
      </c>
      <c r="G118" s="221"/>
      <c r="H118" s="221"/>
      <c r="I118" s="222">
        <v>45252</v>
      </c>
      <c r="J118" s="222" t="s">
        <v>14</v>
      </c>
      <c r="K118" s="221" t="s">
        <v>1827</v>
      </c>
      <c r="L118" s="257" t="s">
        <v>1659</v>
      </c>
      <c r="M118" s="222" t="s">
        <v>2155</v>
      </c>
      <c r="N118" s="221" t="s">
        <v>354</v>
      </c>
      <c r="O118" s="221" t="s">
        <v>2331</v>
      </c>
      <c r="P118" s="221"/>
      <c r="Q118" s="221"/>
      <c r="R118" s="257"/>
      <c r="S118" s="221"/>
      <c r="T118" s="221"/>
      <c r="U118" s="221"/>
      <c r="V118" s="221" t="s">
        <v>1127</v>
      </c>
      <c r="W118" s="221" t="s">
        <v>111</v>
      </c>
      <c r="X118" s="221" t="s">
        <v>111</v>
      </c>
      <c r="Y118" s="221" t="str">
        <f ca="1">IF(I118&lt;&gt;"",IF(I118&lt;=TODAY(),IF(OR(N118="REPROGRAMADA",N118="SUSPENDIDA",N118="EXCLUSION",N118="COLEGIADO"),"NO HECHA",IF(N118=" ","SINRESULTADO","SI")),"NO"),IF(N118="EXCLUSION","NO HECHA","LIMBO"))</f>
        <v>NO HECHA</v>
      </c>
      <c r="Z118" s="221" t="str">
        <f>IF($Z$1=I118,"DIASOL", "DIANOSOL")</f>
        <v>DIANOSOL</v>
      </c>
      <c r="AA118" s="221" t="s">
        <v>240</v>
      </c>
      <c r="AB118" s="221" t="s">
        <v>1966</v>
      </c>
      <c r="AC118" s="221" t="str">
        <f>IF(H118=$M$1,"SI","NO")</f>
        <v>NO</v>
      </c>
      <c r="AD118" s="221"/>
      <c r="AE118" s="224">
        <v>45202</v>
      </c>
      <c r="AF118" s="221"/>
      <c r="AG118" s="221" t="str">
        <f>IF(COUNTIF(C118,"*preso*")&gt;0,"SI","NO")</f>
        <v>NO</v>
      </c>
      <c r="AH118" s="255">
        <f>NroOrden(N118)</f>
        <v>3</v>
      </c>
      <c r="AI118" s="221"/>
      <c r="AJ118" s="270" t="str">
        <f ca="1">IF(OR(Y118="NO",Y118="LIMBO"),"IMP","NOIMP")</f>
        <v>NOIMP</v>
      </c>
    </row>
    <row r="119" spans="1:36" ht="66" customHeight="1">
      <c r="A119" s="221">
        <v>327</v>
      </c>
      <c r="B119" s="222" t="s">
        <v>2040</v>
      </c>
      <c r="C119" s="223" t="s">
        <v>501</v>
      </c>
      <c r="D119" s="221" t="s">
        <v>2041</v>
      </c>
      <c r="E119" s="221" t="s">
        <v>2042</v>
      </c>
      <c r="F119" s="224">
        <v>45205</v>
      </c>
      <c r="G119" s="221"/>
      <c r="H119" s="221"/>
      <c r="I119" s="222">
        <v>45252</v>
      </c>
      <c r="J119" s="222" t="s">
        <v>14</v>
      </c>
      <c r="K119" s="221" t="s">
        <v>1662</v>
      </c>
      <c r="L119" s="257" t="s">
        <v>1658</v>
      </c>
      <c r="M119" s="222" t="s">
        <v>1805</v>
      </c>
      <c r="N119" s="221" t="s">
        <v>354</v>
      </c>
      <c r="O119" s="221" t="s">
        <v>2331</v>
      </c>
      <c r="P119" s="221"/>
      <c r="Q119" s="221" t="s">
        <v>240</v>
      </c>
      <c r="R119" s="257"/>
      <c r="S119" s="221" t="s">
        <v>1946</v>
      </c>
      <c r="T119" s="221" t="s">
        <v>2043</v>
      </c>
      <c r="U119" s="221" t="s">
        <v>2075</v>
      </c>
      <c r="V119" s="221" t="s">
        <v>186</v>
      </c>
      <c r="W119" s="221" t="s">
        <v>111</v>
      </c>
      <c r="X119" s="221" t="s">
        <v>111</v>
      </c>
      <c r="Y119" s="221" t="str">
        <f ca="1">IF(I119&lt;&gt;"",IF(I119&lt;=TODAY(),IF(OR(N119="REPROGRAMADA",N119="SUSPENDIDA",N119="EXCLUSION",N119="COLEGIADO"),"NO HECHA",IF(N119=" ","SINRESULTADO","SI")),"NO"),IF(N119="EXCLUSION","NO HECHA","LIMBO"))</f>
        <v>NO HECHA</v>
      </c>
      <c r="Z119" s="221" t="str">
        <f>IF($Z$1=I119,"DIASOL", "DIANOSOL")</f>
        <v>DIANOSOL</v>
      </c>
      <c r="AA119" s="221" t="s">
        <v>681</v>
      </c>
      <c r="AB119" s="221" t="s">
        <v>2044</v>
      </c>
      <c r="AC119" s="221" t="str">
        <f>IF(H119=$M$1,"SI","NO")</f>
        <v>NO</v>
      </c>
      <c r="AD119" s="221"/>
      <c r="AE119" s="224">
        <v>45205</v>
      </c>
      <c r="AF119" s="224"/>
      <c r="AG119" s="221" t="str">
        <f>IF(COUNTIF(C119,"*preso*")&gt;0,"SI","NO")</f>
        <v>SI</v>
      </c>
      <c r="AH119" s="255">
        <f>NroOrden(N119)</f>
        <v>3</v>
      </c>
      <c r="AI119" s="221"/>
      <c r="AJ119" s="270" t="str">
        <f ca="1">IF(OR(Y119="NO",Y119="LIMBO"),"IMP","NOIMP")</f>
        <v>NOIMP</v>
      </c>
    </row>
    <row r="120" spans="1:36" ht="51">
      <c r="A120" s="221">
        <v>342</v>
      </c>
      <c r="B120" s="222" t="s">
        <v>2110</v>
      </c>
      <c r="C120" s="223" t="s">
        <v>1472</v>
      </c>
      <c r="D120" s="221" t="s">
        <v>2112</v>
      </c>
      <c r="E120" s="221" t="s">
        <v>2111</v>
      </c>
      <c r="F120" s="224">
        <v>45210</v>
      </c>
      <c r="G120" s="221"/>
      <c r="H120" s="221" t="s">
        <v>1643</v>
      </c>
      <c r="I120" s="222">
        <v>45258</v>
      </c>
      <c r="J120" s="222" t="s">
        <v>14</v>
      </c>
      <c r="K120" s="221" t="s">
        <v>1938</v>
      </c>
      <c r="L120" s="257" t="s">
        <v>1659</v>
      </c>
      <c r="M120" s="222" t="s">
        <v>2155</v>
      </c>
      <c r="N120" s="221" t="s">
        <v>354</v>
      </c>
      <c r="O120" s="221" t="s">
        <v>2316</v>
      </c>
      <c r="P120" s="221" t="s">
        <v>2645</v>
      </c>
      <c r="Q120" s="221" t="s">
        <v>240</v>
      </c>
      <c r="R120" s="257"/>
      <c r="S120" s="221" t="s">
        <v>1946</v>
      </c>
      <c r="T120" s="221" t="s">
        <v>2113</v>
      </c>
      <c r="U120" s="221" t="s">
        <v>2116</v>
      </c>
      <c r="V120" s="221" t="s">
        <v>344</v>
      </c>
      <c r="W120" s="221" t="s">
        <v>2115</v>
      </c>
      <c r="X120" s="221"/>
      <c r="Y120" s="221" t="str">
        <f ca="1">IF(I120&lt;&gt;"",IF(I120&lt;=TODAY(),IF(OR(N120="REPROGRAMADA",N120="SUSPENDIDA",N120="EXCLUSION",N120="COLEGIADO"),"NO HECHA",IF(N120=" ","SINRESULTADO","SI")),"NO"),IF(N120="EXCLUSION","NO HECHA","LIMBO"))</f>
        <v>NO HECHA</v>
      </c>
      <c r="Z120" s="221" t="str">
        <f>IF($Z$1=I120,"DIASOL", "DIANOSOL")</f>
        <v>DIANOSOL</v>
      </c>
      <c r="AA120" s="221"/>
      <c r="AB120" s="221" t="s">
        <v>2114</v>
      </c>
      <c r="AC120" s="221" t="str">
        <f>IF(H120=$M$1,"SI","NO")</f>
        <v>SI</v>
      </c>
      <c r="AD120" s="221"/>
      <c r="AE120" s="224">
        <v>45210</v>
      </c>
      <c r="AF120" s="221"/>
      <c r="AG120" s="221" t="str">
        <f>IF(COUNTIF(C120,"*preso*")&gt;0,"SI","NO")</f>
        <v>SI</v>
      </c>
      <c r="AH120" s="293">
        <f>NroOrden(N120)</f>
        <v>3</v>
      </c>
      <c r="AI120" s="221"/>
      <c r="AJ120" s="270" t="str">
        <f ca="1">IF(OR(Y120="NO",Y120="LIMBO"),"IMP","NOIMP")</f>
        <v>NOIMP</v>
      </c>
    </row>
    <row r="121" spans="1:36" ht="39.950000000000003" customHeight="1">
      <c r="A121" s="221">
        <v>394</v>
      </c>
      <c r="B121" s="222" t="s">
        <v>2375</v>
      </c>
      <c r="C121" s="223" t="s">
        <v>501</v>
      </c>
      <c r="D121" s="221" t="s">
        <v>2376</v>
      </c>
      <c r="E121" s="221" t="s">
        <v>2380</v>
      </c>
      <c r="F121" s="224">
        <v>45229</v>
      </c>
      <c r="G121" s="221"/>
      <c r="H121" s="221"/>
      <c r="I121" s="222">
        <v>45261</v>
      </c>
      <c r="J121" s="222" t="s">
        <v>960</v>
      </c>
      <c r="K121" s="221" t="s">
        <v>1674</v>
      </c>
      <c r="L121" s="257" t="s">
        <v>1659</v>
      </c>
      <c r="M121" s="222" t="s">
        <v>331</v>
      </c>
      <c r="N121" s="221" t="s">
        <v>354</v>
      </c>
      <c r="O121" s="221" t="s">
        <v>2331</v>
      </c>
      <c r="P121" s="221"/>
      <c r="Q121" s="221" t="s">
        <v>240</v>
      </c>
      <c r="R121" s="257"/>
      <c r="S121" s="221" t="s">
        <v>1928</v>
      </c>
      <c r="T121" s="221" t="s">
        <v>2377</v>
      </c>
      <c r="U121" s="221" t="s">
        <v>2378</v>
      </c>
      <c r="V121" s="221" t="s">
        <v>347</v>
      </c>
      <c r="W121" s="221" t="s">
        <v>125</v>
      </c>
      <c r="X121" s="221"/>
      <c r="Y121" s="221" t="str">
        <f ca="1">IF(I121&lt;&gt;"",IF(I121&lt;=TODAY(),IF(OR(N121="REPROGRAMADA",N121="SUSPENDIDA",N121="EXCLUSION",N121="COLEGIADO"),"NO HECHA",IF(N121=" ","SINRESULTADO","SI")),"NO"),IF(N121="EXCLUSION","NO HECHA","LIMBO"))</f>
        <v>NO HECHA</v>
      </c>
      <c r="Z121" s="221" t="str">
        <f>IF($Z$1=I121,"DIASOL", "DIANOSOL")</f>
        <v>DIASOL</v>
      </c>
      <c r="AA121" s="221"/>
      <c r="AB121" s="221" t="s">
        <v>2381</v>
      </c>
      <c r="AC121" s="221" t="str">
        <f>IF(H121=$M$1,"SI","NO")</f>
        <v>NO</v>
      </c>
      <c r="AD121" s="221"/>
      <c r="AE121" s="224">
        <v>45229</v>
      </c>
      <c r="AF121" s="221"/>
      <c r="AG121" s="221" t="str">
        <f>IF(COUNTIF(C121,"*preso*")&gt;0,"SI","NO")</f>
        <v>SI</v>
      </c>
      <c r="AH121" s="293">
        <f>NroOrden(N121)</f>
        <v>3</v>
      </c>
      <c r="AI121" s="221" t="s">
        <v>2379</v>
      </c>
      <c r="AJ121" s="257" t="str">
        <f ca="1">IF(OR(Y121="NO",Y121="LIMBO"),"IMP","NOIMP")</f>
        <v>NOIMP</v>
      </c>
    </row>
    <row r="122" spans="1:36" ht="39.950000000000003" customHeight="1">
      <c r="A122" s="98">
        <v>55</v>
      </c>
      <c r="B122" s="99" t="s">
        <v>711</v>
      </c>
      <c r="C122" s="206"/>
      <c r="D122" s="98" t="s">
        <v>712</v>
      </c>
      <c r="E122" s="98" t="s">
        <v>713</v>
      </c>
      <c r="F122" s="182">
        <v>45090</v>
      </c>
      <c r="G122" s="98"/>
      <c r="H122" s="98"/>
      <c r="I122" s="99" t="s">
        <v>1515</v>
      </c>
      <c r="J122" s="141">
        <v>0.52083333333333337</v>
      </c>
      <c r="K122" s="98" t="s">
        <v>362</v>
      </c>
      <c r="L122" s="192"/>
      <c r="M122" s="99" t="s">
        <v>330</v>
      </c>
      <c r="N122" s="98" t="s">
        <v>354</v>
      </c>
      <c r="O122" s="98" t="s">
        <v>2333</v>
      </c>
      <c r="P122" s="98" t="s">
        <v>1516</v>
      </c>
      <c r="Q122" s="180" t="s">
        <v>111</v>
      </c>
      <c r="R122" s="192"/>
      <c r="S122" s="98"/>
      <c r="T122" s="180"/>
      <c r="U122" s="180"/>
      <c r="V122" s="98" t="s">
        <v>346</v>
      </c>
      <c r="W122" s="98" t="s">
        <v>119</v>
      </c>
      <c r="X122" s="98" t="s">
        <v>111</v>
      </c>
      <c r="Y122" s="162" t="str">
        <f ca="1">IF(I122&lt;&gt;"",IF(I122&lt;=TODAY(),IF(OR(N122="REPROGRAMADA",N122="SUSPENDIDA",N122="EXCLUSION",N122="COLEGIADO"),"NO HECHA",IF(N122=" ","SINRESULTADO","SI")),"NO"),IF(N122="EXCLUSION","NO HECHA","LIMBO"))</f>
        <v>NO</v>
      </c>
      <c r="Z122" s="98" t="str">
        <f>IF($Z$1=I122,"DIASOL", "DIANOSOL")</f>
        <v>DIANOSOL</v>
      </c>
      <c r="AA122" s="98" t="s">
        <v>240</v>
      </c>
      <c r="AB122" s="98" t="s">
        <v>714</v>
      </c>
      <c r="AC122" s="183" t="str">
        <f>IF(H122=$M$1,"SI","NO")</f>
        <v>NO</v>
      </c>
      <c r="AD122" s="183"/>
      <c r="AE122" s="180"/>
      <c r="AF122" s="180"/>
      <c r="AG122" s="180" t="str">
        <f>IF(COUNTIF(C122,"*preso*")&gt;0,"SI","NO")</f>
        <v>NO</v>
      </c>
      <c r="AH122" s="255">
        <f>NroOrden(N122)</f>
        <v>3</v>
      </c>
      <c r="AI122" s="180"/>
      <c r="AJ122" s="270" t="str">
        <f ca="1">IF(OR(Y122="NO",Y122="LIMBO"),"IMP","NOIMP")</f>
        <v>IMP</v>
      </c>
    </row>
    <row r="123" spans="1:36" ht="39.950000000000003" customHeight="1">
      <c r="A123" s="138">
        <v>194</v>
      </c>
      <c r="B123" s="137" t="s">
        <v>1380</v>
      </c>
      <c r="C123" s="204" t="s">
        <v>501</v>
      </c>
      <c r="D123" s="136" t="s">
        <v>1382</v>
      </c>
      <c r="E123" s="136" t="s">
        <v>1381</v>
      </c>
      <c r="F123" s="140">
        <v>45154</v>
      </c>
      <c r="G123" s="136" t="s">
        <v>1383</v>
      </c>
      <c r="H123" s="136" t="s">
        <v>111</v>
      </c>
      <c r="I123" s="213"/>
      <c r="J123" s="213"/>
      <c r="K123" s="138" t="s">
        <v>111</v>
      </c>
      <c r="L123" s="188"/>
      <c r="M123" s="137" t="s">
        <v>332</v>
      </c>
      <c r="N123" s="136" t="s">
        <v>2030</v>
      </c>
      <c r="O123" s="136" t="s">
        <v>2036</v>
      </c>
      <c r="P123" s="136" t="s">
        <v>1570</v>
      </c>
      <c r="Q123" s="138" t="s">
        <v>111</v>
      </c>
      <c r="R123" s="188"/>
      <c r="S123" s="136" t="s">
        <v>1385</v>
      </c>
      <c r="T123" s="138"/>
      <c r="U123" s="138"/>
      <c r="V123" s="136" t="s">
        <v>189</v>
      </c>
      <c r="W123" s="136" t="s">
        <v>133</v>
      </c>
      <c r="X123" s="136" t="s">
        <v>111</v>
      </c>
      <c r="Y123" s="193" t="str">
        <f ca="1">IF(I123&lt;&gt;"",IF(I123&lt;=TODAY(),IF(OR(N123="REPROGRAMADA",N123="SUSPENDIDA",N123="EXCLUSION",N123="COLEGIADO"),"NO HECHA",IF(N123=" ","SINRESULTADO","SI")),"NO"),IF(N123="EXCLUSION","NO HECHA","LIMBO"))</f>
        <v>LIMBO</v>
      </c>
      <c r="Z123" s="136" t="str">
        <f>IF($Z$1=I123,"DIASOL", "DIANOSOL")</f>
        <v>DIANOSOL</v>
      </c>
      <c r="AA123" s="136" t="s">
        <v>240</v>
      </c>
      <c r="AB123" s="136" t="s">
        <v>1384</v>
      </c>
      <c r="AC123" s="139" t="str">
        <f>IF(H123=$M$1,"SI","NO")</f>
        <v>NO</v>
      </c>
      <c r="AD123" s="139"/>
      <c r="AE123" s="140">
        <v>45148</v>
      </c>
      <c r="AF123" s="138"/>
      <c r="AG123" s="138" t="str">
        <f>IF(COUNTIF(C123,"*preso*")&gt;0,"SI","NO")</f>
        <v>SI</v>
      </c>
      <c r="AH123" s="244">
        <f>NroOrden(N123)</f>
        <v>4</v>
      </c>
      <c r="AI123" s="138"/>
      <c r="AJ123" s="48" t="str">
        <f ca="1">IF(OR(Y123="NO",Y123="LIMBO"),"IMP","NOIMP")</f>
        <v>IMP</v>
      </c>
    </row>
    <row r="124" spans="1:36" ht="127.5">
      <c r="A124" s="159">
        <v>257</v>
      </c>
      <c r="B124" s="160" t="s">
        <v>1725</v>
      </c>
      <c r="C124" s="208" t="s">
        <v>1472</v>
      </c>
      <c r="D124" s="159" t="s">
        <v>1726</v>
      </c>
      <c r="E124" s="159" t="s">
        <v>1727</v>
      </c>
      <c r="F124" s="256">
        <v>45194</v>
      </c>
      <c r="G124" s="159" t="s">
        <v>1728</v>
      </c>
      <c r="H124" s="159" t="s">
        <v>111</v>
      </c>
      <c r="I124" s="160"/>
      <c r="J124" s="160"/>
      <c r="K124" s="159" t="s">
        <v>111</v>
      </c>
      <c r="L124" s="184" t="s">
        <v>111</v>
      </c>
      <c r="M124" s="160" t="s">
        <v>111</v>
      </c>
      <c r="N124" s="159" t="s">
        <v>2383</v>
      </c>
      <c r="O124" s="159"/>
      <c r="P124" s="159"/>
      <c r="Q124" s="159" t="s">
        <v>1807</v>
      </c>
      <c r="R124" s="184" t="s">
        <v>2424</v>
      </c>
      <c r="S124" s="159"/>
      <c r="T124" s="159"/>
      <c r="U124" s="159"/>
      <c r="V124" s="159" t="s">
        <v>111</v>
      </c>
      <c r="W124" s="159" t="s">
        <v>111</v>
      </c>
      <c r="X124" s="159" t="s">
        <v>111</v>
      </c>
      <c r="Y124" s="159" t="str">
        <f ca="1">IF(I124&lt;&gt;"",IF(I124&lt;=TODAY(),IF(OR(N124="REPROGRAMADA",N124="SUSPENDIDA",N124="EXCLUSION",N124="COLEGIADO"),"NO HECHA",IF(N124=" ","SINRESULTADO","SI")),"NO"),IF(N124="EXCLUSION","NO HECHA","LIMBO"))</f>
        <v>LIMBO</v>
      </c>
      <c r="Z124" s="159" t="str">
        <f>IF($Z$1=I124,"DIASOL", "DIANOSOL")</f>
        <v>DIANOSOL</v>
      </c>
      <c r="AA124" s="159" t="s">
        <v>240</v>
      </c>
      <c r="AB124" s="159"/>
      <c r="AC124" s="159" t="str">
        <f>IF(H124=$M$1,"SI","NO")</f>
        <v>NO</v>
      </c>
      <c r="AD124" s="159"/>
      <c r="AE124" s="159"/>
      <c r="AF124" s="256">
        <v>45197</v>
      </c>
      <c r="AG124" s="159" t="str">
        <f>IF(COUNTIF(C124,"*preso*")&gt;0,"SI","NO")</f>
        <v>SI</v>
      </c>
      <c r="AH124" s="244">
        <f>NroOrden(N124)</f>
        <v>4</v>
      </c>
      <c r="AI124" s="159"/>
      <c r="AJ124" s="48" t="str">
        <f ca="1">IF(OR(Y124="NO",Y124="LIMBO"),"IMP","NOIMP")</f>
        <v>IMP</v>
      </c>
    </row>
    <row r="125" spans="1:36" ht="39.950000000000003" customHeight="1">
      <c r="A125" s="249">
        <v>283</v>
      </c>
      <c r="B125" s="250" t="s">
        <v>1832</v>
      </c>
      <c r="C125" s="251"/>
      <c r="D125" s="249" t="s">
        <v>1833</v>
      </c>
      <c r="E125" s="249" t="s">
        <v>1834</v>
      </c>
      <c r="F125" s="252">
        <v>45189</v>
      </c>
      <c r="G125" s="249" t="s">
        <v>1836</v>
      </c>
      <c r="H125" s="249" t="s">
        <v>111</v>
      </c>
      <c r="I125" s="250"/>
      <c r="J125" s="250"/>
      <c r="K125" s="249" t="s">
        <v>111</v>
      </c>
      <c r="L125" s="280" t="s">
        <v>111</v>
      </c>
      <c r="M125" s="250" t="s">
        <v>2155</v>
      </c>
      <c r="N125" s="249" t="s">
        <v>2030</v>
      </c>
      <c r="O125" s="249" t="s">
        <v>2036</v>
      </c>
      <c r="P125" s="249"/>
      <c r="Q125" s="249"/>
      <c r="R125" s="280"/>
      <c r="S125" s="249"/>
      <c r="T125" s="249"/>
      <c r="U125" s="249"/>
      <c r="V125" s="249" t="s">
        <v>339</v>
      </c>
      <c r="W125" s="249" t="s">
        <v>135</v>
      </c>
      <c r="X125" s="249" t="s">
        <v>111</v>
      </c>
      <c r="Y125" s="249" t="str">
        <f ca="1">IF(I125&lt;&gt;"",IF(I125&lt;=TODAY(),IF(OR(N125="REPROGRAMADA",N125="SUSPENDIDA",N125="EXCLUSION",N125="COLEGIADO"),"NO HECHA",IF(N125=" ","SINRESULTADO","SI")),"NO"),IF(N125="EXCLUSION","NO HECHA","LIMBO"))</f>
        <v>LIMBO</v>
      </c>
      <c r="Z125" s="249" t="str">
        <f>IF($Z$1=I125,"DIASOL", "DIANOSOL")</f>
        <v>DIANOSOL</v>
      </c>
      <c r="AA125" s="249" t="s">
        <v>240</v>
      </c>
      <c r="AB125" s="249" t="s">
        <v>1835</v>
      </c>
      <c r="AC125" s="249" t="str">
        <f>IF(H125=$M$1,"SI","NO")</f>
        <v>NO</v>
      </c>
      <c r="AD125" s="249"/>
      <c r="AE125" s="252">
        <v>45135</v>
      </c>
      <c r="AF125" s="249"/>
      <c r="AG125" s="249" t="str">
        <f>IF(COUNTIF(C125,"*preso*")&gt;0,"SI","NO")</f>
        <v>NO</v>
      </c>
      <c r="AH125" s="253">
        <f>NroOrden(N125)</f>
        <v>4</v>
      </c>
      <c r="AI125" s="249"/>
      <c r="AJ125" s="242" t="str">
        <f ca="1">IF(OR(Y125="NO",Y125="LIMBO"),"IMP","NOIMP")</f>
        <v>IMP</v>
      </c>
    </row>
    <row r="126" spans="1:36" ht="39.950000000000003" customHeight="1">
      <c r="A126" s="159">
        <v>286</v>
      </c>
      <c r="B126" s="160" t="s">
        <v>1845</v>
      </c>
      <c r="C126" s="208"/>
      <c r="D126" s="159" t="s">
        <v>1846</v>
      </c>
      <c r="E126" s="159" t="s">
        <v>1847</v>
      </c>
      <c r="F126" s="256">
        <v>45190</v>
      </c>
      <c r="G126" s="159" t="s">
        <v>1848</v>
      </c>
      <c r="H126" s="159" t="s">
        <v>111</v>
      </c>
      <c r="I126" s="160"/>
      <c r="J126" s="160"/>
      <c r="K126" s="159" t="s">
        <v>111</v>
      </c>
      <c r="L126" s="184" t="s">
        <v>111</v>
      </c>
      <c r="M126" s="160"/>
      <c r="N126" s="159" t="s">
        <v>2383</v>
      </c>
      <c r="O126" s="159"/>
      <c r="P126" s="159"/>
      <c r="Q126" s="159" t="s">
        <v>330</v>
      </c>
      <c r="R126" s="184" t="s">
        <v>2422</v>
      </c>
      <c r="S126" s="159"/>
      <c r="T126" s="159"/>
      <c r="U126" s="159"/>
      <c r="V126" s="159" t="s">
        <v>185</v>
      </c>
      <c r="W126" s="159" t="s">
        <v>140</v>
      </c>
      <c r="X126" s="159" t="s">
        <v>111</v>
      </c>
      <c r="Y126" s="159" t="str">
        <f ca="1">IF(I126&lt;&gt;"",IF(I126&lt;=TODAY(),IF(OR(N126="REPROGRAMADA",N126="SUSPENDIDA",N126="EXCLUSION",N126="COLEGIADO"),"NO HECHA",IF(N126=" ","SINRESULTADO","SI")),"NO"),IF(N126="EXCLUSION","NO HECHA","LIMBO"))</f>
        <v>LIMBO</v>
      </c>
      <c r="Z126" s="159" t="str">
        <f>IF($Z$1=I126,"DIASOL", "DIANOSOL")</f>
        <v>DIANOSOL</v>
      </c>
      <c r="AA126" s="159" t="s">
        <v>240</v>
      </c>
      <c r="AB126" s="159" t="s">
        <v>1852</v>
      </c>
      <c r="AC126" s="159" t="str">
        <f>IF(H126=$M$1,"SI","NO")</f>
        <v>NO</v>
      </c>
      <c r="AD126" s="159"/>
      <c r="AE126" s="256">
        <v>44789</v>
      </c>
      <c r="AF126" s="159"/>
      <c r="AG126" s="159" t="str">
        <f>IF(COUNTIF(C126,"*preso*")&gt;0,"SI","NO")</f>
        <v>NO</v>
      </c>
      <c r="AH126" s="254">
        <f>NroOrden(N126)</f>
        <v>4</v>
      </c>
      <c r="AI126" s="159"/>
      <c r="AJ126" s="184" t="str">
        <f ca="1">IF(OR(Y126="NO",Y126="LIMBO"),"IMP","NOIMP")</f>
        <v>IMP</v>
      </c>
    </row>
    <row r="127" spans="1:36" ht="101.25" customHeight="1">
      <c r="A127" s="159">
        <v>293</v>
      </c>
      <c r="B127" s="160" t="s">
        <v>1878</v>
      </c>
      <c r="C127" s="208"/>
      <c r="D127" s="159" t="s">
        <v>1879</v>
      </c>
      <c r="E127" s="159" t="s">
        <v>1880</v>
      </c>
      <c r="F127" s="256">
        <v>45194</v>
      </c>
      <c r="G127" s="159"/>
      <c r="H127" s="159" t="s">
        <v>111</v>
      </c>
      <c r="I127" s="160"/>
      <c r="J127" s="160"/>
      <c r="K127" s="159" t="s">
        <v>111</v>
      </c>
      <c r="L127" s="184" t="s">
        <v>111</v>
      </c>
      <c r="M127" s="160"/>
      <c r="N127" s="159" t="s">
        <v>2383</v>
      </c>
      <c r="O127" s="159"/>
      <c r="P127" s="159"/>
      <c r="Q127" s="159" t="s">
        <v>332</v>
      </c>
      <c r="R127" s="184" t="s">
        <v>2058</v>
      </c>
      <c r="S127" s="159"/>
      <c r="T127" s="159"/>
      <c r="U127" s="159"/>
      <c r="V127" s="159" t="s">
        <v>345</v>
      </c>
      <c r="W127" s="159" t="s">
        <v>111</v>
      </c>
      <c r="X127" s="159" t="s">
        <v>111</v>
      </c>
      <c r="Y127" s="194" t="str">
        <f ca="1">IF(I127&lt;&gt;"",IF(I127&lt;=TODAY(),IF(OR(N127="REPROGRAMADA",N127="SUSPENDIDA",N127="EXCLUSION",N127="COLEGIADO"),"NO HECHA",IF(N127=" ","SINRESULTADO","SI")),"NO"),IF(N127="EXCLUSION","NO HECHA","LIMBO"))</f>
        <v>LIMBO</v>
      </c>
      <c r="Z127" s="194" t="str">
        <f>IF($Z$1=I127,"DIASOL", "DIANOSOL")</f>
        <v>DIANOSOL</v>
      </c>
      <c r="AA127" s="159" t="s">
        <v>240</v>
      </c>
      <c r="AB127" s="159" t="s">
        <v>1881</v>
      </c>
      <c r="AC127" s="194" t="str">
        <f>IF(H127=$M$1,"SI","NO")</f>
        <v>NO</v>
      </c>
      <c r="AD127" s="194"/>
      <c r="AE127" s="256"/>
      <c r="AF127" s="256">
        <v>45208</v>
      </c>
      <c r="AG127" s="194" t="str">
        <f>IF(COUNTIF(C127,"*preso*")&gt;0,"SI","NO")</f>
        <v>NO</v>
      </c>
      <c r="AH127" s="244">
        <f>NroOrden(N127)</f>
        <v>4</v>
      </c>
      <c r="AI127" s="159"/>
      <c r="AJ127" s="48" t="str">
        <f ca="1">IF(OR(Y127="NO",Y127="LIMBO"),"IMP","NOIMP")</f>
        <v>IMP</v>
      </c>
    </row>
    <row r="128" spans="1:36" ht="39.950000000000003" customHeight="1">
      <c r="A128" s="159">
        <v>322</v>
      </c>
      <c r="B128" s="160" t="s">
        <v>2008</v>
      </c>
      <c r="C128" s="208" t="s">
        <v>1472</v>
      </c>
      <c r="D128" s="159" t="s">
        <v>2039</v>
      </c>
      <c r="E128" s="169" t="s">
        <v>2009</v>
      </c>
      <c r="F128" s="256">
        <v>45203</v>
      </c>
      <c r="G128" s="159"/>
      <c r="H128" s="159" t="s">
        <v>111</v>
      </c>
      <c r="I128" s="160"/>
      <c r="J128" s="160"/>
      <c r="K128" s="159" t="s">
        <v>111</v>
      </c>
      <c r="L128" s="184" t="s">
        <v>111</v>
      </c>
      <c r="M128" s="160"/>
      <c r="N128" s="159" t="s">
        <v>2383</v>
      </c>
      <c r="O128" s="159"/>
      <c r="P128" s="159"/>
      <c r="Q128" s="159" t="s">
        <v>2155</v>
      </c>
      <c r="R128" s="184" t="s">
        <v>2421</v>
      </c>
      <c r="S128" s="159" t="s">
        <v>2011</v>
      </c>
      <c r="T128" s="159" t="s">
        <v>2011</v>
      </c>
      <c r="U128" s="159" t="s">
        <v>2012</v>
      </c>
      <c r="V128" s="159" t="s">
        <v>343</v>
      </c>
      <c r="W128" s="159" t="s">
        <v>202</v>
      </c>
      <c r="X128" s="159"/>
      <c r="Y128" s="159" t="str">
        <f ca="1">IF(I128&lt;&gt;"",IF(I128&lt;=TODAY(),IF(OR(N128="REPROGRAMADA",N128="SUSPENDIDA",N128="EXCLUSION",N128="COLEGIADO"),"NO HECHA",IF(N128=" ","SINRESULTADO","SI")),"NO"),IF(N128="EXCLUSION","NO HECHA","LIMBO"))</f>
        <v>LIMBO</v>
      </c>
      <c r="Z128" s="159" t="str">
        <f>IF($Z$1=I128,"DIASOL", "DIANOSOL")</f>
        <v>DIANOSOL</v>
      </c>
      <c r="AA128" s="159" t="s">
        <v>240</v>
      </c>
      <c r="AB128" s="169" t="s">
        <v>2010</v>
      </c>
      <c r="AC128" s="159" t="str">
        <f>IF(H128=$M$1,"SI","NO")</f>
        <v>NO</v>
      </c>
      <c r="AD128" s="159"/>
      <c r="AE128" s="159"/>
      <c r="AF128" s="159"/>
      <c r="AG128" s="159" t="str">
        <f>IF(COUNTIF(C128,"*preso*")&gt;0,"SI","NO")</f>
        <v>SI</v>
      </c>
      <c r="AH128" s="254">
        <f>NroOrden(N128)</f>
        <v>4</v>
      </c>
      <c r="AI128" s="159"/>
      <c r="AJ128" s="184" t="str">
        <f ca="1">IF(OR(Y128="NO",Y128="LIMBO"),"IMP","NOIMP")</f>
        <v>IMP</v>
      </c>
    </row>
    <row r="129" spans="1:36" ht="39.950000000000003" customHeight="1">
      <c r="A129" s="249">
        <v>406</v>
      </c>
      <c r="B129" s="250" t="s">
        <v>2008</v>
      </c>
      <c r="C129" s="251" t="s">
        <v>501</v>
      </c>
      <c r="D129" s="249" t="s">
        <v>2452</v>
      </c>
      <c r="E129" s="249" t="s">
        <v>2454</v>
      </c>
      <c r="F129" s="252">
        <v>45236</v>
      </c>
      <c r="G129" s="249"/>
      <c r="H129" s="249"/>
      <c r="I129" s="250"/>
      <c r="J129" s="250"/>
      <c r="K129" s="249"/>
      <c r="L129" s="280"/>
      <c r="M129" s="250" t="s">
        <v>2155</v>
      </c>
      <c r="N129" s="249" t="s">
        <v>2383</v>
      </c>
      <c r="O129" s="249" t="s">
        <v>2036</v>
      </c>
      <c r="P129" s="249"/>
      <c r="Q129" s="249" t="s">
        <v>2155</v>
      </c>
      <c r="R129" s="280"/>
      <c r="S129" s="249" t="s">
        <v>1688</v>
      </c>
      <c r="T129" s="249" t="s">
        <v>2450</v>
      </c>
      <c r="U129" s="249" t="s">
        <v>2453</v>
      </c>
      <c r="V129" s="249" t="s">
        <v>1275</v>
      </c>
      <c r="W129" s="249" t="s">
        <v>202</v>
      </c>
      <c r="X129" s="249"/>
      <c r="Y129" s="199" t="str">
        <f ca="1">IF(I129&lt;&gt;"",IF(I129&lt;=TODAY(),IF(OR(N129="REPROGRAMADA",N129="SUSPENDIDA",N129="EXCLUSION",N129="COLEGIADO"),"NO HECHA",IF(N129=" ","SINRESULTADO","SI")),"NO"),IF(N129="EXCLUSION","NO HECHA","LIMBO"))</f>
        <v>LIMBO</v>
      </c>
      <c r="Z129" s="199" t="str">
        <f>IF($Z$1=I129,"DIASOL", "DIANOSOL")</f>
        <v>DIANOSOL</v>
      </c>
      <c r="AA129" s="249"/>
      <c r="AB129" s="249" t="s">
        <v>2451</v>
      </c>
      <c r="AC129" s="199" t="str">
        <f>IF(H129=$M$1,"SI","NO")</f>
        <v>NO</v>
      </c>
      <c r="AD129" s="199"/>
      <c r="AE129" s="252">
        <v>45236</v>
      </c>
      <c r="AF129" s="249"/>
      <c r="AG129" s="199" t="str">
        <f>IF(COUNTIF(C129,"*preso*")&gt;0,"SI","NO")</f>
        <v>SI</v>
      </c>
      <c r="AH129" s="311">
        <f>NroOrden(N129)</f>
        <v>4</v>
      </c>
      <c r="AI129" s="249" t="s">
        <v>2460</v>
      </c>
      <c r="AJ129" s="281" t="str">
        <f ca="1">IF(OR(Y129="NO",Y129="LIMBO"),"IMP","NOIMP")</f>
        <v>IMP</v>
      </c>
    </row>
    <row r="130" spans="1:36" ht="39.950000000000003" customHeight="1">
      <c r="A130" s="249">
        <v>447</v>
      </c>
      <c r="B130" s="250" t="s">
        <v>2628</v>
      </c>
      <c r="C130" s="251" t="s">
        <v>1472</v>
      </c>
      <c r="D130" s="249" t="s">
        <v>2640</v>
      </c>
      <c r="E130" s="249" t="s">
        <v>2629</v>
      </c>
      <c r="F130" s="252">
        <v>45258</v>
      </c>
      <c r="G130" s="249"/>
      <c r="H130" s="249"/>
      <c r="I130" s="250"/>
      <c r="J130" s="250"/>
      <c r="K130" s="249"/>
      <c r="L130" s="280"/>
      <c r="M130" s="250" t="s">
        <v>333</v>
      </c>
      <c r="N130" s="249" t="s">
        <v>2383</v>
      </c>
      <c r="O130" s="249" t="s">
        <v>2036</v>
      </c>
      <c r="P130" s="249"/>
      <c r="Q130" s="249" t="s">
        <v>333</v>
      </c>
      <c r="R130" s="280"/>
      <c r="S130" s="249" t="s">
        <v>2643</v>
      </c>
      <c r="T130" s="249" t="s">
        <v>2641</v>
      </c>
      <c r="U130" s="249" t="s">
        <v>2642</v>
      </c>
      <c r="V130" s="249" t="s">
        <v>100</v>
      </c>
      <c r="W130" s="249"/>
      <c r="X130" s="249"/>
      <c r="Y130" s="199" t="str">
        <f ca="1">IF(I130&lt;&gt;"",IF(I130&lt;=TODAY(),IF(OR(N130="REPROGRAMADA",N130="SUSPENDIDA",N130="EXCLUSION",N130="COLEGIADO"),"NO HECHA",IF(N130=" ","SINRESULTADO","SI")),"NO"),IF(N130="EXCLUSION","NO HECHA","LIMBO"))</f>
        <v>LIMBO</v>
      </c>
      <c r="Z130" s="199" t="str">
        <f>IF($Z$1=I130,"DIASOL", "DIANOSOL")</f>
        <v>DIANOSOL</v>
      </c>
      <c r="AA130" s="249" t="s">
        <v>681</v>
      </c>
      <c r="AB130" s="249"/>
      <c r="AC130" s="199" t="str">
        <f>IF(H130=$M$1,"SI","NO")</f>
        <v>NO</v>
      </c>
      <c r="AD130" s="199"/>
      <c r="AE130" s="252">
        <v>45258</v>
      </c>
      <c r="AF130" s="249"/>
      <c r="AG130" s="199" t="str">
        <f>IF(COUNTIF(C130,"*preso*")&gt;0,"SI","NO")</f>
        <v>SI</v>
      </c>
      <c r="AH130" s="311">
        <f>NroOrden(N130)</f>
        <v>4</v>
      </c>
      <c r="AI130" s="249"/>
      <c r="AJ130" s="281" t="str">
        <f ca="1">IF(OR(Y130="NO",Y130="LIMBO"),"IMP","NOIMP")</f>
        <v>IMP</v>
      </c>
    </row>
    <row r="131" spans="1:36" ht="39.950000000000003" customHeight="1">
      <c r="A131" s="159">
        <v>1</v>
      </c>
      <c r="B131" s="185" t="s">
        <v>366</v>
      </c>
      <c r="C131" s="210" t="s">
        <v>367</v>
      </c>
      <c r="D131" s="184" t="s">
        <v>368</v>
      </c>
      <c r="E131" s="184" t="s">
        <v>369</v>
      </c>
      <c r="F131" s="256">
        <v>44999</v>
      </c>
      <c r="G131" s="184" t="s">
        <v>386</v>
      </c>
      <c r="H131" s="184" t="s">
        <v>1638</v>
      </c>
      <c r="I131" s="185">
        <v>45005</v>
      </c>
      <c r="J131" s="184" t="s">
        <v>15</v>
      </c>
      <c r="K131" s="184" t="s">
        <v>362</v>
      </c>
      <c r="L131" s="246"/>
      <c r="M131" s="185" t="s">
        <v>328</v>
      </c>
      <c r="N131" s="159" t="s">
        <v>356</v>
      </c>
      <c r="O131" s="159" t="s">
        <v>2034</v>
      </c>
      <c r="P131" s="159" t="s">
        <v>379</v>
      </c>
      <c r="Q131" s="245"/>
      <c r="R131" s="246"/>
      <c r="S131" s="163" t="s">
        <v>373</v>
      </c>
      <c r="T131" s="256">
        <v>44944</v>
      </c>
      <c r="U131" s="159"/>
      <c r="V131" s="184" t="s">
        <v>182</v>
      </c>
      <c r="W131" s="184" t="s">
        <v>370</v>
      </c>
      <c r="X131" s="159"/>
      <c r="Y131" s="159" t="str">
        <f ca="1">IF(I131&lt;&gt;"",IF(I131&lt;=TODAY(),IF(OR(N131="REPROGRAMADA",N131="SUSPENDIDA",N131="EXCLUSION",N131="COLEGIADO"),"NO HECHA",IF(N131=" ","SINRESULTADO","SI")),"NO"),IF(N131="EXCLUSION","NO HECHA","LIMBO"))</f>
        <v>SI</v>
      </c>
      <c r="Z131" s="159" t="str">
        <f>IF($Z$1=I131,"DIASOL", "DIANOSOL")</f>
        <v>DIANOSOL</v>
      </c>
      <c r="AA131" s="159"/>
      <c r="AB131" s="159" t="s">
        <v>371</v>
      </c>
      <c r="AC131" s="159" t="str">
        <f>IF(H131=$M$1,"SI","NO")</f>
        <v>NO</v>
      </c>
      <c r="AD131" s="159">
        <f>IF(I131="",0,MONTH(I131))</f>
        <v>3</v>
      </c>
      <c r="AE131" s="256"/>
      <c r="AF131" s="159"/>
      <c r="AG131" s="245" t="str">
        <f>IF(COUNTIF(C131,"*preso*")&gt;0,"SI","NO")</f>
        <v>SI</v>
      </c>
      <c r="AH131" s="244">
        <f>NroOrden(N131)</f>
        <v>50</v>
      </c>
      <c r="AI131" s="159" t="s">
        <v>380</v>
      </c>
      <c r="AJ131" s="48" t="str">
        <f ca="1">IF(OR(Y131="NO",Y131="LIMBO"),"IMP","NOIMP")</f>
        <v>NOIMP</v>
      </c>
    </row>
    <row r="132" spans="1:36" ht="63" customHeight="1">
      <c r="A132" s="159">
        <v>2</v>
      </c>
      <c r="B132" s="160" t="s">
        <v>381</v>
      </c>
      <c r="C132" s="208" t="s">
        <v>367</v>
      </c>
      <c r="D132" s="159" t="s">
        <v>382</v>
      </c>
      <c r="E132" s="159" t="s">
        <v>383</v>
      </c>
      <c r="F132" s="256">
        <v>44999</v>
      </c>
      <c r="G132" s="159" t="s">
        <v>385</v>
      </c>
      <c r="H132" s="159" t="s">
        <v>1641</v>
      </c>
      <c r="I132" s="160">
        <v>45015</v>
      </c>
      <c r="J132" s="159" t="s">
        <v>14</v>
      </c>
      <c r="K132" s="159" t="s">
        <v>363</v>
      </c>
      <c r="L132" s="246"/>
      <c r="M132" s="160" t="s">
        <v>329</v>
      </c>
      <c r="N132" s="159" t="s">
        <v>356</v>
      </c>
      <c r="O132" s="159"/>
      <c r="P132" s="159" t="s">
        <v>389</v>
      </c>
      <c r="Q132" s="159" t="s">
        <v>111</v>
      </c>
      <c r="R132" s="246"/>
      <c r="S132" s="159" t="s">
        <v>374</v>
      </c>
      <c r="T132" s="159" t="s">
        <v>388</v>
      </c>
      <c r="U132" s="159" t="s">
        <v>377</v>
      </c>
      <c r="V132" s="159" t="s">
        <v>100</v>
      </c>
      <c r="W132" s="159" t="s">
        <v>387</v>
      </c>
      <c r="X132" s="159" t="s">
        <v>111</v>
      </c>
      <c r="Y132" s="159" t="str">
        <f ca="1">IF(I132&lt;&gt;"",IF(I132&lt;=TODAY(),IF(OR(N132="REPROGRAMADA",N132="SUSPENDIDA",N132="EXCLUSION",N132="COLEGIADO"),"NO HECHA",IF(N132=" ","SINRESULTADO","SI")),"NO"),IF(N132="EXCLUSION","NO HECHA","LIMBO"))</f>
        <v>SI</v>
      </c>
      <c r="Z132" s="159" t="str">
        <f>IF($Z$1=I132,"DIASOL", "DIANOSOL")</f>
        <v>DIANOSOL</v>
      </c>
      <c r="AA132" s="159" t="s">
        <v>240</v>
      </c>
      <c r="AB132" s="159"/>
      <c r="AC132" s="159" t="str">
        <f>IF(H132=$M$1,"SI","NO")</f>
        <v>NO</v>
      </c>
      <c r="AD132" s="159"/>
      <c r="AE132" s="159"/>
      <c r="AF132" s="159"/>
      <c r="AG132" s="159" t="str">
        <f>IF(COUNTIF(C132,"*preso*")&gt;0,"SI","NO")</f>
        <v>SI</v>
      </c>
      <c r="AH132" s="244">
        <f>NroOrden(N132)</f>
        <v>50</v>
      </c>
      <c r="AI132" s="159" t="s">
        <v>390</v>
      </c>
      <c r="AJ132" s="48" t="str">
        <f ca="1">IF(OR(Y132="NO",Y132="LIMBO"),"IMP","NOIMP")</f>
        <v>NOIMP</v>
      </c>
    </row>
    <row r="133" spans="1:36" ht="39.950000000000003" customHeight="1">
      <c r="A133" s="159">
        <v>7</v>
      </c>
      <c r="B133" s="160" t="s">
        <v>419</v>
      </c>
      <c r="C133" s="208" t="s">
        <v>367</v>
      </c>
      <c r="D133" s="159" t="s">
        <v>420</v>
      </c>
      <c r="E133" s="159" t="s">
        <v>421</v>
      </c>
      <c r="F133" s="256">
        <v>44981</v>
      </c>
      <c r="G133" s="159" t="s">
        <v>422</v>
      </c>
      <c r="H133" s="159" t="s">
        <v>1638</v>
      </c>
      <c r="I133" s="160">
        <v>45035</v>
      </c>
      <c r="J133" s="163">
        <v>0.375</v>
      </c>
      <c r="K133" s="159" t="s">
        <v>362</v>
      </c>
      <c r="L133" s="246"/>
      <c r="M133" s="160" t="s">
        <v>330</v>
      </c>
      <c r="N133" s="159" t="s">
        <v>356</v>
      </c>
      <c r="O133" s="159"/>
      <c r="P133" s="159" t="s">
        <v>427</v>
      </c>
      <c r="Q133" s="159" t="s">
        <v>111</v>
      </c>
      <c r="R133" s="246"/>
      <c r="S133" s="159" t="s">
        <v>374</v>
      </c>
      <c r="T133" s="159" t="s">
        <v>425</v>
      </c>
      <c r="U133" s="159" t="s">
        <v>426</v>
      </c>
      <c r="V133" s="159" t="s">
        <v>190</v>
      </c>
      <c r="W133" s="159" t="s">
        <v>423</v>
      </c>
      <c r="X133" s="159" t="s">
        <v>111</v>
      </c>
      <c r="Y133" s="159" t="str">
        <f ca="1">IF(I133&lt;&gt;"",IF(I133&lt;=TODAY(),IF(OR(N133="REPROGRAMADA",N133="SUSPENDIDA",N133="EXCLUSION",N133="COLEGIADO"),"NO HECHA",IF(N133=" ","SINRESULTADO","SI")),"NO"),IF(N133="EXCLUSION","NO HECHA","LIMBO"))</f>
        <v>SI</v>
      </c>
      <c r="Z133" s="159" t="str">
        <f>IF($Z$1=I133,"DIASOL", "DIANOSOL")</f>
        <v>DIANOSOL</v>
      </c>
      <c r="AA133" s="159" t="s">
        <v>240</v>
      </c>
      <c r="AB133" s="159" t="s">
        <v>424</v>
      </c>
      <c r="AC133" s="159" t="str">
        <f>IF(H133=$M$1,"SI","NO")</f>
        <v>NO</v>
      </c>
      <c r="AD133" s="159"/>
      <c r="AE133" s="159"/>
      <c r="AF133" s="159"/>
      <c r="AG133" s="159" t="str">
        <f>IF(COUNTIF(C133,"*preso*")&gt;0,"SI","NO")</f>
        <v>SI</v>
      </c>
      <c r="AH133" s="244">
        <f>NroOrden(N133)</f>
        <v>50</v>
      </c>
      <c r="AI133" s="159" t="s">
        <v>428</v>
      </c>
      <c r="AJ133" s="48" t="str">
        <f ca="1">IF(OR(Y133="NO",Y133="LIMBO"),"IMP","NOIMP")</f>
        <v>NOIMP</v>
      </c>
    </row>
    <row r="134" spans="1:36" ht="39.950000000000003" customHeight="1">
      <c r="A134" s="159">
        <v>46</v>
      </c>
      <c r="B134" s="160" t="s">
        <v>656</v>
      </c>
      <c r="C134" s="209"/>
      <c r="D134" s="159" t="s">
        <v>657</v>
      </c>
      <c r="E134" s="159" t="s">
        <v>658</v>
      </c>
      <c r="F134" s="256">
        <v>44974</v>
      </c>
      <c r="G134" s="159"/>
      <c r="H134" s="159" t="s">
        <v>111</v>
      </c>
      <c r="I134" s="160">
        <v>45036</v>
      </c>
      <c r="J134" s="163">
        <v>0.375</v>
      </c>
      <c r="K134" s="159" t="s">
        <v>362</v>
      </c>
      <c r="L134" s="184"/>
      <c r="M134" s="160" t="s">
        <v>330</v>
      </c>
      <c r="N134" s="159" t="s">
        <v>357</v>
      </c>
      <c r="O134" s="159" t="s">
        <v>2036</v>
      </c>
      <c r="P134" s="159" t="s">
        <v>659</v>
      </c>
      <c r="Q134" s="159" t="s">
        <v>111</v>
      </c>
      <c r="R134" s="184"/>
      <c r="S134" s="159"/>
      <c r="T134" s="159"/>
      <c r="U134" s="159"/>
      <c r="V134" s="159" t="s">
        <v>342</v>
      </c>
      <c r="W134" s="159" t="s">
        <v>660</v>
      </c>
      <c r="X134" s="159" t="s">
        <v>111</v>
      </c>
      <c r="Y134" s="159" t="str">
        <f ca="1">IF(I134&lt;&gt;"",IF(I134&lt;=TODAY(),IF(OR(N134="REPROGRAMADA",N134="SUSPENDIDA",N134="EXCLUSION",N134="COLEGIADO"),"NO HECHA",IF(N134=" ","SINRESULTADO","SI")),"NO"),IF(N134="EXCLUSION","NO HECHA","LIMBO"))</f>
        <v>SI</v>
      </c>
      <c r="Z134" s="159" t="str">
        <f>IF($Z$1=I134,"DIASOL", "DIANOSOL")</f>
        <v>DIANOSOL</v>
      </c>
      <c r="AA134" s="159" t="s">
        <v>240</v>
      </c>
      <c r="AB134" s="159" t="s">
        <v>661</v>
      </c>
      <c r="AC134" s="159" t="str">
        <f>IF(H134=$M$1,"SI","NO")</f>
        <v>NO</v>
      </c>
      <c r="AD134" s="159"/>
      <c r="AE134" s="159"/>
      <c r="AF134" s="159"/>
      <c r="AG134" s="159" t="str">
        <f>IF(COUNTIF(C134,"*preso*")&gt;0,"SI","NO")</f>
        <v>NO</v>
      </c>
      <c r="AH134" s="254">
        <f>NroOrden(N134)</f>
        <v>50</v>
      </c>
      <c r="AI134" s="159" t="s">
        <v>662</v>
      </c>
      <c r="AJ134" s="184" t="str">
        <f ca="1">IF(OR(Y134="NO",Y134="LIMBO"),"IMP","NOIMP")</f>
        <v>NOIMP</v>
      </c>
    </row>
    <row r="135" spans="1:36" ht="39.950000000000003" customHeight="1">
      <c r="A135" s="159">
        <v>16</v>
      </c>
      <c r="B135" s="160" t="s">
        <v>471</v>
      </c>
      <c r="C135" s="208" t="s">
        <v>367</v>
      </c>
      <c r="D135" s="159" t="s">
        <v>472</v>
      </c>
      <c r="E135" s="159" t="s">
        <v>473</v>
      </c>
      <c r="F135" s="256">
        <v>44993</v>
      </c>
      <c r="G135" s="159" t="s">
        <v>474</v>
      </c>
      <c r="H135" s="159" t="s">
        <v>326</v>
      </c>
      <c r="I135" s="160">
        <v>45037</v>
      </c>
      <c r="J135" s="159" t="s">
        <v>15</v>
      </c>
      <c r="K135" s="159" t="s">
        <v>362</v>
      </c>
      <c r="L135" s="246"/>
      <c r="M135" s="160" t="s">
        <v>330</v>
      </c>
      <c r="N135" s="159" t="s">
        <v>356</v>
      </c>
      <c r="O135" s="159"/>
      <c r="P135" s="159" t="s">
        <v>477</v>
      </c>
      <c r="Q135" s="159" t="s">
        <v>111</v>
      </c>
      <c r="R135" s="246"/>
      <c r="S135" s="159" t="s">
        <v>374</v>
      </c>
      <c r="T135" s="256">
        <v>44869</v>
      </c>
      <c r="U135" s="159" t="s">
        <v>476</v>
      </c>
      <c r="V135" s="159" t="s">
        <v>191</v>
      </c>
      <c r="W135" s="159" t="s">
        <v>119</v>
      </c>
      <c r="X135" s="159" t="s">
        <v>111</v>
      </c>
      <c r="Y135" s="159" t="str">
        <f ca="1">IF(I135&lt;&gt;"",IF(I135&lt;=TODAY(),IF(OR(N135="REPROGRAMADA",N135="SUSPENDIDA",N135="EXCLUSION",N135="COLEGIADO"),"NO HECHA",IF(N135=" ","SINRESULTADO","SI")),"NO"),IF(N135="EXCLUSION","NO HECHA","LIMBO"))</f>
        <v>SI</v>
      </c>
      <c r="Z135" s="159" t="str">
        <f>IF($Z$1=I135,"DIASOL", "DIANOSOL")</f>
        <v>DIANOSOL</v>
      </c>
      <c r="AA135" s="159" t="s">
        <v>240</v>
      </c>
      <c r="AB135" s="159"/>
      <c r="AC135" s="159" t="str">
        <f>IF(H135=$M$1,"SI","NO")</f>
        <v>NO</v>
      </c>
      <c r="AD135" s="159"/>
      <c r="AE135" s="159"/>
      <c r="AF135" s="159"/>
      <c r="AG135" s="159" t="str">
        <f>IF(COUNTIF(C135,"*preso*")&gt;0,"SI","NO")</f>
        <v>SI</v>
      </c>
      <c r="AH135" s="244">
        <f>NroOrden(N135)</f>
        <v>50</v>
      </c>
      <c r="AI135" s="159" t="s">
        <v>475</v>
      </c>
      <c r="AJ135" s="48" t="str">
        <f ca="1">IF(OR(Y135="NO",Y135="LIMBO"),"IMP","NOIMP")</f>
        <v>NOIMP</v>
      </c>
    </row>
    <row r="136" spans="1:36" ht="39.950000000000003" customHeight="1">
      <c r="A136" s="159">
        <v>27</v>
      </c>
      <c r="B136" s="185" t="s">
        <v>547</v>
      </c>
      <c r="C136" s="210" t="s">
        <v>501</v>
      </c>
      <c r="D136" s="184" t="s">
        <v>548</v>
      </c>
      <c r="E136" s="184" t="s">
        <v>549</v>
      </c>
      <c r="F136" s="256">
        <v>45002</v>
      </c>
      <c r="G136" s="184" t="s">
        <v>550</v>
      </c>
      <c r="H136" s="184" t="s">
        <v>1641</v>
      </c>
      <c r="I136" s="185">
        <v>45040</v>
      </c>
      <c r="J136" s="289">
        <v>0.33333333333333331</v>
      </c>
      <c r="K136" s="184" t="s">
        <v>364</v>
      </c>
      <c r="L136" s="246"/>
      <c r="M136" s="185" t="s">
        <v>328</v>
      </c>
      <c r="N136" s="159" t="s">
        <v>355</v>
      </c>
      <c r="O136" s="159" t="s">
        <v>2034</v>
      </c>
      <c r="P136" s="159" t="s">
        <v>551</v>
      </c>
      <c r="Q136" s="159" t="s">
        <v>111</v>
      </c>
      <c r="R136" s="246"/>
      <c r="S136" s="159" t="s">
        <v>374</v>
      </c>
      <c r="T136" s="159" t="s">
        <v>553</v>
      </c>
      <c r="U136" s="159" t="s">
        <v>554</v>
      </c>
      <c r="V136" s="184" t="s">
        <v>342</v>
      </c>
      <c r="W136" s="184" t="s">
        <v>132</v>
      </c>
      <c r="X136" s="184" t="s">
        <v>111</v>
      </c>
      <c r="Y136" s="159" t="str">
        <f ca="1">IF(I136&lt;&gt;"",IF(I136&lt;=TODAY(),IF(OR(N136="REPROGRAMADA",N136="SUSPENDIDA",N136="EXCLUSION",N136="COLEGIADO"),"NO HECHA",IF(N136=" ","SINRESULTADO","SI")),"NO"),IF(N136="EXCLUSION","NO HECHA","LIMBO"))</f>
        <v>SI</v>
      </c>
      <c r="Z136" s="159" t="str">
        <f>IF($Z$1=I136,"DIASOL", "DIANOSOL")</f>
        <v>DIANOSOL</v>
      </c>
      <c r="AA136" s="184" t="s">
        <v>240</v>
      </c>
      <c r="AB136" s="184" t="s">
        <v>552</v>
      </c>
      <c r="AC136" s="159" t="str">
        <f>IF(H136=$M$1,"SI","NO")</f>
        <v>NO</v>
      </c>
      <c r="AD136" s="159"/>
      <c r="AE136" s="159"/>
      <c r="AF136" s="159"/>
      <c r="AG136" s="159" t="str">
        <f>IF(COUNTIF(C136,"*preso*")&gt;0,"SI","NO")</f>
        <v>SI</v>
      </c>
      <c r="AH136" s="244">
        <f>NroOrden(N136)</f>
        <v>50</v>
      </c>
      <c r="AI136" s="159" t="s">
        <v>555</v>
      </c>
      <c r="AJ136" s="48" t="str">
        <f ca="1">IF(OR(Y136="NO",Y136="LIMBO"),"IMP","NOIMP")</f>
        <v>NOIMP</v>
      </c>
    </row>
    <row r="137" spans="1:36" ht="39.950000000000003" customHeight="1">
      <c r="A137" s="159">
        <v>20</v>
      </c>
      <c r="B137" s="185" t="s">
        <v>500</v>
      </c>
      <c r="C137" s="285" t="s">
        <v>501</v>
      </c>
      <c r="D137" s="184" t="s">
        <v>502</v>
      </c>
      <c r="E137" s="184" t="s">
        <v>503</v>
      </c>
      <c r="F137" s="256">
        <v>44957</v>
      </c>
      <c r="G137" s="184" t="s">
        <v>504</v>
      </c>
      <c r="H137" s="184" t="s">
        <v>1641</v>
      </c>
      <c r="I137" s="185">
        <v>45041</v>
      </c>
      <c r="J137" s="289">
        <v>0.54166666666666663</v>
      </c>
      <c r="K137" s="184" t="s">
        <v>363</v>
      </c>
      <c r="L137" s="246"/>
      <c r="M137" s="185" t="s">
        <v>329</v>
      </c>
      <c r="N137" s="159" t="s">
        <v>356</v>
      </c>
      <c r="O137" s="159"/>
      <c r="P137" s="159" t="s">
        <v>505</v>
      </c>
      <c r="Q137" s="159" t="s">
        <v>111</v>
      </c>
      <c r="R137" s="246"/>
      <c r="S137" s="159" t="s">
        <v>374</v>
      </c>
      <c r="T137" s="159" t="s">
        <v>506</v>
      </c>
      <c r="U137" s="159" t="s">
        <v>507</v>
      </c>
      <c r="V137" s="184" t="s">
        <v>344</v>
      </c>
      <c r="W137" s="184" t="s">
        <v>116</v>
      </c>
      <c r="X137" s="159" t="s">
        <v>111</v>
      </c>
      <c r="Y137" s="159" t="str">
        <f ca="1">IF(I137&lt;&gt;"",IF(I137&lt;=TODAY(),IF(OR(N137="REPROGRAMADA",N137="SUSPENDIDA",N137="EXCLUSION",N137="COLEGIADO"),"NO HECHA",IF(N137=" ","SINRESULTADO","SI")),"NO"),IF(N137="EXCLUSION","NO HECHA","LIMBO"))</f>
        <v>SI</v>
      </c>
      <c r="Z137" s="159" t="str">
        <f>IF($Z$1=I137,"DIASOL", "DIANOSOL")</f>
        <v>DIANOSOL</v>
      </c>
      <c r="AA137" s="159" t="s">
        <v>240</v>
      </c>
      <c r="AB137" s="159"/>
      <c r="AC137" s="159" t="str">
        <f>IF(H137=$M$1,"SI","NO")</f>
        <v>NO</v>
      </c>
      <c r="AD137" s="159"/>
      <c r="AE137" s="159"/>
      <c r="AF137" s="159"/>
      <c r="AG137" s="159" t="str">
        <f>IF(COUNTIF(C137,"*preso*")&gt;0,"SI","NO")</f>
        <v>SI</v>
      </c>
      <c r="AH137" s="244">
        <f>NroOrden(N137)</f>
        <v>50</v>
      </c>
      <c r="AI137" s="159" t="s">
        <v>508</v>
      </c>
      <c r="AJ137" s="48" t="str">
        <f ca="1">IF(OR(Y137="NO",Y137="LIMBO"),"IMP","NOIMP")</f>
        <v>NOIMP</v>
      </c>
    </row>
    <row r="138" spans="1:36" ht="39.950000000000003" customHeight="1">
      <c r="A138" s="159">
        <v>25</v>
      </c>
      <c r="B138" s="185" t="s">
        <v>531</v>
      </c>
      <c r="C138" s="210"/>
      <c r="D138" s="184" t="s">
        <v>532</v>
      </c>
      <c r="E138" s="325" t="s">
        <v>533</v>
      </c>
      <c r="F138" s="256">
        <v>44998</v>
      </c>
      <c r="G138" s="184"/>
      <c r="H138" s="184" t="s">
        <v>1641</v>
      </c>
      <c r="I138" s="185">
        <v>45049</v>
      </c>
      <c r="J138" s="289">
        <v>0.45833333333333331</v>
      </c>
      <c r="K138" s="184" t="s">
        <v>364</v>
      </c>
      <c r="L138" s="246"/>
      <c r="M138" s="185" t="s">
        <v>328</v>
      </c>
      <c r="N138" s="159" t="s">
        <v>356</v>
      </c>
      <c r="O138" s="159" t="s">
        <v>2034</v>
      </c>
      <c r="P138" s="159" t="s">
        <v>534</v>
      </c>
      <c r="Q138" s="159" t="s">
        <v>111</v>
      </c>
      <c r="R138" s="246"/>
      <c r="S138" s="159" t="s">
        <v>537</v>
      </c>
      <c r="T138" s="159"/>
      <c r="U138" s="159"/>
      <c r="V138" s="184" t="s">
        <v>339</v>
      </c>
      <c r="W138" s="184" t="s">
        <v>535</v>
      </c>
      <c r="X138" s="184" t="s">
        <v>111</v>
      </c>
      <c r="Y138" s="159" t="str">
        <f ca="1">IF(I138&lt;&gt;"",IF(I138&lt;=TODAY(),IF(OR(N138="REPROGRAMADA",N138="SUSPENDIDA",N138="EXCLUSION",N138="COLEGIADO"),"NO HECHA",IF(N138=" ","SINRESULTADO","SI")),"NO"),IF(N138="EXCLUSION","NO HECHA","LIMBO"))</f>
        <v>SI</v>
      </c>
      <c r="Z138" s="159" t="str">
        <f>IF($Z$1=I138,"DIASOL", "DIANOSOL")</f>
        <v>DIANOSOL</v>
      </c>
      <c r="AA138" s="184" t="s">
        <v>240</v>
      </c>
      <c r="AB138" s="184" t="s">
        <v>536</v>
      </c>
      <c r="AC138" s="159" t="str">
        <f>IF(H138=$M$1,"SI","NO")</f>
        <v>NO</v>
      </c>
      <c r="AD138" s="159"/>
      <c r="AE138" s="159"/>
      <c r="AF138" s="159"/>
      <c r="AG138" s="159" t="str">
        <f>IF(COUNTIF(C138,"*preso*")&gt;0,"SI","NO")</f>
        <v>NO</v>
      </c>
      <c r="AH138" s="244">
        <f>NroOrden(N138)</f>
        <v>50</v>
      </c>
      <c r="AI138" s="159" t="s">
        <v>538</v>
      </c>
      <c r="AJ138" s="48" t="str">
        <f ca="1">IF(OR(Y138="NO",Y138="LIMBO"),"IMP","NOIMP")</f>
        <v>NOIMP</v>
      </c>
    </row>
    <row r="139" spans="1:36" ht="39.950000000000003" customHeight="1">
      <c r="A139" s="159">
        <v>30</v>
      </c>
      <c r="B139" s="160" t="s">
        <v>563</v>
      </c>
      <c r="C139" s="209" t="s">
        <v>501</v>
      </c>
      <c r="D139" s="159" t="s">
        <v>564</v>
      </c>
      <c r="E139" s="169" t="s">
        <v>565</v>
      </c>
      <c r="F139" s="256">
        <v>45042</v>
      </c>
      <c r="G139" s="159" t="s">
        <v>566</v>
      </c>
      <c r="H139" s="159" t="s">
        <v>1638</v>
      </c>
      <c r="I139" s="160">
        <v>45056</v>
      </c>
      <c r="J139" s="163">
        <v>0.45833333333333331</v>
      </c>
      <c r="K139" s="159" t="s">
        <v>364</v>
      </c>
      <c r="L139" s="246"/>
      <c r="M139" s="160" t="s">
        <v>328</v>
      </c>
      <c r="N139" s="159" t="s">
        <v>357</v>
      </c>
      <c r="O139" s="159" t="s">
        <v>2034</v>
      </c>
      <c r="P139" s="159"/>
      <c r="Q139" s="159" t="s">
        <v>330</v>
      </c>
      <c r="R139" s="246"/>
      <c r="S139" s="159" t="s">
        <v>374</v>
      </c>
      <c r="T139" s="159" t="s">
        <v>569</v>
      </c>
      <c r="U139" s="159"/>
      <c r="V139" s="159" t="s">
        <v>268</v>
      </c>
      <c r="W139" s="159" t="s">
        <v>567</v>
      </c>
      <c r="X139" s="159"/>
      <c r="Y139" s="159" t="str">
        <f ca="1">IF(I139&lt;&gt;"",IF(I139&lt;=TODAY(),IF(OR(N139="REPROGRAMADA",N139="SUSPENDIDA",N139="EXCLUSION",N139="COLEGIADO"),"NO HECHA",IF(N139=" ","SINRESULTADO","SI")),"NO"),IF(N139="EXCLUSION","NO HECHA","LIMBO"))</f>
        <v>SI</v>
      </c>
      <c r="Z139" s="159" t="str">
        <f>IF($Z$1=I139,"DIASOL", "DIANOSOL")</f>
        <v>DIANOSOL</v>
      </c>
      <c r="AA139" s="159" t="s">
        <v>240</v>
      </c>
      <c r="AB139" s="159" t="s">
        <v>568</v>
      </c>
      <c r="AC139" s="159" t="str">
        <f>IF(H139=$M$1,"SI","NO")</f>
        <v>NO</v>
      </c>
      <c r="AD139" s="159"/>
      <c r="AE139" s="159"/>
      <c r="AF139" s="256">
        <v>45075</v>
      </c>
      <c r="AG139" s="159" t="str">
        <f>IF(COUNTIF(C139,"*preso*")&gt;0,"SI","NO")</f>
        <v>SI</v>
      </c>
      <c r="AH139" s="244">
        <f>NroOrden(N139)</f>
        <v>50</v>
      </c>
      <c r="AI139" s="159" t="s">
        <v>570</v>
      </c>
      <c r="AJ139" s="48" t="str">
        <f ca="1">IF(OR(Y139="NO",Y139="LIMBO"),"IMP","NOIMP")</f>
        <v>NOIMP</v>
      </c>
    </row>
    <row r="140" spans="1:36" ht="39.950000000000003" customHeight="1">
      <c r="A140" s="159">
        <v>34</v>
      </c>
      <c r="B140" s="160" t="s">
        <v>581</v>
      </c>
      <c r="C140" s="209" t="s">
        <v>501</v>
      </c>
      <c r="D140" s="159" t="s">
        <v>582</v>
      </c>
      <c r="E140" s="159" t="s">
        <v>383</v>
      </c>
      <c r="F140" s="256">
        <v>45007</v>
      </c>
      <c r="G140" s="159" t="s">
        <v>583</v>
      </c>
      <c r="H140" s="159" t="s">
        <v>1638</v>
      </c>
      <c r="I140" s="160">
        <v>45057</v>
      </c>
      <c r="J140" s="163">
        <v>0.375</v>
      </c>
      <c r="K140" s="159" t="s">
        <v>362</v>
      </c>
      <c r="L140" s="246"/>
      <c r="M140" s="160" t="s">
        <v>330</v>
      </c>
      <c r="N140" s="159" t="s">
        <v>355</v>
      </c>
      <c r="O140" s="159"/>
      <c r="P140" s="159" t="s">
        <v>584</v>
      </c>
      <c r="Q140" s="159" t="s">
        <v>111</v>
      </c>
      <c r="R140" s="246"/>
      <c r="S140" s="159" t="s">
        <v>374</v>
      </c>
      <c r="T140" s="159" t="s">
        <v>586</v>
      </c>
      <c r="U140" s="159"/>
      <c r="V140" s="159" t="s">
        <v>100</v>
      </c>
      <c r="W140" s="159" t="s">
        <v>585</v>
      </c>
      <c r="X140" s="159" t="s">
        <v>111</v>
      </c>
      <c r="Y140" s="159" t="str">
        <f ca="1">IF(I140&lt;&gt;"",IF(I140&lt;=TODAY(),IF(OR(N140="REPROGRAMADA",N140="SUSPENDIDA",N140="EXCLUSION",N140="COLEGIADO"),"NO HECHA",IF(N140=" ","SINRESULTADO","SI")),"NO"),IF(N140="EXCLUSION","NO HECHA","LIMBO"))</f>
        <v>SI</v>
      </c>
      <c r="Z140" s="159" t="str">
        <f>IF($Z$1=I140,"DIASOL", "DIANOSOL")</f>
        <v>DIANOSOL</v>
      </c>
      <c r="AA140" s="159" t="s">
        <v>240</v>
      </c>
      <c r="AB140" s="159"/>
      <c r="AC140" s="159" t="str">
        <f>IF(H140=$M$1,"SI","NO")</f>
        <v>NO</v>
      </c>
      <c r="AD140" s="159"/>
      <c r="AE140" s="159"/>
      <c r="AF140" s="159"/>
      <c r="AG140" s="159" t="str">
        <f>IF(COUNTIF(C140,"*preso*")&gt;0,"SI","NO")</f>
        <v>SI</v>
      </c>
      <c r="AH140" s="244">
        <f>NroOrden(N140)</f>
        <v>50</v>
      </c>
      <c r="AI140" s="159"/>
      <c r="AJ140" s="48" t="str">
        <f ca="1">IF(OR(Y140="NO",Y140="LIMBO"),"IMP","NOIMP")</f>
        <v>NOIMP</v>
      </c>
    </row>
    <row r="141" spans="1:36" ht="39.950000000000003" customHeight="1">
      <c r="A141" s="159">
        <v>39</v>
      </c>
      <c r="B141" s="160" t="s">
        <v>599</v>
      </c>
      <c r="C141" s="209"/>
      <c r="D141" s="159" t="s">
        <v>600</v>
      </c>
      <c r="E141" s="159" t="s">
        <v>601</v>
      </c>
      <c r="F141" s="256">
        <v>44991</v>
      </c>
      <c r="G141" s="159" t="s">
        <v>602</v>
      </c>
      <c r="H141" s="159" t="s">
        <v>1641</v>
      </c>
      <c r="I141" s="160">
        <v>45058</v>
      </c>
      <c r="J141" s="163">
        <v>0.375</v>
      </c>
      <c r="K141" s="159" t="s">
        <v>363</v>
      </c>
      <c r="L141" s="246"/>
      <c r="M141" s="160" t="s">
        <v>329</v>
      </c>
      <c r="N141" s="159" t="s">
        <v>358</v>
      </c>
      <c r="O141" s="159"/>
      <c r="P141" s="159" t="s">
        <v>603</v>
      </c>
      <c r="Q141" s="159" t="s">
        <v>111</v>
      </c>
      <c r="R141" s="246"/>
      <c r="S141" s="159"/>
      <c r="T141" s="159"/>
      <c r="U141" s="159"/>
      <c r="V141" s="159" t="s">
        <v>186</v>
      </c>
      <c r="W141" s="159" t="s">
        <v>604</v>
      </c>
      <c r="X141" s="159" t="s">
        <v>434</v>
      </c>
      <c r="Y141" s="159" t="str">
        <f ca="1">IF(I141&lt;&gt;"",IF(I141&lt;=TODAY(),IF(OR(N141="REPROGRAMADA",N141="SUSPENDIDA",N141="EXCLUSION",N141="COLEGIADO"),"NO HECHA",IF(N141=" ","SINRESULTADO","SI")),"NO"),IF(N141="EXCLUSION","NO HECHA","LIMBO"))</f>
        <v>SI</v>
      </c>
      <c r="Z141" s="159" t="str">
        <f>IF($Z$1=I141,"DIASOL", "DIANOSOL")</f>
        <v>DIANOSOL</v>
      </c>
      <c r="AA141" s="159" t="s">
        <v>240</v>
      </c>
      <c r="AB141" s="159" t="s">
        <v>606</v>
      </c>
      <c r="AC141" s="159" t="str">
        <f>IF(H141=$M$1,"SI","NO")</f>
        <v>NO</v>
      </c>
      <c r="AD141" s="159"/>
      <c r="AE141" s="159"/>
      <c r="AF141" s="256">
        <v>45064</v>
      </c>
      <c r="AG141" s="159" t="str">
        <f>IF(COUNTIF(C141,"*preso*")&gt;0,"SI","NO")</f>
        <v>NO</v>
      </c>
      <c r="AH141" s="244">
        <f>NroOrden(N141)</f>
        <v>50</v>
      </c>
      <c r="AI141" s="159" t="s">
        <v>607</v>
      </c>
      <c r="AJ141" s="48" t="str">
        <f ca="1">IF(OR(Y141="NO",Y141="LIMBO"),"IMP","NOIMP")</f>
        <v>NOIMP</v>
      </c>
    </row>
    <row r="142" spans="1:36" ht="39.950000000000003" customHeight="1">
      <c r="A142" s="159">
        <v>42</v>
      </c>
      <c r="B142" s="160" t="s">
        <v>630</v>
      </c>
      <c r="C142" s="209"/>
      <c r="D142" s="159" t="s">
        <v>631</v>
      </c>
      <c r="E142" s="159" t="s">
        <v>632</v>
      </c>
      <c r="F142" s="256">
        <v>44981</v>
      </c>
      <c r="G142" s="159" t="s">
        <v>633</v>
      </c>
      <c r="H142" s="159" t="s">
        <v>1638</v>
      </c>
      <c r="I142" s="160">
        <v>45063</v>
      </c>
      <c r="J142" s="163">
        <v>0.375</v>
      </c>
      <c r="K142" s="159" t="s">
        <v>364</v>
      </c>
      <c r="L142" s="246"/>
      <c r="M142" s="160" t="s">
        <v>328</v>
      </c>
      <c r="N142" s="159" t="s">
        <v>357</v>
      </c>
      <c r="O142" s="159" t="s">
        <v>2034</v>
      </c>
      <c r="P142" s="159"/>
      <c r="Q142" s="159" t="s">
        <v>330</v>
      </c>
      <c r="R142" s="246"/>
      <c r="S142" s="159"/>
      <c r="T142" s="159"/>
      <c r="U142" s="159"/>
      <c r="V142" s="159" t="s">
        <v>194</v>
      </c>
      <c r="W142" s="159" t="s">
        <v>634</v>
      </c>
      <c r="X142" s="159" t="s">
        <v>111</v>
      </c>
      <c r="Y142" s="159" t="str">
        <f ca="1">IF(I142&lt;&gt;"",IF(I142&lt;=TODAY(),IF(OR(N142="REPROGRAMADA",N142="SUSPENDIDA",N142="EXCLUSION",N142="COLEGIADO"),"NO HECHA",IF(N142=" ","SINRESULTADO","SI")),"NO"),IF(N142="EXCLUSION","NO HECHA","LIMBO"))</f>
        <v>SI</v>
      </c>
      <c r="Z142" s="159" t="str">
        <f>IF($Z$1=I142,"DIASOL", "DIANOSOL")</f>
        <v>DIANOSOL</v>
      </c>
      <c r="AA142" s="159" t="s">
        <v>240</v>
      </c>
      <c r="AB142" s="159" t="s">
        <v>635</v>
      </c>
      <c r="AC142" s="159" t="str">
        <f>IF(H142=$M$1,"SI","NO")</f>
        <v>NO</v>
      </c>
      <c r="AD142" s="159"/>
      <c r="AE142" s="159"/>
      <c r="AF142" s="256">
        <v>45068</v>
      </c>
      <c r="AG142" s="159" t="str">
        <f>IF(COUNTIF(C142,"*preso*")&gt;0,"SI","NO")</f>
        <v>NO</v>
      </c>
      <c r="AH142" s="244">
        <f>NroOrden(N142)</f>
        <v>50</v>
      </c>
      <c r="AI142" s="159"/>
      <c r="AJ142" s="48" t="str">
        <f ca="1">IF(OR(Y142="NO",Y142="LIMBO"),"IMP","NOIMP")</f>
        <v>NOIMP</v>
      </c>
    </row>
    <row r="143" spans="1:36" ht="39.950000000000003" customHeight="1">
      <c r="A143" s="159">
        <v>44</v>
      </c>
      <c r="B143" s="160" t="s">
        <v>641</v>
      </c>
      <c r="C143" s="209" t="s">
        <v>642</v>
      </c>
      <c r="D143" s="159" t="s">
        <v>643</v>
      </c>
      <c r="E143" s="159" t="s">
        <v>644</v>
      </c>
      <c r="F143" s="256">
        <v>45005</v>
      </c>
      <c r="G143" s="159" t="s">
        <v>645</v>
      </c>
      <c r="H143" s="159" t="s">
        <v>1638</v>
      </c>
      <c r="I143" s="160">
        <v>45064</v>
      </c>
      <c r="J143" s="163">
        <v>0.5</v>
      </c>
      <c r="K143" s="159" t="s">
        <v>364</v>
      </c>
      <c r="L143" s="246"/>
      <c r="M143" s="160" t="s">
        <v>328</v>
      </c>
      <c r="N143" s="159" t="s">
        <v>355</v>
      </c>
      <c r="O143" s="159" t="s">
        <v>2034</v>
      </c>
      <c r="P143" s="159" t="s">
        <v>646</v>
      </c>
      <c r="Q143" s="159" t="s">
        <v>111</v>
      </c>
      <c r="R143" s="246"/>
      <c r="S143" s="159" t="s">
        <v>374</v>
      </c>
      <c r="T143" s="256">
        <v>44980</v>
      </c>
      <c r="U143" s="159" t="s">
        <v>648</v>
      </c>
      <c r="V143" s="159" t="s">
        <v>340</v>
      </c>
      <c r="W143" s="159" t="s">
        <v>125</v>
      </c>
      <c r="X143" s="159" t="s">
        <v>434</v>
      </c>
      <c r="Y143" s="159" t="str">
        <f ca="1">IF(I143&lt;&gt;"",IF(I143&lt;=TODAY(),IF(OR(N143="REPROGRAMADA",N143="SUSPENDIDA",N143="EXCLUSION",N143="COLEGIADO"),"NO HECHA",IF(N143=" ","SINRESULTADO","SI")),"NO"),IF(N143="EXCLUSION","NO HECHA","LIMBO"))</f>
        <v>SI</v>
      </c>
      <c r="Z143" s="159" t="str">
        <f>IF($Z$1=I143,"DIASOL", "DIANOSOL")</f>
        <v>DIANOSOL</v>
      </c>
      <c r="AA143" s="159" t="s">
        <v>240</v>
      </c>
      <c r="AB143" s="159" t="s">
        <v>647</v>
      </c>
      <c r="AC143" s="159" t="str">
        <f>IF(H143=$M$1,"SI","NO")</f>
        <v>NO</v>
      </c>
      <c r="AD143" s="159"/>
      <c r="AE143" s="159"/>
      <c r="AF143" s="256">
        <v>45070</v>
      </c>
      <c r="AG143" s="159" t="str">
        <f>IF(COUNTIF(C143,"*preso*")&gt;0,"SI","NO")</f>
        <v>NO</v>
      </c>
      <c r="AH143" s="244">
        <f>NroOrden(N143)</f>
        <v>50</v>
      </c>
      <c r="AI143" s="159" t="s">
        <v>649</v>
      </c>
      <c r="AJ143" s="48" t="str">
        <f ca="1">IF(OR(Y143="NO",Y143="LIMBO"),"IMP","NOIMP")</f>
        <v>NOIMP</v>
      </c>
    </row>
    <row r="144" spans="1:36" ht="39.950000000000003" customHeight="1">
      <c r="A144" s="159">
        <v>47</v>
      </c>
      <c r="B144" s="185" t="s">
        <v>663</v>
      </c>
      <c r="C144" s="285" t="s">
        <v>664</v>
      </c>
      <c r="D144" s="184" t="s">
        <v>665</v>
      </c>
      <c r="E144" s="184" t="s">
        <v>666</v>
      </c>
      <c r="F144" s="256">
        <v>45040</v>
      </c>
      <c r="G144" s="184" t="s">
        <v>667</v>
      </c>
      <c r="H144" s="184" t="s">
        <v>1641</v>
      </c>
      <c r="I144" s="185">
        <v>45065</v>
      </c>
      <c r="J144" s="289">
        <v>0.375</v>
      </c>
      <c r="K144" s="184" t="s">
        <v>363</v>
      </c>
      <c r="L144" s="246"/>
      <c r="M144" s="185" t="s">
        <v>329</v>
      </c>
      <c r="N144" s="159" t="s">
        <v>357</v>
      </c>
      <c r="O144" s="159" t="s">
        <v>2034</v>
      </c>
      <c r="P144" s="159"/>
      <c r="Q144" s="159" t="s">
        <v>328</v>
      </c>
      <c r="R144" s="246"/>
      <c r="S144" s="159"/>
      <c r="T144" s="159"/>
      <c r="U144" s="159"/>
      <c r="V144" s="184" t="s">
        <v>193</v>
      </c>
      <c r="W144" s="184" t="s">
        <v>116</v>
      </c>
      <c r="X144" s="184" t="s">
        <v>111</v>
      </c>
      <c r="Y144" s="159" t="str">
        <f ca="1">IF(I144&lt;&gt;"",IF(I144&lt;=TODAY(),IF(OR(N144="REPROGRAMADA",N144="SUSPENDIDA",N144="EXCLUSION",N144="COLEGIADO"),"NO HECHA",IF(N144=" ","SINRESULTADO","SI")),"NO"),IF(N144="EXCLUSION","NO HECHA","LIMBO"))</f>
        <v>SI</v>
      </c>
      <c r="Z144" s="159" t="str">
        <f>IF($Z$1=I144,"DIASOL", "DIANOSOL")</f>
        <v>DIANOSOL</v>
      </c>
      <c r="AA144" s="184" t="s">
        <v>240</v>
      </c>
      <c r="AB144" s="184" t="s">
        <v>668</v>
      </c>
      <c r="AC144" s="159" t="str">
        <f>IF(H144=$M$1,"SI","NO")</f>
        <v>NO</v>
      </c>
      <c r="AD144" s="159"/>
      <c r="AE144" s="159"/>
      <c r="AF144" s="159"/>
      <c r="AG144" s="159" t="str">
        <f>IF(COUNTIF(C144,"*preso*")&gt;0,"SI","NO")</f>
        <v>NO</v>
      </c>
      <c r="AH144" s="244">
        <f>NroOrden(N144)</f>
        <v>50</v>
      </c>
      <c r="AI144" s="159"/>
      <c r="AJ144" s="48" t="str">
        <f ca="1">IF(OR(Y144="NO",Y144="LIMBO"),"IMP","NOIMP")</f>
        <v>NOIMP</v>
      </c>
    </row>
    <row r="145" spans="1:36" ht="39.950000000000003" customHeight="1">
      <c r="A145" s="159">
        <v>103</v>
      </c>
      <c r="B145" s="160" t="s">
        <v>862</v>
      </c>
      <c r="C145" s="208"/>
      <c r="D145" s="159" t="s">
        <v>864</v>
      </c>
      <c r="E145" s="159" t="s">
        <v>518</v>
      </c>
      <c r="F145" s="161">
        <v>45064</v>
      </c>
      <c r="G145" s="159" t="s">
        <v>706</v>
      </c>
      <c r="H145" s="159" t="s">
        <v>1641</v>
      </c>
      <c r="I145" s="160">
        <v>45073</v>
      </c>
      <c r="J145" s="160" t="s">
        <v>282</v>
      </c>
      <c r="K145" s="159" t="s">
        <v>364</v>
      </c>
      <c r="L145" s="246"/>
      <c r="M145" s="160" t="s">
        <v>329</v>
      </c>
      <c r="N145" s="159" t="s">
        <v>357</v>
      </c>
      <c r="O145" s="159" t="s">
        <v>2034</v>
      </c>
      <c r="P145" s="159"/>
      <c r="Q145" s="159" t="s">
        <v>328</v>
      </c>
      <c r="R145" s="246"/>
      <c r="S145" s="159"/>
      <c r="T145" s="159"/>
      <c r="U145" s="159"/>
      <c r="V145" s="159" t="s">
        <v>182</v>
      </c>
      <c r="W145" s="159" t="s">
        <v>865</v>
      </c>
      <c r="X145" s="159" t="s">
        <v>111</v>
      </c>
      <c r="Y145" s="159" t="str">
        <f ca="1">IF(I145&lt;&gt;"",IF(I145&lt;=TODAY(),IF(OR(N145="REPROGRAMADA",N145="SUSPENDIDA",N145="EXCLUSION",N145="COLEGIADO"),"NO HECHA",IF(N145=" ","SINRESULTADO","SI")),"NO"),IF(N145="EXCLUSION","NO HECHA","LIMBO"))</f>
        <v>SI</v>
      </c>
      <c r="Z145" s="159" t="str">
        <f>IF($Z$1=I145,"DIASOL", "DIANOSOL")</f>
        <v>DIANOSOL</v>
      </c>
      <c r="AA145" s="159" t="s">
        <v>240</v>
      </c>
      <c r="AB145" s="159" t="s">
        <v>866</v>
      </c>
      <c r="AC145" s="159" t="str">
        <f>IF(H145=$M$1,"SI","NO")</f>
        <v>NO</v>
      </c>
      <c r="AD145" s="159"/>
      <c r="AE145" s="159"/>
      <c r="AF145" s="256">
        <v>45133</v>
      </c>
      <c r="AG145" s="159" t="str">
        <f>IF(COUNTIF(C145,"*preso*")&gt;0,"SI","NO")</f>
        <v>NO</v>
      </c>
      <c r="AH145" s="244">
        <f>NroOrden(N145)</f>
        <v>50</v>
      </c>
      <c r="AI145" s="159"/>
      <c r="AJ145" s="48" t="str">
        <f ca="1">IF(OR(Y145="NO",Y145="LIMBO"),"IMP","NOIMP")</f>
        <v>NOIMP</v>
      </c>
    </row>
    <row r="146" spans="1:36" ht="39.950000000000003" customHeight="1">
      <c r="A146" s="159">
        <v>49</v>
      </c>
      <c r="B146" s="160" t="s">
        <v>676</v>
      </c>
      <c r="C146" s="209"/>
      <c r="D146" s="159" t="s">
        <v>677</v>
      </c>
      <c r="E146" s="159" t="s">
        <v>678</v>
      </c>
      <c r="F146" s="161"/>
      <c r="G146" s="159"/>
      <c r="H146" s="159" t="s">
        <v>1641</v>
      </c>
      <c r="I146" s="160">
        <v>45077</v>
      </c>
      <c r="J146" s="163">
        <v>0.5</v>
      </c>
      <c r="K146" s="159" t="s">
        <v>363</v>
      </c>
      <c r="L146" s="246"/>
      <c r="M146" s="160" t="s">
        <v>329</v>
      </c>
      <c r="N146" s="159" t="s">
        <v>355</v>
      </c>
      <c r="O146" s="159" t="s">
        <v>2034</v>
      </c>
      <c r="P146" s="159" t="s">
        <v>679</v>
      </c>
      <c r="Q146" s="159" t="s">
        <v>111</v>
      </c>
      <c r="R146" s="246"/>
      <c r="S146" s="159"/>
      <c r="T146" s="159"/>
      <c r="U146" s="159"/>
      <c r="V146" s="159" t="s">
        <v>339</v>
      </c>
      <c r="W146" s="159" t="s">
        <v>680</v>
      </c>
      <c r="X146" s="159" t="s">
        <v>111</v>
      </c>
      <c r="Y146" s="159" t="str">
        <f ca="1">IF(I146&lt;&gt;"",IF(I146&lt;=TODAY(),IF(OR(N146="REPROGRAMADA",N146="SUSPENDIDA",N146="EXCLUSION",N146="COLEGIADO"),"NO HECHA",IF(N146=" ","SINRESULTADO","SI")),"NO"),IF(N146="EXCLUSION","NO HECHA","LIMBO"))</f>
        <v>SI</v>
      </c>
      <c r="Z146" s="159" t="str">
        <f>IF($Z$1=I146,"DIASOL", "DIANOSOL")</f>
        <v>DIANOSOL</v>
      </c>
      <c r="AA146" s="159" t="s">
        <v>681</v>
      </c>
      <c r="AB146" s="159"/>
      <c r="AC146" s="159" t="str">
        <f>IF(H146=$M$1,"SI","NO")</f>
        <v>NO</v>
      </c>
      <c r="AD146" s="159"/>
      <c r="AE146" s="159"/>
      <c r="AF146" s="256">
        <v>45100</v>
      </c>
      <c r="AG146" s="159" t="str">
        <f>IF(COUNTIF(C146,"*preso*")&gt;0,"SI","NO")</f>
        <v>NO</v>
      </c>
      <c r="AH146" s="244">
        <f>NroOrden(N146)</f>
        <v>50</v>
      </c>
      <c r="AI146" s="159" t="s">
        <v>682</v>
      </c>
      <c r="AJ146" s="48" t="str">
        <f ca="1">IF(OR(Y146="NO",Y146="LIMBO"),"IMP","NOIMP")</f>
        <v>NOIMP</v>
      </c>
    </row>
    <row r="147" spans="1:36" ht="39.950000000000003" customHeight="1">
      <c r="A147" s="159">
        <v>52</v>
      </c>
      <c r="B147" s="185" t="s">
        <v>695</v>
      </c>
      <c r="C147" s="285" t="s">
        <v>696</v>
      </c>
      <c r="D147" s="184" t="s">
        <v>697</v>
      </c>
      <c r="E147" s="184" t="s">
        <v>698</v>
      </c>
      <c r="F147" s="161">
        <v>45040</v>
      </c>
      <c r="G147" s="184"/>
      <c r="H147" s="184" t="s">
        <v>1644</v>
      </c>
      <c r="I147" s="185">
        <v>45078</v>
      </c>
      <c r="J147" s="289">
        <v>0.5</v>
      </c>
      <c r="K147" s="184" t="s">
        <v>363</v>
      </c>
      <c r="L147" s="246"/>
      <c r="M147" s="185" t="s">
        <v>329</v>
      </c>
      <c r="N147" s="159" t="s">
        <v>356</v>
      </c>
      <c r="O147" s="159" t="s">
        <v>2034</v>
      </c>
      <c r="P147" s="159" t="s">
        <v>699</v>
      </c>
      <c r="Q147" s="159" t="s">
        <v>111</v>
      </c>
      <c r="R147" s="246"/>
      <c r="S147" s="159" t="s">
        <v>374</v>
      </c>
      <c r="T147" s="159" t="s">
        <v>700</v>
      </c>
      <c r="U147" s="159"/>
      <c r="V147" s="184" t="s">
        <v>111</v>
      </c>
      <c r="W147" s="184" t="s">
        <v>111</v>
      </c>
      <c r="X147" s="184" t="s">
        <v>111</v>
      </c>
      <c r="Y147" s="159" t="str">
        <f ca="1">IF(I147&lt;&gt;"",IF(I147&lt;=TODAY(),IF(OR(N147="REPROGRAMADA",N147="SUSPENDIDA",N147="EXCLUSION",N147="COLEGIADO"),"NO HECHA",IF(N147=" ","SINRESULTADO","SI")),"NO"),IF(N147="EXCLUSION","NO HECHA","LIMBO"))</f>
        <v>SI</v>
      </c>
      <c r="Z147" s="159" t="str">
        <f>IF($Z$1=I147,"DIASOL", "DIANOSOL")</f>
        <v>DIANOSOL</v>
      </c>
      <c r="AA147" s="184" t="s">
        <v>240</v>
      </c>
      <c r="AB147" s="184"/>
      <c r="AC147" s="159" t="str">
        <f>IF(H147=$M$1,"SI","NO")</f>
        <v>NO</v>
      </c>
      <c r="AD147" s="159"/>
      <c r="AE147" s="159"/>
      <c r="AF147" s="159" t="s">
        <v>702</v>
      </c>
      <c r="AG147" s="159" t="str">
        <f>IF(COUNTIF(C147,"*preso*")&gt;0,"SI","NO")</f>
        <v>SI</v>
      </c>
      <c r="AH147" s="244">
        <f>NroOrden(N147)</f>
        <v>50</v>
      </c>
      <c r="AI147" s="159" t="s">
        <v>701</v>
      </c>
      <c r="AJ147" s="48" t="str">
        <f ca="1">IF(OR(Y147="NO",Y147="LIMBO"),"IMP","NOIMP")</f>
        <v>NOIMP</v>
      </c>
    </row>
    <row r="148" spans="1:36" ht="88.5" customHeight="1">
      <c r="A148" s="159">
        <v>59</v>
      </c>
      <c r="B148" s="160" t="s">
        <v>732</v>
      </c>
      <c r="C148" s="209"/>
      <c r="D148" s="159" t="s">
        <v>733</v>
      </c>
      <c r="E148" s="159" t="s">
        <v>632</v>
      </c>
      <c r="F148" s="256">
        <v>44981</v>
      </c>
      <c r="G148" s="159" t="s">
        <v>734</v>
      </c>
      <c r="H148" s="159" t="s">
        <v>1641</v>
      </c>
      <c r="I148" s="160">
        <v>45079</v>
      </c>
      <c r="J148" s="163">
        <v>0.375</v>
      </c>
      <c r="K148" s="159" t="s">
        <v>363</v>
      </c>
      <c r="L148" s="246"/>
      <c r="M148" s="160" t="s">
        <v>329</v>
      </c>
      <c r="N148" s="159" t="s">
        <v>356</v>
      </c>
      <c r="O148" s="159" t="s">
        <v>2034</v>
      </c>
      <c r="P148" s="159" t="s">
        <v>735</v>
      </c>
      <c r="Q148" s="159" t="s">
        <v>111</v>
      </c>
      <c r="R148" s="246"/>
      <c r="S148" s="159"/>
      <c r="T148" s="159"/>
      <c r="U148" s="159"/>
      <c r="V148" s="159" t="s">
        <v>194</v>
      </c>
      <c r="W148" s="159" t="s">
        <v>180</v>
      </c>
      <c r="X148" s="159" t="s">
        <v>111</v>
      </c>
      <c r="Y148" s="159" t="str">
        <f ca="1">IF(I148&lt;&gt;"",IF(I148&lt;=TODAY(),IF(OR(N148="REPROGRAMADA",N148="SUSPENDIDA",N148="EXCLUSION",N148="COLEGIADO"),"NO HECHA",IF(N148=" ","SINRESULTADO","SI")),"NO"),IF(N148="EXCLUSION","NO HECHA","LIMBO"))</f>
        <v>SI</v>
      </c>
      <c r="Z148" s="159" t="str">
        <f>IF($Z$1=I148,"DIASOL", "DIANOSOL")</f>
        <v>DIANOSOL</v>
      </c>
      <c r="AA148" s="159" t="s">
        <v>737</v>
      </c>
      <c r="AB148" s="159" t="s">
        <v>736</v>
      </c>
      <c r="AC148" s="159" t="str">
        <f>IF(H148=$M$1,"SI","NO")</f>
        <v>NO</v>
      </c>
      <c r="AD148" s="159"/>
      <c r="AE148" s="159"/>
      <c r="AF148" s="159"/>
      <c r="AG148" s="159" t="str">
        <f>IF(COUNTIF(C148,"*preso*")&gt;0,"SI","NO")</f>
        <v>NO</v>
      </c>
      <c r="AH148" s="244">
        <f>NroOrden(N148)</f>
        <v>50</v>
      </c>
      <c r="AI148" s="159"/>
      <c r="AJ148" s="48" t="str">
        <f ca="1">IF(OR(Y148="NO",Y148="LIMBO"),"IMP","NOIMP")</f>
        <v>NOIMP</v>
      </c>
    </row>
    <row r="149" spans="1:36" ht="39.950000000000003" customHeight="1">
      <c r="A149" s="159">
        <v>57</v>
      </c>
      <c r="B149" s="160" t="s">
        <v>721</v>
      </c>
      <c r="C149" s="209"/>
      <c r="D149" s="159" t="s">
        <v>722</v>
      </c>
      <c r="E149" s="159" t="s">
        <v>723</v>
      </c>
      <c r="F149" s="256">
        <v>45061</v>
      </c>
      <c r="G149" s="159" t="s">
        <v>724</v>
      </c>
      <c r="H149" s="159" t="s">
        <v>1638</v>
      </c>
      <c r="I149" s="160">
        <v>45079</v>
      </c>
      <c r="J149" s="163">
        <v>0.41666666666666669</v>
      </c>
      <c r="K149" s="159" t="s">
        <v>363</v>
      </c>
      <c r="L149" s="246"/>
      <c r="M149" s="160" t="s">
        <v>329</v>
      </c>
      <c r="N149" s="159" t="s">
        <v>355</v>
      </c>
      <c r="O149" s="159" t="s">
        <v>2034</v>
      </c>
      <c r="P149" s="159" t="s">
        <v>725</v>
      </c>
      <c r="Q149" s="159" t="s">
        <v>111</v>
      </c>
      <c r="R149" s="246"/>
      <c r="S149" s="159"/>
      <c r="T149" s="159"/>
      <c r="U149" s="159"/>
      <c r="V149" s="159" t="s">
        <v>194</v>
      </c>
      <c r="W149" s="159" t="s">
        <v>726</v>
      </c>
      <c r="X149" s="159" t="s">
        <v>111</v>
      </c>
      <c r="Y149" s="159" t="str">
        <f ca="1">IF(I149&lt;&gt;"",IF(I149&lt;=TODAY(),IF(OR(N149="REPROGRAMADA",N149="SUSPENDIDA",N149="EXCLUSION",N149="COLEGIADO"),"NO HECHA",IF(N149=" ","SINRESULTADO","SI")),"NO"),IF(N149="EXCLUSION","NO HECHA","LIMBO"))</f>
        <v>SI</v>
      </c>
      <c r="Z149" s="159" t="str">
        <f>IF($Z$1=I149,"DIASOL", "DIANOSOL")</f>
        <v>DIANOSOL</v>
      </c>
      <c r="AA149" s="159" t="s">
        <v>240</v>
      </c>
      <c r="AB149" s="159"/>
      <c r="AC149" s="159" t="str">
        <f>IF(H149=$M$1,"SI","NO")</f>
        <v>NO</v>
      </c>
      <c r="AD149" s="159"/>
      <c r="AE149" s="159"/>
      <c r="AF149" s="256">
        <v>45085</v>
      </c>
      <c r="AG149" s="159" t="str">
        <f>IF(COUNTIF(C149,"*preso*")&gt;0,"SI","NO")</f>
        <v>NO</v>
      </c>
      <c r="AH149" s="244">
        <f>NroOrden(N149)</f>
        <v>50</v>
      </c>
      <c r="AI149" s="159" t="s">
        <v>727</v>
      </c>
      <c r="AJ149" s="48" t="str">
        <f ca="1">IF(OR(Y149="NO",Y149="LIMBO"),"IMP","NOIMP")</f>
        <v>NOIMP</v>
      </c>
    </row>
    <row r="150" spans="1:36" ht="63.75">
      <c r="A150" s="159">
        <v>63</v>
      </c>
      <c r="B150" s="160" t="s">
        <v>509</v>
      </c>
      <c r="C150" s="209" t="s">
        <v>501</v>
      </c>
      <c r="D150" s="159" t="s">
        <v>750</v>
      </c>
      <c r="E150" s="159" t="s">
        <v>511</v>
      </c>
      <c r="F150" s="256">
        <v>45041</v>
      </c>
      <c r="G150" s="159" t="s">
        <v>512</v>
      </c>
      <c r="H150" s="159" t="s">
        <v>1638</v>
      </c>
      <c r="I150" s="160">
        <v>45082</v>
      </c>
      <c r="J150" s="163">
        <v>0.5</v>
      </c>
      <c r="K150" s="159" t="s">
        <v>362</v>
      </c>
      <c r="L150" s="246"/>
      <c r="M150" s="160" t="s">
        <v>330</v>
      </c>
      <c r="N150" s="159" t="s">
        <v>355</v>
      </c>
      <c r="O150" s="159" t="s">
        <v>2034</v>
      </c>
      <c r="P150" s="159" t="s">
        <v>725</v>
      </c>
      <c r="Q150" s="159" t="s">
        <v>111</v>
      </c>
      <c r="R150" s="246"/>
      <c r="S150" s="159" t="s">
        <v>374</v>
      </c>
      <c r="T150" s="159" t="s">
        <v>515</v>
      </c>
      <c r="U150" s="159"/>
      <c r="V150" s="159" t="s">
        <v>192</v>
      </c>
      <c r="W150" s="159" t="s">
        <v>423</v>
      </c>
      <c r="X150" s="159" t="s">
        <v>111</v>
      </c>
      <c r="Y150" s="159" t="str">
        <f ca="1">IF(I150&lt;&gt;"",IF(I150&lt;=TODAY(),IF(OR(N150="REPROGRAMADA",N150="SUSPENDIDA",N150="EXCLUSION",N150="COLEGIADO"),"NO HECHA",IF(N150=" ","SINRESULTADO","SI")),"NO"),IF(N150="EXCLUSION","NO HECHA","LIMBO"))</f>
        <v>SI</v>
      </c>
      <c r="Z150" s="159" t="str">
        <f>IF($Z$1=I150,"DIASOL", "DIANOSOL")</f>
        <v>DIANOSOL</v>
      </c>
      <c r="AA150" s="159" t="s">
        <v>240</v>
      </c>
      <c r="AB150" s="159" t="s">
        <v>514</v>
      </c>
      <c r="AC150" s="159" t="str">
        <f>IF(H150=$M$1,"SI","NO")</f>
        <v>NO</v>
      </c>
      <c r="AD150" s="159"/>
      <c r="AE150" s="159"/>
      <c r="AF150" s="159"/>
      <c r="AG150" s="159" t="str">
        <f>IF(COUNTIF(C150,"*preso*")&gt;0,"SI","NO")</f>
        <v>SI</v>
      </c>
      <c r="AH150" s="244">
        <f>NroOrden(N150)</f>
        <v>50</v>
      </c>
      <c r="AI150" s="159"/>
      <c r="AJ150" s="48" t="str">
        <f ca="1">IF(OR(Y150="NO",Y150="LIMBO"),"IMP","NOIMP")</f>
        <v>NOIMP</v>
      </c>
    </row>
    <row r="151" spans="1:36" ht="39.950000000000003" customHeight="1">
      <c r="A151" s="159">
        <v>65</v>
      </c>
      <c r="B151" s="160" t="s">
        <v>758</v>
      </c>
      <c r="C151" s="209"/>
      <c r="D151" s="159" t="s">
        <v>759</v>
      </c>
      <c r="E151" s="159" t="s">
        <v>760</v>
      </c>
      <c r="F151" s="256">
        <v>45035</v>
      </c>
      <c r="G151" s="159" t="s">
        <v>761</v>
      </c>
      <c r="H151" s="159" t="s">
        <v>1638</v>
      </c>
      <c r="I151" s="160">
        <v>45085</v>
      </c>
      <c r="J151" s="163">
        <v>0.375</v>
      </c>
      <c r="K151" s="159" t="s">
        <v>364</v>
      </c>
      <c r="L151" s="246"/>
      <c r="M151" s="160" t="s">
        <v>328</v>
      </c>
      <c r="N151" s="159" t="s">
        <v>357</v>
      </c>
      <c r="O151" s="159" t="s">
        <v>2034</v>
      </c>
      <c r="P151" s="159"/>
      <c r="Q151" s="159" t="s">
        <v>330</v>
      </c>
      <c r="R151" s="246"/>
      <c r="S151" s="159"/>
      <c r="T151" s="159"/>
      <c r="U151" s="159"/>
      <c r="V151" s="159" t="s">
        <v>187</v>
      </c>
      <c r="W151" s="159" t="s">
        <v>202</v>
      </c>
      <c r="X151" s="159" t="s">
        <v>111</v>
      </c>
      <c r="Y151" s="159" t="str">
        <f ca="1">IF(I151&lt;&gt;"",IF(I151&lt;=TODAY(),IF(OR(N151="REPROGRAMADA",N151="SUSPENDIDA",N151="EXCLUSION",N151="COLEGIADO"),"NO HECHA",IF(N151=" ","SINRESULTADO","SI")),"NO"),IF(N151="EXCLUSION","NO HECHA","LIMBO"))</f>
        <v>SI</v>
      </c>
      <c r="Z151" s="159" t="str">
        <f>IF($Z$1=I151,"DIASOL", "DIANOSOL")</f>
        <v>DIANOSOL</v>
      </c>
      <c r="AA151" s="159" t="s">
        <v>738</v>
      </c>
      <c r="AB151" s="159" t="s">
        <v>762</v>
      </c>
      <c r="AC151" s="159" t="str">
        <f>IF(H151=$M$1,"SI","NO")</f>
        <v>NO</v>
      </c>
      <c r="AD151" s="159"/>
      <c r="AE151" s="159"/>
      <c r="AF151" s="256">
        <v>45091</v>
      </c>
      <c r="AG151" s="159" t="str">
        <f>IF(COUNTIF(C151,"*preso*")&gt;0,"SI","NO")</f>
        <v>NO</v>
      </c>
      <c r="AH151" s="244">
        <f>NroOrden(N151)</f>
        <v>50</v>
      </c>
      <c r="AI151" s="159"/>
      <c r="AJ151" s="48" t="str">
        <f ca="1">IF(OR(Y151="NO",Y151="LIMBO"),"IMP","NOIMP")</f>
        <v>NOIMP</v>
      </c>
    </row>
    <row r="152" spans="1:36" ht="39.950000000000003" customHeight="1">
      <c r="A152" s="184">
        <v>70</v>
      </c>
      <c r="B152" s="185" t="s">
        <v>777</v>
      </c>
      <c r="C152" s="285" t="s">
        <v>501</v>
      </c>
      <c r="D152" s="184" t="s">
        <v>778</v>
      </c>
      <c r="E152" s="184" t="s">
        <v>779</v>
      </c>
      <c r="F152" s="220">
        <v>45064</v>
      </c>
      <c r="G152" s="184" t="s">
        <v>780</v>
      </c>
      <c r="H152" s="184" t="s">
        <v>1644</v>
      </c>
      <c r="I152" s="185">
        <v>45086</v>
      </c>
      <c r="J152" s="289">
        <v>0.39583333333333331</v>
      </c>
      <c r="K152" s="184" t="s">
        <v>363</v>
      </c>
      <c r="L152" s="246"/>
      <c r="M152" s="185" t="s">
        <v>329</v>
      </c>
      <c r="N152" s="184" t="s">
        <v>357</v>
      </c>
      <c r="O152" s="184" t="s">
        <v>2034</v>
      </c>
      <c r="P152" s="184"/>
      <c r="Q152" s="184" t="s">
        <v>328</v>
      </c>
      <c r="R152" s="246"/>
      <c r="S152" s="184"/>
      <c r="T152" s="184" t="s">
        <v>783</v>
      </c>
      <c r="U152" s="184"/>
      <c r="V152" s="184" t="s">
        <v>184</v>
      </c>
      <c r="W152" s="184" t="s">
        <v>781</v>
      </c>
      <c r="X152" s="184" t="s">
        <v>111</v>
      </c>
      <c r="Y152" s="184" t="str">
        <f ca="1">IF(I152&lt;&gt;"",IF(I152&lt;=TODAY(),IF(OR(N152="REPROGRAMADA",N152="SUSPENDIDA",N152="EXCLUSION",N152="COLEGIADO"),"NO HECHA",IF(N152=" ","SINRESULTADO","SI")),"NO"),IF(N152="EXCLUSION","NO HECHA","LIMBO"))</f>
        <v>SI</v>
      </c>
      <c r="Z152" s="184" t="str">
        <f>IF($Z$1=I152,"DIASOL", "DIANOSOL")</f>
        <v>DIANOSOL</v>
      </c>
      <c r="AA152" s="184" t="s">
        <v>240</v>
      </c>
      <c r="AB152" s="184" t="s">
        <v>782</v>
      </c>
      <c r="AC152" s="184" t="str">
        <f>IF(H152=$M$1,"SI","NO")</f>
        <v>NO</v>
      </c>
      <c r="AD152" s="184"/>
      <c r="AE152" s="184"/>
      <c r="AF152" s="220">
        <v>45091</v>
      </c>
      <c r="AG152" s="184" t="str">
        <f>IF(COUNTIF(C152,"*preso*")&gt;0,"SI","NO")</f>
        <v>SI</v>
      </c>
      <c r="AH152" s="244">
        <f>NroOrden(N152)</f>
        <v>50</v>
      </c>
      <c r="AI152" s="184"/>
      <c r="AJ152" s="48" t="str">
        <f ca="1">IF(OR(Y152="NO",Y152="LIMBO"),"IMP","NOIMP")</f>
        <v>NOIMP</v>
      </c>
    </row>
    <row r="153" spans="1:36" ht="39.950000000000003" customHeight="1">
      <c r="A153" s="282">
        <v>67</v>
      </c>
      <c r="B153" s="284" t="s">
        <v>768</v>
      </c>
      <c r="C153" s="315"/>
      <c r="D153" s="282" t="s">
        <v>716</v>
      </c>
      <c r="E153" s="282" t="s">
        <v>717</v>
      </c>
      <c r="F153" s="287"/>
      <c r="G153" s="282"/>
      <c r="H153" s="282" t="s">
        <v>1638</v>
      </c>
      <c r="I153" s="284">
        <v>45086</v>
      </c>
      <c r="J153" s="300">
        <v>0.41666666666666669</v>
      </c>
      <c r="K153" s="282" t="s">
        <v>403</v>
      </c>
      <c r="L153" s="184"/>
      <c r="M153" s="284" t="s">
        <v>330</v>
      </c>
      <c r="N153" s="282" t="s">
        <v>357</v>
      </c>
      <c r="O153" s="282" t="s">
        <v>2034</v>
      </c>
      <c r="P153" s="282"/>
      <c r="Q153" s="282" t="s">
        <v>329</v>
      </c>
      <c r="R153" s="341" t="s">
        <v>2163</v>
      </c>
      <c r="S153" s="282"/>
      <c r="T153" s="282"/>
      <c r="U153" s="282"/>
      <c r="V153" s="282" t="s">
        <v>186</v>
      </c>
      <c r="W153" s="282" t="s">
        <v>719</v>
      </c>
      <c r="X153" s="282" t="s">
        <v>111</v>
      </c>
      <c r="Y153" s="282" t="str">
        <f ca="1">IF(I153&lt;&gt;"",IF(I153&lt;=TODAY(),IF(OR(N153="REPROGRAMADA",N153="SUSPENDIDA",N153="EXCLUSION",N153="COLEGIADO"),"NO HECHA",IF(N153=" ","SINRESULTADO","SI")),"NO"),IF(N153="EXCLUSION","NO HECHA","LIMBO"))</f>
        <v>SI</v>
      </c>
      <c r="Z153" s="282" t="str">
        <f>IF($Z$1=I153,"DIASOL", "DIANOSOL")</f>
        <v>DIANOSOL</v>
      </c>
      <c r="AA153" s="282" t="s">
        <v>240</v>
      </c>
      <c r="AB153" s="282" t="s">
        <v>720</v>
      </c>
      <c r="AC153" s="282" t="str">
        <f>IF(H153=$M$1,"SI","NO")</f>
        <v>NO</v>
      </c>
      <c r="AD153" s="282"/>
      <c r="AE153" s="287">
        <v>45044</v>
      </c>
      <c r="AF153" s="287">
        <v>45091</v>
      </c>
      <c r="AG153" s="282" t="str">
        <f>IF(COUNTIF(C153,"*preso*")&gt;0,"SI","NO")</f>
        <v>NO</v>
      </c>
      <c r="AH153" s="254">
        <f>NroOrden(N153)</f>
        <v>50</v>
      </c>
      <c r="AI153" s="282"/>
      <c r="AJ153" s="184" t="str">
        <f ca="1">IF(OR(Y153="NO",Y153="LIMBO"),"IMP","NOIMP")</f>
        <v>NOIMP</v>
      </c>
    </row>
    <row r="154" spans="1:36" ht="68.25" customHeight="1">
      <c r="A154" s="159">
        <v>73</v>
      </c>
      <c r="B154" s="185" t="s">
        <v>799</v>
      </c>
      <c r="C154" s="285"/>
      <c r="D154" s="184" t="s">
        <v>800</v>
      </c>
      <c r="E154" s="184" t="s">
        <v>573</v>
      </c>
      <c r="F154" s="256">
        <v>45036</v>
      </c>
      <c r="G154" s="184" t="s">
        <v>801</v>
      </c>
      <c r="H154" s="184" t="s">
        <v>111</v>
      </c>
      <c r="I154" s="185">
        <v>45089</v>
      </c>
      <c r="J154" s="289">
        <v>0.375</v>
      </c>
      <c r="K154" s="184" t="s">
        <v>364</v>
      </c>
      <c r="L154" s="246"/>
      <c r="M154" s="185" t="s">
        <v>328</v>
      </c>
      <c r="N154" s="159" t="s">
        <v>357</v>
      </c>
      <c r="O154" s="159" t="s">
        <v>2034</v>
      </c>
      <c r="P154" s="159"/>
      <c r="Q154" s="159" t="s">
        <v>330</v>
      </c>
      <c r="R154" s="246"/>
      <c r="S154" s="159"/>
      <c r="T154" s="159"/>
      <c r="U154" s="159"/>
      <c r="V154" s="184" t="s">
        <v>342</v>
      </c>
      <c r="W154" s="184" t="s">
        <v>132</v>
      </c>
      <c r="X154" s="184" t="s">
        <v>111</v>
      </c>
      <c r="Y154" s="159" t="str">
        <f ca="1">IF(I154&lt;&gt;"",IF(I154&lt;=TODAY(),IF(OR(N154="REPROGRAMADA",N154="SUSPENDIDA",N154="EXCLUSION",N154="COLEGIADO"),"NO HECHA",IF(N154=" ","SINRESULTADO","SI")),"NO"),IF(N154="EXCLUSION","NO HECHA","LIMBO"))</f>
        <v>SI</v>
      </c>
      <c r="Z154" s="159" t="str">
        <f>IF($Z$1=I154,"DIASOL", "DIANOSOL")</f>
        <v>DIANOSOL</v>
      </c>
      <c r="AA154" s="184" t="s">
        <v>240</v>
      </c>
      <c r="AB154" s="184" t="s">
        <v>802</v>
      </c>
      <c r="AC154" s="159" t="str">
        <f>IF(H154=$M$1,"SI","NO")</f>
        <v>NO</v>
      </c>
      <c r="AD154" s="159"/>
      <c r="AE154" s="159"/>
      <c r="AF154" s="159"/>
      <c r="AG154" s="159" t="str">
        <f>IF(COUNTIF(C154,"*preso*")&gt;0,"SI","NO")</f>
        <v>NO</v>
      </c>
      <c r="AH154" s="244">
        <f>NroOrden(N154)</f>
        <v>50</v>
      </c>
      <c r="AI154" s="159"/>
      <c r="AJ154" s="48" t="str">
        <f ca="1">IF(OR(Y154="NO",Y154="LIMBO"),"IMP","NOIMP")</f>
        <v>NOIMP</v>
      </c>
    </row>
    <row r="155" spans="1:36" ht="39.950000000000003" customHeight="1">
      <c r="A155" s="159">
        <v>71</v>
      </c>
      <c r="B155" s="160" t="s">
        <v>784</v>
      </c>
      <c r="C155" s="209" t="s">
        <v>501</v>
      </c>
      <c r="D155" s="159" t="s">
        <v>785</v>
      </c>
      <c r="E155" s="159" t="s">
        <v>786</v>
      </c>
      <c r="F155" s="256">
        <v>45021</v>
      </c>
      <c r="G155" s="159" t="s">
        <v>787</v>
      </c>
      <c r="H155" s="159" t="s">
        <v>1641</v>
      </c>
      <c r="I155" s="160">
        <v>45091</v>
      </c>
      <c r="J155" s="163">
        <v>0.45833333333333331</v>
      </c>
      <c r="K155" s="159" t="s">
        <v>364</v>
      </c>
      <c r="L155" s="246"/>
      <c r="M155" s="160" t="s">
        <v>328</v>
      </c>
      <c r="N155" s="159" t="s">
        <v>356</v>
      </c>
      <c r="O155" s="159" t="s">
        <v>2034</v>
      </c>
      <c r="P155" s="159" t="s">
        <v>788</v>
      </c>
      <c r="Q155" s="159" t="s">
        <v>111</v>
      </c>
      <c r="R155" s="246"/>
      <c r="S155" s="159" t="s">
        <v>372</v>
      </c>
      <c r="T155" s="256">
        <v>44872</v>
      </c>
      <c r="U155" s="159" t="s">
        <v>790</v>
      </c>
      <c r="V155" s="159" t="s">
        <v>193</v>
      </c>
      <c r="W155" s="159" t="s">
        <v>117</v>
      </c>
      <c r="X155" s="159" t="s">
        <v>111</v>
      </c>
      <c r="Y155" s="159" t="str">
        <f ca="1">IF(I155&lt;&gt;"",IF(I155&lt;=TODAY(),IF(OR(N155="REPROGRAMADA",N155="SUSPENDIDA",N155="EXCLUSION",N155="COLEGIADO"),"NO HECHA",IF(N155=" ","SINRESULTADO","SI")),"NO"),IF(N155="EXCLUSION","NO HECHA","LIMBO"))</f>
        <v>SI</v>
      </c>
      <c r="Z155" s="159" t="str">
        <f>IF($Z$1=I155,"DIASOL", "DIANOSOL")</f>
        <v>DIANOSOL</v>
      </c>
      <c r="AA155" s="159" t="s">
        <v>240</v>
      </c>
      <c r="AB155" s="159" t="s">
        <v>789</v>
      </c>
      <c r="AC155" s="159" t="str">
        <f>IF(H155=$M$1,"SI","NO")</f>
        <v>NO</v>
      </c>
      <c r="AD155" s="159"/>
      <c r="AE155" s="159"/>
      <c r="AF155" s="256">
        <v>45103</v>
      </c>
      <c r="AG155" s="159" t="str">
        <f>IF(COUNTIF(C155,"*preso*")&gt;0,"SI","NO")</f>
        <v>SI</v>
      </c>
      <c r="AH155" s="244">
        <f>NroOrden(N155)</f>
        <v>50</v>
      </c>
      <c r="AI155" s="159" t="s">
        <v>791</v>
      </c>
      <c r="AJ155" s="48" t="str">
        <f ca="1">IF(OR(Y155="NO",Y155="LIMBO"),"IMP","NOIMP")</f>
        <v>NOIMP</v>
      </c>
    </row>
    <row r="156" spans="1:36" s="96" customFormat="1" ht="39.950000000000003" customHeight="1">
      <c r="A156" s="159">
        <v>75</v>
      </c>
      <c r="B156" s="160" t="s">
        <v>808</v>
      </c>
      <c r="C156" s="209"/>
      <c r="D156" s="159" t="s">
        <v>809</v>
      </c>
      <c r="E156" s="159" t="s">
        <v>810</v>
      </c>
      <c r="F156" s="256">
        <v>45103</v>
      </c>
      <c r="G156" s="159" t="s">
        <v>742</v>
      </c>
      <c r="H156" s="159" t="s">
        <v>111</v>
      </c>
      <c r="I156" s="160">
        <v>45092</v>
      </c>
      <c r="J156" s="163">
        <v>0.375</v>
      </c>
      <c r="K156" s="159" t="s">
        <v>362</v>
      </c>
      <c r="L156" s="246"/>
      <c r="M156" s="160" t="s">
        <v>330</v>
      </c>
      <c r="N156" s="159" t="s">
        <v>359</v>
      </c>
      <c r="O156" s="159"/>
      <c r="P156" s="159" t="s">
        <v>811</v>
      </c>
      <c r="Q156" s="159" t="s">
        <v>111</v>
      </c>
      <c r="R156" s="246"/>
      <c r="S156" s="159"/>
      <c r="T156" s="159"/>
      <c r="U156" s="159"/>
      <c r="V156" s="159" t="s">
        <v>198</v>
      </c>
      <c r="W156" s="159" t="s">
        <v>812</v>
      </c>
      <c r="X156" s="159" t="s">
        <v>111</v>
      </c>
      <c r="Y156" s="159" t="str">
        <f ca="1">IF(I156&lt;&gt;"",IF(I156&lt;=TODAY(),IF(OR(N156="REPROGRAMADA",N156="SUSPENDIDA",N156="EXCLUSION",N156="COLEGIADO"),"NO HECHA",IF(N156=" ","SINRESULTADO","SI")),"NO"),IF(N156="EXCLUSION","NO HECHA","LIMBO"))</f>
        <v>SI</v>
      </c>
      <c r="Z156" s="159" t="str">
        <f>IF($Z$1=I156,"DIASOL", "DIANOSOL")</f>
        <v>DIANOSOL</v>
      </c>
      <c r="AA156" s="159" t="s">
        <v>240</v>
      </c>
      <c r="AB156" s="159" t="s">
        <v>813</v>
      </c>
      <c r="AC156" s="159" t="str">
        <f>IF(H156=$M$1,"SI","NO")</f>
        <v>NO</v>
      </c>
      <c r="AD156" s="159"/>
      <c r="AE156" s="159"/>
      <c r="AF156" s="159"/>
      <c r="AG156" s="159" t="str">
        <f>IF(COUNTIF(C156,"*preso*")&gt;0,"SI","NO")</f>
        <v>NO</v>
      </c>
      <c r="AH156" s="244">
        <f>NroOrden(N156)</f>
        <v>50</v>
      </c>
      <c r="AI156" s="159"/>
      <c r="AJ156" s="48" t="str">
        <f ca="1">IF(OR(Y156="NO",Y156="LIMBO"),"IMP","NOIMP")</f>
        <v>NOIMP</v>
      </c>
    </row>
    <row r="157" spans="1:36" ht="39.950000000000003" customHeight="1">
      <c r="A157" s="159">
        <v>31</v>
      </c>
      <c r="B157" s="160" t="s">
        <v>448</v>
      </c>
      <c r="C157" s="209" t="s">
        <v>501</v>
      </c>
      <c r="D157" s="159" t="s">
        <v>449</v>
      </c>
      <c r="E157" s="159" t="s">
        <v>450</v>
      </c>
      <c r="F157" s="256">
        <v>45076</v>
      </c>
      <c r="G157" s="159" t="s">
        <v>451</v>
      </c>
      <c r="H157" s="159" t="s">
        <v>1644</v>
      </c>
      <c r="I157" s="160">
        <v>45092</v>
      </c>
      <c r="J157" s="163">
        <v>0.54166666666666663</v>
      </c>
      <c r="K157" s="159" t="s">
        <v>365</v>
      </c>
      <c r="L157" s="246"/>
      <c r="M157" s="160" t="s">
        <v>333</v>
      </c>
      <c r="N157" s="159" t="s">
        <v>356</v>
      </c>
      <c r="O157" s="159" t="s">
        <v>2034</v>
      </c>
      <c r="P157" s="159"/>
      <c r="Q157" s="159" t="s">
        <v>111</v>
      </c>
      <c r="R157" s="246"/>
      <c r="S157" s="159" t="s">
        <v>374</v>
      </c>
      <c r="T157" s="159" t="s">
        <v>453</v>
      </c>
      <c r="U157" s="159"/>
      <c r="V157" s="159" t="s">
        <v>192</v>
      </c>
      <c r="W157" s="159" t="s">
        <v>136</v>
      </c>
      <c r="X157" s="159" t="s">
        <v>111</v>
      </c>
      <c r="Y157" s="159" t="str">
        <f ca="1">IF(I157&lt;&gt;"",IF(I157&lt;=TODAY(),IF(OR(N157="REPROGRAMADA",N157="SUSPENDIDA",N157="EXCLUSION",N157="COLEGIADO"),"NO HECHA",IF(N157=" ","SINRESULTADO","SI")),"NO"),IF(N157="EXCLUSION","NO HECHA","LIMBO"))</f>
        <v>SI</v>
      </c>
      <c r="Z157" s="159" t="str">
        <f>IF($Z$1=I157,"DIASOL", "DIANOSOL")</f>
        <v>DIANOSOL</v>
      </c>
      <c r="AA157" s="159" t="s">
        <v>240</v>
      </c>
      <c r="AB157" s="159" t="s">
        <v>452</v>
      </c>
      <c r="AC157" s="159" t="str">
        <f>IF(H157=$M$1,"SI","NO")</f>
        <v>NO</v>
      </c>
      <c r="AD157" s="159"/>
      <c r="AE157" s="159"/>
      <c r="AF157" s="159"/>
      <c r="AG157" s="159" t="str">
        <f>IF(COUNTIF(C157,"*preso*")&gt;0,"SI","NO")</f>
        <v>SI</v>
      </c>
      <c r="AH157" s="244">
        <f>NroOrden(N157)</f>
        <v>50</v>
      </c>
      <c r="AI157" s="159" t="s">
        <v>571</v>
      </c>
      <c r="AJ157" s="48" t="str">
        <f ca="1">IF(OR(Y157="NO",Y157="LIMBO"),"IMP","NOIMP")</f>
        <v>NOIMP</v>
      </c>
    </row>
    <row r="158" spans="1:36" ht="39.950000000000003" customHeight="1">
      <c r="A158" s="159">
        <v>80</v>
      </c>
      <c r="B158" s="160" t="s">
        <v>839</v>
      </c>
      <c r="C158" s="209"/>
      <c r="D158" s="159" t="s">
        <v>840</v>
      </c>
      <c r="E158" s="159" t="s">
        <v>841</v>
      </c>
      <c r="F158" s="256">
        <v>45065</v>
      </c>
      <c r="G158" s="159"/>
      <c r="H158" s="159" t="s">
        <v>1638</v>
      </c>
      <c r="I158" s="160">
        <v>45093</v>
      </c>
      <c r="J158" s="163">
        <v>0.54166666666666663</v>
      </c>
      <c r="K158" s="159" t="s">
        <v>362</v>
      </c>
      <c r="L158" s="246"/>
      <c r="M158" s="160" t="s">
        <v>330</v>
      </c>
      <c r="N158" s="159" t="s">
        <v>357</v>
      </c>
      <c r="O158" s="159" t="s">
        <v>2034</v>
      </c>
      <c r="P158" s="159"/>
      <c r="Q158" s="159" t="s">
        <v>329</v>
      </c>
      <c r="R158" s="246"/>
      <c r="S158" s="159"/>
      <c r="T158" s="159"/>
      <c r="U158" s="159"/>
      <c r="V158" s="159" t="s">
        <v>340</v>
      </c>
      <c r="W158" s="159" t="s">
        <v>842</v>
      </c>
      <c r="X158" s="159" t="s">
        <v>111</v>
      </c>
      <c r="Y158" s="159" t="str">
        <f ca="1">IF(I158&lt;&gt;"",IF(I158&lt;=TODAY(),IF(OR(N158="REPROGRAMADA",N158="SUSPENDIDA",N158="EXCLUSION",N158="COLEGIADO"),"NO HECHA",IF(N158=" ","SINRESULTADO","SI")),"NO"),IF(N158="EXCLUSION","NO HECHA","LIMBO"))</f>
        <v>SI</v>
      </c>
      <c r="Z158" s="159" t="str">
        <f>IF($Z$1=I158,"DIASOL", "DIANOSOL")</f>
        <v>DIANOSOL</v>
      </c>
      <c r="AA158" s="159" t="s">
        <v>240</v>
      </c>
      <c r="AB158" s="159" t="s">
        <v>843</v>
      </c>
      <c r="AC158" s="159" t="str">
        <f>IF(H158=$M$1,"SI","NO")</f>
        <v>NO</v>
      </c>
      <c r="AD158" s="159"/>
      <c r="AE158" s="159"/>
      <c r="AF158" s="256">
        <v>45106</v>
      </c>
      <c r="AG158" s="159" t="str">
        <f>IF(COUNTIF(C158,"*preso*")&gt;0,"SI","NO")</f>
        <v>NO</v>
      </c>
      <c r="AH158" s="244">
        <f>NroOrden(N158)</f>
        <v>50</v>
      </c>
      <c r="AI158" s="159"/>
      <c r="AJ158" s="48" t="str">
        <f ca="1">IF(OR(Y158="NO",Y158="LIMBO"),"IMP","NOIMP")</f>
        <v>NOIMP</v>
      </c>
    </row>
    <row r="159" spans="1:36" ht="108.75" customHeight="1">
      <c r="A159" s="159">
        <v>82</v>
      </c>
      <c r="B159" s="160" t="s">
        <v>849</v>
      </c>
      <c r="C159" s="209"/>
      <c r="D159" s="159" t="s">
        <v>850</v>
      </c>
      <c r="E159" s="159" t="s">
        <v>851</v>
      </c>
      <c r="F159" s="256">
        <v>45028</v>
      </c>
      <c r="G159" s="159" t="s">
        <v>852</v>
      </c>
      <c r="H159" s="159" t="s">
        <v>1644</v>
      </c>
      <c r="I159" s="160">
        <v>45098</v>
      </c>
      <c r="J159" s="163">
        <v>0.375</v>
      </c>
      <c r="K159" s="159" t="s">
        <v>364</v>
      </c>
      <c r="L159" s="246"/>
      <c r="M159" s="160" t="s">
        <v>328</v>
      </c>
      <c r="N159" s="159" t="s">
        <v>355</v>
      </c>
      <c r="O159" s="159" t="s">
        <v>2034</v>
      </c>
      <c r="P159" s="159" t="s">
        <v>853</v>
      </c>
      <c r="Q159" s="159" t="s">
        <v>111</v>
      </c>
      <c r="R159" s="246"/>
      <c r="S159" s="159"/>
      <c r="T159" s="159"/>
      <c r="U159" s="159"/>
      <c r="V159" s="159" t="s">
        <v>343</v>
      </c>
      <c r="W159" s="159" t="s">
        <v>854</v>
      </c>
      <c r="X159" s="159" t="s">
        <v>111</v>
      </c>
      <c r="Y159" s="159" t="str">
        <f ca="1">IF(I159&lt;&gt;"",IF(I159&lt;=TODAY(),IF(OR(N159="REPROGRAMADA",N159="SUSPENDIDA",N159="EXCLUSION",N159="COLEGIADO"),"NO HECHA",IF(N159=" ","SINRESULTADO","SI")),"NO"),IF(N159="EXCLUSION","NO HECHA","LIMBO"))</f>
        <v>SI</v>
      </c>
      <c r="Z159" s="159" t="str">
        <f>IF($Z$1=I159,"DIASOL", "DIANOSOL")</f>
        <v>DIANOSOL</v>
      </c>
      <c r="AA159" s="159" t="s">
        <v>240</v>
      </c>
      <c r="AB159" s="159" t="s">
        <v>855</v>
      </c>
      <c r="AC159" s="159" t="str">
        <f>IF(H159=$M$1,"SI","NO")</f>
        <v>NO</v>
      </c>
      <c r="AD159" s="159"/>
      <c r="AE159" s="159"/>
      <c r="AF159" s="256">
        <v>45105</v>
      </c>
      <c r="AG159" s="159" t="str">
        <f>IF(COUNTIF(C159,"*preso*")&gt;0,"SI","NO")</f>
        <v>NO</v>
      </c>
      <c r="AH159" s="244">
        <f>NroOrden(N159)</f>
        <v>50</v>
      </c>
      <c r="AI159" s="159" t="s">
        <v>856</v>
      </c>
      <c r="AJ159" s="48" t="str">
        <f ca="1">IF(OR(Y159="NO",Y159="LIMBO"),"IMP","NOIMP")</f>
        <v>NOIMP</v>
      </c>
    </row>
    <row r="160" spans="1:36" ht="167.25" customHeight="1">
      <c r="A160" s="159">
        <v>97</v>
      </c>
      <c r="B160" s="160" t="s">
        <v>932</v>
      </c>
      <c r="C160" s="209"/>
      <c r="D160" s="159" t="s">
        <v>933</v>
      </c>
      <c r="E160" s="159" t="s">
        <v>934</v>
      </c>
      <c r="F160" s="256">
        <v>45068</v>
      </c>
      <c r="G160" s="159" t="s">
        <v>935</v>
      </c>
      <c r="H160" s="159" t="s">
        <v>1641</v>
      </c>
      <c r="I160" s="160">
        <v>45098</v>
      </c>
      <c r="J160" s="163">
        <v>0.5</v>
      </c>
      <c r="K160" s="159" t="s">
        <v>362</v>
      </c>
      <c r="L160" s="246"/>
      <c r="M160" s="160" t="s">
        <v>330</v>
      </c>
      <c r="N160" s="159" t="s">
        <v>357</v>
      </c>
      <c r="O160" s="159" t="s">
        <v>2034</v>
      </c>
      <c r="P160" s="159"/>
      <c r="Q160" s="159" t="s">
        <v>329</v>
      </c>
      <c r="R160" s="246"/>
      <c r="S160" s="159"/>
      <c r="T160" s="159"/>
      <c r="U160" s="159"/>
      <c r="V160" s="159" t="s">
        <v>342</v>
      </c>
      <c r="W160" s="159" t="s">
        <v>135</v>
      </c>
      <c r="X160" s="159" t="s">
        <v>111</v>
      </c>
      <c r="Y160" s="159" t="str">
        <f ca="1">IF(I160&lt;&gt;"",IF(I160&lt;=TODAY(),IF(OR(N160="REPROGRAMADA",N160="SUSPENDIDA",N160="EXCLUSION",N160="COLEGIADO"),"NO HECHA",IF(N160=" ","SINRESULTADO","SI")),"NO"),IF(N160="EXCLUSION","NO HECHA","LIMBO"))</f>
        <v>SI</v>
      </c>
      <c r="Z160" s="159" t="str">
        <f>IF($Z$1=I160,"DIASOL", "DIANOSOL")</f>
        <v>DIANOSOL</v>
      </c>
      <c r="AA160" s="159" t="s">
        <v>240</v>
      </c>
      <c r="AB160" s="159" t="s">
        <v>936</v>
      </c>
      <c r="AC160" s="159" t="str">
        <f>IF(H160=$M$1,"SI","NO")</f>
        <v>NO</v>
      </c>
      <c r="AD160" s="159"/>
      <c r="AE160" s="159"/>
      <c r="AF160" s="256">
        <v>45106</v>
      </c>
      <c r="AG160" s="159" t="str">
        <f>IF(COUNTIF(C160,"*preso*")&gt;0,"SI","NO")</f>
        <v>NO</v>
      </c>
      <c r="AH160" s="244">
        <f>NroOrden(N160)</f>
        <v>50</v>
      </c>
      <c r="AI160" s="159"/>
      <c r="AJ160" s="48" t="str">
        <f ca="1">IF(OR(Y160="NO",Y160="LIMBO"),"IMP","NOIMP")</f>
        <v>NOIMP</v>
      </c>
    </row>
    <row r="161" spans="1:36" ht="91.5" customHeight="1">
      <c r="A161" s="159">
        <v>54</v>
      </c>
      <c r="B161" s="160" t="s">
        <v>703</v>
      </c>
      <c r="C161" s="209"/>
      <c r="D161" s="159" t="s">
        <v>704</v>
      </c>
      <c r="E161" s="159" t="s">
        <v>705</v>
      </c>
      <c r="F161" s="256">
        <v>45062</v>
      </c>
      <c r="G161" s="159" t="s">
        <v>706</v>
      </c>
      <c r="H161" s="159" t="s">
        <v>1644</v>
      </c>
      <c r="I161" s="160">
        <v>45099</v>
      </c>
      <c r="J161" s="163">
        <v>0.45833333333333331</v>
      </c>
      <c r="K161" s="159" t="s">
        <v>364</v>
      </c>
      <c r="L161" s="246"/>
      <c r="M161" s="160" t="s">
        <v>328</v>
      </c>
      <c r="N161" s="159" t="s">
        <v>355</v>
      </c>
      <c r="O161" s="159" t="s">
        <v>2034</v>
      </c>
      <c r="P161" s="159" t="s">
        <v>709</v>
      </c>
      <c r="Q161" s="159" t="s">
        <v>111</v>
      </c>
      <c r="R161" s="246"/>
      <c r="S161" s="159"/>
      <c r="T161" s="159"/>
      <c r="U161" s="159"/>
      <c r="V161" s="159" t="s">
        <v>268</v>
      </c>
      <c r="W161" s="159" t="s">
        <v>136</v>
      </c>
      <c r="X161" s="159" t="s">
        <v>111</v>
      </c>
      <c r="Y161" s="159" t="str">
        <f ca="1">IF(I161&lt;&gt;"",IF(I161&lt;=TODAY(),IF(OR(N161="REPROGRAMADA",N161="SUSPENDIDA",N161="EXCLUSION",N161="COLEGIADO"),"NO HECHA",IF(N161=" ","SINRESULTADO","SI")),"NO"),IF(N161="EXCLUSION","NO HECHA","LIMBO"))</f>
        <v>SI</v>
      </c>
      <c r="Z161" s="159" t="str">
        <f>IF($Z$1=I161,"DIASOL", "DIANOSOL")</f>
        <v>DIANOSOL</v>
      </c>
      <c r="AA161" s="159" t="s">
        <v>240</v>
      </c>
      <c r="AB161" s="159" t="s">
        <v>708</v>
      </c>
      <c r="AC161" s="159" t="str">
        <f>IF(H161=$M$1,"SI","NO")</f>
        <v>NO</v>
      </c>
      <c r="AD161" s="159"/>
      <c r="AE161" s="159"/>
      <c r="AF161" s="256">
        <v>45106</v>
      </c>
      <c r="AG161" s="159" t="str">
        <f>IF(COUNTIF(C161,"*preso*")&gt;0,"SI","NO")</f>
        <v>NO</v>
      </c>
      <c r="AH161" s="244">
        <f>NroOrden(N161)</f>
        <v>50</v>
      </c>
      <c r="AI161" s="159" t="s">
        <v>710</v>
      </c>
      <c r="AJ161" s="48" t="str">
        <f ca="1">IF(OR(Y161="NO",Y161="LIMBO"),"IMP","NOIMP")</f>
        <v>NOIMP</v>
      </c>
    </row>
    <row r="162" spans="1:36" ht="39.950000000000003" customHeight="1">
      <c r="A162" s="159">
        <v>89</v>
      </c>
      <c r="B162" s="160" t="s">
        <v>887</v>
      </c>
      <c r="C162" s="209" t="s">
        <v>888</v>
      </c>
      <c r="D162" s="159" t="s">
        <v>889</v>
      </c>
      <c r="E162" s="159" t="s">
        <v>890</v>
      </c>
      <c r="F162" s="256">
        <v>45064</v>
      </c>
      <c r="G162" s="159" t="s">
        <v>891</v>
      </c>
      <c r="H162" s="159" t="s">
        <v>1644</v>
      </c>
      <c r="I162" s="160">
        <v>45103</v>
      </c>
      <c r="J162" s="163">
        <v>0.5</v>
      </c>
      <c r="K162" s="159" t="s">
        <v>363</v>
      </c>
      <c r="L162" s="246"/>
      <c r="M162" s="160" t="s">
        <v>329</v>
      </c>
      <c r="N162" s="159" t="s">
        <v>357</v>
      </c>
      <c r="O162" s="159" t="s">
        <v>2034</v>
      </c>
      <c r="P162" s="159"/>
      <c r="Q162" s="159" t="s">
        <v>328</v>
      </c>
      <c r="R162" s="246"/>
      <c r="S162" s="159"/>
      <c r="T162" s="159"/>
      <c r="U162" s="159"/>
      <c r="V162" s="159" t="s">
        <v>194</v>
      </c>
      <c r="W162" s="159" t="s">
        <v>892</v>
      </c>
      <c r="X162" s="159" t="s">
        <v>111</v>
      </c>
      <c r="Y162" s="159" t="str">
        <f ca="1">IF(I162&lt;&gt;"",IF(I162&lt;=TODAY(),IF(OR(N162="REPROGRAMADA",N162="SUSPENDIDA",N162="EXCLUSION",N162="COLEGIADO"),"NO HECHA",IF(N162=" ","SINRESULTADO","SI")),"NO"),IF(N162="EXCLUSION","NO HECHA","LIMBO"))</f>
        <v>SI</v>
      </c>
      <c r="Z162" s="159" t="str">
        <f>IF($Z$1=I162,"DIASOL", "DIANOSOL")</f>
        <v>DIANOSOL</v>
      </c>
      <c r="AA162" s="159" t="s">
        <v>893</v>
      </c>
      <c r="AB162" s="159" t="s">
        <v>894</v>
      </c>
      <c r="AC162" s="159" t="str">
        <f>IF(H162=$M$1,"SI","NO")</f>
        <v>NO</v>
      </c>
      <c r="AD162" s="159"/>
      <c r="AE162" s="159"/>
      <c r="AF162" s="256">
        <v>45107</v>
      </c>
      <c r="AG162" s="159" t="str">
        <f>IF(COUNTIF(C162,"*preso*")&gt;0,"SI","NO")</f>
        <v>SI</v>
      </c>
      <c r="AH162" s="244">
        <f>NroOrden(N162)</f>
        <v>50</v>
      </c>
      <c r="AI162" s="159"/>
      <c r="AJ162" s="48" t="str">
        <f ca="1">IF(OR(Y162="NO",Y162="LIMBO"),"IMP","NOIMP")</f>
        <v>NOIMP</v>
      </c>
    </row>
    <row r="163" spans="1:36" ht="39.950000000000003" customHeight="1">
      <c r="A163" s="159">
        <v>5</v>
      </c>
      <c r="B163" s="160" t="s">
        <v>407</v>
      </c>
      <c r="C163" s="208"/>
      <c r="D163" s="159" t="s">
        <v>408</v>
      </c>
      <c r="E163" s="159" t="s">
        <v>409</v>
      </c>
      <c r="F163" s="161">
        <v>45082</v>
      </c>
      <c r="G163" s="159" t="s">
        <v>410</v>
      </c>
      <c r="H163" s="159" t="s">
        <v>1641</v>
      </c>
      <c r="I163" s="160">
        <v>45104</v>
      </c>
      <c r="J163" s="159" t="s">
        <v>14</v>
      </c>
      <c r="K163" s="159" t="s">
        <v>363</v>
      </c>
      <c r="L163" s="246"/>
      <c r="M163" s="160" t="s">
        <v>329</v>
      </c>
      <c r="N163" s="159" t="s">
        <v>357</v>
      </c>
      <c r="O163" s="159" t="s">
        <v>2034</v>
      </c>
      <c r="P163" s="159"/>
      <c r="Q163" s="159" t="s">
        <v>328</v>
      </c>
      <c r="R163" s="246"/>
      <c r="S163" s="159"/>
      <c r="T163" s="159"/>
      <c r="U163" s="159"/>
      <c r="V163" s="159" t="s">
        <v>345</v>
      </c>
      <c r="W163" s="159" t="s">
        <v>411</v>
      </c>
      <c r="X163" s="159" t="s">
        <v>111</v>
      </c>
      <c r="Y163" s="159" t="str">
        <f ca="1">IF(I163&lt;&gt;"",IF(I163&lt;=TODAY(),IF(OR(N163="REPROGRAMADA",N163="SUSPENDIDA",N163="EXCLUSION",N163="COLEGIADO"),"NO HECHA",IF(N163=" ","SINRESULTADO","SI")),"NO"),IF(N163="EXCLUSION","NO HECHA","LIMBO"))</f>
        <v>SI</v>
      </c>
      <c r="Z163" s="159" t="str">
        <f>IF($Z$1=I163,"DIASOL", "DIANOSOL")</f>
        <v>DIANOSOL</v>
      </c>
      <c r="AA163" s="159" t="s">
        <v>240</v>
      </c>
      <c r="AB163" s="159" t="s">
        <v>412</v>
      </c>
      <c r="AC163" s="159" t="str">
        <f>IF(H163=$M$1,"SI","NO")</f>
        <v>NO</v>
      </c>
      <c r="AD163" s="159"/>
      <c r="AE163" s="159"/>
      <c r="AF163" s="256">
        <v>45134</v>
      </c>
      <c r="AG163" s="159" t="str">
        <f>IF(COUNTIF(C163,"*preso*")&gt;0,"SI","NO")</f>
        <v>NO</v>
      </c>
      <c r="AH163" s="244">
        <f>NroOrden(N163)</f>
        <v>50</v>
      </c>
      <c r="AI163" s="159"/>
      <c r="AJ163" s="48" t="str">
        <f ca="1">IF(OR(Y163="NO",Y163="LIMBO"),"IMP","NOIMP")</f>
        <v>NOIMP</v>
      </c>
    </row>
    <row r="164" spans="1:36" ht="122.25" customHeight="1">
      <c r="A164" s="159">
        <v>22</v>
      </c>
      <c r="B164" s="160" t="s">
        <v>516</v>
      </c>
      <c r="C164" s="208"/>
      <c r="D164" s="159" t="s">
        <v>517</v>
      </c>
      <c r="E164" s="159" t="s">
        <v>518</v>
      </c>
      <c r="F164" s="256">
        <v>45083</v>
      </c>
      <c r="G164" s="159" t="s">
        <v>519</v>
      </c>
      <c r="H164" s="159" t="s">
        <v>1644</v>
      </c>
      <c r="I164" s="160">
        <v>45107</v>
      </c>
      <c r="J164" s="163">
        <v>0.39583333333333331</v>
      </c>
      <c r="K164" s="159" t="s">
        <v>364</v>
      </c>
      <c r="L164" s="243"/>
      <c r="M164" s="160" t="s">
        <v>328</v>
      </c>
      <c r="N164" s="159" t="s">
        <v>359</v>
      </c>
      <c r="O164" s="159" t="s">
        <v>2034</v>
      </c>
      <c r="P164" s="159" t="s">
        <v>520</v>
      </c>
      <c r="Q164" s="159" t="s">
        <v>111</v>
      </c>
      <c r="R164" s="246"/>
      <c r="S164" s="159"/>
      <c r="T164" s="159"/>
      <c r="U164" s="159"/>
      <c r="V164" s="159" t="s">
        <v>190</v>
      </c>
      <c r="W164" s="159" t="s">
        <v>140</v>
      </c>
      <c r="X164" s="159" t="s">
        <v>111</v>
      </c>
      <c r="Y164" s="159" t="str">
        <f ca="1">IF(I164&lt;&gt;"",IF(I164&lt;=TODAY(),IF(OR(N164="REPROGRAMADA",N164="SUSPENDIDA",N164="EXCLUSION",N164="COLEGIADO"),"NO HECHA",IF(N164=" ","SINRESULTADO","SI")),"NO"),IF(N164="EXCLUSION","NO HECHA","LIMBO"))</f>
        <v>SI</v>
      </c>
      <c r="Z164" s="159" t="str">
        <f>IF($Z$1=I164,"DIASOL", "DIANOSOL")</f>
        <v>DIANOSOL</v>
      </c>
      <c r="AA164" s="159" t="s">
        <v>240</v>
      </c>
      <c r="AB164" s="159"/>
      <c r="AC164" s="159" t="str">
        <f>IF(H164=$M$1,"SI","NO")</f>
        <v>NO</v>
      </c>
      <c r="AD164" s="159"/>
      <c r="AE164" s="159"/>
      <c r="AF164" s="256">
        <v>45140</v>
      </c>
      <c r="AG164" s="159" t="str">
        <f>IF(COUNTIF(C164,"*preso*")&gt;0,"SI","NO")</f>
        <v>NO</v>
      </c>
      <c r="AH164" s="244">
        <f>NroOrden(N164)</f>
        <v>50</v>
      </c>
      <c r="AI164" s="159"/>
      <c r="AJ164" s="48" t="str">
        <f ca="1">IF(OR(Y164="NO",Y164="LIMBO"),"IMP","NOIMP")</f>
        <v>NOIMP</v>
      </c>
    </row>
    <row r="165" spans="1:36" ht="102" customHeight="1">
      <c r="A165" s="159">
        <v>111</v>
      </c>
      <c r="B165" s="160" t="s">
        <v>460</v>
      </c>
      <c r="C165" s="208"/>
      <c r="D165" s="159" t="s">
        <v>461</v>
      </c>
      <c r="E165" s="159" t="s">
        <v>462</v>
      </c>
      <c r="F165" s="256">
        <v>45083</v>
      </c>
      <c r="G165" s="159" t="s">
        <v>410</v>
      </c>
      <c r="H165" s="159" t="s">
        <v>1641</v>
      </c>
      <c r="I165" s="160">
        <v>45107</v>
      </c>
      <c r="J165" s="160" t="s">
        <v>282</v>
      </c>
      <c r="K165" s="159" t="s">
        <v>363</v>
      </c>
      <c r="L165" s="246"/>
      <c r="M165" s="160" t="s">
        <v>329</v>
      </c>
      <c r="N165" s="159" t="s">
        <v>357</v>
      </c>
      <c r="O165" s="159" t="s">
        <v>2034</v>
      </c>
      <c r="P165" s="159"/>
      <c r="Q165" s="159" t="s">
        <v>328</v>
      </c>
      <c r="R165" s="243"/>
      <c r="S165" s="159"/>
      <c r="T165" s="159"/>
      <c r="U165" s="159"/>
      <c r="V165" s="159" t="s">
        <v>344</v>
      </c>
      <c r="W165" s="159" t="s">
        <v>135</v>
      </c>
      <c r="X165" s="159" t="s">
        <v>111</v>
      </c>
      <c r="Y165" s="159" t="str">
        <f ca="1">IF(I165&lt;&gt;"",IF(I165&lt;=TODAY(),IF(OR(N165="REPROGRAMADA",N165="SUSPENDIDA",N165="EXCLUSION",N165="COLEGIADO"),"NO HECHA",IF(N165=" ","SINRESULTADO","SI")),"NO"),IF(N165="EXCLUSION","NO HECHA","LIMBO"))</f>
        <v>SI</v>
      </c>
      <c r="Z165" s="159" t="str">
        <f>IF($Z$1=I165,"DIASOL", "DIANOSOL")</f>
        <v>DIANOSOL</v>
      </c>
      <c r="AA165" s="159" t="s">
        <v>240</v>
      </c>
      <c r="AB165" s="159" t="s">
        <v>463</v>
      </c>
      <c r="AC165" s="159" t="str">
        <f>IF(H165=$M$1,"SI","NO")</f>
        <v>NO</v>
      </c>
      <c r="AD165" s="159"/>
      <c r="AE165" s="159"/>
      <c r="AF165" s="256">
        <v>45132</v>
      </c>
      <c r="AG165" s="159" t="str">
        <f>IF(COUNTIF(C165,"*preso*")&gt;0,"SI","NO")</f>
        <v>NO</v>
      </c>
      <c r="AH165" s="244">
        <f>NroOrden(N165)</f>
        <v>50</v>
      </c>
      <c r="AI165" s="159"/>
      <c r="AJ165" s="48" t="str">
        <f ca="1">IF(OR(Y165="NO",Y165="LIMBO"),"IMP","NOIMP")</f>
        <v>NOIMP</v>
      </c>
    </row>
    <row r="166" spans="1:36" ht="39.950000000000003" customHeight="1">
      <c r="A166" s="159">
        <v>144</v>
      </c>
      <c r="B166" s="160" t="s">
        <v>901</v>
      </c>
      <c r="C166" s="208"/>
      <c r="D166" s="159" t="s">
        <v>902</v>
      </c>
      <c r="E166" s="159" t="s">
        <v>903</v>
      </c>
      <c r="F166" s="256">
        <v>45014</v>
      </c>
      <c r="G166" s="159" t="s">
        <v>904</v>
      </c>
      <c r="H166" s="159" t="s">
        <v>1638</v>
      </c>
      <c r="I166" s="160">
        <v>45108</v>
      </c>
      <c r="J166" s="160" t="s">
        <v>282</v>
      </c>
      <c r="K166" s="159" t="s">
        <v>363</v>
      </c>
      <c r="L166" s="246"/>
      <c r="M166" s="160" t="s">
        <v>329</v>
      </c>
      <c r="N166" s="159" t="s">
        <v>357</v>
      </c>
      <c r="O166" s="159" t="s">
        <v>2034</v>
      </c>
      <c r="P166" s="159" t="s">
        <v>1106</v>
      </c>
      <c r="Q166" s="159" t="s">
        <v>328</v>
      </c>
      <c r="R166" s="246"/>
      <c r="S166" s="159"/>
      <c r="T166" s="159"/>
      <c r="U166" s="159"/>
      <c r="V166" s="159" t="s">
        <v>344</v>
      </c>
      <c r="W166" s="159" t="s">
        <v>348</v>
      </c>
      <c r="X166" s="159" t="s">
        <v>111</v>
      </c>
      <c r="Y166" s="159" t="str">
        <f ca="1">IF(I166&lt;&gt;"",IF(I166&lt;=TODAY(),IF(OR(N166="REPROGRAMADA",N166="SUSPENDIDA",N166="EXCLUSION",N166="COLEGIADO"),"NO HECHA",IF(N166=" ","SINRESULTADO","SI")),"NO"),IF(N166="EXCLUSION","NO HECHA","LIMBO"))</f>
        <v>SI</v>
      </c>
      <c r="Z166" s="159" t="str">
        <f>IF($Z$1=I166,"DIASOL", "DIANOSOL")</f>
        <v>DIANOSOL</v>
      </c>
      <c r="AA166" s="159" t="s">
        <v>906</v>
      </c>
      <c r="AB166" s="159" t="s">
        <v>907</v>
      </c>
      <c r="AC166" s="159" t="str">
        <f>IF(H166=$M$1,"SI","NO")</f>
        <v>NO</v>
      </c>
      <c r="AD166" s="159"/>
      <c r="AE166" s="159"/>
      <c r="AF166" s="256">
        <v>45131</v>
      </c>
      <c r="AG166" s="159" t="str">
        <f>IF(COUNTIF(C166,"*preso*")&gt;0,"SI","NO")</f>
        <v>NO</v>
      </c>
      <c r="AH166" s="244">
        <f>NroOrden(N166)</f>
        <v>50</v>
      </c>
      <c r="AI166" s="159"/>
      <c r="AJ166" s="48" t="str">
        <f ca="1">IF(OR(Y166="NO",Y166="LIMBO"),"IMP","NOIMP")</f>
        <v>NOIMP</v>
      </c>
    </row>
    <row r="167" spans="1:36" ht="39.950000000000003" customHeight="1">
      <c r="A167" s="159">
        <v>26</v>
      </c>
      <c r="B167" s="160" t="s">
        <v>539</v>
      </c>
      <c r="C167" s="209"/>
      <c r="D167" s="159" t="s">
        <v>540</v>
      </c>
      <c r="E167" s="159" t="s">
        <v>541</v>
      </c>
      <c r="F167" s="256">
        <v>45079</v>
      </c>
      <c r="G167" s="159" t="s">
        <v>542</v>
      </c>
      <c r="H167" s="159" t="s">
        <v>1638</v>
      </c>
      <c r="I167" s="160">
        <v>45110</v>
      </c>
      <c r="J167" s="163">
        <v>0.52083333333333337</v>
      </c>
      <c r="K167" s="159" t="s">
        <v>365</v>
      </c>
      <c r="L167" s="246"/>
      <c r="M167" s="160" t="s">
        <v>331</v>
      </c>
      <c r="N167" s="159" t="s">
        <v>355</v>
      </c>
      <c r="O167" s="159" t="s">
        <v>2034</v>
      </c>
      <c r="P167" s="159" t="s">
        <v>543</v>
      </c>
      <c r="Q167" s="159" t="s">
        <v>111</v>
      </c>
      <c r="R167" s="246"/>
      <c r="S167" s="159"/>
      <c r="T167" s="159"/>
      <c r="U167" s="159"/>
      <c r="V167" s="159" t="s">
        <v>193</v>
      </c>
      <c r="W167" s="159" t="s">
        <v>544</v>
      </c>
      <c r="X167" s="159" t="s">
        <v>111</v>
      </c>
      <c r="Y167" s="159" t="str">
        <f ca="1">IF(I167&lt;&gt;"",IF(I167&lt;=TODAY(),IF(OR(N167="REPROGRAMADA",N167="SUSPENDIDA",N167="EXCLUSION",N167="COLEGIADO"),"NO HECHA",IF(N167=" ","SINRESULTADO","SI")),"NO"),IF(N167="EXCLUSION","NO HECHA","LIMBO"))</f>
        <v>SI</v>
      </c>
      <c r="Z167" s="159" t="str">
        <f>IF($Z$1=I167,"DIASOL", "DIANOSOL")</f>
        <v>DIANOSOL</v>
      </c>
      <c r="AA167" s="159" t="s">
        <v>240</v>
      </c>
      <c r="AB167" s="159" t="s">
        <v>545</v>
      </c>
      <c r="AC167" s="159" t="str">
        <f>IF(H167=$M$1,"SI","NO")</f>
        <v>NO</v>
      </c>
      <c r="AD167" s="159"/>
      <c r="AE167" s="159"/>
      <c r="AF167" s="256">
        <v>45131</v>
      </c>
      <c r="AG167" s="159" t="str">
        <f>IF(COUNTIF(C167,"*preso*")&gt;0,"SI","NO")</f>
        <v>NO</v>
      </c>
      <c r="AH167" s="244">
        <f>NroOrden(N167)</f>
        <v>50</v>
      </c>
      <c r="AI167" s="159" t="s">
        <v>546</v>
      </c>
      <c r="AJ167" s="48" t="str">
        <f ca="1">IF(OR(Y167="NO",Y167="LIMBO"),"IMP","NOIMP")</f>
        <v>NOIMP</v>
      </c>
    </row>
    <row r="168" spans="1:36" ht="39.950000000000003" customHeight="1">
      <c r="A168" s="159">
        <v>28</v>
      </c>
      <c r="B168" s="160" t="s">
        <v>437</v>
      </c>
      <c r="C168" s="209"/>
      <c r="D168" s="159" t="s">
        <v>556</v>
      </c>
      <c r="E168" s="159" t="s">
        <v>439</v>
      </c>
      <c r="F168" s="256">
        <v>45079</v>
      </c>
      <c r="G168" s="159" t="s">
        <v>410</v>
      </c>
      <c r="H168" s="159" t="s">
        <v>1641</v>
      </c>
      <c r="I168" s="160">
        <v>45111</v>
      </c>
      <c r="J168" s="163">
        <v>0.39583333333333331</v>
      </c>
      <c r="K168" s="159" t="s">
        <v>363</v>
      </c>
      <c r="L168" s="246"/>
      <c r="M168" s="160" t="s">
        <v>331</v>
      </c>
      <c r="N168" s="159" t="s">
        <v>355</v>
      </c>
      <c r="O168" s="159" t="s">
        <v>2034</v>
      </c>
      <c r="P168" s="159" t="s">
        <v>557</v>
      </c>
      <c r="Q168" s="159" t="s">
        <v>111</v>
      </c>
      <c r="R168" s="246"/>
      <c r="S168" s="159"/>
      <c r="T168" s="159"/>
      <c r="U168" s="159"/>
      <c r="V168" s="159" t="s">
        <v>345</v>
      </c>
      <c r="W168" s="159" t="s">
        <v>440</v>
      </c>
      <c r="X168" s="159" t="s">
        <v>434</v>
      </c>
      <c r="Y168" s="159" t="str">
        <f ca="1">IF(I168&lt;&gt;"",IF(I168&lt;=TODAY(),IF(OR(N168="REPROGRAMADA",N168="SUSPENDIDA",N168="EXCLUSION",N168="COLEGIADO"),"NO HECHA",IF(N168=" ","SINRESULTADO","SI")),"NO"),IF(N168="EXCLUSION","NO HECHA","LIMBO"))</f>
        <v>SI</v>
      </c>
      <c r="Z168" s="159" t="str">
        <f>IF($Z$1=I168,"DIASOL", "DIANOSOL")</f>
        <v>DIANOSOL</v>
      </c>
      <c r="AA168" s="159" t="s">
        <v>240</v>
      </c>
      <c r="AB168" s="159" t="s">
        <v>441</v>
      </c>
      <c r="AC168" s="159" t="str">
        <f>IF(H168=$M$1,"SI","NO")</f>
        <v>NO</v>
      </c>
      <c r="AD168" s="159"/>
      <c r="AE168" s="159"/>
      <c r="AF168" s="256">
        <v>45131</v>
      </c>
      <c r="AG168" s="159" t="str">
        <f>IF(COUNTIF(C168,"*preso*")&gt;0,"SI","NO")</f>
        <v>NO</v>
      </c>
      <c r="AH168" s="244">
        <f>NroOrden(N168)</f>
        <v>50</v>
      </c>
      <c r="AI168" s="159" t="s">
        <v>546</v>
      </c>
      <c r="AJ168" s="48" t="str">
        <f ca="1">IF(OR(Y168="NO",Y168="LIMBO"),"IMP","NOIMP")</f>
        <v>NOIMP</v>
      </c>
    </row>
    <row r="169" spans="1:36" ht="173.25" customHeight="1">
      <c r="A169" s="159">
        <v>93</v>
      </c>
      <c r="B169" s="185" t="s">
        <v>916</v>
      </c>
      <c r="C169" s="285"/>
      <c r="D169" s="184" t="s">
        <v>917</v>
      </c>
      <c r="E169" s="184" t="s">
        <v>918</v>
      </c>
      <c r="F169" s="256">
        <v>45040</v>
      </c>
      <c r="G169" s="184" t="s">
        <v>761</v>
      </c>
      <c r="H169" s="184" t="s">
        <v>1641</v>
      </c>
      <c r="I169" s="185">
        <v>45112</v>
      </c>
      <c r="J169" s="289">
        <v>0.375</v>
      </c>
      <c r="K169" s="184" t="s">
        <v>364</v>
      </c>
      <c r="L169" s="246"/>
      <c r="M169" s="185" t="s">
        <v>328</v>
      </c>
      <c r="N169" s="159" t="s">
        <v>359</v>
      </c>
      <c r="O169" s="159" t="s">
        <v>2034</v>
      </c>
      <c r="P169" s="159" t="s">
        <v>811</v>
      </c>
      <c r="Q169" s="159" t="s">
        <v>111</v>
      </c>
      <c r="R169" s="246"/>
      <c r="S169" s="159"/>
      <c r="T169" s="159"/>
      <c r="U169" s="159"/>
      <c r="V169" s="184" t="s">
        <v>184</v>
      </c>
      <c r="W169" s="184" t="s">
        <v>119</v>
      </c>
      <c r="X169" s="159" t="s">
        <v>111</v>
      </c>
      <c r="Y169" s="159" t="str">
        <f ca="1">IF(I169&lt;&gt;"",IF(I169&lt;=TODAY(),IF(OR(N169="REPROGRAMADA",N169="SUSPENDIDA",N169="EXCLUSION",N169="COLEGIADO"),"NO HECHA",IF(N169=" ","SINRESULTADO","SI")),"NO"),IF(N169="EXCLUSION","NO HECHA","LIMBO"))</f>
        <v>SI</v>
      </c>
      <c r="Z169" s="159" t="str">
        <f>IF($Z$1=I169,"DIASOL", "DIANOSOL")</f>
        <v>DIANOSOL</v>
      </c>
      <c r="AA169" s="159" t="s">
        <v>240</v>
      </c>
      <c r="AB169" s="159" t="s">
        <v>919</v>
      </c>
      <c r="AC169" s="159" t="str">
        <f>IF(H169=$M$1,"SI","NO")</f>
        <v>NO</v>
      </c>
      <c r="AD169" s="159"/>
      <c r="AE169" s="159"/>
      <c r="AF169" s="256">
        <v>45131</v>
      </c>
      <c r="AG169" s="159" t="str">
        <f>IF(COUNTIF(C169,"*preso*")&gt;0,"SI","NO")</f>
        <v>NO</v>
      </c>
      <c r="AH169" s="244">
        <f>NroOrden(N169)</f>
        <v>50</v>
      </c>
      <c r="AI169" s="159" t="s">
        <v>920</v>
      </c>
      <c r="AJ169" s="48" t="str">
        <f ca="1">IF(OR(Y169="NO",Y169="LIMBO"),"IMP","NOIMP")</f>
        <v>NOIMP</v>
      </c>
    </row>
    <row r="170" spans="1:36" ht="39.950000000000003" customHeight="1">
      <c r="A170" s="159">
        <v>61</v>
      </c>
      <c r="B170" s="160" t="s">
        <v>739</v>
      </c>
      <c r="C170" s="209"/>
      <c r="D170" s="159" t="s">
        <v>740</v>
      </c>
      <c r="E170" s="159" t="s">
        <v>741</v>
      </c>
      <c r="F170" s="256">
        <v>45042</v>
      </c>
      <c r="G170" s="159" t="s">
        <v>742</v>
      </c>
      <c r="H170" s="159" t="s">
        <v>1641</v>
      </c>
      <c r="I170" s="160">
        <v>45112</v>
      </c>
      <c r="J170" s="163">
        <v>0.45833333333333331</v>
      </c>
      <c r="K170" s="159" t="s">
        <v>362</v>
      </c>
      <c r="L170" s="246"/>
      <c r="M170" s="160" t="s">
        <v>330</v>
      </c>
      <c r="N170" s="159" t="s">
        <v>355</v>
      </c>
      <c r="O170" s="159" t="s">
        <v>2034</v>
      </c>
      <c r="P170" s="159" t="s">
        <v>557</v>
      </c>
      <c r="Q170" s="159" t="s">
        <v>111</v>
      </c>
      <c r="R170" s="246"/>
      <c r="S170" s="159"/>
      <c r="T170" s="159"/>
      <c r="U170" s="159"/>
      <c r="V170" s="159" t="s">
        <v>347</v>
      </c>
      <c r="W170" s="159" t="s">
        <v>744</v>
      </c>
      <c r="X170" s="159" t="s">
        <v>111</v>
      </c>
      <c r="Y170" s="159" t="str">
        <f ca="1">IF(I170&lt;&gt;"",IF(I170&lt;=TODAY(),IF(OR(N170="REPROGRAMADA",N170="SUSPENDIDA",N170="EXCLUSION",N170="COLEGIADO"),"NO HECHA",IF(N170=" ","SINRESULTADO","SI")),"NO"),IF(N170="EXCLUSION","NO HECHA","LIMBO"))</f>
        <v>SI</v>
      </c>
      <c r="Z170" s="159" t="str">
        <f>IF($Z$1=I170,"DIASOL", "DIANOSOL")</f>
        <v>DIANOSOL</v>
      </c>
      <c r="AA170" s="159" t="s">
        <v>240</v>
      </c>
      <c r="AB170" s="159" t="s">
        <v>745</v>
      </c>
      <c r="AC170" s="159" t="str">
        <f>IF(H170=$M$1,"SI","NO")</f>
        <v>NO</v>
      </c>
      <c r="AD170" s="159"/>
      <c r="AE170" s="159"/>
      <c r="AF170" s="256">
        <v>45131</v>
      </c>
      <c r="AG170" s="159" t="str">
        <f>IF(COUNTIF(C170,"*preso*")&gt;0,"SI","NO")</f>
        <v>NO</v>
      </c>
      <c r="AH170" s="244">
        <f>NroOrden(N170)</f>
        <v>50</v>
      </c>
      <c r="AI170" s="159"/>
      <c r="AJ170" s="48" t="str">
        <f ca="1">IF(OR(Y170="NO",Y170="LIMBO"),"IMP","NOIMP")</f>
        <v>NOIMP</v>
      </c>
    </row>
    <row r="171" spans="1:36" ht="39.950000000000003" customHeight="1">
      <c r="A171" s="159">
        <v>102</v>
      </c>
      <c r="B171" s="160" t="s">
        <v>430</v>
      </c>
      <c r="C171" s="209"/>
      <c r="D171" s="159" t="s">
        <v>431</v>
      </c>
      <c r="E171" s="159" t="s">
        <v>432</v>
      </c>
      <c r="F171" s="256">
        <v>45068</v>
      </c>
      <c r="G171" s="159" t="s">
        <v>433</v>
      </c>
      <c r="H171" s="159" t="s">
        <v>1638</v>
      </c>
      <c r="I171" s="160">
        <v>45113</v>
      </c>
      <c r="J171" s="163">
        <v>0.4375</v>
      </c>
      <c r="K171" s="159" t="s">
        <v>365</v>
      </c>
      <c r="L171" s="246"/>
      <c r="M171" s="160" t="s">
        <v>333</v>
      </c>
      <c r="N171" s="159" t="s">
        <v>357</v>
      </c>
      <c r="O171" s="159" t="s">
        <v>2034</v>
      </c>
      <c r="P171" s="159"/>
      <c r="Q171" s="159" t="s">
        <v>331</v>
      </c>
      <c r="R171" s="246"/>
      <c r="S171" s="159"/>
      <c r="T171" s="159"/>
      <c r="U171" s="159"/>
      <c r="V171" s="159" t="s">
        <v>182</v>
      </c>
      <c r="W171" s="159" t="s">
        <v>119</v>
      </c>
      <c r="X171" s="159" t="s">
        <v>434</v>
      </c>
      <c r="Y171" s="159" t="str">
        <f ca="1">IF(I171&lt;&gt;"",IF(I171&lt;=TODAY(),IF(OR(N171="REPROGRAMADA",N171="SUSPENDIDA",N171="EXCLUSION",N171="COLEGIADO"),"NO HECHA",IF(N171=" ","SINRESULTADO","SI")),"NO"),IF(N171="EXCLUSION","NO HECHA","LIMBO"))</f>
        <v>SI</v>
      </c>
      <c r="Z171" s="159" t="str">
        <f>IF($Z$1=I171,"DIASOL", "DIANOSOL")</f>
        <v>DIANOSOL</v>
      </c>
      <c r="AA171" s="159" t="s">
        <v>240</v>
      </c>
      <c r="AB171" s="159" t="s">
        <v>435</v>
      </c>
      <c r="AC171" s="159" t="str">
        <f>IF(H171=$M$1,"SI","NO")</f>
        <v>NO</v>
      </c>
      <c r="AD171" s="159"/>
      <c r="AE171" s="159"/>
      <c r="AF171" s="256">
        <v>45131</v>
      </c>
      <c r="AG171" s="159" t="str">
        <f>IF(COUNTIF(C171,"*preso*")&gt;0,"SI","NO")</f>
        <v>NO</v>
      </c>
      <c r="AH171" s="244">
        <f>NroOrden(N171)</f>
        <v>50</v>
      </c>
      <c r="AI171" s="159"/>
      <c r="AJ171" s="48" t="str">
        <f ca="1">IF(OR(Y171="NO",Y171="LIMBO"),"IMP","NOIMP")</f>
        <v>NOIMP</v>
      </c>
    </row>
    <row r="172" spans="1:36" ht="39.950000000000003" customHeight="1">
      <c r="A172" s="159">
        <v>40</v>
      </c>
      <c r="B172" s="160" t="s">
        <v>608</v>
      </c>
      <c r="C172" s="209" t="s">
        <v>609</v>
      </c>
      <c r="D172" s="159" t="s">
        <v>610</v>
      </c>
      <c r="E172" s="159" t="s">
        <v>611</v>
      </c>
      <c r="F172" s="256">
        <v>45090</v>
      </c>
      <c r="G172" s="159" t="s">
        <v>542</v>
      </c>
      <c r="H172" s="159" t="s">
        <v>1644</v>
      </c>
      <c r="I172" s="160">
        <v>45114</v>
      </c>
      <c r="J172" s="163">
        <v>0.41666666666666669</v>
      </c>
      <c r="K172" s="159" t="s">
        <v>365</v>
      </c>
      <c r="L172" s="246"/>
      <c r="M172" s="160" t="s">
        <v>331</v>
      </c>
      <c r="N172" s="159" t="s">
        <v>355</v>
      </c>
      <c r="O172" s="159" t="s">
        <v>2034</v>
      </c>
      <c r="P172" s="159" t="s">
        <v>612</v>
      </c>
      <c r="Q172" s="159" t="s">
        <v>111</v>
      </c>
      <c r="R172" s="246"/>
      <c r="S172" s="159" t="s">
        <v>614</v>
      </c>
      <c r="T172" s="159" t="s">
        <v>615</v>
      </c>
      <c r="U172" s="159" t="s">
        <v>616</v>
      </c>
      <c r="V172" s="159" t="s">
        <v>189</v>
      </c>
      <c r="W172" s="159" t="s">
        <v>423</v>
      </c>
      <c r="X172" s="159" t="s">
        <v>111</v>
      </c>
      <c r="Y172" s="159" t="str">
        <f ca="1">IF(I172&lt;&gt;"",IF(I172&lt;=TODAY(),IF(OR(N172="REPROGRAMADA",N172="SUSPENDIDA",N172="EXCLUSION",N172="COLEGIADO"),"NO HECHA",IF(N172=" ","SINRESULTADO","SI")),"NO"),IF(N172="EXCLUSION","NO HECHA","LIMBO"))</f>
        <v>SI</v>
      </c>
      <c r="Z172" s="159" t="str">
        <f>IF($Z$1=I172,"DIASOL", "DIANOSOL")</f>
        <v>DIANOSOL</v>
      </c>
      <c r="AA172" s="159" t="s">
        <v>240</v>
      </c>
      <c r="AB172" s="159" t="s">
        <v>613</v>
      </c>
      <c r="AC172" s="159" t="str">
        <f>IF(H172=$M$1,"SI","NO")</f>
        <v>NO</v>
      </c>
      <c r="AD172" s="159"/>
      <c r="AE172" s="159"/>
      <c r="AF172" s="256">
        <v>45131</v>
      </c>
      <c r="AG172" s="159" t="str">
        <f>IF(COUNTIF(C172,"*preso*")&gt;0,"SI","NO")</f>
        <v>SI</v>
      </c>
      <c r="AH172" s="244">
        <f>NroOrden(N172)</f>
        <v>50</v>
      </c>
      <c r="AI172" s="159" t="s">
        <v>546</v>
      </c>
      <c r="AJ172" s="48" t="str">
        <f ca="1">IF(OR(Y172="NO",Y172="LIMBO"),"IMP","NOIMP")</f>
        <v>NOIMP</v>
      </c>
    </row>
    <row r="173" spans="1:36" ht="39.950000000000003" customHeight="1">
      <c r="A173" s="159">
        <v>117</v>
      </c>
      <c r="B173" s="160" t="s">
        <v>938</v>
      </c>
      <c r="C173" s="208" t="s">
        <v>888</v>
      </c>
      <c r="D173" s="159" t="s">
        <v>939</v>
      </c>
      <c r="E173" s="159" t="s">
        <v>652</v>
      </c>
      <c r="F173" s="256"/>
      <c r="G173" s="159" t="s">
        <v>940</v>
      </c>
      <c r="H173" s="159" t="s">
        <v>1641</v>
      </c>
      <c r="I173" s="160">
        <v>45114</v>
      </c>
      <c r="J173" s="160" t="s">
        <v>14</v>
      </c>
      <c r="K173" s="159" t="s">
        <v>362</v>
      </c>
      <c r="L173" s="246"/>
      <c r="M173" s="160" t="s">
        <v>329</v>
      </c>
      <c r="N173" s="159" t="s">
        <v>357</v>
      </c>
      <c r="O173" s="159" t="s">
        <v>2034</v>
      </c>
      <c r="P173" s="159"/>
      <c r="Q173" s="159" t="s">
        <v>328</v>
      </c>
      <c r="R173" s="246"/>
      <c r="S173" s="159"/>
      <c r="T173" s="159"/>
      <c r="U173" s="159"/>
      <c r="V173" s="159" t="s">
        <v>340</v>
      </c>
      <c r="W173" s="159" t="s">
        <v>535</v>
      </c>
      <c r="X173" s="159" t="s">
        <v>111</v>
      </c>
      <c r="Y173" s="159" t="str">
        <f ca="1">IF(I173&lt;&gt;"",IF(I173&lt;=TODAY(),IF(OR(N173="REPROGRAMADA",N173="SUSPENDIDA",N173="EXCLUSION",N173="COLEGIADO"),"NO HECHA",IF(N173=" ","SINRESULTADO","SI")),"NO"),IF(N173="EXCLUSION","NO HECHA","LIMBO"))</f>
        <v>SI</v>
      </c>
      <c r="Z173" s="159" t="str">
        <f>IF($Z$1=I173,"DIASOL", "DIANOSOL")</f>
        <v>DIANOSOL</v>
      </c>
      <c r="AA173" s="159" t="s">
        <v>737</v>
      </c>
      <c r="AB173" s="159" t="s">
        <v>942</v>
      </c>
      <c r="AC173" s="159" t="str">
        <f>IF(H173=$M$1,"SI","NO")</f>
        <v>NO</v>
      </c>
      <c r="AD173" s="159"/>
      <c r="AE173" s="159"/>
      <c r="AF173" s="159"/>
      <c r="AG173" s="159" t="str">
        <f>IF(COUNTIF(C173,"*preso*")&gt;0,"SI","NO")</f>
        <v>SI</v>
      </c>
      <c r="AH173" s="244">
        <f>NroOrden(N173)</f>
        <v>50</v>
      </c>
      <c r="AI173" s="159"/>
      <c r="AJ173" s="48" t="str">
        <f ca="1">IF(OR(Y173="NO",Y173="LIMBO"),"IMP","NOIMP")</f>
        <v>NOIMP</v>
      </c>
    </row>
    <row r="174" spans="1:36" ht="39.950000000000003" customHeight="1">
      <c r="A174" s="184">
        <v>107</v>
      </c>
      <c r="B174" s="185" t="s">
        <v>478</v>
      </c>
      <c r="C174" s="210" t="s">
        <v>480</v>
      </c>
      <c r="D174" s="184" t="s">
        <v>479</v>
      </c>
      <c r="E174" s="184" t="s">
        <v>481</v>
      </c>
      <c r="F174" s="220">
        <v>45076</v>
      </c>
      <c r="G174" s="184" t="s">
        <v>451</v>
      </c>
      <c r="H174" s="184" t="s">
        <v>1644</v>
      </c>
      <c r="I174" s="185">
        <v>45117</v>
      </c>
      <c r="J174" s="185" t="s">
        <v>282</v>
      </c>
      <c r="K174" s="184" t="s">
        <v>365</v>
      </c>
      <c r="L174" s="246"/>
      <c r="M174" s="185" t="s">
        <v>331</v>
      </c>
      <c r="N174" s="184" t="s">
        <v>356</v>
      </c>
      <c r="O174" s="184" t="s">
        <v>2034</v>
      </c>
      <c r="P174" s="184" t="s">
        <v>958</v>
      </c>
      <c r="Q174" s="184" t="s">
        <v>111</v>
      </c>
      <c r="R174" s="246"/>
      <c r="S174" s="184" t="s">
        <v>374</v>
      </c>
      <c r="T174" s="184" t="s">
        <v>485</v>
      </c>
      <c r="U174" s="184"/>
      <c r="V174" s="184" t="s">
        <v>189</v>
      </c>
      <c r="W174" s="184" t="s">
        <v>483</v>
      </c>
      <c r="X174" s="184" t="s">
        <v>111</v>
      </c>
      <c r="Y174" s="159" t="str">
        <f ca="1">IF(I174&lt;&gt;"",IF(I174&lt;=TODAY(),IF(OR(N174="REPROGRAMADA",N174="SUSPENDIDA",N174="EXCLUSION",N174="COLEGIADO"),"NO HECHA",IF(N174=" ","SINRESULTADO","SI")),"NO"),IF(N174="EXCLUSION","NO HECHA","LIMBO"))</f>
        <v>SI</v>
      </c>
      <c r="Z174" s="184" t="str">
        <f>IF($Z$1=I174,"DIASOL", "DIANOSOL")</f>
        <v>DIANOSOL</v>
      </c>
      <c r="AA174" s="184" t="s">
        <v>240</v>
      </c>
      <c r="AB174" s="184" t="s">
        <v>484</v>
      </c>
      <c r="AC174" s="184" t="str">
        <f>IF(H174=$M$1,"SI","NO")</f>
        <v>NO</v>
      </c>
      <c r="AD174" s="184"/>
      <c r="AE174" s="184"/>
      <c r="AF174" s="220">
        <v>45155</v>
      </c>
      <c r="AG174" s="159" t="str">
        <f>IF(COUNTIF(C174,"*preso*")&gt;0,"SI","NO")</f>
        <v>SI</v>
      </c>
      <c r="AH174" s="244">
        <f>NroOrden(N174)</f>
        <v>50</v>
      </c>
      <c r="AI174" s="184"/>
      <c r="AJ174" s="48" t="str">
        <f ca="1">IF(OR(Y174="NO",Y174="LIMBO"),"IMP","NOIMP")</f>
        <v>NOIMP</v>
      </c>
    </row>
    <row r="175" spans="1:36" ht="88.5" customHeight="1">
      <c r="A175" s="159">
        <v>76</v>
      </c>
      <c r="B175" s="160" t="s">
        <v>814</v>
      </c>
      <c r="C175" s="209" t="s">
        <v>501</v>
      </c>
      <c r="D175" s="159" t="s">
        <v>815</v>
      </c>
      <c r="E175" s="159" t="s">
        <v>816</v>
      </c>
      <c r="F175" s="256">
        <v>45103</v>
      </c>
      <c r="G175" s="159" t="s">
        <v>653</v>
      </c>
      <c r="H175" s="159" t="s">
        <v>111</v>
      </c>
      <c r="I175" s="160">
        <v>45118</v>
      </c>
      <c r="J175" s="163">
        <v>0.4375</v>
      </c>
      <c r="K175" s="159" t="s">
        <v>365</v>
      </c>
      <c r="L175" s="246"/>
      <c r="M175" s="160" t="s">
        <v>332</v>
      </c>
      <c r="N175" s="159" t="s">
        <v>356</v>
      </c>
      <c r="O175" s="159" t="s">
        <v>2034</v>
      </c>
      <c r="P175" s="159" t="s">
        <v>817</v>
      </c>
      <c r="Q175" s="159" t="s">
        <v>111</v>
      </c>
      <c r="R175" s="246"/>
      <c r="S175" s="159" t="s">
        <v>374</v>
      </c>
      <c r="T175" s="159" t="s">
        <v>819</v>
      </c>
      <c r="U175" s="159" t="s">
        <v>820</v>
      </c>
      <c r="V175" s="159" t="s">
        <v>342</v>
      </c>
      <c r="W175" s="159" t="s">
        <v>818</v>
      </c>
      <c r="X175" s="159" t="s">
        <v>605</v>
      </c>
      <c r="Y175" s="159" t="str">
        <f ca="1">IF(I175&lt;&gt;"",IF(I175&lt;=TODAY(),IF(OR(N175="REPROGRAMADA",N175="SUSPENDIDA",N175="EXCLUSION",N175="COLEGIADO"),"NO HECHA",IF(N175=" ","SINRESULTADO","SI")),"NO"),IF(N175="EXCLUSION","NO HECHA","LIMBO"))</f>
        <v>SI</v>
      </c>
      <c r="Z175" s="159" t="str">
        <f>IF($Z$1=I175,"DIASOL", "DIANOSOL")</f>
        <v>DIANOSOL</v>
      </c>
      <c r="AA175" s="159" t="s">
        <v>240</v>
      </c>
      <c r="AB175" s="159"/>
      <c r="AC175" s="159" t="str">
        <f>IF(H175=$M$1,"SI","NO")</f>
        <v>NO</v>
      </c>
      <c r="AD175" s="159"/>
      <c r="AE175" s="159"/>
      <c r="AF175" s="256" t="s">
        <v>1534</v>
      </c>
      <c r="AG175" s="159" t="str">
        <f>IF(COUNTIF(C175,"*preso*")&gt;0,"SI","NO")</f>
        <v>SI</v>
      </c>
      <c r="AH175" s="244">
        <f>NroOrden(N175)</f>
        <v>50</v>
      </c>
      <c r="AI175" s="159" t="s">
        <v>821</v>
      </c>
      <c r="AJ175" s="48" t="str">
        <f ca="1">IF(OR(Y175="NO",Y175="LIMBO"),"IMP","NOIMP")</f>
        <v>NOIMP</v>
      </c>
    </row>
    <row r="176" spans="1:36" ht="39.950000000000003" customHeight="1">
      <c r="A176" s="159">
        <v>72</v>
      </c>
      <c r="B176" s="160" t="s">
        <v>792</v>
      </c>
      <c r="C176" s="209" t="s">
        <v>501</v>
      </c>
      <c r="D176" s="159" t="s">
        <v>793</v>
      </c>
      <c r="E176" s="159" t="s">
        <v>794</v>
      </c>
      <c r="F176" s="256">
        <v>45093</v>
      </c>
      <c r="G176" s="159" t="s">
        <v>772</v>
      </c>
      <c r="H176" s="159" t="s">
        <v>111</v>
      </c>
      <c r="I176" s="160">
        <v>45119</v>
      </c>
      <c r="J176" s="163">
        <v>0.375</v>
      </c>
      <c r="K176" s="159" t="s">
        <v>364</v>
      </c>
      <c r="L176" s="246"/>
      <c r="M176" s="160" t="s">
        <v>328</v>
      </c>
      <c r="N176" s="159" t="s">
        <v>356</v>
      </c>
      <c r="O176" s="159" t="s">
        <v>2034</v>
      </c>
      <c r="P176" s="159" t="s">
        <v>795</v>
      </c>
      <c r="Q176" s="159" t="s">
        <v>111</v>
      </c>
      <c r="R176" s="246"/>
      <c r="S176" s="159" t="s">
        <v>374</v>
      </c>
      <c r="T176" s="159" t="s">
        <v>797</v>
      </c>
      <c r="U176" s="159" t="s">
        <v>798</v>
      </c>
      <c r="V176" s="159" t="s">
        <v>193</v>
      </c>
      <c r="W176" s="159" t="s">
        <v>423</v>
      </c>
      <c r="X176" s="159" t="s">
        <v>111</v>
      </c>
      <c r="Y176" s="159" t="str">
        <f ca="1">IF(I176&lt;&gt;"",IF(I176&lt;=TODAY(),IF(OR(N176="REPROGRAMADA",N176="SUSPENDIDA",N176="EXCLUSION",N176="COLEGIADO"),"NO HECHA",IF(N176=" ","SINRESULTADO","SI")),"NO"),IF(N176="EXCLUSION","NO HECHA","LIMBO"))</f>
        <v>SI</v>
      </c>
      <c r="Z176" s="159" t="str">
        <f>IF($Z$1=I176,"DIASOL", "DIANOSOL")</f>
        <v>DIANOSOL</v>
      </c>
      <c r="AA176" s="159" t="s">
        <v>240</v>
      </c>
      <c r="AB176" s="159" t="s">
        <v>796</v>
      </c>
      <c r="AC176" s="159" t="str">
        <f>IF(H176=$M$1,"SI","NO")</f>
        <v>NO</v>
      </c>
      <c r="AD176" s="159"/>
      <c r="AE176" s="159"/>
      <c r="AF176" s="159"/>
      <c r="AG176" s="159" t="str">
        <f>IF(COUNTIF(C176,"*preso*")&gt;0,"SI","NO")</f>
        <v>SI</v>
      </c>
      <c r="AH176" s="244">
        <f>NroOrden(N176)</f>
        <v>50</v>
      </c>
      <c r="AI176" s="159"/>
      <c r="AJ176" s="48" t="str">
        <f ca="1">IF(OR(Y176="NO",Y176="LIMBO"),"IMP","NOIMP")</f>
        <v>NOIMP</v>
      </c>
    </row>
    <row r="177" spans="1:36" s="6" customFormat="1" ht="39.950000000000003" customHeight="1">
      <c r="A177" s="159">
        <v>105</v>
      </c>
      <c r="B177" s="160" t="s">
        <v>871</v>
      </c>
      <c r="C177" s="208" t="s">
        <v>501</v>
      </c>
      <c r="D177" s="159" t="s">
        <v>872</v>
      </c>
      <c r="E177" s="159" t="s">
        <v>685</v>
      </c>
      <c r="F177" s="256">
        <v>44999</v>
      </c>
      <c r="G177" s="159" t="s">
        <v>873</v>
      </c>
      <c r="H177" s="159" t="s">
        <v>1638</v>
      </c>
      <c r="I177" s="160">
        <v>45120</v>
      </c>
      <c r="J177" s="160" t="s">
        <v>960</v>
      </c>
      <c r="K177" s="159" t="s">
        <v>362</v>
      </c>
      <c r="L177" s="246"/>
      <c r="M177" s="160" t="s">
        <v>329</v>
      </c>
      <c r="N177" s="159" t="s">
        <v>357</v>
      </c>
      <c r="O177" s="159" t="s">
        <v>2034</v>
      </c>
      <c r="P177" s="159"/>
      <c r="Q177" s="159" t="s">
        <v>328</v>
      </c>
      <c r="R177" s="246"/>
      <c r="S177" s="159" t="s">
        <v>374</v>
      </c>
      <c r="T177" s="159" t="s">
        <v>878</v>
      </c>
      <c r="U177" s="159" t="s">
        <v>879</v>
      </c>
      <c r="V177" s="159" t="s">
        <v>340</v>
      </c>
      <c r="W177" s="159" t="s">
        <v>876</v>
      </c>
      <c r="X177" s="159" t="s">
        <v>111</v>
      </c>
      <c r="Y177" s="159" t="str">
        <f ca="1">IF(I177&lt;&gt;"",IF(I177&lt;=TODAY(),IF(OR(N177="REPROGRAMADA",N177="SUSPENDIDA",N177="EXCLUSION",N177="COLEGIADO"),"NO HECHA",IF(N177=" ","SINRESULTADO","SI")),"NO"),IF(N177="EXCLUSION","NO HECHA","LIMBO"))</f>
        <v>SI</v>
      </c>
      <c r="Z177" s="159" t="str">
        <f>IF($Z$1=I177,"DIASOL", "DIANOSOL")</f>
        <v>DIANOSOL</v>
      </c>
      <c r="AA177" s="159" t="s">
        <v>681</v>
      </c>
      <c r="AB177" s="159" t="s">
        <v>877</v>
      </c>
      <c r="AC177" s="159" t="str">
        <f>IF(H177=$M$1,"SI","NO")</f>
        <v>NO</v>
      </c>
      <c r="AD177" s="159"/>
      <c r="AE177" s="159"/>
      <c r="AF177" s="256">
        <v>45131</v>
      </c>
      <c r="AG177" s="159" t="str">
        <f>IF(COUNTIF(C177,"*preso*")&gt;0,"SI","NO")</f>
        <v>SI</v>
      </c>
      <c r="AH177" s="244">
        <f>NroOrden(N177)</f>
        <v>50</v>
      </c>
      <c r="AI177" s="159"/>
      <c r="AJ177" s="48" t="str">
        <f ca="1">IF(OR(Y177="NO",Y177="LIMBO"),"IMP","NOIMP")</f>
        <v>NOIMP</v>
      </c>
    </row>
    <row r="178" spans="1:36" ht="39.950000000000003" customHeight="1">
      <c r="A178" s="159">
        <v>77</v>
      </c>
      <c r="B178" s="185" t="s">
        <v>822</v>
      </c>
      <c r="C178" s="210" t="s">
        <v>501</v>
      </c>
      <c r="D178" s="184" t="s">
        <v>823</v>
      </c>
      <c r="E178" s="184" t="s">
        <v>824</v>
      </c>
      <c r="F178" s="256">
        <v>45098</v>
      </c>
      <c r="G178" s="184" t="s">
        <v>806</v>
      </c>
      <c r="H178" s="184" t="s">
        <v>1644</v>
      </c>
      <c r="I178" s="185">
        <v>45124</v>
      </c>
      <c r="J178" s="289">
        <v>0.39583333333333331</v>
      </c>
      <c r="K178" s="184" t="s">
        <v>364</v>
      </c>
      <c r="L178" s="246"/>
      <c r="M178" s="185" t="s">
        <v>328</v>
      </c>
      <c r="N178" s="159" t="s">
        <v>356</v>
      </c>
      <c r="O178" s="159" t="s">
        <v>2034</v>
      </c>
      <c r="P178" s="159" t="s">
        <v>825</v>
      </c>
      <c r="Q178" s="159" t="s">
        <v>111</v>
      </c>
      <c r="R178" s="246"/>
      <c r="S178" s="159" t="s">
        <v>374</v>
      </c>
      <c r="T178" s="159" t="s">
        <v>827</v>
      </c>
      <c r="U178" s="159" t="s">
        <v>828</v>
      </c>
      <c r="V178" s="184" t="s">
        <v>192</v>
      </c>
      <c r="W178" s="184" t="s">
        <v>180</v>
      </c>
      <c r="X178" s="184" t="s">
        <v>111</v>
      </c>
      <c r="Y178" s="159" t="str">
        <f ca="1">IF(I178&lt;&gt;"",IF(I178&lt;=TODAY(),IF(OR(N178="REPROGRAMADA",N178="SUSPENDIDA",N178="EXCLUSION",N178="COLEGIADO"),"NO HECHA",IF(N178=" ","SINRESULTADO","SI")),"NO"),IF(N178="EXCLUSION","NO HECHA","LIMBO"))</f>
        <v>SI</v>
      </c>
      <c r="Z178" s="159" t="str">
        <f>IF($Z$1=I178,"DIASOL", "DIANOSOL")</f>
        <v>DIANOSOL</v>
      </c>
      <c r="AA178" s="184" t="s">
        <v>240</v>
      </c>
      <c r="AB178" s="184" t="s">
        <v>826</v>
      </c>
      <c r="AC178" s="159" t="str">
        <f>IF(H178=$M$1,"SI","NO")</f>
        <v>NO</v>
      </c>
      <c r="AD178" s="159"/>
      <c r="AE178" s="159"/>
      <c r="AF178" s="159"/>
      <c r="AG178" s="159" t="str">
        <f>IF(COUNTIF(C178,"*preso*")&gt;0,"SI","NO")</f>
        <v>SI</v>
      </c>
      <c r="AH178" s="244">
        <f>NroOrden(N178)</f>
        <v>50</v>
      </c>
      <c r="AI178" s="159"/>
      <c r="AJ178" s="48" t="str">
        <f ca="1">IF(OR(Y178="NO",Y178="LIMBO"),"IMP","NOIMP")</f>
        <v>NOIMP</v>
      </c>
    </row>
    <row r="179" spans="1:36" ht="39.950000000000003" customHeight="1">
      <c r="A179" s="159">
        <v>43</v>
      </c>
      <c r="B179" s="160" t="s">
        <v>636</v>
      </c>
      <c r="C179" s="209" t="s">
        <v>637</v>
      </c>
      <c r="D179" s="159" t="s">
        <v>638</v>
      </c>
      <c r="E179" s="159" t="s">
        <v>383</v>
      </c>
      <c r="F179" s="256">
        <v>45089</v>
      </c>
      <c r="G179" s="159" t="s">
        <v>433</v>
      </c>
      <c r="H179" s="159" t="s">
        <v>1644</v>
      </c>
      <c r="I179" s="160">
        <v>45125</v>
      </c>
      <c r="J179" s="163">
        <v>0.39583333333333331</v>
      </c>
      <c r="K179" s="159" t="s">
        <v>365</v>
      </c>
      <c r="L179" s="246"/>
      <c r="M179" s="160" t="s">
        <v>333</v>
      </c>
      <c r="N179" s="159" t="s">
        <v>357</v>
      </c>
      <c r="O179" s="159" t="s">
        <v>2034</v>
      </c>
      <c r="P179" s="159"/>
      <c r="Q179" s="159" t="s">
        <v>331</v>
      </c>
      <c r="R179" s="246"/>
      <c r="S179" s="159"/>
      <c r="T179" s="159"/>
      <c r="U179" s="159"/>
      <c r="V179" s="159" t="s">
        <v>97</v>
      </c>
      <c r="W179" s="159" t="s">
        <v>639</v>
      </c>
      <c r="X179" s="159" t="s">
        <v>111</v>
      </c>
      <c r="Y179" s="159" t="str">
        <f ca="1">IF(I179&lt;&gt;"",IF(I179&lt;=TODAY(),IF(OR(N179="REPROGRAMADA",N179="SUSPENDIDA",N179="EXCLUSION",N179="COLEGIADO"),"NO HECHA",IF(N179=" ","SINRESULTADO","SI")),"NO"),IF(N179="EXCLUSION","NO HECHA","LIMBO"))</f>
        <v>SI</v>
      </c>
      <c r="Z179" s="159" t="str">
        <f>IF($Z$1=I179,"DIASOL", "DIANOSOL")</f>
        <v>DIANOSOL</v>
      </c>
      <c r="AA179" s="159" t="s">
        <v>640</v>
      </c>
      <c r="AB179" s="159"/>
      <c r="AC179" s="159" t="str">
        <f>IF(H179=$M$1,"SI","NO")</f>
        <v>NO</v>
      </c>
      <c r="AD179" s="159"/>
      <c r="AE179" s="159"/>
      <c r="AF179" s="256">
        <v>45110</v>
      </c>
      <c r="AG179" s="159" t="str">
        <f>IF(COUNTIF(C179,"*preso*")&gt;0,"SI","NO")</f>
        <v>SI</v>
      </c>
      <c r="AH179" s="244">
        <f>NroOrden(N179)</f>
        <v>50</v>
      </c>
      <c r="AI179" s="159" t="s">
        <v>1340</v>
      </c>
      <c r="AJ179" s="48" t="str">
        <f ca="1">IF(OR(Y179="NO",Y179="LIMBO"),"IMP","NOIMP")</f>
        <v>NOIMP</v>
      </c>
    </row>
    <row r="180" spans="1:36" ht="174" customHeight="1">
      <c r="A180" s="159">
        <v>64</v>
      </c>
      <c r="B180" s="160" t="s">
        <v>751</v>
      </c>
      <c r="C180" s="209" t="s">
        <v>501</v>
      </c>
      <c r="D180" s="159" t="s">
        <v>752</v>
      </c>
      <c r="E180" s="159" t="s">
        <v>753</v>
      </c>
      <c r="F180" s="256">
        <v>45091</v>
      </c>
      <c r="G180" s="159" t="s">
        <v>653</v>
      </c>
      <c r="H180" s="159"/>
      <c r="I180" s="160">
        <v>45126</v>
      </c>
      <c r="J180" s="163">
        <v>0.39583333333333331</v>
      </c>
      <c r="K180" s="159" t="s">
        <v>362</v>
      </c>
      <c r="L180" s="246"/>
      <c r="M180" s="160" t="s">
        <v>330</v>
      </c>
      <c r="N180" s="159" t="s">
        <v>378</v>
      </c>
      <c r="O180" s="159" t="s">
        <v>2034</v>
      </c>
      <c r="P180" s="159" t="s">
        <v>2519</v>
      </c>
      <c r="Q180" s="159" t="s">
        <v>111</v>
      </c>
      <c r="R180" s="246"/>
      <c r="S180" s="159" t="s">
        <v>374</v>
      </c>
      <c r="T180" s="159" t="s">
        <v>756</v>
      </c>
      <c r="U180" s="159" t="s">
        <v>757</v>
      </c>
      <c r="V180" s="159" t="s">
        <v>347</v>
      </c>
      <c r="W180" s="159" t="s">
        <v>180</v>
      </c>
      <c r="X180" s="159" t="s">
        <v>754</v>
      </c>
      <c r="Y180" s="159" t="str">
        <f ca="1">IF(I180&lt;&gt;"",IF(I180&lt;=TODAY(),IF(OR(N180="REPROGRAMADA",N180="SUSPENDIDA",N180="EXCLUSION",N180="COLEGIADO"),"NO HECHA",IF(N180=" ","SINRESULTADO","SI")),"NO"),IF(N180="EXCLUSION","NO HECHA","LIMBO"))</f>
        <v>SI</v>
      </c>
      <c r="Z180" s="159" t="str">
        <f>IF($Z$1=I180,"DIASOL", "DIANOSOL")</f>
        <v>DIANOSOL</v>
      </c>
      <c r="AA180" s="159" t="s">
        <v>240</v>
      </c>
      <c r="AB180" s="159" t="s">
        <v>755</v>
      </c>
      <c r="AC180" s="159" t="str">
        <f>IF(H180=$M$1,"SI","NO")</f>
        <v>NO</v>
      </c>
      <c r="AD180" s="159"/>
      <c r="AE180" s="159"/>
      <c r="AF180" s="256">
        <v>45131</v>
      </c>
      <c r="AG180" s="159" t="str">
        <f>IF(COUNTIF(C180,"*preso*")&gt;0,"SI","NO")</f>
        <v>SI</v>
      </c>
      <c r="AH180" s="244">
        <f>NroOrden(N180)</f>
        <v>50</v>
      </c>
      <c r="AI180" s="159"/>
      <c r="AJ180" s="48" t="str">
        <f ca="1">IF(OR(Y180="NO",Y180="LIMBO"),"IMP","NOIMP")</f>
        <v>NOIMP</v>
      </c>
    </row>
    <row r="181" spans="1:36" ht="39.950000000000003" customHeight="1">
      <c r="A181" s="159">
        <v>118</v>
      </c>
      <c r="B181" s="160" t="s">
        <v>977</v>
      </c>
      <c r="C181" s="208" t="s">
        <v>619</v>
      </c>
      <c r="D181" s="159" t="s">
        <v>978</v>
      </c>
      <c r="E181" s="159" t="s">
        <v>979</v>
      </c>
      <c r="F181" s="256">
        <v>45107</v>
      </c>
      <c r="G181" s="159" t="s">
        <v>980</v>
      </c>
      <c r="H181" s="159" t="s">
        <v>1644</v>
      </c>
      <c r="I181" s="160">
        <v>45127</v>
      </c>
      <c r="J181" s="160" t="s">
        <v>282</v>
      </c>
      <c r="K181" s="159" t="s">
        <v>365</v>
      </c>
      <c r="L181" s="246"/>
      <c r="M181" s="160" t="s">
        <v>333</v>
      </c>
      <c r="N181" s="159" t="s">
        <v>357</v>
      </c>
      <c r="O181" s="159" t="s">
        <v>2034</v>
      </c>
      <c r="P181" s="159"/>
      <c r="Q181" s="159" t="s">
        <v>331</v>
      </c>
      <c r="R181" s="246"/>
      <c r="S181" s="159" t="s">
        <v>984</v>
      </c>
      <c r="T181" s="159" t="s">
        <v>985</v>
      </c>
      <c r="U181" s="159" t="s">
        <v>986</v>
      </c>
      <c r="V181" s="159" t="s">
        <v>268</v>
      </c>
      <c r="W181" s="159" t="s">
        <v>981</v>
      </c>
      <c r="X181" s="159" t="s">
        <v>111</v>
      </c>
      <c r="Y181" s="159" t="str">
        <f ca="1">IF(I181&lt;&gt;"",IF(I181&lt;=TODAY(),IF(OR(N181="REPROGRAMADA",N181="SUSPENDIDA",N181="EXCLUSION",N181="COLEGIADO"),"NO HECHA",IF(N181=" ","SINRESULTADO","SI")),"NO"),IF(N181="EXCLUSION","NO HECHA","LIMBO"))</f>
        <v>SI</v>
      </c>
      <c r="Z181" s="159" t="str">
        <f>IF($Z$1=I181,"DIASOL", "DIANOSOL")</f>
        <v>DIANOSOL</v>
      </c>
      <c r="AA181" s="159" t="s">
        <v>982</v>
      </c>
      <c r="AB181" s="159" t="s">
        <v>983</v>
      </c>
      <c r="AC181" s="159" t="str">
        <f>IF(H181=$M$1,"SI","NO")</f>
        <v>NO</v>
      </c>
      <c r="AD181" s="159"/>
      <c r="AE181" s="159"/>
      <c r="AF181" s="256">
        <v>45131</v>
      </c>
      <c r="AG181" s="159" t="str">
        <f>IF(COUNTIF(C181,"*preso*")&gt;0,"SI","NO")</f>
        <v>SI</v>
      </c>
      <c r="AH181" s="244">
        <f>NroOrden(N181)</f>
        <v>50</v>
      </c>
      <c r="AI181" s="159"/>
      <c r="AJ181" s="48" t="str">
        <f ca="1">IF(OR(Y181="NO",Y181="LIMBO"),"IMP","NOIMP")</f>
        <v>NOIMP</v>
      </c>
    </row>
    <row r="182" spans="1:36" ht="119.25" customHeight="1">
      <c r="A182" s="159">
        <v>114</v>
      </c>
      <c r="B182" s="160" t="s">
        <v>962</v>
      </c>
      <c r="C182" s="286" t="s">
        <v>964</v>
      </c>
      <c r="D182" s="159" t="s">
        <v>963</v>
      </c>
      <c r="E182" s="159" t="s">
        <v>965</v>
      </c>
      <c r="F182" s="256">
        <v>45105</v>
      </c>
      <c r="G182" s="159" t="s">
        <v>924</v>
      </c>
      <c r="H182" s="159" t="s">
        <v>1644</v>
      </c>
      <c r="I182" s="160">
        <v>45128</v>
      </c>
      <c r="J182" s="160" t="s">
        <v>282</v>
      </c>
      <c r="K182" s="159" t="s">
        <v>362</v>
      </c>
      <c r="L182" s="246"/>
      <c r="M182" s="160" t="s">
        <v>328</v>
      </c>
      <c r="N182" s="159" t="s">
        <v>356</v>
      </c>
      <c r="O182" s="159" t="s">
        <v>2034</v>
      </c>
      <c r="P182" s="159" t="s">
        <v>966</v>
      </c>
      <c r="Q182" s="159" t="s">
        <v>111</v>
      </c>
      <c r="R182" s="246"/>
      <c r="S182" s="159" t="s">
        <v>968</v>
      </c>
      <c r="T182" s="159"/>
      <c r="U182" s="159" t="s">
        <v>969</v>
      </c>
      <c r="V182" s="159" t="s">
        <v>184</v>
      </c>
      <c r="W182" s="159" t="s">
        <v>387</v>
      </c>
      <c r="X182" s="159" t="s">
        <v>111</v>
      </c>
      <c r="Y182" s="159" t="str">
        <f ca="1">IF(I182&lt;&gt;"",IF(I182&lt;=TODAY(),IF(OR(N182="REPROGRAMADA",N182="SUSPENDIDA",N182="EXCLUSION",N182="COLEGIADO"),"NO HECHA",IF(N182=" ","SINRESULTADO","SI")),"NO"),IF(N182="EXCLUSION","NO HECHA","LIMBO"))</f>
        <v>SI</v>
      </c>
      <c r="Z182" s="159" t="str">
        <f>IF($Z$1=I182,"DIASOL", "DIANOSOL")</f>
        <v>DIANOSOL</v>
      </c>
      <c r="AA182" s="159" t="s">
        <v>240</v>
      </c>
      <c r="AB182" s="159" t="s">
        <v>967</v>
      </c>
      <c r="AC182" s="159" t="str">
        <f>IF(H182=$M$1,"SI","NO")</f>
        <v>NO</v>
      </c>
      <c r="AD182" s="159"/>
      <c r="AE182" s="159"/>
      <c r="AF182" s="256">
        <v>45127</v>
      </c>
      <c r="AG182" s="159" t="e">
        <f>IF(COUNTIF(#REF!,"*preso*")&gt;0,"SI","NO")</f>
        <v>#REF!</v>
      </c>
      <c r="AH182" s="244">
        <f>NroOrden(N182)</f>
        <v>50</v>
      </c>
      <c r="AI182" s="159" t="s">
        <v>970</v>
      </c>
      <c r="AJ182" s="48" t="str">
        <f ca="1">IF(OR(Y182="NO",Y182="LIMBO"),"IMP","NOIMP")</f>
        <v>NOIMP</v>
      </c>
    </row>
    <row r="183" spans="1:36" ht="156.75" customHeight="1">
      <c r="A183" s="159">
        <v>98</v>
      </c>
      <c r="B183" s="160" t="s">
        <v>486</v>
      </c>
      <c r="C183" s="209"/>
      <c r="D183" s="159" t="s">
        <v>487</v>
      </c>
      <c r="E183" s="159" t="s">
        <v>488</v>
      </c>
      <c r="F183" s="256">
        <v>45086</v>
      </c>
      <c r="G183" s="159" t="s">
        <v>489</v>
      </c>
      <c r="H183" s="159" t="s">
        <v>111</v>
      </c>
      <c r="I183" s="160">
        <v>45131</v>
      </c>
      <c r="J183" s="163">
        <v>0.39583333333333331</v>
      </c>
      <c r="K183" s="159" t="s">
        <v>365</v>
      </c>
      <c r="L183" s="246"/>
      <c r="M183" s="160" t="s">
        <v>332</v>
      </c>
      <c r="N183" s="159" t="s">
        <v>358</v>
      </c>
      <c r="O183" s="159" t="s">
        <v>2034</v>
      </c>
      <c r="P183" s="159" t="s">
        <v>937</v>
      </c>
      <c r="Q183" s="159" t="s">
        <v>111</v>
      </c>
      <c r="R183" s="246"/>
      <c r="S183" s="159"/>
      <c r="T183" s="159"/>
      <c r="U183" s="159"/>
      <c r="V183" s="159" t="s">
        <v>182</v>
      </c>
      <c r="W183" s="159" t="s">
        <v>490</v>
      </c>
      <c r="X183" s="159" t="s">
        <v>111</v>
      </c>
      <c r="Y183" s="159" t="str">
        <f ca="1">IF(I183&lt;&gt;"",IF(I183&lt;=TODAY(),IF(OR(N183="REPROGRAMADA",N183="SUSPENDIDA",N183="EXCLUSION",N183="COLEGIADO"),"NO HECHA",IF(N183=" ","SINRESULTADO","SI")),"NO"),IF(N183="EXCLUSION","NO HECHA","LIMBO"))</f>
        <v>SI</v>
      </c>
      <c r="Z183" s="159" t="str">
        <f>IF($Z$1=I183,"DIASOL", "DIANOSOL")</f>
        <v>DIANOSOL</v>
      </c>
      <c r="AA183" s="159" t="s">
        <v>240</v>
      </c>
      <c r="AB183" s="159" t="s">
        <v>491</v>
      </c>
      <c r="AC183" s="159" t="str">
        <f>IF(H183=$M$1,"SI","NO")</f>
        <v>NO</v>
      </c>
      <c r="AD183" s="159"/>
      <c r="AE183" s="159"/>
      <c r="AF183" s="159"/>
      <c r="AG183" s="159" t="str">
        <f>IF(COUNTIF(C183,"*preso*")&gt;0,"SI","NO")</f>
        <v>NO</v>
      </c>
      <c r="AH183" s="244">
        <f>NroOrden(N183)</f>
        <v>50</v>
      </c>
      <c r="AI183" s="159"/>
      <c r="AJ183" s="48" t="str">
        <f ca="1">IF(OR(Y183="NO",Y183="LIMBO"),"IMP","NOIMP")</f>
        <v>NOIMP</v>
      </c>
    </row>
    <row r="184" spans="1:36" ht="92.25" customHeight="1">
      <c r="A184" s="159">
        <v>104</v>
      </c>
      <c r="B184" s="185" t="s">
        <v>399</v>
      </c>
      <c r="C184" s="210"/>
      <c r="D184" s="184" t="s">
        <v>400</v>
      </c>
      <c r="E184" s="184" t="s">
        <v>401</v>
      </c>
      <c r="F184" s="256">
        <v>45069</v>
      </c>
      <c r="G184" s="184" t="s">
        <v>402</v>
      </c>
      <c r="H184" s="184" t="s">
        <v>1638</v>
      </c>
      <c r="I184" s="185">
        <v>45133</v>
      </c>
      <c r="J184" s="185" t="s">
        <v>396</v>
      </c>
      <c r="K184" s="184" t="s">
        <v>365</v>
      </c>
      <c r="L184" s="246"/>
      <c r="M184" s="185" t="s">
        <v>333</v>
      </c>
      <c r="N184" s="159" t="s">
        <v>355</v>
      </c>
      <c r="O184" s="159" t="s">
        <v>2034</v>
      </c>
      <c r="P184" s="159" t="s">
        <v>955</v>
      </c>
      <c r="Q184" s="159" t="s">
        <v>111</v>
      </c>
      <c r="R184" s="246"/>
      <c r="S184" s="159"/>
      <c r="T184" s="159"/>
      <c r="U184" s="159"/>
      <c r="V184" s="184" t="s">
        <v>194</v>
      </c>
      <c r="W184" s="184" t="s">
        <v>141</v>
      </c>
      <c r="X184" s="184" t="s">
        <v>404</v>
      </c>
      <c r="Y184" s="159" t="str">
        <f ca="1">IF(I184&lt;&gt;"",IF(I184&lt;=TODAY(),IF(OR(N184="REPROGRAMADA",N184="SUSPENDIDA",N184="EXCLUSION",N184="COLEGIADO"),"NO HECHA",IF(N184=" ","SINRESULTADO","SI")),"NO"),IF(N184="EXCLUSION","NO HECHA","LIMBO"))</f>
        <v>SI</v>
      </c>
      <c r="Z184" s="159" t="str">
        <f>IF($Z$1=I184,"DIASOL", "DIANOSOL")</f>
        <v>DIANOSOL</v>
      </c>
      <c r="AA184" s="184" t="s">
        <v>240</v>
      </c>
      <c r="AB184" s="184" t="s">
        <v>405</v>
      </c>
      <c r="AC184" s="159" t="str">
        <f>IF(H184=$M$1,"SI","NO")</f>
        <v>NO</v>
      </c>
      <c r="AD184" s="159"/>
      <c r="AE184" s="159"/>
      <c r="AF184" s="256">
        <v>45140</v>
      </c>
      <c r="AG184" s="159" t="str">
        <f>IF(COUNTIF(C184,"*preso*")&gt;0,"SI","NO")</f>
        <v>NO</v>
      </c>
      <c r="AH184" s="244">
        <f>NroOrden(N184)</f>
        <v>50</v>
      </c>
      <c r="AI184" s="159" t="s">
        <v>956</v>
      </c>
      <c r="AJ184" s="48" t="str">
        <f ca="1">IF(OR(Y184="NO",Y184="LIMBO"),"IMP","NOIMP")</f>
        <v>NOIMP</v>
      </c>
    </row>
    <row r="185" spans="1:36" ht="80.25" customHeight="1">
      <c r="A185" s="159">
        <v>81</v>
      </c>
      <c r="B185" s="160" t="s">
        <v>844</v>
      </c>
      <c r="C185" s="209"/>
      <c r="D185" s="159" t="s">
        <v>845</v>
      </c>
      <c r="E185" s="159" t="s">
        <v>846</v>
      </c>
      <c r="F185" s="256">
        <v>45098</v>
      </c>
      <c r="G185" s="159" t="s">
        <v>806</v>
      </c>
      <c r="H185" s="159" t="s">
        <v>1644</v>
      </c>
      <c r="I185" s="160">
        <v>45134</v>
      </c>
      <c r="J185" s="163">
        <v>0.5</v>
      </c>
      <c r="K185" s="159" t="s">
        <v>363</v>
      </c>
      <c r="L185" s="246"/>
      <c r="M185" s="160" t="s">
        <v>328</v>
      </c>
      <c r="N185" s="159" t="s">
        <v>355</v>
      </c>
      <c r="O185" s="159" t="s">
        <v>2034</v>
      </c>
      <c r="P185" s="159"/>
      <c r="Q185" s="159" t="s">
        <v>111</v>
      </c>
      <c r="R185" s="246"/>
      <c r="S185" s="159"/>
      <c r="T185" s="159"/>
      <c r="U185" s="159"/>
      <c r="V185" s="159" t="s">
        <v>345</v>
      </c>
      <c r="W185" s="159" t="s">
        <v>847</v>
      </c>
      <c r="X185" s="159" t="s">
        <v>111</v>
      </c>
      <c r="Y185" s="159" t="str">
        <f ca="1">IF(I185&lt;&gt;"",IF(I185&lt;=TODAY(),IF(OR(N185="REPROGRAMADA",N185="SUSPENDIDA",N185="EXCLUSION",N185="COLEGIADO"),"NO HECHA",IF(N185=" ","SINRESULTADO","SI")),"NO"),IF(N185="EXCLUSION","NO HECHA","LIMBO"))</f>
        <v>SI</v>
      </c>
      <c r="Z185" s="159" t="str">
        <f>IF($Z$1=I185,"DIASOL", "DIANOSOL")</f>
        <v>DIANOSOL</v>
      </c>
      <c r="AA185" s="159" t="s">
        <v>240</v>
      </c>
      <c r="AB185" s="159" t="s">
        <v>848</v>
      </c>
      <c r="AC185" s="159" t="str">
        <f>IF(H185=$M$1,"SI","NO")</f>
        <v>NO</v>
      </c>
      <c r="AD185" s="159"/>
      <c r="AE185" s="159"/>
      <c r="AF185" s="256">
        <v>45156</v>
      </c>
      <c r="AG185" s="159" t="str">
        <f>IF(COUNTIF(C185,"*preso*")&gt;0,"SI","NO")</f>
        <v>NO</v>
      </c>
      <c r="AH185" s="244">
        <f>NroOrden(N185)</f>
        <v>50</v>
      </c>
      <c r="AI185" s="159"/>
      <c r="AJ185" s="48" t="str">
        <f ca="1">IF(OR(Y185="NO",Y185="LIMBO"),"IMP","NOIMP")</f>
        <v>NOIMP</v>
      </c>
    </row>
    <row r="186" spans="1:36" ht="87" customHeight="1">
      <c r="A186" s="159">
        <v>162</v>
      </c>
      <c r="B186" s="160" t="s">
        <v>1087</v>
      </c>
      <c r="C186" s="208" t="s">
        <v>501</v>
      </c>
      <c r="D186" s="159" t="s">
        <v>1088</v>
      </c>
      <c r="E186" s="159" t="s">
        <v>383</v>
      </c>
      <c r="F186" s="256">
        <v>45114</v>
      </c>
      <c r="G186" s="159" t="s">
        <v>1064</v>
      </c>
      <c r="H186" s="159" t="s">
        <v>1641</v>
      </c>
      <c r="I186" s="160">
        <v>45134</v>
      </c>
      <c r="J186" s="160" t="s">
        <v>16</v>
      </c>
      <c r="K186" s="159" t="s">
        <v>403</v>
      </c>
      <c r="L186" s="246"/>
      <c r="M186" s="160" t="s">
        <v>331</v>
      </c>
      <c r="N186" s="159" t="s">
        <v>356</v>
      </c>
      <c r="O186" s="159" t="s">
        <v>2034</v>
      </c>
      <c r="P186" s="159"/>
      <c r="Q186" s="159" t="s">
        <v>111</v>
      </c>
      <c r="R186" s="246"/>
      <c r="S186" s="159" t="s">
        <v>374</v>
      </c>
      <c r="T186" s="159" t="s">
        <v>1090</v>
      </c>
      <c r="U186" s="159" t="s">
        <v>1091</v>
      </c>
      <c r="V186" s="159" t="s">
        <v>97</v>
      </c>
      <c r="W186" s="159" t="s">
        <v>180</v>
      </c>
      <c r="X186" s="159" t="s">
        <v>111</v>
      </c>
      <c r="Y186" s="159" t="str">
        <f ca="1">IF(I186&lt;&gt;"",IF(I186&lt;=TODAY(),IF(OR(N186="REPROGRAMADA",N186="SUSPENDIDA",N186="EXCLUSION",N186="COLEGIADO"),"NO HECHA",IF(N186=" ","SINRESULTADO","SI")),"NO"),IF(N186="EXCLUSION","NO HECHA","LIMBO"))</f>
        <v>SI</v>
      </c>
      <c r="Z186" s="159" t="str">
        <f>IF($Z$1=I186,"DIASOL", "DIANOSOL")</f>
        <v>DIANOSOL</v>
      </c>
      <c r="AA186" s="159" t="s">
        <v>240</v>
      </c>
      <c r="AB186" s="159"/>
      <c r="AC186" s="159" t="str">
        <f>IF(H186=$M$1,"SI","NO")</f>
        <v>NO</v>
      </c>
      <c r="AD186" s="159"/>
      <c r="AE186" s="159"/>
      <c r="AF186" s="256">
        <v>45114</v>
      </c>
      <c r="AG186" s="159" t="str">
        <f>IF(COUNTIF(C186,"*preso*")&gt;0,"SI","NO")</f>
        <v>SI</v>
      </c>
      <c r="AH186" s="244">
        <f>NroOrden(N186)</f>
        <v>50</v>
      </c>
      <c r="AI186" s="159" t="s">
        <v>1323</v>
      </c>
      <c r="AJ186" s="48" t="str">
        <f ca="1">IF(OR(Y186="NO",Y186="LIMBO"),"IMP","NOIMP")</f>
        <v>NOIMP</v>
      </c>
    </row>
    <row r="187" spans="1:36" ht="78" customHeight="1">
      <c r="A187" s="159">
        <v>146</v>
      </c>
      <c r="B187" s="185" t="s">
        <v>1113</v>
      </c>
      <c r="C187" s="210" t="s">
        <v>1114</v>
      </c>
      <c r="D187" s="184" t="s">
        <v>1115</v>
      </c>
      <c r="E187" s="184" t="s">
        <v>1116</v>
      </c>
      <c r="F187" s="256">
        <v>45124</v>
      </c>
      <c r="G187" s="184" t="s">
        <v>1117</v>
      </c>
      <c r="H187" s="184" t="s">
        <v>1638</v>
      </c>
      <c r="I187" s="185">
        <v>45134</v>
      </c>
      <c r="J187" s="185" t="s">
        <v>14</v>
      </c>
      <c r="K187" s="184" t="s">
        <v>365</v>
      </c>
      <c r="L187" s="246"/>
      <c r="M187" s="185" t="s">
        <v>332</v>
      </c>
      <c r="N187" s="159" t="s">
        <v>356</v>
      </c>
      <c r="O187" s="159" t="s">
        <v>2034</v>
      </c>
      <c r="P187" s="159" t="s">
        <v>1118</v>
      </c>
      <c r="Q187" s="159" t="s">
        <v>111</v>
      </c>
      <c r="R187" s="246"/>
      <c r="S187" s="159" t="s">
        <v>1121</v>
      </c>
      <c r="T187" s="159" t="s">
        <v>1122</v>
      </c>
      <c r="U187" s="159" t="s">
        <v>1123</v>
      </c>
      <c r="V187" s="184" t="s">
        <v>191</v>
      </c>
      <c r="W187" s="184" t="s">
        <v>1119</v>
      </c>
      <c r="X187" s="184" t="s">
        <v>111</v>
      </c>
      <c r="Y187" s="159" t="str">
        <f ca="1">IF(I187&lt;&gt;"",IF(I187&lt;=TODAY(),IF(OR(N187="REPROGRAMADA",N187="SUSPENDIDA",N187="EXCLUSION",N187="COLEGIADO"),"NO HECHA",IF(N187=" ","SINRESULTADO","SI")),"NO"),IF(N187="EXCLUSION","NO HECHA","LIMBO"))</f>
        <v>SI</v>
      </c>
      <c r="Z187" s="159" t="str">
        <f>IF($Z$1=I187,"DIASOL", "DIANOSOL")</f>
        <v>DIANOSOL</v>
      </c>
      <c r="AA187" s="184" t="s">
        <v>240</v>
      </c>
      <c r="AB187" s="184" t="s">
        <v>1120</v>
      </c>
      <c r="AC187" s="159" t="str">
        <f>IF(H187=$M$1,"SI","NO")</f>
        <v>NO</v>
      </c>
      <c r="AD187" s="159"/>
      <c r="AE187" s="159"/>
      <c r="AF187" s="256" t="s">
        <v>1533</v>
      </c>
      <c r="AG187" s="159" t="str">
        <f>IF(COUNTIF(C187,"*preso*")&gt;0,"SI","NO")</f>
        <v>SI</v>
      </c>
      <c r="AH187" s="244">
        <f>NroOrden(N187)</f>
        <v>50</v>
      </c>
      <c r="AI187" s="159" t="s">
        <v>956</v>
      </c>
      <c r="AJ187" s="48" t="str">
        <f ca="1">IF(OR(Y187="NO",Y187="LIMBO"),"IMP","NOIMP")</f>
        <v>NOIMP</v>
      </c>
    </row>
    <row r="188" spans="1:36" ht="70.5" customHeight="1">
      <c r="A188" s="159">
        <v>79</v>
      </c>
      <c r="B188" s="160" t="s">
        <v>835</v>
      </c>
      <c r="C188" s="209"/>
      <c r="D188" s="159" t="s">
        <v>836</v>
      </c>
      <c r="E188" s="159" t="s">
        <v>837</v>
      </c>
      <c r="F188" s="256">
        <v>46199</v>
      </c>
      <c r="G188" s="159" t="s">
        <v>806</v>
      </c>
      <c r="H188" s="159" t="s">
        <v>1641</v>
      </c>
      <c r="I188" s="160">
        <v>45139</v>
      </c>
      <c r="J188" s="163">
        <v>0.5</v>
      </c>
      <c r="K188" s="159" t="s">
        <v>362</v>
      </c>
      <c r="L188" s="246"/>
      <c r="M188" s="160" t="s">
        <v>329</v>
      </c>
      <c r="N188" s="159" t="s">
        <v>359</v>
      </c>
      <c r="O188" s="159" t="s">
        <v>2034</v>
      </c>
      <c r="P188" s="159"/>
      <c r="Q188" s="159" t="s">
        <v>111</v>
      </c>
      <c r="R188" s="246"/>
      <c r="S188" s="159"/>
      <c r="T188" s="159"/>
      <c r="U188" s="159"/>
      <c r="V188" s="159" t="s">
        <v>300</v>
      </c>
      <c r="W188" s="159" t="s">
        <v>118</v>
      </c>
      <c r="X188" s="159" t="s">
        <v>111</v>
      </c>
      <c r="Y188" s="159" t="str">
        <f ca="1">IF(I188&lt;&gt;"",IF(I188&lt;=TODAY(),IF(OR(N188="REPROGRAMADA",N188="SUSPENDIDA",N188="EXCLUSION",N188="COLEGIADO"),"NO HECHA",IF(N188=" ","SINRESULTADO","SI")),"NO"),IF(N188="EXCLUSION","NO HECHA","LIMBO"))</f>
        <v>SI</v>
      </c>
      <c r="Z188" s="159" t="str">
        <f>IF($Z$1=I188,"DIASOL", "DIANOSOL")</f>
        <v>DIANOSOL</v>
      </c>
      <c r="AA188" s="159" t="s">
        <v>240</v>
      </c>
      <c r="AB188" s="159" t="s">
        <v>838</v>
      </c>
      <c r="AC188" s="159" t="str">
        <f>IF(H188=$M$1,"SI","NO")</f>
        <v>NO</v>
      </c>
      <c r="AD188" s="159"/>
      <c r="AE188" s="159"/>
      <c r="AF188" s="256">
        <v>45156</v>
      </c>
      <c r="AG188" s="159" t="str">
        <f>IF(COUNTIF(C188,"*preso*")&gt;0,"SI","NO")</f>
        <v>NO</v>
      </c>
      <c r="AH188" s="244">
        <f>NroOrden(N188)</f>
        <v>50</v>
      </c>
      <c r="AI188" s="159" t="s">
        <v>1426</v>
      </c>
      <c r="AJ188" s="48" t="str">
        <f ca="1">IF(OR(Y188="NO",Y188="LIMBO"),"IMP","NOIMP")</f>
        <v>NOIMP</v>
      </c>
    </row>
    <row r="189" spans="1:36" ht="153" customHeight="1">
      <c r="A189" s="159">
        <v>134</v>
      </c>
      <c r="B189" s="185" t="s">
        <v>1053</v>
      </c>
      <c r="C189" s="210" t="s">
        <v>501</v>
      </c>
      <c r="D189" s="184" t="s">
        <v>1054</v>
      </c>
      <c r="E189" s="184" t="s">
        <v>1055</v>
      </c>
      <c r="F189" s="256">
        <v>45112</v>
      </c>
      <c r="G189" s="184" t="s">
        <v>1009</v>
      </c>
      <c r="H189" s="184" t="s">
        <v>1644</v>
      </c>
      <c r="I189" s="185">
        <v>45139</v>
      </c>
      <c r="J189" s="185" t="s">
        <v>14</v>
      </c>
      <c r="K189" s="184" t="s">
        <v>403</v>
      </c>
      <c r="L189" s="246"/>
      <c r="M189" s="185" t="s">
        <v>329</v>
      </c>
      <c r="N189" s="159" t="s">
        <v>355</v>
      </c>
      <c r="O189" s="159" t="s">
        <v>2034</v>
      </c>
      <c r="P189" s="159" t="s">
        <v>1330</v>
      </c>
      <c r="Q189" s="159" t="s">
        <v>111</v>
      </c>
      <c r="R189" s="246"/>
      <c r="S189" s="159" t="s">
        <v>374</v>
      </c>
      <c r="T189" s="256" t="s">
        <v>1058</v>
      </c>
      <c r="U189" s="159" t="s">
        <v>1059</v>
      </c>
      <c r="V189" s="184" t="s">
        <v>345</v>
      </c>
      <c r="W189" s="184" t="s">
        <v>1056</v>
      </c>
      <c r="X189" s="184" t="s">
        <v>111</v>
      </c>
      <c r="Y189" s="159" t="str">
        <f ca="1">IF(I189&lt;&gt;"",IF(I189&lt;=TODAY(),IF(OR(N189="REPROGRAMADA",N189="SUSPENDIDA",N189="EXCLUSION",N189="COLEGIADO"),"NO HECHA",IF(N189=" ","SINRESULTADO","SI")),"NO"),IF(N189="EXCLUSION","NO HECHA","LIMBO"))</f>
        <v>SI</v>
      </c>
      <c r="Z189" s="159" t="str">
        <f>IF($Z$1=I189,"DIASOL", "DIANOSOL")</f>
        <v>DIANOSOL</v>
      </c>
      <c r="AA189" s="184" t="s">
        <v>240</v>
      </c>
      <c r="AB189" s="184" t="s">
        <v>1057</v>
      </c>
      <c r="AC189" s="159" t="str">
        <f>IF(H189=$M$1,"SI","NO")</f>
        <v>NO</v>
      </c>
      <c r="AD189" s="159"/>
      <c r="AE189" s="159"/>
      <c r="AF189" s="256">
        <v>45152</v>
      </c>
      <c r="AG189" s="159" t="str">
        <f>IF(COUNTIF(C189,"*preso*")&gt;0,"SI","NO")</f>
        <v>SI</v>
      </c>
      <c r="AH189" s="244">
        <f>NroOrden(N189)</f>
        <v>50</v>
      </c>
      <c r="AI189" s="159" t="s">
        <v>1331</v>
      </c>
      <c r="AJ189" s="48" t="str">
        <f ca="1">IF(OR(Y189="NO",Y189="LIMBO"),"IMP","NOIMP")</f>
        <v>NOIMP</v>
      </c>
    </row>
    <row r="190" spans="1:36" ht="70.5" customHeight="1">
      <c r="A190" s="159">
        <v>68</v>
      </c>
      <c r="B190" s="160" t="s">
        <v>769</v>
      </c>
      <c r="C190" s="209"/>
      <c r="D190" s="159" t="s">
        <v>770</v>
      </c>
      <c r="E190" s="159" t="s">
        <v>771</v>
      </c>
      <c r="F190" s="256">
        <v>45093</v>
      </c>
      <c r="G190" s="159" t="s">
        <v>772</v>
      </c>
      <c r="H190" s="159" t="s">
        <v>1638</v>
      </c>
      <c r="I190" s="160">
        <v>45140</v>
      </c>
      <c r="J190" s="163">
        <v>0.5</v>
      </c>
      <c r="K190" s="159" t="s">
        <v>365</v>
      </c>
      <c r="L190" s="246"/>
      <c r="M190" s="160" t="s">
        <v>331</v>
      </c>
      <c r="N190" s="159" t="s">
        <v>358</v>
      </c>
      <c r="O190" s="159" t="s">
        <v>2034</v>
      </c>
      <c r="P190" s="159" t="s">
        <v>1338</v>
      </c>
      <c r="Q190" s="159" t="s">
        <v>111</v>
      </c>
      <c r="R190" s="246"/>
      <c r="S190" s="159"/>
      <c r="T190" s="159"/>
      <c r="U190" s="159"/>
      <c r="V190" s="159" t="s">
        <v>185</v>
      </c>
      <c r="W190" s="159" t="s">
        <v>118</v>
      </c>
      <c r="X190" s="159" t="s">
        <v>111</v>
      </c>
      <c r="Y190" s="159" t="str">
        <f ca="1">IF(I190&lt;&gt;"",IF(I190&lt;=TODAY(),IF(OR(N190="REPROGRAMADA",N190="SUSPENDIDA",N190="EXCLUSION",N190="COLEGIADO"),"NO HECHA",IF(N190=" ","SINRESULTADO","SI")),"NO"),IF(N190="EXCLUSION","NO HECHA","LIMBO"))</f>
        <v>SI</v>
      </c>
      <c r="Z190" s="159" t="str">
        <f>IF($Z$1=I190,"DIASOL", "DIANOSOL")</f>
        <v>DIANOSOL</v>
      </c>
      <c r="AA190" s="159" t="s">
        <v>240</v>
      </c>
      <c r="AB190" s="159" t="s">
        <v>773</v>
      </c>
      <c r="AC190" s="159" t="str">
        <f>IF(H190=$M$1,"SI","NO")</f>
        <v>NO</v>
      </c>
      <c r="AD190" s="159"/>
      <c r="AE190" s="159"/>
      <c r="AF190" s="256">
        <v>45140</v>
      </c>
      <c r="AG190" s="159" t="str">
        <f>IF(COUNTIF(C190,"*preso*")&gt;0,"SI","NO")</f>
        <v>NO</v>
      </c>
      <c r="AH190" s="244">
        <f>NroOrden(N190)</f>
        <v>50</v>
      </c>
      <c r="AI190" s="159" t="s">
        <v>1339</v>
      </c>
      <c r="AJ190" s="48" t="str">
        <f ca="1">IF(OR(Y190="NO",Y190="LIMBO"),"IMP","NOIMP")</f>
        <v>NOIMP</v>
      </c>
    </row>
    <row r="191" spans="1:36" ht="117" customHeight="1">
      <c r="A191" s="159">
        <v>50</v>
      </c>
      <c r="B191" s="185" t="s">
        <v>683</v>
      </c>
      <c r="C191" s="285"/>
      <c r="D191" s="184" t="s">
        <v>684</v>
      </c>
      <c r="E191" s="184" t="s">
        <v>685</v>
      </c>
      <c r="F191" s="256">
        <v>45089</v>
      </c>
      <c r="G191" s="184" t="s">
        <v>686</v>
      </c>
      <c r="H191" s="184" t="s">
        <v>1638</v>
      </c>
      <c r="I191" s="185">
        <v>45142</v>
      </c>
      <c r="J191" s="289">
        <v>0.39583333333333331</v>
      </c>
      <c r="K191" s="184" t="s">
        <v>363</v>
      </c>
      <c r="L191" s="246"/>
      <c r="M191" s="185" t="s">
        <v>330</v>
      </c>
      <c r="N191" s="159" t="s">
        <v>357</v>
      </c>
      <c r="O191" s="159" t="s">
        <v>2034</v>
      </c>
      <c r="P191" s="340"/>
      <c r="Q191" s="159" t="s">
        <v>329</v>
      </c>
      <c r="R191" s="246"/>
      <c r="S191" s="159"/>
      <c r="T191" s="159"/>
      <c r="U191" s="159"/>
      <c r="V191" s="184" t="s">
        <v>194</v>
      </c>
      <c r="W191" s="184" t="s">
        <v>687</v>
      </c>
      <c r="X191" s="159" t="s">
        <v>688</v>
      </c>
      <c r="Y191" s="159" t="str">
        <f ca="1">IF(I191&lt;&gt;"",IF(I191&lt;=TODAY(),IF(OR(N191="REPROGRAMADA",N191="SUSPENDIDA",N191="EXCLUSION",N191="COLEGIADO"),"NO HECHA",IF(N191=" ","SINRESULTADO","SI")),"NO"),IF(N191="EXCLUSION","NO HECHA","LIMBO"))</f>
        <v>SI</v>
      </c>
      <c r="Z191" s="159" t="str">
        <f>IF($Z$1=I191,"DIASOL", "DIANOSOL")</f>
        <v>DIANOSOL</v>
      </c>
      <c r="AA191" s="159" t="s">
        <v>240</v>
      </c>
      <c r="AB191" s="159"/>
      <c r="AC191" s="159" t="str">
        <f>IF(H191=$M$1,"SI","NO")</f>
        <v>NO</v>
      </c>
      <c r="AD191" s="159"/>
      <c r="AE191" s="159"/>
      <c r="AF191" s="256">
        <v>45152</v>
      </c>
      <c r="AG191" s="159" t="str">
        <f>IF(COUNTIF(C191,"*preso*")&gt;0,"SI","NO")</f>
        <v>NO</v>
      </c>
      <c r="AH191" s="244">
        <f>NroOrden(N191)</f>
        <v>50</v>
      </c>
      <c r="AI191" s="159"/>
      <c r="AJ191" s="48" t="str">
        <f ca="1">IF(OR(Y191="NO",Y191="LIMBO"),"IMP","NOIMP")</f>
        <v>NOIMP</v>
      </c>
    </row>
    <row r="192" spans="1:36" ht="157.5" customHeight="1">
      <c r="A192" s="142">
        <v>48</v>
      </c>
      <c r="B192" s="143" t="s">
        <v>670</v>
      </c>
      <c r="C192" s="338"/>
      <c r="D192" s="142" t="s">
        <v>671</v>
      </c>
      <c r="E192" s="142" t="s">
        <v>672</v>
      </c>
      <c r="F192" s="158">
        <v>45090</v>
      </c>
      <c r="G192" s="142" t="s">
        <v>673</v>
      </c>
      <c r="H192" s="142"/>
      <c r="I192" s="143">
        <v>45142</v>
      </c>
      <c r="J192" s="339">
        <v>0.5625</v>
      </c>
      <c r="K192" s="144" t="s">
        <v>365</v>
      </c>
      <c r="L192" s="214"/>
      <c r="M192" s="143" t="s">
        <v>331</v>
      </c>
      <c r="N192" s="142" t="s">
        <v>378</v>
      </c>
      <c r="O192" s="142" t="s">
        <v>2036</v>
      </c>
      <c r="P192" s="179" t="s">
        <v>1379</v>
      </c>
      <c r="Q192" s="144" t="s">
        <v>111</v>
      </c>
      <c r="R192" s="214"/>
      <c r="S192" s="142"/>
      <c r="T192" s="144"/>
      <c r="U192" s="144"/>
      <c r="V192" s="142" t="s">
        <v>347</v>
      </c>
      <c r="W192" s="142" t="s">
        <v>674</v>
      </c>
      <c r="X192" s="142" t="s">
        <v>111</v>
      </c>
      <c r="Y192" s="189" t="str">
        <f ca="1">IF(I192&lt;&gt;"",IF(I192&lt;=TODAY(),IF(OR(N192="REPROGRAMADA",N192="SUSPENDIDA",N192="EXCLUSION",N192="COLEGIADO"),"NO HECHA",IF(N192=" ","SINRESULTADO","SI")),"NO"),IF(N192="EXCLUSION","NO HECHA","LIMBO"))</f>
        <v>SI</v>
      </c>
      <c r="Z192" s="142" t="str">
        <f>IF($Z$1=I192,"DIASOL", "DIANOSOL")</f>
        <v>DIANOSOL</v>
      </c>
      <c r="AA192" s="142" t="s">
        <v>240</v>
      </c>
      <c r="AB192" s="142" t="s">
        <v>675</v>
      </c>
      <c r="AC192" s="145" t="str">
        <f>IF(H192=$M$1,"SI","NO")</f>
        <v>NO</v>
      </c>
      <c r="AD192" s="145"/>
      <c r="AE192" s="158">
        <v>45083</v>
      </c>
      <c r="AF192" s="158">
        <v>45154</v>
      </c>
      <c r="AG192" s="144" t="str">
        <f>IF(COUNTIF(C192,"*preso*")&gt;0,"SI","NO")</f>
        <v>NO</v>
      </c>
      <c r="AH192" s="244">
        <f>NroOrden(N192)</f>
        <v>50</v>
      </c>
      <c r="AI192" s="144" t="s">
        <v>669</v>
      </c>
      <c r="AJ192" s="48" t="str">
        <f ca="1">IF(OR(Y192="NO",Y192="LIMBO"),"IMP","NOIMP")</f>
        <v>NOIMP</v>
      </c>
    </row>
    <row r="193" spans="1:36" ht="161.25" customHeight="1">
      <c r="A193" s="159">
        <v>160</v>
      </c>
      <c r="B193" s="160" t="s">
        <v>1324</v>
      </c>
      <c r="C193" s="208" t="s">
        <v>501</v>
      </c>
      <c r="D193" s="159" t="s">
        <v>1325</v>
      </c>
      <c r="E193" s="159" t="s">
        <v>951</v>
      </c>
      <c r="F193" s="256">
        <v>45114</v>
      </c>
      <c r="G193" s="159" t="s">
        <v>1064</v>
      </c>
      <c r="H193" s="159" t="s">
        <v>1645</v>
      </c>
      <c r="I193" s="160">
        <v>45142</v>
      </c>
      <c r="J193" s="160" t="s">
        <v>14</v>
      </c>
      <c r="K193" s="159" t="s">
        <v>403</v>
      </c>
      <c r="L193" s="246"/>
      <c r="M193" s="160" t="s">
        <v>333</v>
      </c>
      <c r="N193" s="159" t="s">
        <v>355</v>
      </c>
      <c r="O193" s="159" t="s">
        <v>2034</v>
      </c>
      <c r="P193" s="159" t="s">
        <v>1327</v>
      </c>
      <c r="Q193" s="159" t="s">
        <v>111</v>
      </c>
      <c r="R193" s="246"/>
      <c r="S193" s="159"/>
      <c r="T193" s="159"/>
      <c r="U193" s="159"/>
      <c r="V193" s="159" t="s">
        <v>339</v>
      </c>
      <c r="W193" s="159" t="s">
        <v>202</v>
      </c>
      <c r="X193" s="159" t="s">
        <v>111</v>
      </c>
      <c r="Y193" s="159" t="str">
        <f ca="1">IF(I193&lt;&gt;"",IF(I193&lt;=TODAY(),IF(OR(N193="REPROGRAMADA",N193="SUSPENDIDA",N193="EXCLUSION",N193="COLEGIADO"),"NO HECHA",IF(N193=" ","SINRESULTADO","SI")),"NO"),IF(N193="EXCLUSION","NO HECHA","LIMBO"))</f>
        <v>SI</v>
      </c>
      <c r="Z193" s="159" t="str">
        <f>IF($Z$1=I193,"DIASOL", "DIANOSOL")</f>
        <v>DIANOSOL</v>
      </c>
      <c r="AA193" s="159" t="s">
        <v>240</v>
      </c>
      <c r="AB193" s="159" t="s">
        <v>1328</v>
      </c>
      <c r="AC193" s="159" t="str">
        <f>IF(H193=$M$1,"SI","NO")</f>
        <v>NO</v>
      </c>
      <c r="AD193" s="159"/>
      <c r="AE193" s="159"/>
      <c r="AF193" s="256">
        <v>45152</v>
      </c>
      <c r="AG193" s="159" t="str">
        <f>IF(COUNTIF(C193,"*preso*")&gt;0,"SI","NO")</f>
        <v>SI</v>
      </c>
      <c r="AH193" s="244">
        <f>NroOrden(N193)</f>
        <v>50</v>
      </c>
      <c r="AI193" s="159" t="s">
        <v>1329</v>
      </c>
      <c r="AJ193" s="48" t="str">
        <f ca="1">IF(OR(Y193="NO",Y193="LIMBO"),"IMP","NOIMP")</f>
        <v>NOIMP</v>
      </c>
    </row>
    <row r="194" spans="1:36" ht="39.950000000000003" customHeight="1">
      <c r="A194" s="159">
        <v>96</v>
      </c>
      <c r="B194" s="185" t="s">
        <v>930</v>
      </c>
      <c r="C194" s="285" t="s">
        <v>501</v>
      </c>
      <c r="D194" s="184" t="s">
        <v>931</v>
      </c>
      <c r="E194" s="184" t="s">
        <v>383</v>
      </c>
      <c r="F194" s="256">
        <v>45104</v>
      </c>
      <c r="G194" s="184" t="s">
        <v>924</v>
      </c>
      <c r="H194" s="184" t="s">
        <v>1641</v>
      </c>
      <c r="I194" s="185">
        <v>45145</v>
      </c>
      <c r="J194" s="289">
        <v>0.4375</v>
      </c>
      <c r="K194" s="184" t="s">
        <v>363</v>
      </c>
      <c r="L194" s="246"/>
      <c r="M194" s="185" t="s">
        <v>329</v>
      </c>
      <c r="N194" s="159" t="s">
        <v>357</v>
      </c>
      <c r="O194" s="159" t="s">
        <v>2034</v>
      </c>
      <c r="P194" s="159"/>
      <c r="Q194" s="159" t="s">
        <v>328</v>
      </c>
      <c r="R194" s="246"/>
      <c r="S194" s="159"/>
      <c r="T194" s="159"/>
      <c r="U194" s="159"/>
      <c r="V194" s="184" t="s">
        <v>97</v>
      </c>
      <c r="W194" s="184" t="s">
        <v>169</v>
      </c>
      <c r="X194" s="159" t="s">
        <v>111</v>
      </c>
      <c r="Y194" s="159" t="str">
        <f ca="1">IF(I194&lt;&gt;"",IF(I194&lt;=TODAY(),IF(OR(N194="REPROGRAMADA",N194="SUSPENDIDA",N194="EXCLUSION",N194="COLEGIADO"),"NO HECHA",IF(N194=" ","SINRESULTADO","SI")),"NO"),IF(N194="EXCLUSION","NO HECHA","LIMBO"))</f>
        <v>SI</v>
      </c>
      <c r="Z194" s="159" t="str">
        <f>IF($Z$1=I194,"DIASOL", "DIANOSOL")</f>
        <v>DIANOSOL</v>
      </c>
      <c r="AA194" s="159" t="s">
        <v>240</v>
      </c>
      <c r="AB194" s="159"/>
      <c r="AC194" s="159" t="str">
        <f>IF(H194=$M$1,"SI","NO")</f>
        <v>NO</v>
      </c>
      <c r="AD194" s="159"/>
      <c r="AE194" s="159"/>
      <c r="AF194" s="256">
        <v>45152</v>
      </c>
      <c r="AG194" s="159" t="str">
        <f>IF(COUNTIF(C194,"*preso*")&gt;0,"SI","NO")</f>
        <v>SI</v>
      </c>
      <c r="AH194" s="244">
        <f>NroOrden(N194)</f>
        <v>50</v>
      </c>
      <c r="AI194" s="159"/>
      <c r="AJ194" s="48" t="str">
        <f ca="1">IF(OR(Y194="NO",Y194="LIMBO"),"IMP","NOIMP")</f>
        <v>NOIMP</v>
      </c>
    </row>
    <row r="195" spans="1:36" ht="39.950000000000003" customHeight="1">
      <c r="A195" s="159">
        <v>163</v>
      </c>
      <c r="B195" s="185" t="s">
        <v>650</v>
      </c>
      <c r="C195" s="210"/>
      <c r="D195" s="184" t="s">
        <v>651</v>
      </c>
      <c r="E195" s="184" t="s">
        <v>652</v>
      </c>
      <c r="F195" s="256">
        <v>45091</v>
      </c>
      <c r="G195" s="184" t="s">
        <v>653</v>
      </c>
      <c r="H195" s="184" t="s">
        <v>1638</v>
      </c>
      <c r="I195" s="185">
        <v>45145</v>
      </c>
      <c r="J195" s="185" t="s">
        <v>282</v>
      </c>
      <c r="K195" s="184" t="s">
        <v>403</v>
      </c>
      <c r="L195" s="246"/>
      <c r="M195" s="185" t="s">
        <v>331</v>
      </c>
      <c r="N195" s="159" t="s">
        <v>355</v>
      </c>
      <c r="O195" s="159" t="s">
        <v>2034</v>
      </c>
      <c r="P195" s="159" t="s">
        <v>1321</v>
      </c>
      <c r="Q195" s="159" t="s">
        <v>111</v>
      </c>
      <c r="R195" s="246"/>
      <c r="S195" s="159"/>
      <c r="T195" s="159"/>
      <c r="U195" s="159"/>
      <c r="V195" s="184" t="s">
        <v>186</v>
      </c>
      <c r="W195" s="184" t="s">
        <v>654</v>
      </c>
      <c r="X195" s="184" t="s">
        <v>111</v>
      </c>
      <c r="Y195" s="159" t="str">
        <f ca="1">IF(I195&lt;&gt;"",IF(I195&lt;=TODAY(),IF(OR(N195="REPROGRAMADA",N195="SUSPENDIDA",N195="EXCLUSION",N195="COLEGIADO"),"NO HECHA",IF(N195=" ","SINRESULTADO","SI")),"NO"),IF(N195="EXCLUSION","NO HECHA","LIMBO"))</f>
        <v>SI</v>
      </c>
      <c r="Z195" s="184" t="str">
        <f>IF($Z$1=I195,"DIASOL", "DIANOSOL")</f>
        <v>DIANOSOL</v>
      </c>
      <c r="AA195" s="184" t="s">
        <v>240</v>
      </c>
      <c r="AB195" s="184" t="s">
        <v>655</v>
      </c>
      <c r="AC195" s="159" t="str">
        <f>IF(H195=$M$1,"SI","NO")</f>
        <v>NO</v>
      </c>
      <c r="AD195" s="159"/>
      <c r="AE195" s="159"/>
      <c r="AF195" s="256">
        <v>45152</v>
      </c>
      <c r="AG195" s="159" t="str">
        <f>IF(COUNTIF(C195,"*preso*")&gt;0,"SI","NO")</f>
        <v>NO</v>
      </c>
      <c r="AH195" s="244">
        <f>NroOrden(N195)</f>
        <v>50</v>
      </c>
      <c r="AI195" s="159" t="s">
        <v>1322</v>
      </c>
      <c r="AJ195" s="48" t="str">
        <f ca="1">IF(OR(Y195="NO",Y195="LIMBO"),"IMP","NOIMP")</f>
        <v>NOIMP</v>
      </c>
    </row>
    <row r="196" spans="1:36" ht="39.950000000000003" customHeight="1">
      <c r="A196" s="159">
        <v>88</v>
      </c>
      <c r="B196" s="160" t="s">
        <v>883</v>
      </c>
      <c r="C196" s="209"/>
      <c r="D196" s="159" t="s">
        <v>884</v>
      </c>
      <c r="E196" s="159" t="s">
        <v>885</v>
      </c>
      <c r="F196" s="256">
        <v>45104</v>
      </c>
      <c r="G196" s="159" t="s">
        <v>860</v>
      </c>
      <c r="H196" s="159" t="s">
        <v>1644</v>
      </c>
      <c r="I196" s="160">
        <v>45147</v>
      </c>
      <c r="J196" s="163">
        <v>0.52083333333333337</v>
      </c>
      <c r="K196" s="159" t="s">
        <v>365</v>
      </c>
      <c r="L196" s="246"/>
      <c r="M196" s="160" t="s">
        <v>332</v>
      </c>
      <c r="N196" s="159" t="s">
        <v>357</v>
      </c>
      <c r="O196" s="159" t="s">
        <v>2034</v>
      </c>
      <c r="P196" s="159"/>
      <c r="Q196" s="159" t="s">
        <v>333</v>
      </c>
      <c r="R196" s="246"/>
      <c r="S196" s="159"/>
      <c r="T196" s="159"/>
      <c r="U196" s="159"/>
      <c r="V196" s="159" t="s">
        <v>189</v>
      </c>
      <c r="W196" s="159" t="s">
        <v>117</v>
      </c>
      <c r="X196" s="159" t="s">
        <v>111</v>
      </c>
      <c r="Y196" s="159" t="str">
        <f ca="1">IF(I196&lt;&gt;"",IF(I196&lt;=TODAY(),IF(OR(N196="REPROGRAMADA",N196="SUSPENDIDA",N196="EXCLUSION",N196="COLEGIADO"),"NO HECHA",IF(N196=" ","SINRESULTADO","SI")),"NO"),IF(N196="EXCLUSION","NO HECHA","LIMBO"))</f>
        <v>SI</v>
      </c>
      <c r="Z196" s="159" t="str">
        <f>IF($Z$1=I196,"DIASOL", "DIANOSOL")</f>
        <v>DIANOSOL</v>
      </c>
      <c r="AA196" s="159" t="s">
        <v>240</v>
      </c>
      <c r="AB196" s="159" t="s">
        <v>886</v>
      </c>
      <c r="AC196" s="159" t="str">
        <f>IF(H196=$M$1,"SI","NO")</f>
        <v>NO</v>
      </c>
      <c r="AD196" s="159"/>
      <c r="AE196" s="159"/>
      <c r="AF196" s="256">
        <v>45153</v>
      </c>
      <c r="AG196" s="159" t="str">
        <f>IF(COUNTIF(C196,"*preso*")&gt;0,"SI","NO")</f>
        <v>NO</v>
      </c>
      <c r="AH196" s="244">
        <f>NroOrden(N196)</f>
        <v>50</v>
      </c>
      <c r="AI196" s="159"/>
      <c r="AJ196" s="48" t="str">
        <f ca="1">IF(OR(Y196="NO",Y196="LIMBO"),"IMP","NOIMP")</f>
        <v>NOIMP</v>
      </c>
    </row>
    <row r="197" spans="1:36" ht="39.950000000000003" customHeight="1">
      <c r="A197" s="159">
        <v>128</v>
      </c>
      <c r="B197" s="160" t="s">
        <v>1024</v>
      </c>
      <c r="C197" s="208"/>
      <c r="D197" s="159" t="s">
        <v>1025</v>
      </c>
      <c r="E197" s="159" t="s">
        <v>1022</v>
      </c>
      <c r="F197" s="256">
        <v>45105</v>
      </c>
      <c r="G197" s="159" t="s">
        <v>924</v>
      </c>
      <c r="H197" s="159" t="s">
        <v>1641</v>
      </c>
      <c r="I197" s="160">
        <v>45147</v>
      </c>
      <c r="J197" s="160" t="s">
        <v>396</v>
      </c>
      <c r="K197" s="159" t="s">
        <v>363</v>
      </c>
      <c r="L197" s="246"/>
      <c r="M197" s="160" t="s">
        <v>328</v>
      </c>
      <c r="N197" s="159" t="s">
        <v>355</v>
      </c>
      <c r="O197" s="159" t="s">
        <v>2034</v>
      </c>
      <c r="P197" s="159" t="s">
        <v>1427</v>
      </c>
      <c r="Q197" s="159" t="s">
        <v>111</v>
      </c>
      <c r="R197" s="246"/>
      <c r="S197" s="159"/>
      <c r="T197" s="159"/>
      <c r="U197" s="159"/>
      <c r="V197" s="159" t="s">
        <v>345</v>
      </c>
      <c r="W197" s="159" t="s">
        <v>133</v>
      </c>
      <c r="X197" s="159" t="s">
        <v>111</v>
      </c>
      <c r="Y197" s="159" t="str">
        <f ca="1">IF(I197&lt;&gt;"",IF(I197&lt;=TODAY(),IF(OR(N197="REPROGRAMADA",N197="SUSPENDIDA",N197="EXCLUSION",N197="COLEGIADO"),"NO HECHA",IF(N197=" ","SINRESULTADO","SI")),"NO"),IF(N197="EXCLUSION","NO HECHA","LIMBO"))</f>
        <v>SI</v>
      </c>
      <c r="Z197" s="245" t="str">
        <f>IF($Z$1=I197,"DIASOL", "DIANOSOL")</f>
        <v>DIANOSOL</v>
      </c>
      <c r="AA197" s="159" t="s">
        <v>240</v>
      </c>
      <c r="AB197" s="159" t="s">
        <v>1026</v>
      </c>
      <c r="AC197" s="247" t="str">
        <f>IF(H197=$M$1,"SI","NO")</f>
        <v>NO</v>
      </c>
      <c r="AD197" s="247"/>
      <c r="AE197" s="256">
        <v>45063</v>
      </c>
      <c r="AF197" s="256">
        <v>45156</v>
      </c>
      <c r="AG197" s="168" t="str">
        <f>IF(COUNTIF(C197,"*preso*")&gt;0,"SI","NO")</f>
        <v>NO</v>
      </c>
      <c r="AH197" s="244">
        <f>NroOrden(N197)</f>
        <v>50</v>
      </c>
      <c r="AI197" s="159"/>
      <c r="AJ197" s="48" t="str">
        <f ca="1">IF(OR(Y197="NO",Y197="LIMBO"),"IMP","NOIMP")</f>
        <v>NOIMP</v>
      </c>
    </row>
    <row r="198" spans="1:36" ht="39.950000000000003" customHeight="1">
      <c r="A198" s="159">
        <v>131</v>
      </c>
      <c r="B198" s="160" t="s">
        <v>1037</v>
      </c>
      <c r="C198" s="208"/>
      <c r="D198" s="159" t="s">
        <v>1038</v>
      </c>
      <c r="E198" s="159" t="s">
        <v>1039</v>
      </c>
      <c r="F198" s="256">
        <v>45111</v>
      </c>
      <c r="G198" s="159" t="s">
        <v>1004</v>
      </c>
      <c r="H198" s="159" t="s">
        <v>1644</v>
      </c>
      <c r="I198" s="160">
        <v>45148</v>
      </c>
      <c r="J198" s="160" t="s">
        <v>282</v>
      </c>
      <c r="K198" s="159" t="s">
        <v>362</v>
      </c>
      <c r="L198" s="246"/>
      <c r="M198" s="160" t="s">
        <v>328</v>
      </c>
      <c r="N198" s="159" t="s">
        <v>359</v>
      </c>
      <c r="O198" s="159" t="s">
        <v>2034</v>
      </c>
      <c r="P198" s="159" t="s">
        <v>1334</v>
      </c>
      <c r="Q198" s="159" t="s">
        <v>111</v>
      </c>
      <c r="R198" s="246"/>
      <c r="S198" s="159"/>
      <c r="T198" s="159"/>
      <c r="U198" s="159"/>
      <c r="V198" s="159" t="s">
        <v>182</v>
      </c>
      <c r="W198" s="159" t="s">
        <v>1040</v>
      </c>
      <c r="X198" s="159" t="s">
        <v>111</v>
      </c>
      <c r="Y198" s="159" t="str">
        <f ca="1">IF(I198&lt;&gt;"",IF(I198&lt;=TODAY(),IF(OR(N198="REPROGRAMADA",N198="SUSPENDIDA",N198="EXCLUSION",N198="COLEGIADO"),"NO HECHA",IF(N198=" ","SINRESULTADO","SI")),"NO"),IF(N198="EXCLUSION","NO HECHA","LIMBO"))</f>
        <v>SI</v>
      </c>
      <c r="Z198" s="159" t="str">
        <f>IF($Z$1=I198,"DIASOL", "DIANOSOL")</f>
        <v>DIANOSOL</v>
      </c>
      <c r="AA198" s="159" t="s">
        <v>240</v>
      </c>
      <c r="AB198" s="159" t="s">
        <v>1041</v>
      </c>
      <c r="AC198" s="159" t="str">
        <f>IF(H198=$M$1,"SI","NO")</f>
        <v>NO</v>
      </c>
      <c r="AD198" s="159"/>
      <c r="AE198" s="256">
        <v>45107</v>
      </c>
      <c r="AF198" s="256">
        <v>45161</v>
      </c>
      <c r="AG198" s="159" t="str">
        <f>IF(COUNTIF(C198,"*preso*")&gt;0,"SI","NO")</f>
        <v>NO</v>
      </c>
      <c r="AH198" s="244">
        <f>NroOrden(N198)</f>
        <v>50</v>
      </c>
      <c r="AI198" s="159" t="s">
        <v>1435</v>
      </c>
      <c r="AJ198" s="48" t="str">
        <f ca="1">IF(OR(Y198="NO",Y198="LIMBO"),"IMP","NOIMP")</f>
        <v>NOIMP</v>
      </c>
    </row>
    <row r="199" spans="1:36" ht="39.950000000000003" customHeight="1">
      <c r="A199" s="159">
        <v>110</v>
      </c>
      <c r="B199" s="160" t="s">
        <v>588</v>
      </c>
      <c r="C199" s="208"/>
      <c r="D199" s="159" t="s">
        <v>589</v>
      </c>
      <c r="E199" s="159" t="s">
        <v>590</v>
      </c>
      <c r="F199" s="256">
        <v>45085</v>
      </c>
      <c r="G199" s="159" t="s">
        <v>591</v>
      </c>
      <c r="H199" s="159" t="s">
        <v>1638</v>
      </c>
      <c r="I199" s="160">
        <v>45148</v>
      </c>
      <c r="J199" s="160" t="s">
        <v>396</v>
      </c>
      <c r="K199" s="159" t="s">
        <v>365</v>
      </c>
      <c r="L199" s="246"/>
      <c r="M199" s="160" t="s">
        <v>332</v>
      </c>
      <c r="N199" s="159" t="s">
        <v>357</v>
      </c>
      <c r="O199" s="159" t="s">
        <v>2034</v>
      </c>
      <c r="P199" s="159"/>
      <c r="Q199" s="159" t="s">
        <v>333</v>
      </c>
      <c r="R199" s="246"/>
      <c r="S199" s="159"/>
      <c r="T199" s="159"/>
      <c r="U199" s="159"/>
      <c r="V199" s="159" t="s">
        <v>345</v>
      </c>
      <c r="W199" s="159" t="s">
        <v>593</v>
      </c>
      <c r="X199" s="159" t="s">
        <v>111</v>
      </c>
      <c r="Y199" s="159" t="str">
        <f ca="1">IF(I199&lt;&gt;"",IF(I199&lt;=TODAY(),IF(OR(N199="REPROGRAMADA",N199="SUSPENDIDA",N199="EXCLUSION",N199="COLEGIADO"),"NO HECHA",IF(N199=" ","SINRESULTADO","SI")),"NO"),IF(N199="EXCLUSION","NO HECHA","LIMBO"))</f>
        <v>SI</v>
      </c>
      <c r="Z199" s="159" t="str">
        <f>IF($Z$1=I199,"DIASOL", "DIANOSOL")</f>
        <v>DIANOSOL</v>
      </c>
      <c r="AA199" s="159" t="s">
        <v>240</v>
      </c>
      <c r="AB199" s="159" t="s">
        <v>594</v>
      </c>
      <c r="AC199" s="159" t="str">
        <f>IF(H199=$M$1,"SI","NO")</f>
        <v>NO</v>
      </c>
      <c r="AD199" s="159"/>
      <c r="AE199" s="159"/>
      <c r="AF199" s="256" t="s">
        <v>1532</v>
      </c>
      <c r="AG199" s="159" t="str">
        <f>IF(COUNTIF(C199,"*preso*")&gt;0,"SI","NO")</f>
        <v>NO</v>
      </c>
      <c r="AH199" s="244">
        <f>NroOrden(N199)</f>
        <v>50</v>
      </c>
      <c r="AI199" s="159"/>
      <c r="AJ199" s="48" t="str">
        <f ca="1">IF(OR(Y199="NO",Y199="LIMBO"),"IMP","NOIMP")</f>
        <v>NOIMP</v>
      </c>
    </row>
    <row r="200" spans="1:36" ht="39.950000000000003" customHeight="1">
      <c r="A200" s="159">
        <v>90</v>
      </c>
      <c r="B200" s="160" t="s">
        <v>895</v>
      </c>
      <c r="C200" s="209"/>
      <c r="D200" s="159" t="s">
        <v>896</v>
      </c>
      <c r="E200" s="159" t="s">
        <v>897</v>
      </c>
      <c r="F200" s="256">
        <v>45104</v>
      </c>
      <c r="G200" s="159" t="s">
        <v>898</v>
      </c>
      <c r="H200" s="159" t="s">
        <v>1641</v>
      </c>
      <c r="I200" s="160">
        <v>45149</v>
      </c>
      <c r="J200" s="163">
        <v>0.39583333333333331</v>
      </c>
      <c r="K200" s="159" t="s">
        <v>403</v>
      </c>
      <c r="L200" s="246"/>
      <c r="M200" s="160" t="s">
        <v>330</v>
      </c>
      <c r="N200" s="159" t="s">
        <v>357</v>
      </c>
      <c r="O200" s="159" t="s">
        <v>2034</v>
      </c>
      <c r="P200" s="159"/>
      <c r="Q200" s="159" t="s">
        <v>329</v>
      </c>
      <c r="R200" s="246"/>
      <c r="S200" s="159"/>
      <c r="T200" s="159"/>
      <c r="U200" s="159"/>
      <c r="V200" s="159" t="s">
        <v>342</v>
      </c>
      <c r="W200" s="159" t="s">
        <v>899</v>
      </c>
      <c r="X200" s="159" t="s">
        <v>111</v>
      </c>
      <c r="Y200" s="159" t="str">
        <f ca="1">IF(I200&lt;&gt;"",IF(I200&lt;=TODAY(),IF(OR(N200="REPROGRAMADA",N200="SUSPENDIDA",N200="EXCLUSION",N200="COLEGIADO"),"NO HECHA",IF(N200=" ","SINRESULTADO","SI")),"NO"),IF(N200="EXCLUSION","NO HECHA","LIMBO"))</f>
        <v>SI</v>
      </c>
      <c r="Z200" s="245" t="str">
        <f>IF($Z$1=I200,"DIASOL", "DIANOSOL")</f>
        <v>DIANOSOL</v>
      </c>
      <c r="AA200" s="159" t="s">
        <v>240</v>
      </c>
      <c r="AB200" s="159" t="s">
        <v>900</v>
      </c>
      <c r="AC200" s="247" t="str">
        <f>IF(H200=$M$1,"SI","NO")</f>
        <v>NO</v>
      </c>
      <c r="AD200" s="247"/>
      <c r="AE200" s="256">
        <v>45100</v>
      </c>
      <c r="AF200" s="256">
        <v>45154</v>
      </c>
      <c r="AG200" s="168" t="str">
        <f>IF(COUNTIF(C200,"*preso*")&gt;0,"SI","NO")</f>
        <v>NO</v>
      </c>
      <c r="AH200" s="244">
        <f>NroOrden(N200)</f>
        <v>50</v>
      </c>
      <c r="AI200" s="159"/>
      <c r="AJ200" s="48" t="str">
        <f ca="1">IF(OR(Y200="NO",Y200="LIMBO"),"IMP","NOIMP")</f>
        <v>NOIMP</v>
      </c>
    </row>
    <row r="201" spans="1:36" ht="39.950000000000003" customHeight="1">
      <c r="A201" s="159">
        <v>116</v>
      </c>
      <c r="B201" s="160" t="s">
        <v>971</v>
      </c>
      <c r="C201" s="208" t="s">
        <v>501</v>
      </c>
      <c r="D201" s="159" t="s">
        <v>972</v>
      </c>
      <c r="E201" s="159" t="s">
        <v>973</v>
      </c>
      <c r="F201" s="256">
        <v>45106</v>
      </c>
      <c r="G201" s="159" t="s">
        <v>974</v>
      </c>
      <c r="H201" s="159" t="s">
        <v>1644</v>
      </c>
      <c r="I201" s="160">
        <v>45152</v>
      </c>
      <c r="J201" s="160" t="s">
        <v>282</v>
      </c>
      <c r="K201" s="159" t="s">
        <v>363</v>
      </c>
      <c r="L201" s="246"/>
      <c r="M201" s="160" t="s">
        <v>330</v>
      </c>
      <c r="N201" s="159" t="s">
        <v>357</v>
      </c>
      <c r="O201" s="159" t="s">
        <v>2034</v>
      </c>
      <c r="P201" s="159"/>
      <c r="Q201" s="159" t="s">
        <v>329</v>
      </c>
      <c r="R201" s="246"/>
      <c r="S201" s="159" t="s">
        <v>374</v>
      </c>
      <c r="T201" s="159" t="s">
        <v>976</v>
      </c>
      <c r="U201" s="159" t="s">
        <v>976</v>
      </c>
      <c r="V201" s="159" t="s">
        <v>183</v>
      </c>
      <c r="W201" s="159" t="s">
        <v>132</v>
      </c>
      <c r="X201" s="159" t="s">
        <v>111</v>
      </c>
      <c r="Y201" s="159" t="str">
        <f ca="1">IF(I201&lt;&gt;"",IF(I201&lt;=TODAY(),IF(OR(N201="REPROGRAMADA",N201="SUSPENDIDA",N201="EXCLUSION",N201="COLEGIADO"),"NO HECHA",IF(N201=" ","SINRESULTADO","SI")),"NO"),IF(N201="EXCLUSION","NO HECHA","LIMBO"))</f>
        <v>SI</v>
      </c>
      <c r="Z201" s="245" t="str">
        <f>IF($Z$1=I201,"DIASOL", "DIANOSOL")</f>
        <v>DIANOSOL</v>
      </c>
      <c r="AA201" s="159" t="s">
        <v>240</v>
      </c>
      <c r="AB201" s="159" t="s">
        <v>975</v>
      </c>
      <c r="AC201" s="247" t="str">
        <f>IF(H201=$M$1,"SI","NO")</f>
        <v>NO</v>
      </c>
      <c r="AD201" s="247"/>
      <c r="AE201" s="256">
        <v>45099</v>
      </c>
      <c r="AF201" s="256">
        <v>45161</v>
      </c>
      <c r="AG201" s="168" t="str">
        <f>IF(COUNTIF(C201,"*preso*")&gt;0,"SI","NO")</f>
        <v>SI</v>
      </c>
      <c r="AH201" s="244">
        <f>NroOrden(N201)</f>
        <v>50</v>
      </c>
      <c r="AI201" s="159"/>
      <c r="AJ201" s="48" t="str">
        <f ca="1">IF(OR(Y201="NO",Y201="LIMBO"),"IMP","NOIMP")</f>
        <v>NOIMP</v>
      </c>
    </row>
    <row r="202" spans="1:36" ht="39.950000000000003" customHeight="1">
      <c r="A202" s="159">
        <v>157</v>
      </c>
      <c r="B202" s="160" t="s">
        <v>1169</v>
      </c>
      <c r="C202" s="208" t="s">
        <v>501</v>
      </c>
      <c r="D202" s="159" t="s">
        <v>1170</v>
      </c>
      <c r="E202" s="159" t="s">
        <v>1171</v>
      </c>
      <c r="F202" s="256">
        <v>45125</v>
      </c>
      <c r="G202" s="159" t="s">
        <v>1172</v>
      </c>
      <c r="H202" s="159" t="s">
        <v>1638</v>
      </c>
      <c r="I202" s="160">
        <v>45153</v>
      </c>
      <c r="J202" s="160" t="s">
        <v>1173</v>
      </c>
      <c r="K202" s="159" t="s">
        <v>403</v>
      </c>
      <c r="L202" s="246"/>
      <c r="M202" s="160" t="s">
        <v>331</v>
      </c>
      <c r="N202" s="159" t="s">
        <v>356</v>
      </c>
      <c r="O202" s="159" t="s">
        <v>2034</v>
      </c>
      <c r="P202" s="159" t="s">
        <v>1386</v>
      </c>
      <c r="Q202" s="159" t="s">
        <v>111</v>
      </c>
      <c r="R202" s="246"/>
      <c r="S202" s="159" t="s">
        <v>374</v>
      </c>
      <c r="T202" s="159"/>
      <c r="U202" s="159" t="s">
        <v>1176</v>
      </c>
      <c r="V202" s="159" t="s">
        <v>345</v>
      </c>
      <c r="W202" s="159" t="s">
        <v>1174</v>
      </c>
      <c r="X202" s="159" t="s">
        <v>111</v>
      </c>
      <c r="Y202" s="159" t="str">
        <f ca="1">IF(I202&lt;&gt;"",IF(I202&lt;=TODAY(),IF(OR(N202="REPROGRAMADA",N202="SUSPENDIDA",N202="EXCLUSION",N202="COLEGIADO"),"NO HECHA",IF(N202=" ","SINRESULTADO","SI")),"NO"),IF(N202="EXCLUSION","NO HECHA","LIMBO"))</f>
        <v>SI</v>
      </c>
      <c r="Z202" s="159" t="str">
        <f>IF($Z$1=I202,"DIASOL", "DIANOSOL")</f>
        <v>DIANOSOL</v>
      </c>
      <c r="AA202" s="159" t="s">
        <v>240</v>
      </c>
      <c r="AB202" s="159" t="s">
        <v>1175</v>
      </c>
      <c r="AC202" s="159" t="str">
        <f>IF(H202=$M$1,"SI","NO")</f>
        <v>NO</v>
      </c>
      <c r="AD202" s="159"/>
      <c r="AE202" s="159"/>
      <c r="AF202" s="256">
        <v>45156</v>
      </c>
      <c r="AG202" s="168" t="str">
        <f>IF(COUNTIF(C202,"*preso*")&gt;0,"SI","NO")</f>
        <v>SI</v>
      </c>
      <c r="AH202" s="244">
        <f>NroOrden(N202)</f>
        <v>50</v>
      </c>
      <c r="AI202" s="159"/>
      <c r="AJ202" s="48" t="str">
        <f ca="1">IF(OR(Y202="NO",Y202="LIMBO"),"IMP","NOIMP")</f>
        <v>NOIMP</v>
      </c>
    </row>
    <row r="203" spans="1:36" ht="102" customHeight="1">
      <c r="A203" s="159">
        <v>154</v>
      </c>
      <c r="B203" s="160" t="s">
        <v>1157</v>
      </c>
      <c r="C203" s="208"/>
      <c r="D203" s="159" t="s">
        <v>1158</v>
      </c>
      <c r="E203" s="159" t="s">
        <v>468</v>
      </c>
      <c r="F203" s="256">
        <v>45114</v>
      </c>
      <c r="G203" s="159" t="s">
        <v>1064</v>
      </c>
      <c r="H203" s="159" t="s">
        <v>1644</v>
      </c>
      <c r="I203" s="160">
        <v>45153</v>
      </c>
      <c r="J203" s="160" t="s">
        <v>960</v>
      </c>
      <c r="K203" s="159" t="s">
        <v>362</v>
      </c>
      <c r="L203" s="246"/>
      <c r="M203" s="160" t="s">
        <v>328</v>
      </c>
      <c r="N203" s="159" t="s">
        <v>1387</v>
      </c>
      <c r="O203" s="159" t="s">
        <v>2035</v>
      </c>
      <c r="P203" s="159" t="s">
        <v>1388</v>
      </c>
      <c r="Q203" s="159" t="s">
        <v>111</v>
      </c>
      <c r="R203" s="246"/>
      <c r="S203" s="159"/>
      <c r="T203" s="159"/>
      <c r="U203" s="159"/>
      <c r="V203" s="159" t="s">
        <v>114</v>
      </c>
      <c r="W203" s="159" t="s">
        <v>1159</v>
      </c>
      <c r="X203" s="159" t="s">
        <v>111</v>
      </c>
      <c r="Y203" s="159" t="str">
        <f ca="1">IF(I203&lt;&gt;"",IF(I203&lt;=TODAY(),IF(OR(N203="REPROGRAMADA",N203="SUSPENDIDA",N203="EXCLUSION",N203="COLEGIADO"),"NO HECHA",IF(N203=" ","SINRESULTADO","SI")),"NO"),IF(N203="EXCLUSION","NO HECHA","LIMBO"))</f>
        <v>SI</v>
      </c>
      <c r="Z203" s="245" t="str">
        <f>IF($Z$1=I203,"DIASOL", "DIANOSOL")</f>
        <v>DIANOSOL</v>
      </c>
      <c r="AA203" s="159" t="s">
        <v>240</v>
      </c>
      <c r="AB203" s="159" t="s">
        <v>1160</v>
      </c>
      <c r="AC203" s="247" t="str">
        <f>IF(H203=$M$1,"SI","NO")</f>
        <v>NO</v>
      </c>
      <c r="AD203" s="247"/>
      <c r="AE203" s="159"/>
      <c r="AF203" s="159"/>
      <c r="AG203" s="168" t="str">
        <f>IF(COUNTIF(C203,"*preso*")&gt;0,"SI","NO")</f>
        <v>NO</v>
      </c>
      <c r="AH203" s="244">
        <f>NroOrden(N203)</f>
        <v>50</v>
      </c>
      <c r="AI203" s="159"/>
      <c r="AJ203" s="48" t="str">
        <f ca="1">IF(OR(Y203="NO",Y203="LIMBO"),"IMP","NOIMP")</f>
        <v>NOIMP</v>
      </c>
    </row>
    <row r="204" spans="1:36" ht="123" customHeight="1">
      <c r="A204" s="159">
        <v>164</v>
      </c>
      <c r="B204" s="160" t="s">
        <v>1187</v>
      </c>
      <c r="C204" s="208" t="s">
        <v>501</v>
      </c>
      <c r="D204" s="159" t="s">
        <v>1188</v>
      </c>
      <c r="E204" s="159" t="s">
        <v>1189</v>
      </c>
      <c r="F204" s="256">
        <v>45139</v>
      </c>
      <c r="G204" s="159" t="s">
        <v>1190</v>
      </c>
      <c r="H204" s="159" t="s">
        <v>1641</v>
      </c>
      <c r="I204" s="160">
        <v>45153</v>
      </c>
      <c r="J204" s="160" t="s">
        <v>1320</v>
      </c>
      <c r="K204" s="159" t="s">
        <v>365</v>
      </c>
      <c r="L204" s="246"/>
      <c r="M204" s="160" t="s">
        <v>332</v>
      </c>
      <c r="N204" s="159" t="s">
        <v>355</v>
      </c>
      <c r="O204" s="159" t="s">
        <v>2034</v>
      </c>
      <c r="P204" s="159" t="s">
        <v>1423</v>
      </c>
      <c r="Q204" s="159" t="s">
        <v>111</v>
      </c>
      <c r="R204" s="246"/>
      <c r="S204" s="159" t="s">
        <v>374</v>
      </c>
      <c r="T204" s="159" t="s">
        <v>1193</v>
      </c>
      <c r="U204" s="159" t="s">
        <v>1194</v>
      </c>
      <c r="V204" s="159" t="s">
        <v>342</v>
      </c>
      <c r="W204" s="159" t="s">
        <v>1191</v>
      </c>
      <c r="X204" s="159" t="s">
        <v>111</v>
      </c>
      <c r="Y204" s="159" t="str">
        <f ca="1">IF(I204&lt;&gt;"",IF(I204&lt;=TODAY(),IF(OR(N204="REPROGRAMADA",N204="SUSPENDIDA",N204="EXCLUSION",N204="COLEGIADO"),"NO HECHA",IF(N204=" ","SINRESULTADO","SI")),"NO"),IF(N204="EXCLUSION","NO HECHA","LIMBO"))</f>
        <v>SI</v>
      </c>
      <c r="Z204" s="159" t="str">
        <f>IF($Z$1=I204,"DIASOL", "DIANOSOL")</f>
        <v>DIANOSOL</v>
      </c>
      <c r="AA204" s="159" t="s">
        <v>240</v>
      </c>
      <c r="AB204" s="159" t="s">
        <v>1192</v>
      </c>
      <c r="AC204" s="159" t="str">
        <f>IF(H204=$M$1,"SI","NO")</f>
        <v>NO</v>
      </c>
      <c r="AD204" s="159"/>
      <c r="AE204" s="159"/>
      <c r="AF204" s="256" t="s">
        <v>1532</v>
      </c>
      <c r="AG204" s="159" t="str">
        <f>IF(COUNTIF(C204,"*preso*")&gt;0,"SI","NO")</f>
        <v>SI</v>
      </c>
      <c r="AH204" s="244">
        <f>NroOrden(N204)</f>
        <v>50</v>
      </c>
      <c r="AI204" s="159"/>
      <c r="AJ204" s="48" t="str">
        <f ca="1">IF(OR(Y204="NO",Y204="LIMBO"),"IMP","NOIMP")</f>
        <v>NOIMP</v>
      </c>
    </row>
    <row r="205" spans="1:36" ht="39.950000000000003" customHeight="1">
      <c r="A205" s="159">
        <v>201</v>
      </c>
      <c r="B205" s="160" t="s">
        <v>1020</v>
      </c>
      <c r="C205" s="208"/>
      <c r="D205" s="159" t="s">
        <v>1021</v>
      </c>
      <c r="E205" s="159" t="s">
        <v>1022</v>
      </c>
      <c r="F205" s="256">
        <v>45105</v>
      </c>
      <c r="G205" s="159" t="s">
        <v>924</v>
      </c>
      <c r="H205" s="159" t="s">
        <v>1638</v>
      </c>
      <c r="I205" s="160">
        <v>45154</v>
      </c>
      <c r="J205" s="160" t="s">
        <v>1181</v>
      </c>
      <c r="K205" s="159" t="s">
        <v>362</v>
      </c>
      <c r="L205" s="246"/>
      <c r="M205" s="160" t="s">
        <v>328</v>
      </c>
      <c r="N205" s="159" t="s">
        <v>355</v>
      </c>
      <c r="O205" s="159" t="s">
        <v>2034</v>
      </c>
      <c r="P205" s="159" t="s">
        <v>1425</v>
      </c>
      <c r="Q205" s="159" t="s">
        <v>111</v>
      </c>
      <c r="R205" s="246"/>
      <c r="S205" s="159"/>
      <c r="T205" s="159"/>
      <c r="U205" s="159"/>
      <c r="V205" s="159" t="s">
        <v>185</v>
      </c>
      <c r="W205" s="159" t="s">
        <v>116</v>
      </c>
      <c r="X205" s="159" t="s">
        <v>111</v>
      </c>
      <c r="Y205" s="159" t="str">
        <f ca="1">IF(I205&lt;&gt;"",IF(I205&lt;=TODAY(),IF(OR(N205="REPROGRAMADA",N205="SUSPENDIDA",N205="EXCLUSION",N205="COLEGIADO"),"NO HECHA",IF(N205=" ","SINRESULTADO","SI")),"NO"),IF(N205="EXCLUSION","NO HECHA","LIMBO"))</f>
        <v>SI</v>
      </c>
      <c r="Z205" s="159" t="str">
        <f>IF($Z$1=I205,"DIASOL", "DIANOSOL")</f>
        <v>DIANOSOL</v>
      </c>
      <c r="AA205" s="159" t="s">
        <v>240</v>
      </c>
      <c r="AB205" s="159" t="s">
        <v>1023</v>
      </c>
      <c r="AC205" s="159" t="str">
        <f>IF(H205=$M$1,"SI","NO")</f>
        <v>NO</v>
      </c>
      <c r="AD205" s="159"/>
      <c r="AE205" s="256">
        <v>45099</v>
      </c>
      <c r="AF205" s="256">
        <v>45169</v>
      </c>
      <c r="AG205" s="159" t="str">
        <f>IF(COUNTIF(C205,"*preso*")&gt;0,"SI","NO")</f>
        <v>NO</v>
      </c>
      <c r="AH205" s="244">
        <f>NroOrden(N205)</f>
        <v>50</v>
      </c>
      <c r="AI205" s="159"/>
      <c r="AJ205" s="48" t="str">
        <f ca="1">IF(OR(Y205="NO",Y205="LIMBO"),"IMP","NOIMP")</f>
        <v>NOIMP</v>
      </c>
    </row>
    <row r="206" spans="1:36" ht="94.5" customHeight="1">
      <c r="A206" s="159">
        <v>137</v>
      </c>
      <c r="B206" s="160" t="s">
        <v>1069</v>
      </c>
      <c r="C206" s="208" t="s">
        <v>501</v>
      </c>
      <c r="D206" s="159" t="s">
        <v>1070</v>
      </c>
      <c r="E206" s="159" t="s">
        <v>1071</v>
      </c>
      <c r="F206" s="256">
        <v>45114</v>
      </c>
      <c r="G206" s="159" t="s">
        <v>1064</v>
      </c>
      <c r="H206" s="159" t="s">
        <v>1638</v>
      </c>
      <c r="I206" s="160">
        <v>45155</v>
      </c>
      <c r="J206" s="160" t="s">
        <v>282</v>
      </c>
      <c r="K206" s="159" t="s">
        <v>363</v>
      </c>
      <c r="L206" s="246"/>
      <c r="M206" s="160" t="s">
        <v>330</v>
      </c>
      <c r="N206" s="159" t="s">
        <v>357</v>
      </c>
      <c r="O206" s="159" t="s">
        <v>2034</v>
      </c>
      <c r="P206" s="159"/>
      <c r="Q206" s="159" t="s">
        <v>329</v>
      </c>
      <c r="R206" s="246"/>
      <c r="S206" s="159" t="s">
        <v>374</v>
      </c>
      <c r="T206" s="159" t="s">
        <v>1073</v>
      </c>
      <c r="U206" s="159" t="s">
        <v>1074</v>
      </c>
      <c r="V206" s="159" t="s">
        <v>184</v>
      </c>
      <c r="W206" s="159" t="s">
        <v>535</v>
      </c>
      <c r="X206" s="159" t="s">
        <v>111</v>
      </c>
      <c r="Y206" s="159" t="str">
        <f ca="1">IF(I206&lt;&gt;"",IF(I206&lt;=TODAY(),IF(OR(N206="REPROGRAMADA",N206="SUSPENDIDA",N206="EXCLUSION",N206="COLEGIADO"),"NO HECHA",IF(N206=" ","SINRESULTADO","SI")),"NO"),IF(N206="EXCLUSION","NO HECHA","LIMBO"))</f>
        <v>SI</v>
      </c>
      <c r="Z206" s="245" t="str">
        <f>IF($Z$1=I206,"DIASOL", "DIANOSOL")</f>
        <v>DIANOSOL</v>
      </c>
      <c r="AA206" s="159" t="s">
        <v>240</v>
      </c>
      <c r="AB206" s="159" t="s">
        <v>1072</v>
      </c>
      <c r="AC206" s="247" t="str">
        <f>IF(H206=$M$1,"SI","NO")</f>
        <v>NO</v>
      </c>
      <c r="AD206" s="247"/>
      <c r="AE206" s="256">
        <v>45114</v>
      </c>
      <c r="AF206" s="256">
        <v>45156</v>
      </c>
      <c r="AG206" s="168" t="str">
        <f>IF(COUNTIF(C206,"*preso*")&gt;0,"SI","NO")</f>
        <v>SI</v>
      </c>
      <c r="AH206" s="244">
        <f>NroOrden(N206)</f>
        <v>50</v>
      </c>
      <c r="AI206" s="159"/>
      <c r="AJ206" s="48" t="str">
        <f ca="1">IF(OR(Y206="NO",Y206="LIMBO"),"IMP","NOIMP")</f>
        <v>NOIMP</v>
      </c>
    </row>
    <row r="207" spans="1:36" ht="39.950000000000003" customHeight="1">
      <c r="A207" s="159">
        <v>138</v>
      </c>
      <c r="B207" s="160" t="s">
        <v>1075</v>
      </c>
      <c r="C207" s="208" t="s">
        <v>989</v>
      </c>
      <c r="D207" s="159" t="s">
        <v>1076</v>
      </c>
      <c r="E207" s="159" t="s">
        <v>1077</v>
      </c>
      <c r="F207" s="256">
        <v>45114</v>
      </c>
      <c r="G207" s="159" t="s">
        <v>1064</v>
      </c>
      <c r="H207" s="159" t="s">
        <v>1644</v>
      </c>
      <c r="I207" s="160">
        <v>45155</v>
      </c>
      <c r="J207" s="160" t="s">
        <v>282</v>
      </c>
      <c r="K207" s="159" t="s">
        <v>365</v>
      </c>
      <c r="L207" s="246"/>
      <c r="M207" s="160" t="s">
        <v>331</v>
      </c>
      <c r="N207" s="159" t="s">
        <v>356</v>
      </c>
      <c r="O207" s="159" t="s">
        <v>2034</v>
      </c>
      <c r="P207" s="159" t="s">
        <v>1430</v>
      </c>
      <c r="Q207" s="159" t="s">
        <v>111</v>
      </c>
      <c r="R207" s="184"/>
      <c r="S207" s="159" t="s">
        <v>614</v>
      </c>
      <c r="T207" s="159" t="s">
        <v>1080</v>
      </c>
      <c r="U207" s="159"/>
      <c r="V207" s="159" t="s">
        <v>268</v>
      </c>
      <c r="W207" s="159" t="s">
        <v>1078</v>
      </c>
      <c r="X207" s="159" t="s">
        <v>111</v>
      </c>
      <c r="Y207" s="159" t="str">
        <f ca="1">IF(I207&lt;&gt;"",IF(I207&lt;=TODAY(),IF(OR(N207="REPROGRAMADA",N207="SUSPENDIDA",N207="EXCLUSION",N207="COLEGIADO"),"NO HECHA",IF(N207=" ","SINRESULTADO","SI")),"NO"),IF(N207="EXCLUSION","NO HECHA","LIMBO"))</f>
        <v>SI</v>
      </c>
      <c r="Z207" s="245" t="str">
        <f>IF($Z$1=I207,"DIASOL", "DIANOSOL")</f>
        <v>DIANOSOL</v>
      </c>
      <c r="AA207" s="159" t="s">
        <v>240</v>
      </c>
      <c r="AB207" s="159" t="s">
        <v>1079</v>
      </c>
      <c r="AC207" s="247" t="str">
        <f>IF(H207=$M$1,"SI","NO")</f>
        <v>NO</v>
      </c>
      <c r="AD207" s="247"/>
      <c r="AE207" s="159" t="s">
        <v>1535</v>
      </c>
      <c r="AF207" s="256" t="s">
        <v>1530</v>
      </c>
      <c r="AG207" s="168" t="str">
        <f>IF(COUNTIF(C207,"*preso*")&gt;0,"SI","NO")</f>
        <v>SI</v>
      </c>
      <c r="AH207" s="244">
        <f>NroOrden(N207)</f>
        <v>50</v>
      </c>
      <c r="AI207" s="159" t="s">
        <v>1431</v>
      </c>
      <c r="AJ207" s="48" t="str">
        <f ca="1">IF(OR(Y207="NO",Y207="LIMBO"),"IMP","NOIMP")</f>
        <v>NOIMP</v>
      </c>
    </row>
    <row r="208" spans="1:36" ht="39.950000000000003" customHeight="1">
      <c r="A208" s="159">
        <v>145</v>
      </c>
      <c r="B208" s="160" t="s">
        <v>1107</v>
      </c>
      <c r="C208" s="208" t="s">
        <v>501</v>
      </c>
      <c r="D208" s="159" t="s">
        <v>1108</v>
      </c>
      <c r="E208" s="159" t="s">
        <v>1044</v>
      </c>
      <c r="F208" s="256">
        <v>45119</v>
      </c>
      <c r="G208" s="159" t="s">
        <v>1109</v>
      </c>
      <c r="H208" s="159" t="s">
        <v>1641</v>
      </c>
      <c r="I208" s="160">
        <v>45155</v>
      </c>
      <c r="J208" s="160" t="s">
        <v>309</v>
      </c>
      <c r="K208" s="159" t="s">
        <v>363</v>
      </c>
      <c r="L208" s="246"/>
      <c r="M208" s="160" t="s">
        <v>330</v>
      </c>
      <c r="N208" s="159" t="s">
        <v>356</v>
      </c>
      <c r="O208" s="159" t="s">
        <v>2034</v>
      </c>
      <c r="P208" s="159" t="s">
        <v>1434</v>
      </c>
      <c r="Q208" s="159" t="s">
        <v>111</v>
      </c>
      <c r="R208" s="246"/>
      <c r="S208" s="159" t="s">
        <v>374</v>
      </c>
      <c r="T208" s="159" t="s">
        <v>1111</v>
      </c>
      <c r="U208" s="159" t="s">
        <v>1112</v>
      </c>
      <c r="V208" s="159" t="s">
        <v>191</v>
      </c>
      <c r="W208" s="159" t="s">
        <v>135</v>
      </c>
      <c r="X208" s="159" t="s">
        <v>111</v>
      </c>
      <c r="Y208" s="159" t="str">
        <f ca="1">IF(I208&lt;&gt;"",IF(I208&lt;=TODAY(),IF(OR(N208="REPROGRAMADA",N208="SUSPENDIDA",N208="EXCLUSION",N208="COLEGIADO"),"NO HECHA",IF(N208=" ","SINRESULTADO","SI")),"NO"),IF(N208="EXCLUSION","NO HECHA","LIMBO"))</f>
        <v>SI</v>
      </c>
      <c r="Z208" s="245" t="str">
        <f>IF($Z$1=I208,"DIASOL", "DIANOSOL")</f>
        <v>DIANOSOL</v>
      </c>
      <c r="AA208" s="159" t="s">
        <v>240</v>
      </c>
      <c r="AB208" s="159" t="s">
        <v>1110</v>
      </c>
      <c r="AC208" s="247" t="str">
        <f>IF(H208=$M$1,"SI","NO")</f>
        <v>NO</v>
      </c>
      <c r="AD208" s="247"/>
      <c r="AE208" s="256">
        <v>45113</v>
      </c>
      <c r="AF208" s="256">
        <v>45161</v>
      </c>
      <c r="AG208" s="168" t="str">
        <f>IF(COUNTIF(C208,"*preso*")&gt;0,"SI","NO")</f>
        <v>SI</v>
      </c>
      <c r="AH208" s="244">
        <f>NroOrden(N208)</f>
        <v>50</v>
      </c>
      <c r="AI208" s="159"/>
      <c r="AJ208" s="48" t="str">
        <f ca="1">IF(OR(Y208="NO",Y208="LIMBO"),"IMP","NOIMP")</f>
        <v>NOIMP</v>
      </c>
    </row>
    <row r="209" spans="1:36" ht="39.950000000000003" customHeight="1">
      <c r="A209" s="159">
        <v>141</v>
      </c>
      <c r="B209" s="160" t="s">
        <v>1092</v>
      </c>
      <c r="C209" s="208" t="s">
        <v>501</v>
      </c>
      <c r="D209" s="159" t="s">
        <v>1093</v>
      </c>
      <c r="E209" s="159" t="s">
        <v>383</v>
      </c>
      <c r="F209" s="256">
        <v>45114</v>
      </c>
      <c r="G209" s="159" t="s">
        <v>1064</v>
      </c>
      <c r="H209" s="159" t="s">
        <v>1644</v>
      </c>
      <c r="I209" s="160">
        <v>45156</v>
      </c>
      <c r="J209" s="160" t="s">
        <v>282</v>
      </c>
      <c r="K209" s="159" t="s">
        <v>365</v>
      </c>
      <c r="L209" s="246"/>
      <c r="M209" s="160" t="s">
        <v>332</v>
      </c>
      <c r="N209" s="159" t="s">
        <v>1387</v>
      </c>
      <c r="O209" s="159" t="s">
        <v>2035</v>
      </c>
      <c r="P209" s="159" t="s">
        <v>1428</v>
      </c>
      <c r="Q209" s="159" t="s">
        <v>111</v>
      </c>
      <c r="R209" s="246"/>
      <c r="S209" s="159" t="s">
        <v>374</v>
      </c>
      <c r="T209" s="159" t="s">
        <v>1094</v>
      </c>
      <c r="U209" s="159" t="s">
        <v>1095</v>
      </c>
      <c r="V209" s="159" t="s">
        <v>100</v>
      </c>
      <c r="W209" s="159" t="s">
        <v>387</v>
      </c>
      <c r="X209" s="159" t="s">
        <v>111</v>
      </c>
      <c r="Y209" s="159" t="str">
        <f ca="1">IF(I209&lt;&gt;"",IF(I209&lt;=TODAY(),IF(OR(N209="REPROGRAMADA",N209="SUSPENDIDA",N209="EXCLUSION",N209="COLEGIADO"),"NO HECHA",IF(N209=" ","SINRESULTADO","SI")),"NO"),IF(N209="EXCLUSION","NO HECHA","LIMBO"))</f>
        <v>SI</v>
      </c>
      <c r="Z209" s="245" t="str">
        <f>IF($Z$1=I209,"DIASOL", "DIANOSOL")</f>
        <v>DIANOSOL</v>
      </c>
      <c r="AA209" s="159" t="s">
        <v>893</v>
      </c>
      <c r="AB209" s="159"/>
      <c r="AC209" s="247" t="str">
        <f>IF(H209=$M$1,"SI","NO")</f>
        <v>NO</v>
      </c>
      <c r="AD209" s="247"/>
      <c r="AE209" s="256">
        <v>45114</v>
      </c>
      <c r="AF209" s="159" t="s">
        <v>2160</v>
      </c>
      <c r="AG209" s="168" t="str">
        <f>IF(COUNTIF(C209,"*preso*")&gt;0,"SI","NO")</f>
        <v>SI</v>
      </c>
      <c r="AH209" s="244">
        <f>NroOrden(N209)</f>
        <v>50</v>
      </c>
      <c r="AI209" s="159"/>
      <c r="AJ209" s="48" t="str">
        <f ca="1">IF(OR(Y209="NO",Y209="LIMBO"),"IMP","NOIMP")</f>
        <v>NOIMP</v>
      </c>
    </row>
    <row r="210" spans="1:36" ht="39.950000000000003" customHeight="1">
      <c r="A210" s="159">
        <v>159</v>
      </c>
      <c r="B210" s="160" t="s">
        <v>1178</v>
      </c>
      <c r="C210" s="208" t="s">
        <v>501</v>
      </c>
      <c r="D210" s="159" t="s">
        <v>1179</v>
      </c>
      <c r="E210" s="159" t="s">
        <v>1180</v>
      </c>
      <c r="F210" s="256">
        <v>45132</v>
      </c>
      <c r="G210" s="159" t="s">
        <v>1064</v>
      </c>
      <c r="H210" s="159" t="s">
        <v>1638</v>
      </c>
      <c r="I210" s="160">
        <v>45156</v>
      </c>
      <c r="J210" s="160" t="s">
        <v>1181</v>
      </c>
      <c r="K210" s="159" t="s">
        <v>365</v>
      </c>
      <c r="L210" s="246"/>
      <c r="M210" s="160" t="s">
        <v>333</v>
      </c>
      <c r="N210" s="159" t="s">
        <v>357</v>
      </c>
      <c r="O210" s="159" t="s">
        <v>2034</v>
      </c>
      <c r="P210" s="159"/>
      <c r="Q210" s="159" t="s">
        <v>331</v>
      </c>
      <c r="R210" s="246"/>
      <c r="S210" s="159" t="s">
        <v>374</v>
      </c>
      <c r="T210" s="159" t="s">
        <v>1183</v>
      </c>
      <c r="U210" s="159" t="s">
        <v>1184</v>
      </c>
      <c r="V210" s="159" t="s">
        <v>344</v>
      </c>
      <c r="W210" s="159" t="s">
        <v>141</v>
      </c>
      <c r="X210" s="159" t="s">
        <v>111</v>
      </c>
      <c r="Y210" s="159" t="str">
        <f ca="1">IF(I210&lt;&gt;"",IF(I210&lt;=TODAY(),IF(OR(N210="REPROGRAMADA",N210="SUSPENDIDA",N210="EXCLUSION",N210="COLEGIADO"),"NO HECHA",IF(N210=" ","SINRESULTADO","SI")),"NO"),IF(N210="EXCLUSION","NO HECHA","LIMBO"))</f>
        <v>SI</v>
      </c>
      <c r="Z210" s="159" t="str">
        <f>IF($Z$1=I210,"DIASOL", "DIANOSOL")</f>
        <v>DIANOSOL</v>
      </c>
      <c r="AA210" s="159" t="s">
        <v>240</v>
      </c>
      <c r="AB210" s="159" t="s">
        <v>1182</v>
      </c>
      <c r="AC210" s="159" t="str">
        <f>IF(H210=$M$1,"SI","NO")</f>
        <v>NO</v>
      </c>
      <c r="AD210" s="159"/>
      <c r="AE210" s="159"/>
      <c r="AF210" s="256">
        <v>45161</v>
      </c>
      <c r="AG210" s="159" t="str">
        <f>IF(COUNTIF(C210,"*preso*")&gt;0,"SI","NO")</f>
        <v>SI</v>
      </c>
      <c r="AH210" s="244">
        <f>NroOrden(N210)</f>
        <v>50</v>
      </c>
      <c r="AI210" s="159"/>
      <c r="AJ210" s="48" t="str">
        <f ca="1">IF(OR(Y210="NO",Y210="LIMBO"),"IMP","NOIMP")</f>
        <v>NOIMP</v>
      </c>
    </row>
    <row r="211" spans="1:36" ht="114.75" customHeight="1">
      <c r="A211" s="159">
        <v>199</v>
      </c>
      <c r="B211" s="160" t="s">
        <v>988</v>
      </c>
      <c r="C211" s="208" t="s">
        <v>989</v>
      </c>
      <c r="D211" s="159" t="s">
        <v>990</v>
      </c>
      <c r="E211" s="159" t="s">
        <v>991</v>
      </c>
      <c r="F211" s="256">
        <v>45106</v>
      </c>
      <c r="G211" s="159" t="s">
        <v>992</v>
      </c>
      <c r="H211" s="159" t="s">
        <v>1641</v>
      </c>
      <c r="I211" s="160">
        <v>45156</v>
      </c>
      <c r="J211" s="160" t="s">
        <v>1181</v>
      </c>
      <c r="K211" s="159" t="s">
        <v>403</v>
      </c>
      <c r="L211" s="246"/>
      <c r="M211" s="160" t="s">
        <v>332</v>
      </c>
      <c r="N211" s="159" t="s">
        <v>357</v>
      </c>
      <c r="O211" s="159" t="s">
        <v>2034</v>
      </c>
      <c r="P211" s="159"/>
      <c r="Q211" s="159" t="s">
        <v>333</v>
      </c>
      <c r="R211" s="246"/>
      <c r="S211" s="159" t="s">
        <v>614</v>
      </c>
      <c r="T211" s="159" t="s">
        <v>995</v>
      </c>
      <c r="U211" s="159" t="s">
        <v>996</v>
      </c>
      <c r="V211" s="159" t="s">
        <v>182</v>
      </c>
      <c r="W211" s="159" t="s">
        <v>117</v>
      </c>
      <c r="X211" s="159" t="s">
        <v>111</v>
      </c>
      <c r="Y211" s="159" t="str">
        <f ca="1">IF(I211&lt;&gt;"",IF(I211&lt;=TODAY(),IF(OR(N211="REPROGRAMADA",N211="SUSPENDIDA",N211="EXCLUSION",N211="COLEGIADO"),"NO HECHA",IF(N211=" ","SINRESULTADO","SI")),"NO"),IF(N211="EXCLUSION","NO HECHA","LIMBO"))</f>
        <v>SI</v>
      </c>
      <c r="Z211" s="245" t="str">
        <f>IF($Z$1=I211,"DIASOL", "DIANOSOL")</f>
        <v>DIANOSOL</v>
      </c>
      <c r="AA211" s="159" t="s">
        <v>240</v>
      </c>
      <c r="AB211" s="159" t="s">
        <v>994</v>
      </c>
      <c r="AC211" s="247" t="str">
        <f>IF(H211=$M$1,"SI","NO")</f>
        <v>NO</v>
      </c>
      <c r="AD211" s="247"/>
      <c r="AE211" s="256">
        <v>45105</v>
      </c>
      <c r="AF211" s="256" t="s">
        <v>1531</v>
      </c>
      <c r="AG211" s="168" t="str">
        <f>IF(COUNTIF(C211,"*preso*")&gt;0,"SI","NO")</f>
        <v>SI</v>
      </c>
      <c r="AH211" s="244">
        <f>NroOrden(N211)</f>
        <v>50</v>
      </c>
      <c r="AI211" s="159"/>
      <c r="AJ211" s="48" t="str">
        <f ca="1">IF(OR(Y211="NO",Y211="LIMBO"),"IMP","NOIMP")</f>
        <v>NOIMP</v>
      </c>
    </row>
    <row r="212" spans="1:36" ht="39.950000000000003" customHeight="1">
      <c r="A212" s="159">
        <v>129</v>
      </c>
      <c r="B212" s="160" t="s">
        <v>1027</v>
      </c>
      <c r="C212" s="208"/>
      <c r="D212" s="159" t="s">
        <v>1028</v>
      </c>
      <c r="E212" s="159" t="s">
        <v>1029</v>
      </c>
      <c r="F212" s="256">
        <v>45105</v>
      </c>
      <c r="G212" s="159" t="s">
        <v>924</v>
      </c>
      <c r="H212" s="159" t="s">
        <v>1641</v>
      </c>
      <c r="I212" s="160">
        <v>45156</v>
      </c>
      <c r="J212" s="160" t="s">
        <v>960</v>
      </c>
      <c r="K212" s="159" t="s">
        <v>365</v>
      </c>
      <c r="L212" s="246"/>
      <c r="M212" s="160" t="s">
        <v>333</v>
      </c>
      <c r="N212" s="159" t="s">
        <v>359</v>
      </c>
      <c r="O212" s="159" t="s">
        <v>2034</v>
      </c>
      <c r="P212" s="159" t="s">
        <v>1439</v>
      </c>
      <c r="Q212" s="159" t="s">
        <v>111</v>
      </c>
      <c r="R212" s="246"/>
      <c r="S212" s="159"/>
      <c r="T212" s="159"/>
      <c r="U212" s="159"/>
      <c r="V212" s="159" t="s">
        <v>189</v>
      </c>
      <c r="W212" s="159" t="s">
        <v>269</v>
      </c>
      <c r="X212" s="159" t="s">
        <v>111</v>
      </c>
      <c r="Y212" s="159" t="str">
        <f ca="1">IF(I212&lt;&gt;"",IF(I212&lt;=TODAY(),IF(OR(N212="REPROGRAMADA",N212="SUSPENDIDA",N212="EXCLUSION",N212="COLEGIADO"),"NO HECHA",IF(N212=" ","SINRESULTADO","SI")),"NO"),IF(N212="EXCLUSION","NO HECHA","LIMBO"))</f>
        <v>SI</v>
      </c>
      <c r="Z212" s="159" t="str">
        <f>IF($Z$1=I212,"DIASOL", "DIANOSOL")</f>
        <v>DIANOSOL</v>
      </c>
      <c r="AA212" s="159" t="s">
        <v>240</v>
      </c>
      <c r="AB212" s="159" t="s">
        <v>1030</v>
      </c>
      <c r="AC212" s="159" t="str">
        <f>IF(H212=$M$1,"SI","NO")</f>
        <v>NO</v>
      </c>
      <c r="AD212" s="159"/>
      <c r="AE212" s="256">
        <v>45104</v>
      </c>
      <c r="AF212" s="256">
        <v>45161</v>
      </c>
      <c r="AG212" s="159" t="str">
        <f>IF(COUNTIF(C212,"*preso*")&gt;0,"SI","NO")</f>
        <v>NO</v>
      </c>
      <c r="AH212" s="244">
        <f>NroOrden(N212)</f>
        <v>50</v>
      </c>
      <c r="AI212" s="159" t="s">
        <v>1440</v>
      </c>
      <c r="AJ212" s="48" t="str">
        <f ca="1">IF(OR(Y212="NO",Y212="LIMBO"),"IMP","NOIMP")</f>
        <v>NOIMP</v>
      </c>
    </row>
    <row r="213" spans="1:36" ht="74.25" customHeight="1">
      <c r="A213" s="159">
        <v>197</v>
      </c>
      <c r="B213" s="160" t="s">
        <v>1061</v>
      </c>
      <c r="C213" s="208" t="s">
        <v>501</v>
      </c>
      <c r="D213" s="159" t="s">
        <v>1062</v>
      </c>
      <c r="E213" s="159" t="s">
        <v>1063</v>
      </c>
      <c r="F213" s="256">
        <v>45114</v>
      </c>
      <c r="G213" s="159" t="s">
        <v>1064</v>
      </c>
      <c r="H213" s="159" t="s">
        <v>1641</v>
      </c>
      <c r="I213" s="160">
        <v>45160</v>
      </c>
      <c r="J213" s="160" t="s">
        <v>396</v>
      </c>
      <c r="K213" s="159" t="s">
        <v>365</v>
      </c>
      <c r="L213" s="246"/>
      <c r="M213" s="160" t="s">
        <v>331</v>
      </c>
      <c r="N213" s="159" t="s">
        <v>356</v>
      </c>
      <c r="O213" s="159" t="s">
        <v>2034</v>
      </c>
      <c r="P213" s="159" t="s">
        <v>1517</v>
      </c>
      <c r="Q213" s="159" t="s">
        <v>111</v>
      </c>
      <c r="R213" s="246"/>
      <c r="S213" s="159" t="s">
        <v>374</v>
      </c>
      <c r="T213" s="159" t="s">
        <v>1067</v>
      </c>
      <c r="U213" s="159" t="s">
        <v>1068</v>
      </c>
      <c r="V213" s="159" t="s">
        <v>192</v>
      </c>
      <c r="W213" s="159" t="s">
        <v>269</v>
      </c>
      <c r="X213" s="159" t="s">
        <v>111</v>
      </c>
      <c r="Y213" s="159" t="str">
        <f ca="1">IF(I213&lt;&gt;"",IF(I213&lt;=TODAY(),IF(OR(N213="REPROGRAMADA",N213="SUSPENDIDA",N213="EXCLUSION",N213="COLEGIADO"),"NO HECHA",IF(N213=" ","SINRESULTADO","SI")),"NO"),IF(N213="EXCLUSION","NO HECHA","LIMBO"))</f>
        <v>SI</v>
      </c>
      <c r="Z213" s="159" t="str">
        <f>IF($Z$1=I213,"DIASOL", "DIANOSOL")</f>
        <v>DIANOSOL</v>
      </c>
      <c r="AA213" s="159" t="s">
        <v>240</v>
      </c>
      <c r="AB213" s="159" t="s">
        <v>1066</v>
      </c>
      <c r="AC213" s="159" t="str">
        <f>IF(H213=$M$1,"SI","NO")</f>
        <v>NO</v>
      </c>
      <c r="AD213" s="159"/>
      <c r="AE213" s="159"/>
      <c r="AF213" s="256">
        <v>45168</v>
      </c>
      <c r="AG213" s="159" t="str">
        <f>IF(COUNTIF(C213,"*preso*")&gt;0,"SI","NO")</f>
        <v>SI</v>
      </c>
      <c r="AH213" s="244">
        <f>NroOrden(N213)</f>
        <v>50</v>
      </c>
      <c r="AI213" s="159"/>
      <c r="AJ213" s="48" t="str">
        <f ca="1">IF(OR(Y213="NO",Y213="LIMBO"),"IMP","NOIMP")</f>
        <v>NOIMP</v>
      </c>
    </row>
    <row r="214" spans="1:36" ht="78" customHeight="1">
      <c r="A214" s="159">
        <v>175</v>
      </c>
      <c r="B214" s="160" t="s">
        <v>1256</v>
      </c>
      <c r="C214" s="208" t="s">
        <v>501</v>
      </c>
      <c r="D214" s="159" t="s">
        <v>1257</v>
      </c>
      <c r="E214" s="159" t="s">
        <v>1258</v>
      </c>
      <c r="F214" s="256">
        <v>45134</v>
      </c>
      <c r="G214" s="159" t="s">
        <v>1221</v>
      </c>
      <c r="H214" s="159" t="s">
        <v>1638</v>
      </c>
      <c r="I214" s="160">
        <v>45160</v>
      </c>
      <c r="J214" s="160" t="s">
        <v>309</v>
      </c>
      <c r="K214" s="159" t="s">
        <v>362</v>
      </c>
      <c r="L214" s="246"/>
      <c r="M214" s="160" t="s">
        <v>328</v>
      </c>
      <c r="N214" s="159" t="s">
        <v>355</v>
      </c>
      <c r="O214" s="159" t="s">
        <v>2034</v>
      </c>
      <c r="P214" s="159" t="s">
        <v>1441</v>
      </c>
      <c r="Q214" s="159" t="s">
        <v>111</v>
      </c>
      <c r="R214" s="246"/>
      <c r="S214" s="159" t="s">
        <v>374</v>
      </c>
      <c r="T214" s="159" t="s">
        <v>1261</v>
      </c>
      <c r="U214" s="159" t="s">
        <v>1262</v>
      </c>
      <c r="V214" s="159" t="s">
        <v>192</v>
      </c>
      <c r="W214" s="159" t="s">
        <v>1259</v>
      </c>
      <c r="X214" s="159" t="s">
        <v>111</v>
      </c>
      <c r="Y214" s="159" t="str">
        <f ca="1">IF(I214&lt;&gt;"",IF(I214&lt;=TODAY(),IF(OR(N214="REPROGRAMADA",N214="SUSPENDIDA",N214="EXCLUSION",N214="COLEGIADO"),"NO HECHA",IF(N214=" ","SINRESULTADO","SI")),"NO"),IF(N214="EXCLUSION","NO HECHA","LIMBO"))</f>
        <v>SI</v>
      </c>
      <c r="Z214" s="159" t="str">
        <f>IF($Z$1=I214,"DIASOL", "DIANOSOL")</f>
        <v>DIANOSOL</v>
      </c>
      <c r="AA214" s="159" t="s">
        <v>240</v>
      </c>
      <c r="AB214" s="159" t="s">
        <v>1260</v>
      </c>
      <c r="AC214" s="159" t="str">
        <f>IF(H214=$M$1,"SI","NO")</f>
        <v>NO</v>
      </c>
      <c r="AD214" s="159"/>
      <c r="AE214" s="159"/>
      <c r="AF214" s="256">
        <v>45162</v>
      </c>
      <c r="AG214" s="159" t="str">
        <f>IF(COUNTIF(C214,"*preso*")&gt;0,"SI","NO")</f>
        <v>SI</v>
      </c>
      <c r="AH214" s="244">
        <f>NroOrden(N214)</f>
        <v>50</v>
      </c>
      <c r="AI214" s="159" t="s">
        <v>1520</v>
      </c>
      <c r="AJ214" s="48" t="str">
        <f ca="1">IF(OR(Y214="NO",Y214="LIMBO"),"IMP","NOIMP")</f>
        <v>NOIMP</v>
      </c>
    </row>
    <row r="215" spans="1:36" ht="39.950000000000003" customHeight="1">
      <c r="A215" s="159">
        <v>143</v>
      </c>
      <c r="B215" s="160" t="s">
        <v>1099</v>
      </c>
      <c r="C215" s="208" t="s">
        <v>501</v>
      </c>
      <c r="D215" s="159" t="s">
        <v>1100</v>
      </c>
      <c r="E215" s="159" t="s">
        <v>1101</v>
      </c>
      <c r="F215" s="256">
        <v>45114</v>
      </c>
      <c r="G215" s="159" t="s">
        <v>1064</v>
      </c>
      <c r="H215" s="159" t="s">
        <v>1644</v>
      </c>
      <c r="I215" s="160">
        <v>45161</v>
      </c>
      <c r="J215" s="160" t="s">
        <v>282</v>
      </c>
      <c r="K215" s="159" t="s">
        <v>403</v>
      </c>
      <c r="L215" s="246"/>
      <c r="M215" s="160" t="s">
        <v>330</v>
      </c>
      <c r="N215" s="159" t="s">
        <v>357</v>
      </c>
      <c r="O215" s="159" t="s">
        <v>2034</v>
      </c>
      <c r="P215" s="159"/>
      <c r="Q215" s="159" t="s">
        <v>329</v>
      </c>
      <c r="R215" s="184"/>
      <c r="S215" s="159" t="s">
        <v>1103</v>
      </c>
      <c r="T215" s="159" t="s">
        <v>1104</v>
      </c>
      <c r="U215" s="159" t="s">
        <v>1105</v>
      </c>
      <c r="V215" s="159" t="s">
        <v>193</v>
      </c>
      <c r="W215" s="159" t="s">
        <v>1432</v>
      </c>
      <c r="X215" s="159" t="s">
        <v>111</v>
      </c>
      <c r="Y215" s="159" t="str">
        <f ca="1">IF(I215&lt;&gt;"",IF(I215&lt;=TODAY(),IF(OR(N215="REPROGRAMADA",N215="SUSPENDIDA",N215="EXCLUSION",N215="COLEGIADO"),"NO HECHA",IF(N215=" ","SINRESULTADO","SI")),"NO"),IF(N215="EXCLUSION","NO HECHA","LIMBO"))</f>
        <v>SI</v>
      </c>
      <c r="Z215" s="245" t="str">
        <f>IF($Z$1=I215,"DIASOL", "DIANOSOL")</f>
        <v>DIANOSOL</v>
      </c>
      <c r="AA215" s="159" t="s">
        <v>240</v>
      </c>
      <c r="AB215" s="159" t="s">
        <v>1102</v>
      </c>
      <c r="AC215" s="247" t="str">
        <f>IF(H215=$M$1,"SI","NO")</f>
        <v>NO</v>
      </c>
      <c r="AD215" s="247"/>
      <c r="AE215" s="256">
        <v>45114</v>
      </c>
      <c r="AF215" s="256">
        <v>45169</v>
      </c>
      <c r="AG215" s="168" t="str">
        <f>IF(COUNTIF(C215,"*preso*")&gt;0,"SI","NO")</f>
        <v>SI</v>
      </c>
      <c r="AH215" s="244">
        <f>NroOrden(N215)</f>
        <v>50</v>
      </c>
      <c r="AI215" s="159" t="s">
        <v>1536</v>
      </c>
      <c r="AJ215" s="48" t="str">
        <f ca="1">IF(OR(Y215="NO",Y215="LIMBO"),"IMP","NOIMP")</f>
        <v>NOIMP</v>
      </c>
    </row>
    <row r="216" spans="1:36" ht="61.5" customHeight="1">
      <c r="A216" s="159">
        <v>169</v>
      </c>
      <c r="B216" s="160" t="s">
        <v>1218</v>
      </c>
      <c r="C216" s="208"/>
      <c r="D216" s="159" t="s">
        <v>1219</v>
      </c>
      <c r="E216" s="159" t="s">
        <v>1220</v>
      </c>
      <c r="F216" s="256">
        <v>45139</v>
      </c>
      <c r="G216" s="159" t="s">
        <v>1221</v>
      </c>
      <c r="H216" s="159" t="s">
        <v>1638</v>
      </c>
      <c r="I216" s="160">
        <v>45161</v>
      </c>
      <c r="J216" s="160" t="s">
        <v>282</v>
      </c>
      <c r="K216" s="159" t="s">
        <v>1319</v>
      </c>
      <c r="L216" s="246"/>
      <c r="M216" s="160" t="s">
        <v>333</v>
      </c>
      <c r="N216" s="159" t="s">
        <v>357</v>
      </c>
      <c r="O216" s="159" t="s">
        <v>2034</v>
      </c>
      <c r="P216" s="159"/>
      <c r="Q216" s="159" t="s">
        <v>331</v>
      </c>
      <c r="R216" s="184"/>
      <c r="S216" s="159"/>
      <c r="T216" s="159"/>
      <c r="U216" s="159"/>
      <c r="V216" s="159" t="s">
        <v>186</v>
      </c>
      <c r="W216" s="159" t="s">
        <v>1222</v>
      </c>
      <c r="X216" s="159" t="s">
        <v>111</v>
      </c>
      <c r="Y216" s="159" t="str">
        <f ca="1">IF(I216&lt;&gt;"",IF(I216&lt;=TODAY(),IF(OR(N216="REPROGRAMADA",N216="SUSPENDIDA",N216="EXCLUSION",N216="COLEGIADO"),"NO HECHA",IF(N216=" ","SINRESULTADO","SI")),"NO"),IF(N216="EXCLUSION","NO HECHA","LIMBO"))</f>
        <v>SI</v>
      </c>
      <c r="Z216" s="159" t="str">
        <f>IF($Z$1=I216,"DIASOL", "DIANOSOL")</f>
        <v>DIANOSOL</v>
      </c>
      <c r="AA216" s="159" t="s">
        <v>1223</v>
      </c>
      <c r="AB216" s="159" t="s">
        <v>1224</v>
      </c>
      <c r="AC216" s="159" t="str">
        <f>IF(H216=$M$1,"SI","NO")</f>
        <v>NO</v>
      </c>
      <c r="AD216" s="159"/>
      <c r="AE216" s="159"/>
      <c r="AF216" s="159"/>
      <c r="AG216" s="159" t="str">
        <f>IF(COUNTIF(C216,"*preso*")&gt;0,"SI","NO")</f>
        <v>NO</v>
      </c>
      <c r="AH216" s="244">
        <f>NroOrden(N216)</f>
        <v>50</v>
      </c>
      <c r="AI216" s="159"/>
      <c r="AJ216" s="48" t="str">
        <f ca="1">IF(OR(Y216="NO",Y216="LIMBO"),"IMP","NOIMP")</f>
        <v>NOIMP</v>
      </c>
    </row>
    <row r="217" spans="1:36" ht="39.950000000000003" customHeight="1">
      <c r="A217" s="159">
        <v>87</v>
      </c>
      <c r="B217" s="160" t="s">
        <v>880</v>
      </c>
      <c r="C217" s="209"/>
      <c r="D217" s="159" t="s">
        <v>881</v>
      </c>
      <c r="E217" s="159" t="s">
        <v>573</v>
      </c>
      <c r="F217" s="256">
        <v>45103</v>
      </c>
      <c r="G217" s="159" t="s">
        <v>806</v>
      </c>
      <c r="H217" s="159" t="s">
        <v>1638</v>
      </c>
      <c r="I217" s="160">
        <v>45162</v>
      </c>
      <c r="J217" s="163">
        <v>0.45833333333333331</v>
      </c>
      <c r="K217" s="159" t="s">
        <v>363</v>
      </c>
      <c r="L217" s="246"/>
      <c r="M217" s="160" t="s">
        <v>329</v>
      </c>
      <c r="N217" s="159" t="s">
        <v>355</v>
      </c>
      <c r="O217" s="159" t="s">
        <v>2034</v>
      </c>
      <c r="P217" s="159" t="s">
        <v>1521</v>
      </c>
      <c r="Q217" s="159" t="s">
        <v>111</v>
      </c>
      <c r="R217" s="184"/>
      <c r="S217" s="159"/>
      <c r="T217" s="159"/>
      <c r="U217" s="159"/>
      <c r="V217" s="159" t="s">
        <v>346</v>
      </c>
      <c r="W217" s="159" t="s">
        <v>32</v>
      </c>
      <c r="X217" s="159" t="s">
        <v>111</v>
      </c>
      <c r="Y217" s="159" t="str">
        <f ca="1">IF(I217&lt;&gt;"",IF(I217&lt;=TODAY(),IF(OR(N217="REPROGRAMADA",N217="SUSPENDIDA",N217="EXCLUSION",N217="COLEGIADO"),"NO HECHA",IF(N217=" ","SINRESULTADO","SI")),"NO"),IF(N217="EXCLUSION","NO HECHA","LIMBO"))</f>
        <v>SI</v>
      </c>
      <c r="Z217" s="159" t="str">
        <f>IF($Z$1=I217,"DIASOL", "DIANOSOL")</f>
        <v>DIANOSOL</v>
      </c>
      <c r="AA217" s="159" t="s">
        <v>240</v>
      </c>
      <c r="AB217" s="159" t="s">
        <v>882</v>
      </c>
      <c r="AC217" s="159" t="str">
        <f>IF(H217=$M$1,"SI","NO")</f>
        <v>NO</v>
      </c>
      <c r="AD217" s="159"/>
      <c r="AE217" s="256">
        <v>45091</v>
      </c>
      <c r="AF217" s="256">
        <v>45169</v>
      </c>
      <c r="AG217" s="159" t="str">
        <f>IF(COUNTIF(C217,"*preso*")&gt;0,"SI","NO")</f>
        <v>NO</v>
      </c>
      <c r="AH217" s="244">
        <f>NroOrden(N217)</f>
        <v>50</v>
      </c>
      <c r="AI217" s="159"/>
      <c r="AJ217" s="48" t="str">
        <f ca="1">IF(OR(Y217="NO",Y217="LIMBO"),"IMP","NOIMP")</f>
        <v>NOIMP</v>
      </c>
    </row>
    <row r="218" spans="1:36" ht="39.950000000000003" customHeight="1">
      <c r="A218" s="159">
        <v>147</v>
      </c>
      <c r="B218" s="160" t="s">
        <v>1124</v>
      </c>
      <c r="C218" s="208" t="s">
        <v>501</v>
      </c>
      <c r="D218" s="159" t="s">
        <v>1125</v>
      </c>
      <c r="E218" s="159" t="s">
        <v>1126</v>
      </c>
      <c r="F218" s="256">
        <v>45002</v>
      </c>
      <c r="G218" s="159" t="s">
        <v>1109</v>
      </c>
      <c r="H218" s="159" t="s">
        <v>1641</v>
      </c>
      <c r="I218" s="160">
        <v>45162</v>
      </c>
      <c r="J218" s="160" t="s">
        <v>14</v>
      </c>
      <c r="K218" s="159" t="s">
        <v>365</v>
      </c>
      <c r="L218" s="246"/>
      <c r="M218" s="160" t="s">
        <v>332</v>
      </c>
      <c r="N218" s="159" t="s">
        <v>356</v>
      </c>
      <c r="O218" s="159" t="s">
        <v>2034</v>
      </c>
      <c r="P218" s="159" t="s">
        <v>1519</v>
      </c>
      <c r="Q218" s="159" t="s">
        <v>111</v>
      </c>
      <c r="R218" s="159"/>
      <c r="S218" s="159"/>
      <c r="T218" s="159"/>
      <c r="U218" s="159"/>
      <c r="V218" s="159" t="s">
        <v>340</v>
      </c>
      <c r="W218" s="159" t="s">
        <v>119</v>
      </c>
      <c r="X218" s="159" t="s">
        <v>111</v>
      </c>
      <c r="Y218" s="159" t="str">
        <f ca="1">IF(I218&lt;&gt;"",IF(I218&lt;=TODAY(),IF(OR(N218="REPROGRAMADA",N218="SUSPENDIDA",N218="EXCLUSION",N218="COLEGIADO"),"NO HECHA",IF(N218=" ","SINRESULTADO","SI")),"NO"),IF(N218="EXCLUSION","NO HECHA","LIMBO"))</f>
        <v>SI</v>
      </c>
      <c r="Z218" s="159" t="str">
        <f>IF($Z$1=I218,"DIASOL", "DIANOSOL")</f>
        <v>DIANOSOL</v>
      </c>
      <c r="AA218" s="159" t="s">
        <v>1129</v>
      </c>
      <c r="AB218" s="159"/>
      <c r="AC218" s="159" t="str">
        <f>IF(H218=$M$1,"SI","NO")</f>
        <v>NO</v>
      </c>
      <c r="AD218" s="159"/>
      <c r="AE218" s="159"/>
      <c r="AF218" s="159" t="s">
        <v>1530</v>
      </c>
      <c r="AG218" s="159" t="str">
        <f>IF(COUNTIF(C218,"*preso*")&gt;0,"SI","NO")</f>
        <v>SI</v>
      </c>
      <c r="AH218" s="244">
        <f>NroOrden(N218)</f>
        <v>50</v>
      </c>
      <c r="AI218" s="159"/>
      <c r="AJ218" s="48" t="str">
        <f ca="1">IF(OR(Y218="NO",Y218="LIMBO"),"IMP","NOIMP")</f>
        <v>NOIMP</v>
      </c>
    </row>
    <row r="219" spans="1:36" ht="39.950000000000003" customHeight="1">
      <c r="A219" s="159">
        <v>177</v>
      </c>
      <c r="B219" s="160" t="s">
        <v>1265</v>
      </c>
      <c r="C219" s="208" t="s">
        <v>501</v>
      </c>
      <c r="D219" s="159" t="s">
        <v>1266</v>
      </c>
      <c r="E219" s="159" t="s">
        <v>1267</v>
      </c>
      <c r="F219" s="256">
        <v>45142</v>
      </c>
      <c r="G219" s="159" t="s">
        <v>1268</v>
      </c>
      <c r="H219" s="159" t="s">
        <v>1644</v>
      </c>
      <c r="I219" s="160">
        <v>45162</v>
      </c>
      <c r="J219" s="160" t="s">
        <v>1270</v>
      </c>
      <c r="K219" s="159" t="s">
        <v>365</v>
      </c>
      <c r="L219" s="246"/>
      <c r="M219" s="160" t="s">
        <v>333</v>
      </c>
      <c r="N219" s="159" t="s">
        <v>357</v>
      </c>
      <c r="O219" s="159" t="s">
        <v>2034</v>
      </c>
      <c r="P219" s="159"/>
      <c r="Q219" s="159" t="s">
        <v>331</v>
      </c>
      <c r="R219" s="168"/>
      <c r="S219" s="159"/>
      <c r="T219" s="159"/>
      <c r="U219" s="159"/>
      <c r="V219" s="159" t="s">
        <v>343</v>
      </c>
      <c r="W219" s="159" t="s">
        <v>119</v>
      </c>
      <c r="X219" s="159" t="s">
        <v>111</v>
      </c>
      <c r="Y219" s="159" t="str">
        <f ca="1">IF(I219&lt;&gt;"",IF(I219&lt;=TODAY(),IF(OR(N219="REPROGRAMADA",N219="SUSPENDIDA",N219="EXCLUSION",N219="COLEGIADO"),"NO HECHA",IF(N219=" ","SINRESULTADO","SI")),"NO"),IF(N219="EXCLUSION","NO HECHA","LIMBO"))</f>
        <v>SI</v>
      </c>
      <c r="Z219" s="159" t="str">
        <f>IF($Z$1=I219,"DIASOL", "DIANOSOL")</f>
        <v>DIANOSOL</v>
      </c>
      <c r="AA219" s="159" t="s">
        <v>240</v>
      </c>
      <c r="AB219" s="159" t="s">
        <v>1271</v>
      </c>
      <c r="AC219" s="159" t="str">
        <f>IF(H219=$M$1,"SI","NO")</f>
        <v>NO</v>
      </c>
      <c r="AD219" s="159"/>
      <c r="AE219" s="159"/>
      <c r="AF219" s="256">
        <v>45168</v>
      </c>
      <c r="AG219" s="159" t="str">
        <f>IF(COUNTIF(C219,"*preso*")&gt;0,"SI","NO")</f>
        <v>SI</v>
      </c>
      <c r="AH219" s="244">
        <f>NroOrden(N219)</f>
        <v>50</v>
      </c>
      <c r="AI219" s="159" t="s">
        <v>1518</v>
      </c>
      <c r="AJ219" s="48" t="str">
        <f ca="1">IF(OR(Y219="NO",Y219="LIMBO"),"IMP","NOIMP")</f>
        <v>NOIMP</v>
      </c>
    </row>
    <row r="220" spans="1:36" ht="39.950000000000003" customHeight="1">
      <c r="A220" s="184">
        <v>196</v>
      </c>
      <c r="B220" s="185" t="s">
        <v>1157</v>
      </c>
      <c r="C220" s="210"/>
      <c r="D220" s="184" t="s">
        <v>1158</v>
      </c>
      <c r="E220" s="184" t="s">
        <v>468</v>
      </c>
      <c r="F220" s="220">
        <v>45114</v>
      </c>
      <c r="G220" s="184" t="s">
        <v>1064</v>
      </c>
      <c r="H220" s="184" t="s">
        <v>1644</v>
      </c>
      <c r="I220" s="185">
        <v>45163</v>
      </c>
      <c r="J220" s="185" t="s">
        <v>13</v>
      </c>
      <c r="K220" s="184" t="s">
        <v>403</v>
      </c>
      <c r="L220" s="184"/>
      <c r="M220" s="185" t="s">
        <v>328</v>
      </c>
      <c r="N220" s="184" t="s">
        <v>355</v>
      </c>
      <c r="O220" s="184" t="s">
        <v>2034</v>
      </c>
      <c r="P220" s="184" t="s">
        <v>1522</v>
      </c>
      <c r="Q220" s="184" t="s">
        <v>111</v>
      </c>
      <c r="R220" s="184"/>
      <c r="S220" s="184"/>
      <c r="T220" s="184"/>
      <c r="U220" s="184"/>
      <c r="V220" s="184" t="s">
        <v>114</v>
      </c>
      <c r="W220" s="184" t="s">
        <v>1159</v>
      </c>
      <c r="X220" s="184" t="s">
        <v>111</v>
      </c>
      <c r="Y220" s="159" t="str">
        <f ca="1">IF(I220&lt;&gt;"",IF(I220&lt;=TODAY(),IF(OR(N220="REPROGRAMADA",N220="SUSPENDIDA",N220="EXCLUSION",N220="COLEGIADO"),"NO HECHA",IF(N220=" ","SINRESULTADO","SI")),"NO"),IF(N220="EXCLUSION","NO HECHA","LIMBO"))</f>
        <v>SI</v>
      </c>
      <c r="Z220" s="159" t="str">
        <f>IF($Z$1=I220,"DIASOL", "DIANOSOL")</f>
        <v>DIANOSOL</v>
      </c>
      <c r="AA220" s="184" t="s">
        <v>240</v>
      </c>
      <c r="AB220" s="184" t="s">
        <v>1160</v>
      </c>
      <c r="AC220" s="159" t="str">
        <f>IF(H220=$M$1,"SI","NO")</f>
        <v>NO</v>
      </c>
      <c r="AD220" s="159"/>
      <c r="AE220" s="184"/>
      <c r="AF220" s="184"/>
      <c r="AG220" s="159" t="str">
        <f>IF(COUNTIF(C220,"*preso*")&gt;0,"SI","NO")</f>
        <v>NO</v>
      </c>
      <c r="AH220" s="244">
        <f>NroOrden(N220)</f>
        <v>50</v>
      </c>
      <c r="AI220" s="184" t="s">
        <v>1563</v>
      </c>
      <c r="AJ220" s="48" t="str">
        <f ca="1">IF(OR(Y220="NO",Y220="LIMBO"),"IMP","NOIMP")</f>
        <v>NOIMP</v>
      </c>
    </row>
    <row r="221" spans="1:36" ht="39.950000000000003" customHeight="1">
      <c r="A221" s="159">
        <v>174</v>
      </c>
      <c r="B221" s="160" t="s">
        <v>1249</v>
      </c>
      <c r="C221" s="208" t="s">
        <v>501</v>
      </c>
      <c r="D221" s="159" t="s">
        <v>1250</v>
      </c>
      <c r="E221" s="159" t="s">
        <v>1251</v>
      </c>
      <c r="F221" s="159"/>
      <c r="G221" s="159" t="s">
        <v>1198</v>
      </c>
      <c r="H221" s="159" t="s">
        <v>1641</v>
      </c>
      <c r="I221" s="160">
        <v>45163</v>
      </c>
      <c r="J221" s="160" t="s">
        <v>396</v>
      </c>
      <c r="K221" s="159" t="s">
        <v>363</v>
      </c>
      <c r="L221" s="246"/>
      <c r="M221" s="160" t="s">
        <v>328</v>
      </c>
      <c r="N221" s="159" t="s">
        <v>357</v>
      </c>
      <c r="O221" s="159" t="s">
        <v>2034</v>
      </c>
      <c r="P221" s="159"/>
      <c r="Q221" s="159" t="s">
        <v>330</v>
      </c>
      <c r="R221" s="168"/>
      <c r="S221" s="159" t="s">
        <v>374</v>
      </c>
      <c r="T221" s="159" t="s">
        <v>1254</v>
      </c>
      <c r="U221" s="159" t="s">
        <v>1255</v>
      </c>
      <c r="V221" s="159" t="s">
        <v>1127</v>
      </c>
      <c r="W221" s="159" t="s">
        <v>1252</v>
      </c>
      <c r="X221" s="159" t="s">
        <v>605</v>
      </c>
      <c r="Y221" s="159" t="str">
        <f ca="1">IF(I221&lt;&gt;"",IF(I221&lt;=TODAY(),IF(OR(N221="REPROGRAMADA",N221="SUSPENDIDA",N221="EXCLUSION",N221="COLEGIADO"),"NO HECHA",IF(N221=" ","SINRESULTADO","SI")),"NO"),IF(N221="EXCLUSION","NO HECHA","LIMBO"))</f>
        <v>SI</v>
      </c>
      <c r="Z221" s="159" t="str">
        <f>IF($Z$1=I221,"DIASOL", "DIANOSOL")</f>
        <v>DIANOSOL</v>
      </c>
      <c r="AA221" s="159" t="s">
        <v>1443</v>
      </c>
      <c r="AB221" s="159" t="s">
        <v>1253</v>
      </c>
      <c r="AC221" s="159" t="str">
        <f>IF(H221=$M$1,"SI","NO")</f>
        <v>NO</v>
      </c>
      <c r="AD221" s="159"/>
      <c r="AE221" s="159"/>
      <c r="AF221" s="159"/>
      <c r="AG221" s="159" t="str">
        <f>IF(COUNTIF(C221,"*preso*")&gt;0,"SI","NO")</f>
        <v>SI</v>
      </c>
      <c r="AH221" s="244">
        <f>NroOrden(N221)</f>
        <v>50</v>
      </c>
      <c r="AI221" s="159" t="s">
        <v>1525</v>
      </c>
      <c r="AJ221" s="48" t="str">
        <f ca="1">IF(OR(Y221="NO",Y221="LIMBO"),"IMP","NOIMP")</f>
        <v>NOIMP</v>
      </c>
    </row>
    <row r="222" spans="1:36" ht="57" customHeight="1">
      <c r="A222" s="184">
        <v>181</v>
      </c>
      <c r="B222" s="185" t="s">
        <v>1297</v>
      </c>
      <c r="C222" s="210" t="s">
        <v>501</v>
      </c>
      <c r="D222" s="184" t="s">
        <v>1298</v>
      </c>
      <c r="E222" s="184" t="s">
        <v>1299</v>
      </c>
      <c r="F222" s="220">
        <v>45142</v>
      </c>
      <c r="G222" s="184" t="s">
        <v>1300</v>
      </c>
      <c r="H222" s="184" t="s">
        <v>1638</v>
      </c>
      <c r="I222" s="185">
        <v>45167</v>
      </c>
      <c r="J222" s="185" t="s">
        <v>282</v>
      </c>
      <c r="K222" s="184" t="s">
        <v>365</v>
      </c>
      <c r="L222" s="246"/>
      <c r="M222" s="185" t="s">
        <v>333</v>
      </c>
      <c r="N222" s="184" t="s">
        <v>356</v>
      </c>
      <c r="O222" s="184" t="s">
        <v>2034</v>
      </c>
      <c r="P222" s="184" t="s">
        <v>1524</v>
      </c>
      <c r="Q222" s="184" t="s">
        <v>111</v>
      </c>
      <c r="R222" s="184"/>
      <c r="S222" s="184"/>
      <c r="T222" s="184" t="s">
        <v>1303</v>
      </c>
      <c r="U222" s="184" t="s">
        <v>1304</v>
      </c>
      <c r="V222" s="184" t="s">
        <v>100</v>
      </c>
      <c r="W222" s="184" t="s">
        <v>1301</v>
      </c>
      <c r="X222" s="184" t="s">
        <v>111</v>
      </c>
      <c r="Y222" s="159" t="str">
        <f ca="1">IF(I222&lt;&gt;"",IF(I222&lt;=TODAY(),IF(OR(N222="REPROGRAMADA",N222="SUSPENDIDA",N222="EXCLUSION",N222="COLEGIADO"),"NO HECHA",IF(N222=" ","SINRESULTADO","SI")),"NO"),IF(N222="EXCLUSION","NO HECHA","LIMBO"))</f>
        <v>SI</v>
      </c>
      <c r="Z222" s="245" t="str">
        <f>IF($Z$1=I222,"DIASOL", "DIANOSOL")</f>
        <v>DIANOSOL</v>
      </c>
      <c r="AA222" s="184" t="s">
        <v>240</v>
      </c>
      <c r="AB222" s="184" t="s">
        <v>1302</v>
      </c>
      <c r="AC222" s="247" t="str">
        <f>IF(H222=$M$1,"SI","NO")</f>
        <v>NO</v>
      </c>
      <c r="AD222" s="247"/>
      <c r="AE222" s="220">
        <v>45138</v>
      </c>
      <c r="AF222" s="220">
        <v>45175</v>
      </c>
      <c r="AG222" s="168" t="str">
        <f>IF(COUNTIF(C222,"*preso*")&gt;0,"SI","NO")</f>
        <v>SI</v>
      </c>
      <c r="AH222" s="244">
        <f>NroOrden(N222)</f>
        <v>50</v>
      </c>
      <c r="AI222" s="184"/>
      <c r="AJ222" s="48" t="str">
        <f ca="1">IF(OR(Y222="NO",Y222="LIMBO"),"IMP","NOIMP")</f>
        <v>NOIMP</v>
      </c>
    </row>
    <row r="223" spans="1:36" ht="39.950000000000003" customHeight="1">
      <c r="A223" s="159">
        <v>113</v>
      </c>
      <c r="B223" s="160" t="s">
        <v>961</v>
      </c>
      <c r="C223" s="208"/>
      <c r="D223" s="159" t="s">
        <v>1424</v>
      </c>
      <c r="E223" s="159" t="s">
        <v>573</v>
      </c>
      <c r="F223" s="256">
        <v>45104</v>
      </c>
      <c r="G223" s="159" t="s">
        <v>924</v>
      </c>
      <c r="H223" s="159" t="s">
        <v>1644</v>
      </c>
      <c r="I223" s="160">
        <v>45167</v>
      </c>
      <c r="J223" s="160" t="s">
        <v>1270</v>
      </c>
      <c r="K223" s="159" t="s">
        <v>362</v>
      </c>
      <c r="L223" s="184"/>
      <c r="M223" s="160" t="s">
        <v>329</v>
      </c>
      <c r="N223" s="159" t="s">
        <v>358</v>
      </c>
      <c r="O223" s="159" t="s">
        <v>2036</v>
      </c>
      <c r="P223" s="159" t="s">
        <v>2330</v>
      </c>
      <c r="Q223" s="159" t="s">
        <v>111</v>
      </c>
      <c r="R223" s="159"/>
      <c r="S223" s="159"/>
      <c r="T223" s="159"/>
      <c r="U223" s="159"/>
      <c r="V223" s="159" t="s">
        <v>345</v>
      </c>
      <c r="W223" s="159" t="s">
        <v>141</v>
      </c>
      <c r="X223" s="159" t="s">
        <v>111</v>
      </c>
      <c r="Y223" s="189" t="str">
        <f ca="1">IF(I223&lt;&gt;"",IF(I223&lt;=TODAY(),IF(OR(N223="REPROGRAMADA",N223="SUSPENDIDA",N223="EXCLUSION",N223="COLEGIADO"),"NO HECHA",IF(N223=" ","SINRESULTADO","SI")),"NO"),IF(N223="EXCLUSION","NO HECHA","LIMBO"))</f>
        <v>SI</v>
      </c>
      <c r="Z223" s="142" t="str">
        <f>IF($Z$1=I223,"DIASOL", "DIANOSOL")</f>
        <v>DIANOSOL</v>
      </c>
      <c r="AA223" s="159" t="s">
        <v>240</v>
      </c>
      <c r="AB223" s="159"/>
      <c r="AC223" s="145" t="str">
        <f>IF(H223=$M$1,"SI","NO")</f>
        <v>NO</v>
      </c>
      <c r="AD223" s="145"/>
      <c r="AE223" s="159"/>
      <c r="AF223" s="256">
        <v>45222</v>
      </c>
      <c r="AG223" s="144" t="str">
        <f>IF(COUNTIF(C223,"*preso*")&gt;0,"SI","NO")</f>
        <v>NO</v>
      </c>
      <c r="AH223" s="258">
        <f>NroOrden(N223)</f>
        <v>50</v>
      </c>
      <c r="AI223" s="159"/>
      <c r="AJ223" s="48" t="str">
        <f ca="1">IF(OR(Y223="NO",Y223="LIMBO"),"IMP","NOIMP")</f>
        <v>NOIMP</v>
      </c>
    </row>
    <row r="224" spans="1:36" ht="39.950000000000003" customHeight="1">
      <c r="A224" s="159">
        <v>193</v>
      </c>
      <c r="B224" s="160" t="s">
        <v>393</v>
      </c>
      <c r="C224" s="208"/>
      <c r="D224" s="159" t="s">
        <v>394</v>
      </c>
      <c r="E224" s="159" t="s">
        <v>395</v>
      </c>
      <c r="F224" s="256">
        <v>45076</v>
      </c>
      <c r="G224" s="159" t="s">
        <v>1269</v>
      </c>
      <c r="H224" s="159" t="s">
        <v>1641</v>
      </c>
      <c r="I224" s="160">
        <v>45169</v>
      </c>
      <c r="J224" s="160" t="s">
        <v>1419</v>
      </c>
      <c r="K224" s="159" t="s">
        <v>365</v>
      </c>
      <c r="L224" s="246"/>
      <c r="M224" s="160" t="s">
        <v>332</v>
      </c>
      <c r="N224" s="159" t="s">
        <v>359</v>
      </c>
      <c r="O224" s="159" t="s">
        <v>2034</v>
      </c>
      <c r="P224" s="159"/>
      <c r="Q224" s="159" t="s">
        <v>111</v>
      </c>
      <c r="R224" s="159"/>
      <c r="S224" s="159"/>
      <c r="T224" s="159"/>
      <c r="U224" s="159"/>
      <c r="V224" s="159" t="s">
        <v>189</v>
      </c>
      <c r="W224" s="159" t="s">
        <v>264</v>
      </c>
      <c r="X224" s="159" t="s">
        <v>111</v>
      </c>
      <c r="Y224" s="159" t="str">
        <f ca="1">IF(I224&lt;&gt;"",IF(I224&lt;=TODAY(),IF(OR(N224="REPROGRAMADA",N224="SUSPENDIDA",N224="EXCLUSION",N224="COLEGIADO"),"NO HECHA",IF(N224=" ","SINRESULTADO","SI")),"NO"),IF(N224="EXCLUSION","NO HECHA","LIMBO"))</f>
        <v>SI</v>
      </c>
      <c r="Z224" s="245" t="str">
        <f>IF($Z$1=I224,"DIASOL", "DIANOSOL")</f>
        <v>DIANOSOL</v>
      </c>
      <c r="AA224" s="159" t="s">
        <v>240</v>
      </c>
      <c r="AB224" s="159" t="s">
        <v>397</v>
      </c>
      <c r="AC224" s="247" t="str">
        <f>IF(H224=$M$1,"SI","NO")</f>
        <v>NO</v>
      </c>
      <c r="AD224" s="247"/>
      <c r="AE224" s="159"/>
      <c r="AF224" s="256">
        <v>45175</v>
      </c>
      <c r="AG224" s="168" t="str">
        <f>IF(COUNTIF(C224,"*preso*")&gt;0,"SI","NO")</f>
        <v>NO</v>
      </c>
      <c r="AH224" s="244">
        <f>NroOrden(N224)</f>
        <v>50</v>
      </c>
      <c r="AI224" s="159" t="s">
        <v>1591</v>
      </c>
      <c r="AJ224" s="48" t="str">
        <f ca="1">IF(OR(Y224="NO",Y224="LIMBO"),"IMP","NOIMP")</f>
        <v>NOIMP</v>
      </c>
    </row>
    <row r="225" spans="1:36" ht="72.75" customHeight="1">
      <c r="A225" s="159">
        <v>66</v>
      </c>
      <c r="B225" s="160" t="s">
        <v>763</v>
      </c>
      <c r="C225" s="209"/>
      <c r="D225" s="159" t="s">
        <v>764</v>
      </c>
      <c r="E225" s="159" t="s">
        <v>765</v>
      </c>
      <c r="F225" s="256">
        <v>45092</v>
      </c>
      <c r="G225" s="159" t="s">
        <v>673</v>
      </c>
      <c r="H225" s="159" t="s">
        <v>1644</v>
      </c>
      <c r="I225" s="160">
        <v>45170</v>
      </c>
      <c r="J225" s="163">
        <v>0.39583333333333331</v>
      </c>
      <c r="K225" s="159" t="s">
        <v>362</v>
      </c>
      <c r="L225" s="184"/>
      <c r="M225" s="160" t="s">
        <v>330</v>
      </c>
      <c r="N225" s="159" t="s">
        <v>357</v>
      </c>
      <c r="O225" s="159" t="s">
        <v>2034</v>
      </c>
      <c r="P225" s="159"/>
      <c r="Q225" s="159" t="s">
        <v>2155</v>
      </c>
      <c r="R225" s="159" t="s">
        <v>2413</v>
      </c>
      <c r="S225" s="159"/>
      <c r="T225" s="159"/>
      <c r="U225" s="159"/>
      <c r="V225" s="159" t="s">
        <v>182</v>
      </c>
      <c r="W225" s="159" t="s">
        <v>766</v>
      </c>
      <c r="X225" s="159" t="s">
        <v>111</v>
      </c>
      <c r="Y225" s="159" t="str">
        <f ca="1">IF(I225&lt;&gt;"",IF(I225&lt;=TODAY(),IF(OR(N225="REPROGRAMADA",N225="SUSPENDIDA",N225="EXCLUSION",N225="COLEGIADO"),"NO HECHA",IF(N225=" ","SINRESULTADO","SI")),"NO"),IF(N225="EXCLUSION","NO HECHA","LIMBO"))</f>
        <v>SI</v>
      </c>
      <c r="Z225" s="159" t="str">
        <f>IF($Z$1=I225,"DIASOL", "DIANOSOL")</f>
        <v>DIANOSOL</v>
      </c>
      <c r="AA225" s="159" t="s">
        <v>240</v>
      </c>
      <c r="AB225" s="159" t="s">
        <v>767</v>
      </c>
      <c r="AC225" s="159" t="str">
        <f>IF(H225=$M$1,"SI","NO")</f>
        <v>NO</v>
      </c>
      <c r="AD225" s="159"/>
      <c r="AE225" s="159"/>
      <c r="AF225" s="159"/>
      <c r="AG225" s="159" t="str">
        <f>IF(COUNTIF(C225,"*preso*")&gt;0,"SI","NO")</f>
        <v>NO</v>
      </c>
      <c r="AH225" s="254">
        <f>NroOrden(N225)</f>
        <v>50</v>
      </c>
      <c r="AI225" s="159" t="s">
        <v>1731</v>
      </c>
      <c r="AJ225" s="184" t="str">
        <f ca="1">IF(OR(Y225="NO",Y225="LIMBO"),"IMP","NOIMP")</f>
        <v>NOIMP</v>
      </c>
    </row>
    <row r="226" spans="1:36" ht="90.75" customHeight="1">
      <c r="A226" s="159">
        <v>126</v>
      </c>
      <c r="B226" s="160" t="s">
        <v>1017</v>
      </c>
      <c r="C226" s="208"/>
      <c r="D226" s="159" t="s">
        <v>1018</v>
      </c>
      <c r="E226" s="159" t="s">
        <v>369</v>
      </c>
      <c r="F226" s="159"/>
      <c r="G226" s="159" t="s">
        <v>1009</v>
      </c>
      <c r="H226" s="159"/>
      <c r="I226" s="160">
        <v>45170</v>
      </c>
      <c r="J226" s="160" t="s">
        <v>1417</v>
      </c>
      <c r="K226" s="159" t="s">
        <v>364</v>
      </c>
      <c r="L226" s="184"/>
      <c r="M226" s="160" t="s">
        <v>329</v>
      </c>
      <c r="N226" s="159" t="s">
        <v>1387</v>
      </c>
      <c r="O226" s="159" t="s">
        <v>2035</v>
      </c>
      <c r="P226" s="159" t="s">
        <v>1868</v>
      </c>
      <c r="Q226" s="159" t="s">
        <v>111</v>
      </c>
      <c r="R226" s="159"/>
      <c r="S226" s="159"/>
      <c r="T226" s="159"/>
      <c r="U226" s="159"/>
      <c r="V226" s="159" t="s">
        <v>182</v>
      </c>
      <c r="W226" s="159" t="s">
        <v>136</v>
      </c>
      <c r="X226" s="159" t="s">
        <v>111</v>
      </c>
      <c r="Y226" s="159" t="str">
        <f ca="1">IF(I226&lt;&gt;"",IF(I226&lt;=TODAY(),IF(OR(N226="REPROGRAMADA",N226="SUSPENDIDA",N226="EXCLUSION",N226="COLEGIADO"),"NO HECHA",IF(N226=" ","SINRESULTADO","SI")),"NO"),IF(N226="EXCLUSION","NO HECHA","LIMBO"))</f>
        <v>SI</v>
      </c>
      <c r="Z226" s="159" t="str">
        <f>IF($Z$1=I226,"DIASOL", "DIANOSOL")</f>
        <v>DIANOSOL</v>
      </c>
      <c r="AA226" s="159" t="s">
        <v>240</v>
      </c>
      <c r="AB226" s="159" t="s">
        <v>1019</v>
      </c>
      <c r="AC226" s="159" t="str">
        <f>IF(H226=$M$1,"SI","NO")</f>
        <v>NO</v>
      </c>
      <c r="AD226" s="159"/>
      <c r="AE226" s="256">
        <v>45103</v>
      </c>
      <c r="AF226" s="256">
        <v>45205</v>
      </c>
      <c r="AG226" s="159" t="str">
        <f>IF(COUNTIF(C226,"*preso*")&gt;0,"SI","NO")</f>
        <v>NO</v>
      </c>
      <c r="AH226" s="244">
        <f>NroOrden(N226)</f>
        <v>50</v>
      </c>
      <c r="AI226" s="159"/>
      <c r="AJ226" s="48" t="str">
        <f ca="1">IF(OR(Y226="NO",Y226="LIMBO"),"IMP","NOIMP")</f>
        <v>NOIMP</v>
      </c>
    </row>
    <row r="227" spans="1:36" ht="39.950000000000003" customHeight="1">
      <c r="A227" s="159">
        <v>142</v>
      </c>
      <c r="B227" s="160" t="s">
        <v>581</v>
      </c>
      <c r="C227" s="208" t="s">
        <v>989</v>
      </c>
      <c r="D227" s="159" t="s">
        <v>1096</v>
      </c>
      <c r="E227" s="159" t="s">
        <v>383</v>
      </c>
      <c r="F227" s="256">
        <v>45114</v>
      </c>
      <c r="G227" s="159" t="s">
        <v>1064</v>
      </c>
      <c r="H227" s="159" t="s">
        <v>1638</v>
      </c>
      <c r="I227" s="160">
        <v>45170</v>
      </c>
      <c r="J227" s="160" t="s">
        <v>1417</v>
      </c>
      <c r="K227" s="159" t="s">
        <v>362</v>
      </c>
      <c r="L227" s="184"/>
      <c r="M227" s="160" t="s">
        <v>330</v>
      </c>
      <c r="N227" s="159" t="s">
        <v>356</v>
      </c>
      <c r="O227" s="159" t="s">
        <v>2034</v>
      </c>
      <c r="P227" s="159"/>
      <c r="Q227" s="159" t="s">
        <v>111</v>
      </c>
      <c r="R227" s="159"/>
      <c r="S227" s="159" t="s">
        <v>614</v>
      </c>
      <c r="T227" s="159"/>
      <c r="U227" s="159" t="s">
        <v>1098</v>
      </c>
      <c r="V227" s="159" t="s">
        <v>100</v>
      </c>
      <c r="W227" s="159" t="s">
        <v>1097</v>
      </c>
      <c r="X227" s="159" t="s">
        <v>111</v>
      </c>
      <c r="Y227" s="159" t="str">
        <f ca="1">IF(I227&lt;&gt;"",IF(I227&lt;=TODAY(),IF(OR(N227="REPROGRAMADA",N227="SUSPENDIDA",N227="EXCLUSION",N227="COLEGIADO"),"NO HECHA",IF(N227=" ","SINRESULTADO","SI")),"NO"),IF(N227="EXCLUSION","NO HECHA","LIMBO"))</f>
        <v>SI</v>
      </c>
      <c r="Z227" s="159" t="str">
        <f>IF($Z$1=I227,"DIASOL", "DIANOSOL")</f>
        <v>DIANOSOL</v>
      </c>
      <c r="AA227" s="159" t="s">
        <v>240</v>
      </c>
      <c r="AB227" s="159"/>
      <c r="AC227" s="159" t="str">
        <f>IF(H227=$M$1,"SI","NO")</f>
        <v>NO</v>
      </c>
      <c r="AD227" s="159"/>
      <c r="AE227" s="159"/>
      <c r="AF227" s="159"/>
      <c r="AG227" s="159" t="str">
        <f>IF(COUNTIF(C227,"*preso*")&gt;0,"SI","NO")</f>
        <v>SI</v>
      </c>
      <c r="AH227" s="254">
        <f>NroOrden(N227)</f>
        <v>50</v>
      </c>
      <c r="AI227" s="159"/>
      <c r="AJ227" s="184" t="str">
        <f ca="1">IF(OR(Y227="NO",Y227="LIMBO"),"IMP","NOIMP")</f>
        <v>NOIMP</v>
      </c>
    </row>
    <row r="228" spans="1:36" ht="53.25" customHeight="1">
      <c r="A228" s="159">
        <v>180</v>
      </c>
      <c r="B228" s="160" t="s">
        <v>1284</v>
      </c>
      <c r="C228" s="208" t="s">
        <v>501</v>
      </c>
      <c r="D228" s="159" t="s">
        <v>1285</v>
      </c>
      <c r="E228" s="159" t="s">
        <v>1293</v>
      </c>
      <c r="F228" s="256">
        <v>45141</v>
      </c>
      <c r="G228" s="159" t="s">
        <v>1274</v>
      </c>
      <c r="H228" s="159" t="s">
        <v>1638</v>
      </c>
      <c r="I228" s="160">
        <v>45173</v>
      </c>
      <c r="J228" s="160" t="s">
        <v>282</v>
      </c>
      <c r="K228" s="159" t="s">
        <v>403</v>
      </c>
      <c r="L228" s="246"/>
      <c r="M228" s="160" t="s">
        <v>328</v>
      </c>
      <c r="N228" s="159" t="s">
        <v>355</v>
      </c>
      <c r="O228" s="159" t="s">
        <v>2034</v>
      </c>
      <c r="P228" s="159" t="s">
        <v>1588</v>
      </c>
      <c r="Q228" s="159" t="s">
        <v>111</v>
      </c>
      <c r="R228" s="159"/>
      <c r="S228" s="159" t="s">
        <v>374</v>
      </c>
      <c r="T228" s="159" t="s">
        <v>1295</v>
      </c>
      <c r="U228" s="159" t="s">
        <v>1296</v>
      </c>
      <c r="V228" s="159" t="s">
        <v>341</v>
      </c>
      <c r="W228" s="159" t="s">
        <v>133</v>
      </c>
      <c r="X228" s="159" t="s">
        <v>111</v>
      </c>
      <c r="Y228" s="159" t="str">
        <f ca="1">IF(I228&lt;&gt;"",IF(I228&lt;=TODAY(),IF(OR(N228="REPROGRAMADA",N228="SUSPENDIDA",N228="EXCLUSION",N228="COLEGIADO"),"NO HECHA",IF(N228=" ","SINRESULTADO","SI")),"NO"),IF(N228="EXCLUSION","NO HECHA","LIMBO"))</f>
        <v>SI</v>
      </c>
      <c r="Z228" s="159" t="str">
        <f>IF($Z$1=I228,"DIASOL", "DIANOSOL")</f>
        <v>DIANOSOL</v>
      </c>
      <c r="AA228" s="159" t="s">
        <v>240</v>
      </c>
      <c r="AB228" s="159" t="s">
        <v>1294</v>
      </c>
      <c r="AC228" s="159" t="str">
        <f>IF(H228=$M$1,"SI","NO")</f>
        <v>NO</v>
      </c>
      <c r="AD228" s="159"/>
      <c r="AE228" s="256">
        <v>45141</v>
      </c>
      <c r="AF228" s="256">
        <v>45175</v>
      </c>
      <c r="AG228" s="159" t="str">
        <f>IF(COUNTIF(C228,"*preso*")&gt;0,"SI","NO")</f>
        <v>SI</v>
      </c>
      <c r="AH228" s="244">
        <f>NroOrden(N228)</f>
        <v>50</v>
      </c>
      <c r="AI228" s="159" t="s">
        <v>1589</v>
      </c>
      <c r="AJ228" s="48" t="str">
        <f ca="1">IF(OR(Y228="NO",Y228="LIMBO"),"IMP","NOIMP")</f>
        <v>NOIMP</v>
      </c>
    </row>
    <row r="229" spans="1:36" ht="39.950000000000003" customHeight="1">
      <c r="A229" s="225">
        <v>203</v>
      </c>
      <c r="B229" s="322" t="s">
        <v>997</v>
      </c>
      <c r="C229" s="324"/>
      <c r="D229" s="225" t="s">
        <v>998</v>
      </c>
      <c r="E229" s="225" t="s">
        <v>999</v>
      </c>
      <c r="F229" s="327">
        <v>45110</v>
      </c>
      <c r="G229" s="225" t="s">
        <v>1000</v>
      </c>
      <c r="H229" s="225" t="s">
        <v>1641</v>
      </c>
      <c r="I229" s="322">
        <v>45174</v>
      </c>
      <c r="J229" s="322" t="s">
        <v>282</v>
      </c>
      <c r="K229" s="225" t="s">
        <v>364</v>
      </c>
      <c r="L229" s="226"/>
      <c r="M229" s="322" t="s">
        <v>333</v>
      </c>
      <c r="N229" s="225" t="s">
        <v>359</v>
      </c>
      <c r="O229" s="225" t="s">
        <v>2034</v>
      </c>
      <c r="P229" s="225"/>
      <c r="Q229" s="225" t="s">
        <v>111</v>
      </c>
      <c r="R229" s="225"/>
      <c r="S229" s="225"/>
      <c r="T229" s="225"/>
      <c r="U229" s="225"/>
      <c r="V229" s="225" t="s">
        <v>193</v>
      </c>
      <c r="W229" s="225" t="s">
        <v>133</v>
      </c>
      <c r="X229" s="225" t="s">
        <v>111</v>
      </c>
      <c r="Y229" s="225" t="str">
        <f ca="1">IF(I229&lt;&gt;"",IF(I229&lt;=TODAY(),IF(OR(N229="REPROGRAMADA",N229="SUSPENDIDA",N229="EXCLUSION",N229="COLEGIADO"),"NO HECHA",IF(N229=" ","SINRESULTADO","SI")),"NO"),IF(N229="EXCLUSION","NO HECHA","LIMBO"))</f>
        <v>SI</v>
      </c>
      <c r="Z229" s="225" t="str">
        <f>IF($Z$1=I229,"DIASOL", "DIANOSOL")</f>
        <v>DIANOSOL</v>
      </c>
      <c r="AA229" s="225" t="s">
        <v>240</v>
      </c>
      <c r="AB229" s="225" t="s">
        <v>1001</v>
      </c>
      <c r="AC229" s="225" t="str">
        <f>IF(H229=$M$1,"SI","NO")</f>
        <v>NO</v>
      </c>
      <c r="AD229" s="225"/>
      <c r="AE229" s="225"/>
      <c r="AF229" s="225"/>
      <c r="AG229" s="225" t="str">
        <f>IF(COUNTIF(C229,"*preso*")&gt;0,"SI","NO")</f>
        <v>NO</v>
      </c>
      <c r="AH229" s="244">
        <f>NroOrden(N229)</f>
        <v>50</v>
      </c>
      <c r="AI229" s="225" t="s">
        <v>1654</v>
      </c>
      <c r="AJ229" s="48" t="str">
        <f ca="1">IF(OR(Y229="NO",Y229="LIMBO"),"IMP","NOIMP")</f>
        <v>NOIMP</v>
      </c>
    </row>
    <row r="230" spans="1:36" ht="39.950000000000003" customHeight="1">
      <c r="A230" s="159">
        <v>151</v>
      </c>
      <c r="B230" s="160" t="s">
        <v>1144</v>
      </c>
      <c r="C230" s="208"/>
      <c r="D230" s="159" t="s">
        <v>1145</v>
      </c>
      <c r="E230" s="159" t="s">
        <v>1146</v>
      </c>
      <c r="F230" s="256">
        <v>45112</v>
      </c>
      <c r="G230" s="159" t="s">
        <v>1004</v>
      </c>
      <c r="H230" s="159" t="s">
        <v>1644</v>
      </c>
      <c r="I230" s="160">
        <v>45174</v>
      </c>
      <c r="J230" s="160" t="s">
        <v>960</v>
      </c>
      <c r="K230" s="159" t="s">
        <v>403</v>
      </c>
      <c r="L230" s="246"/>
      <c r="M230" s="160" t="s">
        <v>333</v>
      </c>
      <c r="N230" s="159" t="s">
        <v>355</v>
      </c>
      <c r="O230" s="159" t="s">
        <v>2034</v>
      </c>
      <c r="P230" s="159" t="s">
        <v>557</v>
      </c>
      <c r="Q230" s="159" t="s">
        <v>111</v>
      </c>
      <c r="R230" s="159"/>
      <c r="S230" s="159"/>
      <c r="T230" s="159"/>
      <c r="U230" s="159"/>
      <c r="V230" s="159" t="s">
        <v>346</v>
      </c>
      <c r="W230" s="159" t="s">
        <v>116</v>
      </c>
      <c r="X230" s="159" t="s">
        <v>605</v>
      </c>
      <c r="Y230" s="159" t="str">
        <f ca="1">IF(I230&lt;&gt;"",IF(I230&lt;=TODAY(),IF(OR(N230="REPROGRAMADA",N230="SUSPENDIDA",N230="EXCLUSION",N230="COLEGIADO"),"NO HECHA",IF(N230=" ","SINRESULTADO","SI")),"NO"),IF(N230="EXCLUSION","NO HECHA","LIMBO"))</f>
        <v>SI</v>
      </c>
      <c r="Z230" s="159" t="str">
        <f>IF($Z$1=I230,"DIASOL", "DIANOSOL")</f>
        <v>DIANOSOL</v>
      </c>
      <c r="AA230" s="159" t="s">
        <v>240</v>
      </c>
      <c r="AB230" s="159" t="s">
        <v>1147</v>
      </c>
      <c r="AC230" s="159" t="str">
        <f>IF(H230=$M$1,"SI","NO")</f>
        <v>NO</v>
      </c>
      <c r="AD230" s="159"/>
      <c r="AE230" s="256">
        <v>45107</v>
      </c>
      <c r="AF230" s="256">
        <v>45187</v>
      </c>
      <c r="AG230" s="159" t="str">
        <f>IF(COUNTIF(C230,"*preso*")&gt;0,"SI","NO")</f>
        <v>NO</v>
      </c>
      <c r="AH230" s="244">
        <f>NroOrden(N230)</f>
        <v>50</v>
      </c>
      <c r="AI230" s="159"/>
      <c r="AJ230" s="48" t="str">
        <f ca="1">IF(OR(Y230="NO",Y230="LIMBO"),"IMP","NOIMP")</f>
        <v>NOIMP</v>
      </c>
    </row>
    <row r="231" spans="1:36" ht="63" customHeight="1">
      <c r="A231" s="142">
        <v>167</v>
      </c>
      <c r="B231" s="143" t="s">
        <v>1206</v>
      </c>
      <c r="C231" s="241" t="s">
        <v>501</v>
      </c>
      <c r="D231" s="142" t="s">
        <v>1207</v>
      </c>
      <c r="E231" s="142" t="s">
        <v>885</v>
      </c>
      <c r="F231" s="271">
        <v>45139</v>
      </c>
      <c r="G231" s="142" t="s">
        <v>1208</v>
      </c>
      <c r="H231" s="142" t="s">
        <v>1641</v>
      </c>
      <c r="I231" s="143">
        <v>45175</v>
      </c>
      <c r="J231" s="143" t="s">
        <v>396</v>
      </c>
      <c r="K231" s="142" t="s">
        <v>364</v>
      </c>
      <c r="L231" s="259"/>
      <c r="M231" s="143" t="s">
        <v>330</v>
      </c>
      <c r="N231" s="142" t="s">
        <v>357</v>
      </c>
      <c r="O231" s="142" t="s">
        <v>2034</v>
      </c>
      <c r="P231" s="142"/>
      <c r="Q231" s="142" t="s">
        <v>111</v>
      </c>
      <c r="R231" s="142"/>
      <c r="S231" s="142" t="s">
        <v>374</v>
      </c>
      <c r="T231" s="142" t="s">
        <v>1211</v>
      </c>
      <c r="U231" s="142"/>
      <c r="V231" s="142" t="s">
        <v>189</v>
      </c>
      <c r="W231" s="142" t="s">
        <v>1209</v>
      </c>
      <c r="X231" s="142" t="s">
        <v>111</v>
      </c>
      <c r="Y231" s="142" t="str">
        <f ca="1">IF(I231&lt;&gt;"",IF(I231&lt;=TODAY(),IF(OR(N231="REPROGRAMADA",N231="SUSPENDIDA",N231="EXCLUSION",N231="COLEGIADO"),"NO HECHA",IF(N231=" ","SINRESULTADO","SI")),"NO"),IF(N231="EXCLUSION","NO HECHA","LIMBO"))</f>
        <v>SI</v>
      </c>
      <c r="Z231" s="142" t="str">
        <f>IF($Z$1=I231,"DIASOL", "DIANOSOL")</f>
        <v>DIANOSOL</v>
      </c>
      <c r="AA231" s="142" t="s">
        <v>240</v>
      </c>
      <c r="AB231" s="142" t="s">
        <v>1210</v>
      </c>
      <c r="AC231" s="142" t="str">
        <f>IF(H231=$M$1,"SI","NO")</f>
        <v>NO</v>
      </c>
      <c r="AD231" s="142"/>
      <c r="AE231" s="142"/>
      <c r="AF231" s="271">
        <v>45181</v>
      </c>
      <c r="AG231" s="142" t="str">
        <f>IF(COUNTIF(C231,"*preso*")&gt;0,"SI","NO")</f>
        <v>SI</v>
      </c>
      <c r="AH231" s="258">
        <f>NroOrden(N231)</f>
        <v>50</v>
      </c>
      <c r="AI231" s="142"/>
      <c r="AJ231" s="259" t="str">
        <f ca="1">IF(OR(Y231="NO",Y231="LIMBO"),"IMP","NOIMP")</f>
        <v>NOIMP</v>
      </c>
    </row>
    <row r="232" spans="1:36" ht="39.950000000000003" customHeight="1">
      <c r="A232" s="159">
        <v>173</v>
      </c>
      <c r="B232" s="160" t="s">
        <v>1185</v>
      </c>
      <c r="C232" s="208" t="s">
        <v>501</v>
      </c>
      <c r="D232" s="159" t="s">
        <v>1244</v>
      </c>
      <c r="E232" s="159" t="s">
        <v>1245</v>
      </c>
      <c r="F232" s="256">
        <v>45128</v>
      </c>
      <c r="G232" s="159" t="s">
        <v>1186</v>
      </c>
      <c r="H232" s="159"/>
      <c r="I232" s="160">
        <v>45176</v>
      </c>
      <c r="J232" s="160" t="s">
        <v>1417</v>
      </c>
      <c r="K232" s="159" t="s">
        <v>363</v>
      </c>
      <c r="L232" s="246"/>
      <c r="M232" s="160" t="s">
        <v>328</v>
      </c>
      <c r="N232" s="159" t="s">
        <v>356</v>
      </c>
      <c r="O232" s="159" t="s">
        <v>2034</v>
      </c>
      <c r="P232" s="159" t="s">
        <v>1635</v>
      </c>
      <c r="Q232" s="159" t="s">
        <v>111</v>
      </c>
      <c r="R232" s="159"/>
      <c r="S232" s="159" t="s">
        <v>374</v>
      </c>
      <c r="T232" s="159" t="s">
        <v>1247</v>
      </c>
      <c r="U232" s="159" t="s">
        <v>1248</v>
      </c>
      <c r="V232" s="159" t="s">
        <v>199</v>
      </c>
      <c r="W232" s="159" t="s">
        <v>535</v>
      </c>
      <c r="X232" s="159" t="s">
        <v>111</v>
      </c>
      <c r="Y232" s="159" t="str">
        <f ca="1">IF(I232&lt;&gt;"",IF(I232&lt;=TODAY(),IF(OR(N232="REPROGRAMADA",N232="SUSPENDIDA",N232="EXCLUSION",N232="COLEGIADO"),"NO HECHA",IF(N232=" ","SINRESULTADO","SI")),"NO"),IF(N232="EXCLUSION","NO HECHA","LIMBO"))</f>
        <v>SI</v>
      </c>
      <c r="Z232" s="245" t="str">
        <f>IF($Z$1=I232,"DIASOL", "DIANOSOL")</f>
        <v>DIANOSOL</v>
      </c>
      <c r="AA232" s="159" t="s">
        <v>240</v>
      </c>
      <c r="AB232" s="159" t="s">
        <v>1246</v>
      </c>
      <c r="AC232" s="247" t="str">
        <f>IF(H232=$M$1,"SI","NO")</f>
        <v>NO</v>
      </c>
      <c r="AD232" s="247"/>
      <c r="AE232" s="159"/>
      <c r="AF232" s="159"/>
      <c r="AG232" s="168" t="str">
        <f>IF(COUNTIF(C232,"*preso*")&gt;0,"SI","NO")</f>
        <v>SI</v>
      </c>
      <c r="AH232" s="244">
        <f>NroOrden(N232)</f>
        <v>50</v>
      </c>
      <c r="AI232" s="159" t="s">
        <v>1634</v>
      </c>
      <c r="AJ232" s="48" t="str">
        <f ca="1">IF(OR(Y232="NO",Y232="LIMBO"),"IMP","NOIMP")</f>
        <v>NOIMP</v>
      </c>
    </row>
    <row r="233" spans="1:36" ht="39.950000000000003" customHeight="1">
      <c r="A233" s="159">
        <v>185</v>
      </c>
      <c r="B233" s="160" t="s">
        <v>1341</v>
      </c>
      <c r="C233" s="208" t="s">
        <v>501</v>
      </c>
      <c r="D233" s="159" t="s">
        <v>1342</v>
      </c>
      <c r="E233" s="159" t="s">
        <v>1343</v>
      </c>
      <c r="F233" s="256">
        <v>45149</v>
      </c>
      <c r="G233" s="159" t="s">
        <v>1344</v>
      </c>
      <c r="H233" s="159" t="s">
        <v>1644</v>
      </c>
      <c r="I233" s="160">
        <v>45181</v>
      </c>
      <c r="J233" s="160" t="s">
        <v>16</v>
      </c>
      <c r="K233" s="159" t="s">
        <v>363</v>
      </c>
      <c r="L233" s="184" t="s">
        <v>1658</v>
      </c>
      <c r="M233" s="160" t="s">
        <v>331</v>
      </c>
      <c r="N233" s="159" t="s">
        <v>357</v>
      </c>
      <c r="O233" s="159" t="s">
        <v>2034</v>
      </c>
      <c r="P233" s="159"/>
      <c r="Q233" s="159" t="s">
        <v>1805</v>
      </c>
      <c r="R233" s="159" t="s">
        <v>2056</v>
      </c>
      <c r="S233" s="159" t="s">
        <v>1347</v>
      </c>
      <c r="T233" s="159" t="s">
        <v>1348</v>
      </c>
      <c r="U233" s="159" t="s">
        <v>2057</v>
      </c>
      <c r="V233" s="159" t="s">
        <v>186</v>
      </c>
      <c r="W233" s="159" t="s">
        <v>1345</v>
      </c>
      <c r="X233" s="159" t="s">
        <v>111</v>
      </c>
      <c r="Y233" s="159" t="str">
        <f ca="1">IF(I233&lt;&gt;"",IF(I233&lt;=TODAY(),IF(OR(N233="REPROGRAMADA",N233="SUSPENDIDA",N233="EXCLUSION",N233="COLEGIADO"),"NO HECHA",IF(N233=" ","SINRESULTADO","SI")),"NO"),IF(N233="EXCLUSION","NO HECHA","LIMBO"))</f>
        <v>SI</v>
      </c>
      <c r="Z233" s="159" t="str">
        <f>IF($Z$1=I233,"DIASOL", "DIANOSOL")</f>
        <v>DIANOSOL</v>
      </c>
      <c r="AA233" s="159" t="s">
        <v>624</v>
      </c>
      <c r="AB233" s="159" t="s">
        <v>1346</v>
      </c>
      <c r="AC233" s="159" t="str">
        <f>IF(H233=$M$1,"SI","NO")</f>
        <v>NO</v>
      </c>
      <c r="AD233" s="159"/>
      <c r="AE233" s="256">
        <v>45147</v>
      </c>
      <c r="AF233" s="256">
        <v>45208</v>
      </c>
      <c r="AG233" s="159" t="str">
        <f>IF(COUNTIF(C233,"*preso*")&gt;0,"SI","NO")</f>
        <v>SI</v>
      </c>
      <c r="AH233" s="254">
        <f>NroOrden(N233)</f>
        <v>50</v>
      </c>
      <c r="AI233" s="159"/>
      <c r="AJ233" s="48" t="str">
        <f ca="1">IF(OR(Y233="NO",Y233="LIMBO"),"IMP","NOIMP")</f>
        <v>NOIMP</v>
      </c>
    </row>
    <row r="234" spans="1:36" ht="72" customHeight="1">
      <c r="A234" s="159">
        <v>172</v>
      </c>
      <c r="B234" s="160" t="s">
        <v>1237</v>
      </c>
      <c r="C234" s="208" t="s">
        <v>501</v>
      </c>
      <c r="D234" s="159" t="s">
        <v>1238</v>
      </c>
      <c r="E234" s="159" t="s">
        <v>1239</v>
      </c>
      <c r="F234" s="256">
        <v>45139</v>
      </c>
      <c r="G234" s="159" t="s">
        <v>1198</v>
      </c>
      <c r="H234" s="159" t="s">
        <v>1638</v>
      </c>
      <c r="I234" s="160">
        <v>45187</v>
      </c>
      <c r="J234" s="160" t="s">
        <v>1417</v>
      </c>
      <c r="K234" s="159" t="s">
        <v>363</v>
      </c>
      <c r="L234" s="246"/>
      <c r="M234" s="160" t="s">
        <v>331</v>
      </c>
      <c r="N234" s="159" t="s">
        <v>356</v>
      </c>
      <c r="O234" s="159" t="s">
        <v>2034</v>
      </c>
      <c r="P234" s="159"/>
      <c r="Q234" s="159" t="s">
        <v>111</v>
      </c>
      <c r="R234" s="159"/>
      <c r="S234" s="159" t="s">
        <v>374</v>
      </c>
      <c r="T234" s="159" t="s">
        <v>1242</v>
      </c>
      <c r="U234" s="159" t="s">
        <v>1243</v>
      </c>
      <c r="V234" s="159" t="s">
        <v>1128</v>
      </c>
      <c r="W234" s="159" t="s">
        <v>1240</v>
      </c>
      <c r="X234" s="159" t="s">
        <v>111</v>
      </c>
      <c r="Y234" s="159" t="str">
        <f ca="1">IF(I234&lt;&gt;"",IF(I234&lt;=TODAY(),IF(OR(N234="REPROGRAMADA",N234="SUSPENDIDA",N234="EXCLUSION",N234="COLEGIADO"),"NO HECHA",IF(N234=" ","SINRESULTADO","SI")),"NO"),IF(N234="EXCLUSION","NO HECHA","LIMBO"))</f>
        <v>SI</v>
      </c>
      <c r="Z234" s="159" t="str">
        <f>IF($Z$1=I234,"DIASOL", "DIANOSOL")</f>
        <v>DIANOSOL</v>
      </c>
      <c r="AA234" s="159" t="s">
        <v>1429</v>
      </c>
      <c r="AB234" s="159" t="s">
        <v>1241</v>
      </c>
      <c r="AC234" s="159" t="str">
        <f>IF(H234=$M$1,"SI","NO")</f>
        <v>NO</v>
      </c>
      <c r="AD234" s="159"/>
      <c r="AE234" s="159"/>
      <c r="AF234" s="159"/>
      <c r="AG234" s="159" t="str">
        <f>IF(COUNTIF(C234,"*preso*")&gt;0,"SI","NO")</f>
        <v>SI</v>
      </c>
      <c r="AH234" s="244">
        <f>NroOrden(N234)</f>
        <v>50</v>
      </c>
      <c r="AI234" s="159" t="s">
        <v>1652</v>
      </c>
      <c r="AJ234" s="48" t="str">
        <f ca="1">IF(OR(Y234="NO",Y234="LIMBO"),"IMP","NOIMP")</f>
        <v>NOIMP</v>
      </c>
    </row>
    <row r="235" spans="1:36" ht="39.950000000000003" customHeight="1">
      <c r="A235" s="159">
        <v>226</v>
      </c>
      <c r="B235" s="160" t="s">
        <v>572</v>
      </c>
      <c r="C235" s="208"/>
      <c r="D235" s="159" t="s">
        <v>1335</v>
      </c>
      <c r="E235" s="159" t="s">
        <v>573</v>
      </c>
      <c r="F235" s="256">
        <v>45079</v>
      </c>
      <c r="G235" s="159"/>
      <c r="H235" s="159" t="s">
        <v>1644</v>
      </c>
      <c r="I235" s="160">
        <v>45187</v>
      </c>
      <c r="J235" s="160" t="s">
        <v>1270</v>
      </c>
      <c r="K235" s="159" t="s">
        <v>362</v>
      </c>
      <c r="L235" s="246"/>
      <c r="M235" s="160" t="s">
        <v>329</v>
      </c>
      <c r="N235" s="159" t="s">
        <v>359</v>
      </c>
      <c r="O235" s="159" t="s">
        <v>2034</v>
      </c>
      <c r="P235" s="159"/>
      <c r="Q235" s="159" t="s">
        <v>111</v>
      </c>
      <c r="R235" s="159"/>
      <c r="S235" s="159"/>
      <c r="T235" s="159"/>
      <c r="U235" s="159"/>
      <c r="V235" s="159" t="s">
        <v>191</v>
      </c>
      <c r="W235" s="159" t="s">
        <v>111</v>
      </c>
      <c r="X235" s="159" t="s">
        <v>111</v>
      </c>
      <c r="Y235" s="159" t="str">
        <f ca="1">IF(I235&lt;&gt;"",IF(I235&lt;=TODAY(),IF(OR(N235="REPROGRAMADA",N235="SUSPENDIDA",N235="EXCLUSION",N235="COLEGIADO"),"NO HECHA",IF(N235=" ","SINRESULTADO","SI")),"NO"),IF(N235="EXCLUSION","NO HECHA","LIMBO"))</f>
        <v>SI</v>
      </c>
      <c r="Z235" s="159" t="str">
        <f>IF($Z$1=I235,"DIASOL", "DIANOSOL")</f>
        <v>DIANOSOL</v>
      </c>
      <c r="AA235" s="159" t="s">
        <v>240</v>
      </c>
      <c r="AB235" s="159" t="s">
        <v>574</v>
      </c>
      <c r="AC235" s="159" t="str">
        <f>IF(H235=$M$1,"SI","NO")</f>
        <v>NO</v>
      </c>
      <c r="AD235" s="159"/>
      <c r="AE235" s="159"/>
      <c r="AF235" s="159"/>
      <c r="AG235" s="159" t="str">
        <f>IF(COUNTIF(C235,"*preso*")&gt;0,"SI","NO")</f>
        <v>NO</v>
      </c>
      <c r="AH235" s="244">
        <f>NroOrden(N235)</f>
        <v>50</v>
      </c>
      <c r="AI235" s="159"/>
      <c r="AJ235" s="48" t="str">
        <f ca="1">IF(OR(Y235="NO",Y235="LIMBO"),"IMP","NOIMP")</f>
        <v>NOIMP</v>
      </c>
    </row>
    <row r="236" spans="1:36" ht="39.950000000000003" customHeight="1">
      <c r="A236" s="159">
        <v>201</v>
      </c>
      <c r="B236" s="160" t="s">
        <v>1409</v>
      </c>
      <c r="C236" s="208" t="s">
        <v>501</v>
      </c>
      <c r="D236" s="159" t="s">
        <v>1410</v>
      </c>
      <c r="E236" s="159" t="s">
        <v>1411</v>
      </c>
      <c r="F236" s="256">
        <v>45151</v>
      </c>
      <c r="G236" s="256" t="s">
        <v>1369</v>
      </c>
      <c r="H236" s="159" t="s">
        <v>1644</v>
      </c>
      <c r="I236" s="160">
        <v>45190</v>
      </c>
      <c r="J236" s="160" t="s">
        <v>960</v>
      </c>
      <c r="K236" s="159" t="s">
        <v>365</v>
      </c>
      <c r="L236" s="184"/>
      <c r="M236" s="160" t="s">
        <v>331</v>
      </c>
      <c r="N236" s="159" t="s">
        <v>356</v>
      </c>
      <c r="O236" s="159" t="s">
        <v>2034</v>
      </c>
      <c r="P236" s="159"/>
      <c r="Q236" s="159" t="s">
        <v>111</v>
      </c>
      <c r="R236" s="159"/>
      <c r="S236" s="159" t="s">
        <v>1413</v>
      </c>
      <c r="T236" s="159" t="s">
        <v>1414</v>
      </c>
      <c r="U236" s="159" t="s">
        <v>1415</v>
      </c>
      <c r="V236" s="159" t="s">
        <v>199</v>
      </c>
      <c r="W236" s="159" t="s">
        <v>202</v>
      </c>
      <c r="X236" s="159" t="s">
        <v>111</v>
      </c>
      <c r="Y236" s="159" t="str">
        <f ca="1">IF(I236&lt;&gt;"",IF(I236&lt;=TODAY(),IF(OR(N236="REPROGRAMADA",N236="SUSPENDIDA",N236="EXCLUSION",N236="COLEGIADO"),"NO HECHA",IF(N236=" ","SINRESULTADO","SI")),"NO"),IF(N236="EXCLUSION","NO HECHA","LIMBO"))</f>
        <v>SI</v>
      </c>
      <c r="Z236" s="165" t="str">
        <f>IF($Z$1=I236,"DIASOL", "DIANOSOL")</f>
        <v>DIANOSOL</v>
      </c>
      <c r="AA236" s="159" t="s">
        <v>240</v>
      </c>
      <c r="AB236" s="159" t="s">
        <v>1412</v>
      </c>
      <c r="AC236" s="165" t="str">
        <f>IF(H236=$M$1,"SI","NO")</f>
        <v>NO</v>
      </c>
      <c r="AD236" s="165"/>
      <c r="AE236" s="159" t="s">
        <v>1416</v>
      </c>
      <c r="AF236" s="159"/>
      <c r="AG236" s="165" t="str">
        <f>IF(COUNTIF(C236,"*preso*")&gt;0,"SI","NO")</f>
        <v>SI</v>
      </c>
      <c r="AH236" s="254">
        <f>NroOrden(N236)</f>
        <v>50</v>
      </c>
      <c r="AI236" s="159"/>
      <c r="AJ236" s="48" t="str">
        <f ca="1">IF(OR(Y236="NO",Y236="LIMBO"),"IMP","NOIMP")</f>
        <v>NOIMP</v>
      </c>
    </row>
    <row r="237" spans="1:36" ht="39.950000000000003" customHeight="1">
      <c r="A237" s="159">
        <v>184</v>
      </c>
      <c r="B237" s="160" t="s">
        <v>829</v>
      </c>
      <c r="C237" s="208"/>
      <c r="D237" s="159" t="s">
        <v>1316</v>
      </c>
      <c r="E237" s="159" t="s">
        <v>831</v>
      </c>
      <c r="F237" s="256">
        <v>45026</v>
      </c>
      <c r="G237" s="159" t="s">
        <v>1317</v>
      </c>
      <c r="H237" s="159" t="s">
        <v>1638</v>
      </c>
      <c r="I237" s="160">
        <v>45190</v>
      </c>
      <c r="J237" s="160" t="s">
        <v>14</v>
      </c>
      <c r="K237" s="159" t="s">
        <v>362</v>
      </c>
      <c r="L237" s="184"/>
      <c r="M237" s="160" t="s">
        <v>330</v>
      </c>
      <c r="N237" s="159" t="s">
        <v>2032</v>
      </c>
      <c r="O237" s="159" t="s">
        <v>2036</v>
      </c>
      <c r="P237" s="159"/>
      <c r="Q237" s="159" t="s">
        <v>111</v>
      </c>
      <c r="R237" s="159"/>
      <c r="S237" s="159"/>
      <c r="T237" s="159"/>
      <c r="U237" s="159"/>
      <c r="V237" s="159" t="s">
        <v>182</v>
      </c>
      <c r="W237" s="159" t="s">
        <v>116</v>
      </c>
      <c r="X237" s="159" t="s">
        <v>111</v>
      </c>
      <c r="Y237" s="159" t="str">
        <f ca="1">IF(I237&lt;&gt;"",IF(I237&lt;=TODAY(),IF(OR(N237="REPROGRAMADA",N237="SUSPENDIDA",N237="EXCLUSION",N237="COLEGIADO"),"NO HECHA",IF(N237=" ","SINRESULTADO","SI")),"NO"),IF(N237="EXCLUSION","NO HECHA","LIMBO"))</f>
        <v>SI</v>
      </c>
      <c r="Z237" s="159" t="str">
        <f>IF($Z$1=I237,"DIASOL", "DIANOSOL")</f>
        <v>DIANOSOL</v>
      </c>
      <c r="AA237" s="159" t="s">
        <v>240</v>
      </c>
      <c r="AB237" s="159" t="s">
        <v>834</v>
      </c>
      <c r="AC237" s="159" t="str">
        <f>IF(H237=$M$1,"SI","NO")</f>
        <v>NO</v>
      </c>
      <c r="AD237" s="159"/>
      <c r="AE237" s="159"/>
      <c r="AF237" s="159"/>
      <c r="AG237" s="159" t="str">
        <f>IF(COUNTIF(C237,"*preso*")&gt;0,"SI","NO")</f>
        <v>NO</v>
      </c>
      <c r="AH237" s="254">
        <f>NroOrden(N237)</f>
        <v>50</v>
      </c>
      <c r="AI237" s="159"/>
      <c r="AJ237" s="48" t="str">
        <f ca="1">IF(OR(Y237="NO",Y237="LIMBO"),"IMP","NOIMP")</f>
        <v>NOIMP</v>
      </c>
    </row>
    <row r="238" spans="1:36" ht="126" customHeight="1">
      <c r="A238" s="159">
        <v>212</v>
      </c>
      <c r="B238" s="160" t="s">
        <v>1479</v>
      </c>
      <c r="C238" s="208"/>
      <c r="D238" s="159" t="s">
        <v>1480</v>
      </c>
      <c r="E238" s="159" t="s">
        <v>1481</v>
      </c>
      <c r="F238" s="256">
        <v>45161</v>
      </c>
      <c r="G238" s="159" t="s">
        <v>1448</v>
      </c>
      <c r="H238" s="159" t="s">
        <v>1642</v>
      </c>
      <c r="I238" s="160">
        <v>45191</v>
      </c>
      <c r="J238" s="160" t="s">
        <v>14</v>
      </c>
      <c r="K238" s="159" t="s">
        <v>363</v>
      </c>
      <c r="L238" s="184"/>
      <c r="M238" s="160" t="s">
        <v>330</v>
      </c>
      <c r="N238" s="159" t="s">
        <v>357</v>
      </c>
      <c r="O238" s="159" t="s">
        <v>2034</v>
      </c>
      <c r="P238" s="159"/>
      <c r="Q238" s="159" t="s">
        <v>1805</v>
      </c>
      <c r="R238" s="159" t="s">
        <v>2414</v>
      </c>
      <c r="S238" s="159"/>
      <c r="T238" s="159"/>
      <c r="U238" s="159"/>
      <c r="V238" s="159" t="s">
        <v>913</v>
      </c>
      <c r="W238" s="159" t="s">
        <v>1482</v>
      </c>
      <c r="X238" s="159" t="s">
        <v>111</v>
      </c>
      <c r="Y238" s="159" t="str">
        <f ca="1">IF(I238&lt;&gt;"",IF(I238&lt;=TODAY(),IF(OR(N238="REPROGRAMADA",N238="SUSPENDIDA",N238="EXCLUSION",N238="COLEGIADO"),"NO HECHA",IF(N238=" ","SINRESULTADO","SI")),"NO"),IF(N238="EXCLUSION","NO HECHA","LIMBO"))</f>
        <v>SI</v>
      </c>
      <c r="Z238" s="159" t="str">
        <f>IF($Z$1=I238,"DIASOL", "DIANOSOL")</f>
        <v>DIANOSOL</v>
      </c>
      <c r="AA238" s="159" t="s">
        <v>240</v>
      </c>
      <c r="AB238" s="159" t="s">
        <v>1483</v>
      </c>
      <c r="AC238" s="159" t="str">
        <f>IF(H238=$M$1,"SI","NO")</f>
        <v>NO</v>
      </c>
      <c r="AD238" s="159"/>
      <c r="AE238" s="256">
        <v>45155</v>
      </c>
      <c r="AF238" s="159"/>
      <c r="AG238" s="159" t="str">
        <f>IF(COUNTIF(C238,"*preso*")&gt;0,"SI","NO")</f>
        <v>NO</v>
      </c>
      <c r="AH238" s="254">
        <f>NroOrden(N238)</f>
        <v>50</v>
      </c>
      <c r="AI238" s="159"/>
      <c r="AJ238" s="184" t="str">
        <f ca="1">IF(OR(Y238="NO",Y238="LIMBO"),"IMP","NOIMP")</f>
        <v>NOIMP</v>
      </c>
    </row>
    <row r="239" spans="1:36" ht="39.950000000000003" customHeight="1">
      <c r="A239" s="159">
        <v>242</v>
      </c>
      <c r="B239" s="160" t="s">
        <v>728</v>
      </c>
      <c r="C239" s="208"/>
      <c r="D239" s="159" t="s">
        <v>729</v>
      </c>
      <c r="E239" s="159" t="s">
        <v>518</v>
      </c>
      <c r="F239" s="256">
        <v>45091</v>
      </c>
      <c r="G239" s="159" t="s">
        <v>673</v>
      </c>
      <c r="H239" s="159" t="s">
        <v>1643</v>
      </c>
      <c r="I239" s="160">
        <v>45194</v>
      </c>
      <c r="J239" s="160" t="s">
        <v>960</v>
      </c>
      <c r="K239" s="159" t="s">
        <v>364</v>
      </c>
      <c r="L239" s="159" t="s">
        <v>111</v>
      </c>
      <c r="M239" s="160" t="s">
        <v>328</v>
      </c>
      <c r="N239" s="159" t="s">
        <v>359</v>
      </c>
      <c r="O239" s="159" t="s">
        <v>2034</v>
      </c>
      <c r="P239" s="159"/>
      <c r="Q239" s="159"/>
      <c r="R239" s="159"/>
      <c r="S239" s="159"/>
      <c r="T239" s="159"/>
      <c r="U239" s="159"/>
      <c r="V239" s="159" t="s">
        <v>191</v>
      </c>
      <c r="W239" s="159" t="s">
        <v>140</v>
      </c>
      <c r="X239" s="159" t="s">
        <v>111</v>
      </c>
      <c r="Y239" s="159" t="str">
        <f ca="1">IF(I239&lt;&gt;"",IF(I239&lt;=TODAY(),IF(OR(N239="REPROGRAMADA",N239="SUSPENDIDA",N239="EXCLUSION",N239="COLEGIADO"),"NO HECHA",IF(N239=" ","SINRESULTADO","SI")),"NO"),IF(N239="EXCLUSION","NO HECHA","LIMBO"))</f>
        <v>SI</v>
      </c>
      <c r="Z239" s="159" t="str">
        <f>IF($Z$1=I239,"DIASOL", "DIANOSOL")</f>
        <v>DIANOSOL</v>
      </c>
      <c r="AA239" s="159" t="s">
        <v>240</v>
      </c>
      <c r="AB239" s="159" t="s">
        <v>731</v>
      </c>
      <c r="AC239" s="159" t="str">
        <f>IF(H239=$M$1,"SI","NO")</f>
        <v>SI</v>
      </c>
      <c r="AD239" s="159"/>
      <c r="AE239" s="159"/>
      <c r="AF239" s="256">
        <v>45203</v>
      </c>
      <c r="AG239" s="159" t="str">
        <f>IF(COUNTIF(C239,"*preso*")&gt;0,"SI","NO")</f>
        <v>NO</v>
      </c>
      <c r="AH239" s="254">
        <f>NroOrden(N239)</f>
        <v>50</v>
      </c>
      <c r="AI239" s="159" t="s">
        <v>1590</v>
      </c>
      <c r="AJ239" s="48" t="str">
        <f ca="1">IF(OR(Y239="NO",Y239="LIMBO"),"IMP","NOIMP")</f>
        <v>NOIMP</v>
      </c>
    </row>
    <row r="240" spans="1:36" ht="69" customHeight="1">
      <c r="A240" s="159">
        <v>207</v>
      </c>
      <c r="B240" s="160" t="s">
        <v>926</v>
      </c>
      <c r="C240" s="208"/>
      <c r="D240" s="159" t="s">
        <v>927</v>
      </c>
      <c r="E240" s="159" t="s">
        <v>590</v>
      </c>
      <c r="F240" s="256">
        <v>45068</v>
      </c>
      <c r="G240" s="159" t="s">
        <v>928</v>
      </c>
      <c r="H240" s="159" t="s">
        <v>1641</v>
      </c>
      <c r="I240" s="160">
        <v>45195</v>
      </c>
      <c r="J240" s="160" t="s">
        <v>282</v>
      </c>
      <c r="K240" s="159" t="s">
        <v>363</v>
      </c>
      <c r="L240" s="159"/>
      <c r="M240" s="160" t="s">
        <v>329</v>
      </c>
      <c r="N240" s="159" t="s">
        <v>358</v>
      </c>
      <c r="O240" s="159" t="s">
        <v>2034</v>
      </c>
      <c r="P240" s="159"/>
      <c r="Q240" s="159" t="s">
        <v>111</v>
      </c>
      <c r="R240" s="159"/>
      <c r="S240" s="159"/>
      <c r="T240" s="159"/>
      <c r="U240" s="159"/>
      <c r="V240" s="159" t="s">
        <v>346</v>
      </c>
      <c r="W240" s="159" t="s">
        <v>141</v>
      </c>
      <c r="X240" s="159" t="s">
        <v>111</v>
      </c>
      <c r="Y240" s="159" t="str">
        <f ca="1">IF(I240&lt;&gt;"",IF(I240&lt;=TODAY(),IF(OR(N240="REPROGRAMADA",N240="SUSPENDIDA",N240="EXCLUSION",N240="COLEGIADO"),"NO HECHA",IF(N240=" ","SINRESULTADO","SI")),"NO"),IF(N240="EXCLUSION","NO HECHA","LIMBO"))</f>
        <v>SI</v>
      </c>
      <c r="Z240" s="159" t="str">
        <f>IF($Z$1=I240,"DIASOL", "DIANOSOL")</f>
        <v>DIANOSOL</v>
      </c>
      <c r="AA240" s="159" t="s">
        <v>240</v>
      </c>
      <c r="AB240" s="159" t="s">
        <v>929</v>
      </c>
      <c r="AC240" s="159" t="str">
        <f>IF(H240=$M$1,"SI","NO")</f>
        <v>NO</v>
      </c>
      <c r="AD240" s="159"/>
      <c r="AE240" s="256">
        <v>45064</v>
      </c>
      <c r="AF240" s="256">
        <v>45205</v>
      </c>
      <c r="AG240" s="159" t="str">
        <f>IF(COUNTIF(C240,"*preso*")&gt;0,"SI","NO")</f>
        <v>NO</v>
      </c>
      <c r="AH240" s="254">
        <f>NroOrden(N240)</f>
        <v>50</v>
      </c>
      <c r="AI240" s="159"/>
      <c r="AJ240" s="48" t="str">
        <f ca="1">IF(OR(Y240="NO",Y240="LIMBO"),"IMP","NOIMP")</f>
        <v>NOIMP</v>
      </c>
    </row>
    <row r="241" spans="1:36" ht="39.950000000000003" customHeight="1">
      <c r="A241" s="159">
        <v>208</v>
      </c>
      <c r="B241" s="160" t="s">
        <v>1445</v>
      </c>
      <c r="C241" s="208" t="s">
        <v>1472</v>
      </c>
      <c r="D241" s="159" t="s">
        <v>1446</v>
      </c>
      <c r="E241" s="159" t="s">
        <v>1447</v>
      </c>
      <c r="F241" s="256">
        <v>45161</v>
      </c>
      <c r="G241" s="159" t="s">
        <v>1448</v>
      </c>
      <c r="H241" s="159" t="s">
        <v>1638</v>
      </c>
      <c r="I241" s="160">
        <v>45195</v>
      </c>
      <c r="J241" s="160" t="s">
        <v>282</v>
      </c>
      <c r="K241" s="159" t="s">
        <v>364</v>
      </c>
      <c r="L241" s="159"/>
      <c r="M241" s="160" t="s">
        <v>330</v>
      </c>
      <c r="N241" s="159" t="s">
        <v>356</v>
      </c>
      <c r="O241" s="159" t="s">
        <v>2034</v>
      </c>
      <c r="P241" s="159" t="s">
        <v>1869</v>
      </c>
      <c r="Q241" s="159" t="s">
        <v>111</v>
      </c>
      <c r="R241" s="159"/>
      <c r="S241" s="159" t="s">
        <v>1413</v>
      </c>
      <c r="T241" s="159" t="s">
        <v>1452</v>
      </c>
      <c r="U241" s="159" t="s">
        <v>1453</v>
      </c>
      <c r="V241" s="159" t="s">
        <v>1449</v>
      </c>
      <c r="W241" s="159" t="s">
        <v>1450</v>
      </c>
      <c r="X241" s="159" t="s">
        <v>111</v>
      </c>
      <c r="Y241" s="159" t="str">
        <f ca="1">IF(I241&lt;&gt;"",IF(I241&lt;=TODAY(),IF(OR(N241="REPROGRAMADA",N241="SUSPENDIDA",N241="EXCLUSION",N241="COLEGIADO"),"NO HECHA",IF(N241=" ","SINRESULTADO","SI")),"NO"),IF(N241="EXCLUSION","NO HECHA","LIMBO"))</f>
        <v>SI</v>
      </c>
      <c r="Z241" s="245" t="str">
        <f>IF($Z$1=I241,"DIASOL", "DIANOSOL")</f>
        <v>DIANOSOL</v>
      </c>
      <c r="AA241" s="159" t="s">
        <v>240</v>
      </c>
      <c r="AB241" s="159" t="s">
        <v>1451</v>
      </c>
      <c r="AC241" s="247" t="str">
        <f>IF(H241=$M$1,"SI","NO")</f>
        <v>NO</v>
      </c>
      <c r="AD241" s="247"/>
      <c r="AE241" s="256">
        <v>45154</v>
      </c>
      <c r="AF241" s="256">
        <v>45203</v>
      </c>
      <c r="AG241" s="168" t="str">
        <f>IF(COUNTIF(C241,"*preso*")&gt;0,"SI","NO")</f>
        <v>SI</v>
      </c>
      <c r="AH241" s="244">
        <f>NroOrden(N241)</f>
        <v>50</v>
      </c>
      <c r="AI241" s="159"/>
      <c r="AJ241" s="48" t="str">
        <f ca="1">IF(OR(Y241="NO",Y241="LIMBO"),"IMP","NOIMP")</f>
        <v>NOIMP</v>
      </c>
    </row>
    <row r="242" spans="1:36" ht="72" customHeight="1">
      <c r="A242" s="144">
        <v>168</v>
      </c>
      <c r="B242" s="143" t="s">
        <v>1177</v>
      </c>
      <c r="C242" s="241" t="s">
        <v>501</v>
      </c>
      <c r="D242" s="144" t="s">
        <v>1212</v>
      </c>
      <c r="E242" s="142" t="s">
        <v>705</v>
      </c>
      <c r="F242" s="158">
        <v>45128</v>
      </c>
      <c r="G242" s="142" t="s">
        <v>1213</v>
      </c>
      <c r="H242" s="142" t="s">
        <v>1644</v>
      </c>
      <c r="I242" s="288">
        <v>45195</v>
      </c>
      <c r="J242" s="143" t="s">
        <v>960</v>
      </c>
      <c r="K242" s="144" t="s">
        <v>362</v>
      </c>
      <c r="L242" s="144"/>
      <c r="M242" s="143" t="s">
        <v>330</v>
      </c>
      <c r="N242" s="142" t="s">
        <v>357</v>
      </c>
      <c r="O242" s="142" t="s">
        <v>2034</v>
      </c>
      <c r="P242" s="142" t="s">
        <v>2415</v>
      </c>
      <c r="Q242" s="144" t="s">
        <v>111</v>
      </c>
      <c r="R242" s="144"/>
      <c r="S242" s="260" t="s">
        <v>1216</v>
      </c>
      <c r="T242" s="260" t="s">
        <v>1217</v>
      </c>
      <c r="U242" s="144"/>
      <c r="V242" s="142" t="s">
        <v>1128</v>
      </c>
      <c r="W242" s="142" t="s">
        <v>1214</v>
      </c>
      <c r="X242" s="142" t="s">
        <v>1215</v>
      </c>
      <c r="Y242" s="189" t="str">
        <f ca="1">IF(I242&lt;&gt;"",IF(I242&lt;=TODAY(),IF(OR(N242="REPROGRAMADA",N242="SUSPENDIDA",N242="EXCLUSION",N242="COLEGIADO"),"NO HECHA",IF(N242=" ","SINRESULTADO","SI")),"NO"),IF(N242="EXCLUSION","NO HECHA","LIMBO"))</f>
        <v>SI</v>
      </c>
      <c r="Z242" s="142" t="str">
        <f>IF($Z$1=I242,"DIASOL", "DIANOSOL")</f>
        <v>DIANOSOL</v>
      </c>
      <c r="AA242" s="142" t="s">
        <v>240</v>
      </c>
      <c r="AB242" s="142"/>
      <c r="AC242" s="145" t="str">
        <f>IF(H242=$M$1,"SI","NO")</f>
        <v>NO</v>
      </c>
      <c r="AD242" s="145"/>
      <c r="AE242" s="144"/>
      <c r="AF242" s="144"/>
      <c r="AG242" s="144" t="str">
        <f>IF(COUNTIF(C242,"*preso*")&gt;0,"SI","NO")</f>
        <v>SI</v>
      </c>
      <c r="AH242" s="258">
        <f>NroOrden(N242)</f>
        <v>50</v>
      </c>
      <c r="AI242" s="144"/>
      <c r="AJ242" s="48" t="str">
        <f ca="1">IF(OR(Y242="NO",Y242="LIMBO"),"IMP","NOIMP")</f>
        <v>NOIMP</v>
      </c>
    </row>
    <row r="243" spans="1:36" ht="39.950000000000003" customHeight="1">
      <c r="A243" s="159">
        <v>165</v>
      </c>
      <c r="B243" s="160" t="s">
        <v>1195</v>
      </c>
      <c r="C243" s="208"/>
      <c r="D243" s="159" t="s">
        <v>1196</v>
      </c>
      <c r="E243" s="159" t="s">
        <v>1197</v>
      </c>
      <c r="F243" s="256">
        <v>45138</v>
      </c>
      <c r="G243" s="159" t="s">
        <v>1198</v>
      </c>
      <c r="H243" s="159" t="s">
        <v>1640</v>
      </c>
      <c r="I243" s="160">
        <v>45195</v>
      </c>
      <c r="J243" s="160" t="s">
        <v>396</v>
      </c>
      <c r="K243" s="159" t="s">
        <v>365</v>
      </c>
      <c r="L243" s="159"/>
      <c r="M243" s="160" t="s">
        <v>332</v>
      </c>
      <c r="N243" s="159" t="s">
        <v>355</v>
      </c>
      <c r="O243" s="159" t="s">
        <v>2034</v>
      </c>
      <c r="P243" s="159" t="s">
        <v>1871</v>
      </c>
      <c r="Q243" s="159" t="s">
        <v>111</v>
      </c>
      <c r="R243" s="159"/>
      <c r="S243" s="159"/>
      <c r="T243" s="159"/>
      <c r="U243" s="159"/>
      <c r="V243" s="159" t="s">
        <v>184</v>
      </c>
      <c r="W243" s="159" t="s">
        <v>1199</v>
      </c>
      <c r="X243" s="159" t="s">
        <v>111</v>
      </c>
      <c r="Y243" s="159" t="str">
        <f ca="1">IF(I243&lt;&gt;"",IF(I243&lt;=TODAY(),IF(OR(N243="REPROGRAMADA",N243="SUSPENDIDA",N243="EXCLUSION",N243="COLEGIADO"),"NO HECHA",IF(N243=" ","SINRESULTADO","SI")),"NO"),IF(N243="EXCLUSION","NO HECHA","LIMBO"))</f>
        <v>SI</v>
      </c>
      <c r="Z243" s="245" t="str">
        <f>IF($Z$1=I243,"DIASOL", "DIANOSOL")</f>
        <v>DIANOSOL</v>
      </c>
      <c r="AA243" s="159" t="s">
        <v>240</v>
      </c>
      <c r="AB243" s="159" t="s">
        <v>1200</v>
      </c>
      <c r="AC243" s="247" t="str">
        <f>IF(H243=$M$1,"SI","NO")</f>
        <v>NO</v>
      </c>
      <c r="AD243" s="247"/>
      <c r="AE243" s="159"/>
      <c r="AF243" s="256">
        <v>45203</v>
      </c>
      <c r="AG243" s="168" t="str">
        <f>IF(COUNTIF(C243,"*preso*")&gt;0,"SI","NO")</f>
        <v>NO</v>
      </c>
      <c r="AH243" s="244">
        <f>NroOrden(N243)</f>
        <v>50</v>
      </c>
      <c r="AI243" s="159"/>
      <c r="AJ243" s="48" t="str">
        <f ca="1">IF(OR(Y243="NO",Y243="LIMBO"),"IMP","NOIMP")</f>
        <v>NOIMP</v>
      </c>
    </row>
    <row r="244" spans="1:36" ht="39.950000000000003" customHeight="1">
      <c r="A244" s="159">
        <v>227</v>
      </c>
      <c r="B244" s="160" t="s">
        <v>1564</v>
      </c>
      <c r="C244" s="208"/>
      <c r="D244" s="159" t="s">
        <v>1565</v>
      </c>
      <c r="E244" s="159" t="s">
        <v>1566</v>
      </c>
      <c r="F244" s="256">
        <v>45146</v>
      </c>
      <c r="G244" s="159" t="s">
        <v>1567</v>
      </c>
      <c r="H244" s="159" t="s">
        <v>1641</v>
      </c>
      <c r="I244" s="160">
        <v>45196</v>
      </c>
      <c r="J244" s="160" t="s">
        <v>396</v>
      </c>
      <c r="K244" s="159" t="s">
        <v>362</v>
      </c>
      <c r="L244" s="159"/>
      <c r="M244" s="160" t="s">
        <v>330</v>
      </c>
      <c r="N244" s="159" t="s">
        <v>357</v>
      </c>
      <c r="O244" s="159" t="s">
        <v>2034</v>
      </c>
      <c r="P244" s="159"/>
      <c r="Q244" s="159" t="s">
        <v>1802</v>
      </c>
      <c r="R244" s="159" t="s">
        <v>2416</v>
      </c>
      <c r="S244" s="159"/>
      <c r="T244" s="159"/>
      <c r="U244" s="159"/>
      <c r="V244" s="159" t="s">
        <v>1281</v>
      </c>
      <c r="W244" s="159" t="s">
        <v>1568</v>
      </c>
      <c r="X244" s="159" t="s">
        <v>111</v>
      </c>
      <c r="Y244" s="159" t="str">
        <f ca="1">IF(I244&lt;&gt;"",IF(I244&lt;=TODAY(),IF(OR(N244="REPROGRAMADA",N244="SUSPENDIDA",N244="EXCLUSION",N244="COLEGIADO"),"NO HECHA",IF(N244=" ","SINRESULTADO","SI")),"NO"),IF(N244="EXCLUSION","NO HECHA","LIMBO"))</f>
        <v>SI</v>
      </c>
      <c r="Z244" s="159" t="str">
        <f>IF($Z$1=I244,"DIASOL", "DIANOSOL")</f>
        <v>DIANOSOL</v>
      </c>
      <c r="AA244" s="159" t="s">
        <v>240</v>
      </c>
      <c r="AB244" s="159" t="s">
        <v>1569</v>
      </c>
      <c r="AC244" s="159" t="str">
        <f>IF(H244=$M$1,"SI","NO")</f>
        <v>NO</v>
      </c>
      <c r="AD244" s="159"/>
      <c r="AE244" s="256">
        <v>45142</v>
      </c>
      <c r="AF244" s="159"/>
      <c r="AG244" s="159" t="str">
        <f>IF(COUNTIF(C244,"*preso*")&gt;0,"SI","NO")</f>
        <v>NO</v>
      </c>
      <c r="AH244" s="254">
        <f>NroOrden(N244)</f>
        <v>50</v>
      </c>
      <c r="AI244" s="159"/>
      <c r="AJ244" s="184" t="str">
        <f ca="1">IF(OR(Y244="NO",Y244="LIMBO"),"IMP","NOIMP")</f>
        <v>NOIMP</v>
      </c>
    </row>
    <row r="245" spans="1:36" ht="39.950000000000003" customHeight="1">
      <c r="A245" s="159">
        <v>257</v>
      </c>
      <c r="B245" s="160" t="s">
        <v>1017</v>
      </c>
      <c r="C245" s="208" t="s">
        <v>501</v>
      </c>
      <c r="D245" s="159" t="s">
        <v>1018</v>
      </c>
      <c r="E245" s="159" t="s">
        <v>369</v>
      </c>
      <c r="F245" s="256"/>
      <c r="G245" s="159" t="s">
        <v>1009</v>
      </c>
      <c r="H245" s="159" t="s">
        <v>1638</v>
      </c>
      <c r="I245" s="160">
        <v>45196</v>
      </c>
      <c r="J245" s="160" t="s">
        <v>14</v>
      </c>
      <c r="K245" s="159" t="s">
        <v>363</v>
      </c>
      <c r="L245" s="159" t="s">
        <v>111</v>
      </c>
      <c r="M245" s="160" t="s">
        <v>329</v>
      </c>
      <c r="N245" s="159" t="s">
        <v>356</v>
      </c>
      <c r="O245" s="159" t="s">
        <v>2034</v>
      </c>
      <c r="P245" s="159" t="s">
        <v>1729</v>
      </c>
      <c r="Q245" s="159"/>
      <c r="R245" s="159"/>
      <c r="S245" s="159"/>
      <c r="T245" s="159"/>
      <c r="U245" s="159"/>
      <c r="V245" s="159" t="s">
        <v>182</v>
      </c>
      <c r="W245" s="159" t="s">
        <v>136</v>
      </c>
      <c r="X245" s="159" t="s">
        <v>111</v>
      </c>
      <c r="Y245" s="159" t="str">
        <f ca="1">IF(I245&lt;&gt;"",IF(I245&lt;=TODAY(),IF(OR(N245="REPROGRAMADA",N245="SUSPENDIDA",N245="EXCLUSION",N245="COLEGIADO"),"NO HECHA",IF(N245=" ","SINRESULTADO","SI")),"NO"),IF(N245="EXCLUSION","NO HECHA","LIMBO"))</f>
        <v>SI</v>
      </c>
      <c r="Z245" s="159" t="str">
        <f>IF($Z$1=I245,"DIASOL", "DIANOSOL")</f>
        <v>DIANOSOL</v>
      </c>
      <c r="AA245" s="159" t="s">
        <v>240</v>
      </c>
      <c r="AB245" s="159" t="s">
        <v>1019</v>
      </c>
      <c r="AC245" s="159" t="str">
        <f>IF(H245=$M$1,"SI","NO")</f>
        <v>NO</v>
      </c>
      <c r="AD245" s="159"/>
      <c r="AE245" s="159"/>
      <c r="AF245" s="256">
        <v>45203</v>
      </c>
      <c r="AG245" s="159" t="str">
        <f>IF(COUNTIF(C245,"*preso*")&gt;0,"SI","NO")</f>
        <v>SI</v>
      </c>
      <c r="AH245" s="244">
        <f>NroOrden(N245)</f>
        <v>50</v>
      </c>
      <c r="AI245" s="159" t="s">
        <v>1730</v>
      </c>
      <c r="AJ245" s="48" t="str">
        <f ca="1">IF(OR(Y245="NO",Y245="LIMBO"),"IMP","NOIMP")</f>
        <v>NOIMP</v>
      </c>
    </row>
    <row r="246" spans="1:36" ht="39.950000000000003" customHeight="1">
      <c r="A246" s="159">
        <v>135</v>
      </c>
      <c r="B246" s="160" t="s">
        <v>949</v>
      </c>
      <c r="C246" s="208"/>
      <c r="D246" s="159" t="s">
        <v>1060</v>
      </c>
      <c r="E246" s="159" t="s">
        <v>951</v>
      </c>
      <c r="F246" s="159"/>
      <c r="G246" s="159" t="s">
        <v>952</v>
      </c>
      <c r="H246" s="159" t="s">
        <v>1644</v>
      </c>
      <c r="I246" s="160">
        <v>45196</v>
      </c>
      <c r="J246" s="160" t="s">
        <v>1562</v>
      </c>
      <c r="K246" s="159" t="s">
        <v>362</v>
      </c>
      <c r="L246" s="159"/>
      <c r="M246" s="160" t="s">
        <v>330</v>
      </c>
      <c r="N246" s="159" t="s">
        <v>355</v>
      </c>
      <c r="O246" s="159" t="s">
        <v>2034</v>
      </c>
      <c r="P246" s="159" t="s">
        <v>1870</v>
      </c>
      <c r="Q246" s="159" t="s">
        <v>111</v>
      </c>
      <c r="R246" s="159"/>
      <c r="S246" s="159"/>
      <c r="T246" s="159"/>
      <c r="U246" s="159"/>
      <c r="V246" s="159" t="s">
        <v>193</v>
      </c>
      <c r="W246" s="159" t="s">
        <v>140</v>
      </c>
      <c r="X246" s="159" t="s">
        <v>111</v>
      </c>
      <c r="Y246" s="159" t="str">
        <f ca="1">IF(I246&lt;&gt;"",IF(I246&lt;=TODAY(),IF(OR(N246="REPROGRAMADA",N246="SUSPENDIDA",N246="EXCLUSION",N246="COLEGIADO"),"NO HECHA",IF(N246=" ","SINRESULTADO","SI")),"NO"),IF(N246="EXCLUSION","NO HECHA","LIMBO"))</f>
        <v>SI</v>
      </c>
      <c r="Z246" s="149" t="str">
        <f>IF($Z$1=I246,"DIASOL", "DIANOSOL")</f>
        <v>DIANOSOL</v>
      </c>
      <c r="AA246" s="159" t="s">
        <v>240</v>
      </c>
      <c r="AB246" s="159" t="s">
        <v>954</v>
      </c>
      <c r="AC246" s="151" t="str">
        <f>IF(H246=$M$1,"SI","NO")</f>
        <v>NO</v>
      </c>
      <c r="AD246" s="151"/>
      <c r="AE246" s="159"/>
      <c r="AF246" s="256">
        <v>45203</v>
      </c>
      <c r="AG246" s="84" t="str">
        <f>IF(COUNTIF(C246,"*preso*")&gt;0,"SI","NO")</f>
        <v>NO</v>
      </c>
      <c r="AH246" s="244">
        <f>NroOrden(N246)</f>
        <v>50</v>
      </c>
      <c r="AI246" s="159"/>
      <c r="AJ246" s="48" t="str">
        <f ca="1">IF(OR(Y246="NO",Y246="LIMBO"),"IMP","NOIMP")</f>
        <v>NOIMP</v>
      </c>
    </row>
    <row r="247" spans="1:36" ht="150.75" customHeight="1">
      <c r="A247" s="159">
        <v>238</v>
      </c>
      <c r="B247" s="160" t="s">
        <v>1185</v>
      </c>
      <c r="C247" s="208" t="s">
        <v>501</v>
      </c>
      <c r="D247" s="159" t="s">
        <v>1244</v>
      </c>
      <c r="E247" s="159" t="s">
        <v>1245</v>
      </c>
      <c r="F247" s="256">
        <v>45128</v>
      </c>
      <c r="G247" s="159" t="s">
        <v>1186</v>
      </c>
      <c r="H247" s="159" t="s">
        <v>1640</v>
      </c>
      <c r="I247" s="160">
        <v>45198</v>
      </c>
      <c r="J247" s="160" t="s">
        <v>960</v>
      </c>
      <c r="K247" s="159" t="s">
        <v>363</v>
      </c>
      <c r="L247" s="159"/>
      <c r="M247" s="160" t="s">
        <v>328</v>
      </c>
      <c r="N247" s="159" t="s">
        <v>356</v>
      </c>
      <c r="O247" s="159" t="s">
        <v>2034</v>
      </c>
      <c r="P247" s="159" t="s">
        <v>2078</v>
      </c>
      <c r="Q247" s="159" t="s">
        <v>111</v>
      </c>
      <c r="R247" s="159"/>
      <c r="S247" s="159" t="s">
        <v>374</v>
      </c>
      <c r="T247" s="159" t="s">
        <v>1247</v>
      </c>
      <c r="U247" s="159" t="s">
        <v>1248</v>
      </c>
      <c r="V247" s="159" t="s">
        <v>199</v>
      </c>
      <c r="W247" s="159" t="s">
        <v>535</v>
      </c>
      <c r="X247" s="159" t="s">
        <v>111</v>
      </c>
      <c r="Y247" s="159" t="str">
        <f ca="1">IF(I247&lt;&gt;"",IF(I247&lt;=TODAY(),IF(OR(N247="REPROGRAMADA",N247="SUSPENDIDA",N247="EXCLUSION",N247="COLEGIADO"),"NO HECHA",IF(N247=" ","SINRESULTADO","SI")),"NO"),IF(N247="EXCLUSION","NO HECHA","LIMBO"))</f>
        <v>SI</v>
      </c>
      <c r="Z247" s="159" t="str">
        <f>IF($Z$1=I247,"DIASOL", "DIANOSOL")</f>
        <v>DIANOSOL</v>
      </c>
      <c r="AA247" s="159" t="s">
        <v>240</v>
      </c>
      <c r="AB247" s="159" t="s">
        <v>1246</v>
      </c>
      <c r="AC247" s="159" t="str">
        <f>IF(H247=$M$1,"SI","NO")</f>
        <v>NO</v>
      </c>
      <c r="AD247" s="159"/>
      <c r="AE247" s="159"/>
      <c r="AF247" s="159"/>
      <c r="AG247" s="159" t="str">
        <f>IF(COUNTIF(C247,"*preso*")&gt;0,"SI","NO")</f>
        <v>SI</v>
      </c>
      <c r="AH247" s="254">
        <f>NroOrden(N247)</f>
        <v>50</v>
      </c>
      <c r="AI247" s="159" t="s">
        <v>1634</v>
      </c>
      <c r="AJ247" s="48" t="str">
        <f ca="1">IF(OR(Y247="NO",Y247="LIMBO"),"IMP","NOIMP")</f>
        <v>NOIMP</v>
      </c>
    </row>
    <row r="248" spans="1:36" ht="57" customHeight="1">
      <c r="A248" s="159">
        <v>335</v>
      </c>
      <c r="B248" s="160" t="s">
        <v>1185</v>
      </c>
      <c r="C248" s="208" t="s">
        <v>501</v>
      </c>
      <c r="D248" s="159" t="s">
        <v>1244</v>
      </c>
      <c r="E248" s="159" t="s">
        <v>1245</v>
      </c>
      <c r="F248" s="159">
        <v>45128</v>
      </c>
      <c r="G248" s="159" t="s">
        <v>1186</v>
      </c>
      <c r="H248" s="159" t="s">
        <v>1640</v>
      </c>
      <c r="I248" s="160">
        <v>45198</v>
      </c>
      <c r="J248" s="160" t="s">
        <v>960</v>
      </c>
      <c r="K248" s="159" t="s">
        <v>364</v>
      </c>
      <c r="L248" s="159"/>
      <c r="M248" s="160" t="s">
        <v>328</v>
      </c>
      <c r="N248" s="159" t="s">
        <v>359</v>
      </c>
      <c r="O248" s="159" t="s">
        <v>2034</v>
      </c>
      <c r="P248" s="159" t="s">
        <v>2079</v>
      </c>
      <c r="Q248" s="159" t="s">
        <v>240</v>
      </c>
      <c r="R248" s="159"/>
      <c r="S248" s="159" t="s">
        <v>374</v>
      </c>
      <c r="T248" s="159" t="s">
        <v>1247</v>
      </c>
      <c r="U248" s="159" t="s">
        <v>1248</v>
      </c>
      <c r="V248" s="159" t="s">
        <v>199</v>
      </c>
      <c r="W248" s="159" t="s">
        <v>535</v>
      </c>
      <c r="X248" s="159" t="s">
        <v>111</v>
      </c>
      <c r="Y248" s="159" t="str">
        <f ca="1">IF(I248&lt;&gt;"",IF(I248&lt;=TODAY(),IF(OR(N248="REPROGRAMADA",N248="SUSPENDIDA",N248="EXCLUSION",N248="COLEGIADO"),"NO HECHA",IF(N248=" ","SINRESULTADO","SI")),"NO"),IF(N248="EXCLUSION","NO HECHA","LIMBO"))</f>
        <v>SI</v>
      </c>
      <c r="Z248" s="159" t="str">
        <f>IF($Z$1=I248,"DIASOL", "DIANOSOL")</f>
        <v>DIANOSOL</v>
      </c>
      <c r="AA248" s="159" t="s">
        <v>240</v>
      </c>
      <c r="AB248" s="256"/>
      <c r="AC248" s="159" t="str">
        <f>IF(H248=$M$1,"SI","NO")</f>
        <v>NO</v>
      </c>
      <c r="AD248" s="159"/>
      <c r="AE248" s="159"/>
      <c r="AF248" s="159"/>
      <c r="AG248" s="159" t="str">
        <f>IF(COUNTIF(C248,"*preso*")&gt;0,"SI","NO")</f>
        <v>SI</v>
      </c>
      <c r="AH248" s="254">
        <f>NroOrden(N248)</f>
        <v>50</v>
      </c>
      <c r="AI248" s="159"/>
      <c r="AJ248" s="48" t="str">
        <f ca="1">IF(OR(Y248="NO",Y248="LIMBO"),"IMP","NOIMP")</f>
        <v>NOIMP</v>
      </c>
    </row>
    <row r="249" spans="1:36" ht="80.25" customHeight="1">
      <c r="A249" s="159">
        <v>182</v>
      </c>
      <c r="B249" s="160" t="s">
        <v>1305</v>
      </c>
      <c r="C249" s="208" t="s">
        <v>501</v>
      </c>
      <c r="D249" s="159" t="s">
        <v>1306</v>
      </c>
      <c r="E249" s="159" t="s">
        <v>1307</v>
      </c>
      <c r="F249" s="256">
        <v>45145</v>
      </c>
      <c r="G249" s="159" t="s">
        <v>1308</v>
      </c>
      <c r="H249" s="159" t="s">
        <v>1641</v>
      </c>
      <c r="I249" s="160">
        <v>45198</v>
      </c>
      <c r="J249" s="160" t="s">
        <v>396</v>
      </c>
      <c r="K249" s="159" t="s">
        <v>365</v>
      </c>
      <c r="L249" s="159"/>
      <c r="M249" s="160" t="s">
        <v>331</v>
      </c>
      <c r="N249" s="159" t="s">
        <v>357</v>
      </c>
      <c r="O249" s="159" t="s">
        <v>2036</v>
      </c>
      <c r="P249" s="159"/>
      <c r="Q249" s="159" t="s">
        <v>329</v>
      </c>
      <c r="R249" s="159" t="s">
        <v>2417</v>
      </c>
      <c r="S249" s="159" t="s">
        <v>374</v>
      </c>
      <c r="T249" s="159" t="s">
        <v>1310</v>
      </c>
      <c r="U249" s="159" t="s">
        <v>1311</v>
      </c>
      <c r="V249" s="159" t="s">
        <v>1281</v>
      </c>
      <c r="W249" s="159" t="s">
        <v>1259</v>
      </c>
      <c r="X249" s="159" t="s">
        <v>111</v>
      </c>
      <c r="Y249" s="159" t="str">
        <f ca="1">IF(I249&lt;&gt;"",IF(I249&lt;=TODAY(),IF(OR(N249="REPROGRAMADA",N249="SUSPENDIDA",N249="EXCLUSION",N249="COLEGIADO"),"NO HECHA",IF(N249=" ","SINRESULTADO","SI")),"NO"),IF(N249="EXCLUSION","NO HECHA","LIMBO"))</f>
        <v>SI</v>
      </c>
      <c r="Z249" s="159" t="str">
        <f>IF($Z$1=I249,"DIASOL", "DIANOSOL")</f>
        <v>DIANOSOL</v>
      </c>
      <c r="AA249" s="159" t="s">
        <v>1223</v>
      </c>
      <c r="AB249" s="159" t="s">
        <v>1309</v>
      </c>
      <c r="AC249" s="159" t="str">
        <f>IF(H249=$M$1,"SI","NO")</f>
        <v>NO</v>
      </c>
      <c r="AD249" s="159"/>
      <c r="AE249" s="256">
        <v>45141</v>
      </c>
      <c r="AF249" s="159"/>
      <c r="AG249" s="159" t="str">
        <f>IF(COUNTIF(C249,"*preso*")&gt;0,"SI","NO")</f>
        <v>SI</v>
      </c>
      <c r="AH249" s="254">
        <f>NroOrden(N249)</f>
        <v>50</v>
      </c>
      <c r="AI249" s="159"/>
      <c r="AJ249" s="184" t="str">
        <f ca="1">IF(OR(Y249="NO",Y249="LIMBO"),"IMP","NOIMP")</f>
        <v>NOIMP</v>
      </c>
    </row>
    <row r="250" spans="1:36" ht="39.950000000000003" customHeight="1">
      <c r="A250" s="159">
        <v>198</v>
      </c>
      <c r="B250" s="160" t="s">
        <v>1399</v>
      </c>
      <c r="C250" s="208"/>
      <c r="D250" s="159" t="s">
        <v>1400</v>
      </c>
      <c r="E250" s="159" t="s">
        <v>1401</v>
      </c>
      <c r="F250" s="256">
        <v>45153</v>
      </c>
      <c r="G250" s="159" t="s">
        <v>1369</v>
      </c>
      <c r="H250" s="159" t="s">
        <v>1637</v>
      </c>
      <c r="I250" s="160">
        <v>45198</v>
      </c>
      <c r="J250" s="160" t="s">
        <v>1562</v>
      </c>
      <c r="K250" s="159" t="s">
        <v>362</v>
      </c>
      <c r="L250" s="159"/>
      <c r="M250" s="160" t="s">
        <v>330</v>
      </c>
      <c r="N250" s="159" t="s">
        <v>355</v>
      </c>
      <c r="O250" s="159" t="s">
        <v>2034</v>
      </c>
      <c r="P250" s="159" t="s">
        <v>2121</v>
      </c>
      <c r="Q250" s="159" t="s">
        <v>111</v>
      </c>
      <c r="R250" s="159"/>
      <c r="S250" s="159"/>
      <c r="T250" s="159"/>
      <c r="U250" s="159"/>
      <c r="V250" s="159" t="s">
        <v>344</v>
      </c>
      <c r="W250" s="159" t="s">
        <v>269</v>
      </c>
      <c r="X250" s="159" t="s">
        <v>111</v>
      </c>
      <c r="Y250" s="159" t="str">
        <f ca="1">IF(I250&lt;&gt;"",IF(I250&lt;=TODAY(),IF(OR(N250="REPROGRAMADA",N250="SUSPENDIDA",N250="EXCLUSION",N250="COLEGIADO"),"NO HECHA",IF(N250=" ","SINRESULTADO","SI")),"NO"),IF(N250="EXCLUSION","NO HECHA","LIMBO"))</f>
        <v>SI</v>
      </c>
      <c r="Z250" s="159" t="str">
        <f>IF($Z$1=I250,"DIASOL", "DIANOSOL")</f>
        <v>DIANOSOL</v>
      </c>
      <c r="AA250" s="159" t="s">
        <v>240</v>
      </c>
      <c r="AB250" s="159" t="s">
        <v>1402</v>
      </c>
      <c r="AC250" s="159" t="str">
        <f>IF(H250=$M$1,"SI","NO")</f>
        <v>NO</v>
      </c>
      <c r="AD250" s="159"/>
      <c r="AE250" s="256">
        <v>45148</v>
      </c>
      <c r="AF250" s="256">
        <v>45208</v>
      </c>
      <c r="AG250" s="159" t="str">
        <f>IF(COUNTIF(C250,"*preso*")&gt;0,"SI","NO")</f>
        <v>NO</v>
      </c>
      <c r="AH250" s="254">
        <f>NroOrden(N250)</f>
        <v>50</v>
      </c>
      <c r="AI250" s="159"/>
      <c r="AJ250" s="48" t="str">
        <f ca="1">IF(OR(Y250="NO",Y250="LIMBO"),"IMP","NOIMP")</f>
        <v>NOIMP</v>
      </c>
    </row>
    <row r="251" spans="1:36" ht="72.75" customHeight="1">
      <c r="A251" s="159">
        <v>210</v>
      </c>
      <c r="B251" s="160" t="s">
        <v>1464</v>
      </c>
      <c r="C251" s="208" t="s">
        <v>1472</v>
      </c>
      <c r="D251" s="159" t="s">
        <v>1465</v>
      </c>
      <c r="E251" s="159" t="s">
        <v>1466</v>
      </c>
      <c r="F251" s="256">
        <v>45160</v>
      </c>
      <c r="G251" s="159" t="s">
        <v>1448</v>
      </c>
      <c r="H251" s="159" t="s">
        <v>1671</v>
      </c>
      <c r="I251" s="160">
        <v>45198</v>
      </c>
      <c r="J251" s="160" t="s">
        <v>1320</v>
      </c>
      <c r="K251" s="159" t="s">
        <v>1674</v>
      </c>
      <c r="L251" s="159"/>
      <c r="M251" s="160" t="s">
        <v>331</v>
      </c>
      <c r="N251" s="159" t="s">
        <v>357</v>
      </c>
      <c r="O251" s="159" t="s">
        <v>2036</v>
      </c>
      <c r="P251" s="159"/>
      <c r="Q251" s="159" t="s">
        <v>1750</v>
      </c>
      <c r="R251" s="159" t="s">
        <v>2418</v>
      </c>
      <c r="S251" s="159" t="s">
        <v>1413</v>
      </c>
      <c r="T251" s="159" t="s">
        <v>1471</v>
      </c>
      <c r="U251" s="159" t="s">
        <v>1470</v>
      </c>
      <c r="V251" s="159" t="s">
        <v>1467</v>
      </c>
      <c r="W251" s="159" t="s">
        <v>1468</v>
      </c>
      <c r="X251" s="159" t="s">
        <v>111</v>
      </c>
      <c r="Y251" s="159" t="str">
        <f ca="1">IF(I251&lt;&gt;"",IF(I251&lt;=TODAY(),IF(OR(N251="REPROGRAMADA",N251="SUSPENDIDA",N251="EXCLUSION",N251="COLEGIADO"),"NO HECHA",IF(N251=" ","SINRESULTADO","SI")),"NO"),IF(N251="EXCLUSION","NO HECHA","LIMBO"))</f>
        <v>SI</v>
      </c>
      <c r="Z251" s="159" t="str">
        <f>IF($Z$1=I251,"DIASOL", "DIANOSOL")</f>
        <v>DIANOSOL</v>
      </c>
      <c r="AA251" s="159" t="s">
        <v>240</v>
      </c>
      <c r="AB251" s="159" t="s">
        <v>1469</v>
      </c>
      <c r="AC251" s="159" t="str">
        <f>IF(H251=$M$1,"SI","NO")</f>
        <v>NO</v>
      </c>
      <c r="AD251" s="159"/>
      <c r="AE251" s="256">
        <v>45156</v>
      </c>
      <c r="AF251" s="159"/>
      <c r="AG251" s="159" t="str">
        <f>IF(COUNTIF(C251,"*preso*")&gt;0,"SI","NO")</f>
        <v>SI</v>
      </c>
      <c r="AH251" s="254">
        <f>NroOrden(N251)</f>
        <v>50</v>
      </c>
      <c r="AI251" s="159" t="s">
        <v>1809</v>
      </c>
      <c r="AJ251" s="184" t="str">
        <f ca="1">IF(OR(Y251="NO",Y251="LIMBO"),"IMP","NOIMP")</f>
        <v>NOIMP</v>
      </c>
    </row>
    <row r="252" spans="1:36" ht="63.75">
      <c r="A252" s="159">
        <v>252</v>
      </c>
      <c r="B252" s="160" t="s">
        <v>1704</v>
      </c>
      <c r="C252" s="208" t="s">
        <v>501</v>
      </c>
      <c r="D252" s="159" t="s">
        <v>1705</v>
      </c>
      <c r="E252" s="159" t="s">
        <v>1706</v>
      </c>
      <c r="F252" s="256">
        <v>45196</v>
      </c>
      <c r="G252" s="159"/>
      <c r="H252" s="159" t="s">
        <v>1640</v>
      </c>
      <c r="I252" s="160">
        <v>45201</v>
      </c>
      <c r="J252" s="160" t="s">
        <v>15</v>
      </c>
      <c r="K252" s="159" t="s">
        <v>362</v>
      </c>
      <c r="L252" s="159" t="s">
        <v>1658</v>
      </c>
      <c r="M252" s="160" t="s">
        <v>328</v>
      </c>
      <c r="N252" s="159" t="s">
        <v>355</v>
      </c>
      <c r="O252" s="159" t="s">
        <v>2034</v>
      </c>
      <c r="P252" s="159" t="s">
        <v>2000</v>
      </c>
      <c r="Q252" s="159"/>
      <c r="R252" s="159"/>
      <c r="S252" s="159"/>
      <c r="T252" s="159"/>
      <c r="U252" s="159"/>
      <c r="V252" s="159" t="s">
        <v>344</v>
      </c>
      <c r="W252" s="159" t="s">
        <v>140</v>
      </c>
      <c r="X252" s="159" t="s">
        <v>111</v>
      </c>
      <c r="Y252" s="159" t="str">
        <f ca="1">IF(I252&lt;&gt;"",IF(I252&lt;=TODAY(),IF(OR(N252="REPROGRAMADA",N252="SUSPENDIDA",N252="EXCLUSION",N252="COLEGIADO"),"NO HECHA",IF(N252=" ","SINRESULTADO","SI")),"NO"),IF(N252="EXCLUSION","NO HECHA","LIMBO"))</f>
        <v>SI</v>
      </c>
      <c r="Z252" s="159" t="str">
        <f>IF($Z$1=I252,"DIASOL", "DIANOSOL")</f>
        <v>DIANOSOL</v>
      </c>
      <c r="AA252" s="159" t="s">
        <v>240</v>
      </c>
      <c r="AB252" s="159" t="s">
        <v>1707</v>
      </c>
      <c r="AC252" s="159" t="str">
        <f>IF(H252=$M$1,"SI","NO")</f>
        <v>NO</v>
      </c>
      <c r="AD252" s="159"/>
      <c r="AE252" s="256">
        <v>45196</v>
      </c>
      <c r="AF252" s="159"/>
      <c r="AG252" s="159" t="str">
        <f>IF(COUNTIF(C252,"*preso*")&gt;0,"SI","NO")</f>
        <v>SI</v>
      </c>
      <c r="AH252" s="254">
        <f>NroOrden(N252)</f>
        <v>50</v>
      </c>
      <c r="AI252" s="159"/>
      <c r="AJ252" s="184" t="str">
        <f ca="1">IF(OR(Y252="NO",Y252="LIMBO"),"IMP","NOIMP")</f>
        <v>NOIMP</v>
      </c>
    </row>
    <row r="253" spans="1:36" ht="25.5">
      <c r="A253" s="159">
        <v>220</v>
      </c>
      <c r="B253" s="160" t="s">
        <v>1543</v>
      </c>
      <c r="C253" s="208"/>
      <c r="D253" s="159" t="s">
        <v>2156</v>
      </c>
      <c r="E253" s="159" t="s">
        <v>1544</v>
      </c>
      <c r="F253" s="256">
        <v>45168</v>
      </c>
      <c r="G253" s="159" t="s">
        <v>1539</v>
      </c>
      <c r="H253" s="159" t="s">
        <v>1643</v>
      </c>
      <c r="I253" s="160">
        <v>45201</v>
      </c>
      <c r="J253" s="160" t="s">
        <v>1270</v>
      </c>
      <c r="K253" s="159" t="s">
        <v>362</v>
      </c>
      <c r="L253" s="159" t="s">
        <v>1659</v>
      </c>
      <c r="M253" s="160" t="s">
        <v>330</v>
      </c>
      <c r="N253" s="159" t="s">
        <v>355</v>
      </c>
      <c r="O253" s="159" t="s">
        <v>2034</v>
      </c>
      <c r="P253" s="159"/>
      <c r="Q253" s="159" t="s">
        <v>111</v>
      </c>
      <c r="R253" s="159"/>
      <c r="S253" s="159"/>
      <c r="T253" s="159"/>
      <c r="U253" s="159"/>
      <c r="V253" s="159" t="s">
        <v>337</v>
      </c>
      <c r="W253" s="159" t="s">
        <v>116</v>
      </c>
      <c r="X253" s="159" t="s">
        <v>111</v>
      </c>
      <c r="Y253" s="159" t="str">
        <f ca="1">IF(I253&lt;&gt;"",IF(I253&lt;=TODAY(),IF(OR(N253="REPROGRAMADA",N253="SUSPENDIDA",N253="EXCLUSION",N253="COLEGIADO"),"NO HECHA",IF(N253=" ","SINRESULTADO","SI")),"NO"),IF(N253="EXCLUSION","NO HECHA","LIMBO"))</f>
        <v>SI</v>
      </c>
      <c r="Z253" s="159" t="str">
        <f>IF($Z$1=I253,"DIASOL", "DIANOSOL")</f>
        <v>DIANOSOL</v>
      </c>
      <c r="AA253" s="159" t="s">
        <v>240</v>
      </c>
      <c r="AB253" s="159" t="s">
        <v>1545</v>
      </c>
      <c r="AC253" s="159" t="str">
        <f>IF(H253=$M$1,"SI","NO")</f>
        <v>SI</v>
      </c>
      <c r="AD253" s="159"/>
      <c r="AE253" s="256">
        <v>45161</v>
      </c>
      <c r="AF253" s="256">
        <v>45205</v>
      </c>
      <c r="AG253" s="159" t="str">
        <f>IF(COUNTIF(C253,"*preso*")&gt;0,"SI","NO")</f>
        <v>NO</v>
      </c>
      <c r="AH253" s="254">
        <f>NroOrden(N253)</f>
        <v>50</v>
      </c>
      <c r="AI253" s="159"/>
      <c r="AJ253" s="184" t="str">
        <f ca="1">IF(OR(Y253="NO",Y253="LIMBO"),"IMP","NOIMP")</f>
        <v>NOIMP</v>
      </c>
    </row>
    <row r="254" spans="1:36" ht="63" customHeight="1">
      <c r="A254" s="159">
        <v>278</v>
      </c>
      <c r="B254" s="160" t="s">
        <v>1092</v>
      </c>
      <c r="C254" s="208" t="s">
        <v>501</v>
      </c>
      <c r="D254" s="159" t="s">
        <v>1093</v>
      </c>
      <c r="E254" s="159" t="s">
        <v>383</v>
      </c>
      <c r="F254" s="256">
        <v>45114</v>
      </c>
      <c r="G254" s="159" t="s">
        <v>1064</v>
      </c>
      <c r="H254" s="159" t="s">
        <v>1637</v>
      </c>
      <c r="I254" s="160">
        <v>45202</v>
      </c>
      <c r="J254" s="160" t="s">
        <v>1181</v>
      </c>
      <c r="K254" s="159" t="s">
        <v>1674</v>
      </c>
      <c r="L254" s="159" t="s">
        <v>1658</v>
      </c>
      <c r="M254" s="160" t="s">
        <v>332</v>
      </c>
      <c r="N254" s="159" t="s">
        <v>356</v>
      </c>
      <c r="O254" s="159" t="s">
        <v>2034</v>
      </c>
      <c r="P254" s="159" t="s">
        <v>2179</v>
      </c>
      <c r="Q254" s="159"/>
      <c r="R254" s="159"/>
      <c r="S254" s="159" t="s">
        <v>374</v>
      </c>
      <c r="T254" s="159" t="s">
        <v>1094</v>
      </c>
      <c r="U254" s="159" t="s">
        <v>1095</v>
      </c>
      <c r="V254" s="159" t="s">
        <v>100</v>
      </c>
      <c r="W254" s="159" t="s">
        <v>387</v>
      </c>
      <c r="X254" s="159" t="s">
        <v>111</v>
      </c>
      <c r="Y254" s="199" t="str">
        <f ca="1">IF(I254&lt;&gt;"",IF(I254&lt;=TODAY(),IF(OR(N254="REPROGRAMADA",N254="SUSPENDIDA",N254="EXCLUSION",N254="COLEGIADO"),"NO HECHA",IF(N254=" ","SINRESULTADO","SI")),"NO"),IF(N254="EXCLUSION","NO HECHA","LIMBO"))</f>
        <v>SI</v>
      </c>
      <c r="Z254" s="199" t="str">
        <f>IF($Z$1=I254,"DIASOL", "DIANOSOL")</f>
        <v>DIANOSOL</v>
      </c>
      <c r="AA254" s="159" t="s">
        <v>893</v>
      </c>
      <c r="AB254" s="159" t="s">
        <v>1751</v>
      </c>
      <c r="AC254" s="199" t="str">
        <f>IF(H254=$M$1,"SI","NO")</f>
        <v>NO</v>
      </c>
      <c r="AD254" s="199"/>
      <c r="AE254" s="256">
        <v>45114</v>
      </c>
      <c r="AF254" s="256">
        <v>45209</v>
      </c>
      <c r="AG254" s="199" t="str">
        <f>IF(COUNTIF(C254,"*preso*")&gt;0,"SI","NO")</f>
        <v>SI</v>
      </c>
      <c r="AH254" s="244">
        <f>NroOrden(N254)</f>
        <v>50</v>
      </c>
      <c r="AI254" s="159"/>
      <c r="AJ254" s="48" t="str">
        <f ca="1">IF(OR(Y254="NO",Y254="LIMBO"),"IMP","NOIMP")</f>
        <v>NOIMP</v>
      </c>
    </row>
    <row r="255" spans="1:36" ht="78" customHeight="1">
      <c r="A255" s="159">
        <v>241</v>
      </c>
      <c r="B255" s="160" t="s">
        <v>1513</v>
      </c>
      <c r="C255" s="208"/>
      <c r="D255" s="159" t="s">
        <v>1011</v>
      </c>
      <c r="E255" s="159" t="s">
        <v>1012</v>
      </c>
      <c r="F255" s="256">
        <v>45110</v>
      </c>
      <c r="G255" s="159" t="s">
        <v>1009</v>
      </c>
      <c r="H255" s="159" t="s">
        <v>1644</v>
      </c>
      <c r="I255" s="160">
        <v>45202</v>
      </c>
      <c r="J255" s="160" t="s">
        <v>1417</v>
      </c>
      <c r="K255" s="159" t="s">
        <v>365</v>
      </c>
      <c r="L255" s="159" t="s">
        <v>1659</v>
      </c>
      <c r="M255" s="160" t="s">
        <v>332</v>
      </c>
      <c r="N255" s="159" t="s">
        <v>355</v>
      </c>
      <c r="O255" s="159" t="s">
        <v>2034</v>
      </c>
      <c r="P255" s="159" t="s">
        <v>2180</v>
      </c>
      <c r="Q255" s="159"/>
      <c r="R255" s="159"/>
      <c r="S255" s="159"/>
      <c r="T255" s="159"/>
      <c r="U255" s="159"/>
      <c r="V255" s="159" t="s">
        <v>182</v>
      </c>
      <c r="W255" s="159" t="s">
        <v>116</v>
      </c>
      <c r="X255" s="159" t="s">
        <v>111</v>
      </c>
      <c r="Y255" s="194" t="str">
        <f ca="1">IF(I255&lt;&gt;"",IF(I255&lt;=TODAY(),IF(OR(N255="REPROGRAMADA",N255="SUSPENDIDA",N255="EXCLUSION",N255="COLEGIADO"),"NO HECHA",IF(N255=" ","SINRESULTADO","SI")),"NO"),IF(N255="EXCLUSION","NO HECHA","LIMBO"))</f>
        <v>SI</v>
      </c>
      <c r="Z255" s="194" t="str">
        <f>IF($Z$1=I255,"DIASOL", "DIANOSOL")</f>
        <v>DIANOSOL</v>
      </c>
      <c r="AA255" s="159" t="s">
        <v>240</v>
      </c>
      <c r="AB255" s="159" t="s">
        <v>1013</v>
      </c>
      <c r="AC255" s="194" t="str">
        <f>IF(H255=$M$1,"SI","NO")</f>
        <v>NO</v>
      </c>
      <c r="AD255" s="194"/>
      <c r="AE255" s="256">
        <v>45107</v>
      </c>
      <c r="AF255" s="256">
        <v>45205</v>
      </c>
      <c r="AG255" s="194" t="str">
        <f>IF(COUNTIF(C255,"*preso*")&gt;0,"SI","NO")</f>
        <v>NO</v>
      </c>
      <c r="AH255" s="244">
        <f>NroOrden(N255)</f>
        <v>50</v>
      </c>
      <c r="AI255" s="159" t="s">
        <v>1664</v>
      </c>
      <c r="AJ255" s="48" t="str">
        <f ca="1">IF(OR(Y255="NO",Y255="LIMBO"),"IMP","NOIMP")</f>
        <v>NOIMP</v>
      </c>
    </row>
    <row r="256" spans="1:36" ht="118.5" customHeight="1">
      <c r="A256" s="159">
        <v>178</v>
      </c>
      <c r="B256" s="160" t="s">
        <v>1318</v>
      </c>
      <c r="C256" s="208"/>
      <c r="D256" s="159" t="s">
        <v>1272</v>
      </c>
      <c r="E256" s="159" t="s">
        <v>1273</v>
      </c>
      <c r="F256" s="256">
        <v>45147</v>
      </c>
      <c r="G256" s="159" t="s">
        <v>1274</v>
      </c>
      <c r="H256" s="159" t="s">
        <v>1640</v>
      </c>
      <c r="I256" s="160">
        <v>45203</v>
      </c>
      <c r="J256" s="160" t="s">
        <v>1417</v>
      </c>
      <c r="K256" s="159" t="s">
        <v>1670</v>
      </c>
      <c r="L256" s="159" t="s">
        <v>1658</v>
      </c>
      <c r="M256" s="160" t="s">
        <v>333</v>
      </c>
      <c r="N256" s="159" t="s">
        <v>355</v>
      </c>
      <c r="O256" s="159" t="s">
        <v>2034</v>
      </c>
      <c r="P256" s="159" t="s">
        <v>2181</v>
      </c>
      <c r="Q256" s="159" t="s">
        <v>111</v>
      </c>
      <c r="R256" s="159"/>
      <c r="S256" s="159"/>
      <c r="T256" s="159"/>
      <c r="U256" s="159"/>
      <c r="V256" s="159" t="s">
        <v>1275</v>
      </c>
      <c r="W256" s="159" t="s">
        <v>134</v>
      </c>
      <c r="X256" s="159" t="s">
        <v>605</v>
      </c>
      <c r="Y256" s="159" t="str">
        <f ca="1">IF(I256&lt;&gt;"",IF(I256&lt;=TODAY(),IF(OR(N256="REPROGRAMADA",N256="SUSPENDIDA",N256="EXCLUSION",N256="COLEGIADO"),"NO HECHA",IF(N256=" ","SINRESULTADO","SI")),"NO"),IF(N256="EXCLUSION","NO HECHA","LIMBO"))</f>
        <v>SI</v>
      </c>
      <c r="Z256" s="149" t="str">
        <f>IF($Z$1=I256,"DIASOL", "DIANOSOL")</f>
        <v>DIANOSOL</v>
      </c>
      <c r="AA256" s="159" t="s">
        <v>240</v>
      </c>
      <c r="AB256" s="159" t="s">
        <v>1283</v>
      </c>
      <c r="AC256" s="151" t="str">
        <f>IF(H256=$M$1,"SI","NO")</f>
        <v>NO</v>
      </c>
      <c r="AD256" s="151"/>
      <c r="AE256" s="256">
        <v>45141</v>
      </c>
      <c r="AF256" s="256">
        <v>45208</v>
      </c>
      <c r="AG256" s="84" t="str">
        <f>IF(COUNTIF(C256,"*preso*")&gt;0,"SI","NO")</f>
        <v>NO</v>
      </c>
      <c r="AH256" s="244">
        <f>NroOrden(N256)</f>
        <v>50</v>
      </c>
      <c r="AI256" s="159"/>
      <c r="AJ256" s="48" t="str">
        <f ca="1">IF(OR(Y256="NO",Y256="LIMBO"),"IMP","NOIMP")</f>
        <v>NOIMP</v>
      </c>
    </row>
    <row r="257" spans="1:36" ht="135.75" customHeight="1">
      <c r="A257" s="159">
        <v>200</v>
      </c>
      <c r="B257" s="160" t="s">
        <v>1403</v>
      </c>
      <c r="C257" s="208"/>
      <c r="D257" s="159" t="s">
        <v>1404</v>
      </c>
      <c r="E257" s="159" t="s">
        <v>1405</v>
      </c>
      <c r="F257" s="256">
        <v>45153</v>
      </c>
      <c r="G257" s="159" t="s">
        <v>1406</v>
      </c>
      <c r="H257" s="159" t="s">
        <v>1642</v>
      </c>
      <c r="I257" s="160">
        <v>45204</v>
      </c>
      <c r="J257" s="160" t="s">
        <v>1417</v>
      </c>
      <c r="K257" s="159" t="s">
        <v>362</v>
      </c>
      <c r="L257" s="159" t="s">
        <v>1659</v>
      </c>
      <c r="M257" s="160" t="s">
        <v>330</v>
      </c>
      <c r="N257" s="159" t="s">
        <v>359</v>
      </c>
      <c r="O257" s="159" t="s">
        <v>2034</v>
      </c>
      <c r="P257" s="159" t="s">
        <v>2159</v>
      </c>
      <c r="Q257" s="159" t="s">
        <v>111</v>
      </c>
      <c r="R257" s="159"/>
      <c r="S257" s="159"/>
      <c r="T257" s="159"/>
      <c r="U257" s="159"/>
      <c r="V257" s="159" t="s">
        <v>189</v>
      </c>
      <c r="W257" s="159" t="s">
        <v>141</v>
      </c>
      <c r="X257" s="159" t="s">
        <v>111</v>
      </c>
      <c r="Y257" s="159" t="str">
        <f ca="1">IF(I257&lt;&gt;"",IF(I257&lt;=TODAY(),IF(OR(N257="REPROGRAMADA",N257="SUSPENDIDA",N257="EXCLUSION",N257="COLEGIADO"),"NO HECHA",IF(N257=" ","SINRESULTADO","SI")),"NO"),IF(N257="EXCLUSION","NO HECHA","LIMBO"))</f>
        <v>SI</v>
      </c>
      <c r="Z257" s="159" t="str">
        <f>IF($Z$1=I257,"DIASOL", "DIANOSOL")</f>
        <v>DIANOSOL</v>
      </c>
      <c r="AA257" s="159" t="s">
        <v>240</v>
      </c>
      <c r="AB257" s="159" t="s">
        <v>1407</v>
      </c>
      <c r="AC257" s="159" t="str">
        <f>IF(H257=$M$1,"SI","NO")</f>
        <v>NO</v>
      </c>
      <c r="AD257" s="159"/>
      <c r="AE257" s="159" t="s">
        <v>1408</v>
      </c>
      <c r="AF257" s="256">
        <v>45211</v>
      </c>
      <c r="AG257" s="159" t="str">
        <f>IF(COUNTIF(C257,"*preso*")&gt;0,"SI","NO")</f>
        <v>NO</v>
      </c>
      <c r="AH257" s="254">
        <f>NroOrden(N257)</f>
        <v>50</v>
      </c>
      <c r="AI257" s="159"/>
      <c r="AJ257" s="184" t="str">
        <f ca="1">IF(OR(Y257="NO",Y257="LIMBO"),"IMP","NOIMP")</f>
        <v>NOIMP</v>
      </c>
    </row>
    <row r="258" spans="1:36" ht="25.5">
      <c r="A258" s="159">
        <v>190</v>
      </c>
      <c r="B258" s="160" t="s">
        <v>1366</v>
      </c>
      <c r="C258" s="208"/>
      <c r="D258" s="159" t="s">
        <v>1367</v>
      </c>
      <c r="E258" s="159" t="s">
        <v>1368</v>
      </c>
      <c r="F258" s="256">
        <v>45149</v>
      </c>
      <c r="G258" s="159" t="s">
        <v>1369</v>
      </c>
      <c r="H258" s="159"/>
      <c r="I258" s="160">
        <v>45204</v>
      </c>
      <c r="J258" s="160" t="s">
        <v>960</v>
      </c>
      <c r="K258" s="159" t="s">
        <v>365</v>
      </c>
      <c r="L258" s="159" t="s">
        <v>1658</v>
      </c>
      <c r="M258" s="160" t="s">
        <v>332</v>
      </c>
      <c r="N258" s="159" t="s">
        <v>1387</v>
      </c>
      <c r="O258" s="159" t="s">
        <v>2035</v>
      </c>
      <c r="P258" s="159" t="s">
        <v>1998</v>
      </c>
      <c r="Q258" s="159" t="s">
        <v>111</v>
      </c>
      <c r="R258" s="159"/>
      <c r="S258" s="159"/>
      <c r="T258" s="159"/>
      <c r="U258" s="159"/>
      <c r="V258" s="159" t="s">
        <v>1275</v>
      </c>
      <c r="W258" s="159" t="s">
        <v>116</v>
      </c>
      <c r="X258" s="159" t="s">
        <v>111</v>
      </c>
      <c r="Y258" s="189" t="str">
        <f ca="1">IF(I258&lt;&gt;"",IF(I258&lt;=TODAY(),IF(OR(N258="REPROGRAMADA",N258="SUSPENDIDA",N258="EXCLUSION",N258="COLEGIADO"),"NO HECHA",IF(N258=" ","SINRESULTADO","SI")),"NO"),IF(N258="EXCLUSION","NO HECHA","LIMBO"))</f>
        <v>SI</v>
      </c>
      <c r="Z258" s="142" t="str">
        <f>IF($Z$1=I258,"DIASOL", "DIANOSOL")</f>
        <v>DIANOSOL</v>
      </c>
      <c r="AA258" s="159" t="s">
        <v>240</v>
      </c>
      <c r="AB258" s="272" t="s">
        <v>1370</v>
      </c>
      <c r="AC258" s="142" t="str">
        <f>IF(H258=$M$1,"SI","NO")</f>
        <v>NO</v>
      </c>
      <c r="AD258" s="145"/>
      <c r="AE258" s="256">
        <v>45148</v>
      </c>
      <c r="AF258" s="159" t="s">
        <v>2177</v>
      </c>
      <c r="AG258" s="142" t="str">
        <f>IF(COUNTIF(C258,"*preso*")&gt;0,"SI","NO")</f>
        <v>NO</v>
      </c>
      <c r="AH258" s="244">
        <f>NroOrden(N258)</f>
        <v>50</v>
      </c>
      <c r="AI258" s="159"/>
      <c r="AJ258" s="48" t="str">
        <f ca="1">IF(OR(Y258="NO",Y258="LIMBO"),"IMP","NOIMP")</f>
        <v>NOIMP</v>
      </c>
    </row>
    <row r="259" spans="1:36" ht="38.25">
      <c r="A259" s="159">
        <v>149</v>
      </c>
      <c r="B259" s="160" t="s">
        <v>1135</v>
      </c>
      <c r="C259" s="208"/>
      <c r="D259" s="159" t="s">
        <v>1136</v>
      </c>
      <c r="E259" s="159" t="s">
        <v>1137</v>
      </c>
      <c r="F259" s="159"/>
      <c r="G259" s="159" t="s">
        <v>1004</v>
      </c>
      <c r="H259" s="159" t="s">
        <v>1643</v>
      </c>
      <c r="I259" s="160">
        <v>45204</v>
      </c>
      <c r="J259" s="160" t="s">
        <v>396</v>
      </c>
      <c r="K259" s="159" t="s">
        <v>362</v>
      </c>
      <c r="L259" s="159"/>
      <c r="M259" s="160" t="s">
        <v>329</v>
      </c>
      <c r="N259" s="159" t="s">
        <v>357</v>
      </c>
      <c r="O259" s="159" t="s">
        <v>2034</v>
      </c>
      <c r="P259" s="159"/>
      <c r="Q259" s="159" t="s">
        <v>1808</v>
      </c>
      <c r="R259" s="159" t="s">
        <v>2419</v>
      </c>
      <c r="S259" s="159"/>
      <c r="T259" s="159"/>
      <c r="U259" s="159"/>
      <c r="V259" s="159" t="s">
        <v>184</v>
      </c>
      <c r="W259" s="159" t="s">
        <v>169</v>
      </c>
      <c r="X259" s="159" t="s">
        <v>111</v>
      </c>
      <c r="Y259" s="159" t="str">
        <f ca="1">IF(I259&lt;&gt;"",IF(I259&lt;=TODAY(),IF(OR(N259="REPROGRAMADA",N259="SUSPENDIDA",N259="EXCLUSION",N259="COLEGIADO"),"NO HECHA",IF(N259=" ","SINRESULTADO","SI")),"NO"),IF(N259="EXCLUSION","NO HECHA","LIMBO"))</f>
        <v>SI</v>
      </c>
      <c r="Z259" s="159" t="str">
        <f>IF($Z$1=I259,"DIASOL", "DIANOSOL")</f>
        <v>DIANOSOL</v>
      </c>
      <c r="AA259" s="159" t="s">
        <v>240</v>
      </c>
      <c r="AB259" s="159" t="s">
        <v>1138</v>
      </c>
      <c r="AC259" s="159" t="str">
        <f>IF(H259=$M$1,"SI","NO")</f>
        <v>SI</v>
      </c>
      <c r="AD259" s="159"/>
      <c r="AE259" s="256">
        <v>45110</v>
      </c>
      <c r="AF259" s="159"/>
      <c r="AG259" s="159" t="str">
        <f>IF(COUNTIF(C259,"*preso*")&gt;0,"SI","NO")</f>
        <v>NO</v>
      </c>
      <c r="AH259" s="254">
        <f>NroOrden(N259)</f>
        <v>50</v>
      </c>
      <c r="AI259" s="159"/>
      <c r="AJ259" s="184" t="str">
        <f ca="1">IF(OR(Y259="NO",Y259="LIMBO"),"IMP","NOIMP")</f>
        <v>NOIMP</v>
      </c>
    </row>
    <row r="260" spans="1:36" ht="39.950000000000003" customHeight="1">
      <c r="A260" s="159">
        <v>191</v>
      </c>
      <c r="B260" s="160" t="s">
        <v>1371</v>
      </c>
      <c r="C260" s="208"/>
      <c r="D260" s="159" t="s">
        <v>1372</v>
      </c>
      <c r="E260" s="159" t="s">
        <v>1373</v>
      </c>
      <c r="F260" s="256">
        <v>45146</v>
      </c>
      <c r="G260" s="159" t="s">
        <v>1289</v>
      </c>
      <c r="H260" s="159" t="s">
        <v>1637</v>
      </c>
      <c r="I260" s="160">
        <v>45204</v>
      </c>
      <c r="J260" s="160" t="s">
        <v>309</v>
      </c>
      <c r="K260" s="159" t="s">
        <v>362</v>
      </c>
      <c r="L260" s="159"/>
      <c r="M260" s="160" t="s">
        <v>329</v>
      </c>
      <c r="N260" s="159" t="s">
        <v>355</v>
      </c>
      <c r="O260" s="159" t="s">
        <v>2034</v>
      </c>
      <c r="P260" s="159"/>
      <c r="Q260" s="159" t="s">
        <v>111</v>
      </c>
      <c r="R260" s="159"/>
      <c r="S260" s="159"/>
      <c r="T260" s="159"/>
      <c r="U260" s="159"/>
      <c r="V260" s="159" t="s">
        <v>346</v>
      </c>
      <c r="W260" s="159" t="s">
        <v>116</v>
      </c>
      <c r="X260" s="159" t="s">
        <v>111</v>
      </c>
      <c r="Y260" s="159" t="str">
        <f ca="1">IF(I260&lt;&gt;"",IF(I260&lt;=TODAY(),IF(OR(N260="REPROGRAMADA",N260="SUSPENDIDA",N260="EXCLUSION",N260="COLEGIADO"),"NO HECHA",IF(N260=" ","SINRESULTADO","SI")),"NO"),IF(N260="EXCLUSION","NO HECHA","LIMBO"))</f>
        <v>SI</v>
      </c>
      <c r="Z260" s="159" t="str">
        <f>IF($Z$1=I260,"DIASOL", "DIANOSOL")</f>
        <v>DIANOSOL</v>
      </c>
      <c r="AA260" s="159" t="s">
        <v>240</v>
      </c>
      <c r="AB260" s="272" t="s">
        <v>1374</v>
      </c>
      <c r="AC260" s="159" t="str">
        <f>IF(H260=$M$1,"SI","NO")</f>
        <v>NO</v>
      </c>
      <c r="AD260" s="159"/>
      <c r="AE260" s="256">
        <v>45142</v>
      </c>
      <c r="AF260" s="256">
        <v>45209</v>
      </c>
      <c r="AG260" s="159" t="str">
        <f>IF(COUNTIF(C260,"*preso*")&gt;0,"SI","NO")</f>
        <v>NO</v>
      </c>
      <c r="AH260" s="254">
        <f>NroOrden(N260)</f>
        <v>50</v>
      </c>
      <c r="AI260" s="159"/>
      <c r="AJ260" s="184" t="str">
        <f ca="1">IF(OR(Y260="NO",Y260="LIMBO"),"IMP","NOIMP")</f>
        <v>NOIMP</v>
      </c>
    </row>
    <row r="261" spans="1:36" ht="231.75" customHeight="1">
      <c r="A261" s="159">
        <v>215</v>
      </c>
      <c r="B261" s="160" t="s">
        <v>1492</v>
      </c>
      <c r="C261" s="208"/>
      <c r="D261" s="159" t="s">
        <v>1493</v>
      </c>
      <c r="E261" s="159" t="s">
        <v>1494</v>
      </c>
      <c r="F261" s="256">
        <v>45155</v>
      </c>
      <c r="G261" s="159" t="s">
        <v>1495</v>
      </c>
      <c r="H261" s="159" t="s">
        <v>1639</v>
      </c>
      <c r="I261" s="160">
        <v>45205</v>
      </c>
      <c r="J261" s="160" t="s">
        <v>282</v>
      </c>
      <c r="K261" s="159" t="s">
        <v>364</v>
      </c>
      <c r="L261" s="159" t="s">
        <v>1659</v>
      </c>
      <c r="M261" s="160" t="s">
        <v>329</v>
      </c>
      <c r="N261" s="159" t="s">
        <v>355</v>
      </c>
      <c r="O261" s="159" t="s">
        <v>2034</v>
      </c>
      <c r="P261" s="159"/>
      <c r="Q261" s="159" t="s">
        <v>111</v>
      </c>
      <c r="R261" s="159"/>
      <c r="S261" s="159"/>
      <c r="T261" s="159"/>
      <c r="U261" s="159"/>
      <c r="V261" s="159" t="s">
        <v>345</v>
      </c>
      <c r="W261" s="159" t="s">
        <v>535</v>
      </c>
      <c r="X261" s="159" t="s">
        <v>111</v>
      </c>
      <c r="Y261" s="159" t="str">
        <f ca="1">IF(I261&lt;&gt;"",IF(I261&lt;=TODAY(),IF(OR(N261="REPROGRAMADA",N261="SUSPENDIDA",N261="EXCLUSION",N261="COLEGIADO"),"NO HECHA",IF(N261=" ","SINRESULTADO","SI")),"NO"),IF(N261="EXCLUSION","NO HECHA","LIMBO"))</f>
        <v>SI</v>
      </c>
      <c r="Z261" s="159" t="str">
        <f>IF($Z$1=I261,"DIASOL", "DIANOSOL")</f>
        <v>DIANOSOL</v>
      </c>
      <c r="AA261" s="159" t="s">
        <v>240</v>
      </c>
      <c r="AB261" s="159" t="s">
        <v>1497</v>
      </c>
      <c r="AC261" s="159" t="str">
        <f>IF(H261=$M$1,"SI","NO")</f>
        <v>NO</v>
      </c>
      <c r="AD261" s="159"/>
      <c r="AE261" s="256">
        <v>45154</v>
      </c>
      <c r="AF261" s="256">
        <v>45216</v>
      </c>
      <c r="AG261" s="159" t="str">
        <f>IF(COUNTIF(C261,"*preso*")&gt;0,"SI","NO")</f>
        <v>NO</v>
      </c>
      <c r="AH261" s="254">
        <f>NroOrden(N261)</f>
        <v>50</v>
      </c>
      <c r="AI261" s="159"/>
      <c r="AJ261" s="184" t="str">
        <f ca="1">IF(OR(Y261="NO",Y261="LIMBO"),"IMP","NOIMP")</f>
        <v>NOIMP</v>
      </c>
    </row>
    <row r="262" spans="1:36" ht="39.950000000000003" customHeight="1">
      <c r="A262" s="159">
        <v>214</v>
      </c>
      <c r="B262" s="160" t="s">
        <v>1488</v>
      </c>
      <c r="C262" s="208"/>
      <c r="D262" s="159" t="s">
        <v>1489</v>
      </c>
      <c r="E262" s="159" t="s">
        <v>1490</v>
      </c>
      <c r="F262" s="256">
        <v>45154</v>
      </c>
      <c r="G262" s="159" t="s">
        <v>1496</v>
      </c>
      <c r="H262" s="159" t="s">
        <v>1637</v>
      </c>
      <c r="I262" s="160">
        <v>45205</v>
      </c>
      <c r="J262" s="160" t="s">
        <v>1181</v>
      </c>
      <c r="K262" s="159" t="s">
        <v>364</v>
      </c>
      <c r="L262" s="159" t="s">
        <v>1658</v>
      </c>
      <c r="M262" s="160" t="s">
        <v>329</v>
      </c>
      <c r="N262" s="159" t="s">
        <v>359</v>
      </c>
      <c r="O262" s="159" t="s">
        <v>2034</v>
      </c>
      <c r="P262" s="159"/>
      <c r="Q262" s="159" t="s">
        <v>111</v>
      </c>
      <c r="R262" s="159"/>
      <c r="S262" s="159"/>
      <c r="T262" s="159"/>
      <c r="U262" s="159"/>
      <c r="V262" s="159" t="s">
        <v>339</v>
      </c>
      <c r="W262" s="159" t="s">
        <v>1491</v>
      </c>
      <c r="X262" s="159" t="s">
        <v>111</v>
      </c>
      <c r="Y262" s="159" t="str">
        <f ca="1">IF(I262&lt;&gt;"",IF(I262&lt;=TODAY(),IF(OR(N262="REPROGRAMADA",N262="SUSPENDIDA",N262="EXCLUSION",N262="COLEGIADO"),"NO HECHA",IF(N262=" ","SINRESULTADO","SI")),"NO"),IF(N262="EXCLUSION","NO HECHA","LIMBO"))</f>
        <v>SI</v>
      </c>
      <c r="Z262" s="159" t="str">
        <f>IF($Z$1=I262,"DIASOL", "DIANOSOL")</f>
        <v>DIANOSOL</v>
      </c>
      <c r="AA262" s="159" t="s">
        <v>240</v>
      </c>
      <c r="AB262" s="159"/>
      <c r="AC262" s="159" t="str">
        <f>IF(H262=$M$1,"SI","NO")</f>
        <v>NO</v>
      </c>
      <c r="AD262" s="159"/>
      <c r="AE262" s="256">
        <v>45148</v>
      </c>
      <c r="AF262" s="256">
        <v>45216</v>
      </c>
      <c r="AG262" s="159" t="str">
        <f>IF(COUNTIF(C262,"*preso*")&gt;0,"SI","NO")</f>
        <v>NO</v>
      </c>
      <c r="AH262" s="254">
        <f>NroOrden(N262)</f>
        <v>50</v>
      </c>
      <c r="AI262" s="159"/>
      <c r="AJ262" s="184" t="str">
        <f ca="1">IF(OR(Y262="NO",Y262="LIMBO"),"IMP","NOIMP")</f>
        <v>NOIMP</v>
      </c>
    </row>
    <row r="263" spans="1:36" ht="57" customHeight="1">
      <c r="A263" s="159">
        <v>219</v>
      </c>
      <c r="B263" s="160" t="s">
        <v>1537</v>
      </c>
      <c r="C263" s="208" t="s">
        <v>1472</v>
      </c>
      <c r="D263" s="159" t="s">
        <v>1538</v>
      </c>
      <c r="E263" s="159" t="s">
        <v>685</v>
      </c>
      <c r="F263" s="256">
        <v>45168</v>
      </c>
      <c r="G263" s="159" t="s">
        <v>1539</v>
      </c>
      <c r="H263" s="159" t="s">
        <v>1638</v>
      </c>
      <c r="I263" s="160">
        <v>45205</v>
      </c>
      <c r="J263" s="160" t="s">
        <v>14</v>
      </c>
      <c r="K263" s="159" t="s">
        <v>364</v>
      </c>
      <c r="L263" s="159"/>
      <c r="M263" s="160" t="s">
        <v>328</v>
      </c>
      <c r="N263" s="159" t="s">
        <v>357</v>
      </c>
      <c r="O263" s="159" t="s">
        <v>2034</v>
      </c>
      <c r="P263" s="159"/>
      <c r="Q263" s="159" t="s">
        <v>331</v>
      </c>
      <c r="R263" s="159" t="s">
        <v>2428</v>
      </c>
      <c r="S263" s="159" t="s">
        <v>1347</v>
      </c>
      <c r="T263" s="159" t="s">
        <v>1541</v>
      </c>
      <c r="U263" s="159" t="s">
        <v>1542</v>
      </c>
      <c r="V263" s="159" t="s">
        <v>913</v>
      </c>
      <c r="W263" s="159" t="s">
        <v>136</v>
      </c>
      <c r="X263" s="159" t="s">
        <v>111</v>
      </c>
      <c r="Y263" s="159" t="str">
        <f ca="1">IF(I263&lt;&gt;"",IF(I263&lt;=TODAY(),IF(OR(N263="REPROGRAMADA",N263="SUSPENDIDA",N263="EXCLUSION",N263="COLEGIADO"),"NO HECHA",IF(N263=" ","SINRESULTADO","SI")),"NO"),IF(N263="EXCLUSION","NO HECHA","LIMBO"))</f>
        <v>SI</v>
      </c>
      <c r="Z263" s="159" t="str">
        <f>IF($Z$1=I263,"DIASOL", "DIANOSOL")</f>
        <v>DIANOSOL</v>
      </c>
      <c r="AA263" s="159" t="s">
        <v>738</v>
      </c>
      <c r="AB263" s="159" t="s">
        <v>1540</v>
      </c>
      <c r="AC263" s="159" t="str">
        <f>IF(H263=$M$1,"SI","NO")</f>
        <v>NO</v>
      </c>
      <c r="AD263" s="159"/>
      <c r="AE263" s="256">
        <v>45163</v>
      </c>
      <c r="AF263" s="159"/>
      <c r="AG263" s="159" t="str">
        <f>IF(COUNTIF(C263,"*preso*")&gt;0,"SI","NO")</f>
        <v>SI</v>
      </c>
      <c r="AH263" s="254">
        <f>NroOrden(N263)</f>
        <v>50</v>
      </c>
      <c r="AI263" s="159"/>
      <c r="AJ263" s="184" t="str">
        <f ca="1">IF(OR(Y263="NO",Y263="LIMBO"),"IMP","NOIMP")</f>
        <v>NOIMP</v>
      </c>
    </row>
    <row r="264" spans="1:36" ht="110.25" customHeight="1">
      <c r="A264" s="159">
        <v>156</v>
      </c>
      <c r="B264" s="160" t="s">
        <v>1165</v>
      </c>
      <c r="C264" s="208"/>
      <c r="D264" s="159" t="s">
        <v>1166</v>
      </c>
      <c r="E264" s="159" t="s">
        <v>1167</v>
      </c>
      <c r="F264" s="159"/>
      <c r="G264" s="159" t="s">
        <v>1131</v>
      </c>
      <c r="H264" s="159" t="s">
        <v>1638</v>
      </c>
      <c r="I264" s="160">
        <v>45208</v>
      </c>
      <c r="J264" s="160" t="s">
        <v>1999</v>
      </c>
      <c r="K264" s="159" t="s">
        <v>365</v>
      </c>
      <c r="L264" s="159" t="s">
        <v>1659</v>
      </c>
      <c r="M264" s="160" t="s">
        <v>332</v>
      </c>
      <c r="N264" s="159" t="s">
        <v>357</v>
      </c>
      <c r="O264" s="159" t="s">
        <v>2034</v>
      </c>
      <c r="P264" s="159"/>
      <c r="Q264" s="159" t="s">
        <v>330</v>
      </c>
      <c r="R264" s="159" t="s">
        <v>2426</v>
      </c>
      <c r="S264" s="159"/>
      <c r="T264" s="159"/>
      <c r="U264" s="159"/>
      <c r="V264" s="159" t="s">
        <v>184</v>
      </c>
      <c r="W264" s="159" t="s">
        <v>132</v>
      </c>
      <c r="X264" s="159" t="s">
        <v>111</v>
      </c>
      <c r="Y264" s="159" t="str">
        <f ca="1">IF(I264&lt;&gt;"",IF(I264&lt;=TODAY(),IF(OR(N264="REPROGRAMADA",N264="SUSPENDIDA",N264="EXCLUSION",N264="COLEGIADO"),"NO HECHA",IF(N264=" ","SINRESULTADO","SI")),"NO"),IF(N264="EXCLUSION","NO HECHA","LIMBO"))</f>
        <v>SI</v>
      </c>
      <c r="Z264" s="159" t="str">
        <f>IF($Z$1=I264,"DIASOL", "DIANOSOL")</f>
        <v>DIANOSOL</v>
      </c>
      <c r="AA264" s="159" t="s">
        <v>982</v>
      </c>
      <c r="AB264" s="159" t="s">
        <v>1168</v>
      </c>
      <c r="AC264" s="159" t="str">
        <f>IF(H264=$M$1,"SI","NO")</f>
        <v>NO</v>
      </c>
      <c r="AD264" s="159"/>
      <c r="AE264" s="256">
        <v>45113</v>
      </c>
      <c r="AF264" s="159" t="s">
        <v>2177</v>
      </c>
      <c r="AG264" s="159" t="str">
        <f>IF(COUNTIF(C264,"*preso*")&gt;0,"SI","NO")</f>
        <v>NO</v>
      </c>
      <c r="AH264" s="254">
        <f>NroOrden(N264)</f>
        <v>50</v>
      </c>
      <c r="AI264" s="159"/>
      <c r="AJ264" s="184" t="str">
        <f ca="1">IF(OR(Y264="NO",Y264="LIMBO"),"IMP","NOIMP")</f>
        <v>NOIMP</v>
      </c>
    </row>
    <row r="265" spans="1:36" ht="25.5">
      <c r="A265" s="159">
        <v>85</v>
      </c>
      <c r="B265" s="160" t="s">
        <v>867</v>
      </c>
      <c r="C265" s="209"/>
      <c r="D265" s="159" t="s">
        <v>868</v>
      </c>
      <c r="E265" s="159" t="s">
        <v>869</v>
      </c>
      <c r="F265" s="256">
        <v>45103</v>
      </c>
      <c r="G265" s="159"/>
      <c r="H265" s="159" t="s">
        <v>1641</v>
      </c>
      <c r="I265" s="160">
        <v>45208</v>
      </c>
      <c r="J265" s="159" t="s">
        <v>282</v>
      </c>
      <c r="K265" s="159" t="s">
        <v>363</v>
      </c>
      <c r="L265" s="159" t="s">
        <v>1658</v>
      </c>
      <c r="M265" s="160" t="s">
        <v>329</v>
      </c>
      <c r="N265" s="159" t="s">
        <v>357</v>
      </c>
      <c r="O265" s="159" t="s">
        <v>2034</v>
      </c>
      <c r="P265" s="159"/>
      <c r="Q265" s="159" t="s">
        <v>331</v>
      </c>
      <c r="R265" s="159" t="s">
        <v>2423</v>
      </c>
      <c r="S265" s="159"/>
      <c r="T265" s="159"/>
      <c r="U265" s="159"/>
      <c r="V265" s="159" t="s">
        <v>186</v>
      </c>
      <c r="W265" s="159" t="s">
        <v>141</v>
      </c>
      <c r="X265" s="159" t="s">
        <v>111</v>
      </c>
      <c r="Y265" s="159" t="str">
        <f ca="1">IF(I265&lt;&gt;"",IF(I265&lt;=TODAY(),IF(OR(N265="REPROGRAMADA",N265="SUSPENDIDA",N265="EXCLUSION",N265="COLEGIADO"),"NO HECHA",IF(N265=" ","SINRESULTADO","SI")),"NO"),IF(N265="EXCLUSION","NO HECHA","LIMBO"))</f>
        <v>SI</v>
      </c>
      <c r="Z265" s="159" t="str">
        <f>IF($Z$1=I265,"DIASOL", "DIANOSOL")</f>
        <v>DIANOSOL</v>
      </c>
      <c r="AA265" s="159" t="s">
        <v>240</v>
      </c>
      <c r="AB265" s="159" t="s">
        <v>870</v>
      </c>
      <c r="AC265" s="159" t="str">
        <f>IF(H265=$M$1,"SI","NO")</f>
        <v>NO</v>
      </c>
      <c r="AD265" s="159"/>
      <c r="AE265" s="256">
        <v>45089</v>
      </c>
      <c r="AF265" s="159"/>
      <c r="AG265" s="159" t="str">
        <f>IF(COUNTIF(C265,"*preso*")&gt;0,"SI","NO")</f>
        <v>NO</v>
      </c>
      <c r="AH265" s="254">
        <f>NroOrden(N265)</f>
        <v>50</v>
      </c>
      <c r="AI265" s="159"/>
      <c r="AJ265" s="184" t="str">
        <f ca="1">IF(OR(Y265="NO",Y265="LIMBO"),"IMP","NOIMP")</f>
        <v>NOIMP</v>
      </c>
    </row>
    <row r="266" spans="1:36" ht="47.25" customHeight="1">
      <c r="A266" s="159">
        <v>244</v>
      </c>
      <c r="B266" s="160" t="s">
        <v>711</v>
      </c>
      <c r="C266" s="208"/>
      <c r="D266" s="159" t="s">
        <v>712</v>
      </c>
      <c r="E266" s="159" t="s">
        <v>713</v>
      </c>
      <c r="F266" s="256">
        <v>45090</v>
      </c>
      <c r="G266" s="159" t="s">
        <v>673</v>
      </c>
      <c r="H266" s="159" t="s">
        <v>1641</v>
      </c>
      <c r="I266" s="160">
        <v>45208</v>
      </c>
      <c r="J266" s="160" t="s">
        <v>282</v>
      </c>
      <c r="K266" s="159" t="s">
        <v>364</v>
      </c>
      <c r="L266" s="159" t="s">
        <v>1997</v>
      </c>
      <c r="M266" s="160" t="s">
        <v>330</v>
      </c>
      <c r="N266" s="159" t="s">
        <v>356</v>
      </c>
      <c r="O266" s="159" t="s">
        <v>2034</v>
      </c>
      <c r="P266" s="159"/>
      <c r="Q266" s="159"/>
      <c r="R266" s="159"/>
      <c r="S266" s="159"/>
      <c r="T266" s="159"/>
      <c r="U266" s="159"/>
      <c r="V266" s="159" t="s">
        <v>346</v>
      </c>
      <c r="W266" s="159" t="s">
        <v>119</v>
      </c>
      <c r="X266" s="159" t="s">
        <v>111</v>
      </c>
      <c r="Y266" s="159" t="str">
        <f ca="1">IF(I266&lt;&gt;"",IF(I266&lt;=TODAY(),IF(OR(N266="REPROGRAMADA",N266="SUSPENDIDA",N266="EXCLUSION",N266="COLEGIADO"),"NO HECHA",IF(N266=" ","SINRESULTADO","SI")),"NO"),IF(N266="EXCLUSION","NO HECHA","LIMBO"))</f>
        <v>SI</v>
      </c>
      <c r="Z266" s="159" t="str">
        <f>IF($Z$1=I266,"DIASOL", "DIANOSOL")</f>
        <v>DIANOSOL</v>
      </c>
      <c r="AA266" s="159" t="s">
        <v>240</v>
      </c>
      <c r="AB266" s="159" t="s">
        <v>714</v>
      </c>
      <c r="AC266" s="159" t="str">
        <f>IF(H266=$M$1,"SI","NO")</f>
        <v>NO</v>
      </c>
      <c r="AD266" s="159"/>
      <c r="AE266" s="256">
        <v>45079</v>
      </c>
      <c r="AF266" s="159"/>
      <c r="AG266" s="159" t="str">
        <f>IF(COUNTIF(C266,"*preso*")&gt;0,"SI","NO")</f>
        <v>NO</v>
      </c>
      <c r="AH266" s="254">
        <f>NroOrden(N266)</f>
        <v>50</v>
      </c>
      <c r="AI266" s="159"/>
      <c r="AJ266" s="184" t="str">
        <f ca="1">IF(OR(Y266="NO",Y266="LIMBO"),"IMP","NOIMP")</f>
        <v>NOIMP</v>
      </c>
    </row>
    <row r="267" spans="1:36" ht="45" customHeight="1">
      <c r="A267" s="159">
        <v>239</v>
      </c>
      <c r="B267" s="160" t="s">
        <v>751</v>
      </c>
      <c r="C267" s="208" t="s">
        <v>501</v>
      </c>
      <c r="D267" s="159" t="s">
        <v>752</v>
      </c>
      <c r="E267" s="159" t="s">
        <v>753</v>
      </c>
      <c r="F267" s="256">
        <v>45091</v>
      </c>
      <c r="G267" s="159" t="s">
        <v>1636</v>
      </c>
      <c r="H267" s="159"/>
      <c r="I267" s="160">
        <v>45209</v>
      </c>
      <c r="J267" s="160" t="s">
        <v>16</v>
      </c>
      <c r="K267" s="159" t="s">
        <v>364</v>
      </c>
      <c r="L267" s="159" t="s">
        <v>1659</v>
      </c>
      <c r="M267" s="160" t="s">
        <v>330</v>
      </c>
      <c r="N267" s="159" t="s">
        <v>1387</v>
      </c>
      <c r="O267" s="159" t="s">
        <v>2035</v>
      </c>
      <c r="P267" s="159" t="s">
        <v>2520</v>
      </c>
      <c r="Q267" s="159" t="s">
        <v>111</v>
      </c>
      <c r="R267" s="159"/>
      <c r="S267" s="159" t="s">
        <v>374</v>
      </c>
      <c r="T267" s="159" t="s">
        <v>756</v>
      </c>
      <c r="U267" s="159" t="s">
        <v>757</v>
      </c>
      <c r="V267" s="159" t="s">
        <v>347</v>
      </c>
      <c r="W267" s="159" t="s">
        <v>180</v>
      </c>
      <c r="X267" s="159" t="s">
        <v>754</v>
      </c>
      <c r="Y267" s="159" t="str">
        <f ca="1">IF(I267&lt;&gt;"",IF(I267&lt;=TODAY(),IF(OR(N267="REPROGRAMADA",N267="SUSPENDIDA",N267="EXCLUSION",N267="COLEGIADO"),"NO HECHA",IF(N267=" ","SINRESULTADO","SI")),"NO"),IF(N267="EXCLUSION","NO HECHA","LIMBO"))</f>
        <v>SI</v>
      </c>
      <c r="Z267" s="159" t="str">
        <f>IF($Z$1=I267,"DIASOL", "DIANOSOL")</f>
        <v>DIANOSOL</v>
      </c>
      <c r="AA267" s="159" t="s">
        <v>240</v>
      </c>
      <c r="AB267" s="159" t="s">
        <v>755</v>
      </c>
      <c r="AC267" s="159" t="str">
        <f>IF(H267=$M$1,"SI","NO")</f>
        <v>NO</v>
      </c>
      <c r="AD267" s="159"/>
      <c r="AE267" s="159"/>
      <c r="AF267" s="159"/>
      <c r="AG267" s="159" t="str">
        <f>IF(COUNTIF(C267,"*preso*")&gt;0,"SI","NO")</f>
        <v>SI</v>
      </c>
      <c r="AH267" s="254">
        <f>NroOrden(N267)</f>
        <v>50</v>
      </c>
      <c r="AI267" s="159"/>
      <c r="AJ267" s="48" t="str">
        <f ca="1">IF(OR(Y267="NO",Y267="LIMBO"),"IMP","NOIMP")</f>
        <v>NOIMP</v>
      </c>
    </row>
    <row r="268" spans="1:36" ht="39.950000000000003" customHeight="1">
      <c r="A268" s="159">
        <v>74</v>
      </c>
      <c r="B268" s="160" t="s">
        <v>803</v>
      </c>
      <c r="C268" s="209"/>
      <c r="D268" s="159" t="s">
        <v>804</v>
      </c>
      <c r="E268" s="159" t="s">
        <v>805</v>
      </c>
      <c r="F268" s="256">
        <v>45100</v>
      </c>
      <c r="G268" s="159" t="s">
        <v>806</v>
      </c>
      <c r="H268" s="159" t="s">
        <v>1644</v>
      </c>
      <c r="I268" s="160">
        <v>45209</v>
      </c>
      <c r="J268" s="159" t="s">
        <v>1417</v>
      </c>
      <c r="K268" s="159" t="s">
        <v>363</v>
      </c>
      <c r="L268" s="159" t="s">
        <v>1658</v>
      </c>
      <c r="M268" s="160" t="s">
        <v>329</v>
      </c>
      <c r="N268" s="159" t="s">
        <v>357</v>
      </c>
      <c r="O268" s="159" t="s">
        <v>2034</v>
      </c>
      <c r="P268" s="159"/>
      <c r="Q268" s="159" t="s">
        <v>331</v>
      </c>
      <c r="R268" s="159" t="s">
        <v>2425</v>
      </c>
      <c r="S268" s="159"/>
      <c r="T268" s="159"/>
      <c r="U268" s="159"/>
      <c r="V268" s="159" t="s">
        <v>268</v>
      </c>
      <c r="W268" s="159" t="s">
        <v>141</v>
      </c>
      <c r="X268" s="159" t="s">
        <v>111</v>
      </c>
      <c r="Y268" s="159" t="str">
        <f ca="1">IF(I268&lt;&gt;"",IF(I268&lt;=TODAY(),IF(OR(N268="REPROGRAMADA",N268="SUSPENDIDA",N268="EXCLUSION",N268="COLEGIADO"),"NO HECHA",IF(N268=" ","SINRESULTADO","SI")),"NO"),IF(N268="EXCLUSION","NO HECHA","LIMBO"))</f>
        <v>SI</v>
      </c>
      <c r="Z268" s="159" t="str">
        <f>IF($Z$1=I268,"DIASOL", "DIANOSOL")</f>
        <v>DIANOSOL</v>
      </c>
      <c r="AA268" s="159" t="s">
        <v>861</v>
      </c>
      <c r="AB268" s="159" t="s">
        <v>807</v>
      </c>
      <c r="AC268" s="159" t="str">
        <f>IF(H268=$M$1,"SI","NO")</f>
        <v>NO</v>
      </c>
      <c r="AD268" s="159"/>
      <c r="AE268" s="159"/>
      <c r="AF268" s="159"/>
      <c r="AG268" s="159" t="str">
        <f>IF(COUNTIF(C268,"*preso*")&gt;0,"SI","NO")</f>
        <v>NO</v>
      </c>
      <c r="AH268" s="254">
        <f>NroOrden(N268)</f>
        <v>50</v>
      </c>
      <c r="AI268" s="159"/>
      <c r="AJ268" s="184" t="str">
        <f ca="1">IF(OR(Y268="NO",Y268="LIMBO"),"IMP","NOIMP")</f>
        <v>NOIMP</v>
      </c>
    </row>
    <row r="269" spans="1:36" ht="39.950000000000003" customHeight="1">
      <c r="A269" s="159">
        <v>248</v>
      </c>
      <c r="B269" s="160" t="s">
        <v>1685</v>
      </c>
      <c r="C269" s="208" t="s">
        <v>1686</v>
      </c>
      <c r="D269" s="159" t="s">
        <v>1687</v>
      </c>
      <c r="E269" s="159" t="s">
        <v>1293</v>
      </c>
      <c r="F269" s="256">
        <v>45189</v>
      </c>
      <c r="G269" s="159" t="s">
        <v>1691</v>
      </c>
      <c r="H269" s="159" t="s">
        <v>1640</v>
      </c>
      <c r="I269" s="160">
        <v>45210</v>
      </c>
      <c r="J269" s="160" t="s">
        <v>1181</v>
      </c>
      <c r="K269" s="159" t="s">
        <v>363</v>
      </c>
      <c r="L269" s="159" t="s">
        <v>1658</v>
      </c>
      <c r="M269" s="160" t="s">
        <v>330</v>
      </c>
      <c r="N269" s="159" t="s">
        <v>357</v>
      </c>
      <c r="O269" s="159" t="s">
        <v>2034</v>
      </c>
      <c r="P269" s="159"/>
      <c r="Q269" s="159" t="s">
        <v>1805</v>
      </c>
      <c r="R269" s="159" t="s">
        <v>2429</v>
      </c>
      <c r="S269" s="159" t="s">
        <v>1688</v>
      </c>
      <c r="T269" s="159" t="s">
        <v>1689</v>
      </c>
      <c r="U269" s="159" t="s">
        <v>1692</v>
      </c>
      <c r="V269" s="159" t="s">
        <v>193</v>
      </c>
      <c r="W269" s="159" t="s">
        <v>535</v>
      </c>
      <c r="X269" s="159" t="s">
        <v>111</v>
      </c>
      <c r="Y269" s="159" t="str">
        <f ca="1">IF(I269&lt;&gt;"",IF(I269&lt;=TODAY(),IF(OR(N269="REPROGRAMADA",N269="SUSPENDIDA",N269="EXCLUSION",N269="COLEGIADO"),"NO HECHA",IF(N269=" ","SINRESULTADO","SI")),"NO"),IF(N269="EXCLUSION","NO HECHA","LIMBO"))</f>
        <v>SI</v>
      </c>
      <c r="Z269" s="159" t="str">
        <f>IF($Z$1=I269,"DIASOL", "DIANOSOL")</f>
        <v>DIANOSOL</v>
      </c>
      <c r="AA269" s="159" t="s">
        <v>240</v>
      </c>
      <c r="AB269" s="159" t="s">
        <v>1690</v>
      </c>
      <c r="AC269" s="159" t="str">
        <f>IF(H269=$M$1,"SI","NO")</f>
        <v>NO</v>
      </c>
      <c r="AD269" s="159"/>
      <c r="AE269" s="256">
        <v>45189</v>
      </c>
      <c r="AF269" s="159"/>
      <c r="AG269" s="159" t="str">
        <f>IF(COUNTIF(C269,"*preso*")&gt;0,"SI","NO")</f>
        <v>SI</v>
      </c>
      <c r="AH269" s="254">
        <f>NroOrden(N269)</f>
        <v>50</v>
      </c>
      <c r="AI269" s="159"/>
      <c r="AJ269" s="184" t="str">
        <f ca="1">IF(OR(Y269="NO",Y269="LIMBO"),"IMP","NOIMP")</f>
        <v>NOIMP</v>
      </c>
    </row>
    <row r="270" spans="1:36" ht="39.950000000000003" customHeight="1">
      <c r="A270" s="159">
        <v>336</v>
      </c>
      <c r="B270" s="160" t="s">
        <v>2026</v>
      </c>
      <c r="C270" s="208" t="s">
        <v>501</v>
      </c>
      <c r="D270" s="159" t="s">
        <v>2027</v>
      </c>
      <c r="E270" s="159" t="s">
        <v>2080</v>
      </c>
      <c r="F270" s="159" t="s">
        <v>2081</v>
      </c>
      <c r="G270" s="159" t="s">
        <v>2082</v>
      </c>
      <c r="H270" s="159" t="s">
        <v>1642</v>
      </c>
      <c r="I270" s="160">
        <v>45211</v>
      </c>
      <c r="J270" s="160" t="s">
        <v>1181</v>
      </c>
      <c r="K270" s="159" t="s">
        <v>363</v>
      </c>
      <c r="L270" s="159" t="s">
        <v>1659</v>
      </c>
      <c r="M270" s="160" t="s">
        <v>328</v>
      </c>
      <c r="N270" s="159" t="s">
        <v>356</v>
      </c>
      <c r="O270" s="159" t="s">
        <v>2034</v>
      </c>
      <c r="P270" s="159"/>
      <c r="Q270" s="159" t="s">
        <v>240</v>
      </c>
      <c r="R270" s="159"/>
      <c r="S270" s="159" t="s">
        <v>2083</v>
      </c>
      <c r="T270" s="159" t="s">
        <v>2084</v>
      </c>
      <c r="U270" s="159" t="s">
        <v>2085</v>
      </c>
      <c r="V270" s="159" t="s">
        <v>182</v>
      </c>
      <c r="W270" s="159" t="s">
        <v>1046</v>
      </c>
      <c r="X270" s="159"/>
      <c r="Y270" s="159" t="str">
        <f ca="1">IF(I270&lt;&gt;"",IF(I270&lt;=TODAY(),IF(OR(N270="REPROGRAMADA",N270="SUSPENDIDA",N270="EXCLUSION",N270="COLEGIADO"),"NO HECHA",IF(N270=" ","SINRESULTADO","SI")),"NO"),IF(N270="EXCLUSION","NO HECHA","LIMBO"))</f>
        <v>SI</v>
      </c>
      <c r="Z270" s="159" t="str">
        <f>IF($Z$1=I270,"DIASOL", "DIANOSOL")</f>
        <v>DIANOSOL</v>
      </c>
      <c r="AA270" s="159"/>
      <c r="AB270" s="159"/>
      <c r="AC270" s="159" t="str">
        <f>IF(H270=$M$1,"SI","NO")</f>
        <v>NO</v>
      </c>
      <c r="AD270" s="159"/>
      <c r="AE270" s="256">
        <v>45190</v>
      </c>
      <c r="AF270" s="256">
        <v>45217</v>
      </c>
      <c r="AG270" s="269" t="str">
        <f>IF(COUNTIF(C270,"*preso*")&gt;0,"SI","NO")</f>
        <v>SI</v>
      </c>
      <c r="AH270" s="295">
        <f>NroOrden(N270)</f>
        <v>50</v>
      </c>
      <c r="AI270" s="269"/>
      <c r="AJ270" s="48" t="str">
        <f ca="1">IF(OR(Y270="NO",Y270="LIMBO"),"IMP","NOIMP")</f>
        <v>NOIMP</v>
      </c>
    </row>
    <row r="271" spans="1:36" ht="39.950000000000003" customHeight="1">
      <c r="A271" s="159">
        <v>257</v>
      </c>
      <c r="B271" s="160" t="s">
        <v>1717</v>
      </c>
      <c r="C271" s="208" t="s">
        <v>1718</v>
      </c>
      <c r="D271" s="159" t="s">
        <v>1719</v>
      </c>
      <c r="E271" s="159" t="s">
        <v>1720</v>
      </c>
      <c r="F271" s="256">
        <v>45190</v>
      </c>
      <c r="G271" s="159" t="s">
        <v>1721</v>
      </c>
      <c r="H271" s="159" t="s">
        <v>1643</v>
      </c>
      <c r="I271" s="160">
        <v>45211</v>
      </c>
      <c r="J271" s="160" t="s">
        <v>14</v>
      </c>
      <c r="K271" s="159" t="s">
        <v>362</v>
      </c>
      <c r="L271" s="159" t="s">
        <v>1659</v>
      </c>
      <c r="M271" s="160" t="s">
        <v>328</v>
      </c>
      <c r="N271" s="159" t="s">
        <v>356</v>
      </c>
      <c r="O271" s="159" t="s">
        <v>2034</v>
      </c>
      <c r="P271" s="159"/>
      <c r="Q271" s="159"/>
      <c r="R271" s="159"/>
      <c r="S271" s="159" t="s">
        <v>1688</v>
      </c>
      <c r="T271" s="159" t="s">
        <v>1723</v>
      </c>
      <c r="U271" s="159" t="s">
        <v>1724</v>
      </c>
      <c r="V271" s="159" t="s">
        <v>913</v>
      </c>
      <c r="W271" s="159" t="s">
        <v>202</v>
      </c>
      <c r="X271" s="159" t="s">
        <v>1812</v>
      </c>
      <c r="Y271" s="159" t="str">
        <f ca="1">IF(I271&lt;&gt;"",IF(I271&lt;=TODAY(),IF(OR(N271="REPROGRAMADA",N271="SUSPENDIDA",N271="EXCLUSION",N271="COLEGIADO"),"NO HECHA",IF(N271=" ","SINRESULTADO","SI")),"NO"),IF(N271="EXCLUSION","NO HECHA","LIMBO"))</f>
        <v>SI</v>
      </c>
      <c r="Z271" s="159" t="str">
        <f>IF($Z$1=I271,"DIASOL", "DIANOSOL")</f>
        <v>DIANOSOL</v>
      </c>
      <c r="AA271" s="159" t="s">
        <v>738</v>
      </c>
      <c r="AB271" s="159" t="s">
        <v>1722</v>
      </c>
      <c r="AC271" s="159" t="str">
        <f>IF(H271=$M$1,"SI","NO")</f>
        <v>SI</v>
      </c>
      <c r="AD271" s="159"/>
      <c r="AE271" s="256">
        <v>45190</v>
      </c>
      <c r="AF271" s="159"/>
      <c r="AG271" s="269" t="str">
        <f>IF(COUNTIF(C271,"*preso*")&gt;0,"SI","NO")</f>
        <v>SI</v>
      </c>
      <c r="AH271" s="244">
        <f>NroOrden(N271)</f>
        <v>50</v>
      </c>
      <c r="AI271" s="269"/>
      <c r="AJ271" s="48" t="str">
        <f ca="1">IF(OR(Y271="NO",Y271="LIMBO"),"IMP","NOIMP")</f>
        <v>NOIMP</v>
      </c>
    </row>
    <row r="272" spans="1:36" ht="39.950000000000003" customHeight="1">
      <c r="A272" s="159">
        <v>264</v>
      </c>
      <c r="B272" s="160" t="s">
        <v>1752</v>
      </c>
      <c r="C272" s="208"/>
      <c r="D272" s="159" t="s">
        <v>1753</v>
      </c>
      <c r="E272" s="159" t="s">
        <v>1754</v>
      </c>
      <c r="F272" s="256">
        <v>45191</v>
      </c>
      <c r="G272" s="159" t="s">
        <v>1742</v>
      </c>
      <c r="H272" s="159" t="s">
        <v>1638</v>
      </c>
      <c r="I272" s="160">
        <v>45216</v>
      </c>
      <c r="J272" s="160" t="s">
        <v>282</v>
      </c>
      <c r="K272" s="159" t="s">
        <v>1867</v>
      </c>
      <c r="L272" s="159" t="s">
        <v>1658</v>
      </c>
      <c r="M272" s="160" t="s">
        <v>1807</v>
      </c>
      <c r="N272" s="159" t="s">
        <v>355</v>
      </c>
      <c r="O272" s="159" t="s">
        <v>2034</v>
      </c>
      <c r="P272" s="159"/>
      <c r="Q272" s="159"/>
      <c r="R272" s="159"/>
      <c r="S272" s="159"/>
      <c r="T272" s="159"/>
      <c r="U272" s="159"/>
      <c r="V272" s="159" t="s">
        <v>346</v>
      </c>
      <c r="W272" s="159" t="s">
        <v>1755</v>
      </c>
      <c r="X272" s="159" t="s">
        <v>111</v>
      </c>
      <c r="Y272" s="159" t="str">
        <f ca="1">IF(I272&lt;&gt;"",IF(I272&lt;=TODAY(),IF(OR(N272="REPROGRAMADA",N272="SUSPENDIDA",N272="EXCLUSION",N272="COLEGIADO"),"NO HECHA",IF(N272=" ","SINRESULTADO","SI")),"NO"),IF(N272="EXCLUSION","NO HECHA","LIMBO"))</f>
        <v>SI</v>
      </c>
      <c r="Z272" s="159" t="str">
        <f>IF($Z$1=I272,"DIASOL", "DIANOSOL")</f>
        <v>DIANOSOL</v>
      </c>
      <c r="AA272" s="159" t="s">
        <v>240</v>
      </c>
      <c r="AB272" s="159" t="s">
        <v>1756</v>
      </c>
      <c r="AC272" s="159" t="str">
        <f>IF(H272=$M$1,"SI","NO")</f>
        <v>NO</v>
      </c>
      <c r="AD272" s="159"/>
      <c r="AE272" s="256">
        <v>45191</v>
      </c>
      <c r="AF272" s="159"/>
      <c r="AG272" s="159" t="str">
        <f>IF(COUNTIF(C272,"*preso*")&gt;0,"SI","NO")</f>
        <v>NO</v>
      </c>
      <c r="AH272" s="254">
        <f>NroOrden(N272)</f>
        <v>50</v>
      </c>
      <c r="AI272" s="159"/>
      <c r="AJ272" s="184" t="str">
        <f ca="1">IF(OR(Y272="NO",Y272="LIMBO"),"IMP","NOIMP")</f>
        <v>NOIMP</v>
      </c>
    </row>
    <row r="273" spans="1:36" ht="39.950000000000003" customHeight="1">
      <c r="A273" s="265">
        <v>247</v>
      </c>
      <c r="B273" s="266" t="s">
        <v>689</v>
      </c>
      <c r="C273" s="267"/>
      <c r="D273" s="265" t="s">
        <v>690</v>
      </c>
      <c r="E273" s="265" t="s">
        <v>691</v>
      </c>
      <c r="F273" s="268" t="s">
        <v>1526</v>
      </c>
      <c r="G273" s="265" t="s">
        <v>692</v>
      </c>
      <c r="H273" s="265" t="s">
        <v>1639</v>
      </c>
      <c r="I273" s="266">
        <v>45216</v>
      </c>
      <c r="J273" s="266" t="s">
        <v>1181</v>
      </c>
      <c r="K273" s="265" t="s">
        <v>1676</v>
      </c>
      <c r="L273" s="265" t="s">
        <v>1997</v>
      </c>
      <c r="M273" s="266" t="s">
        <v>329</v>
      </c>
      <c r="N273" s="265" t="s">
        <v>357</v>
      </c>
      <c r="O273" s="265" t="s">
        <v>2034</v>
      </c>
      <c r="P273" s="265"/>
      <c r="Q273" s="265"/>
      <c r="R273" s="265"/>
      <c r="S273" s="265"/>
      <c r="T273" s="265"/>
      <c r="U273" s="265"/>
      <c r="V273" s="265" t="s">
        <v>190</v>
      </c>
      <c r="W273" s="265" t="s">
        <v>423</v>
      </c>
      <c r="X273" s="265" t="s">
        <v>111</v>
      </c>
      <c r="Y273" s="265" t="str">
        <f ca="1">IF(I273&lt;&gt;"",IF(I273&lt;=TODAY(),IF(OR(N273="REPROGRAMADA",N273="SUSPENDIDA",N273="EXCLUSION",N273="COLEGIADO"),"NO HECHA",IF(N273=" ","SINRESULTADO","SI")),"NO"),IF(N273="EXCLUSION","NO HECHA","LIMBO"))</f>
        <v>SI</v>
      </c>
      <c r="Z273" s="265" t="str">
        <f>IF($Z$1=I273,"DIASOL", "DIANOSOL")</f>
        <v>DIANOSOL</v>
      </c>
      <c r="AA273" s="265" t="s">
        <v>240</v>
      </c>
      <c r="AB273" s="265" t="s">
        <v>694</v>
      </c>
      <c r="AC273" s="265" t="str">
        <f>IF(H273=$M$1,"SI","NO")</f>
        <v>NO</v>
      </c>
      <c r="AD273" s="265"/>
      <c r="AE273" s="265"/>
      <c r="AF273" s="265"/>
      <c r="AG273" s="265" t="str">
        <f>IF(COUNTIF(C273,"*preso*")&gt;0,"SI","NO")</f>
        <v>NO</v>
      </c>
      <c r="AH273" s="258">
        <f>NroOrden(N273)</f>
        <v>50</v>
      </c>
      <c r="AI273" s="265"/>
      <c r="AJ273" s="48" t="str">
        <f ca="1">IF(OR(Y273="NO",Y273="LIMBO"),"IMP","NOIMP")</f>
        <v>NOIMP</v>
      </c>
    </row>
    <row r="274" spans="1:36" ht="39.950000000000003" customHeight="1">
      <c r="A274" s="261">
        <v>246</v>
      </c>
      <c r="B274" s="262" t="s">
        <v>1454</v>
      </c>
      <c r="C274" s="263" t="s">
        <v>1472</v>
      </c>
      <c r="D274" s="261" t="s">
        <v>1455</v>
      </c>
      <c r="E274" s="261" t="s">
        <v>1456</v>
      </c>
      <c r="F274" s="264">
        <v>45161</v>
      </c>
      <c r="G274" s="261" t="s">
        <v>1457</v>
      </c>
      <c r="H274" s="261" t="s">
        <v>1644</v>
      </c>
      <c r="I274" s="262">
        <v>45216</v>
      </c>
      <c r="J274" s="262" t="s">
        <v>1417</v>
      </c>
      <c r="K274" s="261" t="s">
        <v>1674</v>
      </c>
      <c r="L274" s="261" t="s">
        <v>1659</v>
      </c>
      <c r="M274" s="262" t="s">
        <v>333</v>
      </c>
      <c r="N274" s="261" t="s">
        <v>357</v>
      </c>
      <c r="O274" s="261" t="s">
        <v>2034</v>
      </c>
      <c r="P274" s="261"/>
      <c r="Q274" s="261"/>
      <c r="R274" s="261"/>
      <c r="S274" s="261" t="s">
        <v>1347</v>
      </c>
      <c r="T274" s="261" t="s">
        <v>1462</v>
      </c>
      <c r="U274" s="261" t="s">
        <v>1463</v>
      </c>
      <c r="V274" s="261" t="s">
        <v>1458</v>
      </c>
      <c r="W274" s="261" t="s">
        <v>1459</v>
      </c>
      <c r="X274" s="261" t="s">
        <v>1460</v>
      </c>
      <c r="Y274" s="261" t="str">
        <f ca="1">IF(I274&lt;&gt;"",IF(I274&lt;=TODAY(),IF(OR(N274="REPROGRAMADA",N274="SUSPENDIDA",N274="EXCLUSION",N274="COLEGIADO"),"NO HECHA",IF(N274=" ","SINRESULTADO","SI")),"NO"),IF(N274="EXCLUSION","NO HECHA","LIMBO"))</f>
        <v>SI</v>
      </c>
      <c r="Z274" s="261" t="str">
        <f>IF($Z$1=I274,"DIASOL", "DIANOSOL")</f>
        <v>DIANOSOL</v>
      </c>
      <c r="AA274" s="261" t="s">
        <v>240</v>
      </c>
      <c r="AB274" s="261" t="s">
        <v>1461</v>
      </c>
      <c r="AC274" s="261" t="str">
        <f>IF(H274=$M$1,"SI","NO")</f>
        <v>NO</v>
      </c>
      <c r="AD274" s="261"/>
      <c r="AE274" s="261">
        <v>45155</v>
      </c>
      <c r="AF274" s="261"/>
      <c r="AG274" s="261" t="str">
        <f>IF(COUNTIF(C274,"*preso*")&gt;0,"SI","NO")</f>
        <v>SI</v>
      </c>
      <c r="AH274" s="258">
        <f>NroOrden(N274)</f>
        <v>50</v>
      </c>
      <c r="AI274" s="261"/>
      <c r="AJ274" s="48" t="str">
        <f ca="1">IF(OR(Y274="NO",Y274="LIMBO"),"IMP","NOIMP")</f>
        <v>NOIMP</v>
      </c>
    </row>
    <row r="275" spans="1:36" ht="38.25">
      <c r="A275" s="159">
        <v>262</v>
      </c>
      <c r="B275" s="160" t="s">
        <v>1651</v>
      </c>
      <c r="C275" s="208"/>
      <c r="D275" s="159" t="s">
        <v>1502</v>
      </c>
      <c r="E275" s="159" t="s">
        <v>1503</v>
      </c>
      <c r="F275" s="256">
        <v>45162</v>
      </c>
      <c r="G275" s="159" t="s">
        <v>1504</v>
      </c>
      <c r="H275" s="159" t="s">
        <v>1639</v>
      </c>
      <c r="I275" s="160">
        <v>45217</v>
      </c>
      <c r="J275" s="160" t="s">
        <v>282</v>
      </c>
      <c r="K275" s="159" t="s">
        <v>362</v>
      </c>
      <c r="L275" s="159" t="s">
        <v>1659</v>
      </c>
      <c r="M275" s="160" t="s">
        <v>328</v>
      </c>
      <c r="N275" s="159" t="s">
        <v>356</v>
      </c>
      <c r="O275" s="159" t="s">
        <v>2034</v>
      </c>
      <c r="P275" s="159"/>
      <c r="Q275" s="159"/>
      <c r="R275" s="159"/>
      <c r="S275" s="159"/>
      <c r="T275" s="159"/>
      <c r="U275" s="159"/>
      <c r="V275" s="159" t="s">
        <v>192</v>
      </c>
      <c r="W275" s="159" t="s">
        <v>1505</v>
      </c>
      <c r="X275" s="159" t="s">
        <v>111</v>
      </c>
      <c r="Y275" s="159" t="str">
        <f ca="1">IF(I275&lt;&gt;"",IF(I275&lt;=TODAY(),IF(OR(N275="REPROGRAMADA",N275="SUSPENDIDA",N275="EXCLUSION",N275="COLEGIADO"),"NO HECHA",IF(N275=" ","SINRESULTADO","SI")),"NO"),IF(N275="EXCLUSION","NO HECHA","LIMBO"))</f>
        <v>SI</v>
      </c>
      <c r="Z275" s="159" t="str">
        <f>IF($Z$1=I275,"DIASOL", "DIANOSOL")</f>
        <v>DIANOSOL</v>
      </c>
      <c r="AA275" s="159" t="s">
        <v>240</v>
      </c>
      <c r="AB275" s="159" t="s">
        <v>1506</v>
      </c>
      <c r="AC275" s="159" t="str">
        <f>IF(H275=$M$1,"SI","NO")</f>
        <v>NO</v>
      </c>
      <c r="AD275" s="159"/>
      <c r="AE275" s="159">
        <v>45153</v>
      </c>
      <c r="AF275" s="159"/>
      <c r="AG275" s="159" t="str">
        <f>IF(COUNTIF(C275,"*preso*")&gt;0,"SI","NO")</f>
        <v>NO</v>
      </c>
      <c r="AH275" s="254">
        <f>NroOrden(N275)</f>
        <v>50</v>
      </c>
      <c r="AI275" s="159"/>
      <c r="AJ275" s="184" t="str">
        <f ca="1">IF(OR(Y275="NO",Y275="LIMBO"),"IMP","NOIMP")</f>
        <v>NOIMP</v>
      </c>
    </row>
    <row r="276" spans="1:36" ht="129.75" customHeight="1">
      <c r="A276" s="159">
        <v>263</v>
      </c>
      <c r="B276" s="160" t="s">
        <v>1747</v>
      </c>
      <c r="C276" s="208" t="s">
        <v>501</v>
      </c>
      <c r="D276" s="159" t="s">
        <v>1748</v>
      </c>
      <c r="E276" s="159" t="s">
        <v>1749</v>
      </c>
      <c r="F276" s="256">
        <v>45190</v>
      </c>
      <c r="G276" s="159" t="s">
        <v>1742</v>
      </c>
      <c r="H276" s="159" t="s">
        <v>1642</v>
      </c>
      <c r="I276" s="160">
        <v>45217</v>
      </c>
      <c r="J276" s="160" t="s">
        <v>1045</v>
      </c>
      <c r="K276" s="159" t="s">
        <v>1826</v>
      </c>
      <c r="L276" s="159" t="s">
        <v>1658</v>
      </c>
      <c r="M276" s="160" t="s">
        <v>1750</v>
      </c>
      <c r="N276" s="159" t="s">
        <v>357</v>
      </c>
      <c r="O276" s="159" t="s">
        <v>2034</v>
      </c>
      <c r="P276" s="159"/>
      <c r="Q276" s="159" t="s">
        <v>332</v>
      </c>
      <c r="R276" s="159" t="s">
        <v>2420</v>
      </c>
      <c r="S276" s="159"/>
      <c r="T276" s="159"/>
      <c r="U276" s="159"/>
      <c r="V276" s="159" t="s">
        <v>100</v>
      </c>
      <c r="W276" s="159" t="s">
        <v>117</v>
      </c>
      <c r="X276" s="159" t="s">
        <v>111</v>
      </c>
      <c r="Y276" s="159" t="str">
        <f ca="1">IF(I276&lt;&gt;"",IF(I276&lt;=TODAY(),IF(OR(N276="REPROGRAMADA",N276="SUSPENDIDA",N276="EXCLUSION",N276="COLEGIADO"),"NO HECHA",IF(N276=" ","SINRESULTADO","SI")),"NO"),IF(N276="EXCLUSION","NO HECHA","LIMBO"))</f>
        <v>SI</v>
      </c>
      <c r="Z276" s="159" t="str">
        <f>IF($Z$1=I276,"DIASOL", "DIANOSOL")</f>
        <v>DIANOSOL</v>
      </c>
      <c r="AA276" s="159" t="s">
        <v>240</v>
      </c>
      <c r="AB276" s="159" t="s">
        <v>1751</v>
      </c>
      <c r="AC276" s="159" t="str">
        <f>IF(H276=$M$1,"SI","NO")</f>
        <v>NO</v>
      </c>
      <c r="AD276" s="159"/>
      <c r="AE276" s="256">
        <v>45190</v>
      </c>
      <c r="AF276" s="159"/>
      <c r="AG276" s="159" t="str">
        <f>IF(COUNTIF(C276,"*preso*")&gt;0,"SI","NO")</f>
        <v>SI</v>
      </c>
      <c r="AH276" s="254">
        <f>NroOrden(N276)</f>
        <v>50</v>
      </c>
      <c r="AI276" s="159"/>
      <c r="AJ276" s="184" t="str">
        <f ca="1">IF(OR(Y276="NO",Y276="LIMBO"),"IMP","NOIMP")</f>
        <v>NOIMP</v>
      </c>
    </row>
    <row r="277" spans="1:36" ht="60.75" customHeight="1">
      <c r="A277" s="159">
        <v>166</v>
      </c>
      <c r="B277" s="160" t="s">
        <v>1201</v>
      </c>
      <c r="C277" s="208"/>
      <c r="D277" s="159" t="s">
        <v>1202</v>
      </c>
      <c r="E277" s="159" t="s">
        <v>1203</v>
      </c>
      <c r="F277" s="256">
        <v>45139</v>
      </c>
      <c r="G277" s="159" t="s">
        <v>1190</v>
      </c>
      <c r="H277" s="159" t="s">
        <v>1638</v>
      </c>
      <c r="I277" s="160">
        <v>45217</v>
      </c>
      <c r="J277" s="160" t="s">
        <v>16</v>
      </c>
      <c r="K277" s="159" t="s">
        <v>362</v>
      </c>
      <c r="L277" s="159" t="s">
        <v>1659</v>
      </c>
      <c r="M277" s="160" t="s">
        <v>330</v>
      </c>
      <c r="N277" s="159" t="s">
        <v>357</v>
      </c>
      <c r="O277" s="159" t="s">
        <v>2034</v>
      </c>
      <c r="P277" s="159"/>
      <c r="Q277" s="159" t="s">
        <v>331</v>
      </c>
      <c r="R277" s="256">
        <v>45329</v>
      </c>
      <c r="S277" s="159"/>
      <c r="T277" s="159"/>
      <c r="U277" s="159"/>
      <c r="V277" s="159" t="s">
        <v>342</v>
      </c>
      <c r="W277" s="159" t="s">
        <v>1204</v>
      </c>
      <c r="X277" s="159" t="s">
        <v>111</v>
      </c>
      <c r="Y277" s="189" t="str">
        <f ca="1">IF(I277&lt;&gt;"",IF(I277&lt;=TODAY(),IF(OR(N277="REPROGRAMADA",N277="SUSPENDIDA",N277="EXCLUSION",N277="COLEGIADO"),"NO HECHA",IF(N277=" ","SINRESULTADO","SI")),"NO"),IF(N277="EXCLUSION","NO HECHA","LIMBO"))</f>
        <v>SI</v>
      </c>
      <c r="Z277" s="142" t="str">
        <f>IF($Z$1=I277,"DIASOL", "DIANOSOL")</f>
        <v>DIANOSOL</v>
      </c>
      <c r="AA277" s="159" t="s">
        <v>240</v>
      </c>
      <c r="AB277" s="159" t="s">
        <v>1205</v>
      </c>
      <c r="AC277" s="145" t="str">
        <f>IF(H277=$M$1,"SI","NO")</f>
        <v>NO</v>
      </c>
      <c r="AD277" s="145"/>
      <c r="AE277" s="159"/>
      <c r="AF277" s="159"/>
      <c r="AG277" s="144" t="str">
        <f>IF(COUNTIF(C277,"*preso*")&gt;0,"SI","NO")</f>
        <v>NO</v>
      </c>
      <c r="AH277" s="258">
        <f>NroOrden(N277)</f>
        <v>50</v>
      </c>
      <c r="AI277" s="159"/>
      <c r="AJ277" s="259" t="str">
        <f ca="1">IF(OR(Y277="NO",Y277="LIMBO"),"IMP","NOIMP")</f>
        <v>NOIMP</v>
      </c>
    </row>
    <row r="278" spans="1:36" ht="129.75" customHeight="1">
      <c r="A278" s="159">
        <v>258</v>
      </c>
      <c r="B278" s="160" t="s">
        <v>1732</v>
      </c>
      <c r="C278" s="208"/>
      <c r="D278" s="159" t="s">
        <v>1733</v>
      </c>
      <c r="E278" s="159" t="s">
        <v>1044</v>
      </c>
      <c r="F278" s="256">
        <v>45166</v>
      </c>
      <c r="G278" s="159" t="s">
        <v>1742</v>
      </c>
      <c r="H278" s="159" t="s">
        <v>1644</v>
      </c>
      <c r="I278" s="160">
        <v>45218</v>
      </c>
      <c r="J278" s="160" t="s">
        <v>1417</v>
      </c>
      <c r="K278" s="159" t="s">
        <v>362</v>
      </c>
      <c r="L278" s="159" t="s">
        <v>1997</v>
      </c>
      <c r="M278" s="160" t="s">
        <v>329</v>
      </c>
      <c r="N278" s="159" t="s">
        <v>355</v>
      </c>
      <c r="O278" s="159" t="s">
        <v>2034</v>
      </c>
      <c r="P278" s="159"/>
      <c r="Q278" s="159"/>
      <c r="R278" s="159"/>
      <c r="S278" s="159"/>
      <c r="T278" s="159"/>
      <c r="U278" s="159"/>
      <c r="V278" s="159" t="s">
        <v>343</v>
      </c>
      <c r="W278" s="159" t="s">
        <v>140</v>
      </c>
      <c r="X278" s="159" t="s">
        <v>111</v>
      </c>
      <c r="Y278" s="159" t="str">
        <f ca="1">IF(I278&lt;&gt;"",IF(I278&lt;=TODAY(),IF(OR(N278="REPROGRAMADA",N278="SUSPENDIDA",N278="EXCLUSION",N278="COLEGIADO"),"NO HECHA",IF(N278=" ","SINRESULTADO","SI")),"NO"),IF(N278="EXCLUSION","NO HECHA","LIMBO"))</f>
        <v>SI</v>
      </c>
      <c r="Z278" s="159" t="str">
        <f>IF($Z$1=I278,"DIASOL", "DIANOSOL")</f>
        <v>DIANOSOL</v>
      </c>
      <c r="AA278" s="159" t="s">
        <v>240</v>
      </c>
      <c r="AB278" s="159" t="s">
        <v>1734</v>
      </c>
      <c r="AC278" s="159" t="str">
        <f>IF(H278=$M$1,"SI","NO")</f>
        <v>NO</v>
      </c>
      <c r="AD278" s="159"/>
      <c r="AE278" s="256">
        <v>45166</v>
      </c>
      <c r="AF278" s="159"/>
      <c r="AG278" s="159" t="str">
        <f>IF(COUNTIF(C278,"*preso*")&gt;0,"SI","NO")</f>
        <v>NO</v>
      </c>
      <c r="AH278" s="254">
        <f>NroOrden(N278)</f>
        <v>50</v>
      </c>
      <c r="AI278" s="159"/>
      <c r="AJ278" s="184" t="str">
        <f ca="1">IF(OR(Y278="NO",Y278="LIMBO"),"IMP","NOIMP")</f>
        <v>NOIMP</v>
      </c>
    </row>
    <row r="279" spans="1:36" ht="39.950000000000003" customHeight="1">
      <c r="A279" s="142">
        <v>309</v>
      </c>
      <c r="B279" s="143" t="s">
        <v>1940</v>
      </c>
      <c r="C279" s="241" t="s">
        <v>1472</v>
      </c>
      <c r="D279" s="142" t="s">
        <v>1941</v>
      </c>
      <c r="E279" s="142" t="s">
        <v>1942</v>
      </c>
      <c r="F279" s="271">
        <v>45176</v>
      </c>
      <c r="G279" s="142" t="s">
        <v>1943</v>
      </c>
      <c r="H279" s="142" t="s">
        <v>1640</v>
      </c>
      <c r="I279" s="143">
        <v>45218</v>
      </c>
      <c r="J279" s="143" t="s">
        <v>993</v>
      </c>
      <c r="K279" s="142" t="s">
        <v>362</v>
      </c>
      <c r="L279" s="142" t="s">
        <v>1659</v>
      </c>
      <c r="M279" s="143" t="s">
        <v>329</v>
      </c>
      <c r="N279" s="142" t="s">
        <v>357</v>
      </c>
      <c r="O279" s="142" t="s">
        <v>2034</v>
      </c>
      <c r="P279" s="142" t="s">
        <v>2186</v>
      </c>
      <c r="Q279" s="142" t="s">
        <v>333</v>
      </c>
      <c r="R279" s="142"/>
      <c r="S279" s="142" t="s">
        <v>1946</v>
      </c>
      <c r="T279" s="142" t="s">
        <v>1945</v>
      </c>
      <c r="U279" s="142"/>
      <c r="V279" s="142" t="s">
        <v>191</v>
      </c>
      <c r="W279" s="142" t="s">
        <v>169</v>
      </c>
      <c r="X279" s="142" t="s">
        <v>111</v>
      </c>
      <c r="Y279" s="142" t="str">
        <f ca="1">IF(I279&lt;&gt;"",IF(I279&lt;=TODAY(),IF(OR(N279="REPROGRAMADA",N279="SUSPENDIDA",N279="EXCLUSION",N279="COLEGIADO"),"NO HECHA",IF(N279=" ","SINRESULTADO","SI")),"NO"),IF(N279="EXCLUSION","NO HECHA","LIMBO"))</f>
        <v>SI</v>
      </c>
      <c r="Z279" s="142" t="str">
        <f>IF($Z$1=I279,"DIASOL", "DIANOSOL")</f>
        <v>DIANOSOL</v>
      </c>
      <c r="AA279" s="142" t="s">
        <v>240</v>
      </c>
      <c r="AB279" s="142" t="s">
        <v>1944</v>
      </c>
      <c r="AC279" s="142" t="str">
        <f>IF(H279=$M$1,"SI","NO")</f>
        <v>NO</v>
      </c>
      <c r="AD279" s="142"/>
      <c r="AE279" s="271">
        <v>45176</v>
      </c>
      <c r="AF279" s="142"/>
      <c r="AG279" s="142" t="str">
        <f>IF(COUNTIF(C279,"*preso*")&gt;0,"SI","NO")</f>
        <v>SI</v>
      </c>
      <c r="AH279" s="258">
        <f>NroOrden(N279)</f>
        <v>50</v>
      </c>
      <c r="AI279" s="142"/>
      <c r="AJ279" s="259" t="str">
        <f ca="1">IF(OR(Y279="NO",Y279="LIMBO"),"IMP","NOIMP")</f>
        <v>NOIMP</v>
      </c>
    </row>
    <row r="280" spans="1:36" ht="39.950000000000003" customHeight="1">
      <c r="A280" s="142">
        <v>229</v>
      </c>
      <c r="B280" s="143" t="s">
        <v>1577</v>
      </c>
      <c r="C280" s="241"/>
      <c r="D280" s="142" t="s">
        <v>1578</v>
      </c>
      <c r="E280" s="142" t="s">
        <v>1579</v>
      </c>
      <c r="F280" s="271">
        <v>45170</v>
      </c>
      <c r="G280" s="142" t="s">
        <v>1575</v>
      </c>
      <c r="H280" s="142" t="s">
        <v>1641</v>
      </c>
      <c r="I280" s="143">
        <v>45219</v>
      </c>
      <c r="J280" s="143" t="s">
        <v>1181</v>
      </c>
      <c r="K280" s="142" t="s">
        <v>362</v>
      </c>
      <c r="L280" s="142" t="s">
        <v>1658</v>
      </c>
      <c r="M280" s="143" t="s">
        <v>330</v>
      </c>
      <c r="N280" s="142" t="s">
        <v>357</v>
      </c>
      <c r="O280" s="142" t="s">
        <v>2034</v>
      </c>
      <c r="P280" s="142"/>
      <c r="Q280" s="142" t="s">
        <v>111</v>
      </c>
      <c r="R280" s="142"/>
      <c r="S280" s="142"/>
      <c r="T280" s="142"/>
      <c r="U280" s="142"/>
      <c r="V280" s="142" t="s">
        <v>1275</v>
      </c>
      <c r="W280" s="142" t="s">
        <v>1580</v>
      </c>
      <c r="X280" s="142" t="s">
        <v>111</v>
      </c>
      <c r="Y280" s="142" t="str">
        <f ca="1">IF(I280&lt;&gt;"",IF(I280&lt;=TODAY(),IF(OR(N280="REPROGRAMADA",N280="SUSPENDIDA",N280="EXCLUSION",N280="COLEGIADO"),"NO HECHA",IF(N280=" ","SINRESULTADO","SI")),"NO"),IF(N280="EXCLUSION","NO HECHA","LIMBO"))</f>
        <v>SI</v>
      </c>
      <c r="Z280" s="142" t="str">
        <f>IF($Z$1=I280,"DIASOL", "DIANOSOL")</f>
        <v>DIANOSOL</v>
      </c>
      <c r="AA280" s="142" t="s">
        <v>240</v>
      </c>
      <c r="AB280" s="142" t="s">
        <v>1581</v>
      </c>
      <c r="AC280" s="142" t="str">
        <f>IF(H280=$M$1,"SI","NO")</f>
        <v>NO</v>
      </c>
      <c r="AD280" s="142"/>
      <c r="AE280" s="271">
        <v>45167</v>
      </c>
      <c r="AF280" s="142"/>
      <c r="AG280" s="142" t="str">
        <f>IF(COUNTIF(C280,"*preso*")&gt;0,"SI","NO")</f>
        <v>NO</v>
      </c>
      <c r="AH280" s="258">
        <f>NroOrden(N280)</f>
        <v>50</v>
      </c>
      <c r="AI280" s="142"/>
      <c r="AJ280" s="259" t="str">
        <f ca="1">IF(OR(Y280="NO",Y280="LIMBO"),"IMP","NOIMP")</f>
        <v>NOIMP</v>
      </c>
    </row>
    <row r="281" spans="1:36" ht="89.25" customHeight="1">
      <c r="A281" s="159">
        <v>259</v>
      </c>
      <c r="B281" s="160" t="s">
        <v>1735</v>
      </c>
      <c r="C281" s="208"/>
      <c r="D281" s="159" t="s">
        <v>1736</v>
      </c>
      <c r="E281" s="159" t="s">
        <v>1737</v>
      </c>
      <c r="F281" s="256">
        <v>45177</v>
      </c>
      <c r="G281" s="159" t="s">
        <v>1742</v>
      </c>
      <c r="H281" s="159" t="s">
        <v>1637</v>
      </c>
      <c r="I281" s="160">
        <v>45219</v>
      </c>
      <c r="J281" s="160" t="s">
        <v>1181</v>
      </c>
      <c r="K281" s="159" t="s">
        <v>363</v>
      </c>
      <c r="L281" s="159" t="s">
        <v>1659</v>
      </c>
      <c r="M281" s="160" t="s">
        <v>329</v>
      </c>
      <c r="N281" s="159" t="s">
        <v>358</v>
      </c>
      <c r="O281" s="159" t="s">
        <v>2034</v>
      </c>
      <c r="P281" s="159"/>
      <c r="Q281" s="159"/>
      <c r="R281" s="159"/>
      <c r="S281" s="159"/>
      <c r="T281" s="159"/>
      <c r="U281" s="159"/>
      <c r="V281" s="159" t="s">
        <v>191</v>
      </c>
      <c r="W281" s="159" t="s">
        <v>169</v>
      </c>
      <c r="X281" s="159" t="s">
        <v>111</v>
      </c>
      <c r="Y281" s="159" t="str">
        <f ca="1">IF(I281&lt;&gt;"",IF(I281&lt;=TODAY(),IF(OR(N281="REPROGRAMADA",N281="SUSPENDIDA",N281="EXCLUSION",N281="COLEGIADO"),"NO HECHA",IF(N281=" ","SINRESULTADO","SI")),"NO"),IF(N281="EXCLUSION","NO HECHA","LIMBO"))</f>
        <v>SI</v>
      </c>
      <c r="Z281" s="159" t="str">
        <f>IF($Z$1=I281,"DIASOL", "DIANOSOL")</f>
        <v>DIANOSOL</v>
      </c>
      <c r="AA281" s="159" t="s">
        <v>240</v>
      </c>
      <c r="AB281" s="159"/>
      <c r="AC281" s="159" t="str">
        <f>IF(H281=$M$1,"SI","NO")</f>
        <v>NO</v>
      </c>
      <c r="AD281" s="159"/>
      <c r="AE281" s="256">
        <v>45177</v>
      </c>
      <c r="AF281" s="159"/>
      <c r="AG281" s="159" t="str">
        <f>IF(COUNTIF(C281,"*preso*")&gt;0,"SI","NO")</f>
        <v>NO</v>
      </c>
      <c r="AH281" s="254">
        <f>NroOrden(N281)</f>
        <v>50</v>
      </c>
      <c r="AI281" s="159"/>
      <c r="AJ281" s="184" t="str">
        <f ca="1">IF(OR(Y281="NO",Y281="LIMBO"),"IMP","NOIMP")</f>
        <v>NOIMP</v>
      </c>
    </row>
    <row r="282" spans="1:36" ht="96.75" customHeight="1">
      <c r="A282" s="159">
        <v>266</v>
      </c>
      <c r="B282" s="160" t="s">
        <v>1761</v>
      </c>
      <c r="C282" s="208"/>
      <c r="D282" s="159" t="s">
        <v>1762</v>
      </c>
      <c r="E282" s="159" t="s">
        <v>1763</v>
      </c>
      <c r="F282" s="256">
        <v>45190</v>
      </c>
      <c r="G282" s="159" t="s">
        <v>1742</v>
      </c>
      <c r="H282" s="159" t="s">
        <v>1640</v>
      </c>
      <c r="I282" s="160">
        <v>45219</v>
      </c>
      <c r="J282" s="160" t="s">
        <v>1865</v>
      </c>
      <c r="K282" s="159" t="s">
        <v>1826</v>
      </c>
      <c r="L282" s="159" t="s">
        <v>1658</v>
      </c>
      <c r="M282" s="160" t="s">
        <v>1807</v>
      </c>
      <c r="N282" s="159" t="s">
        <v>355</v>
      </c>
      <c r="O282" s="159" t="s">
        <v>2034</v>
      </c>
      <c r="P282" s="159"/>
      <c r="Q282" s="159"/>
      <c r="R282" s="159"/>
      <c r="S282" s="159"/>
      <c r="T282" s="159"/>
      <c r="U282" s="159"/>
      <c r="V282" s="159" t="s">
        <v>1275</v>
      </c>
      <c r="W282" s="159" t="s">
        <v>134</v>
      </c>
      <c r="X282" s="159" t="s">
        <v>111</v>
      </c>
      <c r="Y282" s="159" t="str">
        <f ca="1">IF(I282&lt;&gt;"",IF(I282&lt;=TODAY(),IF(OR(N282="REPROGRAMADA",N282="SUSPENDIDA",N282="EXCLUSION",N282="COLEGIADO"),"NO HECHA",IF(N282=" ","SINRESULTADO","SI")),"NO"),IF(N282="EXCLUSION","NO HECHA","LIMBO"))</f>
        <v>SI</v>
      </c>
      <c r="Z282" s="159" t="str">
        <f>IF($Z$1=I282,"DIASOL", "DIANOSOL")</f>
        <v>DIANOSOL</v>
      </c>
      <c r="AA282" s="159" t="s">
        <v>240</v>
      </c>
      <c r="AB282" s="159" t="s">
        <v>1764</v>
      </c>
      <c r="AC282" s="159" t="str">
        <f>IF(H282=$M$1,"SI","NO")</f>
        <v>NO</v>
      </c>
      <c r="AD282" s="159"/>
      <c r="AE282" s="256">
        <v>45190</v>
      </c>
      <c r="AF282" s="159"/>
      <c r="AG282" s="159" t="str">
        <f>IF(COUNTIF(C282,"*preso*")&gt;0,"SI","NO")</f>
        <v>NO</v>
      </c>
      <c r="AH282" s="254">
        <f>NroOrden(N282)</f>
        <v>50</v>
      </c>
      <c r="AI282" s="159"/>
      <c r="AJ282" s="184" t="str">
        <f ca="1">IF(OR(Y282="NO",Y282="LIMBO"),"IMP","NOIMP")</f>
        <v>NOIMP</v>
      </c>
    </row>
    <row r="283" spans="1:36" ht="39.950000000000003" customHeight="1">
      <c r="A283" s="159">
        <v>265</v>
      </c>
      <c r="B283" s="160" t="s">
        <v>1757</v>
      </c>
      <c r="C283" s="208"/>
      <c r="D283" s="159" t="s">
        <v>1758</v>
      </c>
      <c r="E283" s="159" t="s">
        <v>1759</v>
      </c>
      <c r="F283" s="256">
        <v>45190</v>
      </c>
      <c r="G283" s="159" t="s">
        <v>1742</v>
      </c>
      <c r="H283" s="159"/>
      <c r="I283" s="160">
        <v>45219</v>
      </c>
      <c r="J283" s="160" t="s">
        <v>960</v>
      </c>
      <c r="K283" s="159" t="s">
        <v>1866</v>
      </c>
      <c r="L283" s="159" t="s">
        <v>1659</v>
      </c>
      <c r="M283" s="160" t="s">
        <v>1805</v>
      </c>
      <c r="N283" s="159" t="s">
        <v>378</v>
      </c>
      <c r="O283" s="159" t="s">
        <v>2034</v>
      </c>
      <c r="P283" s="159"/>
      <c r="Q283" s="159"/>
      <c r="R283" s="159"/>
      <c r="S283" s="159"/>
      <c r="T283" s="159"/>
      <c r="U283" s="159"/>
      <c r="V283" s="159" t="s">
        <v>345</v>
      </c>
      <c r="W283" s="159" t="s">
        <v>535</v>
      </c>
      <c r="X283" s="159" t="s">
        <v>111</v>
      </c>
      <c r="Y283" s="159" t="str">
        <f ca="1">IF(I283&lt;&gt;"",IF(I283&lt;=TODAY(),IF(OR(N283="REPROGRAMADA",N283="SUSPENDIDA",N283="EXCLUSION",N283="COLEGIADO"),"NO HECHA",IF(N283=" ","SINRESULTADO","SI")),"NO"),IF(N283="EXCLUSION","NO HECHA","LIMBO"))</f>
        <v>SI</v>
      </c>
      <c r="Z283" s="159" t="str">
        <f>IF($Z$1=I283,"DIASOL", "DIANOSOL")</f>
        <v>DIANOSOL</v>
      </c>
      <c r="AA283" s="159" t="s">
        <v>240</v>
      </c>
      <c r="AB283" s="159" t="s">
        <v>1760</v>
      </c>
      <c r="AC283" s="159" t="str">
        <f>IF(H283=$M$1,"SI","NO")</f>
        <v>NO</v>
      </c>
      <c r="AD283" s="159"/>
      <c r="AE283" s="256">
        <v>45190</v>
      </c>
      <c r="AF283" s="159"/>
      <c r="AG283" s="159" t="str">
        <f>IF(COUNTIF(C283,"*preso*")&gt;0,"SI","NO")</f>
        <v>NO</v>
      </c>
      <c r="AH283" s="254">
        <f>NroOrden(N283)</f>
        <v>50</v>
      </c>
      <c r="AI283" s="159"/>
      <c r="AJ283" s="184" t="str">
        <f ca="1">IF(OR(Y283="NO",Y283="LIMBO"),"IMP","NOIMP")</f>
        <v>NOIMP</v>
      </c>
    </row>
    <row r="284" spans="1:36" ht="39.950000000000003" customHeight="1">
      <c r="A284" s="159">
        <v>321</v>
      </c>
      <c r="B284" s="160" t="s">
        <v>1366</v>
      </c>
      <c r="C284" s="208"/>
      <c r="D284" s="159" t="s">
        <v>1367</v>
      </c>
      <c r="E284" s="159" t="s">
        <v>1368</v>
      </c>
      <c r="F284" s="256">
        <v>45149</v>
      </c>
      <c r="G284" s="159" t="s">
        <v>1369</v>
      </c>
      <c r="H284" s="159" t="s">
        <v>1638</v>
      </c>
      <c r="I284" s="160">
        <v>45219</v>
      </c>
      <c r="J284" s="160" t="s">
        <v>309</v>
      </c>
      <c r="K284" s="159" t="s">
        <v>1662</v>
      </c>
      <c r="L284" s="159" t="s">
        <v>1997</v>
      </c>
      <c r="M284" s="160" t="s">
        <v>332</v>
      </c>
      <c r="N284" s="159" t="s">
        <v>358</v>
      </c>
      <c r="O284" s="159" t="s">
        <v>2036</v>
      </c>
      <c r="P284" s="159"/>
      <c r="Q284" s="159"/>
      <c r="R284" s="159"/>
      <c r="S284" s="159"/>
      <c r="T284" s="159"/>
      <c r="U284" s="159"/>
      <c r="V284" s="159" t="s">
        <v>1275</v>
      </c>
      <c r="W284" s="159" t="s">
        <v>116</v>
      </c>
      <c r="X284" s="159" t="s">
        <v>111</v>
      </c>
      <c r="Y284" s="159" t="str">
        <f ca="1">IF(I284&lt;&gt;"",IF(I284&lt;=TODAY(),IF(OR(N284="REPROGRAMADA",N284="SUSPENDIDA",N284="EXCLUSION",N284="COLEGIADO"),"NO HECHA",IF(N284=" ","SINRESULTADO","SI")),"NO"),IF(N284="EXCLUSION","NO HECHA","LIMBO"))</f>
        <v>SI</v>
      </c>
      <c r="Z284" s="159" t="str">
        <f>IF($Z$1=I284,"DIASOL", "DIANOSOL")</f>
        <v>DIANOSOL</v>
      </c>
      <c r="AA284" s="159" t="s">
        <v>240</v>
      </c>
      <c r="AB284" s="159" t="s">
        <v>1370</v>
      </c>
      <c r="AC284" s="159" t="str">
        <f>IF(H284=$M$1,"SI","NO")</f>
        <v>NO</v>
      </c>
      <c r="AD284" s="159"/>
      <c r="AE284" s="159"/>
      <c r="AF284" s="159"/>
      <c r="AG284" s="159" t="str">
        <f>IF(COUNTIF(C284,"*preso*")&gt;0,"SI","NO")</f>
        <v>NO</v>
      </c>
      <c r="AH284" s="254">
        <f>NroOrden(N284)</f>
        <v>50</v>
      </c>
      <c r="AI284" s="159"/>
      <c r="AJ284" s="184" t="str">
        <f ca="1">IF(OR(Y284="NO",Y284="LIMBO"),"IMP","NOIMP")</f>
        <v>NOIMP</v>
      </c>
    </row>
    <row r="285" spans="1:36" ht="39.950000000000003" customHeight="1">
      <c r="A285" s="159">
        <v>306</v>
      </c>
      <c r="B285" s="160" t="s">
        <v>1932</v>
      </c>
      <c r="C285" s="208" t="s">
        <v>501</v>
      </c>
      <c r="D285" s="159" t="s">
        <v>1933</v>
      </c>
      <c r="E285" s="159" t="s">
        <v>1934</v>
      </c>
      <c r="F285" s="256">
        <v>45198</v>
      </c>
      <c r="G285" s="159" t="s">
        <v>1836</v>
      </c>
      <c r="H285" s="159" t="s">
        <v>1644</v>
      </c>
      <c r="I285" s="160">
        <v>45222</v>
      </c>
      <c r="J285" s="160" t="s">
        <v>282</v>
      </c>
      <c r="K285" s="159" t="s">
        <v>362</v>
      </c>
      <c r="L285" s="159" t="s">
        <v>1659</v>
      </c>
      <c r="M285" s="160" t="s">
        <v>1808</v>
      </c>
      <c r="N285" s="159" t="s">
        <v>356</v>
      </c>
      <c r="O285" s="159" t="s">
        <v>2034</v>
      </c>
      <c r="P285" s="159"/>
      <c r="Q285" s="159"/>
      <c r="R285" s="159"/>
      <c r="S285" s="159" t="s">
        <v>1928</v>
      </c>
      <c r="T285" s="159" t="s">
        <v>1936</v>
      </c>
      <c r="U285" s="159" t="s">
        <v>1937</v>
      </c>
      <c r="V285" s="159" t="s">
        <v>189</v>
      </c>
      <c r="W285" s="159" t="s">
        <v>118</v>
      </c>
      <c r="X285" s="159" t="s">
        <v>111</v>
      </c>
      <c r="Y285" s="159" t="str">
        <f ca="1">IF(I285&lt;&gt;"",IF(I285&lt;=TODAY(),IF(OR(N285="REPROGRAMADA",N285="SUSPENDIDA",N285="EXCLUSION",N285="COLEGIADO"),"NO HECHA",IF(N285=" ","SINRESULTADO","SI")),"NO"),IF(N285="EXCLUSION","NO HECHA","LIMBO"))</f>
        <v>SI</v>
      </c>
      <c r="Z285" s="159" t="str">
        <f>IF($Z$1=I285,"DIASOL", "DIANOSOL")</f>
        <v>DIANOSOL</v>
      </c>
      <c r="AA285" s="159" t="s">
        <v>240</v>
      </c>
      <c r="AB285" s="159" t="s">
        <v>1935</v>
      </c>
      <c r="AC285" s="159" t="str">
        <f>IF(H285=$M$1,"SI","NO")</f>
        <v>NO</v>
      </c>
      <c r="AD285" s="159"/>
      <c r="AE285" s="159"/>
      <c r="AF285" s="159"/>
      <c r="AG285" s="159" t="str">
        <f>IF(COUNTIF(C285,"*preso*")&gt;0,"SI","NO")</f>
        <v>SI</v>
      </c>
      <c r="AH285" s="254">
        <f>NroOrden(N285)</f>
        <v>50</v>
      </c>
      <c r="AI285" s="159"/>
      <c r="AJ285" s="184" t="str">
        <f ca="1">IF(OR(Y285="NO",Y285="LIMBO"),"IMP","NOIMP")</f>
        <v>NOIMP</v>
      </c>
    </row>
    <row r="286" spans="1:36" ht="106.5" customHeight="1">
      <c r="A286" s="159">
        <v>153</v>
      </c>
      <c r="B286" s="160" t="s">
        <v>1152</v>
      </c>
      <c r="C286" s="208"/>
      <c r="D286" s="159" t="s">
        <v>1153</v>
      </c>
      <c r="E286" s="159" t="s">
        <v>1154</v>
      </c>
      <c r="F286" s="159"/>
      <c r="G286" s="159" t="s">
        <v>2184</v>
      </c>
      <c r="H286" s="159" t="s">
        <v>1637</v>
      </c>
      <c r="I286" s="160">
        <v>45222</v>
      </c>
      <c r="J286" s="160" t="s">
        <v>960</v>
      </c>
      <c r="K286" s="159" t="s">
        <v>1674</v>
      </c>
      <c r="L286" s="159" t="s">
        <v>1658</v>
      </c>
      <c r="M286" s="160" t="s">
        <v>333</v>
      </c>
      <c r="N286" s="159" t="s">
        <v>357</v>
      </c>
      <c r="O286" s="159" t="s">
        <v>2034</v>
      </c>
      <c r="P286" s="159"/>
      <c r="Q286" s="159" t="s">
        <v>330</v>
      </c>
      <c r="R286" s="159" t="s">
        <v>2427</v>
      </c>
      <c r="S286" s="159"/>
      <c r="T286" s="159"/>
      <c r="U286" s="159"/>
      <c r="V286" s="159" t="s">
        <v>946</v>
      </c>
      <c r="W286" s="159" t="s">
        <v>1155</v>
      </c>
      <c r="X286" s="159" t="s">
        <v>111</v>
      </c>
      <c r="Y286" s="159" t="str">
        <f ca="1">IF(I286&lt;&gt;"",IF(I286&lt;=TODAY(),IF(OR(N286="REPROGRAMADA",N286="SUSPENDIDA",N286="EXCLUSION",N286="COLEGIADO"),"NO HECHA",IF(N286=" ","SINRESULTADO","SI")),"NO"),IF(N286="EXCLUSION","NO HECHA","LIMBO"))</f>
        <v>SI</v>
      </c>
      <c r="Z286" s="159" t="str">
        <f>IF($Z$1=I286,"DIASOL", "DIANOSOL")</f>
        <v>DIANOSOL</v>
      </c>
      <c r="AA286" s="159" t="s">
        <v>240</v>
      </c>
      <c r="AB286" s="159" t="s">
        <v>1156</v>
      </c>
      <c r="AC286" s="159" t="str">
        <f>IF(H286=$M$1,"SI","NO")</f>
        <v>NO</v>
      </c>
      <c r="AD286" s="159"/>
      <c r="AE286" s="159"/>
      <c r="AF286" s="159"/>
      <c r="AG286" s="159" t="str">
        <f>IF(COUNTIF(C286,"*preso*")&gt;0,"SI","NO")</f>
        <v>NO</v>
      </c>
      <c r="AH286" s="254">
        <f>NroOrden(N286)</f>
        <v>50</v>
      </c>
      <c r="AI286" s="159"/>
      <c r="AJ286" s="184" t="str">
        <f ca="1">IF(OR(Y286="NO",Y286="LIMBO"),"IMP","NOIMP")</f>
        <v>NOIMP</v>
      </c>
    </row>
    <row r="287" spans="1:36" ht="137.25" customHeight="1">
      <c r="A287" s="261">
        <v>292</v>
      </c>
      <c r="B287" s="262" t="s">
        <v>1597</v>
      </c>
      <c r="C287" s="263" t="s">
        <v>1472</v>
      </c>
      <c r="D287" s="261" t="s">
        <v>1598</v>
      </c>
      <c r="E287" s="261" t="s">
        <v>1599</v>
      </c>
      <c r="F287" s="264">
        <v>45174</v>
      </c>
      <c r="G287" s="261" t="s">
        <v>1601</v>
      </c>
      <c r="H287" s="261" t="s">
        <v>1642</v>
      </c>
      <c r="I287" s="262">
        <v>45222</v>
      </c>
      <c r="J287" s="262" t="s">
        <v>1667</v>
      </c>
      <c r="K287" s="261" t="s">
        <v>1674</v>
      </c>
      <c r="L287" s="261" t="s">
        <v>1658</v>
      </c>
      <c r="M287" s="262" t="s">
        <v>331</v>
      </c>
      <c r="N287" s="261" t="s">
        <v>357</v>
      </c>
      <c r="O287" s="261" t="s">
        <v>2034</v>
      </c>
      <c r="P287" s="261"/>
      <c r="Q287" s="261"/>
      <c r="R287" s="261"/>
      <c r="S287" s="261" t="s">
        <v>1603</v>
      </c>
      <c r="T287" s="261" t="s">
        <v>1604</v>
      </c>
      <c r="U287" s="261" t="s">
        <v>1605</v>
      </c>
      <c r="V287" s="261" t="s">
        <v>1128</v>
      </c>
      <c r="W287" s="261" t="s">
        <v>842</v>
      </c>
      <c r="X287" s="261" t="s">
        <v>111</v>
      </c>
      <c r="Y287" s="261" t="str">
        <f ca="1">IF(I287&lt;&gt;"",IF(I287&lt;=TODAY(),IF(OR(N287="REPROGRAMADA",N287="SUSPENDIDA",N287="EXCLUSION",N287="COLEGIADO"),"NO HECHA",IF(N287=" ","SINRESULTADO","SI")),"NO"),IF(N287="EXCLUSION","NO HECHA","LIMBO"))</f>
        <v>SI</v>
      </c>
      <c r="Z287" s="261" t="str">
        <f>IF($Z$1=I287,"DIASOL", "DIANOSOL")</f>
        <v>DIANOSOL</v>
      </c>
      <c r="AA287" s="261" t="s">
        <v>738</v>
      </c>
      <c r="AB287" s="261" t="s">
        <v>1602</v>
      </c>
      <c r="AC287" s="261" t="str">
        <f>IF(H287=$M$1,"SI","NO")</f>
        <v>NO</v>
      </c>
      <c r="AD287" s="261"/>
      <c r="AE287" s="261">
        <v>45170</v>
      </c>
      <c r="AF287" s="261"/>
      <c r="AG287" s="261" t="str">
        <f>IF(COUNTIF(C287,"*preso*")&gt;0,"SI","NO")</f>
        <v>SI</v>
      </c>
      <c r="AH287" s="258">
        <f>NroOrden(N287)</f>
        <v>50</v>
      </c>
      <c r="AI287" s="261"/>
      <c r="AJ287" s="259" t="str">
        <f ca="1">IF(OR(Y287="NO",Y287="LIMBO"),"IMP","NOIMP")</f>
        <v>NOIMP</v>
      </c>
    </row>
    <row r="288" spans="1:36" ht="39.950000000000003" customHeight="1">
      <c r="A288" s="159">
        <v>307</v>
      </c>
      <c r="B288" s="160" t="s">
        <v>909</v>
      </c>
      <c r="C288" s="208"/>
      <c r="D288" s="159" t="s">
        <v>910</v>
      </c>
      <c r="E288" s="159" t="s">
        <v>911</v>
      </c>
      <c r="F288" s="256">
        <v>45104</v>
      </c>
      <c r="G288" s="159" t="s">
        <v>912</v>
      </c>
      <c r="H288" s="159" t="s">
        <v>1638</v>
      </c>
      <c r="I288" s="160">
        <v>45223</v>
      </c>
      <c r="J288" s="160" t="s">
        <v>396</v>
      </c>
      <c r="K288" s="159" t="s">
        <v>362</v>
      </c>
      <c r="L288" s="159" t="s">
        <v>1659</v>
      </c>
      <c r="M288" s="160" t="s">
        <v>329</v>
      </c>
      <c r="N288" s="159" t="s">
        <v>358</v>
      </c>
      <c r="O288" s="159" t="s">
        <v>2034</v>
      </c>
      <c r="P288" s="159"/>
      <c r="Q288" s="159"/>
      <c r="R288" s="159"/>
      <c r="S288" s="159"/>
      <c r="T288" s="159"/>
      <c r="U288" s="159"/>
      <c r="V288" s="159" t="s">
        <v>194</v>
      </c>
      <c r="W288" s="159" t="s">
        <v>914</v>
      </c>
      <c r="X288" s="159" t="s">
        <v>111</v>
      </c>
      <c r="Y288" s="159" t="str">
        <f ca="1">IF(I288&lt;&gt;"",IF(I288&lt;=TODAY(),IF(OR(N288="REPROGRAMADA",N288="SUSPENDIDA",N288="EXCLUSION",N288="COLEGIADO"),"NO HECHA",IF(N288=" ","SINRESULTADO","SI")),"NO"),IF(N288="EXCLUSION","NO HECHA","LIMBO"))</f>
        <v>SI</v>
      </c>
      <c r="Z288" s="159" t="str">
        <f>IF($Z$1=I288,"DIASOL", "DIANOSOL")</f>
        <v>DIANOSOL</v>
      </c>
      <c r="AA288" s="159" t="s">
        <v>240</v>
      </c>
      <c r="AB288" s="159" t="s">
        <v>915</v>
      </c>
      <c r="AC288" s="159" t="str">
        <f>IF(H288=$M$1,"SI","NO")</f>
        <v>NO</v>
      </c>
      <c r="AD288" s="159"/>
      <c r="AE288" s="159"/>
      <c r="AF288" s="159"/>
      <c r="AG288" s="159" t="str">
        <f>IF(COUNTIF(C288,"*preso*")&gt;0,"SI","NO")</f>
        <v>NO</v>
      </c>
      <c r="AH288" s="254">
        <f>NroOrden(N288)</f>
        <v>50</v>
      </c>
      <c r="AI288" s="159"/>
      <c r="AJ288" s="184" t="str">
        <f ca="1">IF(OR(Y288="NO",Y288="LIMBO"),"IMP","NOIMP")</f>
        <v>NOIMP</v>
      </c>
    </row>
    <row r="289" spans="1:36" ht="63" customHeight="1">
      <c r="A289" s="337">
        <v>224</v>
      </c>
      <c r="B289" s="160" t="s">
        <v>1939</v>
      </c>
      <c r="C289" s="208" t="s">
        <v>501</v>
      </c>
      <c r="D289" s="159" t="s">
        <v>1559</v>
      </c>
      <c r="E289" s="159" t="s">
        <v>1560</v>
      </c>
      <c r="F289" s="256">
        <v>45169</v>
      </c>
      <c r="G289" s="159" t="s">
        <v>1539</v>
      </c>
      <c r="H289" s="159" t="s">
        <v>1637</v>
      </c>
      <c r="I289" s="160">
        <v>45223</v>
      </c>
      <c r="J289" s="160" t="s">
        <v>1562</v>
      </c>
      <c r="K289" s="159" t="s">
        <v>1674</v>
      </c>
      <c r="L289" s="159" t="s">
        <v>1997</v>
      </c>
      <c r="M289" s="160" t="s">
        <v>333</v>
      </c>
      <c r="N289" s="159" t="s">
        <v>355</v>
      </c>
      <c r="O289" s="159" t="s">
        <v>2034</v>
      </c>
      <c r="P289" s="159" t="s">
        <v>2295</v>
      </c>
      <c r="Q289" s="159" t="s">
        <v>111</v>
      </c>
      <c r="R289" s="159"/>
      <c r="S289" s="159"/>
      <c r="T289" s="159"/>
      <c r="U289" s="159"/>
      <c r="V289" s="159" t="s">
        <v>184</v>
      </c>
      <c r="W289" s="159" t="s">
        <v>134</v>
      </c>
      <c r="X289" s="159" t="s">
        <v>111</v>
      </c>
      <c r="Y289" s="159" t="str">
        <f ca="1">IF(I289&lt;&gt;"",IF(I289&lt;=TODAY(),IF(OR(N289="REPROGRAMADA",N289="SUSPENDIDA",N289="EXCLUSION",N289="COLEGIADO"),"NO HECHA",IF(N289=" ","SINRESULTADO","SI")),"NO"),IF(N289="EXCLUSION","NO HECHA","LIMBO"))</f>
        <v>SI</v>
      </c>
      <c r="Z289" s="159" t="str">
        <f>IF($Z$1=I289,"DIASOL", "DIANOSOL")</f>
        <v>DIANOSOL</v>
      </c>
      <c r="AA289" s="159" t="s">
        <v>240</v>
      </c>
      <c r="AB289" s="159" t="s">
        <v>1561</v>
      </c>
      <c r="AC289" s="159" t="str">
        <f>IF(H289=$M$1,"SI","NO")</f>
        <v>NO</v>
      </c>
      <c r="AD289" s="159"/>
      <c r="AE289" s="256">
        <v>45163</v>
      </c>
      <c r="AF289" s="159"/>
      <c r="AG289" s="159" t="str">
        <f>IF(COUNTIF(C289,"*preso*")&gt;0,"SI","NO")</f>
        <v>SI</v>
      </c>
      <c r="AH289" s="254">
        <f>NroOrden(N289)</f>
        <v>50</v>
      </c>
      <c r="AI289" s="159"/>
      <c r="AJ289" s="184" t="str">
        <f ca="1">IF(OR(Y289="NO",Y289="LIMBO"),"IMP","NOIMP")</f>
        <v>NOIMP</v>
      </c>
    </row>
    <row r="290" spans="1:36" ht="39.950000000000003" customHeight="1">
      <c r="A290" s="261">
        <v>282</v>
      </c>
      <c r="B290" s="262" t="s">
        <v>1014</v>
      </c>
      <c r="C290" s="263"/>
      <c r="D290" s="261" t="s">
        <v>1015</v>
      </c>
      <c r="E290" s="261" t="s">
        <v>885</v>
      </c>
      <c r="F290" s="264">
        <v>45156</v>
      </c>
      <c r="G290" s="261" t="s">
        <v>1000</v>
      </c>
      <c r="H290" s="261" t="s">
        <v>1641</v>
      </c>
      <c r="I290" s="262">
        <v>45224</v>
      </c>
      <c r="J290" s="262" t="s">
        <v>282</v>
      </c>
      <c r="K290" s="261" t="s">
        <v>362</v>
      </c>
      <c r="L290" s="261" t="s">
        <v>1659</v>
      </c>
      <c r="M290" s="262" t="s">
        <v>329</v>
      </c>
      <c r="N290" s="261" t="s">
        <v>357</v>
      </c>
      <c r="O290" s="261" t="s">
        <v>2034</v>
      </c>
      <c r="P290" s="261"/>
      <c r="Q290" s="261"/>
      <c r="R290" s="261"/>
      <c r="S290" s="261"/>
      <c r="T290" s="261"/>
      <c r="U290" s="261"/>
      <c r="V290" s="261" t="s">
        <v>192</v>
      </c>
      <c r="W290" s="261" t="s">
        <v>140</v>
      </c>
      <c r="X290" s="261" t="s">
        <v>111</v>
      </c>
      <c r="Y290" s="261" t="str">
        <f ca="1">IF(I290&lt;&gt;"",IF(I290&lt;=TODAY(),IF(OR(N290="REPROGRAMADA",N290="SUSPENDIDA",N290="EXCLUSION",N290="COLEGIADO"),"NO HECHA",IF(N290=" ","SINRESULTADO","SI")),"NO"),IF(N290="EXCLUSION","NO HECHA","LIMBO"))</f>
        <v>SI</v>
      </c>
      <c r="Z290" s="261" t="str">
        <f>IF($Z$1=I290,"DIASOL", "DIANOSOL")</f>
        <v>DIANOSOL</v>
      </c>
      <c r="AA290" s="261" t="s">
        <v>240</v>
      </c>
      <c r="AB290" s="261" t="s">
        <v>1016</v>
      </c>
      <c r="AC290" s="261" t="str">
        <f>IF(H290=$M$1,"SI","NO")</f>
        <v>NO</v>
      </c>
      <c r="AD290" s="261"/>
      <c r="AE290" s="264">
        <v>45105</v>
      </c>
      <c r="AF290" s="261"/>
      <c r="AG290" s="261" t="str">
        <f>IF(COUNTIF(C290,"*preso*")&gt;0,"SI","NO")</f>
        <v>NO</v>
      </c>
      <c r="AH290" s="258">
        <f>NroOrden(N290)</f>
        <v>50</v>
      </c>
      <c r="AI290" s="261"/>
      <c r="AJ290" s="259" t="str">
        <f ca="1">IF(OR(Y290="NO",Y290="LIMBO"),"IMP","NOIMP")</f>
        <v>NOIMP</v>
      </c>
    </row>
    <row r="291" spans="1:36" ht="39.950000000000003" customHeight="1">
      <c r="A291" s="261">
        <v>366</v>
      </c>
      <c r="B291" s="262" t="s">
        <v>1922</v>
      </c>
      <c r="C291" s="263" t="s">
        <v>501</v>
      </c>
      <c r="D291" s="261" t="s">
        <v>1923</v>
      </c>
      <c r="E291" s="261" t="s">
        <v>1924</v>
      </c>
      <c r="F291" s="261"/>
      <c r="G291" s="261"/>
      <c r="H291" s="261" t="s">
        <v>1671</v>
      </c>
      <c r="I291" s="262">
        <v>45224</v>
      </c>
      <c r="J291" s="262" t="s">
        <v>2247</v>
      </c>
      <c r="K291" s="261" t="s">
        <v>1938</v>
      </c>
      <c r="L291" s="261" t="s">
        <v>1658</v>
      </c>
      <c r="M291" s="262" t="s">
        <v>333</v>
      </c>
      <c r="N291" s="261" t="s">
        <v>357</v>
      </c>
      <c r="O291" s="261" t="s">
        <v>2034</v>
      </c>
      <c r="P291" s="261"/>
      <c r="Q291" s="261" t="s">
        <v>240</v>
      </c>
      <c r="R291" s="261"/>
      <c r="S291" s="261" t="s">
        <v>1928</v>
      </c>
      <c r="T291" s="261" t="s">
        <v>1929</v>
      </c>
      <c r="U291" s="261" t="s">
        <v>1930</v>
      </c>
      <c r="V291" s="261" t="s">
        <v>199</v>
      </c>
      <c r="W291" s="261" t="s">
        <v>1925</v>
      </c>
      <c r="X291" s="261" t="s">
        <v>1926</v>
      </c>
      <c r="Y291" s="261" t="str">
        <f ca="1">IF(I291&lt;&gt;"",IF(I291&lt;=TODAY(),IF(OR(N291="REPROGRAMADA",N291="SUSPENDIDA",N291="EXCLUSION",N291="COLEGIADO"),"NO HECHA",IF(N291=" ","SINRESULTADO","SI")),"NO"),IF(N291="EXCLUSION","NO HECHA","LIMBO"))</f>
        <v>SI</v>
      </c>
      <c r="Z291" s="261" t="str">
        <f>IF($Z$1=I291,"DIASOL", "DIANOSOL")</f>
        <v>DIANOSOL</v>
      </c>
      <c r="AA291" s="261" t="s">
        <v>240</v>
      </c>
      <c r="AB291" s="264"/>
      <c r="AC291" s="261" t="str">
        <f>IF(H291=$M$1,"SI","NO")</f>
        <v>NO</v>
      </c>
      <c r="AD291" s="261"/>
      <c r="AE291" s="261"/>
      <c r="AF291" s="261"/>
      <c r="AG291" s="261" t="str">
        <f>IF(COUNTIF(C291,"*preso*")&gt;0,"SI","NO")</f>
        <v>SI</v>
      </c>
      <c r="AH291" s="296">
        <f>NroOrden(N291)</f>
        <v>50</v>
      </c>
      <c r="AI291" s="261"/>
      <c r="AJ291" s="290" t="str">
        <f ca="1">IF(OR(Y291="NO",Y291="LIMBO"),"IMP","NOIMP")</f>
        <v>NOIMP</v>
      </c>
    </row>
    <row r="292" spans="1:36" ht="79.5" customHeight="1">
      <c r="A292" s="261">
        <v>228</v>
      </c>
      <c r="B292" s="262" t="s">
        <v>1572</v>
      </c>
      <c r="C292" s="263" t="s">
        <v>989</v>
      </c>
      <c r="D292" s="261" t="s">
        <v>1573</v>
      </c>
      <c r="E292" s="261" t="s">
        <v>1574</v>
      </c>
      <c r="F292" s="264">
        <v>45170</v>
      </c>
      <c r="G292" s="261" t="s">
        <v>1575</v>
      </c>
      <c r="H292" s="261" t="s">
        <v>1640</v>
      </c>
      <c r="I292" s="262">
        <v>45224</v>
      </c>
      <c r="J292" s="262" t="s">
        <v>396</v>
      </c>
      <c r="K292" s="261" t="s">
        <v>362</v>
      </c>
      <c r="L292" s="144" t="s">
        <v>1658</v>
      </c>
      <c r="M292" s="262" t="s">
        <v>328</v>
      </c>
      <c r="N292" s="261" t="s">
        <v>357</v>
      </c>
      <c r="O292" s="261" t="s">
        <v>2034</v>
      </c>
      <c r="P292" s="261"/>
      <c r="Q292" s="261" t="s">
        <v>331</v>
      </c>
      <c r="R292" s="261"/>
      <c r="S292" s="261"/>
      <c r="T292" s="261"/>
      <c r="U292" s="261"/>
      <c r="V292" s="261" t="s">
        <v>1275</v>
      </c>
      <c r="W292" s="261" t="s">
        <v>132</v>
      </c>
      <c r="X292" s="261" t="s">
        <v>111</v>
      </c>
      <c r="Y292" s="261" t="str">
        <f ca="1">IF(I292&lt;&gt;"",IF(I292&lt;=TODAY(),IF(OR(N292="REPROGRAMADA",N292="SUSPENDIDA",N292="EXCLUSION",N292="COLEGIADO"),"NO HECHA",IF(N292=" ","SINRESULTADO","SI")),"NO"),IF(N292="EXCLUSION","NO HECHA","LIMBO"))</f>
        <v>SI</v>
      </c>
      <c r="Z292" s="261" t="str">
        <f>IF($Z$1=I292,"DIASOL", "DIANOSOL")</f>
        <v>DIANOSOL</v>
      </c>
      <c r="AA292" s="261" t="s">
        <v>240</v>
      </c>
      <c r="AB292" s="261" t="s">
        <v>1576</v>
      </c>
      <c r="AC292" s="261" t="str">
        <f>IF(H292=$M$1,"SI","NO")</f>
        <v>NO</v>
      </c>
      <c r="AD292" s="261"/>
      <c r="AE292" s="264">
        <v>45168</v>
      </c>
      <c r="AF292" s="261"/>
      <c r="AG292" s="261" t="str">
        <f>IF(COUNTIF(C292,"*preso*")&gt;0,"SI","NO")</f>
        <v>SI</v>
      </c>
      <c r="AH292" s="258">
        <f>NroOrden(N292)</f>
        <v>50</v>
      </c>
      <c r="AI292" s="261"/>
      <c r="AJ292" s="259" t="str">
        <f ca="1">IF(OR(Y292="NO",Y292="LIMBO"),"IMP","NOIMP")</f>
        <v>NOIMP</v>
      </c>
    </row>
    <row r="293" spans="1:36" ht="75.75" customHeight="1">
      <c r="A293" s="142">
        <v>351</v>
      </c>
      <c r="B293" s="143" t="s">
        <v>37</v>
      </c>
      <c r="C293" s="273" t="s">
        <v>501</v>
      </c>
      <c r="D293" s="142" t="s">
        <v>455</v>
      </c>
      <c r="E293" s="142" t="s">
        <v>456</v>
      </c>
      <c r="F293" s="142">
        <v>45076</v>
      </c>
      <c r="G293" s="142" t="s">
        <v>2239</v>
      </c>
      <c r="H293" s="142" t="s">
        <v>1645</v>
      </c>
      <c r="I293" s="143">
        <v>45224</v>
      </c>
      <c r="J293" s="143" t="s">
        <v>396</v>
      </c>
      <c r="K293" s="142" t="s">
        <v>1674</v>
      </c>
      <c r="L293" s="142" t="s">
        <v>1658</v>
      </c>
      <c r="M293" s="143" t="s">
        <v>332</v>
      </c>
      <c r="N293" s="142" t="s">
        <v>357</v>
      </c>
      <c r="O293" s="142" t="s">
        <v>2034</v>
      </c>
      <c r="P293" s="142" t="s">
        <v>2293</v>
      </c>
      <c r="Q293" s="142" t="s">
        <v>240</v>
      </c>
      <c r="R293" s="142"/>
      <c r="S293" s="142"/>
      <c r="T293" s="142"/>
      <c r="U293" s="142" t="s">
        <v>2294</v>
      </c>
      <c r="V293" s="142" t="s">
        <v>192</v>
      </c>
      <c r="W293" s="142" t="s">
        <v>119</v>
      </c>
      <c r="X293" s="142" t="s">
        <v>111</v>
      </c>
      <c r="Y293" s="142" t="str">
        <f ca="1">IF(I293&lt;&gt;"",IF(I293&lt;=TODAY(),IF(OR(N293="REPROGRAMADA",N293="SUSPENDIDA",N293="EXCLUSION",N293="COLEGIADO"),"NO HECHA",IF(N293=" ","SINRESULTADO","SI")),"NO"),IF(N293="EXCLUSION","NO HECHA","LIMBO"))</f>
        <v>SI</v>
      </c>
      <c r="Z293" s="142" t="str">
        <f>IF($Z$1=I293,"DIASOL", "DIANOSOL")</f>
        <v>DIANOSOL</v>
      </c>
      <c r="AA293" s="142" t="s">
        <v>458</v>
      </c>
      <c r="AB293" s="271"/>
      <c r="AC293" s="142" t="str">
        <f>IF(H293=$M$1,"SI","NO")</f>
        <v>NO</v>
      </c>
      <c r="AD293" s="142"/>
      <c r="AE293" s="142"/>
      <c r="AF293" s="142"/>
      <c r="AG293" s="142" t="str">
        <f>IF(COUNTIF(C293,"*preso*")&gt;0,"SI","NO")</f>
        <v>SI</v>
      </c>
      <c r="AH293" s="258">
        <f>NroOrden(N293)</f>
        <v>50</v>
      </c>
      <c r="AI293" s="142" t="s">
        <v>459</v>
      </c>
      <c r="AJ293" s="259" t="str">
        <f ca="1">IF(OR(Y293="NO",Y293="LIMBO"),"IMP","NOIMP")</f>
        <v>NOIMP</v>
      </c>
    </row>
    <row r="294" spans="1:36" ht="54" customHeight="1">
      <c r="A294" s="159">
        <v>251</v>
      </c>
      <c r="B294" s="160" t="s">
        <v>1701</v>
      </c>
      <c r="C294" s="208"/>
      <c r="D294" s="159" t="s">
        <v>1702</v>
      </c>
      <c r="E294" s="159" t="s">
        <v>1710</v>
      </c>
      <c r="F294" s="256">
        <v>45174</v>
      </c>
      <c r="G294" s="159" t="s">
        <v>1691</v>
      </c>
      <c r="H294" s="159" t="s">
        <v>1639</v>
      </c>
      <c r="I294" s="160">
        <v>45225</v>
      </c>
      <c r="J294" s="160" t="s">
        <v>1962</v>
      </c>
      <c r="K294" s="159" t="s">
        <v>364</v>
      </c>
      <c r="L294" s="159" t="s">
        <v>1658</v>
      </c>
      <c r="M294" s="160" t="s">
        <v>333</v>
      </c>
      <c r="N294" s="159" t="s">
        <v>359</v>
      </c>
      <c r="O294" s="159" t="s">
        <v>2034</v>
      </c>
      <c r="P294" s="159"/>
      <c r="Q294" s="159"/>
      <c r="R294" s="159"/>
      <c r="S294" s="159"/>
      <c r="T294" s="159"/>
      <c r="U294" s="159"/>
      <c r="V294" s="159" t="s">
        <v>185</v>
      </c>
      <c r="W294" s="159" t="s">
        <v>111</v>
      </c>
      <c r="X294" s="159" t="s">
        <v>111</v>
      </c>
      <c r="Y294" s="159" t="str">
        <f ca="1">IF(I294&lt;&gt;"",IF(I294&lt;=TODAY(),IF(OR(N294="REPROGRAMADA",N294="SUSPENDIDA",N294="EXCLUSION",N294="COLEGIADO"),"NO HECHA",IF(N294=" ","SINRESULTADO","SI")),"NO"),IF(N294="EXCLUSION","NO HECHA","LIMBO"))</f>
        <v>SI</v>
      </c>
      <c r="Z294" s="159" t="str">
        <f>IF($Z$1=I294,"DIASOL", "DIANOSOL")</f>
        <v>DIANOSOL</v>
      </c>
      <c r="AA294" s="159" t="s">
        <v>240</v>
      </c>
      <c r="AB294" s="159" t="s">
        <v>1703</v>
      </c>
      <c r="AC294" s="159" t="str">
        <f>IF(H294=$M$1,"SI","NO")</f>
        <v>NO</v>
      </c>
      <c r="AD294" s="159"/>
      <c r="AE294" s="256">
        <v>45174</v>
      </c>
      <c r="AF294" s="159"/>
      <c r="AG294" s="159" t="str">
        <f>IF(COUNTIF(C294,"*preso*")&gt;0,"SI","NO")</f>
        <v>NO</v>
      </c>
      <c r="AH294" s="254">
        <f>NroOrden(N294)</f>
        <v>50</v>
      </c>
      <c r="AI294" s="159"/>
      <c r="AJ294" s="184" t="str">
        <f ca="1">IF(OR(Y294="NO",Y294="LIMBO"),"IMP","NOIMP")</f>
        <v>NOIMP</v>
      </c>
    </row>
    <row r="295" spans="1:36" ht="64.5" customHeight="1">
      <c r="A295" s="261">
        <v>285</v>
      </c>
      <c r="B295" s="262" t="s">
        <v>1841</v>
      </c>
      <c r="C295" s="263"/>
      <c r="D295" s="261" t="s">
        <v>1842</v>
      </c>
      <c r="E295" s="261" t="s">
        <v>1843</v>
      </c>
      <c r="F295" s="264">
        <v>45191</v>
      </c>
      <c r="G295" s="261" t="s">
        <v>1836</v>
      </c>
      <c r="H295" s="261" t="s">
        <v>1643</v>
      </c>
      <c r="I295" s="262">
        <v>45225</v>
      </c>
      <c r="J295" s="262" t="s">
        <v>1181</v>
      </c>
      <c r="K295" s="261" t="s">
        <v>364</v>
      </c>
      <c r="L295" s="261" t="s">
        <v>1997</v>
      </c>
      <c r="M295" s="262" t="s">
        <v>333</v>
      </c>
      <c r="N295" s="261" t="s">
        <v>357</v>
      </c>
      <c r="O295" s="261" t="s">
        <v>2034</v>
      </c>
      <c r="P295" s="261"/>
      <c r="Q295" s="261"/>
      <c r="R295" s="261"/>
      <c r="S295" s="261"/>
      <c r="T295" s="261"/>
      <c r="U295" s="261"/>
      <c r="V295" s="261" t="s">
        <v>347</v>
      </c>
      <c r="W295" s="261" t="s">
        <v>111</v>
      </c>
      <c r="X295" s="261" t="s">
        <v>111</v>
      </c>
      <c r="Y295" s="261" t="str">
        <f ca="1">IF(I295&lt;&gt;"",IF(I295&lt;=TODAY(),IF(OR(N295="REPROGRAMADA",N295="SUSPENDIDA",N295="EXCLUSION",N295="COLEGIADO"),"NO HECHA",IF(N295=" ","SINRESULTADO","SI")),"NO"),IF(N295="EXCLUSION","NO HECHA","LIMBO"))</f>
        <v>SI</v>
      </c>
      <c r="Z295" s="261" t="str">
        <f>IF($Z$1=I295,"DIASOL", "DIANOSOL")</f>
        <v>DIANOSOL</v>
      </c>
      <c r="AA295" s="261" t="s">
        <v>240</v>
      </c>
      <c r="AB295" s="261" t="s">
        <v>1844</v>
      </c>
      <c r="AC295" s="261" t="str">
        <f>IF(H295=$M$1,"SI","NO")</f>
        <v>SI</v>
      </c>
      <c r="AD295" s="261"/>
      <c r="AE295" s="264">
        <v>45191</v>
      </c>
      <c r="AF295" s="261"/>
      <c r="AG295" s="261" t="str">
        <f>IF(COUNTIF(C295,"*preso*")&gt;0,"SI","NO")</f>
        <v>NO</v>
      </c>
      <c r="AH295" s="258">
        <f>NroOrden(N295)</f>
        <v>50</v>
      </c>
      <c r="AI295" s="261"/>
      <c r="AJ295" s="259" t="str">
        <f ca="1">IF(OR(Y295="NO",Y295="LIMBO"),"IMP","NOIMP")</f>
        <v>NOIMP</v>
      </c>
    </row>
    <row r="296" spans="1:36" ht="65.25" customHeight="1">
      <c r="A296" s="159">
        <v>333</v>
      </c>
      <c r="B296" s="160" t="s">
        <v>921</v>
      </c>
      <c r="C296" s="208"/>
      <c r="D296" s="159" t="s">
        <v>922</v>
      </c>
      <c r="E296" s="159" t="s">
        <v>923</v>
      </c>
      <c r="F296" s="159">
        <v>45104</v>
      </c>
      <c r="G296" s="159"/>
      <c r="H296" s="159" t="s">
        <v>1637</v>
      </c>
      <c r="I296" s="160">
        <v>45225</v>
      </c>
      <c r="J296" s="160" t="s">
        <v>396</v>
      </c>
      <c r="K296" s="159" t="s">
        <v>363</v>
      </c>
      <c r="L296" s="159" t="s">
        <v>1658</v>
      </c>
      <c r="M296" s="160" t="s">
        <v>330</v>
      </c>
      <c r="N296" s="159" t="s">
        <v>355</v>
      </c>
      <c r="O296" s="159" t="s">
        <v>2034</v>
      </c>
      <c r="P296" s="159" t="s">
        <v>2296</v>
      </c>
      <c r="Q296" s="159" t="s">
        <v>240</v>
      </c>
      <c r="R296" s="159"/>
      <c r="S296" s="159"/>
      <c r="T296" s="159"/>
      <c r="U296" s="159"/>
      <c r="V296" s="159" t="s">
        <v>342</v>
      </c>
      <c r="W296" s="159" t="s">
        <v>134</v>
      </c>
      <c r="X296" s="159" t="s">
        <v>111</v>
      </c>
      <c r="Y296" s="159" t="str">
        <f ca="1">IF(I296&lt;&gt;"",IF(I296&lt;=TODAY(),IF(OR(N296="REPROGRAMADA",N296="SUSPENDIDA",N296="EXCLUSION",N296="COLEGIADO"),"NO HECHA",IF(N296=" ","SINRESULTADO","SI")),"NO"),IF(N296="EXCLUSION","NO HECHA","LIMBO"))</f>
        <v>SI</v>
      </c>
      <c r="Z296" s="159" t="str">
        <f>IF($Z$1=I296,"DIASOL", "DIANOSOL")</f>
        <v>DIANOSOL</v>
      </c>
      <c r="AA296" s="159" t="s">
        <v>240</v>
      </c>
      <c r="AB296" s="256"/>
      <c r="AC296" s="159" t="str">
        <f>IF(H296=$M$1,"SI","NO")</f>
        <v>NO</v>
      </c>
      <c r="AD296" s="159"/>
      <c r="AE296" s="159"/>
      <c r="AF296" s="159"/>
      <c r="AG296" s="159" t="str">
        <f>IF(COUNTIF(C296,"*preso*")&gt;0,"SI","NO")</f>
        <v>NO</v>
      </c>
      <c r="AH296" s="254">
        <f>NroOrden(N296)</f>
        <v>50</v>
      </c>
      <c r="AI296" s="159" t="s">
        <v>1438</v>
      </c>
      <c r="AJ296" s="184" t="str">
        <f ca="1">IF(OR(Y296="NO",Y296="LIMBO"),"IMP","NOIMP")</f>
        <v>NOIMP</v>
      </c>
    </row>
    <row r="297" spans="1:36" ht="78" customHeight="1">
      <c r="A297" s="261">
        <v>321</v>
      </c>
      <c r="B297" s="262" t="s">
        <v>2001</v>
      </c>
      <c r="C297" s="263" t="s">
        <v>501</v>
      </c>
      <c r="D297" s="261" t="s">
        <v>2002</v>
      </c>
      <c r="E297" s="261" t="s">
        <v>2003</v>
      </c>
      <c r="F297" s="264">
        <v>45205</v>
      </c>
      <c r="G297" s="261"/>
      <c r="H297" s="261" t="s">
        <v>1642</v>
      </c>
      <c r="I297" s="262">
        <v>45230</v>
      </c>
      <c r="J297" s="262" t="s">
        <v>282</v>
      </c>
      <c r="K297" s="261" t="s">
        <v>1675</v>
      </c>
      <c r="L297" s="261" t="s">
        <v>1658</v>
      </c>
      <c r="M297" s="262" t="s">
        <v>2155</v>
      </c>
      <c r="N297" s="261" t="s">
        <v>357</v>
      </c>
      <c r="O297" s="261" t="s">
        <v>2034</v>
      </c>
      <c r="P297" s="261"/>
      <c r="Q297" s="261"/>
      <c r="R297" s="261"/>
      <c r="S297" s="261" t="s">
        <v>2005</v>
      </c>
      <c r="T297" s="261" t="s">
        <v>2006</v>
      </c>
      <c r="U297" s="261" t="s">
        <v>2007</v>
      </c>
      <c r="V297" s="261" t="s">
        <v>199</v>
      </c>
      <c r="W297" s="261" t="s">
        <v>141</v>
      </c>
      <c r="X297" s="261" t="s">
        <v>111</v>
      </c>
      <c r="Y297" s="199" t="str">
        <f ca="1">IF(I297&lt;&gt;"",IF(I297&lt;=TODAY(),IF(OR(N297="REPROGRAMADA",N297="SUSPENDIDA",N297="EXCLUSION",N297="COLEGIADO"),"NO HECHA",IF(N297=" ","SINRESULTADO","SI")),"NO"),IF(N297="EXCLUSION","NO HECHA","LIMBO"))</f>
        <v>SI</v>
      </c>
      <c r="Z297" s="199" t="str">
        <f>IF($Z$1=I297,"DIASOL", "DIANOSOL")</f>
        <v>DIANOSOL</v>
      </c>
      <c r="AA297" s="261" t="s">
        <v>240</v>
      </c>
      <c r="AB297" s="261" t="s">
        <v>2004</v>
      </c>
      <c r="AC297" s="199" t="str">
        <f>IF(H297=$M$1,"SI","NO")</f>
        <v>NO</v>
      </c>
      <c r="AD297" s="199"/>
      <c r="AE297" s="261"/>
      <c r="AF297" s="261"/>
      <c r="AG297" s="199" t="str">
        <f>IF(COUNTIF(C297,"*preso*")&gt;0,"SI","NO")</f>
        <v>SI</v>
      </c>
      <c r="AH297" s="248">
        <f>NroOrden(N297)</f>
        <v>50</v>
      </c>
      <c r="AI297" s="261"/>
      <c r="AJ297" s="48" t="str">
        <f ca="1">IF(OR(Y297="NO",Y297="LIMBO"),"IMP","NOIMP")</f>
        <v>NOIMP</v>
      </c>
    </row>
    <row r="298" spans="1:36" ht="39.950000000000003" customHeight="1">
      <c r="A298" s="261">
        <v>237</v>
      </c>
      <c r="B298" s="262" t="s">
        <v>1622</v>
      </c>
      <c r="C298" s="263"/>
      <c r="D298" s="261" t="s">
        <v>1623</v>
      </c>
      <c r="E298" s="261" t="s">
        <v>1624</v>
      </c>
      <c r="F298" s="264">
        <v>45175</v>
      </c>
      <c r="G298" s="261" t="s">
        <v>1625</v>
      </c>
      <c r="H298" s="261" t="s">
        <v>1638</v>
      </c>
      <c r="I298" s="262">
        <v>45230</v>
      </c>
      <c r="J298" s="262" t="s">
        <v>960</v>
      </c>
      <c r="K298" s="261" t="s">
        <v>362</v>
      </c>
      <c r="L298" s="144" t="s">
        <v>1658</v>
      </c>
      <c r="M298" s="262" t="s">
        <v>329</v>
      </c>
      <c r="N298" s="261" t="s">
        <v>357</v>
      </c>
      <c r="O298" s="261" t="s">
        <v>2034</v>
      </c>
      <c r="P298" s="261"/>
      <c r="Q298" s="261" t="s">
        <v>111</v>
      </c>
      <c r="R298" s="261"/>
      <c r="S298" s="261"/>
      <c r="T298" s="261"/>
      <c r="U298" s="261"/>
      <c r="V298" s="261" t="s">
        <v>191</v>
      </c>
      <c r="W298" s="261" t="s">
        <v>1626</v>
      </c>
      <c r="X298" s="261" t="s">
        <v>1627</v>
      </c>
      <c r="Y298" s="194" t="str">
        <f ca="1">IF(I298&lt;&gt;"",IF(I298&lt;=TODAY(),IF(OR(N298="REPROGRAMADA",N298="SUSPENDIDA",N298="EXCLUSION",N298="COLEGIADO"),"NO HECHA",IF(N298=" ","SINRESULTADO","SI")),"NO"),IF(N298="EXCLUSION","NO HECHA","LIMBO"))</f>
        <v>SI</v>
      </c>
      <c r="Z298" s="194" t="str">
        <f>IF($Z$1=I298,"DIASOL", "DIANOSOL")</f>
        <v>DIANOSOL</v>
      </c>
      <c r="AA298" s="261" t="s">
        <v>240</v>
      </c>
      <c r="AB298" s="261" t="s">
        <v>1628</v>
      </c>
      <c r="AC298" s="194" t="str">
        <f>IF(H298=$M$1,"SI","NO")</f>
        <v>NO</v>
      </c>
      <c r="AD298" s="194"/>
      <c r="AE298" s="264">
        <v>45168</v>
      </c>
      <c r="AF298" s="261"/>
      <c r="AG298" s="194" t="str">
        <f>IF(COUNTIF(C298,"*preso*")&gt;0,"SI","NO")</f>
        <v>NO</v>
      </c>
      <c r="AH298" s="244">
        <f>NroOrden(N298)</f>
        <v>50</v>
      </c>
      <c r="AI298" s="261"/>
      <c r="AJ298" s="48" t="str">
        <f ca="1">IF(OR(Y298="NO",Y298="LIMBO"),"IMP","NOIMP")</f>
        <v>NOIMP</v>
      </c>
    </row>
    <row r="299" spans="1:36" ht="49.5" customHeight="1">
      <c r="A299" s="159">
        <v>272</v>
      </c>
      <c r="B299" s="160" t="s">
        <v>1783</v>
      </c>
      <c r="C299" s="208"/>
      <c r="D299" s="159" t="s">
        <v>1782</v>
      </c>
      <c r="E299" s="159" t="s">
        <v>573</v>
      </c>
      <c r="F299" s="256">
        <v>45190</v>
      </c>
      <c r="G299" s="159" t="s">
        <v>1742</v>
      </c>
      <c r="H299" s="159" t="s">
        <v>1639</v>
      </c>
      <c r="I299" s="160">
        <v>45230</v>
      </c>
      <c r="J299" s="160" t="s">
        <v>396</v>
      </c>
      <c r="K299" s="159" t="s">
        <v>1674</v>
      </c>
      <c r="L299" s="159" t="s">
        <v>1659</v>
      </c>
      <c r="M299" s="160" t="s">
        <v>331</v>
      </c>
      <c r="N299" s="159" t="s">
        <v>1387</v>
      </c>
      <c r="O299" s="159" t="s">
        <v>2035</v>
      </c>
      <c r="P299" s="159"/>
      <c r="Q299" s="159"/>
      <c r="R299" s="159"/>
      <c r="S299" s="159"/>
      <c r="T299" s="159"/>
      <c r="U299" s="159"/>
      <c r="V299" s="159" t="s">
        <v>184</v>
      </c>
      <c r="W299" s="159" t="s">
        <v>119</v>
      </c>
      <c r="X299" s="159" t="s">
        <v>111</v>
      </c>
      <c r="Y299" s="194" t="str">
        <f ca="1">IF(I299&lt;&gt;"",IF(I299&lt;=TODAY(),IF(OR(N299="REPROGRAMADA",N299="SUSPENDIDA",N299="EXCLUSION",N299="COLEGIADO"),"NO HECHA",IF(N299=" ","SINRESULTADO","SI")),"NO"),IF(N299="EXCLUSION","NO HECHA","LIMBO"))</f>
        <v>SI</v>
      </c>
      <c r="Z299" s="194" t="str">
        <f>IF($Z$1=I299,"DIASOL", "DIANOSOL")</f>
        <v>DIANOSOL</v>
      </c>
      <c r="AA299" s="159" t="s">
        <v>240</v>
      </c>
      <c r="AB299" s="159" t="s">
        <v>1784</v>
      </c>
      <c r="AC299" s="194" t="str">
        <f>IF(H299=$M$1,"SI","NO")</f>
        <v>NO</v>
      </c>
      <c r="AD299" s="194"/>
      <c r="AE299" s="256">
        <v>45190</v>
      </c>
      <c r="AF299" s="159"/>
      <c r="AG299" s="194" t="str">
        <f>IF(COUNTIF(C299,"*preso*")&gt;0,"SI","NO")</f>
        <v>NO</v>
      </c>
      <c r="AH299" s="244">
        <f>NroOrden(N299)</f>
        <v>50</v>
      </c>
      <c r="AI299" s="159"/>
      <c r="AJ299" s="48" t="str">
        <f ca="1">IF(OR(Y299="NO",Y299="LIMBO"),"IMP","NOIMP")</f>
        <v>NOIMP</v>
      </c>
    </row>
    <row r="300" spans="1:36" ht="39.950000000000003" customHeight="1">
      <c r="A300" s="159">
        <v>297</v>
      </c>
      <c r="B300" s="160" t="s">
        <v>1895</v>
      </c>
      <c r="C300" s="208"/>
      <c r="D300" s="159" t="s">
        <v>1896</v>
      </c>
      <c r="E300" s="159" t="s">
        <v>1897</v>
      </c>
      <c r="F300" s="256">
        <v>45197</v>
      </c>
      <c r="G300" s="159" t="s">
        <v>1836</v>
      </c>
      <c r="H300" s="159" t="s">
        <v>1644</v>
      </c>
      <c r="I300" s="160">
        <v>45231</v>
      </c>
      <c r="J300" s="160" t="s">
        <v>282</v>
      </c>
      <c r="K300" s="159" t="s">
        <v>2117</v>
      </c>
      <c r="L300" s="159" t="s">
        <v>1659</v>
      </c>
      <c r="M300" s="160" t="s">
        <v>1807</v>
      </c>
      <c r="N300" s="159" t="s">
        <v>1647</v>
      </c>
      <c r="O300" s="159" t="s">
        <v>2034</v>
      </c>
      <c r="P300" s="159"/>
      <c r="Q300" s="159"/>
      <c r="R300" s="159"/>
      <c r="S300" s="159"/>
      <c r="T300" s="159"/>
      <c r="U300" s="159"/>
      <c r="V300" s="159" t="s">
        <v>193</v>
      </c>
      <c r="W300" s="159" t="s">
        <v>133</v>
      </c>
      <c r="X300" s="159" t="s">
        <v>111</v>
      </c>
      <c r="Y300" s="159" t="str">
        <f ca="1">IF(I300&lt;&gt;"",IF(I300&lt;=TODAY(),IF(OR(N300="REPROGRAMADA",N300="SUSPENDIDA",N300="EXCLUSION",N300="COLEGIADO"),"NO HECHA",IF(N300=" ","SINRESULTADO","SI")),"NO"),IF(N300="EXCLUSION","NO HECHA","LIMBO"))</f>
        <v>SI</v>
      </c>
      <c r="Z300" s="159" t="str">
        <f>IF($Z$1=I300,"DIASOL", "DIANOSOL")</f>
        <v>DIANOSOL</v>
      </c>
      <c r="AA300" s="159" t="s">
        <v>240</v>
      </c>
      <c r="AB300" s="159" t="s">
        <v>1898</v>
      </c>
      <c r="AC300" s="159" t="str">
        <f>IF(H300=$M$1,"SI","NO")</f>
        <v>NO</v>
      </c>
      <c r="AD300" s="159"/>
      <c r="AE300" s="256">
        <v>45197</v>
      </c>
      <c r="AF300" s="159"/>
      <c r="AG300" s="159" t="str">
        <f>IF(COUNTIF(C300,"*preso*")&gt;0,"SI","NO")</f>
        <v>NO</v>
      </c>
      <c r="AH300" s="254">
        <f>NroOrden(N300)</f>
        <v>50</v>
      </c>
      <c r="AI300" s="159"/>
      <c r="AJ300" s="184" t="str">
        <f ca="1">IF(OR(Y300="NO",Y300="LIMBO"),"IMP","NOIMP")</f>
        <v>NOIMP</v>
      </c>
    </row>
    <row r="301" spans="1:36" ht="39.950000000000003" customHeight="1">
      <c r="A301" s="159">
        <v>170</v>
      </c>
      <c r="B301" s="160" t="s">
        <v>1225</v>
      </c>
      <c r="C301" s="208"/>
      <c r="D301" s="159" t="s">
        <v>1226</v>
      </c>
      <c r="E301" s="159" t="s">
        <v>1227</v>
      </c>
      <c r="F301" s="256">
        <v>45140</v>
      </c>
      <c r="G301" s="159" t="s">
        <v>1198</v>
      </c>
      <c r="H301" s="159" t="s">
        <v>1637</v>
      </c>
      <c r="I301" s="160">
        <v>45231</v>
      </c>
      <c r="J301" s="160" t="s">
        <v>14</v>
      </c>
      <c r="K301" s="159" t="s">
        <v>365</v>
      </c>
      <c r="L301" s="159" t="s">
        <v>1997</v>
      </c>
      <c r="M301" s="160" t="s">
        <v>331</v>
      </c>
      <c r="N301" s="159" t="s">
        <v>355</v>
      </c>
      <c r="O301" s="159" t="s">
        <v>2034</v>
      </c>
      <c r="P301" s="159" t="s">
        <v>2354</v>
      </c>
      <c r="Q301" s="159" t="s">
        <v>111</v>
      </c>
      <c r="R301" s="159"/>
      <c r="S301" s="159"/>
      <c r="T301" s="159"/>
      <c r="U301" s="159"/>
      <c r="V301" s="159" t="s">
        <v>913</v>
      </c>
      <c r="W301" s="159" t="s">
        <v>1228</v>
      </c>
      <c r="X301" s="159" t="s">
        <v>1229</v>
      </c>
      <c r="Y301" s="159" t="str">
        <f ca="1">IF(I301&lt;&gt;"",IF(I301&lt;=TODAY(),IF(OR(N301="REPROGRAMADA",N301="SUSPENDIDA",N301="EXCLUSION",N301="COLEGIADO"),"NO HECHA",IF(N301=" ","SINRESULTADO","SI")),"NO"),IF(N301="EXCLUSION","NO HECHA","LIMBO"))</f>
        <v>SI</v>
      </c>
      <c r="Z301" s="159" t="str">
        <f>IF($Z$1=I301,"DIASOL", "DIANOSOL")</f>
        <v>DIANOSOL</v>
      </c>
      <c r="AA301" s="159" t="s">
        <v>240</v>
      </c>
      <c r="AB301" s="159" t="s">
        <v>1230</v>
      </c>
      <c r="AC301" s="159" t="str">
        <f>IF(H301=$M$1,"SI","NO")</f>
        <v>NO</v>
      </c>
      <c r="AD301" s="159"/>
      <c r="AE301" s="159"/>
      <c r="AF301" s="159"/>
      <c r="AG301" s="159" t="str">
        <f>IF(COUNTIF(C301,"*preso*")&gt;0,"SI","NO")</f>
        <v>NO</v>
      </c>
      <c r="AH301" s="254">
        <f>NroOrden(N301)</f>
        <v>50</v>
      </c>
      <c r="AI301" s="159"/>
      <c r="AJ301" s="184" t="str">
        <f ca="1">IF(OR(Y301="NO",Y301="LIMBO"),"IMP","NOIMP")</f>
        <v>NOIMP</v>
      </c>
    </row>
    <row r="302" spans="1:36" ht="39.950000000000003" customHeight="1">
      <c r="A302" s="159">
        <v>358</v>
      </c>
      <c r="B302" s="160" t="s">
        <v>2197</v>
      </c>
      <c r="C302" s="208" t="s">
        <v>501</v>
      </c>
      <c r="D302" s="159" t="s">
        <v>2198</v>
      </c>
      <c r="E302" s="159" t="s">
        <v>2199</v>
      </c>
      <c r="F302" s="256">
        <v>45218</v>
      </c>
      <c r="G302" s="159"/>
      <c r="H302" s="159" t="s">
        <v>1638</v>
      </c>
      <c r="I302" s="160">
        <v>45231</v>
      </c>
      <c r="J302" s="160" t="s">
        <v>1562</v>
      </c>
      <c r="K302" s="159" t="s">
        <v>362</v>
      </c>
      <c r="L302" s="159" t="s">
        <v>1659</v>
      </c>
      <c r="M302" s="160" t="s">
        <v>330</v>
      </c>
      <c r="N302" s="159" t="s">
        <v>356</v>
      </c>
      <c r="O302" s="159" t="s">
        <v>2034</v>
      </c>
      <c r="P302" s="159"/>
      <c r="Q302" s="159" t="s">
        <v>240</v>
      </c>
      <c r="R302" s="159"/>
      <c r="S302" s="159" t="s">
        <v>1946</v>
      </c>
      <c r="T302" s="159" t="s">
        <v>2201</v>
      </c>
      <c r="U302" s="159" t="s">
        <v>2203</v>
      </c>
      <c r="V302" s="159" t="s">
        <v>345</v>
      </c>
      <c r="W302" s="159" t="s">
        <v>140</v>
      </c>
      <c r="X302" s="159"/>
      <c r="Y302" s="159" t="str">
        <f ca="1">IF(I302&lt;&gt;"",IF(I302&lt;=TODAY(),IF(OR(N302="REPROGRAMADA",N302="SUSPENDIDA",N302="EXCLUSION",N302="COLEGIADO"),"NO HECHA",IF(N302=" ","SINRESULTADO","SI")),"NO"),IF(N302="EXCLUSION","NO HECHA","LIMBO"))</f>
        <v>SI</v>
      </c>
      <c r="Z302" s="159" t="str">
        <f>IF($Z$1=I302,"DIASOL", "DIANOSOL")</f>
        <v>DIANOSOL</v>
      </c>
      <c r="AA302" s="159"/>
      <c r="AB302" s="159" t="s">
        <v>2200</v>
      </c>
      <c r="AC302" s="159" t="str">
        <f>IF(H302=$M$1,"SI","NO")</f>
        <v>NO</v>
      </c>
      <c r="AD302" s="159"/>
      <c r="AE302" s="256">
        <v>45218</v>
      </c>
      <c r="AF302" s="159"/>
      <c r="AG302" s="159" t="str">
        <f>IF(COUNTIF(C302,"*preso*")&gt;0,"SI","NO")</f>
        <v>SI</v>
      </c>
      <c r="AH302" s="254">
        <f>NroOrden(N302)</f>
        <v>50</v>
      </c>
      <c r="AI302" s="159"/>
      <c r="AJ302" s="184" t="str">
        <f ca="1">IF(OR(Y302="NO",Y302="LIMBO"),"IMP","NOIMP")</f>
        <v>NOIMP</v>
      </c>
    </row>
    <row r="303" spans="1:36" ht="66.75" customHeight="1">
      <c r="A303" s="159">
        <v>336</v>
      </c>
      <c r="B303" s="160" t="s">
        <v>524</v>
      </c>
      <c r="C303" s="208"/>
      <c r="D303" s="159" t="s">
        <v>521</v>
      </c>
      <c r="E303" s="159" t="s">
        <v>2086</v>
      </c>
      <c r="F303" s="256">
        <v>45084</v>
      </c>
      <c r="G303" s="159" t="s">
        <v>2082</v>
      </c>
      <c r="H303" s="159" t="s">
        <v>1641</v>
      </c>
      <c r="I303" s="160">
        <v>45232</v>
      </c>
      <c r="J303" s="160" t="s">
        <v>2087</v>
      </c>
      <c r="K303" s="159" t="s">
        <v>1674</v>
      </c>
      <c r="L303" s="159" t="s">
        <v>1658</v>
      </c>
      <c r="M303" s="160" t="s">
        <v>331</v>
      </c>
      <c r="N303" s="159" t="s">
        <v>359</v>
      </c>
      <c r="O303" s="159" t="s">
        <v>2034</v>
      </c>
      <c r="P303" s="159"/>
      <c r="Q303" s="159" t="s">
        <v>240</v>
      </c>
      <c r="R303" s="159"/>
      <c r="S303" s="159"/>
      <c r="T303" s="159"/>
      <c r="U303" s="159"/>
      <c r="V303" s="159" t="s">
        <v>339</v>
      </c>
      <c r="W303" s="159" t="s">
        <v>132</v>
      </c>
      <c r="X303" s="159" t="s">
        <v>111</v>
      </c>
      <c r="Y303" s="159" t="str">
        <f ca="1">IF(I303&lt;&gt;"",IF(I303&lt;=TODAY(),IF(OR(N303="REPROGRAMADA",N303="SUSPENDIDA",N303="EXCLUSION",N303="COLEGIADO"),"NO HECHA",IF(N303=" ","SINRESULTADO","SI")),"NO"),IF(N303="EXCLUSION","NO HECHA","LIMBO"))</f>
        <v>SI</v>
      </c>
      <c r="Z303" s="159" t="str">
        <f>IF($Z$1=I303,"DIASOL", "DIANOSOL")</f>
        <v>DIANOSOL</v>
      </c>
      <c r="AA303" s="159" t="s">
        <v>240</v>
      </c>
      <c r="AB303" s="256"/>
      <c r="AC303" s="159" t="str">
        <f>IF(H303=$M$1,"SI","NO")</f>
        <v>NO</v>
      </c>
      <c r="AD303" s="159"/>
      <c r="AE303" s="159"/>
      <c r="AF303" s="159"/>
      <c r="AG303" s="159" t="str">
        <f>IF(COUNTIF(C303,"*preso*")&gt;0,"SI","NO")</f>
        <v>NO</v>
      </c>
      <c r="AH303" s="254">
        <f>NroOrden(N303)</f>
        <v>50</v>
      </c>
      <c r="AI303" s="159"/>
      <c r="AJ303" s="184" t="str">
        <f ca="1">IF(OR(Y303="NO",Y303="LIMBO"),"IMP","NOIMP")</f>
        <v>NOIMP</v>
      </c>
    </row>
    <row r="304" spans="1:36" ht="90" customHeight="1">
      <c r="A304" s="261">
        <v>396</v>
      </c>
      <c r="B304" s="262" t="s">
        <v>1885</v>
      </c>
      <c r="C304" s="263" t="s">
        <v>1472</v>
      </c>
      <c r="D304" s="261" t="s">
        <v>1886</v>
      </c>
      <c r="E304" s="261" t="s">
        <v>1887</v>
      </c>
      <c r="F304" s="261">
        <v>45194</v>
      </c>
      <c r="G304" s="261"/>
      <c r="H304" s="261" t="s">
        <v>1643</v>
      </c>
      <c r="I304" s="262">
        <v>45232</v>
      </c>
      <c r="J304" s="262" t="s">
        <v>13</v>
      </c>
      <c r="K304" s="261" t="s">
        <v>363</v>
      </c>
      <c r="L304" s="261" t="s">
        <v>1659</v>
      </c>
      <c r="M304" s="262" t="s">
        <v>1750</v>
      </c>
      <c r="N304" s="261" t="s">
        <v>357</v>
      </c>
      <c r="O304" s="261" t="s">
        <v>2034</v>
      </c>
      <c r="P304" s="261"/>
      <c r="Q304" s="261" t="s">
        <v>240</v>
      </c>
      <c r="R304" s="261"/>
      <c r="S304" s="261" t="s">
        <v>1888</v>
      </c>
      <c r="T304" s="261" t="s">
        <v>1889</v>
      </c>
      <c r="U304" s="261" t="s">
        <v>1890</v>
      </c>
      <c r="V304" s="261" t="s">
        <v>186</v>
      </c>
      <c r="W304" s="261" t="s">
        <v>1459</v>
      </c>
      <c r="X304" s="261" t="s">
        <v>111</v>
      </c>
      <c r="Y304" s="261" t="str">
        <f ca="1">IF(I304&lt;&gt;"",IF(I304&lt;=TODAY(),IF(OR(N304="REPROGRAMADA",N304="SUSPENDIDA",N304="EXCLUSION",N304="COLEGIADO"),"NO HECHA",IF(N304=" ","SINRESULTADO","SI")),"NO"),IF(N304="EXCLUSION","NO HECHA","LIMBO"))</f>
        <v>SI</v>
      </c>
      <c r="Z304" s="261" t="str">
        <f>IF($Z$1=I304,"DIASOL", "DIANOSOL")</f>
        <v>DIANOSOL</v>
      </c>
      <c r="AA304" s="261" t="s">
        <v>240</v>
      </c>
      <c r="AB304" s="264"/>
      <c r="AC304" s="261" t="str">
        <f>IF(H304=$M$1,"SI","NO")</f>
        <v>SI</v>
      </c>
      <c r="AD304" s="261"/>
      <c r="AE304" s="261"/>
      <c r="AF304" s="261"/>
      <c r="AG304" s="261" t="str">
        <f>IF(COUNTIF(C304,"*preso*")&gt;0,"SI","NO")</f>
        <v>SI</v>
      </c>
      <c r="AH304" s="296">
        <f>NroOrden(N304)</f>
        <v>50</v>
      </c>
      <c r="AI304" s="261"/>
      <c r="AJ304" s="290" t="str">
        <f ca="1">IF(OR(Y304="NO",Y304="LIMBO"),"IMP","NOIMP")</f>
        <v>NOIMP</v>
      </c>
    </row>
    <row r="305" spans="1:36" ht="39.950000000000003" customHeight="1">
      <c r="A305" s="159">
        <v>183183</v>
      </c>
      <c r="B305" s="160" t="s">
        <v>1822</v>
      </c>
      <c r="C305" s="208"/>
      <c r="D305" s="159" t="s">
        <v>1824</v>
      </c>
      <c r="E305" s="159" t="s">
        <v>1825</v>
      </c>
      <c r="F305" s="256">
        <v>45176</v>
      </c>
      <c r="G305" s="159" t="s">
        <v>1816</v>
      </c>
      <c r="H305" s="159"/>
      <c r="I305" s="160">
        <v>45232</v>
      </c>
      <c r="J305" s="160" t="s">
        <v>282</v>
      </c>
      <c r="K305" s="159" t="s">
        <v>364</v>
      </c>
      <c r="L305" s="159" t="s">
        <v>1659</v>
      </c>
      <c r="M305" s="160" t="s">
        <v>330</v>
      </c>
      <c r="N305" s="159" t="s">
        <v>359</v>
      </c>
      <c r="O305" s="159" t="s">
        <v>2036</v>
      </c>
      <c r="P305" s="159"/>
      <c r="Q305" s="159"/>
      <c r="R305" s="159"/>
      <c r="S305" s="159"/>
      <c r="T305" s="159"/>
      <c r="U305" s="159"/>
      <c r="V305" s="159" t="s">
        <v>191</v>
      </c>
      <c r="W305" s="159" t="s">
        <v>111</v>
      </c>
      <c r="X305" s="159" t="s">
        <v>111</v>
      </c>
      <c r="Y305" s="159" t="str">
        <f ca="1">IF(I305&lt;&gt;"",IF(I305&lt;=TODAY(),IF(OR(N305="REPROGRAMADA",N305="SUSPENDIDA",N305="EXCLUSION",N305="COLEGIADO"),"NO HECHA",IF(N305=" ","SINRESULTADO","SI")),"NO"),IF(N305="EXCLUSION","NO HECHA","LIMBO"))</f>
        <v>SI</v>
      </c>
      <c r="Z305" s="159" t="str">
        <f>IF($Z$1=I305,"DIASOL", "DIANOSOL")</f>
        <v>DIANOSOL</v>
      </c>
      <c r="AA305" s="159" t="s">
        <v>240</v>
      </c>
      <c r="AB305" s="159" t="s">
        <v>1823</v>
      </c>
      <c r="AC305" s="159" t="str">
        <f>IF(H305=$M$1,"SI","NO")</f>
        <v>NO</v>
      </c>
      <c r="AD305" s="159"/>
      <c r="AE305" s="256">
        <v>45176</v>
      </c>
      <c r="AF305" s="159"/>
      <c r="AG305" s="159" t="str">
        <f>IF(COUNTIF(C305,"*preso*")&gt;0,"SI","NO")</f>
        <v>NO</v>
      </c>
      <c r="AH305" s="254">
        <f>NroOrden(N305)</f>
        <v>50</v>
      </c>
      <c r="AI305" s="159"/>
      <c r="AJ305" s="184" t="str">
        <f ca="1">IF(OR(Y305="NO",Y305="LIMBO"),"IMP","NOIMP")</f>
        <v>NOIMP</v>
      </c>
    </row>
    <row r="306" spans="1:36" ht="39.950000000000003" customHeight="1">
      <c r="A306" s="159">
        <v>218</v>
      </c>
      <c r="B306" s="160" t="s">
        <v>1507</v>
      </c>
      <c r="C306" s="208"/>
      <c r="D306" s="159" t="s">
        <v>1508</v>
      </c>
      <c r="E306" s="159" t="s">
        <v>2382</v>
      </c>
      <c r="F306" s="256">
        <v>45163</v>
      </c>
      <c r="G306" s="159" t="s">
        <v>1509</v>
      </c>
      <c r="H306" s="159" t="s">
        <v>1644</v>
      </c>
      <c r="I306" s="160">
        <v>45232</v>
      </c>
      <c r="J306" s="160" t="s">
        <v>14</v>
      </c>
      <c r="K306" s="159" t="s">
        <v>362</v>
      </c>
      <c r="L306" s="159" t="s">
        <v>1659</v>
      </c>
      <c r="M306" s="160" t="s">
        <v>328</v>
      </c>
      <c r="N306" s="159" t="s">
        <v>357</v>
      </c>
      <c r="O306" s="159" t="s">
        <v>2034</v>
      </c>
      <c r="P306" s="159"/>
      <c r="Q306" s="159" t="s">
        <v>111</v>
      </c>
      <c r="R306" s="159"/>
      <c r="S306" s="159"/>
      <c r="T306" s="159"/>
      <c r="U306" s="159"/>
      <c r="V306" s="159" t="s">
        <v>1281</v>
      </c>
      <c r="W306" s="159" t="s">
        <v>1510</v>
      </c>
      <c r="X306" s="159" t="s">
        <v>111</v>
      </c>
      <c r="Y306" s="159" t="str">
        <f ca="1">IF(I306&lt;&gt;"",IF(I306&lt;=TODAY(),IF(OR(N306="REPROGRAMADA",N306="SUSPENDIDA",N306="EXCLUSION",N306="COLEGIADO"),"NO HECHA",IF(N306=" ","SINRESULTADO","SI")),"NO"),IF(N306="EXCLUSION","NO HECHA","LIMBO"))</f>
        <v>SI</v>
      </c>
      <c r="Z306" s="159" t="str">
        <f>IF($Z$1=I306,"DIASOL", "DIANOSOL")</f>
        <v>DIANOSOL</v>
      </c>
      <c r="AA306" s="159" t="s">
        <v>240</v>
      </c>
      <c r="AB306" s="159" t="s">
        <v>1511</v>
      </c>
      <c r="AC306" s="159" t="str">
        <f>IF(H306=$M$1,"SI","NO")</f>
        <v>NO</v>
      </c>
      <c r="AD306" s="159"/>
      <c r="AE306" s="256">
        <v>45162</v>
      </c>
      <c r="AF306" s="159"/>
      <c r="AG306" s="159" t="str">
        <f>IF(COUNTIF(C306,"*preso*")&gt;0,"SI","NO")</f>
        <v>NO</v>
      </c>
      <c r="AH306" s="254">
        <f>NroOrden(N306)</f>
        <v>50</v>
      </c>
      <c r="AI306" s="159"/>
      <c r="AJ306" s="184" t="str">
        <f ca="1">IF(OR(Y306="NO",Y306="LIMBO"),"IMP","NOIMP")</f>
        <v>NOIMP</v>
      </c>
    </row>
    <row r="307" spans="1:36" ht="39.950000000000003" customHeight="1">
      <c r="A307" s="261">
        <v>296</v>
      </c>
      <c r="B307" s="262" t="s">
        <v>1892</v>
      </c>
      <c r="C307" s="263"/>
      <c r="D307" s="261" t="s">
        <v>1893</v>
      </c>
      <c r="E307" s="261" t="s">
        <v>518</v>
      </c>
      <c r="F307" s="264">
        <v>45197</v>
      </c>
      <c r="G307" s="261" t="s">
        <v>1836</v>
      </c>
      <c r="H307" s="261" t="s">
        <v>1641</v>
      </c>
      <c r="I307" s="262">
        <v>45233</v>
      </c>
      <c r="J307" s="262" t="s">
        <v>282</v>
      </c>
      <c r="K307" s="261" t="s">
        <v>1938</v>
      </c>
      <c r="L307" s="261" t="s">
        <v>1658</v>
      </c>
      <c r="M307" s="262" t="s">
        <v>332</v>
      </c>
      <c r="N307" s="261" t="s">
        <v>357</v>
      </c>
      <c r="O307" s="261" t="s">
        <v>2034</v>
      </c>
      <c r="P307" s="261"/>
      <c r="Q307" s="261"/>
      <c r="R307" s="261"/>
      <c r="S307" s="261"/>
      <c r="T307" s="261"/>
      <c r="U307" s="261"/>
      <c r="V307" s="261" t="s">
        <v>189</v>
      </c>
      <c r="W307" s="261" t="s">
        <v>119</v>
      </c>
      <c r="X307" s="261" t="s">
        <v>111</v>
      </c>
      <c r="Y307" s="261" t="str">
        <f ca="1">IF(I307&lt;&gt;"",IF(I307&lt;=TODAY(),IF(OR(N307="REPROGRAMADA",N307="SUSPENDIDA",N307="EXCLUSION",N307="COLEGIADO"),"NO HECHA",IF(N307=" ","SINRESULTADO","SI")),"NO"),IF(N307="EXCLUSION","NO HECHA","LIMBO"))</f>
        <v>SI</v>
      </c>
      <c r="Z307" s="261" t="str">
        <f>IF($Z$1=I307,"DIASOL", "DIANOSOL")</f>
        <v>DIANOSOL</v>
      </c>
      <c r="AA307" s="261" t="s">
        <v>240</v>
      </c>
      <c r="AB307" s="261" t="s">
        <v>1894</v>
      </c>
      <c r="AC307" s="261" t="str">
        <f>IF(H307=$M$1,"SI","NO")</f>
        <v>NO</v>
      </c>
      <c r="AD307" s="261"/>
      <c r="AE307" s="264">
        <v>45197</v>
      </c>
      <c r="AF307" s="261"/>
      <c r="AG307" s="261" t="str">
        <f>IF(COUNTIF(C307,"*preso*")&gt;0,"SI","NO")</f>
        <v>NO</v>
      </c>
      <c r="AH307" s="258">
        <f>NroOrden(N307)</f>
        <v>50</v>
      </c>
      <c r="AI307" s="261"/>
      <c r="AJ307" s="259" t="str">
        <f ca="1">IF(OR(Y307="NO",Y307="LIMBO"),"IMP","NOIMP")</f>
        <v>NOIMP</v>
      </c>
    </row>
    <row r="308" spans="1:36" ht="100.5" customHeight="1">
      <c r="A308" s="159">
        <v>354</v>
      </c>
      <c r="B308" s="160" t="s">
        <v>1772</v>
      </c>
      <c r="C308" s="208"/>
      <c r="D308" s="159" t="s">
        <v>1773</v>
      </c>
      <c r="E308" s="159" t="s">
        <v>1774</v>
      </c>
      <c r="F308" s="159">
        <v>45188</v>
      </c>
      <c r="G308" s="159"/>
      <c r="H308" s="159" t="s">
        <v>1637</v>
      </c>
      <c r="I308" s="160">
        <v>45233</v>
      </c>
      <c r="J308" s="160" t="s">
        <v>282</v>
      </c>
      <c r="K308" s="159" t="s">
        <v>363</v>
      </c>
      <c r="L308" s="159" t="s">
        <v>1658</v>
      </c>
      <c r="M308" s="160" t="s">
        <v>330</v>
      </c>
      <c r="N308" s="159" t="s">
        <v>355</v>
      </c>
      <c r="O308" s="159" t="s">
        <v>2034</v>
      </c>
      <c r="P308" s="159"/>
      <c r="Q308" s="159" t="s">
        <v>240</v>
      </c>
      <c r="R308" s="159"/>
      <c r="S308" s="159"/>
      <c r="T308" s="159"/>
      <c r="U308" s="159"/>
      <c r="V308" s="159" t="s">
        <v>100</v>
      </c>
      <c r="W308" s="159" t="s">
        <v>535</v>
      </c>
      <c r="X308" s="159" t="s">
        <v>111</v>
      </c>
      <c r="Y308" s="159" t="str">
        <f ca="1">IF(I308&lt;&gt;"",IF(I308&lt;=TODAY(),IF(OR(N308="REPROGRAMADA",N308="SUSPENDIDA",N308="EXCLUSION",N308="COLEGIADO"),"NO HECHA",IF(N308=" ","SINRESULTADO","SI")),"NO"),IF(N308="EXCLUSION","NO HECHA","LIMBO"))</f>
        <v>SI</v>
      </c>
      <c r="Z308" s="159" t="str">
        <f>IF($Z$1=I308,"DIASOL", "DIANOSOL")</f>
        <v>DIANOSOL</v>
      </c>
      <c r="AA308" s="159" t="s">
        <v>240</v>
      </c>
      <c r="AB308" s="256"/>
      <c r="AC308" s="159" t="str">
        <f>IF(H308=$M$1,"SI","NO")</f>
        <v>NO</v>
      </c>
      <c r="AD308" s="159"/>
      <c r="AE308" s="159">
        <v>45188</v>
      </c>
      <c r="AF308" s="159"/>
      <c r="AG308" s="159" t="str">
        <f>IF(COUNTIF(C308,"*preso*")&gt;0,"SI","NO")</f>
        <v>NO</v>
      </c>
      <c r="AH308" s="254">
        <f>NroOrden(N308)</f>
        <v>50</v>
      </c>
      <c r="AI308" s="159" t="s">
        <v>2175</v>
      </c>
      <c r="AJ308" s="184" t="str">
        <f ca="1">IF(OR(Y308="NO",Y308="LIMBO"),"IMP","NOIMP")</f>
        <v>NOIMP</v>
      </c>
    </row>
    <row r="309" spans="1:36" ht="52.5" customHeight="1">
      <c r="A309" s="159">
        <v>211</v>
      </c>
      <c r="B309" s="160" t="s">
        <v>1473</v>
      </c>
      <c r="C309" s="208"/>
      <c r="D309" s="159" t="s">
        <v>1474</v>
      </c>
      <c r="E309" s="159" t="s">
        <v>1475</v>
      </c>
      <c r="F309" s="256">
        <v>45161</v>
      </c>
      <c r="G309" s="159" t="s">
        <v>1448</v>
      </c>
      <c r="H309" s="159" t="s">
        <v>1644</v>
      </c>
      <c r="I309" s="160">
        <v>45233</v>
      </c>
      <c r="J309" s="160" t="s">
        <v>1045</v>
      </c>
      <c r="K309" s="159" t="s">
        <v>2131</v>
      </c>
      <c r="L309" s="159" t="s">
        <v>1658</v>
      </c>
      <c r="M309" s="160" t="s">
        <v>332</v>
      </c>
      <c r="N309" s="159" t="s">
        <v>356</v>
      </c>
      <c r="O309" s="159" t="s">
        <v>2034</v>
      </c>
      <c r="P309" s="159" t="s">
        <v>2432</v>
      </c>
      <c r="Q309" s="159" t="s">
        <v>111</v>
      </c>
      <c r="R309" s="159"/>
      <c r="S309" s="159"/>
      <c r="T309" s="159"/>
      <c r="U309" s="159"/>
      <c r="V309" s="159" t="s">
        <v>1476</v>
      </c>
      <c r="W309" s="159" t="s">
        <v>1477</v>
      </c>
      <c r="X309" s="159" t="s">
        <v>111</v>
      </c>
      <c r="Y309" s="159" t="str">
        <f ca="1">IF(I309&lt;&gt;"",IF(I309&lt;=TODAY(),IF(OR(N309="REPROGRAMADA",N309="SUSPENDIDA",N309="EXCLUSION",N309="COLEGIADO"),"NO HECHA",IF(N309=" ","SINRESULTADO","SI")),"NO"),IF(N309="EXCLUSION","NO HECHA","LIMBO"))</f>
        <v>SI</v>
      </c>
      <c r="Z309" s="159" t="str">
        <f>IF($Z$1=I309,"DIASOL", "DIANOSOL")</f>
        <v>DIANOSOL</v>
      </c>
      <c r="AA309" s="159" t="s">
        <v>240</v>
      </c>
      <c r="AB309" s="159" t="s">
        <v>1478</v>
      </c>
      <c r="AC309" s="159" t="str">
        <f>IF(H309=$M$1,"SI","NO")</f>
        <v>NO</v>
      </c>
      <c r="AD309" s="159"/>
      <c r="AE309" s="256">
        <v>45156</v>
      </c>
      <c r="AF309" s="159"/>
      <c r="AG309" s="159" t="str">
        <f>IF(COUNTIF(C309,"*preso*")&gt;0,"SI","NO")</f>
        <v>NO</v>
      </c>
      <c r="AH309" s="254">
        <f>NroOrden(N309)</f>
        <v>50</v>
      </c>
      <c r="AI309" s="159"/>
      <c r="AJ309" s="184" t="str">
        <f ca="1">IF(OR(Y309="NO",Y309="LIMBO"),"IMP","NOIMP")</f>
        <v>NOIMP</v>
      </c>
    </row>
    <row r="310" spans="1:36" ht="113.25" customHeight="1">
      <c r="A310" s="159">
        <v>261</v>
      </c>
      <c r="B310" s="160" t="s">
        <v>1743</v>
      </c>
      <c r="C310" s="208" t="s">
        <v>501</v>
      </c>
      <c r="D310" s="159" t="s">
        <v>1744</v>
      </c>
      <c r="E310" s="159" t="s">
        <v>1745</v>
      </c>
      <c r="F310" s="256">
        <v>45191</v>
      </c>
      <c r="G310" s="159" t="s">
        <v>1742</v>
      </c>
      <c r="H310" s="159" t="s">
        <v>1640</v>
      </c>
      <c r="I310" s="160">
        <v>45233</v>
      </c>
      <c r="J310" s="160" t="s">
        <v>396</v>
      </c>
      <c r="K310" s="159" t="s">
        <v>2131</v>
      </c>
      <c r="L310" s="159" t="s">
        <v>1659</v>
      </c>
      <c r="M310" s="160" t="s">
        <v>1805</v>
      </c>
      <c r="N310" s="159" t="s">
        <v>356</v>
      </c>
      <c r="O310" s="159" t="s">
        <v>2034</v>
      </c>
      <c r="P310" s="159" t="s">
        <v>2433</v>
      </c>
      <c r="Q310" s="159"/>
      <c r="R310" s="159"/>
      <c r="S310" s="159"/>
      <c r="T310" s="159"/>
      <c r="U310" s="159"/>
      <c r="V310" s="159" t="s">
        <v>1127</v>
      </c>
      <c r="W310" s="159" t="s">
        <v>1301</v>
      </c>
      <c r="X310" s="159" t="s">
        <v>111</v>
      </c>
      <c r="Y310" s="159" t="str">
        <f ca="1">IF(I310&lt;&gt;"",IF(I310&lt;=TODAY(),IF(OR(N310="REPROGRAMADA",N310="SUSPENDIDA",N310="EXCLUSION",N310="COLEGIADO"),"NO HECHA",IF(N310=" ","SINRESULTADO","SI")),"NO"),IF(N310="EXCLUSION","NO HECHA","LIMBO"))</f>
        <v>SI</v>
      </c>
      <c r="Z310" s="159" t="str">
        <f>IF($Z$1=I310,"DIASOL", "DIANOSOL")</f>
        <v>DIANOSOL</v>
      </c>
      <c r="AA310" s="159" t="s">
        <v>1129</v>
      </c>
      <c r="AB310" s="159" t="s">
        <v>1746</v>
      </c>
      <c r="AC310" s="159" t="str">
        <f>IF(H310=$M$1,"SI","NO")</f>
        <v>NO</v>
      </c>
      <c r="AD310" s="159"/>
      <c r="AE310" s="256">
        <v>45191</v>
      </c>
      <c r="AF310" s="159"/>
      <c r="AG310" s="159" t="str">
        <f>IF(COUNTIF(C310,"*preso*")&gt;0,"SI","NO")</f>
        <v>SI</v>
      </c>
      <c r="AH310" s="254">
        <f>NroOrden(N310)</f>
        <v>50</v>
      </c>
      <c r="AI310" s="159"/>
      <c r="AJ310" s="184" t="str">
        <f ca="1">IF(OR(Y310="NO",Y310="LIMBO"),"IMP","NOIMP")</f>
        <v>NOIMP</v>
      </c>
    </row>
    <row r="311" spans="1:36" ht="72" customHeight="1">
      <c r="A311" s="261">
        <v>298</v>
      </c>
      <c r="B311" s="262" t="s">
        <v>1899</v>
      </c>
      <c r="C311" s="263"/>
      <c r="D311" s="261" t="s">
        <v>1900</v>
      </c>
      <c r="E311" s="261" t="s">
        <v>369</v>
      </c>
      <c r="F311" s="264">
        <v>45197</v>
      </c>
      <c r="G311" s="261" t="s">
        <v>1836</v>
      </c>
      <c r="H311" s="261" t="s">
        <v>1644</v>
      </c>
      <c r="I311" s="262">
        <v>45236</v>
      </c>
      <c r="J311" s="262" t="s">
        <v>2129</v>
      </c>
      <c r="K311" s="261" t="s">
        <v>2130</v>
      </c>
      <c r="L311" s="261" t="s">
        <v>1658</v>
      </c>
      <c r="M311" s="262" t="s">
        <v>332</v>
      </c>
      <c r="N311" s="261" t="s">
        <v>357</v>
      </c>
      <c r="O311" s="261" t="s">
        <v>2034</v>
      </c>
      <c r="P311" s="261"/>
      <c r="Q311" s="261"/>
      <c r="R311" s="261"/>
      <c r="S311" s="261"/>
      <c r="T311" s="261"/>
      <c r="U311" s="261"/>
      <c r="V311" s="261" t="s">
        <v>337</v>
      </c>
      <c r="W311" s="261" t="s">
        <v>119</v>
      </c>
      <c r="X311" s="261" t="s">
        <v>111</v>
      </c>
      <c r="Y311" s="261" t="str">
        <f ca="1">IF(I311&lt;&gt;"",IF(I311&lt;=TODAY(),IF(OR(N311="REPROGRAMADA",N311="SUSPENDIDA",N311="EXCLUSION",N311="COLEGIADO"),"NO HECHA",IF(N311=" ","SINRESULTADO","SI")),"NO"),IF(N311="EXCLUSION","NO HECHA","LIMBO"))</f>
        <v>SI</v>
      </c>
      <c r="Z311" s="261" t="str">
        <f>IF($Z$1=I311,"DIASOL", "DIANOSOL")</f>
        <v>DIANOSOL</v>
      </c>
      <c r="AA311" s="261" t="s">
        <v>240</v>
      </c>
      <c r="AB311" s="261"/>
      <c r="AC311" s="261" t="str">
        <f>IF(H311=$M$1,"SI","NO")</f>
        <v>NO</v>
      </c>
      <c r="AD311" s="261"/>
      <c r="AE311" s="264">
        <v>45197</v>
      </c>
      <c r="AF311" s="261"/>
      <c r="AG311" s="261" t="str">
        <f>IF(COUNTIF(C311,"*preso*")&gt;0,"SI","NO")</f>
        <v>NO</v>
      </c>
      <c r="AH311" s="258">
        <f>NroOrden(N311)</f>
        <v>50</v>
      </c>
      <c r="AI311" s="261"/>
      <c r="AJ311" s="259" t="str">
        <f ca="1">IF(OR(Y311="NO",Y311="LIMBO"),"IMP","NOIMP")</f>
        <v>NOIMP</v>
      </c>
    </row>
    <row r="312" spans="1:36" ht="39.950000000000003" customHeight="1">
      <c r="A312" s="261">
        <v>254</v>
      </c>
      <c r="B312" s="262" t="s">
        <v>1708</v>
      </c>
      <c r="C312" s="263"/>
      <c r="D312" s="261" t="s">
        <v>2431</v>
      </c>
      <c r="E312" s="261" t="s">
        <v>1711</v>
      </c>
      <c r="F312" s="264">
        <v>45188</v>
      </c>
      <c r="G312" s="261" t="s">
        <v>1716</v>
      </c>
      <c r="H312" s="261" t="s">
        <v>1637</v>
      </c>
      <c r="I312" s="262">
        <v>45236</v>
      </c>
      <c r="J312" s="262" t="s">
        <v>282</v>
      </c>
      <c r="K312" s="261" t="s">
        <v>363</v>
      </c>
      <c r="L312" s="261" t="s">
        <v>1658</v>
      </c>
      <c r="M312" s="262" t="s">
        <v>332</v>
      </c>
      <c r="N312" s="261" t="s">
        <v>357</v>
      </c>
      <c r="O312" s="261" t="s">
        <v>2034</v>
      </c>
      <c r="P312" s="261"/>
      <c r="Q312" s="261"/>
      <c r="R312" s="261"/>
      <c r="S312" s="261"/>
      <c r="T312" s="261"/>
      <c r="U312" s="261"/>
      <c r="V312" s="261" t="s">
        <v>185</v>
      </c>
      <c r="W312" s="261" t="s">
        <v>132</v>
      </c>
      <c r="X312" s="261" t="s">
        <v>111</v>
      </c>
      <c r="Y312" s="261" t="str">
        <f ca="1">IF(I312&lt;&gt;"",IF(I312&lt;=TODAY(),IF(OR(N312="REPROGRAMADA",N312="SUSPENDIDA",N312="EXCLUSION",N312="COLEGIADO"),"NO HECHA",IF(N312=" ","SINRESULTADO","SI")),"NO"),IF(N312="EXCLUSION","NO HECHA","LIMBO"))</f>
        <v>SI</v>
      </c>
      <c r="Z312" s="261" t="str">
        <f>IF($Z$1=I312,"DIASOL", "DIANOSOL")</f>
        <v>DIANOSOL</v>
      </c>
      <c r="AA312" s="261" t="s">
        <v>240</v>
      </c>
      <c r="AB312" s="261" t="s">
        <v>1709</v>
      </c>
      <c r="AC312" s="261" t="str">
        <f>IF(H312=$M$1,"SI","NO")</f>
        <v>NO</v>
      </c>
      <c r="AD312" s="261"/>
      <c r="AE312" s="264">
        <v>45180</v>
      </c>
      <c r="AF312" s="261"/>
      <c r="AG312" s="261" t="str">
        <f>IF(COUNTIF(C312,"*preso*")&gt;0,"SI","NO")</f>
        <v>NO</v>
      </c>
      <c r="AH312" s="258">
        <f>NroOrden(N312)</f>
        <v>50</v>
      </c>
      <c r="AI312" s="261"/>
      <c r="AJ312" s="259" t="str">
        <f ca="1">IF(OR(Y312="NO",Y312="LIMBO"),"IMP","NOIMP")</f>
        <v>NOIMP</v>
      </c>
    </row>
    <row r="313" spans="1:36" ht="39.950000000000003" customHeight="1">
      <c r="A313" s="261">
        <v>311</v>
      </c>
      <c r="B313" s="262" t="s">
        <v>1954</v>
      </c>
      <c r="C313" s="263" t="s">
        <v>1472</v>
      </c>
      <c r="D313" s="261" t="s">
        <v>1955</v>
      </c>
      <c r="E313" s="261" t="s">
        <v>1961</v>
      </c>
      <c r="F313" s="264">
        <v>45204</v>
      </c>
      <c r="G313" s="261"/>
      <c r="H313" s="261" t="s">
        <v>1640</v>
      </c>
      <c r="I313" s="262">
        <v>45236</v>
      </c>
      <c r="J313" s="262" t="s">
        <v>1417</v>
      </c>
      <c r="K313" s="261" t="s">
        <v>362</v>
      </c>
      <c r="L313" s="261" t="s">
        <v>1658</v>
      </c>
      <c r="M313" s="262" t="s">
        <v>328</v>
      </c>
      <c r="N313" s="261" t="s">
        <v>357</v>
      </c>
      <c r="O313" s="261" t="s">
        <v>2034</v>
      </c>
      <c r="P313" s="261"/>
      <c r="Q313" s="261"/>
      <c r="R313" s="261"/>
      <c r="S313" s="261" t="s">
        <v>1994</v>
      </c>
      <c r="T313" s="261" t="s">
        <v>1993</v>
      </c>
      <c r="U313" s="261"/>
      <c r="V313" s="261" t="s">
        <v>1128</v>
      </c>
      <c r="W313" s="261" t="s">
        <v>111</v>
      </c>
      <c r="X313" s="261" t="s">
        <v>111</v>
      </c>
      <c r="Y313" s="261" t="str">
        <f ca="1">IF(I313&lt;&gt;"",IF(I313&lt;=TODAY(),IF(OR(N313="REPROGRAMADA",N313="SUSPENDIDA",N313="EXCLUSION",N313="COLEGIADO"),"NO HECHA",IF(N313=" ","SINRESULTADO","SI")),"NO"),IF(N313="EXCLUSION","NO HECHA","LIMBO"))</f>
        <v>SI</v>
      </c>
      <c r="Z313" s="261" t="str">
        <f>IF($Z$1=I313,"DIASOL", "DIANOSOL")</f>
        <v>DIANOSOL</v>
      </c>
      <c r="AA313" s="261" t="s">
        <v>240</v>
      </c>
      <c r="AB313" s="261" t="s">
        <v>1959</v>
      </c>
      <c r="AC313" s="261" t="str">
        <f>IF(H313=$M$1,"SI","NO")</f>
        <v>NO</v>
      </c>
      <c r="AD313" s="261"/>
      <c r="AE313" s="264">
        <v>45204</v>
      </c>
      <c r="AF313" s="261"/>
      <c r="AG313" s="261" t="str">
        <f>IF(COUNTIF(C313,"*preso*")&gt;0,"SI","NO")</f>
        <v>SI</v>
      </c>
      <c r="AH313" s="258">
        <f>NroOrden(N313)</f>
        <v>50</v>
      </c>
      <c r="AI313" s="261"/>
      <c r="AJ313" s="259" t="str">
        <f ca="1">IF(OR(Y313="NO",Y313="LIMBO"),"IMP","NOIMP")</f>
        <v>NOIMP</v>
      </c>
    </row>
    <row r="314" spans="1:36" ht="39.950000000000003" customHeight="1">
      <c r="A314" s="261">
        <v>302</v>
      </c>
      <c r="B314" s="262" t="s">
        <v>1910</v>
      </c>
      <c r="C314" s="263"/>
      <c r="D314" s="261" t="s">
        <v>1912</v>
      </c>
      <c r="E314" s="261" t="s">
        <v>1911</v>
      </c>
      <c r="F314" s="264">
        <v>45198</v>
      </c>
      <c r="G314" s="261" t="s">
        <v>1836</v>
      </c>
      <c r="H314" s="261" t="s">
        <v>1641</v>
      </c>
      <c r="I314" s="262">
        <v>45236</v>
      </c>
      <c r="J314" s="262" t="s">
        <v>396</v>
      </c>
      <c r="K314" s="261" t="s">
        <v>2131</v>
      </c>
      <c r="L314" s="261" t="s">
        <v>1659</v>
      </c>
      <c r="M314" s="262" t="s">
        <v>1802</v>
      </c>
      <c r="N314" s="261" t="s">
        <v>357</v>
      </c>
      <c r="O314" s="261" t="s">
        <v>2034</v>
      </c>
      <c r="P314" s="261"/>
      <c r="Q314" s="261"/>
      <c r="R314" s="261"/>
      <c r="S314" s="261"/>
      <c r="T314" s="261"/>
      <c r="U314" s="261"/>
      <c r="V314" s="261" t="s">
        <v>100</v>
      </c>
      <c r="W314" s="261" t="s">
        <v>119</v>
      </c>
      <c r="X314" s="261" t="s">
        <v>111</v>
      </c>
      <c r="Y314" s="261" t="str">
        <f ca="1">IF(I314&lt;&gt;"",IF(I314&lt;=TODAY(),IF(OR(N314="REPROGRAMADA",N314="SUSPENDIDA",N314="EXCLUSION",N314="COLEGIADO"),"NO HECHA",IF(N314=" ","SINRESULTADO","SI")),"NO"),IF(N314="EXCLUSION","NO HECHA","LIMBO"))</f>
        <v>SI</v>
      </c>
      <c r="Z314" s="261" t="str">
        <f>IF($Z$1=I314,"DIASOL", "DIANOSOL")</f>
        <v>DIANOSOL</v>
      </c>
      <c r="AA314" s="261" t="s">
        <v>240</v>
      </c>
      <c r="AB314" s="261" t="s">
        <v>1913</v>
      </c>
      <c r="AC314" s="261" t="str">
        <f>IF(H314=$M$1,"SI","NO")</f>
        <v>NO</v>
      </c>
      <c r="AD314" s="261"/>
      <c r="AE314" s="264">
        <v>45198</v>
      </c>
      <c r="AF314" s="261"/>
      <c r="AG314" s="261" t="str">
        <f>IF(COUNTIF(C314,"*preso*")&gt;0,"SI","NO")</f>
        <v>NO</v>
      </c>
      <c r="AH314" s="258">
        <f>NroOrden(N314)</f>
        <v>50</v>
      </c>
      <c r="AI314" s="261"/>
      <c r="AJ314" s="259" t="str">
        <f ca="1">IF(OR(Y314="NO",Y314="LIMBO"),"IMP","NOIMP")</f>
        <v>NOIMP</v>
      </c>
    </row>
    <row r="315" spans="1:36" ht="39.950000000000003" customHeight="1">
      <c r="A315" s="159">
        <v>396</v>
      </c>
      <c r="B315" s="160" t="s">
        <v>1546</v>
      </c>
      <c r="C315" s="208"/>
      <c r="D315" s="159" t="s">
        <v>1547</v>
      </c>
      <c r="E315" s="159" t="s">
        <v>1548</v>
      </c>
      <c r="F315" s="159" t="s">
        <v>1550</v>
      </c>
      <c r="G315" s="159"/>
      <c r="H315" s="159" t="s">
        <v>1640</v>
      </c>
      <c r="I315" s="160">
        <v>45236</v>
      </c>
      <c r="J315" s="160" t="s">
        <v>396</v>
      </c>
      <c r="K315" s="159" t="s">
        <v>362</v>
      </c>
      <c r="L315" s="159" t="s">
        <v>1658</v>
      </c>
      <c r="M315" s="160" t="s">
        <v>328</v>
      </c>
      <c r="N315" s="159" t="s">
        <v>356</v>
      </c>
      <c r="O315" s="159" t="s">
        <v>2034</v>
      </c>
      <c r="P315" s="159" t="s">
        <v>2430</v>
      </c>
      <c r="Q315" s="159" t="s">
        <v>240</v>
      </c>
      <c r="R315" s="159"/>
      <c r="S315" s="159"/>
      <c r="T315" s="159"/>
      <c r="U315" s="159"/>
      <c r="V315" s="159" t="s">
        <v>184</v>
      </c>
      <c r="W315" s="159" t="s">
        <v>133</v>
      </c>
      <c r="X315" s="159" t="s">
        <v>111</v>
      </c>
      <c r="Y315" s="159" t="str">
        <f ca="1">IF(I315&lt;&gt;"",IF(I315&lt;=TODAY(),IF(OR(N315="REPROGRAMADA",N315="SUSPENDIDA",N315="EXCLUSION",N315="COLEGIADO"),"NO HECHA",IF(N315=" ","SINRESULTADO","SI")),"NO"),IF(N315="EXCLUSION","NO HECHA","LIMBO"))</f>
        <v>SI</v>
      </c>
      <c r="Z315" s="159" t="str">
        <f>IF($Z$1=I315,"DIASOL", "DIANOSOL")</f>
        <v>DIANOSOL</v>
      </c>
      <c r="AA315" s="159" t="s">
        <v>240</v>
      </c>
      <c r="AB315" s="256"/>
      <c r="AC315" s="159" t="str">
        <f>IF(H315=$M$1,"SI","NO")</f>
        <v>NO</v>
      </c>
      <c r="AD315" s="159"/>
      <c r="AE315" s="159">
        <v>45163</v>
      </c>
      <c r="AF315" s="159"/>
      <c r="AG315" s="159" t="str">
        <f>IF(COUNTIF(C315,"*preso*")&gt;0,"SI","NO")</f>
        <v>NO</v>
      </c>
      <c r="AH315" s="254">
        <f>NroOrden(N315)</f>
        <v>50</v>
      </c>
      <c r="AI315" s="159"/>
      <c r="AJ315" s="184" t="str">
        <f ca="1">IF(OR(Y315="NO",Y315="LIMBO"),"IMP","NOIMP")</f>
        <v>NOIMP</v>
      </c>
    </row>
    <row r="316" spans="1:36" ht="86.25" customHeight="1">
      <c r="A316" s="159">
        <v>187</v>
      </c>
      <c r="B316" s="160" t="s">
        <v>1354</v>
      </c>
      <c r="C316" s="208"/>
      <c r="D316" s="159" t="s">
        <v>1355</v>
      </c>
      <c r="E316" s="159" t="s">
        <v>1356</v>
      </c>
      <c r="F316" s="256">
        <v>45145</v>
      </c>
      <c r="G316" s="159" t="s">
        <v>1274</v>
      </c>
      <c r="H316" s="159" t="s">
        <v>1640</v>
      </c>
      <c r="I316" s="160">
        <v>45237</v>
      </c>
      <c r="J316" s="160" t="s">
        <v>282</v>
      </c>
      <c r="K316" s="159" t="s">
        <v>362</v>
      </c>
      <c r="L316" s="159" t="s">
        <v>1658</v>
      </c>
      <c r="M316" s="160" t="s">
        <v>330</v>
      </c>
      <c r="N316" s="159" t="s">
        <v>355</v>
      </c>
      <c r="O316" s="159" t="s">
        <v>2034</v>
      </c>
      <c r="P316" s="159" t="s">
        <v>2456</v>
      </c>
      <c r="Q316" s="159" t="s">
        <v>111</v>
      </c>
      <c r="R316" s="159"/>
      <c r="S316" s="159"/>
      <c r="T316" s="159"/>
      <c r="U316" s="159"/>
      <c r="V316" s="159" t="s">
        <v>184</v>
      </c>
      <c r="W316" s="159" t="s">
        <v>134</v>
      </c>
      <c r="X316" s="159" t="s">
        <v>111</v>
      </c>
      <c r="Y316" s="159" t="str">
        <f ca="1">IF(I316&lt;&gt;"",IF(I316&lt;=TODAY(),IF(OR(N316="REPROGRAMADA",N316="SUSPENDIDA",N316="EXCLUSION",N316="COLEGIADO"),"NO HECHA",IF(N316=" ","SINRESULTADO","SI")),"NO"),IF(N316="EXCLUSION","NO HECHA","LIMBO"))</f>
        <v>SI</v>
      </c>
      <c r="Z316" s="159" t="str">
        <f>IF($Z$1=I316,"DIASOL", "DIANOSOL")</f>
        <v>DIANOSOL</v>
      </c>
      <c r="AA316" s="159" t="s">
        <v>240</v>
      </c>
      <c r="AB316" s="272" t="s">
        <v>1357</v>
      </c>
      <c r="AC316" s="159" t="str">
        <f>IF(H316=$M$1,"SI","NO")</f>
        <v>NO</v>
      </c>
      <c r="AD316" s="159"/>
      <c r="AE316" s="159"/>
      <c r="AF316" s="159"/>
      <c r="AG316" s="159" t="str">
        <f>IF(COUNTIF(C316,"*preso*")&gt;0,"SI","NO")</f>
        <v>NO</v>
      </c>
      <c r="AH316" s="254">
        <f>NroOrden(N316)</f>
        <v>50</v>
      </c>
      <c r="AI316" s="159"/>
      <c r="AJ316" s="184" t="str">
        <f ca="1">IF(OR(Y316="NO",Y316="LIMBO"),"IMP","NOIMP")</f>
        <v>NOIMP</v>
      </c>
    </row>
    <row r="317" spans="1:36" ht="108" customHeight="1">
      <c r="A317" s="159">
        <v>122</v>
      </c>
      <c r="B317" s="160" t="s">
        <v>1002</v>
      </c>
      <c r="C317" s="208"/>
      <c r="D317" s="159" t="s">
        <v>1003</v>
      </c>
      <c r="E317" s="159" t="s">
        <v>481</v>
      </c>
      <c r="F317" s="159"/>
      <c r="G317" s="159" t="s">
        <v>1004</v>
      </c>
      <c r="H317" s="159" t="s">
        <v>1643</v>
      </c>
      <c r="I317" s="160">
        <v>45237</v>
      </c>
      <c r="J317" s="160" t="s">
        <v>1417</v>
      </c>
      <c r="K317" s="159" t="s">
        <v>363</v>
      </c>
      <c r="L317" s="159" t="s">
        <v>1658</v>
      </c>
      <c r="M317" s="160" t="s">
        <v>330</v>
      </c>
      <c r="N317" s="159" t="s">
        <v>355</v>
      </c>
      <c r="O317" s="159" t="s">
        <v>2034</v>
      </c>
      <c r="P317" s="159" t="s">
        <v>2458</v>
      </c>
      <c r="Q317" s="159" t="s">
        <v>111</v>
      </c>
      <c r="R317" s="159"/>
      <c r="S317" s="159"/>
      <c r="T317" s="159"/>
      <c r="U317" s="159"/>
      <c r="V317" s="159" t="s">
        <v>339</v>
      </c>
      <c r="W317" s="159" t="s">
        <v>134</v>
      </c>
      <c r="X317" s="159" t="s">
        <v>111</v>
      </c>
      <c r="Y317" s="159" t="str">
        <f ca="1">IF(I317&lt;&gt;"",IF(I317&lt;=TODAY(),IF(OR(N317="REPROGRAMADA",N317="SUSPENDIDA",N317="EXCLUSION",N317="COLEGIADO"),"NO HECHA",IF(N317=" ","SINRESULTADO","SI")),"NO"),IF(N317="EXCLUSION","NO HECHA","LIMBO"))</f>
        <v>SI</v>
      </c>
      <c r="Z317" s="159" t="str">
        <f>IF($Z$1=I317,"DIASOL", "DIANOSOL")</f>
        <v>DIANOSOL</v>
      </c>
      <c r="AA317" s="159" t="s">
        <v>240</v>
      </c>
      <c r="AB317" s="159" t="s">
        <v>1005</v>
      </c>
      <c r="AC317" s="159" t="str">
        <f>IF(H317=$M$1,"SI","NO")</f>
        <v>SI</v>
      </c>
      <c r="AD317" s="159"/>
      <c r="AE317" s="159"/>
      <c r="AF317" s="159"/>
      <c r="AG317" s="159" t="str">
        <f>IF(COUNTIF(C317,"*preso*")&gt;0,"SI","NO")</f>
        <v>NO</v>
      </c>
      <c r="AH317" s="254">
        <f>NroOrden(N317)</f>
        <v>50</v>
      </c>
      <c r="AI317" s="159"/>
      <c r="AJ317" s="184" t="str">
        <f ca="1">IF(OR(Y317="NO",Y317="LIMBO"),"IMP","NOIMP")</f>
        <v>NOIMP</v>
      </c>
    </row>
    <row r="318" spans="1:36" ht="39.950000000000003" customHeight="1">
      <c r="A318" s="159">
        <v>342</v>
      </c>
      <c r="B318" s="160" t="s">
        <v>1042</v>
      </c>
      <c r="C318" s="208"/>
      <c r="D318" s="159" t="s">
        <v>1043</v>
      </c>
      <c r="E318" s="159" t="s">
        <v>1044</v>
      </c>
      <c r="F318" s="159"/>
      <c r="G318" s="159"/>
      <c r="H318" s="159" t="s">
        <v>1639</v>
      </c>
      <c r="I318" s="160">
        <v>45237</v>
      </c>
      <c r="J318" s="160" t="s">
        <v>960</v>
      </c>
      <c r="K318" s="159" t="s">
        <v>362</v>
      </c>
      <c r="L318" s="159" t="s">
        <v>1659</v>
      </c>
      <c r="M318" s="160" t="s">
        <v>328</v>
      </c>
      <c r="N318" s="159" t="s">
        <v>355</v>
      </c>
      <c r="O318" s="159" t="s">
        <v>2034</v>
      </c>
      <c r="P318" s="159" t="s">
        <v>2457</v>
      </c>
      <c r="Q318" s="159" t="s">
        <v>240</v>
      </c>
      <c r="R318" s="159"/>
      <c r="S318" s="159"/>
      <c r="T318" s="159"/>
      <c r="U318" s="159"/>
      <c r="V318" s="159" t="s">
        <v>182</v>
      </c>
      <c r="W318" s="159" t="s">
        <v>1046</v>
      </c>
      <c r="X318" s="159" t="s">
        <v>111</v>
      </c>
      <c r="Y318" s="159" t="str">
        <f ca="1">IF(I318&lt;&gt;"",IF(I318&lt;=TODAY(),IF(OR(N318="REPROGRAMADA",N318="SUSPENDIDA",N318="EXCLUSION",N318="COLEGIADO"),"NO HECHA",IF(N318=" ","SINRESULTADO","SI")),"NO"),IF(N318="EXCLUSION","NO HECHA","LIMBO"))</f>
        <v>SI</v>
      </c>
      <c r="Z318" s="159" t="str">
        <f>IF($Z$1=I318,"DIASOL", "DIANOSOL")</f>
        <v>DIANOSOL</v>
      </c>
      <c r="AA318" s="159" t="s">
        <v>240</v>
      </c>
      <c r="AB318" s="256"/>
      <c r="AC318" s="159" t="str">
        <f>IF(H318=$M$1,"SI","NO")</f>
        <v>NO</v>
      </c>
      <c r="AD318" s="159"/>
      <c r="AE318" s="159"/>
      <c r="AF318" s="159"/>
      <c r="AG318" s="159" t="str">
        <f>IF(COUNTIF(C318,"*preso*")&gt;0,"SI","NO")</f>
        <v>NO</v>
      </c>
      <c r="AH318" s="254">
        <f>NroOrden(N318)</f>
        <v>50</v>
      </c>
      <c r="AI318" s="159" t="s">
        <v>1442</v>
      </c>
      <c r="AJ318" s="184" t="str">
        <f ca="1">IF(OR(Y318="NO",Y318="LIMBO"),"IMP","NOIMP")</f>
        <v>NOIMP</v>
      </c>
    </row>
    <row r="319" spans="1:36" ht="39.950000000000003" customHeight="1">
      <c r="A319" s="159">
        <v>316</v>
      </c>
      <c r="B319" s="160" t="s">
        <v>1975</v>
      </c>
      <c r="C319" s="208"/>
      <c r="D319" s="159" t="s">
        <v>1976</v>
      </c>
      <c r="E319" s="159" t="s">
        <v>1987</v>
      </c>
      <c r="F319" s="256">
        <v>45202</v>
      </c>
      <c r="G319" s="159" t="s">
        <v>1836</v>
      </c>
      <c r="H319" s="159" t="s">
        <v>1644</v>
      </c>
      <c r="I319" s="160">
        <v>45237</v>
      </c>
      <c r="J319" s="160" t="s">
        <v>309</v>
      </c>
      <c r="K319" s="159" t="s">
        <v>362</v>
      </c>
      <c r="L319" s="159" t="s">
        <v>1659</v>
      </c>
      <c r="M319" s="160" t="s">
        <v>330</v>
      </c>
      <c r="N319" s="159" t="s">
        <v>357</v>
      </c>
      <c r="O319" s="159" t="s">
        <v>2034</v>
      </c>
      <c r="P319" s="159" t="s">
        <v>2596</v>
      </c>
      <c r="Q319" s="159"/>
      <c r="R319" s="159"/>
      <c r="S319" s="159"/>
      <c r="T319" s="159"/>
      <c r="U319" s="159"/>
      <c r="V319" s="159" t="s">
        <v>1275</v>
      </c>
      <c r="W319" s="159" t="s">
        <v>111</v>
      </c>
      <c r="X319" s="159" t="s">
        <v>111</v>
      </c>
      <c r="Y319" s="159" t="str">
        <f ca="1">IF(I319&lt;&gt;"",IF(I319&lt;=TODAY(),IF(OR(N319="REPROGRAMADA",N319="SUSPENDIDA",N319="EXCLUSION",N319="COLEGIADO"),"NO HECHA",IF(N319=" ","SINRESULTADO","SI")),"NO"),IF(N319="EXCLUSION","NO HECHA","LIMBO"))</f>
        <v>SI</v>
      </c>
      <c r="Z319" s="159" t="str">
        <f>IF($Z$1=I319,"DIASOL", "DIANOSOL")</f>
        <v>DIANOSOL</v>
      </c>
      <c r="AA319" s="159" t="s">
        <v>240</v>
      </c>
      <c r="AB319" s="159" t="s">
        <v>1988</v>
      </c>
      <c r="AC319" s="159" t="str">
        <f>IF(H319=$M$1,"SI","NO")</f>
        <v>NO</v>
      </c>
      <c r="AD319" s="159"/>
      <c r="AE319" s="256">
        <v>45202</v>
      </c>
      <c r="AF319" s="159"/>
      <c r="AG319" s="159" t="str">
        <f>IF(COUNTIF(C319,"*preso*")&gt;0,"SI","NO")</f>
        <v>NO</v>
      </c>
      <c r="AH319" s="254">
        <f>NroOrden(N319)</f>
        <v>50</v>
      </c>
      <c r="AI319" s="159"/>
      <c r="AJ319" s="184" t="str">
        <f ca="1">IF(OR(Y319="NO",Y319="LIMBO"),"IMP","NOIMP")</f>
        <v>NOIMP</v>
      </c>
    </row>
    <row r="320" spans="1:36" ht="51">
      <c r="A320" s="159">
        <v>314</v>
      </c>
      <c r="B320" s="160" t="s">
        <v>1967</v>
      </c>
      <c r="C320" s="208"/>
      <c r="D320" s="159" t="s">
        <v>1969</v>
      </c>
      <c r="E320" s="159" t="s">
        <v>1971</v>
      </c>
      <c r="F320" s="256">
        <v>45202</v>
      </c>
      <c r="G320" s="159" t="s">
        <v>1836</v>
      </c>
      <c r="H320" s="159" t="s">
        <v>1642</v>
      </c>
      <c r="I320" s="160">
        <v>45238</v>
      </c>
      <c r="J320" s="160" t="s">
        <v>1999</v>
      </c>
      <c r="K320" s="159" t="s">
        <v>1827</v>
      </c>
      <c r="L320" s="159" t="s">
        <v>1658</v>
      </c>
      <c r="M320" s="160" t="s">
        <v>1807</v>
      </c>
      <c r="N320" s="159" t="s">
        <v>1387</v>
      </c>
      <c r="O320" s="159" t="s">
        <v>2035</v>
      </c>
      <c r="P320" s="159" t="s">
        <v>2579</v>
      </c>
      <c r="Q320" s="159"/>
      <c r="R320" s="159"/>
      <c r="S320" s="159"/>
      <c r="T320" s="159"/>
      <c r="U320" s="159"/>
      <c r="V320" s="159" t="s">
        <v>913</v>
      </c>
      <c r="W320" s="159" t="s">
        <v>111</v>
      </c>
      <c r="X320" s="159" t="s">
        <v>111</v>
      </c>
      <c r="Y320" s="159" t="str">
        <f ca="1">IF(I320&lt;&gt;"",IF(I320&lt;=TODAY(),IF(OR(N320="REPROGRAMADA",N320="SUSPENDIDA",N320="EXCLUSION",N320="COLEGIADO"),"NO HECHA",IF(N320=" ","SINRESULTADO","SI")),"NO"),IF(N320="EXCLUSION","NO HECHA","LIMBO"))</f>
        <v>SI</v>
      </c>
      <c r="Z320" s="159" t="str">
        <f>IF($Z$1=I320,"DIASOL", "DIANOSOL")</f>
        <v>DIANOSOL</v>
      </c>
      <c r="AA320" s="159" t="s">
        <v>240</v>
      </c>
      <c r="AB320" s="159" t="s">
        <v>1972</v>
      </c>
      <c r="AC320" s="159" t="str">
        <f>IF(H320=$M$1,"SI","NO")</f>
        <v>NO</v>
      </c>
      <c r="AD320" s="159"/>
      <c r="AE320" s="256">
        <v>45202</v>
      </c>
      <c r="AF320" s="159"/>
      <c r="AG320" s="159" t="str">
        <f>IF(COUNTIF(C320,"*preso*")&gt;0,"SI","NO")</f>
        <v>NO</v>
      </c>
      <c r="AH320" s="254">
        <f>NroOrden(N320)</f>
        <v>50</v>
      </c>
      <c r="AI320" s="159" t="s">
        <v>2481</v>
      </c>
      <c r="AJ320" s="184" t="str">
        <f ca="1">IF(OR(Y320="NO",Y320="LIMBO"),"IMP","NOIMP")</f>
        <v>NOIMP</v>
      </c>
    </row>
    <row r="321" spans="1:36" ht="25.5">
      <c r="A321" s="159">
        <v>189</v>
      </c>
      <c r="B321" s="160" t="s">
        <v>1362</v>
      </c>
      <c r="C321" s="208"/>
      <c r="D321" s="159" t="s">
        <v>1363</v>
      </c>
      <c r="E321" s="159" t="s">
        <v>1364</v>
      </c>
      <c r="F321" s="256">
        <v>45149</v>
      </c>
      <c r="G321" s="159" t="s">
        <v>1344</v>
      </c>
      <c r="H321" s="159" t="s">
        <v>1644</v>
      </c>
      <c r="I321" s="160">
        <v>45238</v>
      </c>
      <c r="J321" s="160" t="s">
        <v>1417</v>
      </c>
      <c r="K321" s="159" t="s">
        <v>1827</v>
      </c>
      <c r="L321" s="159" t="s">
        <v>1658</v>
      </c>
      <c r="M321" s="160" t="s">
        <v>331</v>
      </c>
      <c r="N321" s="159" t="s">
        <v>359</v>
      </c>
      <c r="O321" s="159" t="s">
        <v>2034</v>
      </c>
      <c r="P321" s="159"/>
      <c r="Q321" s="159" t="s">
        <v>111</v>
      </c>
      <c r="R321" s="159"/>
      <c r="S321" s="159"/>
      <c r="T321" s="159"/>
      <c r="U321" s="159"/>
      <c r="V321" s="159" t="s">
        <v>346</v>
      </c>
      <c r="W321" s="159" t="s">
        <v>116</v>
      </c>
      <c r="X321" s="159" t="s">
        <v>111</v>
      </c>
      <c r="Y321" s="159" t="str">
        <f ca="1">IF(I321&lt;&gt;"",IF(I321&lt;=TODAY(),IF(OR(N321="REPROGRAMADA",N321="SUSPENDIDA",N321="EXCLUSION",N321="COLEGIADO"),"NO HECHA",IF(N321=" ","SINRESULTADO","SI")),"NO"),IF(N321="EXCLUSION","NO HECHA","LIMBO"))</f>
        <v>SI</v>
      </c>
      <c r="Z321" s="159" t="str">
        <f>IF($Z$1=I321,"DIASOL", "DIANOSOL")</f>
        <v>DIANOSOL</v>
      </c>
      <c r="AA321" s="159" t="s">
        <v>240</v>
      </c>
      <c r="AB321" s="272" t="s">
        <v>1365</v>
      </c>
      <c r="AC321" s="159" t="str">
        <f>IF(H321=$M$1,"SI","NO")</f>
        <v>NO</v>
      </c>
      <c r="AD321" s="159"/>
      <c r="AE321" s="159"/>
      <c r="AF321" s="159"/>
      <c r="AG321" s="159" t="str">
        <f>IF(COUNTIF(C321,"*preso*")&gt;0,"SI","NO")</f>
        <v>NO</v>
      </c>
      <c r="AH321" s="254">
        <f>NroOrden(N321)</f>
        <v>50</v>
      </c>
      <c r="AI321" s="159"/>
      <c r="AJ321" s="184" t="str">
        <f ca="1">IF(OR(Y321="NO",Y321="LIMBO"),"IMP","NOIMP")</f>
        <v>NOIMP</v>
      </c>
    </row>
    <row r="322" spans="1:36" ht="39.950000000000003" customHeight="1">
      <c r="A322" s="142">
        <v>301</v>
      </c>
      <c r="B322" s="143" t="s">
        <v>1906</v>
      </c>
      <c r="C322" s="241"/>
      <c r="D322" s="142" t="s">
        <v>1907</v>
      </c>
      <c r="E322" s="142" t="s">
        <v>1908</v>
      </c>
      <c r="F322" s="271">
        <v>45198</v>
      </c>
      <c r="G322" s="142"/>
      <c r="H322" s="142"/>
      <c r="I322" s="143">
        <v>45238</v>
      </c>
      <c r="J322" s="143" t="s">
        <v>396</v>
      </c>
      <c r="K322" s="142" t="s">
        <v>1938</v>
      </c>
      <c r="L322" s="142" t="s">
        <v>1658</v>
      </c>
      <c r="M322" s="143" t="s">
        <v>1802</v>
      </c>
      <c r="N322" s="142" t="s">
        <v>357</v>
      </c>
      <c r="O322" s="142" t="s">
        <v>2034</v>
      </c>
      <c r="P322" s="142"/>
      <c r="Q322" s="142"/>
      <c r="R322" s="142"/>
      <c r="S322" s="142"/>
      <c r="T322" s="142"/>
      <c r="U322" s="142"/>
      <c r="V322" s="142" t="s">
        <v>189</v>
      </c>
      <c r="W322" s="142" t="s">
        <v>141</v>
      </c>
      <c r="X322" s="142" t="s">
        <v>111</v>
      </c>
      <c r="Y322" s="142" t="str">
        <f ca="1">IF(I322&lt;&gt;"",IF(I322&lt;=TODAY(),IF(OR(N322="REPROGRAMADA",N322="SUSPENDIDA",N322="EXCLUSION",N322="COLEGIADO"),"NO HECHA",IF(N322=" ","SINRESULTADO","SI")),"NO"),IF(N322="EXCLUSION","NO HECHA","LIMBO"))</f>
        <v>SI</v>
      </c>
      <c r="Z322" s="142" t="str">
        <f>IF($Z$1=I322,"DIASOL", "DIANOSOL")</f>
        <v>DIANOSOL</v>
      </c>
      <c r="AA322" s="142" t="s">
        <v>240</v>
      </c>
      <c r="AB322" s="142" t="s">
        <v>1909</v>
      </c>
      <c r="AC322" s="142" t="str">
        <f>IF(H322=$M$1,"SI","NO")</f>
        <v>NO</v>
      </c>
      <c r="AD322" s="142"/>
      <c r="AE322" s="271">
        <v>45198</v>
      </c>
      <c r="AF322" s="142"/>
      <c r="AG322" s="142" t="str">
        <f>IF(COUNTIF(C322,"*preso*")&gt;0,"SI","NO")</f>
        <v>NO</v>
      </c>
      <c r="AH322" s="258">
        <f>NroOrden(N322)</f>
        <v>50</v>
      </c>
      <c r="AI322" s="142"/>
      <c r="AJ322" s="259" t="str">
        <f ca="1">IF(OR(Y322="NO",Y322="LIMBO"),"IMP","NOIMP")</f>
        <v>NOIMP</v>
      </c>
    </row>
    <row r="323" spans="1:36" ht="39.950000000000003" customHeight="1">
      <c r="A323" s="159">
        <v>338</v>
      </c>
      <c r="B323" s="160" t="s">
        <v>2090</v>
      </c>
      <c r="C323" s="208"/>
      <c r="D323" s="159" t="s">
        <v>2095</v>
      </c>
      <c r="E323" s="159" t="s">
        <v>2096</v>
      </c>
      <c r="F323" s="256">
        <v>45208</v>
      </c>
      <c r="G323" s="159" t="s">
        <v>2103</v>
      </c>
      <c r="H323" s="159" t="s">
        <v>1638</v>
      </c>
      <c r="I323" s="160">
        <v>45239</v>
      </c>
      <c r="J323" s="160" t="s">
        <v>282</v>
      </c>
      <c r="K323" s="159" t="s">
        <v>362</v>
      </c>
      <c r="L323" s="159" t="s">
        <v>1658</v>
      </c>
      <c r="M323" s="160" t="s">
        <v>329</v>
      </c>
      <c r="N323" s="159" t="s">
        <v>355</v>
      </c>
      <c r="O323" s="159" t="s">
        <v>2034</v>
      </c>
      <c r="P323" s="159" t="s">
        <v>2580</v>
      </c>
      <c r="Q323" s="159" t="s">
        <v>240</v>
      </c>
      <c r="R323" s="159"/>
      <c r="S323" s="159"/>
      <c r="T323" s="159"/>
      <c r="U323" s="159"/>
      <c r="V323" s="159" t="s">
        <v>1127</v>
      </c>
      <c r="W323" s="159" t="s">
        <v>140</v>
      </c>
      <c r="X323" s="159"/>
      <c r="Y323" s="159" t="str">
        <f ca="1">IF(I323&lt;&gt;"",IF(I323&lt;=TODAY(),IF(OR(N323="REPROGRAMADA",N323="SUSPENDIDA",N323="EXCLUSION",N323="COLEGIADO"),"NO HECHA",IF(N323=" ","SINRESULTADO","SI")),"NO"),IF(N323="EXCLUSION","NO HECHA","LIMBO"))</f>
        <v>SI</v>
      </c>
      <c r="Z323" s="159" t="str">
        <f>IF($Z$1=I323,"DIASOL", "DIANOSOL")</f>
        <v>DIANOSOL</v>
      </c>
      <c r="AA323" s="159"/>
      <c r="AB323" s="159" t="s">
        <v>2097</v>
      </c>
      <c r="AC323" s="159" t="str">
        <f>IF(H323=$M$1,"SI","NO")</f>
        <v>NO</v>
      </c>
      <c r="AD323" s="159"/>
      <c r="AE323" s="256">
        <v>45208</v>
      </c>
      <c r="AF323" s="159"/>
      <c r="AG323" s="159" t="str">
        <f>IF(COUNTIF(C323,"*preso*")&gt;0,"SI","NO")</f>
        <v>NO</v>
      </c>
      <c r="AH323" s="254">
        <f>NroOrden(N323)</f>
        <v>50</v>
      </c>
      <c r="AI323" s="159"/>
      <c r="AJ323" s="184" t="str">
        <f ca="1">IF(OR(Y323="NO",Y323="LIMBO"),"IMP","NOIMP")</f>
        <v>NOIMP</v>
      </c>
    </row>
    <row r="324" spans="1:36" ht="39.950000000000003" customHeight="1">
      <c r="A324" s="159">
        <v>291</v>
      </c>
      <c r="B324" s="160" t="s">
        <v>1874</v>
      </c>
      <c r="C324" s="208"/>
      <c r="D324" s="159" t="s">
        <v>1875</v>
      </c>
      <c r="E324" s="159" t="s">
        <v>1876</v>
      </c>
      <c r="F324" s="256">
        <v>45195</v>
      </c>
      <c r="G324" s="159" t="s">
        <v>1836</v>
      </c>
      <c r="H324" s="159" t="s">
        <v>1639</v>
      </c>
      <c r="I324" s="160">
        <v>45239</v>
      </c>
      <c r="J324" s="160" t="s">
        <v>960</v>
      </c>
      <c r="K324" s="159" t="s">
        <v>364</v>
      </c>
      <c r="L324" s="159" t="s">
        <v>1659</v>
      </c>
      <c r="M324" s="160" t="s">
        <v>328</v>
      </c>
      <c r="N324" s="159" t="s">
        <v>357</v>
      </c>
      <c r="O324" s="159" t="s">
        <v>2034</v>
      </c>
      <c r="P324" s="159" t="s">
        <v>2581</v>
      </c>
      <c r="Q324" s="159"/>
      <c r="R324" s="159"/>
      <c r="S324" s="159"/>
      <c r="T324" s="159"/>
      <c r="U324" s="159"/>
      <c r="V324" s="159" t="s">
        <v>189</v>
      </c>
      <c r="W324" s="159" t="s">
        <v>116</v>
      </c>
      <c r="X324" s="159" t="s">
        <v>111</v>
      </c>
      <c r="Y324" s="159" t="str">
        <f ca="1">IF(I324&lt;&gt;"",IF(I324&lt;=TODAY(),IF(OR(N324="REPROGRAMADA",N324="SUSPENDIDA",N324="EXCLUSION",N324="COLEGIADO"),"NO HECHA",IF(N324=" ","SINRESULTADO","SI")),"NO"),IF(N324="EXCLUSION","NO HECHA","LIMBO"))</f>
        <v>SI</v>
      </c>
      <c r="Z324" s="159" t="str">
        <f>IF($Z$1=I324,"DIASOL", "DIANOSOL")</f>
        <v>DIANOSOL</v>
      </c>
      <c r="AA324" s="159" t="s">
        <v>240</v>
      </c>
      <c r="AB324" s="254" t="s">
        <v>1877</v>
      </c>
      <c r="AC324" s="159" t="str">
        <f>IF(H324=$M$1,"SI","NO")</f>
        <v>NO</v>
      </c>
      <c r="AD324" s="159"/>
      <c r="AE324" s="256">
        <v>45174</v>
      </c>
      <c r="AF324" s="159"/>
      <c r="AG324" s="159" t="str">
        <f>IF(COUNTIF(C324,"*preso*")&gt;0,"SI","NO")</f>
        <v>NO</v>
      </c>
      <c r="AH324" s="254">
        <f>NroOrden(N324)</f>
        <v>50</v>
      </c>
      <c r="AI324" s="159"/>
      <c r="AJ324" s="184" t="str">
        <f ca="1">IF(OR(Y324="NO",Y324="LIMBO"),"IMP","NOIMP")</f>
        <v>NOIMP</v>
      </c>
    </row>
    <row r="325" spans="1:36" ht="39.950000000000003" customHeight="1">
      <c r="A325" s="159">
        <v>148</v>
      </c>
      <c r="B325" s="160" t="s">
        <v>1134</v>
      </c>
      <c r="C325" s="208"/>
      <c r="D325" s="159" t="s">
        <v>1130</v>
      </c>
      <c r="E325" s="159" t="s">
        <v>672</v>
      </c>
      <c r="F325" s="159"/>
      <c r="G325" s="159" t="s">
        <v>1131</v>
      </c>
      <c r="H325" s="159" t="s">
        <v>1638</v>
      </c>
      <c r="I325" s="160">
        <v>45240</v>
      </c>
      <c r="J325" s="160" t="s">
        <v>282</v>
      </c>
      <c r="K325" s="159" t="s">
        <v>362</v>
      </c>
      <c r="L325" s="159" t="s">
        <v>1659</v>
      </c>
      <c r="M325" s="160" t="s">
        <v>330</v>
      </c>
      <c r="N325" s="159" t="s">
        <v>359</v>
      </c>
      <c r="O325" s="159" t="s">
        <v>2034</v>
      </c>
      <c r="P325" s="159"/>
      <c r="Q325" s="159" t="s">
        <v>111</v>
      </c>
      <c r="R325" s="159"/>
      <c r="S325" s="159"/>
      <c r="T325" s="159"/>
      <c r="U325" s="159"/>
      <c r="V325" s="159" t="s">
        <v>339</v>
      </c>
      <c r="W325" s="159" t="s">
        <v>1132</v>
      </c>
      <c r="X325" s="159" t="s">
        <v>111</v>
      </c>
      <c r="Y325" s="159" t="str">
        <f ca="1">IF(I325&lt;&gt;"",IF(I325&lt;=TODAY(),IF(OR(N325="REPROGRAMADA",N325="SUSPENDIDA",N325="EXCLUSION",N325="COLEGIADO"),"NO HECHA",IF(N325=" ","SINRESULTADO","SI")),"NO"),IF(N325="EXCLUSION","NO HECHA","LIMBO"))</f>
        <v>SI</v>
      </c>
      <c r="Z325" s="159" t="str">
        <f>IF($Z$1=I325,"DIASOL", "DIANOSOL")</f>
        <v>DIANOSOL</v>
      </c>
      <c r="AA325" s="159" t="s">
        <v>240</v>
      </c>
      <c r="AB325" s="159" t="s">
        <v>1133</v>
      </c>
      <c r="AC325" s="159" t="str">
        <f>IF(H325=$M$1,"SI","NO")</f>
        <v>NO</v>
      </c>
      <c r="AD325" s="159"/>
      <c r="AE325" s="159"/>
      <c r="AF325" s="159"/>
      <c r="AG325" s="159" t="str">
        <f>IF(COUNTIF(C325,"*preso*")&gt;0,"SI","NO")</f>
        <v>NO</v>
      </c>
      <c r="AH325" s="254">
        <f>NroOrden(N325)</f>
        <v>50</v>
      </c>
      <c r="AI325" s="159"/>
      <c r="AJ325" s="184" t="str">
        <f ca="1">IF(OR(Y325="NO",Y325="LIMBO"),"IMP","NOIMP")</f>
        <v>NOIMP</v>
      </c>
    </row>
    <row r="326" spans="1:36" ht="39.950000000000003" customHeight="1">
      <c r="A326" s="159">
        <v>317</v>
      </c>
      <c r="B326" s="160" t="s">
        <v>1977</v>
      </c>
      <c r="C326" s="208"/>
      <c r="D326" s="159" t="s">
        <v>1978</v>
      </c>
      <c r="E326" s="159" t="s">
        <v>1989</v>
      </c>
      <c r="F326" s="256">
        <v>45202</v>
      </c>
      <c r="G326" s="159" t="s">
        <v>1836</v>
      </c>
      <c r="H326" s="159" t="s">
        <v>1639</v>
      </c>
      <c r="I326" s="160">
        <v>45240</v>
      </c>
      <c r="J326" s="160" t="s">
        <v>960</v>
      </c>
      <c r="K326" s="159" t="s">
        <v>1826</v>
      </c>
      <c r="L326" s="159" t="s">
        <v>1658</v>
      </c>
      <c r="M326" s="160" t="s">
        <v>1750</v>
      </c>
      <c r="N326" s="159" t="s">
        <v>355</v>
      </c>
      <c r="O326" s="159" t="s">
        <v>2034</v>
      </c>
      <c r="P326" s="159"/>
      <c r="Q326" s="159"/>
      <c r="R326" s="159"/>
      <c r="S326" s="159"/>
      <c r="T326" s="159"/>
      <c r="U326" s="159"/>
      <c r="V326" s="159" t="s">
        <v>1127</v>
      </c>
      <c r="W326" s="159" t="s">
        <v>111</v>
      </c>
      <c r="X326" s="159" t="s">
        <v>111</v>
      </c>
      <c r="Y326" s="159" t="str">
        <f ca="1">IF(I326&lt;&gt;"",IF(I326&lt;=TODAY(),IF(OR(N326="REPROGRAMADA",N326="SUSPENDIDA",N326="EXCLUSION",N326="COLEGIADO"),"NO HECHA",IF(N326=" ","SINRESULTADO","SI")),"NO"),IF(N326="EXCLUSION","NO HECHA","LIMBO"))</f>
        <v>SI</v>
      </c>
      <c r="Z326" s="159" t="str">
        <f>IF($Z$1=I326,"DIASOL", "DIANOSOL")</f>
        <v>DIANOSOL</v>
      </c>
      <c r="AA326" s="159" t="s">
        <v>240</v>
      </c>
      <c r="AB326" s="159" t="s">
        <v>1990</v>
      </c>
      <c r="AC326" s="159" t="str">
        <f>IF(H326=$M$1,"SI","NO")</f>
        <v>NO</v>
      </c>
      <c r="AD326" s="159"/>
      <c r="AE326" s="256">
        <v>45202</v>
      </c>
      <c r="AF326" s="159"/>
      <c r="AG326" s="159" t="str">
        <f>IF(COUNTIF(C326,"*preso*")&gt;0,"SI","NO")</f>
        <v>NO</v>
      </c>
      <c r="AH326" s="254">
        <f>NroOrden(N326)</f>
        <v>50</v>
      </c>
      <c r="AI326" s="159"/>
      <c r="AJ326" s="184" t="str">
        <f ca="1">IF(OR(Y326="NO",Y326="LIMBO"),"IMP","NOIMP")</f>
        <v>NOIMP</v>
      </c>
    </row>
    <row r="327" spans="1:36" ht="39.950000000000003" customHeight="1">
      <c r="A327" s="261">
        <v>231</v>
      </c>
      <c r="B327" s="262" t="s">
        <v>1593</v>
      </c>
      <c r="C327" s="263" t="s">
        <v>1472</v>
      </c>
      <c r="D327" s="261" t="s">
        <v>1594</v>
      </c>
      <c r="E327" s="261" t="s">
        <v>885</v>
      </c>
      <c r="F327" s="264">
        <v>45174</v>
      </c>
      <c r="G327" s="261" t="s">
        <v>1600</v>
      </c>
      <c r="H327" s="261" t="s">
        <v>1642</v>
      </c>
      <c r="I327" s="262">
        <v>45240</v>
      </c>
      <c r="J327" s="262" t="s">
        <v>1667</v>
      </c>
      <c r="K327" s="261" t="s">
        <v>362</v>
      </c>
      <c r="L327" s="144" t="s">
        <v>1659</v>
      </c>
      <c r="M327" s="262" t="s">
        <v>330</v>
      </c>
      <c r="N327" s="261" t="s">
        <v>357</v>
      </c>
      <c r="O327" s="261" t="s">
        <v>2034</v>
      </c>
      <c r="P327" s="261"/>
      <c r="Q327" s="261" t="s">
        <v>111</v>
      </c>
      <c r="R327" s="261"/>
      <c r="S327" s="261" t="s">
        <v>1413</v>
      </c>
      <c r="T327" s="261" t="s">
        <v>1947</v>
      </c>
      <c r="U327" s="261" t="s">
        <v>1596</v>
      </c>
      <c r="V327" s="261" t="s">
        <v>192</v>
      </c>
      <c r="W327" s="261" t="s">
        <v>119</v>
      </c>
      <c r="X327" s="261" t="s">
        <v>111</v>
      </c>
      <c r="Y327" s="261" t="str">
        <f ca="1">IF(I327&lt;&gt;"",IF(I327&lt;=TODAY(),IF(OR(N327="REPROGRAMADA",N327="SUSPENDIDA",N327="EXCLUSION",N327="COLEGIADO"),"NO HECHA",IF(N327=" ","SINRESULTADO","SI")),"NO"),IF(N327="EXCLUSION","NO HECHA","LIMBO"))</f>
        <v>SI</v>
      </c>
      <c r="Z327" s="261" t="str">
        <f>IF($Z$1=I327,"DIASOL", "DIANOSOL")</f>
        <v>DIANOSOL</v>
      </c>
      <c r="AA327" s="261" t="s">
        <v>240</v>
      </c>
      <c r="AB327" s="261" t="s">
        <v>1595</v>
      </c>
      <c r="AC327" s="261" t="str">
        <f>IF(H327=$M$1,"SI","NO")</f>
        <v>NO</v>
      </c>
      <c r="AD327" s="261"/>
      <c r="AE327" s="264">
        <v>45170</v>
      </c>
      <c r="AF327" s="261"/>
      <c r="AG327" s="261" t="str">
        <f>IF(COUNTIF(C327,"*preso*")&gt;0,"SI","NO")</f>
        <v>SI</v>
      </c>
      <c r="AH327" s="258">
        <f>NroOrden(N327)</f>
        <v>50</v>
      </c>
      <c r="AI327" s="261"/>
      <c r="AJ327" s="259" t="str">
        <f ca="1">IF(OR(Y327="NO",Y327="LIMBO"),"IMP","NOIMP")</f>
        <v>NOIMP</v>
      </c>
    </row>
    <row r="328" spans="1:36" ht="39.950000000000003" customHeight="1">
      <c r="A328" s="159">
        <v>340</v>
      </c>
      <c r="B328" s="160" t="s">
        <v>2093</v>
      </c>
      <c r="C328" s="208"/>
      <c r="D328" s="159" t="s">
        <v>2241</v>
      </c>
      <c r="E328" s="159" t="s">
        <v>2108</v>
      </c>
      <c r="F328" s="256">
        <v>45209</v>
      </c>
      <c r="G328" s="159" t="s">
        <v>2242</v>
      </c>
      <c r="H328" s="159" t="s">
        <v>1643</v>
      </c>
      <c r="I328" s="160">
        <v>45243</v>
      </c>
      <c r="J328" s="160" t="s">
        <v>960</v>
      </c>
      <c r="K328" s="159" t="s">
        <v>1938</v>
      </c>
      <c r="L328" s="159" t="s">
        <v>1658</v>
      </c>
      <c r="M328" s="160" t="s">
        <v>1802</v>
      </c>
      <c r="N328" s="159" t="s">
        <v>355</v>
      </c>
      <c r="O328" s="159" t="s">
        <v>2034</v>
      </c>
      <c r="P328" s="159"/>
      <c r="Q328" s="159" t="s">
        <v>240</v>
      </c>
      <c r="R328" s="159"/>
      <c r="S328" s="159"/>
      <c r="T328" s="159"/>
      <c r="U328" s="159"/>
      <c r="V328" s="159" t="s">
        <v>183</v>
      </c>
      <c r="W328" s="159" t="s">
        <v>133</v>
      </c>
      <c r="X328" s="159"/>
      <c r="Y328" s="159" t="str">
        <f ca="1">IF(I328&lt;&gt;"",IF(I328&lt;=TODAY(),IF(OR(N328="REPROGRAMADA",N328="SUSPENDIDA",N328="EXCLUSION",N328="COLEGIADO"),"NO HECHA",IF(N328=" ","SINRESULTADO","SI")),"NO"),IF(N328="EXCLUSION","NO HECHA","LIMBO"))</f>
        <v>SI</v>
      </c>
      <c r="Z328" s="159" t="str">
        <f>IF($Z$1=I328,"DIASOL", "DIANOSOL")</f>
        <v>DIANOSOL</v>
      </c>
      <c r="AA328" s="159"/>
      <c r="AB328" s="159" t="s">
        <v>2107</v>
      </c>
      <c r="AC328" s="159" t="str">
        <f>IF(H328=$M$1,"SI","NO")</f>
        <v>SI</v>
      </c>
      <c r="AD328" s="159"/>
      <c r="AE328" s="256">
        <v>45209</v>
      </c>
      <c r="AF328" s="159"/>
      <c r="AG328" s="159" t="str">
        <f>IF(COUNTIF(C328,"*preso*")&gt;0,"SI","NO")</f>
        <v>NO</v>
      </c>
      <c r="AH328" s="254">
        <f>NroOrden(N328)</f>
        <v>50</v>
      </c>
      <c r="AI328" s="159"/>
      <c r="AJ328" s="184" t="str">
        <f ca="1">IF(OR(Y328="NO",Y328="LIMBO"),"IMP","NOIMP")</f>
        <v>NOIMP</v>
      </c>
    </row>
    <row r="329" spans="1:36" ht="66" customHeight="1">
      <c r="A329" s="159">
        <v>304</v>
      </c>
      <c r="B329" s="160" t="s">
        <v>1918</v>
      </c>
      <c r="C329" s="208"/>
      <c r="D329" s="159" t="s">
        <v>1919</v>
      </c>
      <c r="E329" s="159" t="s">
        <v>1920</v>
      </c>
      <c r="F329" s="256">
        <v>45201</v>
      </c>
      <c r="G329" s="159" t="s">
        <v>1836</v>
      </c>
      <c r="H329" s="159" t="s">
        <v>1639</v>
      </c>
      <c r="I329" s="160">
        <v>45245</v>
      </c>
      <c r="J329" s="160" t="s">
        <v>309</v>
      </c>
      <c r="K329" s="159" t="s">
        <v>1674</v>
      </c>
      <c r="L329" s="159" t="s">
        <v>1658</v>
      </c>
      <c r="M329" s="160" t="s">
        <v>333</v>
      </c>
      <c r="N329" s="159" t="s">
        <v>359</v>
      </c>
      <c r="O329" s="159" t="s">
        <v>2034</v>
      </c>
      <c r="P329" s="159" t="s">
        <v>2587</v>
      </c>
      <c r="Q329" s="159"/>
      <c r="R329" s="159"/>
      <c r="S329" s="159"/>
      <c r="T329" s="159"/>
      <c r="U329" s="159"/>
      <c r="V329" s="159" t="s">
        <v>184</v>
      </c>
      <c r="W329" s="159" t="s">
        <v>118</v>
      </c>
      <c r="X329" s="159" t="s">
        <v>111</v>
      </c>
      <c r="Y329" s="159" t="str">
        <f ca="1">IF(I329&lt;&gt;"",IF(I329&lt;=TODAY(),IF(OR(N329="REPROGRAMADA",N329="SUSPENDIDA",N329="EXCLUSION",N329="COLEGIADO"),"NO HECHA",IF(N329=" ","SINRESULTADO","SI")),"NO"),IF(N329="EXCLUSION","NO HECHA","LIMBO"))</f>
        <v>SI</v>
      </c>
      <c r="Z329" s="159" t="str">
        <f>IF($Z$1=I329,"DIASOL", "DIANOSOL")</f>
        <v>DIANOSOL</v>
      </c>
      <c r="AA329" s="159" t="s">
        <v>240</v>
      </c>
      <c r="AB329" s="159" t="s">
        <v>1921</v>
      </c>
      <c r="AC329" s="159" t="str">
        <f>IF(H329=$M$1,"SI","NO")</f>
        <v>NO</v>
      </c>
      <c r="AD329" s="159"/>
      <c r="AE329" s="256">
        <v>45050</v>
      </c>
      <c r="AF329" s="159"/>
      <c r="AG329" s="159" t="str">
        <f>IF(COUNTIF(C329,"*preso*")&gt;0,"SI","NO")</f>
        <v>NO</v>
      </c>
      <c r="AH329" s="159">
        <f>NroOrden(N329)</f>
        <v>50</v>
      </c>
      <c r="AI329" s="159"/>
      <c r="AJ329" s="184" t="str">
        <f ca="1">IF(OR(Y329="NO",Y329="LIMBO"),"IMP","NOIMP")</f>
        <v>NOIMP</v>
      </c>
    </row>
    <row r="330" spans="1:36" ht="38.25">
      <c r="A330" s="159">
        <v>155</v>
      </c>
      <c r="B330" s="160" t="s">
        <v>1161</v>
      </c>
      <c r="C330" s="208"/>
      <c r="D330" s="159" t="s">
        <v>1162</v>
      </c>
      <c r="E330" s="159" t="s">
        <v>1163</v>
      </c>
      <c r="F330" s="256">
        <v>45114</v>
      </c>
      <c r="G330" s="159" t="s">
        <v>1064</v>
      </c>
      <c r="H330" s="159" t="s">
        <v>1644</v>
      </c>
      <c r="I330" s="160">
        <v>45246</v>
      </c>
      <c r="J330" s="160" t="s">
        <v>282</v>
      </c>
      <c r="K330" s="159" t="s">
        <v>362</v>
      </c>
      <c r="L330" s="159" t="s">
        <v>1658</v>
      </c>
      <c r="M330" s="160" t="s">
        <v>330</v>
      </c>
      <c r="N330" s="159" t="s">
        <v>355</v>
      </c>
      <c r="O330" s="159" t="s">
        <v>2034</v>
      </c>
      <c r="P330" s="159" t="s">
        <v>2296</v>
      </c>
      <c r="Q330" s="159" t="s">
        <v>111</v>
      </c>
      <c r="R330" s="159"/>
      <c r="S330" s="159"/>
      <c r="T330" s="159"/>
      <c r="U330" s="159"/>
      <c r="V330" s="159" t="s">
        <v>342</v>
      </c>
      <c r="W330" s="159" t="s">
        <v>118</v>
      </c>
      <c r="X330" s="159" t="s">
        <v>111</v>
      </c>
      <c r="Y330" s="159" t="str">
        <f ca="1">IF(I330&lt;&gt;"",IF(I330&lt;=TODAY(),IF(OR(N330="REPROGRAMADA",N330="SUSPENDIDA",N330="EXCLUSION",N330="COLEGIADO"),"NO HECHA",IF(N330=" ","SINRESULTADO","SI")),"NO"),IF(N330="EXCLUSION","NO HECHA","LIMBO"))</f>
        <v>SI</v>
      </c>
      <c r="Z330" s="159" t="str">
        <f>IF($Z$1=I330,"DIASOL", "DIANOSOL")</f>
        <v>DIANOSOL</v>
      </c>
      <c r="AA330" s="159" t="s">
        <v>240</v>
      </c>
      <c r="AB330" s="159" t="s">
        <v>1164</v>
      </c>
      <c r="AC330" s="159" t="str">
        <f>IF(H330=$M$1,"SI","NO")</f>
        <v>NO</v>
      </c>
      <c r="AD330" s="159"/>
      <c r="AE330" s="159"/>
      <c r="AF330" s="159"/>
      <c r="AG330" s="159" t="str">
        <f>IF(COUNTIF(C330,"*preso*")&gt;0,"SI","NO")</f>
        <v>NO</v>
      </c>
      <c r="AH330" s="159">
        <f>NroOrden(N330)</f>
        <v>50</v>
      </c>
      <c r="AI330" s="159"/>
      <c r="AJ330" s="184" t="str">
        <f ca="1">IF(OR(Y330="NO",Y330="LIMBO"),"IMP","NOIMP")</f>
        <v>NOIMP</v>
      </c>
    </row>
    <row r="331" spans="1:36" ht="114.75" customHeight="1">
      <c r="A331" s="261">
        <v>279</v>
      </c>
      <c r="B331" s="262" t="s">
        <v>1814</v>
      </c>
      <c r="C331" s="263"/>
      <c r="D331" s="261" t="s">
        <v>1815</v>
      </c>
      <c r="E331" s="261" t="s">
        <v>1044</v>
      </c>
      <c r="F331" s="264">
        <v>45156</v>
      </c>
      <c r="G331" s="261" t="s">
        <v>1816</v>
      </c>
      <c r="H331" s="261"/>
      <c r="I331" s="262">
        <v>45246</v>
      </c>
      <c r="J331" s="262" t="s">
        <v>960</v>
      </c>
      <c r="K331" s="261" t="s">
        <v>1674</v>
      </c>
      <c r="L331" s="261" t="s">
        <v>1659</v>
      </c>
      <c r="M331" s="262" t="s">
        <v>331</v>
      </c>
      <c r="N331" s="261" t="s">
        <v>357</v>
      </c>
      <c r="O331" s="261" t="s">
        <v>2034</v>
      </c>
      <c r="P331" s="261"/>
      <c r="Q331" s="261"/>
      <c r="R331" s="261"/>
      <c r="S331" s="261"/>
      <c r="T331" s="261"/>
      <c r="U331" s="261"/>
      <c r="V331" s="261" t="s">
        <v>344</v>
      </c>
      <c r="W331" s="261" t="s">
        <v>111</v>
      </c>
      <c r="X331" s="261" t="s">
        <v>111</v>
      </c>
      <c r="Y331" s="261" t="str">
        <f ca="1">IF(I331&lt;&gt;"",IF(I331&lt;=TODAY(),IF(OR(N331="REPROGRAMADA",N331="SUSPENDIDA",N331="EXCLUSION",N331="COLEGIADO"),"NO HECHA",IF(N331=" ","SINRESULTADO","SI")),"NO"),IF(N331="EXCLUSION","NO HECHA","LIMBO"))</f>
        <v>SI</v>
      </c>
      <c r="Z331" s="261" t="str">
        <f>IF($Z$1=I331,"DIASOL", "DIANOSOL")</f>
        <v>DIANOSOL</v>
      </c>
      <c r="AA331" s="261" t="s">
        <v>681</v>
      </c>
      <c r="AB331" s="261" t="s">
        <v>1817</v>
      </c>
      <c r="AC331" s="261" t="str">
        <f>IF(H331=$M$1,"SI","NO")</f>
        <v>NO</v>
      </c>
      <c r="AD331" s="261"/>
      <c r="AE331" s="264">
        <v>45156</v>
      </c>
      <c r="AF331" s="261"/>
      <c r="AG331" s="261" t="str">
        <f>IF(COUNTIF(C331,"*preso*")&gt;0,"SI","NO")</f>
        <v>NO</v>
      </c>
      <c r="AH331" s="142">
        <f>NroOrden(N331)</f>
        <v>50</v>
      </c>
      <c r="AI331" s="261"/>
      <c r="AJ331" s="259" t="str">
        <f ca="1">IF(OR(Y331="NO",Y331="LIMBO"),"IMP","NOIMP")</f>
        <v>NOIMP</v>
      </c>
    </row>
    <row r="332" spans="1:36" ht="94.5" customHeight="1">
      <c r="A332" s="221">
        <v>343</v>
      </c>
      <c r="B332" s="222" t="s">
        <v>1669</v>
      </c>
      <c r="C332" s="223"/>
      <c r="D332" s="221" t="s">
        <v>1498</v>
      </c>
      <c r="E332" s="221" t="s">
        <v>1499</v>
      </c>
      <c r="F332" s="224">
        <v>45162</v>
      </c>
      <c r="G332" s="221"/>
      <c r="H332" s="221" t="s">
        <v>1637</v>
      </c>
      <c r="I332" s="222">
        <v>45246</v>
      </c>
      <c r="J332" s="222" t="s">
        <v>960</v>
      </c>
      <c r="K332" s="221" t="s">
        <v>2131</v>
      </c>
      <c r="L332" s="221" t="s">
        <v>1658</v>
      </c>
      <c r="M332" s="222" t="s">
        <v>332</v>
      </c>
      <c r="N332" s="221" t="s">
        <v>1647</v>
      </c>
      <c r="O332" s="221" t="s">
        <v>2332</v>
      </c>
      <c r="P332" s="221"/>
      <c r="Q332" s="221" t="s">
        <v>240</v>
      </c>
      <c r="R332" s="221"/>
      <c r="S332" s="221"/>
      <c r="T332" s="221"/>
      <c r="U332" s="221"/>
      <c r="V332" s="221" t="s">
        <v>191</v>
      </c>
      <c r="W332" s="221" t="s">
        <v>117</v>
      </c>
      <c r="X332" s="221" t="s">
        <v>111</v>
      </c>
      <c r="Y332" s="221" t="str">
        <f ca="1">IF(I332&lt;&gt;"",IF(I332&lt;=TODAY(),IF(OR(N332="REPROGRAMADA",N332="SUSPENDIDA",N332="EXCLUSION",N332="COLEGIADO"),"NO HECHA",IF(N332=" ","SINRESULTADO","SI")),"NO"),IF(N332="EXCLUSION","NO HECHA","LIMBO"))</f>
        <v>SI</v>
      </c>
      <c r="Z332" s="221" t="str">
        <f>IF($Z$1=I332,"DIASOL", "DIANOSOL")</f>
        <v>DIANOSOL</v>
      </c>
      <c r="AA332" s="221" t="s">
        <v>240</v>
      </c>
      <c r="AB332" s="224"/>
      <c r="AC332" s="221" t="str">
        <f>IF(H332=$M$1,"SI","NO")</f>
        <v>NO</v>
      </c>
      <c r="AD332" s="221"/>
      <c r="AE332" s="221">
        <v>45161</v>
      </c>
      <c r="AF332" s="221"/>
      <c r="AG332" s="221" t="str">
        <f>IF(COUNTIF(C332,"*preso*")&gt;0,"SI","NO")</f>
        <v>NO</v>
      </c>
      <c r="AH332" s="221">
        <f>NroOrden(N332)</f>
        <v>50</v>
      </c>
      <c r="AI332" s="221"/>
      <c r="AJ332" s="270" t="str">
        <f ca="1">IF(OR(Y332="NO",Y332="LIMBO"),"IMP","NOIMP")</f>
        <v>NOIMP</v>
      </c>
    </row>
    <row r="333" spans="1:36" ht="128.25" customHeight="1">
      <c r="A333" s="261">
        <v>345</v>
      </c>
      <c r="B333" s="262" t="s">
        <v>2014</v>
      </c>
      <c r="C333" s="263" t="s">
        <v>1472</v>
      </c>
      <c r="D333" s="261" t="s">
        <v>2016</v>
      </c>
      <c r="E333" s="261" t="s">
        <v>2015</v>
      </c>
      <c r="F333" s="261">
        <v>45198</v>
      </c>
      <c r="G333" s="261"/>
      <c r="H333" s="261" t="s">
        <v>1643</v>
      </c>
      <c r="I333" s="262">
        <v>45246</v>
      </c>
      <c r="J333" s="262" t="s">
        <v>1667</v>
      </c>
      <c r="K333" s="261" t="s">
        <v>1827</v>
      </c>
      <c r="L333" s="261" t="s">
        <v>1658</v>
      </c>
      <c r="M333" s="262" t="s">
        <v>2155</v>
      </c>
      <c r="N333" s="261" t="s">
        <v>357</v>
      </c>
      <c r="O333" s="261" t="s">
        <v>2034</v>
      </c>
      <c r="P333" s="261"/>
      <c r="Q333" s="261" t="s">
        <v>240</v>
      </c>
      <c r="R333" s="261"/>
      <c r="S333" s="261" t="s">
        <v>1688</v>
      </c>
      <c r="T333" s="261" t="s">
        <v>2053</v>
      </c>
      <c r="U333" s="261" t="s">
        <v>2054</v>
      </c>
      <c r="V333" s="261" t="s">
        <v>1281</v>
      </c>
      <c r="W333" s="261"/>
      <c r="X333" s="261"/>
      <c r="Y333" s="261" t="str">
        <f ca="1">IF(I333&lt;&gt;"",IF(I333&lt;=TODAY(),IF(OR(N333="REPROGRAMADA",N333="SUSPENDIDA",N333="EXCLUSION",N333="COLEGIADO"),"NO HECHA",IF(N333=" ","SINRESULTADO","SI")),"NO"),IF(N333="EXCLUSION","NO HECHA","LIMBO"))</f>
        <v>SI</v>
      </c>
      <c r="Z333" s="261" t="str">
        <f>IF($Z$1=I333,"DIASOL", "DIANOSOL")</f>
        <v>DIANOSOL</v>
      </c>
      <c r="AA333" s="261" t="s">
        <v>738</v>
      </c>
      <c r="AB333" s="261" t="s">
        <v>2018</v>
      </c>
      <c r="AC333" s="261" t="str">
        <f>IF(H333=$M$1,"SI","NO")</f>
        <v>SI</v>
      </c>
      <c r="AD333" s="261"/>
      <c r="AE333" s="261"/>
      <c r="AF333" s="261"/>
      <c r="AG333" s="261" t="str">
        <f>IF(COUNTIF(C333,"*preso*")&gt;0,"SI","NO")</f>
        <v>SI</v>
      </c>
      <c r="AH333" s="261">
        <f>NroOrden(N333)</f>
        <v>50</v>
      </c>
      <c r="AI333" s="261"/>
      <c r="AJ333" s="259" t="str">
        <f ca="1">IF(OR(Y333="NO",Y333="LIMBO"),"IMP","NOIMP")</f>
        <v>NOIMP</v>
      </c>
    </row>
    <row r="334" spans="1:36" ht="39.950000000000003" customHeight="1">
      <c r="A334" s="159">
        <v>270</v>
      </c>
      <c r="B334" s="160" t="s">
        <v>1775</v>
      </c>
      <c r="C334" s="208"/>
      <c r="D334" s="159" t="s">
        <v>1776</v>
      </c>
      <c r="E334" s="159" t="s">
        <v>573</v>
      </c>
      <c r="F334" s="256">
        <v>45188</v>
      </c>
      <c r="G334" s="159" t="s">
        <v>1742</v>
      </c>
      <c r="H334" s="159" t="s">
        <v>1641</v>
      </c>
      <c r="I334" s="160">
        <v>45246</v>
      </c>
      <c r="J334" s="160" t="s">
        <v>14</v>
      </c>
      <c r="K334" s="159" t="s">
        <v>1674</v>
      </c>
      <c r="L334" s="159" t="s">
        <v>1659</v>
      </c>
      <c r="M334" s="160" t="s">
        <v>332</v>
      </c>
      <c r="N334" s="159" t="s">
        <v>359</v>
      </c>
      <c r="O334" s="159" t="s">
        <v>2034</v>
      </c>
      <c r="P334" s="159"/>
      <c r="Q334" s="159"/>
      <c r="R334" s="159"/>
      <c r="S334" s="159"/>
      <c r="T334" s="159"/>
      <c r="U334" s="159"/>
      <c r="V334" s="159" t="s">
        <v>1275</v>
      </c>
      <c r="W334" s="159" t="s">
        <v>169</v>
      </c>
      <c r="X334" s="159" t="s">
        <v>111</v>
      </c>
      <c r="Y334" s="159" t="str">
        <f ca="1">IF(I334&lt;&gt;"",IF(I334&lt;=TODAY(),IF(OR(N334="REPROGRAMADA",N334="SUSPENDIDA",N334="EXCLUSION",N334="COLEGIADO"),"NO HECHA",IF(N334=" ","SINRESULTADO","SI")),"NO"),IF(N334="EXCLUSION","NO HECHA","LIMBO"))</f>
        <v>SI</v>
      </c>
      <c r="Z334" s="159" t="str">
        <f>IF($Z$1=I334,"DIASOL", "DIANOSOL")</f>
        <v>DIANOSOL</v>
      </c>
      <c r="AA334" s="159" t="s">
        <v>240</v>
      </c>
      <c r="AB334" s="159" t="s">
        <v>1777</v>
      </c>
      <c r="AC334" s="159" t="str">
        <f>IF(H334=$M$1,"SI","NO")</f>
        <v>NO</v>
      </c>
      <c r="AD334" s="159"/>
      <c r="AE334" s="256">
        <v>45187</v>
      </c>
      <c r="AF334" s="159"/>
      <c r="AG334" s="159" t="str">
        <f>IF(COUNTIF(C334,"*preso*")&gt;0,"SI","NO")</f>
        <v>NO</v>
      </c>
      <c r="AH334" s="159">
        <f>NroOrden(N334)</f>
        <v>50</v>
      </c>
      <c r="AI334" s="159"/>
      <c r="AJ334" s="184" t="str">
        <f ca="1">IF(OR(Y334="NO",Y334="LIMBO"),"IMP","NOIMP")</f>
        <v>NOIMP</v>
      </c>
    </row>
    <row r="335" spans="1:36" ht="39.950000000000003" customHeight="1">
      <c r="A335" s="159">
        <v>312</v>
      </c>
      <c r="B335" s="160" t="s">
        <v>1956</v>
      </c>
      <c r="C335" s="208" t="s">
        <v>501</v>
      </c>
      <c r="D335" s="159" t="s">
        <v>1957</v>
      </c>
      <c r="E335" s="159" t="s">
        <v>1960</v>
      </c>
      <c r="F335" s="256">
        <v>45204</v>
      </c>
      <c r="G335" s="159" t="s">
        <v>2246</v>
      </c>
      <c r="H335" s="159" t="s">
        <v>1643</v>
      </c>
      <c r="I335" s="160">
        <v>45251</v>
      </c>
      <c r="J335" s="160" t="s">
        <v>282</v>
      </c>
      <c r="K335" s="159" t="s">
        <v>1827</v>
      </c>
      <c r="L335" s="159" t="s">
        <v>1659</v>
      </c>
      <c r="M335" s="160" t="s">
        <v>2155</v>
      </c>
      <c r="N335" s="159" t="s">
        <v>356</v>
      </c>
      <c r="O335" s="159" t="s">
        <v>2034</v>
      </c>
      <c r="P335" s="159" t="s">
        <v>2590</v>
      </c>
      <c r="Q335" s="159"/>
      <c r="R335" s="159"/>
      <c r="S335" s="159" t="s">
        <v>1688</v>
      </c>
      <c r="T335" s="159" t="s">
        <v>1992</v>
      </c>
      <c r="U335" s="159" t="s">
        <v>1991</v>
      </c>
      <c r="V335" s="159" t="s">
        <v>184</v>
      </c>
      <c r="W335" s="159" t="s">
        <v>141</v>
      </c>
      <c r="X335" s="159" t="s">
        <v>111</v>
      </c>
      <c r="Y335" s="159" t="str">
        <f ca="1">IF(I335&lt;&gt;"",IF(I335&lt;=TODAY(),IF(OR(N335="REPROGRAMADA",N335="SUSPENDIDA",N335="EXCLUSION",N335="COLEGIADO"),"NO HECHA",IF(N335=" ","SINRESULTADO","SI")),"NO"),IF(N335="EXCLUSION","NO HECHA","LIMBO"))</f>
        <v>SI</v>
      </c>
      <c r="Z335" s="159" t="str">
        <f>IF($Z$1=I335,"DIASOL", "DIANOSOL")</f>
        <v>DIANOSOL</v>
      </c>
      <c r="AA335" s="159" t="s">
        <v>240</v>
      </c>
      <c r="AB335" s="159" t="s">
        <v>1958</v>
      </c>
      <c r="AC335" s="159" t="str">
        <f>IF(H335=$M$1,"SI","NO")</f>
        <v>SI</v>
      </c>
      <c r="AD335" s="159"/>
      <c r="AE335" s="256">
        <v>45204</v>
      </c>
      <c r="AF335" s="159"/>
      <c r="AG335" s="159" t="str">
        <f>IF(COUNTIF(C335,"*preso*")&gt;0,"SI","NO")</f>
        <v>SI</v>
      </c>
      <c r="AH335" s="159">
        <f>NroOrden(N335)</f>
        <v>50</v>
      </c>
      <c r="AI335" s="159"/>
      <c r="AJ335" s="184" t="str">
        <f ca="1">IF(OR(Y335="NO",Y335="LIMBO"),"IMP","NOIMP")</f>
        <v>NOIMP</v>
      </c>
    </row>
    <row r="336" spans="1:36" ht="39.950000000000003" customHeight="1">
      <c r="A336" s="261">
        <v>363</v>
      </c>
      <c r="B336" s="262" t="s">
        <v>2217</v>
      </c>
      <c r="C336" s="263"/>
      <c r="D336" s="261" t="s">
        <v>2218</v>
      </c>
      <c r="E336" s="261" t="s">
        <v>2219</v>
      </c>
      <c r="F336" s="264">
        <v>45219</v>
      </c>
      <c r="G336" s="261"/>
      <c r="H336" s="261" t="s">
        <v>1638</v>
      </c>
      <c r="I336" s="262">
        <v>45251</v>
      </c>
      <c r="J336" s="262" t="s">
        <v>282</v>
      </c>
      <c r="K336" s="261" t="s">
        <v>1674</v>
      </c>
      <c r="L336" s="261" t="s">
        <v>1658</v>
      </c>
      <c r="M336" s="262" t="s">
        <v>331</v>
      </c>
      <c r="N336" s="261" t="s">
        <v>357</v>
      </c>
      <c r="O336" s="261" t="s">
        <v>2034</v>
      </c>
      <c r="P336" s="261"/>
      <c r="Q336" s="261" t="s">
        <v>240</v>
      </c>
      <c r="R336" s="261"/>
      <c r="S336" s="261"/>
      <c r="T336" s="261"/>
      <c r="U336" s="261"/>
      <c r="V336" s="261" t="s">
        <v>343</v>
      </c>
      <c r="W336" s="261" t="s">
        <v>119</v>
      </c>
      <c r="X336" s="261"/>
      <c r="Y336" s="261" t="str">
        <f ca="1">IF(I336&lt;&gt;"",IF(I336&lt;=TODAY(),IF(OR(N336="REPROGRAMADA",N336="SUSPENDIDA",N336="EXCLUSION",N336="COLEGIADO"),"NO HECHA",IF(N336=" ","SINRESULTADO","SI")),"NO"),IF(N336="EXCLUSION","NO HECHA","LIMBO"))</f>
        <v>SI</v>
      </c>
      <c r="Z336" s="261" t="str">
        <f>IF($Z$1=I336,"DIASOL", "DIANOSOL")</f>
        <v>DIANOSOL</v>
      </c>
      <c r="AA336" s="261"/>
      <c r="AB336" s="261" t="s">
        <v>2220</v>
      </c>
      <c r="AC336" s="261" t="str">
        <f>IF(H336=$M$1,"SI","NO")</f>
        <v>NO</v>
      </c>
      <c r="AD336" s="261"/>
      <c r="AE336" s="264">
        <v>45219</v>
      </c>
      <c r="AF336" s="261"/>
      <c r="AG336" s="261" t="str">
        <f>IF(COUNTIF(C336,"*preso*")&gt;0,"SI","NO")</f>
        <v>NO</v>
      </c>
      <c r="AH336" s="261">
        <f>NroOrden(N336)</f>
        <v>50</v>
      </c>
      <c r="AI336" s="261"/>
      <c r="AJ336" s="290" t="str">
        <f ca="1">IF(OR(Y336="NO",Y336="LIMBO"),"IMP","NOIMP")</f>
        <v>NOIMP</v>
      </c>
    </row>
    <row r="337" spans="1:36" ht="39.950000000000003" customHeight="1">
      <c r="A337" s="159">
        <v>407</v>
      </c>
      <c r="B337" s="160" t="s">
        <v>2444</v>
      </c>
      <c r="C337" s="208" t="s">
        <v>501</v>
      </c>
      <c r="D337" s="159" t="s">
        <v>2445</v>
      </c>
      <c r="E337" s="159" t="s">
        <v>771</v>
      </c>
      <c r="F337" s="256">
        <v>45236</v>
      </c>
      <c r="G337" s="159" t="s">
        <v>2446</v>
      </c>
      <c r="H337" s="159" t="s">
        <v>1637</v>
      </c>
      <c r="I337" s="160">
        <v>45251</v>
      </c>
      <c r="J337" s="160" t="s">
        <v>1045</v>
      </c>
      <c r="K337" s="159" t="s">
        <v>1827</v>
      </c>
      <c r="L337" s="159" t="s">
        <v>1658</v>
      </c>
      <c r="M337" s="160" t="s">
        <v>1807</v>
      </c>
      <c r="N337" s="159" t="s">
        <v>356</v>
      </c>
      <c r="O337" s="159" t="s">
        <v>2034</v>
      </c>
      <c r="P337" s="159" t="s">
        <v>2591</v>
      </c>
      <c r="Q337" s="159" t="s">
        <v>240</v>
      </c>
      <c r="R337" s="159"/>
      <c r="S337" s="159" t="s">
        <v>1946</v>
      </c>
      <c r="T337" s="159" t="s">
        <v>2448</v>
      </c>
      <c r="U337" s="159" t="s">
        <v>2449</v>
      </c>
      <c r="V337" s="159" t="s">
        <v>193</v>
      </c>
      <c r="W337" s="159" t="s">
        <v>269</v>
      </c>
      <c r="X337" s="159"/>
      <c r="Y337" s="159" t="str">
        <f ca="1">IF(I337&lt;&gt;"",IF(I337&lt;=TODAY(),IF(OR(N337="REPROGRAMADA",N337="SUSPENDIDA",N337="EXCLUSION",N337="COLEGIADO"),"NO HECHA",IF(N337=" ","SINRESULTADO","SI")),"NO"),IF(N337="EXCLUSION","NO HECHA","LIMBO"))</f>
        <v>SI</v>
      </c>
      <c r="Z337" s="159" t="str">
        <f>IF($Z$1=I337,"DIASOL", "DIANOSOL")</f>
        <v>DIANOSOL</v>
      </c>
      <c r="AA337" s="159"/>
      <c r="AB337" s="159" t="s">
        <v>2447</v>
      </c>
      <c r="AC337" s="159" t="str">
        <f>IF(H337=$M$1,"SI","NO")</f>
        <v>NO</v>
      </c>
      <c r="AD337" s="159"/>
      <c r="AE337" s="256">
        <v>45237</v>
      </c>
      <c r="AF337" s="159"/>
      <c r="AG337" s="159" t="str">
        <f>IF(COUNTIF(C337,"*preso*")&gt;0,"SI","NO")</f>
        <v>SI</v>
      </c>
      <c r="AH337" s="159">
        <f>NroOrden(N337)</f>
        <v>50</v>
      </c>
      <c r="AI337" s="159"/>
      <c r="AJ337" s="184" t="str">
        <f ca="1">IF(OR(Y337="NO",Y337="LIMBO"),"IMP","NOIMP")</f>
        <v>NOIMP</v>
      </c>
    </row>
    <row r="338" spans="1:36" ht="77.25" customHeight="1">
      <c r="A338" s="159">
        <v>368</v>
      </c>
      <c r="B338" s="160" t="s">
        <v>2240</v>
      </c>
      <c r="C338" s="208"/>
      <c r="D338" s="159" t="s">
        <v>2234</v>
      </c>
      <c r="E338" s="159" t="s">
        <v>2235</v>
      </c>
      <c r="F338" s="256">
        <v>45205</v>
      </c>
      <c r="G338" s="159" t="s">
        <v>2237</v>
      </c>
      <c r="H338" s="159" t="s">
        <v>1642</v>
      </c>
      <c r="I338" s="160">
        <v>45251</v>
      </c>
      <c r="J338" s="160" t="s">
        <v>1181</v>
      </c>
      <c r="K338" s="159" t="s">
        <v>1827</v>
      </c>
      <c r="L338" s="159" t="s">
        <v>1659</v>
      </c>
      <c r="M338" s="160" t="s">
        <v>1802</v>
      </c>
      <c r="N338" s="159" t="s">
        <v>355</v>
      </c>
      <c r="O338" s="159" t="s">
        <v>2034</v>
      </c>
      <c r="P338" s="159" t="s">
        <v>2592</v>
      </c>
      <c r="Q338" s="159" t="s">
        <v>240</v>
      </c>
      <c r="R338" s="159"/>
      <c r="S338" s="159"/>
      <c r="T338" s="159"/>
      <c r="U338" s="159"/>
      <c r="V338" s="159" t="s">
        <v>189</v>
      </c>
      <c r="W338" s="159" t="s">
        <v>119</v>
      </c>
      <c r="X338" s="159"/>
      <c r="Y338" s="159" t="str">
        <f ca="1">IF(I338&lt;&gt;"",IF(I338&lt;=TODAY(),IF(OR(N338="REPROGRAMADA",N338="SUSPENDIDA",N338="EXCLUSION",N338="COLEGIADO"),"NO HECHA",IF(N338=" ","SINRESULTADO","SI")),"NO"),IF(N338="EXCLUSION","NO HECHA","LIMBO"))</f>
        <v>SI</v>
      </c>
      <c r="Z338" s="159" t="str">
        <f>IF($Z$1=I338,"DIASOL", "DIANOSOL")</f>
        <v>DIANOSOL</v>
      </c>
      <c r="AA338" s="159"/>
      <c r="AB338" s="159" t="s">
        <v>2236</v>
      </c>
      <c r="AC338" s="159" t="str">
        <f>IF(H338=$M$1,"SI","NO")</f>
        <v>NO</v>
      </c>
      <c r="AD338" s="159"/>
      <c r="AE338" s="256">
        <v>45205</v>
      </c>
      <c r="AF338" s="159"/>
      <c r="AG338" s="159" t="str">
        <f>IF(COUNTIF(C338,"*preso*")&gt;0,"SI","NO")</f>
        <v>NO</v>
      </c>
      <c r="AH338" s="159">
        <f>NroOrden(N338)</f>
        <v>50</v>
      </c>
      <c r="AI338" s="159"/>
      <c r="AJ338" s="184" t="str">
        <f ca="1">IF(OR(Y338="NO",Y338="LIMBO"),"IMP","NOIMP")</f>
        <v>NOIMP</v>
      </c>
    </row>
    <row r="339" spans="1:36" ht="126" customHeight="1">
      <c r="A339" s="261">
        <v>318</v>
      </c>
      <c r="B339" s="262" t="s">
        <v>1979</v>
      </c>
      <c r="C339" s="263"/>
      <c r="D339" s="261" t="s">
        <v>1980</v>
      </c>
      <c r="E339" s="261" t="s">
        <v>1985</v>
      </c>
      <c r="F339" s="264">
        <v>45202</v>
      </c>
      <c r="G339" s="261" t="s">
        <v>1836</v>
      </c>
      <c r="H339" s="261" t="s">
        <v>1640</v>
      </c>
      <c r="I339" s="262">
        <v>45251</v>
      </c>
      <c r="J339" s="262" t="s">
        <v>396</v>
      </c>
      <c r="K339" s="261" t="s">
        <v>2131</v>
      </c>
      <c r="L339" s="261" t="s">
        <v>1659</v>
      </c>
      <c r="M339" s="262" t="s">
        <v>1807</v>
      </c>
      <c r="N339" s="261" t="s">
        <v>357</v>
      </c>
      <c r="O339" s="261" t="s">
        <v>2034</v>
      </c>
      <c r="P339" s="261"/>
      <c r="Q339" s="261"/>
      <c r="R339" s="261"/>
      <c r="S339" s="261"/>
      <c r="T339" s="261"/>
      <c r="U339" s="261"/>
      <c r="V339" s="261" t="s">
        <v>913</v>
      </c>
      <c r="W339" s="261" t="s">
        <v>111</v>
      </c>
      <c r="X339" s="261" t="s">
        <v>111</v>
      </c>
      <c r="Y339" s="261" t="str">
        <f ca="1">IF(I339&lt;&gt;"",IF(I339&lt;=TODAY(),IF(OR(N339="REPROGRAMADA",N339="SUSPENDIDA",N339="EXCLUSION",N339="COLEGIADO"),"NO HECHA",IF(N339=" ","SINRESULTADO","SI")),"NO"),IF(N339="EXCLUSION","NO HECHA","LIMBO"))</f>
        <v>SI</v>
      </c>
      <c r="Z339" s="261" t="str">
        <f>IF($Z$1=I339,"DIASOL", "DIANOSOL")</f>
        <v>DIANOSOL</v>
      </c>
      <c r="AA339" s="261" t="s">
        <v>240</v>
      </c>
      <c r="AB339" s="261" t="s">
        <v>1986</v>
      </c>
      <c r="AC339" s="261" t="str">
        <f>IF(H339=$M$1,"SI","NO")</f>
        <v>NO</v>
      </c>
      <c r="AD339" s="261"/>
      <c r="AE339" s="264">
        <v>45202</v>
      </c>
      <c r="AF339" s="261"/>
      <c r="AG339" s="261" t="str">
        <f>IF(COUNTIF(C339,"*preso*")&gt;0,"SI","NO")</f>
        <v>NO</v>
      </c>
      <c r="AH339" s="142">
        <f>NroOrden(N339)</f>
        <v>50</v>
      </c>
      <c r="AI339" s="261"/>
      <c r="AJ339" s="259" t="str">
        <f ca="1">IF(OR(Y339="NO",Y339="LIMBO"),"IMP","NOIMP")</f>
        <v>NOIMP</v>
      </c>
    </row>
    <row r="340" spans="1:36" ht="39.950000000000003" customHeight="1">
      <c r="A340" s="261">
        <v>425</v>
      </c>
      <c r="B340" s="262" t="s">
        <v>1849</v>
      </c>
      <c r="C340" s="263"/>
      <c r="D340" s="261" t="s">
        <v>1850</v>
      </c>
      <c r="E340" s="261" t="s">
        <v>1851</v>
      </c>
      <c r="F340" s="261">
        <v>45191</v>
      </c>
      <c r="G340" s="261"/>
      <c r="H340" s="261" t="s">
        <v>1671</v>
      </c>
      <c r="I340" s="262">
        <v>45252</v>
      </c>
      <c r="J340" s="262" t="s">
        <v>1417</v>
      </c>
      <c r="K340" s="261" t="s">
        <v>2131</v>
      </c>
      <c r="L340" s="261" t="s">
        <v>1658</v>
      </c>
      <c r="M340" s="262" t="s">
        <v>1807</v>
      </c>
      <c r="N340" s="261" t="s">
        <v>357</v>
      </c>
      <c r="O340" s="261" t="s">
        <v>2034</v>
      </c>
      <c r="P340" s="261"/>
      <c r="Q340" s="261" t="s">
        <v>240</v>
      </c>
      <c r="R340" s="261"/>
      <c r="S340" s="261"/>
      <c r="T340" s="261"/>
      <c r="U340" s="261"/>
      <c r="V340" s="261" t="s">
        <v>1275</v>
      </c>
      <c r="W340" s="261" t="s">
        <v>111</v>
      </c>
      <c r="X340" s="261" t="s">
        <v>111</v>
      </c>
      <c r="Y340" s="261" t="str">
        <f ca="1">IF(I340&lt;&gt;"",IF(I340&lt;=TODAY(),IF(OR(N340="REPROGRAMADA",N340="SUSPENDIDA",N340="EXCLUSION",N340="COLEGIADO"),"NO HECHA",IF(N340=" ","SINRESULTADO","SI")),"NO"),IF(N340="EXCLUSION","NO HECHA","LIMBO"))</f>
        <v>SI</v>
      </c>
      <c r="Z340" s="261" t="str">
        <f>IF($Z$1=I340,"DIASOL", "DIANOSOL")</f>
        <v>DIANOSOL</v>
      </c>
      <c r="AA340" s="261" t="s">
        <v>240</v>
      </c>
      <c r="AB340" s="264"/>
      <c r="AC340" s="261" t="str">
        <f>IF(H340=$M$1,"SI","NO")</f>
        <v>NO</v>
      </c>
      <c r="AD340" s="261"/>
      <c r="AE340" s="261">
        <v>45191</v>
      </c>
      <c r="AF340" s="261"/>
      <c r="AG340" s="261" t="str">
        <f>IF(COUNTIF(C340,"*preso*")&gt;0,"SI","NO")</f>
        <v>NO</v>
      </c>
      <c r="AH340" s="261">
        <f>NroOrden(N340)</f>
        <v>50</v>
      </c>
      <c r="AI340" s="261" t="s">
        <v>2551</v>
      </c>
      <c r="AJ340" s="290" t="str">
        <f ca="1">IF(OR(Y340="NO",Y340="LIMBO"),"IMP","NOIMP")</f>
        <v>NOIMP</v>
      </c>
    </row>
    <row r="341" spans="1:36" ht="73.5" customHeight="1">
      <c r="A341" s="159">
        <v>353</v>
      </c>
      <c r="B341" s="160" t="s">
        <v>2170</v>
      </c>
      <c r="C341" s="208" t="s">
        <v>501</v>
      </c>
      <c r="D341" s="159" t="s">
        <v>2171</v>
      </c>
      <c r="E341" s="159" t="s">
        <v>1377</v>
      </c>
      <c r="F341" s="256">
        <v>45217</v>
      </c>
      <c r="G341" s="159"/>
      <c r="H341" s="159" t="s">
        <v>1642</v>
      </c>
      <c r="I341" s="160">
        <v>45252</v>
      </c>
      <c r="J341" s="160" t="s">
        <v>396</v>
      </c>
      <c r="K341" s="159" t="s">
        <v>1827</v>
      </c>
      <c r="L341" s="159" t="s">
        <v>1659</v>
      </c>
      <c r="M341" s="160" t="s">
        <v>2155</v>
      </c>
      <c r="N341" s="159" t="s">
        <v>356</v>
      </c>
      <c r="O341" s="159" t="s">
        <v>2034</v>
      </c>
      <c r="P341" s="159" t="s">
        <v>2593</v>
      </c>
      <c r="Q341" s="159" t="s">
        <v>240</v>
      </c>
      <c r="R341" s="159"/>
      <c r="S341" s="159" t="s">
        <v>1946</v>
      </c>
      <c r="T341" s="159" t="s">
        <v>2173</v>
      </c>
      <c r="U341" s="159" t="s">
        <v>2174</v>
      </c>
      <c r="V341" s="159" t="s">
        <v>189</v>
      </c>
      <c r="W341" s="159" t="s">
        <v>133</v>
      </c>
      <c r="X341" s="159"/>
      <c r="Y341" s="159" t="str">
        <f ca="1">IF(I341&lt;&gt;"",IF(I341&lt;=TODAY(),IF(OR(N341="REPROGRAMADA",N341="SUSPENDIDA",N341="EXCLUSION",N341="COLEGIADO"),"NO HECHA",IF(N341=" ","SINRESULTADO","SI")),"NO"),IF(N341="EXCLUSION","NO HECHA","LIMBO"))</f>
        <v>SI</v>
      </c>
      <c r="Z341" s="159" t="str">
        <f>IF($Z$1=I341,"DIASOL", "DIANOSOL")</f>
        <v>DIANOSOL</v>
      </c>
      <c r="AA341" s="159"/>
      <c r="AB341" s="159" t="s">
        <v>2172</v>
      </c>
      <c r="AC341" s="159" t="str">
        <f>IF(H341=$M$1,"SI","NO")</f>
        <v>NO</v>
      </c>
      <c r="AD341" s="159"/>
      <c r="AE341" s="256">
        <v>45217</v>
      </c>
      <c r="AF341" s="159"/>
      <c r="AG341" s="159" t="str">
        <f>IF(COUNTIF(C341,"*preso*")&gt;0,"SI","NO")</f>
        <v>SI</v>
      </c>
      <c r="AH341" s="159">
        <f>NroOrden(N341)</f>
        <v>50</v>
      </c>
      <c r="AI341" s="159"/>
      <c r="AJ341" s="184" t="str">
        <f ca="1">IF(OR(Y341="NO",Y341="LIMBO"),"IMP","NOIMP")</f>
        <v>NOIMP</v>
      </c>
    </row>
    <row r="342" spans="1:36" ht="39.950000000000003" customHeight="1">
      <c r="A342" s="159">
        <v>400</v>
      </c>
      <c r="B342" s="160" t="s">
        <v>1822</v>
      </c>
      <c r="C342" s="208"/>
      <c r="D342" s="159" t="s">
        <v>1824</v>
      </c>
      <c r="E342" s="159" t="s">
        <v>1825</v>
      </c>
      <c r="F342" s="159">
        <v>45176</v>
      </c>
      <c r="G342" s="159" t="s">
        <v>1816</v>
      </c>
      <c r="H342" s="159" t="s">
        <v>1637</v>
      </c>
      <c r="I342" s="160">
        <v>45253</v>
      </c>
      <c r="J342" s="160" t="s">
        <v>282</v>
      </c>
      <c r="K342" s="159" t="s">
        <v>365</v>
      </c>
      <c r="L342" s="159" t="s">
        <v>1659</v>
      </c>
      <c r="M342" s="160" t="s">
        <v>330</v>
      </c>
      <c r="N342" s="159" t="s">
        <v>359</v>
      </c>
      <c r="O342" s="159" t="s">
        <v>2034</v>
      </c>
      <c r="P342" s="159"/>
      <c r="Q342" s="159" t="s">
        <v>240</v>
      </c>
      <c r="R342" s="159"/>
      <c r="S342" s="159"/>
      <c r="T342" s="159"/>
      <c r="U342" s="159"/>
      <c r="V342" s="159" t="s">
        <v>191</v>
      </c>
      <c r="W342" s="159" t="s">
        <v>111</v>
      </c>
      <c r="X342" s="159" t="s">
        <v>111</v>
      </c>
      <c r="Y342" s="159" t="str">
        <f ca="1">IF(I342&lt;&gt;"",IF(I342&lt;=TODAY(),IF(OR(N342="REPROGRAMADA",N342="SUSPENDIDA",N342="EXCLUSION",N342="COLEGIADO"),"NO HECHA",IF(N342=" ","SINRESULTADO","SI")),"NO"),IF(N342="EXCLUSION","NO HECHA","LIMBO"))</f>
        <v>SI</v>
      </c>
      <c r="Z342" s="159" t="str">
        <f>IF($Z$1=I342,"DIASOL", "DIANOSOL")</f>
        <v>DIANOSOL</v>
      </c>
      <c r="AA342" s="159" t="s">
        <v>240</v>
      </c>
      <c r="AB342" s="256"/>
      <c r="AC342" s="159" t="str">
        <f>IF(H342=$M$1,"SI","NO")</f>
        <v>NO</v>
      </c>
      <c r="AD342" s="159"/>
      <c r="AE342" s="159">
        <v>45176</v>
      </c>
      <c r="AF342" s="159"/>
      <c r="AG342" s="159" t="str">
        <f>IF(COUNTIF(C342,"*preso*")&gt;0,"SI","NO")</f>
        <v>NO</v>
      </c>
      <c r="AH342" s="159">
        <f>NroOrden(N342)</f>
        <v>50</v>
      </c>
      <c r="AI342" s="159"/>
      <c r="AJ342" s="184" t="str">
        <f ca="1">IF(OR(Y342="NO",Y342="LIMBO"),"IMP","NOIMP")</f>
        <v>NOIMP</v>
      </c>
    </row>
    <row r="343" spans="1:36" ht="25.5">
      <c r="A343" s="159">
        <v>360</v>
      </c>
      <c r="B343" s="160" t="s">
        <v>1872</v>
      </c>
      <c r="C343" s="208"/>
      <c r="D343" s="159" t="s">
        <v>1765</v>
      </c>
      <c r="E343" s="159" t="s">
        <v>1766</v>
      </c>
      <c r="F343" s="159">
        <v>45189</v>
      </c>
      <c r="G343" s="159"/>
      <c r="H343" s="159" t="s">
        <v>1642</v>
      </c>
      <c r="I343" s="160">
        <v>45253</v>
      </c>
      <c r="J343" s="160" t="s">
        <v>396</v>
      </c>
      <c r="K343" s="159" t="s">
        <v>362</v>
      </c>
      <c r="L343" s="159" t="s">
        <v>1659</v>
      </c>
      <c r="M343" s="160" t="s">
        <v>330</v>
      </c>
      <c r="N343" s="159" t="s">
        <v>355</v>
      </c>
      <c r="O343" s="159" t="s">
        <v>2034</v>
      </c>
      <c r="P343" s="159" t="s">
        <v>2595</v>
      </c>
      <c r="Q343" s="159" t="s">
        <v>240</v>
      </c>
      <c r="R343" s="159"/>
      <c r="S343" s="159"/>
      <c r="T343" s="159"/>
      <c r="U343" s="159"/>
      <c r="V343" s="159" t="s">
        <v>345</v>
      </c>
      <c r="W343" s="159" t="s">
        <v>132</v>
      </c>
      <c r="X343" s="159" t="s">
        <v>111</v>
      </c>
      <c r="Y343" s="159" t="str">
        <f ca="1">IF(I343&lt;&gt;"",IF(I343&lt;=TODAY(),IF(OR(N343="REPROGRAMADA",N343="SUSPENDIDA",N343="EXCLUSION",N343="COLEGIADO"),"NO HECHA",IF(N343=" ","SINRESULTADO","SI")),"NO"),IF(N343="EXCLUSION","NO HECHA","LIMBO"))</f>
        <v>SI</v>
      </c>
      <c r="Z343" s="159" t="str">
        <f>IF($Z$1=I343,"DIASOL", "DIANOSOL")</f>
        <v>DIANOSOL</v>
      </c>
      <c r="AA343" s="159" t="s">
        <v>240</v>
      </c>
      <c r="AB343" s="256"/>
      <c r="AC343" s="159" t="str">
        <f>IF(H343=$M$1,"SI","NO")</f>
        <v>NO</v>
      </c>
      <c r="AD343" s="159"/>
      <c r="AE343" s="159">
        <v>45177</v>
      </c>
      <c r="AF343" s="159"/>
      <c r="AG343" s="159" t="str">
        <f>IF(COUNTIF(C343,"*preso*")&gt;0,"SI","NO")</f>
        <v>NO</v>
      </c>
      <c r="AH343" s="159">
        <f>NroOrden(N343)</f>
        <v>50</v>
      </c>
      <c r="AI343" s="159"/>
      <c r="AJ343" s="184" t="str">
        <f ca="1">IF(OR(Y343="NO",Y343="LIMBO"),"IMP","NOIMP")</f>
        <v>NOIMP</v>
      </c>
    </row>
    <row r="344" spans="1:36" ht="39.950000000000003" customHeight="1">
      <c r="A344" s="261">
        <v>357</v>
      </c>
      <c r="B344" s="262" t="s">
        <v>2193</v>
      </c>
      <c r="C344" s="263" t="s">
        <v>1472</v>
      </c>
      <c r="D344" s="261" t="s">
        <v>2195</v>
      </c>
      <c r="E344" s="261" t="s">
        <v>2194</v>
      </c>
      <c r="F344" s="264">
        <v>45218</v>
      </c>
      <c r="G344" s="261"/>
      <c r="H344" s="261" t="s">
        <v>1638</v>
      </c>
      <c r="I344" s="262">
        <v>45254</v>
      </c>
      <c r="J344" s="262" t="s">
        <v>282</v>
      </c>
      <c r="K344" s="261" t="s">
        <v>362</v>
      </c>
      <c r="L344" s="261" t="s">
        <v>1658</v>
      </c>
      <c r="M344" s="262" t="s">
        <v>330</v>
      </c>
      <c r="N344" s="261" t="s">
        <v>357</v>
      </c>
      <c r="O344" s="261" t="s">
        <v>2034</v>
      </c>
      <c r="P344" s="261"/>
      <c r="Q344" s="261" t="s">
        <v>240</v>
      </c>
      <c r="R344" s="261"/>
      <c r="S344" s="261" t="s">
        <v>1688</v>
      </c>
      <c r="T344" s="261" t="s">
        <v>2196</v>
      </c>
      <c r="U344" s="261" t="s">
        <v>2202</v>
      </c>
      <c r="V344" s="261" t="s">
        <v>189</v>
      </c>
      <c r="W344" s="261"/>
      <c r="X344" s="261"/>
      <c r="Y344" s="261" t="str">
        <f ca="1">IF(I344&lt;&gt;"",IF(I344&lt;=TODAY(),IF(OR(N344="REPROGRAMADA",N344="SUSPENDIDA",N344="EXCLUSION",N344="COLEGIADO"),"NO HECHA",IF(N344=" ","SINRESULTADO","SI")),"NO"),IF(N344="EXCLUSION","NO HECHA","LIMBO"))</f>
        <v>SI</v>
      </c>
      <c r="Z344" s="261" t="str">
        <f>IF($Z$1=I344,"DIASOL", "DIANOSOL")</f>
        <v>DIANOSOL</v>
      </c>
      <c r="AA344" s="261"/>
      <c r="AB344" s="261" t="s">
        <v>2204</v>
      </c>
      <c r="AC344" s="261" t="str">
        <f>IF(H344=$M$1,"SI","NO")</f>
        <v>NO</v>
      </c>
      <c r="AD344" s="261"/>
      <c r="AE344" s="264">
        <v>45218</v>
      </c>
      <c r="AF344" s="261"/>
      <c r="AG344" s="261" t="str">
        <f>IF(COUNTIF(C344,"*preso*")&gt;0,"SI","NO")</f>
        <v>SI</v>
      </c>
      <c r="AH344" s="261">
        <f>NroOrden(N344)</f>
        <v>50</v>
      </c>
      <c r="AI344" s="261"/>
      <c r="AJ344" s="290" t="str">
        <f ca="1">IF(OR(Y344="NO",Y344="LIMBO"),"IMP","NOIMP")</f>
        <v>NOIMP</v>
      </c>
    </row>
    <row r="345" spans="1:36" ht="39.950000000000003" customHeight="1">
      <c r="A345" s="159">
        <v>439</v>
      </c>
      <c r="B345" s="160" t="s">
        <v>1814</v>
      </c>
      <c r="C345" s="208"/>
      <c r="D345" s="159" t="s">
        <v>1815</v>
      </c>
      <c r="E345" s="159" t="s">
        <v>1044</v>
      </c>
      <c r="F345" s="159">
        <v>45156</v>
      </c>
      <c r="G345" s="159" t="s">
        <v>1816</v>
      </c>
      <c r="H345" s="159" t="s">
        <v>1640</v>
      </c>
      <c r="I345" s="160">
        <v>45254</v>
      </c>
      <c r="J345" s="160" t="s">
        <v>960</v>
      </c>
      <c r="K345" s="159" t="s">
        <v>1674</v>
      </c>
      <c r="L345" s="159"/>
      <c r="M345" s="160" t="s">
        <v>331</v>
      </c>
      <c r="N345" s="159" t="s">
        <v>357</v>
      </c>
      <c r="O345" s="159" t="s">
        <v>2034</v>
      </c>
      <c r="P345" s="159"/>
      <c r="Q345" s="159" t="s">
        <v>240</v>
      </c>
      <c r="R345" s="159"/>
      <c r="S345" s="159"/>
      <c r="T345" s="159"/>
      <c r="U345" s="159"/>
      <c r="V345" s="159" t="s">
        <v>344</v>
      </c>
      <c r="W345" s="159" t="s">
        <v>111</v>
      </c>
      <c r="X345" s="159" t="s">
        <v>111</v>
      </c>
      <c r="Y345" s="159" t="str">
        <f ca="1">IF(I345&lt;&gt;"",IF(I345&lt;=TODAY(),IF(OR(N345="REPROGRAMADA",N345="SUSPENDIDA",N345="EXCLUSION",N345="COLEGIADO"),"NO HECHA",IF(N345=" ","SINRESULTADO","SI")),"NO"),IF(N345="EXCLUSION","NO HECHA","LIMBO"))</f>
        <v>SI</v>
      </c>
      <c r="Z345" s="159" t="str">
        <f>IF($Z$1=I345,"DIASOL", "DIANOSOL")</f>
        <v>DIANOSOL</v>
      </c>
      <c r="AA345" s="159" t="s">
        <v>681</v>
      </c>
      <c r="AB345" s="256"/>
      <c r="AC345" s="159" t="str">
        <f>IF(H345=$M$1,"SI","NO")</f>
        <v>NO</v>
      </c>
      <c r="AD345" s="159"/>
      <c r="AE345" s="159">
        <v>45156</v>
      </c>
      <c r="AF345" s="159"/>
      <c r="AG345" s="159" t="str">
        <f>IF(COUNTIF(C345,"*preso*")&gt;0,"SI","NO")</f>
        <v>NO</v>
      </c>
      <c r="AH345" s="159">
        <f>NroOrden(N345)</f>
        <v>50</v>
      </c>
      <c r="AI345" s="159"/>
      <c r="AJ345" s="184" t="str">
        <f ca="1">IF(OR(Y345="NO",Y345="LIMBO"),"IMP","NOIMP")</f>
        <v>NOIMP</v>
      </c>
    </row>
    <row r="346" spans="1:36" ht="39.950000000000003" customHeight="1">
      <c r="A346" s="159">
        <v>443</v>
      </c>
      <c r="B346" s="160" t="s">
        <v>1995</v>
      </c>
      <c r="C346" s="208"/>
      <c r="D346" s="159" t="s">
        <v>1996</v>
      </c>
      <c r="E346" s="159" t="s">
        <v>1904</v>
      </c>
      <c r="F346" s="159">
        <v>45197</v>
      </c>
      <c r="G346" s="159"/>
      <c r="H346" s="159" t="s">
        <v>1643</v>
      </c>
      <c r="I346" s="160">
        <v>45258</v>
      </c>
      <c r="J346" s="160" t="s">
        <v>2608</v>
      </c>
      <c r="K346" s="159" t="s">
        <v>362</v>
      </c>
      <c r="L346" s="159" t="s">
        <v>1658</v>
      </c>
      <c r="M346" s="160" t="s">
        <v>328</v>
      </c>
      <c r="N346" s="159" t="s">
        <v>358</v>
      </c>
      <c r="O346" s="159" t="s">
        <v>2034</v>
      </c>
      <c r="P346" s="159"/>
      <c r="Q346" s="159" t="s">
        <v>240</v>
      </c>
      <c r="R346" s="159"/>
      <c r="S346" s="159"/>
      <c r="T346" s="159"/>
      <c r="U346" s="159"/>
      <c r="V346" s="159" t="s">
        <v>182</v>
      </c>
      <c r="W346" s="159" t="s">
        <v>119</v>
      </c>
      <c r="X346" s="159" t="s">
        <v>111</v>
      </c>
      <c r="Y346" s="159" t="str">
        <f ca="1">IF(I346&lt;&gt;"",IF(I346&lt;=TODAY(),IF(OR(N346="REPROGRAMADA",N346="SUSPENDIDA",N346="EXCLUSION",N346="COLEGIADO"),"NO HECHA",IF(N346=" ","SINRESULTADO","SI")),"NO"),IF(N346="EXCLUSION","NO HECHA","LIMBO"))</f>
        <v>SI</v>
      </c>
      <c r="Z346" s="159" t="str">
        <f>IF($Z$1=I346,"DIASOL", "DIANOSOL")</f>
        <v>DIANOSOL</v>
      </c>
      <c r="AA346" s="159" t="s">
        <v>240</v>
      </c>
      <c r="AB346" s="256"/>
      <c r="AC346" s="159" t="str">
        <f>IF(H346=$M$1,"SI","NO")</f>
        <v>SI</v>
      </c>
      <c r="AD346" s="159"/>
      <c r="AE346" s="159">
        <v>44989</v>
      </c>
      <c r="AF346" s="159"/>
      <c r="AG346" s="159" t="str">
        <f>IF(COUNTIF(C346,"*preso*")&gt;0,"SI","NO")</f>
        <v>NO</v>
      </c>
      <c r="AH346" s="159">
        <f>NroOrden(N346)</f>
        <v>50</v>
      </c>
      <c r="AI346" s="159"/>
      <c r="AJ346" s="184" t="str">
        <f ca="1">IF(OR(Y346="NO",Y346="LIMBO"),"IMP","NOIMP")</f>
        <v>NOIMP</v>
      </c>
    </row>
    <row r="347" spans="1:36" ht="39.950000000000003" customHeight="1">
      <c r="A347" s="261">
        <v>349</v>
      </c>
      <c r="B347" s="262" t="s">
        <v>2145</v>
      </c>
      <c r="C347" s="263"/>
      <c r="D347" s="261" t="s">
        <v>2146</v>
      </c>
      <c r="E347" s="261" t="s">
        <v>2149</v>
      </c>
      <c r="F347" s="264">
        <v>45210</v>
      </c>
      <c r="G347" s="261" t="s">
        <v>2151</v>
      </c>
      <c r="H347" s="261" t="s">
        <v>1640</v>
      </c>
      <c r="I347" s="262">
        <v>45258</v>
      </c>
      <c r="J347" s="262" t="s">
        <v>282</v>
      </c>
      <c r="K347" s="261" t="s">
        <v>364</v>
      </c>
      <c r="L347" s="261" t="s">
        <v>1658</v>
      </c>
      <c r="M347" s="262" t="s">
        <v>1750</v>
      </c>
      <c r="N347" s="261" t="s">
        <v>357</v>
      </c>
      <c r="O347" s="261" t="s">
        <v>2034</v>
      </c>
      <c r="P347" s="261"/>
      <c r="Q347" s="261" t="s">
        <v>240</v>
      </c>
      <c r="R347" s="261"/>
      <c r="S347" s="261"/>
      <c r="T347" s="261"/>
      <c r="U347" s="261"/>
      <c r="V347" s="261" t="s">
        <v>189</v>
      </c>
      <c r="W347" s="261"/>
      <c r="X347" s="261"/>
      <c r="Y347" s="261" t="str">
        <f ca="1">IF(I347&lt;&gt;"",IF(I347&lt;=TODAY(),IF(OR(N347="REPROGRAMADA",N347="SUSPENDIDA",N347="EXCLUSION",N347="COLEGIADO"),"NO HECHA",IF(N347=" ","SINRESULTADO","SI")),"NO"),IF(N347="EXCLUSION","NO HECHA","LIMBO"))</f>
        <v>SI</v>
      </c>
      <c r="Z347" s="261" t="str">
        <f>IF($Z$1=I347,"DIASOL", "DIANOSOL")</f>
        <v>DIANOSOL</v>
      </c>
      <c r="AA347" s="261"/>
      <c r="AB347" s="261" t="s">
        <v>2150</v>
      </c>
      <c r="AC347" s="261" t="str">
        <f>IF(H347=$M$1,"SI","NO")</f>
        <v>NO</v>
      </c>
      <c r="AD347" s="261"/>
      <c r="AE347" s="264">
        <v>45210</v>
      </c>
      <c r="AF347" s="261"/>
      <c r="AG347" s="261" t="str">
        <f>IF(COUNTIF(C347,"*preso*")&gt;0,"SI","NO")</f>
        <v>NO</v>
      </c>
      <c r="AH347" s="261">
        <f>NroOrden(N347)</f>
        <v>50</v>
      </c>
      <c r="AI347" s="261"/>
      <c r="AJ347" s="342" t="str">
        <f ca="1">IF(OR(Y347="NO",Y347="LIMBO"),"IMP","NOIMP")</f>
        <v>NOIMP</v>
      </c>
    </row>
    <row r="348" spans="1:36" ht="39.950000000000003" customHeight="1">
      <c r="A348" s="159">
        <v>376</v>
      </c>
      <c r="B348" s="160" t="s">
        <v>2275</v>
      </c>
      <c r="C348" s="208" t="s">
        <v>501</v>
      </c>
      <c r="D348" s="159" t="s">
        <v>2276</v>
      </c>
      <c r="E348" s="159" t="s">
        <v>2277</v>
      </c>
      <c r="F348" s="256">
        <v>45223</v>
      </c>
      <c r="G348" s="159" t="s">
        <v>2278</v>
      </c>
      <c r="H348" s="159" t="s">
        <v>1642</v>
      </c>
      <c r="I348" s="160">
        <v>45259</v>
      </c>
      <c r="J348" s="160" t="s">
        <v>282</v>
      </c>
      <c r="K348" s="159" t="s">
        <v>364</v>
      </c>
      <c r="L348" s="159" t="s">
        <v>1658</v>
      </c>
      <c r="M348" s="160" t="s">
        <v>333</v>
      </c>
      <c r="N348" s="159" t="s">
        <v>356</v>
      </c>
      <c r="O348" s="159" t="s">
        <v>2034</v>
      </c>
      <c r="P348" s="159" t="s">
        <v>2662</v>
      </c>
      <c r="Q348" s="159" t="s">
        <v>240</v>
      </c>
      <c r="R348" s="159"/>
      <c r="S348" s="159"/>
      <c r="T348" s="159"/>
      <c r="U348" s="159"/>
      <c r="V348" s="159" t="s">
        <v>189</v>
      </c>
      <c r="W348" s="159" t="s">
        <v>202</v>
      </c>
      <c r="X348" s="159"/>
      <c r="Y348" s="159" t="str">
        <f ca="1">IF(I348&lt;&gt;"",IF(I348&lt;=TODAY(),IF(OR(N348="REPROGRAMADA",N348="SUSPENDIDA",N348="EXCLUSION",N348="COLEGIADO"),"NO HECHA",IF(N348=" ","SINRESULTADO","SI")),"NO"),IF(N348="EXCLUSION","NO HECHA","LIMBO"))</f>
        <v>SI</v>
      </c>
      <c r="Z348" s="159" t="str">
        <f>IF($Z$1=I348,"DIASOL", "DIANOSOL")</f>
        <v>DIANOSOL</v>
      </c>
      <c r="AA348" s="159"/>
      <c r="AB348" s="159" t="s">
        <v>2279</v>
      </c>
      <c r="AC348" s="159" t="str">
        <f>IF(H348=$M$1,"SI","NO")</f>
        <v>NO</v>
      </c>
      <c r="AD348" s="159"/>
      <c r="AE348" s="256">
        <v>45223</v>
      </c>
      <c r="AF348" s="159"/>
      <c r="AG348" s="159" t="str">
        <f>IF(COUNTIF(C348,"*preso*")&gt;0,"SI","NO")</f>
        <v>SI</v>
      </c>
      <c r="AH348" s="159">
        <f>NroOrden(N348)</f>
        <v>50</v>
      </c>
      <c r="AI348" s="159"/>
      <c r="AJ348" s="329" t="str">
        <f ca="1">IF(OR(Y348="NO",Y348="LIMBO"),"IMP","NOIMP")</f>
        <v>NOIMP</v>
      </c>
    </row>
    <row r="349" spans="1:36" ht="39.950000000000003" customHeight="1">
      <c r="A349" s="159">
        <v>348</v>
      </c>
      <c r="B349" s="160" t="s">
        <v>2140</v>
      </c>
      <c r="C349" s="208"/>
      <c r="D349" s="159" t="s">
        <v>2141</v>
      </c>
      <c r="E349" s="159" t="s">
        <v>2142</v>
      </c>
      <c r="F349" s="256">
        <v>45216</v>
      </c>
      <c r="G349" s="159" t="s">
        <v>2244</v>
      </c>
      <c r="H349" s="159" t="s">
        <v>1638</v>
      </c>
      <c r="I349" s="160">
        <v>45259</v>
      </c>
      <c r="J349" s="160" t="s">
        <v>960</v>
      </c>
      <c r="K349" s="159" t="s">
        <v>1674</v>
      </c>
      <c r="L349" s="159" t="s">
        <v>1658</v>
      </c>
      <c r="M349" s="160" t="s">
        <v>331</v>
      </c>
      <c r="N349" s="159" t="s">
        <v>359</v>
      </c>
      <c r="O349" s="159" t="s">
        <v>2034</v>
      </c>
      <c r="P349" s="159"/>
      <c r="Q349" s="159" t="s">
        <v>240</v>
      </c>
      <c r="R349" s="159"/>
      <c r="S349" s="159"/>
      <c r="T349" s="159"/>
      <c r="U349" s="159"/>
      <c r="V349" s="159" t="s">
        <v>191</v>
      </c>
      <c r="W349" s="159" t="s">
        <v>269</v>
      </c>
      <c r="X349" s="159" t="s">
        <v>2143</v>
      </c>
      <c r="Y349" s="159" t="str">
        <f ca="1">IF(I349&lt;&gt;"",IF(I349&lt;=TODAY(),IF(OR(N349="REPROGRAMADA",N349="SUSPENDIDA",N349="EXCLUSION",N349="COLEGIADO"),"NO HECHA",IF(N349=" ","SINRESULTADO","SI")),"NO"),IF(N349="EXCLUSION","NO HECHA","LIMBO"))</f>
        <v>SI</v>
      </c>
      <c r="Z349" s="159" t="str">
        <f>IF($Z$1=I349,"DIASOL", "DIANOSOL")</f>
        <v>DIANOSOL</v>
      </c>
      <c r="AA349" s="159"/>
      <c r="AB349" s="159" t="s">
        <v>2144</v>
      </c>
      <c r="AC349" s="159" t="str">
        <f>IF(H349=$M$1,"SI","NO")</f>
        <v>NO</v>
      </c>
      <c r="AD349" s="159"/>
      <c r="AE349" s="256">
        <v>45216</v>
      </c>
      <c r="AF349" s="159"/>
      <c r="AG349" s="159" t="str">
        <f>IF(COUNTIF(C349,"*preso*")&gt;0,"SI","NO")</f>
        <v>NO</v>
      </c>
      <c r="AH349" s="159">
        <f>NroOrden(N349)</f>
        <v>50</v>
      </c>
      <c r="AI349" s="159"/>
      <c r="AJ349" s="329" t="str">
        <f ca="1">IF(OR(Y349="NO",Y349="LIMBO"),"IMP","NOIMP")</f>
        <v>NOIMP</v>
      </c>
    </row>
    <row r="350" spans="1:36" ht="39.950000000000003" customHeight="1">
      <c r="A350" s="159">
        <v>362</v>
      </c>
      <c r="B350" s="160" t="s">
        <v>2211</v>
      </c>
      <c r="C350" s="208" t="s">
        <v>501</v>
      </c>
      <c r="D350" s="159" t="s">
        <v>2212</v>
      </c>
      <c r="E350" s="159" t="s">
        <v>2213</v>
      </c>
      <c r="F350" s="256">
        <v>45211</v>
      </c>
      <c r="G350" s="159"/>
      <c r="H350" s="159" t="s">
        <v>1643</v>
      </c>
      <c r="I350" s="160">
        <v>45259</v>
      </c>
      <c r="J350" s="160" t="s">
        <v>1667</v>
      </c>
      <c r="K350" s="159" t="s">
        <v>2117</v>
      </c>
      <c r="L350" s="159" t="s">
        <v>1659</v>
      </c>
      <c r="M350" s="160" t="s">
        <v>2155</v>
      </c>
      <c r="N350" s="159" t="s">
        <v>1387</v>
      </c>
      <c r="O350" s="159" t="s">
        <v>2035</v>
      </c>
      <c r="P350" s="159" t="s">
        <v>2661</v>
      </c>
      <c r="Q350" s="159" t="s">
        <v>240</v>
      </c>
      <c r="R350" s="159"/>
      <c r="S350" s="159" t="s">
        <v>2214</v>
      </c>
      <c r="T350" s="159" t="s">
        <v>2215</v>
      </c>
      <c r="U350" s="159" t="s">
        <v>2663</v>
      </c>
      <c r="V350" s="159" t="s">
        <v>338</v>
      </c>
      <c r="W350" s="159"/>
      <c r="X350" s="159"/>
      <c r="Y350" s="159" t="str">
        <f ca="1">IF(I350&lt;&gt;"",IF(I350&lt;=TODAY(),IF(OR(N350="REPROGRAMADA",N350="SUSPENDIDA",N350="EXCLUSION",N350="COLEGIADO"),"NO HECHA",IF(N350=" ","SINRESULTADO","SI")),"NO"),IF(N350="EXCLUSION","NO HECHA","LIMBO"))</f>
        <v>SI</v>
      </c>
      <c r="Z350" s="159" t="str">
        <f>IF($Z$1=I350,"DIASOL", "DIANOSOL")</f>
        <v>DIANOSOL</v>
      </c>
      <c r="AA350" s="159"/>
      <c r="AB350" s="159" t="s">
        <v>2216</v>
      </c>
      <c r="AC350" s="159" t="str">
        <f>IF(H350=$M$1,"SI","NO")</f>
        <v>SI</v>
      </c>
      <c r="AD350" s="159"/>
      <c r="AE350" s="159"/>
      <c r="AF350" s="159"/>
      <c r="AG350" s="159" t="str">
        <f>IF(COUNTIF(C350,"*preso*")&gt;0,"SI","NO")</f>
        <v>SI</v>
      </c>
      <c r="AH350" s="159">
        <f>NroOrden(N350)</f>
        <v>50</v>
      </c>
      <c r="AI350" s="159"/>
      <c r="AJ350" s="329" t="str">
        <f ca="1">IF(OR(Y350="NO",Y350="LIMBO"),"IMP","NOIMP")</f>
        <v>NOIMP</v>
      </c>
    </row>
    <row r="351" spans="1:36" ht="39.950000000000003" customHeight="1">
      <c r="A351" s="159">
        <v>329</v>
      </c>
      <c r="B351" s="160" t="s">
        <v>2049</v>
      </c>
      <c r="C351" s="208"/>
      <c r="D351" s="159" t="s">
        <v>2051</v>
      </c>
      <c r="E351" s="159" t="s">
        <v>2050</v>
      </c>
      <c r="F351" s="256">
        <v>45205</v>
      </c>
      <c r="G351" s="159" t="s">
        <v>2243</v>
      </c>
      <c r="H351" s="159" t="s">
        <v>1644</v>
      </c>
      <c r="I351" s="160">
        <v>45260</v>
      </c>
      <c r="J351" s="160" t="s">
        <v>282</v>
      </c>
      <c r="K351" s="159" t="s">
        <v>2117</v>
      </c>
      <c r="L351" s="159" t="s">
        <v>1659</v>
      </c>
      <c r="M351" s="160" t="s">
        <v>1808</v>
      </c>
      <c r="N351" s="159" t="s">
        <v>355</v>
      </c>
      <c r="O351" s="159" t="s">
        <v>2034</v>
      </c>
      <c r="P351" s="269"/>
      <c r="Q351" s="269" t="s">
        <v>240</v>
      </c>
      <c r="R351" s="269"/>
      <c r="S351" s="269"/>
      <c r="T351" s="269"/>
      <c r="U351" s="269"/>
      <c r="V351" s="269" t="s">
        <v>191</v>
      </c>
      <c r="W351" s="269"/>
      <c r="X351" s="269"/>
      <c r="Y351" s="269" t="str">
        <f ca="1">IF(I351&lt;&gt;"",IF(I351&lt;=TODAY(),IF(OR(N351="REPROGRAMADA",N351="SUSPENDIDA",N351="EXCLUSION",N351="COLEGIADO"),"NO HECHA",IF(N351=" ","SINRESULTADO","SI")),"NO"),IF(N351="EXCLUSION","NO HECHA","LIMBO"))</f>
        <v>SI</v>
      </c>
      <c r="Z351" s="269" t="str">
        <f>IF($Z$1=I351,"DIASOL", "DIANOSOL")</f>
        <v>DIANOSOL</v>
      </c>
      <c r="AA351" s="269"/>
      <c r="AB351" s="269" t="s">
        <v>2052</v>
      </c>
      <c r="AC351" s="269" t="str">
        <f>IF(H351=$M$1,"SI","NO")</f>
        <v>NO</v>
      </c>
      <c r="AD351" s="269"/>
      <c r="AE351" s="336">
        <v>45205</v>
      </c>
      <c r="AF351" s="269"/>
      <c r="AG351" s="269" t="str">
        <f>IF(COUNTIF(C351,"*preso*")&gt;0,"SI","NO")</f>
        <v>NO</v>
      </c>
      <c r="AH351" s="269">
        <f>NroOrden(N351)</f>
        <v>50</v>
      </c>
      <c r="AI351" s="269"/>
      <c r="AJ351" s="343" t="str">
        <f ca="1">IF(OR(Y351="NO",Y351="LIMBO"),"IMP","NOIMP")</f>
        <v>NOIMP</v>
      </c>
    </row>
    <row r="352" spans="1:36" ht="38.25">
      <c r="A352" s="159">
        <v>359</v>
      </c>
      <c r="B352" s="160" t="s">
        <v>2206</v>
      </c>
      <c r="C352" s="208"/>
      <c r="D352" s="159" t="s">
        <v>2207</v>
      </c>
      <c r="E352" s="159" t="s">
        <v>2208</v>
      </c>
      <c r="F352" s="256">
        <v>45219</v>
      </c>
      <c r="G352" s="159"/>
      <c r="H352" s="159" t="s">
        <v>1640</v>
      </c>
      <c r="I352" s="160">
        <v>45260</v>
      </c>
      <c r="J352" s="160" t="s">
        <v>282</v>
      </c>
      <c r="K352" s="159" t="s">
        <v>362</v>
      </c>
      <c r="L352" s="159" t="s">
        <v>1658</v>
      </c>
      <c r="M352" s="160" t="s">
        <v>1805</v>
      </c>
      <c r="N352" s="159" t="s">
        <v>355</v>
      </c>
      <c r="O352" s="159" t="s">
        <v>2034</v>
      </c>
      <c r="P352" s="159" t="s">
        <v>2677</v>
      </c>
      <c r="Q352" s="159" t="s">
        <v>240</v>
      </c>
      <c r="R352" s="159"/>
      <c r="S352" s="159"/>
      <c r="T352" s="159"/>
      <c r="U352" s="159"/>
      <c r="V352" s="159" t="s">
        <v>182</v>
      </c>
      <c r="W352" s="159" t="s">
        <v>202</v>
      </c>
      <c r="X352" s="159"/>
      <c r="Y352" s="159" t="str">
        <f ca="1">IF(I352&lt;&gt;"",IF(I352&lt;=TODAY(),IF(OR(N352="REPROGRAMADA",N352="SUSPENDIDA",N352="EXCLUSION",N352="COLEGIADO"),"NO HECHA",IF(N352=" ","SINRESULTADO","SI")),"NO"),IF(N352="EXCLUSION","NO HECHA","LIMBO"))</f>
        <v>SI</v>
      </c>
      <c r="Z352" s="159" t="str">
        <f>IF($Z$1=I352,"DIASOL", "DIANOSOL")</f>
        <v>DIANOSOL</v>
      </c>
      <c r="AA352" s="159"/>
      <c r="AB352" s="159" t="s">
        <v>2209</v>
      </c>
      <c r="AC352" s="159" t="str">
        <f>IF(H352=$M$1,"SI","NO")</f>
        <v>NO</v>
      </c>
      <c r="AD352" s="159"/>
      <c r="AE352" s="256">
        <v>45219</v>
      </c>
      <c r="AF352" s="159"/>
      <c r="AG352" s="159" t="str">
        <f>IF(COUNTIF(C352,"*preso*")&gt;0,"SI","NO")</f>
        <v>NO</v>
      </c>
      <c r="AH352" s="159">
        <f>NroOrden(N352)</f>
        <v>50</v>
      </c>
      <c r="AI352" s="159"/>
      <c r="AJ352" s="159" t="str">
        <f ca="1">IF(OR(Y352="NO",Y352="LIMBO"),"IMP","NOIMP")</f>
        <v>NOIMP</v>
      </c>
    </row>
    <row r="353" spans="1:36" s="6" customFormat="1" ht="25.5">
      <c r="A353" s="159">
        <v>407</v>
      </c>
      <c r="B353" s="160" t="s">
        <v>1967</v>
      </c>
      <c r="C353" s="208"/>
      <c r="D353" s="159" t="s">
        <v>1969</v>
      </c>
      <c r="E353" s="159" t="s">
        <v>1971</v>
      </c>
      <c r="F353" s="159">
        <v>45202</v>
      </c>
      <c r="G353" s="159" t="s">
        <v>1836</v>
      </c>
      <c r="H353" s="159" t="s">
        <v>1642</v>
      </c>
      <c r="I353" s="160">
        <v>45260</v>
      </c>
      <c r="J353" s="160" t="s">
        <v>1045</v>
      </c>
      <c r="K353" s="159" t="s">
        <v>2131</v>
      </c>
      <c r="L353" s="159" t="s">
        <v>1658</v>
      </c>
      <c r="M353" s="160" t="s">
        <v>1807</v>
      </c>
      <c r="N353" s="159" t="s">
        <v>355</v>
      </c>
      <c r="O353" s="159" t="s">
        <v>2034</v>
      </c>
      <c r="P353" s="159"/>
      <c r="Q353" s="159" t="s">
        <v>240</v>
      </c>
      <c r="R353" s="159"/>
      <c r="S353" s="159"/>
      <c r="T353" s="159"/>
      <c r="U353" s="159"/>
      <c r="V353" s="159" t="s">
        <v>913</v>
      </c>
      <c r="W353" s="159" t="s">
        <v>111</v>
      </c>
      <c r="X353" s="159" t="s">
        <v>111</v>
      </c>
      <c r="Y353" s="159" t="str">
        <f ca="1">IF(I353&lt;&gt;"",IF(I353&lt;=TODAY(),IF(OR(N353="REPROGRAMADA",N353="SUSPENDIDA",N353="EXCLUSION",N353="COLEGIADO"),"NO HECHA",IF(N353=" ","SINRESULTADO","SI")),"NO"),IF(N353="EXCLUSION","NO HECHA","LIMBO"))</f>
        <v>SI</v>
      </c>
      <c r="Z353" s="159" t="str">
        <f>IF($Z$1=I353,"DIASOL", "DIANOSOL")</f>
        <v>DIANOSOL</v>
      </c>
      <c r="AA353" s="159" t="s">
        <v>240</v>
      </c>
      <c r="AB353" s="256"/>
      <c r="AC353" s="159" t="str">
        <f>IF(H353=$M$1,"SI","NO")</f>
        <v>NO</v>
      </c>
      <c r="AD353" s="159"/>
      <c r="AE353" s="159">
        <v>45202</v>
      </c>
      <c r="AF353" s="159"/>
      <c r="AG353" s="159" t="str">
        <f>IF(COUNTIF(C353,"*preso*")&gt;0,"SI","NO")</f>
        <v>NO</v>
      </c>
      <c r="AH353" s="159">
        <f>NroOrden(N353)</f>
        <v>50</v>
      </c>
      <c r="AI353" s="159"/>
      <c r="AJ353" s="159" t="str">
        <f ca="1">IF(OR(Y353="NO",Y353="LIMBO"),"IMP","NOIMP")</f>
        <v>NOIMP</v>
      </c>
    </row>
    <row r="354" spans="1:36" s="6" customFormat="1" ht="115.5" customHeight="1">
      <c r="A354" s="261">
        <v>367</v>
      </c>
      <c r="B354" s="262" t="s">
        <v>2230</v>
      </c>
      <c r="C354" s="263"/>
      <c r="D354" s="261" t="s">
        <v>2231</v>
      </c>
      <c r="E354" s="261" t="s">
        <v>2232</v>
      </c>
      <c r="F354" s="264">
        <v>45204</v>
      </c>
      <c r="G354" s="261" t="s">
        <v>2238</v>
      </c>
      <c r="H354" s="261" t="s">
        <v>1641</v>
      </c>
      <c r="I354" s="262">
        <v>45260</v>
      </c>
      <c r="J354" s="262" t="s">
        <v>1417</v>
      </c>
      <c r="K354" s="261" t="s">
        <v>2117</v>
      </c>
      <c r="L354" s="261" t="s">
        <v>1658</v>
      </c>
      <c r="M354" s="262" t="s">
        <v>1808</v>
      </c>
      <c r="N354" s="261" t="s">
        <v>357</v>
      </c>
      <c r="O354" s="261" t="s">
        <v>2034</v>
      </c>
      <c r="P354" s="261"/>
      <c r="Q354" s="261" t="s">
        <v>240</v>
      </c>
      <c r="R354" s="261"/>
      <c r="S354" s="261"/>
      <c r="T354" s="261"/>
      <c r="U354" s="261"/>
      <c r="V354" s="261" t="s">
        <v>341</v>
      </c>
      <c r="W354" s="261" t="s">
        <v>202</v>
      </c>
      <c r="X354" s="261"/>
      <c r="Y354" s="261" t="str">
        <f ca="1">IF(I354&lt;&gt;"",IF(I354&lt;=TODAY(),IF(OR(N354="REPROGRAMADA",N354="SUSPENDIDA",N354="EXCLUSION",N354="COLEGIADO"),"NO HECHA",IF(N354=" ","SINRESULTADO","SI")),"NO"),IF(N354="EXCLUSION","NO HECHA","LIMBO"))</f>
        <v>SI</v>
      </c>
      <c r="Z354" s="261" t="str">
        <f>IF($Z$1=I354,"DIASOL", "DIANOSOL")</f>
        <v>DIANOSOL</v>
      </c>
      <c r="AA354" s="261"/>
      <c r="AB354" s="261" t="s">
        <v>2233</v>
      </c>
      <c r="AC354" s="261" t="str">
        <f>IF(H354=$M$1,"SI","NO")</f>
        <v>NO</v>
      </c>
      <c r="AD354" s="261"/>
      <c r="AE354" s="264">
        <v>45204</v>
      </c>
      <c r="AF354" s="261"/>
      <c r="AG354" s="261" t="str">
        <f>IF(COUNTIF(C354,"*preso*")&gt;0,"SI","NO")</f>
        <v>NO</v>
      </c>
      <c r="AH354" s="261">
        <f>NroOrden(N354)</f>
        <v>50</v>
      </c>
      <c r="AI354" s="261"/>
      <c r="AJ354" s="261" t="str">
        <f ca="1">IF(OR(Y354="NO",Y354="LIMBO"),"IMP","NOIMP")</f>
        <v>NOIMP</v>
      </c>
    </row>
    <row r="355" spans="1:36" ht="54.75" customHeight="1">
      <c r="A355" s="159">
        <v>445</v>
      </c>
      <c r="B355" s="160" t="s">
        <v>2622</v>
      </c>
      <c r="C355" s="208" t="s">
        <v>501</v>
      </c>
      <c r="D355" s="159" t="s">
        <v>2623</v>
      </c>
      <c r="E355" s="159" t="s">
        <v>2624</v>
      </c>
      <c r="F355" s="159" t="s">
        <v>2625</v>
      </c>
      <c r="G355" s="159"/>
      <c r="H355" s="159" t="s">
        <v>1637</v>
      </c>
      <c r="I355" s="160">
        <v>45260</v>
      </c>
      <c r="J355" s="160" t="s">
        <v>960</v>
      </c>
      <c r="K355" s="159" t="s">
        <v>1674</v>
      </c>
      <c r="L355" s="159" t="s">
        <v>1658</v>
      </c>
      <c r="M355" s="160" t="s">
        <v>331</v>
      </c>
      <c r="N355" s="159" t="s">
        <v>355</v>
      </c>
      <c r="O355" s="159" t="s">
        <v>2034</v>
      </c>
      <c r="P355" s="159" t="s">
        <v>2678</v>
      </c>
      <c r="Q355" s="159" t="s">
        <v>240</v>
      </c>
      <c r="R355" s="159"/>
      <c r="S355" s="159"/>
      <c r="T355" s="159"/>
      <c r="U355" s="159"/>
      <c r="V355" s="159" t="s">
        <v>183</v>
      </c>
      <c r="W355" s="159"/>
      <c r="X355" s="159"/>
      <c r="Y355" s="159" t="str">
        <f ca="1">IF(I355&lt;&gt;"",IF(I355&lt;=TODAY(),IF(OR(N355="REPROGRAMADA",N355="SUSPENDIDA",N355="EXCLUSION",N355="COLEGIADO"),"NO HECHA",IF(N355=" ","SINRESULTADO","SI")),"NO"),IF(N355="EXCLUSION","NO HECHA","LIMBO"))</f>
        <v>SI</v>
      </c>
      <c r="Z355" s="159" t="str">
        <f>IF($Z$1=I355,"DIASOL", "DIANOSOL")</f>
        <v>DIANOSOL</v>
      </c>
      <c r="AA355" s="159"/>
      <c r="AB355" s="159" t="s">
        <v>2626</v>
      </c>
      <c r="AC355" s="159" t="str">
        <f>IF(H355=$M$1,"SI","NO")</f>
        <v>NO</v>
      </c>
      <c r="AD355" s="159"/>
      <c r="AE355" s="159"/>
      <c r="AF355" s="159"/>
      <c r="AG355" s="159" t="str">
        <f>IF(COUNTIF(C355,"*preso*")&gt;0,"SI","NO")</f>
        <v>SI</v>
      </c>
      <c r="AH355" s="159">
        <f>NroOrden(N355)</f>
        <v>50</v>
      </c>
      <c r="AI355" s="159" t="s">
        <v>2627</v>
      </c>
      <c r="AJ355" s="159" t="str">
        <f ca="1">IF(OR(Y355="NO",Y355="LIMBO"),"IMP","NOIMP")</f>
        <v>NOIMP</v>
      </c>
    </row>
    <row r="356" spans="1:36" s="6" customFormat="1" ht="39.950000000000003" customHeight="1">
      <c r="A356" s="159">
        <v>387</v>
      </c>
      <c r="B356" s="160" t="s">
        <v>2339</v>
      </c>
      <c r="C356" s="208"/>
      <c r="D356" s="159" t="s">
        <v>2340</v>
      </c>
      <c r="E356" s="159" t="s">
        <v>2341</v>
      </c>
      <c r="F356" s="256">
        <v>45222</v>
      </c>
      <c r="G356" s="159" t="s">
        <v>2278</v>
      </c>
      <c r="H356" s="159" t="s">
        <v>1641</v>
      </c>
      <c r="I356" s="160">
        <v>45261</v>
      </c>
      <c r="J356" s="160" t="s">
        <v>282</v>
      </c>
      <c r="K356" s="159" t="s">
        <v>2117</v>
      </c>
      <c r="L356" s="159" t="s">
        <v>1659</v>
      </c>
      <c r="M356" s="160" t="s">
        <v>1802</v>
      </c>
      <c r="N356" s="159" t="s">
        <v>359</v>
      </c>
      <c r="O356" s="159" t="s">
        <v>2034</v>
      </c>
      <c r="P356" s="159"/>
      <c r="Q356" s="159" t="s">
        <v>240</v>
      </c>
      <c r="R356" s="159"/>
      <c r="S356" s="159"/>
      <c r="T356" s="159"/>
      <c r="U356" s="159"/>
      <c r="V356" s="159" t="s">
        <v>346</v>
      </c>
      <c r="W356" s="159" t="s">
        <v>140</v>
      </c>
      <c r="X356" s="159"/>
      <c r="Y356" s="159" t="str">
        <f ca="1">IF(I356&lt;&gt;"",IF(I356&lt;=TODAY(),IF(OR(N356="REPROGRAMADA",N356="SUSPENDIDA",N356="EXCLUSION",N356="COLEGIADO"),"NO HECHA",IF(N356=" ","SINRESULTADO","SI")),"NO"),IF(N356="EXCLUSION","NO HECHA","LIMBO"))</f>
        <v>SI</v>
      </c>
      <c r="Z356" s="159" t="str">
        <f>IF($Z$1=I356,"DIASOL", "DIANOSOL")</f>
        <v>DIASOL</v>
      </c>
      <c r="AA356" s="159"/>
      <c r="AB356" s="159" t="s">
        <v>2342</v>
      </c>
      <c r="AC356" s="159" t="str">
        <f>IF(H356=$M$1,"SI","NO")</f>
        <v>NO</v>
      </c>
      <c r="AD356" s="159"/>
      <c r="AE356" s="256">
        <v>45222</v>
      </c>
      <c r="AF356" s="159"/>
      <c r="AG356" s="159" t="str">
        <f>IF(COUNTIF(C356,"*preso*")&gt;0,"SI","NO")</f>
        <v>NO</v>
      </c>
      <c r="AH356" s="159">
        <f>NroOrden(N356)</f>
        <v>50</v>
      </c>
      <c r="AI356" s="159"/>
      <c r="AJ356" s="159" t="str">
        <f ca="1">IF(OR(Y356="NO",Y356="LIMBO"),"IMP","NOIMP")</f>
        <v>NOIMP</v>
      </c>
    </row>
    <row r="357" spans="1:36" s="6" customFormat="1" ht="39.950000000000003" customHeight="1">
      <c r="A357" s="159">
        <v>337</v>
      </c>
      <c r="B357" s="160" t="s">
        <v>2088</v>
      </c>
      <c r="C357" s="208"/>
      <c r="D357" s="159" t="s">
        <v>2089</v>
      </c>
      <c r="E357" s="159" t="s">
        <v>2104</v>
      </c>
      <c r="F357" s="256">
        <v>45202</v>
      </c>
      <c r="G357" s="159" t="s">
        <v>2105</v>
      </c>
      <c r="H357" s="159" t="s">
        <v>1644</v>
      </c>
      <c r="I357" s="160">
        <v>45261</v>
      </c>
      <c r="J357" s="160" t="s">
        <v>396</v>
      </c>
      <c r="K357" s="159" t="s">
        <v>1827</v>
      </c>
      <c r="L357" s="159" t="s">
        <v>1658</v>
      </c>
      <c r="M357" s="160" t="s">
        <v>1802</v>
      </c>
      <c r="N357" s="159" t="s">
        <v>378</v>
      </c>
      <c r="O357" s="159" t="s">
        <v>2034</v>
      </c>
      <c r="P357" s="159" t="s">
        <v>2680</v>
      </c>
      <c r="Q357" s="159" t="s">
        <v>240</v>
      </c>
      <c r="R357" s="159"/>
      <c r="S357" s="159"/>
      <c r="T357" s="159"/>
      <c r="U357" s="159"/>
      <c r="V357" s="159" t="s">
        <v>341</v>
      </c>
      <c r="W357" s="159"/>
      <c r="X357" s="159"/>
      <c r="Y357" s="159" t="str">
        <f ca="1">IF(I357&lt;&gt;"",IF(I357&lt;=TODAY(),IF(OR(N357="REPROGRAMADA",N357="SUSPENDIDA",N357="EXCLUSION",N357="COLEGIADO"),"NO HECHA",IF(N357=" ","SINRESULTADO","SI")),"NO"),IF(N357="EXCLUSION","NO HECHA","LIMBO"))</f>
        <v>SI</v>
      </c>
      <c r="Z357" s="159" t="str">
        <f>IF($Z$1=I357,"DIASOL", "DIANOSOL")</f>
        <v>DIASOL</v>
      </c>
      <c r="AA357" s="159"/>
      <c r="AB357" s="159" t="s">
        <v>2106</v>
      </c>
      <c r="AC357" s="159" t="str">
        <f>IF(H357=$M$1,"SI","NO")</f>
        <v>NO</v>
      </c>
      <c r="AD357" s="159"/>
      <c r="AE357" s="256">
        <v>45202</v>
      </c>
      <c r="AF357" s="159"/>
      <c r="AG357" s="159" t="str">
        <f>IF(COUNTIF(C357,"*preso*")&gt;0,"SI","NO")</f>
        <v>NO</v>
      </c>
      <c r="AH357" s="159">
        <f>NroOrden(N357)</f>
        <v>50</v>
      </c>
      <c r="AI357" s="159"/>
      <c r="AJ357" s="159" t="str">
        <f ca="1">IF(OR(Y357="NO",Y357="LIMBO"),"IMP","NOIMP")</f>
        <v>NOIMP</v>
      </c>
    </row>
    <row r="358" spans="1:36" ht="79.5" customHeight="1">
      <c r="A358" s="159">
        <v>450</v>
      </c>
      <c r="B358" s="160" t="s">
        <v>1697</v>
      </c>
      <c r="C358" s="208"/>
      <c r="D358" s="159" t="s">
        <v>1699</v>
      </c>
      <c r="E358" s="159" t="s">
        <v>1698</v>
      </c>
      <c r="F358" s="159" t="s">
        <v>2648</v>
      </c>
      <c r="G358" s="159"/>
      <c r="H358" s="159" t="s">
        <v>1641</v>
      </c>
      <c r="I358" s="160" t="s">
        <v>2649</v>
      </c>
      <c r="J358" s="160" t="s">
        <v>13</v>
      </c>
      <c r="K358" s="159"/>
      <c r="L358" s="159"/>
      <c r="M358" s="160" t="s">
        <v>331</v>
      </c>
      <c r="N358" s="159" t="s">
        <v>359</v>
      </c>
      <c r="O358" s="159" t="s">
        <v>2034</v>
      </c>
      <c r="P358" s="159" t="s">
        <v>2679</v>
      </c>
      <c r="Q358" s="159" t="s">
        <v>240</v>
      </c>
      <c r="R358" s="159"/>
      <c r="S358" s="159"/>
      <c r="T358" s="159"/>
      <c r="U358" s="159"/>
      <c r="V358" s="159" t="s">
        <v>337</v>
      </c>
      <c r="W358" s="159" t="s">
        <v>111</v>
      </c>
      <c r="X358" s="159" t="s">
        <v>111</v>
      </c>
      <c r="Y358" s="159" t="str">
        <f ca="1">IF(I358&lt;&gt;"",IF(I358&lt;=TODAY(),IF(OR(N358="REPROGRAMADA",N358="SUSPENDIDA",N358="EXCLUSION",N358="COLEGIADO"),"NO HECHA",IF(N358=" ","SINRESULTADO","SI")),"NO"),IF(N358="EXCLUSION","NO HECHA","LIMBO"))</f>
        <v>NO</v>
      </c>
      <c r="Z358" s="159" t="str">
        <f>IF($Z$1=I358,"DIASOL", "DIANOSOL")</f>
        <v>DIANOSOL</v>
      </c>
      <c r="AA358" s="159" t="s">
        <v>240</v>
      </c>
      <c r="AB358" s="256"/>
      <c r="AC358" s="159" t="str">
        <f>IF(H358=$M$1,"SI","NO")</f>
        <v>NO</v>
      </c>
      <c r="AD358" s="159"/>
      <c r="AE358" s="159">
        <v>45167</v>
      </c>
      <c r="AF358" s="159"/>
      <c r="AG358" s="159" t="str">
        <f>IF(COUNTIF(C358,"*preso*")&gt;0,"SI","NO")</f>
        <v>NO</v>
      </c>
      <c r="AH358" s="159">
        <f>NroOrden(N358)</f>
        <v>50</v>
      </c>
      <c r="AI358" s="159"/>
      <c r="AJ358" s="159" t="str">
        <f ca="1">IF(OR(Y358="NO",Y358="LIMBO"),"IMP","NOIMP")</f>
        <v>IMP</v>
      </c>
    </row>
    <row r="359" spans="1:36" s="6" customFormat="1" ht="39.950000000000003" customHeight="1">
      <c r="A359" s="159">
        <v>442</v>
      </c>
      <c r="B359" s="160" t="s">
        <v>2164</v>
      </c>
      <c r="C359" s="208" t="s">
        <v>1472</v>
      </c>
      <c r="D359" s="159" t="s">
        <v>2165</v>
      </c>
      <c r="E359" s="159" t="s">
        <v>2166</v>
      </c>
      <c r="F359" s="159">
        <v>45217</v>
      </c>
      <c r="G359" s="159"/>
      <c r="H359" s="159" t="s">
        <v>1637</v>
      </c>
      <c r="I359" s="160" t="s">
        <v>2607</v>
      </c>
      <c r="J359" s="160" t="s">
        <v>15</v>
      </c>
      <c r="K359" s="159" t="s">
        <v>362</v>
      </c>
      <c r="L359" s="159" t="s">
        <v>1658</v>
      </c>
      <c r="M359" s="160" t="s">
        <v>328</v>
      </c>
      <c r="N359" s="159" t="s">
        <v>356</v>
      </c>
      <c r="O359" s="159" t="s">
        <v>2034</v>
      </c>
      <c r="P359" s="159" t="s">
        <v>2646</v>
      </c>
      <c r="Q359" s="159" t="s">
        <v>240</v>
      </c>
      <c r="R359" s="159"/>
      <c r="S359" s="159" t="s">
        <v>1946</v>
      </c>
      <c r="T359" s="159" t="s">
        <v>2168</v>
      </c>
      <c r="U359" s="159" t="s">
        <v>2169</v>
      </c>
      <c r="V359" s="159" t="s">
        <v>199</v>
      </c>
      <c r="W359" s="159" t="s">
        <v>134</v>
      </c>
      <c r="X359" s="159"/>
      <c r="Y359" s="159" t="str">
        <f ca="1">IF(I359&lt;&gt;"",IF(I359&lt;=TODAY(),IF(OR(N359="REPROGRAMADA",N359="SUSPENDIDA",N359="EXCLUSION",N359="COLEGIADO"),"NO HECHA",IF(N359=" ","SINRESULTADO","SI")),"NO"),IF(N359="EXCLUSION","NO HECHA","LIMBO"))</f>
        <v>NO</v>
      </c>
      <c r="Z359" s="159" t="str">
        <f>IF($Z$1=I359,"DIASOL", "DIANOSOL")</f>
        <v>DIANOSOL</v>
      </c>
      <c r="AA359" s="159"/>
      <c r="AB359" s="256"/>
      <c r="AC359" s="159" t="str">
        <f>IF(H359=$M$1,"SI","NO")</f>
        <v>NO</v>
      </c>
      <c r="AD359" s="159"/>
      <c r="AE359" s="159">
        <v>45217</v>
      </c>
      <c r="AF359" s="159"/>
      <c r="AG359" s="159" t="str">
        <f>IF(COUNTIF(C359,"*preso*")&gt;0,"SI","NO")</f>
        <v>SI</v>
      </c>
      <c r="AH359" s="159">
        <f>NroOrden(N359)</f>
        <v>50</v>
      </c>
      <c r="AI359" s="159" t="s">
        <v>2606</v>
      </c>
      <c r="AJ359" s="159" t="str">
        <f ca="1">IF(OR(Y359="NO",Y359="LIMBO"),"IMP","NOIMP")</f>
        <v>IMP</v>
      </c>
    </row>
    <row r="360" spans="1:36" ht="39.950000000000003" customHeight="1">
      <c r="A360" s="274">
        <v>236</v>
      </c>
      <c r="B360" s="275" t="s">
        <v>1618</v>
      </c>
      <c r="C360" s="276"/>
      <c r="D360" s="274" t="s">
        <v>1619</v>
      </c>
      <c r="E360" s="274" t="s">
        <v>1620</v>
      </c>
      <c r="F360" s="277">
        <v>45174</v>
      </c>
      <c r="G360" s="274" t="s">
        <v>1617</v>
      </c>
      <c r="H360" s="274" t="s">
        <v>1642</v>
      </c>
      <c r="I360" s="275">
        <v>45226</v>
      </c>
      <c r="J360" s="275" t="s">
        <v>396</v>
      </c>
      <c r="K360" s="274" t="s">
        <v>362</v>
      </c>
      <c r="L360" s="278" t="s">
        <v>1659</v>
      </c>
      <c r="M360" s="275" t="s">
        <v>330</v>
      </c>
      <c r="N360" s="274" t="s">
        <v>111</v>
      </c>
      <c r="O360" s="274"/>
      <c r="P360" s="274"/>
      <c r="Q360" s="274" t="s">
        <v>111</v>
      </c>
      <c r="R360" s="274"/>
      <c r="S360" s="274"/>
      <c r="T360" s="274"/>
      <c r="U360" s="274"/>
      <c r="V360" s="274" t="s">
        <v>199</v>
      </c>
      <c r="W360" s="274" t="s">
        <v>136</v>
      </c>
      <c r="X360" s="274" t="s">
        <v>111</v>
      </c>
      <c r="Y360" s="274" t="str">
        <f ca="1">IF(I360&lt;&gt;"",IF(I360&lt;=TODAY(),IF(OR(N360="REPROGRAMADA",N360="SUSPENDIDA",N360="EXCLUSION",N360="COLEGIADO"),"NO HECHA",IF(N360=" ","SINRESULTADO","SI")),"NO"),IF(N360="EXCLUSION","NO HECHA","LIMBO"))</f>
        <v>SINRESULTADO</v>
      </c>
      <c r="Z360" s="274" t="str">
        <f>IF($Z$1=I360,"DIASOL", "DIANOSOL")</f>
        <v>DIANOSOL</v>
      </c>
      <c r="AA360" s="274" t="s">
        <v>240</v>
      </c>
      <c r="AB360" s="274" t="s">
        <v>1621</v>
      </c>
      <c r="AC360" s="274" t="str">
        <f>IF(H360=$M$1,"SI","NO")</f>
        <v>NO</v>
      </c>
      <c r="AD360" s="274"/>
      <c r="AE360" s="277">
        <v>45091</v>
      </c>
      <c r="AF360" s="274"/>
      <c r="AG360" s="274" t="str">
        <f>IF(COUNTIF(C360,"*preso*")&gt;0,"SI","NO")</f>
        <v>NO</v>
      </c>
      <c r="AH360" s="179">
        <f>NroOrden(N360)</f>
        <v>99</v>
      </c>
      <c r="AI360" s="274"/>
      <c r="AJ360" s="152" t="str">
        <f ca="1">IF(OR(Y360="NO",Y360="LIMBO"),"IMP","NOIMP")</f>
        <v>NOIMP</v>
      </c>
    </row>
    <row r="361" spans="1:36" ht="39.950000000000003" customHeight="1">
      <c r="A361" s="221">
        <v>385</v>
      </c>
      <c r="B361" s="222" t="s">
        <v>1611</v>
      </c>
      <c r="C361" s="223"/>
      <c r="D361" s="221" t="s">
        <v>1612</v>
      </c>
      <c r="E361" s="221" t="s">
        <v>885</v>
      </c>
      <c r="F361" s="221">
        <v>45173</v>
      </c>
      <c r="G361" s="221"/>
      <c r="H361" s="221" t="s">
        <v>1644</v>
      </c>
      <c r="I361" s="222">
        <v>45264</v>
      </c>
      <c r="J361" s="222" t="s">
        <v>282</v>
      </c>
      <c r="K361" s="221" t="s">
        <v>2131</v>
      </c>
      <c r="L361" s="221" t="s">
        <v>1658</v>
      </c>
      <c r="M361" s="222" t="s">
        <v>332</v>
      </c>
      <c r="N361" s="221" t="s">
        <v>353</v>
      </c>
      <c r="O361" s="221" t="s">
        <v>2332</v>
      </c>
      <c r="P361" s="221" t="s">
        <v>2681</v>
      </c>
      <c r="Q361" s="221" t="s">
        <v>240</v>
      </c>
      <c r="R361" s="221"/>
      <c r="S361" s="221"/>
      <c r="T361" s="221"/>
      <c r="U361" s="221"/>
      <c r="V361" s="221" t="s">
        <v>191</v>
      </c>
      <c r="W361" s="221" t="s">
        <v>169</v>
      </c>
      <c r="X361" s="221" t="s">
        <v>111</v>
      </c>
      <c r="Y361" s="221" t="str">
        <f ca="1">IF(I361&lt;&gt;"",IF(I361&lt;=TODAY(),IF(OR(N361="REPROGRAMADA",N361="SUSPENDIDA",N361="EXCLUSION",N361="COLEGIADO"),"NO HECHA",IF(N361=" ","SINRESULTADO","SI")),"NO"),IF(N361="EXCLUSION","NO HECHA","LIMBO"))</f>
        <v>NO HECHA</v>
      </c>
      <c r="Z361" s="221" t="str">
        <f>IF($Z$1=I361,"DIASOL", "DIANOSOL")</f>
        <v>DIANOSOL</v>
      </c>
      <c r="AA361" s="221" t="s">
        <v>240</v>
      </c>
      <c r="AB361" s="224"/>
      <c r="AC361" s="221" t="str">
        <f>IF(H361=$M$1,"SI","NO")</f>
        <v>NO</v>
      </c>
      <c r="AD361" s="221"/>
      <c r="AE361" s="221">
        <v>45170</v>
      </c>
      <c r="AF361" s="221"/>
      <c r="AG361" s="221" t="str">
        <f>IF(COUNTIF(C361,"*preso*")&gt;0,"SI","NO")</f>
        <v>NO</v>
      </c>
      <c r="AH361" s="221">
        <f>NroOrden(N361)</f>
        <v>2</v>
      </c>
      <c r="AI361" s="221"/>
      <c r="AJ361" s="221" t="str">
        <f ca="1">IF(OR(Y361="NO",Y361="LIMBO"),"IMP","NOIMP")</f>
        <v>NOIMP</v>
      </c>
    </row>
    <row r="362" spans="1:36" ht="39.950000000000003" customHeight="1">
      <c r="A362" s="159">
        <v>384</v>
      </c>
      <c r="B362" s="160" t="s">
        <v>1779</v>
      </c>
      <c r="C362" s="208"/>
      <c r="D362" s="159" t="s">
        <v>1778</v>
      </c>
      <c r="E362" s="159" t="s">
        <v>1780</v>
      </c>
      <c r="F362" s="159">
        <v>45181</v>
      </c>
      <c r="G362" s="159"/>
      <c r="H362" s="159" t="s">
        <v>1637</v>
      </c>
      <c r="I362" s="160">
        <v>45264</v>
      </c>
      <c r="J362" s="160" t="s">
        <v>1181</v>
      </c>
      <c r="K362" s="159" t="s">
        <v>2131</v>
      </c>
      <c r="L362" s="159" t="s">
        <v>1659</v>
      </c>
      <c r="M362" s="160" t="s">
        <v>332</v>
      </c>
      <c r="N362" s="159" t="s">
        <v>358</v>
      </c>
      <c r="O362" s="159" t="s">
        <v>2034</v>
      </c>
      <c r="P362" s="159" t="s">
        <v>2682</v>
      </c>
      <c r="Q362" s="159" t="s">
        <v>240</v>
      </c>
      <c r="R362" s="159"/>
      <c r="S362" s="159"/>
      <c r="T362" s="159"/>
      <c r="U362" s="159"/>
      <c r="V362" s="159" t="s">
        <v>343</v>
      </c>
      <c r="W362" s="159" t="s">
        <v>1252</v>
      </c>
      <c r="X362" s="159" t="s">
        <v>111</v>
      </c>
      <c r="Y362" s="159" t="str">
        <f ca="1">IF(I362&lt;&gt;"",IF(I362&lt;=TODAY(),IF(OR(N362="REPROGRAMADA",N362="SUSPENDIDA",N362="EXCLUSION",N362="COLEGIADO"),"NO HECHA",IF(N362=" ","SINRESULTADO","SI")),"NO"),IF(N362="EXCLUSION","NO HECHA","LIMBO"))</f>
        <v>SI</v>
      </c>
      <c r="Z362" s="159" t="str">
        <f>IF($Z$1=I362,"DIASOL", "DIANOSOL")</f>
        <v>DIANOSOL</v>
      </c>
      <c r="AA362" s="159" t="s">
        <v>240</v>
      </c>
      <c r="AB362" s="256"/>
      <c r="AC362" s="159" t="str">
        <f>IF(H362=$M$1,"SI","NO")</f>
        <v>NO</v>
      </c>
      <c r="AD362" s="159"/>
      <c r="AE362" s="159">
        <v>45174</v>
      </c>
      <c r="AF362" s="159"/>
      <c r="AG362" s="159" t="str">
        <f>IF(COUNTIF(C362,"*preso*")&gt;0,"SI","NO")</f>
        <v>NO</v>
      </c>
      <c r="AH362" s="159">
        <f>NroOrden(N362)</f>
        <v>50</v>
      </c>
      <c r="AI362" s="159"/>
      <c r="AJ362" s="159" t="str">
        <f ca="1">IF(OR(Y362="NO",Y362="LIMBO"),"IMP","NOIMP")</f>
        <v>NOIMP</v>
      </c>
    </row>
    <row r="363" spans="1:36" ht="39.950000000000003" customHeight="1">
      <c r="A363" s="261">
        <v>393</v>
      </c>
      <c r="B363" s="262" t="s">
        <v>2401</v>
      </c>
      <c r="C363" s="263" t="s">
        <v>501</v>
      </c>
      <c r="D363" s="261" t="s">
        <v>2365</v>
      </c>
      <c r="E363" s="261" t="s">
        <v>2366</v>
      </c>
      <c r="F363" s="264">
        <v>45216</v>
      </c>
      <c r="G363" s="261" t="s">
        <v>2244</v>
      </c>
      <c r="H363" s="261" t="s">
        <v>1637</v>
      </c>
      <c r="I363" s="262">
        <v>45264</v>
      </c>
      <c r="J363" s="262" t="s">
        <v>960</v>
      </c>
      <c r="K363" s="261" t="s">
        <v>1674</v>
      </c>
      <c r="L363" s="261" t="s">
        <v>1658</v>
      </c>
      <c r="M363" s="262" t="s">
        <v>332</v>
      </c>
      <c r="N363" s="261" t="s">
        <v>357</v>
      </c>
      <c r="O363" s="261" t="s">
        <v>2034</v>
      </c>
      <c r="P363" s="261"/>
      <c r="Q363" s="261" t="s">
        <v>240</v>
      </c>
      <c r="R363" s="261"/>
      <c r="S363" s="261" t="s">
        <v>1928</v>
      </c>
      <c r="T363" s="261" t="s">
        <v>2368</v>
      </c>
      <c r="U363" s="261" t="s">
        <v>2369</v>
      </c>
      <c r="V363" s="261" t="s">
        <v>1128</v>
      </c>
      <c r="W363" s="261" t="s">
        <v>1097</v>
      </c>
      <c r="X363" s="261"/>
      <c r="Y363" s="261" t="str">
        <f ca="1">IF(I363&lt;&gt;"",IF(I363&lt;=TODAY(),IF(OR(N363="REPROGRAMADA",N363="SUSPENDIDA",N363="EXCLUSION",N363="COLEGIADO"),"NO HECHA",IF(N363=" ","SINRESULTADO","SI")),"NO"),IF(N363="EXCLUSION","NO HECHA","LIMBO"))</f>
        <v>SI</v>
      </c>
      <c r="Z363" s="261" t="str">
        <f>IF($Z$1=I363,"DIASOL", "DIANOSOL")</f>
        <v>DIANOSOL</v>
      </c>
      <c r="AA363" s="261" t="s">
        <v>1223</v>
      </c>
      <c r="AB363" s="261" t="s">
        <v>2367</v>
      </c>
      <c r="AC363" s="261" t="str">
        <f>IF(H363=$M$1,"SI","NO")</f>
        <v>NO</v>
      </c>
      <c r="AD363" s="261"/>
      <c r="AE363" s="264">
        <v>45216</v>
      </c>
      <c r="AF363" s="261"/>
      <c r="AG363" s="261" t="str">
        <f>IF(COUNTIF(C363,"*preso*")&gt;0,"SI","NO")</f>
        <v>SI</v>
      </c>
      <c r="AH363" s="261">
        <f>NroOrden(N363)</f>
        <v>50</v>
      </c>
      <c r="AI363" s="261"/>
      <c r="AJ363" s="261" t="str">
        <f ca="1">IF(OR(Y363="NO",Y363="LIMBO"),"IMP","NOIMP")</f>
        <v>NOIMP</v>
      </c>
    </row>
    <row r="364" spans="1:36" ht="92.25" customHeight="1">
      <c r="A364" s="159">
        <v>418</v>
      </c>
      <c r="B364" s="160" t="s">
        <v>2513</v>
      </c>
      <c r="C364" s="208" t="s">
        <v>501</v>
      </c>
      <c r="D364" s="159" t="s">
        <v>2514</v>
      </c>
      <c r="E364" s="159" t="s">
        <v>2515</v>
      </c>
      <c r="F364" s="256">
        <v>45240</v>
      </c>
      <c r="G364" s="159"/>
      <c r="H364" s="159" t="s">
        <v>1641</v>
      </c>
      <c r="I364" s="160">
        <v>45264</v>
      </c>
      <c r="J364" s="160" t="s">
        <v>396</v>
      </c>
      <c r="K364" s="159" t="s">
        <v>1827</v>
      </c>
      <c r="L364" s="159" t="s">
        <v>1658</v>
      </c>
      <c r="M364" s="160" t="s">
        <v>2155</v>
      </c>
      <c r="N364" s="159" t="s">
        <v>356</v>
      </c>
      <c r="O364" s="159" t="s">
        <v>2034</v>
      </c>
      <c r="P364" s="159" t="s">
        <v>2683</v>
      </c>
      <c r="Q364" s="159" t="s">
        <v>240</v>
      </c>
      <c r="R364" s="159"/>
      <c r="S364" s="159" t="s">
        <v>1928</v>
      </c>
      <c r="T364" s="159" t="s">
        <v>2517</v>
      </c>
      <c r="U364" s="159" t="s">
        <v>2518</v>
      </c>
      <c r="V364" s="159" t="s">
        <v>1277</v>
      </c>
      <c r="W364" s="159" t="s">
        <v>202</v>
      </c>
      <c r="X364" s="159"/>
      <c r="Y364" s="159" t="str">
        <f ca="1">IF(I364&lt;&gt;"",IF(I364&lt;=TODAY(),IF(OR(N364="REPROGRAMADA",N364="SUSPENDIDA",N364="EXCLUSION",N364="COLEGIADO"),"NO HECHA",IF(N364=" ","SINRESULTADO","SI")),"NO"),IF(N364="EXCLUSION","NO HECHA","LIMBO"))</f>
        <v>SI</v>
      </c>
      <c r="Z364" s="159" t="str">
        <f>IF($Z$1=I364,"DIASOL", "DIANOSOL")</f>
        <v>DIANOSOL</v>
      </c>
      <c r="AA364" s="159"/>
      <c r="AB364" s="159" t="s">
        <v>2516</v>
      </c>
      <c r="AC364" s="159" t="str">
        <f>IF(H364=$M$1,"SI","NO")</f>
        <v>NO</v>
      </c>
      <c r="AD364" s="159"/>
      <c r="AE364" s="256">
        <v>45240</v>
      </c>
      <c r="AF364" s="159"/>
      <c r="AG364" s="159" t="str">
        <f>IF(COUNTIF(C364,"*preso*")&gt;0,"SI","NO")</f>
        <v>SI</v>
      </c>
      <c r="AH364" s="159">
        <f>NroOrden(N364)</f>
        <v>50</v>
      </c>
      <c r="AI364" s="159"/>
      <c r="AJ364" s="159" t="str">
        <f ca="1">IF(OR(Y364="NO",Y364="LIMBO"),"IMP","NOIMP")</f>
        <v>NOIMP</v>
      </c>
    </row>
    <row r="365" spans="1:36" ht="95.25" customHeight="1">
      <c r="A365" s="194">
        <v>319</v>
      </c>
      <c r="B365" s="195" t="s">
        <v>1981</v>
      </c>
      <c r="C365" s="196"/>
      <c r="D365" s="194" t="s">
        <v>1982</v>
      </c>
      <c r="E365" s="194" t="s">
        <v>1983</v>
      </c>
      <c r="F365" s="316">
        <v>45204</v>
      </c>
      <c r="G365" s="194" t="s">
        <v>1836</v>
      </c>
      <c r="H365" s="197" t="s">
        <v>1637</v>
      </c>
      <c r="I365" s="198">
        <v>45265</v>
      </c>
      <c r="J365" s="198" t="s">
        <v>282</v>
      </c>
      <c r="K365" s="197" t="s">
        <v>1827</v>
      </c>
      <c r="L365" s="197" t="s">
        <v>1659</v>
      </c>
      <c r="M365" s="198" t="s">
        <v>1807</v>
      </c>
      <c r="N365" s="194" t="s">
        <v>111</v>
      </c>
      <c r="O365" s="194"/>
      <c r="P365" s="194"/>
      <c r="Q365" s="194"/>
      <c r="R365" s="194"/>
      <c r="S365" s="194"/>
      <c r="T365" s="194"/>
      <c r="U365" s="194"/>
      <c r="V365" s="194" t="s">
        <v>111</v>
      </c>
      <c r="W365" s="194" t="s">
        <v>111</v>
      </c>
      <c r="X365" s="194" t="s">
        <v>111</v>
      </c>
      <c r="Y365" s="194" t="str">
        <f ca="1">IF(I365&lt;&gt;"",IF(I365&lt;=TODAY(),IF(OR(N365="REPROGRAMADA",N365="SUSPENDIDA",N365="EXCLUSION",N365="COLEGIADO"),"NO HECHA",IF(N365=" ","SINRESULTADO","SI")),"NO"),IF(N365="EXCLUSION","NO HECHA","LIMBO"))</f>
        <v>NO</v>
      </c>
      <c r="Z365" s="194" t="str">
        <f>IF($Z$1=I365,"DIASOL", "DIANOSOL")</f>
        <v>DIANOSOL</v>
      </c>
      <c r="AA365" s="194" t="s">
        <v>240</v>
      </c>
      <c r="AB365" s="194" t="s">
        <v>1984</v>
      </c>
      <c r="AC365" s="194" t="str">
        <f>IF(H365=$M$1,"SI","NO")</f>
        <v>NO</v>
      </c>
      <c r="AD365" s="194"/>
      <c r="AE365" s="316">
        <v>45204</v>
      </c>
      <c r="AF365" s="194"/>
      <c r="AG365" s="194" t="str">
        <f>IF(COUNTIF(C365,"*preso*")&gt;0,"SI","NO")</f>
        <v>NO</v>
      </c>
      <c r="AH365" s="245">
        <f>NroOrden(N365)</f>
        <v>99</v>
      </c>
      <c r="AI365" s="194"/>
      <c r="AJ365" s="152" t="str">
        <f ca="1">IF(OR(Y365="NO",Y365="LIMBO"),"IMP","NOIMP")</f>
        <v>IMP</v>
      </c>
    </row>
    <row r="366" spans="1:36" ht="83.25" customHeight="1">
      <c r="A366" s="194">
        <v>404</v>
      </c>
      <c r="B366" s="195" t="s">
        <v>1968</v>
      </c>
      <c r="C366" s="196"/>
      <c r="D366" s="194" t="s">
        <v>1970</v>
      </c>
      <c r="E366" s="194" t="s">
        <v>1973</v>
      </c>
      <c r="F366" s="194">
        <v>45202</v>
      </c>
      <c r="G366" s="194"/>
      <c r="H366" s="197" t="s">
        <v>1638</v>
      </c>
      <c r="I366" s="198">
        <v>45265</v>
      </c>
      <c r="J366" s="198" t="s">
        <v>960</v>
      </c>
      <c r="K366" s="197" t="s">
        <v>1827</v>
      </c>
      <c r="L366" s="197" t="s">
        <v>1659</v>
      </c>
      <c r="M366" s="198" t="s">
        <v>1807</v>
      </c>
      <c r="N366" s="194"/>
      <c r="O366" s="194"/>
      <c r="P366" s="194"/>
      <c r="Q366" s="194" t="s">
        <v>240</v>
      </c>
      <c r="R366" s="194"/>
      <c r="S366" s="194"/>
      <c r="T366" s="194"/>
      <c r="U366" s="194"/>
      <c r="V366" s="194" t="s">
        <v>192</v>
      </c>
      <c r="W366" s="194" t="s">
        <v>111</v>
      </c>
      <c r="X366" s="194" t="s">
        <v>111</v>
      </c>
      <c r="Y366" s="194" t="str">
        <f ca="1">IF(I366&lt;&gt;"",IF(I366&lt;=TODAY(),IF(OR(N366="REPROGRAMADA",N366="SUSPENDIDA",N366="EXCLUSION",N366="COLEGIADO"),"NO HECHA",IF(N366=" ","SINRESULTADO","SI")),"NO"),IF(N366="EXCLUSION","NO HECHA","LIMBO"))</f>
        <v>NO</v>
      </c>
      <c r="Z366" s="194" t="str">
        <f>IF($Z$1=I366,"DIASOL", "DIANOSOL")</f>
        <v>DIANOSOL</v>
      </c>
      <c r="AA366" s="194" t="s">
        <v>240</v>
      </c>
      <c r="AB366" s="316"/>
      <c r="AC366" s="194" t="str">
        <f>IF(H366=$M$1,"SI","NO")</f>
        <v>NO</v>
      </c>
      <c r="AD366" s="194"/>
      <c r="AE366" s="194">
        <v>45202</v>
      </c>
      <c r="AF366" s="194"/>
      <c r="AG366" s="194" t="str">
        <f>IF(COUNTIF(C366,"*preso*")&gt;0,"SI","NO")</f>
        <v>NO</v>
      </c>
      <c r="AH366" s="194">
        <f>NroOrden(N366)</f>
        <v>99</v>
      </c>
      <c r="AI366" s="194"/>
      <c r="AJ366" s="194" t="str">
        <f ca="1">IF(OR(Y366="NO",Y366="LIMBO"),"IMP","NOIMP")</f>
        <v>IMP</v>
      </c>
    </row>
    <row r="367" spans="1:36" ht="39.950000000000003" customHeight="1">
      <c r="A367" s="194">
        <v>350</v>
      </c>
      <c r="B367" s="195" t="s">
        <v>2147</v>
      </c>
      <c r="C367" s="196"/>
      <c r="D367" s="194" t="s">
        <v>2148</v>
      </c>
      <c r="E367" s="194" t="s">
        <v>2152</v>
      </c>
      <c r="F367" s="312">
        <v>45210</v>
      </c>
      <c r="G367" s="194" t="s">
        <v>2154</v>
      </c>
      <c r="H367" s="197" t="s">
        <v>1644</v>
      </c>
      <c r="I367" s="198">
        <v>45266</v>
      </c>
      <c r="J367" s="198" t="s">
        <v>396</v>
      </c>
      <c r="K367" s="197" t="s">
        <v>1827</v>
      </c>
      <c r="L367" s="197" t="s">
        <v>1658</v>
      </c>
      <c r="M367" s="198" t="s">
        <v>1750</v>
      </c>
      <c r="N367" s="194"/>
      <c r="O367" s="194"/>
      <c r="P367" s="194"/>
      <c r="Q367" s="194" t="s">
        <v>240</v>
      </c>
      <c r="R367" s="194"/>
      <c r="S367" s="194"/>
      <c r="T367" s="194"/>
      <c r="U367" s="194"/>
      <c r="V367" s="194" t="s">
        <v>345</v>
      </c>
      <c r="W367" s="194" t="s">
        <v>132</v>
      </c>
      <c r="X367" s="194"/>
      <c r="Y367" s="194" t="str">
        <f ca="1">IF(I367&lt;&gt;"",IF(I367&lt;=TODAY(),IF(OR(N367="REPROGRAMADA",N367="SUSPENDIDA",N367="EXCLUSION",N367="COLEGIADO"),"NO HECHA",IF(N367=" ","SINRESULTADO","SI")),"NO"),IF(N367="EXCLUSION","NO HECHA","LIMBO"))</f>
        <v>NO</v>
      </c>
      <c r="Z367" s="194" t="str">
        <f>IF($Z$1=I367,"DIASOL", "DIANOSOL")</f>
        <v>DIANOSOL</v>
      </c>
      <c r="AA367" s="194"/>
      <c r="AB367" s="194" t="s">
        <v>2153</v>
      </c>
      <c r="AC367" s="194" t="str">
        <f>IF(H367=$M$1,"SI","NO")</f>
        <v>NO</v>
      </c>
      <c r="AD367" s="194"/>
      <c r="AE367" s="312">
        <v>45210</v>
      </c>
      <c r="AF367" s="194"/>
      <c r="AG367" s="194" t="str">
        <f>IF(COUNTIF(C367,"*preso*")&gt;0,"SI","NO")</f>
        <v>NO</v>
      </c>
      <c r="AH367" s="194">
        <f>NroOrden(N367)</f>
        <v>99</v>
      </c>
      <c r="AI367" s="194"/>
      <c r="AJ367" s="152" t="str">
        <f ca="1">IF(OR(Y367="NO",Y367="LIMBO"),"IMP","NOIMP")</f>
        <v>IMP</v>
      </c>
    </row>
    <row r="368" spans="1:36" ht="39.950000000000003" customHeight="1">
      <c r="A368" s="194">
        <v>339</v>
      </c>
      <c r="B368" s="195" t="s">
        <v>2091</v>
      </c>
      <c r="C368" s="196"/>
      <c r="D368" s="194" t="s">
        <v>2092</v>
      </c>
      <c r="E368" s="194" t="s">
        <v>2098</v>
      </c>
      <c r="F368" s="316">
        <v>45209</v>
      </c>
      <c r="G368" s="194"/>
      <c r="H368" s="197" t="s">
        <v>1642</v>
      </c>
      <c r="I368" s="198">
        <v>45267</v>
      </c>
      <c r="J368" s="198" t="s">
        <v>282</v>
      </c>
      <c r="K368" s="197" t="s">
        <v>2131</v>
      </c>
      <c r="L368" s="197" t="s">
        <v>1659</v>
      </c>
      <c r="M368" s="198" t="s">
        <v>332</v>
      </c>
      <c r="N368" s="194"/>
      <c r="O368" s="194"/>
      <c r="P368" s="194"/>
      <c r="Q368" s="194" t="s">
        <v>240</v>
      </c>
      <c r="R368" s="194"/>
      <c r="S368" s="194"/>
      <c r="T368" s="194"/>
      <c r="U368" s="194"/>
      <c r="V368" s="194" t="s">
        <v>193</v>
      </c>
      <c r="W368" s="194" t="s">
        <v>132</v>
      </c>
      <c r="X368" s="194"/>
      <c r="Y368" s="194" t="str">
        <f ca="1">IF(I368&lt;&gt;"",IF(I368&lt;=TODAY(),IF(OR(N368="REPROGRAMADA",N368="SUSPENDIDA",N368="EXCLUSION",N368="COLEGIADO"),"NO HECHA",IF(N368=" ","SINRESULTADO","SI")),"NO"),IF(N368="EXCLUSION","NO HECHA","LIMBO"))</f>
        <v>NO</v>
      </c>
      <c r="Z368" s="194" t="str">
        <f>IF($Z$1=I368,"DIASOL", "DIANOSOL")</f>
        <v>DIANOSOL</v>
      </c>
      <c r="AA368" s="194"/>
      <c r="AB368" s="194" t="s">
        <v>2099</v>
      </c>
      <c r="AC368" s="194" t="str">
        <f>IF(H368=$M$1,"SI","NO")</f>
        <v>NO</v>
      </c>
      <c r="AD368" s="194"/>
      <c r="AE368" s="316">
        <v>45209</v>
      </c>
      <c r="AF368" s="194"/>
      <c r="AG368" s="194" t="str">
        <f>IF(COUNTIF(C368,"*preso*")&gt;0,"SI","NO")</f>
        <v>NO</v>
      </c>
      <c r="AH368" s="194">
        <f>NroOrden(N368)</f>
        <v>99</v>
      </c>
      <c r="AI368" s="194"/>
      <c r="AJ368" s="152" t="str">
        <f ca="1">IF(OR(Y368="NO",Y368="LIMBO"),"IMP","NOIMP")</f>
        <v>IMP</v>
      </c>
    </row>
    <row r="369" spans="1:36" ht="39.950000000000003" customHeight="1">
      <c r="A369" s="199">
        <v>414</v>
      </c>
      <c r="B369" s="200" t="s">
        <v>751</v>
      </c>
      <c r="C369" s="201" t="s">
        <v>501</v>
      </c>
      <c r="D369" s="199" t="s">
        <v>752</v>
      </c>
      <c r="E369" s="199" t="s">
        <v>753</v>
      </c>
      <c r="F369" s="199">
        <v>45091</v>
      </c>
      <c r="G369" s="199" t="s">
        <v>1636</v>
      </c>
      <c r="H369" s="197" t="s">
        <v>1640</v>
      </c>
      <c r="I369" s="198">
        <v>45267</v>
      </c>
      <c r="J369" s="198" t="s">
        <v>282</v>
      </c>
      <c r="K369" s="197" t="s">
        <v>362</v>
      </c>
      <c r="L369" s="197" t="s">
        <v>1658</v>
      </c>
      <c r="M369" s="198" t="s">
        <v>330</v>
      </c>
      <c r="N369" s="199"/>
      <c r="O369" s="199"/>
      <c r="P369" s="199" t="s">
        <v>2521</v>
      </c>
      <c r="Q369" s="199" t="s">
        <v>240</v>
      </c>
      <c r="R369" s="199"/>
      <c r="S369" s="199" t="s">
        <v>374</v>
      </c>
      <c r="T369" s="199" t="s">
        <v>756</v>
      </c>
      <c r="U369" s="199" t="s">
        <v>757</v>
      </c>
      <c r="V369" s="199" t="s">
        <v>347</v>
      </c>
      <c r="W369" s="199" t="s">
        <v>180</v>
      </c>
      <c r="X369" s="199" t="s">
        <v>754</v>
      </c>
      <c r="Y369" s="199" t="str">
        <f ca="1">IF(I369&lt;&gt;"",IF(I369&lt;=TODAY(),IF(OR(N369="REPROGRAMADA",N369="SUSPENDIDA",N369="EXCLUSION",N369="COLEGIADO"),"NO HECHA",IF(N369=" ","SINRESULTADO","SI")),"NO"),IF(N369="EXCLUSION","NO HECHA","LIMBO"))</f>
        <v>NO</v>
      </c>
      <c r="Z369" s="199" t="str">
        <f>IF($Z$1=I369,"DIASOL", "DIANOSOL")</f>
        <v>DIANOSOL</v>
      </c>
      <c r="AA369" s="199" t="s">
        <v>240</v>
      </c>
      <c r="AB369" s="335"/>
      <c r="AC369" s="199" t="str">
        <f>IF(H369=$M$1,"SI","NO")</f>
        <v>NO</v>
      </c>
      <c r="AD369" s="199"/>
      <c r="AE369" s="199"/>
      <c r="AF369" s="199"/>
      <c r="AG369" s="199" t="str">
        <f>IF(COUNTIF(C369,"*preso*")&gt;0,"SI","NO")</f>
        <v>SI</v>
      </c>
      <c r="AH369" s="199">
        <f>NroOrden(N369)</f>
        <v>99</v>
      </c>
      <c r="AI369" s="199"/>
      <c r="AJ369" s="199" t="str">
        <f ca="1">IF(OR(Y369="NO",Y369="LIMBO"),"IMP","NOIMP")</f>
        <v>IMP</v>
      </c>
    </row>
    <row r="370" spans="1:36" ht="73.5" customHeight="1">
      <c r="A370" s="194">
        <v>361</v>
      </c>
      <c r="B370" s="195" t="s">
        <v>1484</v>
      </c>
      <c r="C370" s="196"/>
      <c r="D370" s="194" t="s">
        <v>1485</v>
      </c>
      <c r="E370" s="194" t="s">
        <v>1486</v>
      </c>
      <c r="F370" s="194"/>
      <c r="G370" s="194"/>
      <c r="H370" s="197" t="s">
        <v>1639</v>
      </c>
      <c r="I370" s="198">
        <v>45267</v>
      </c>
      <c r="J370" s="198" t="s">
        <v>1417</v>
      </c>
      <c r="K370" s="197" t="s">
        <v>1827</v>
      </c>
      <c r="L370" s="197" t="s">
        <v>1659</v>
      </c>
      <c r="M370" s="198" t="s">
        <v>332</v>
      </c>
      <c r="N370" s="194"/>
      <c r="O370" s="194"/>
      <c r="P370" s="194"/>
      <c r="Q370" s="194" t="s">
        <v>240</v>
      </c>
      <c r="R370" s="194"/>
      <c r="S370" s="194"/>
      <c r="T370" s="194"/>
      <c r="U370" s="194"/>
      <c r="V370" s="194" t="s">
        <v>1275</v>
      </c>
      <c r="W370" s="194" t="s">
        <v>116</v>
      </c>
      <c r="X370" s="194" t="s">
        <v>111</v>
      </c>
      <c r="Y370" s="194" t="str">
        <f ca="1">IF(I370&lt;&gt;"",IF(I370&lt;=TODAY(),IF(OR(N370="REPROGRAMADA",N370="SUSPENDIDA",N370="EXCLUSION",N370="COLEGIADO"),"NO HECHA",IF(N370=" ","SINRESULTADO","SI")),"NO"),IF(N370="EXCLUSION","NO HECHA","LIMBO"))</f>
        <v>NO</v>
      </c>
      <c r="Z370" s="194" t="str">
        <f>IF($Z$1=I370,"DIASOL", "DIANOSOL")</f>
        <v>DIANOSOL</v>
      </c>
      <c r="AA370" s="194" t="s">
        <v>240</v>
      </c>
      <c r="AB370" s="316"/>
      <c r="AC370" s="194" t="str">
        <f>IF(H370=$M$1,"SI","NO")</f>
        <v>NO</v>
      </c>
      <c r="AD370" s="194"/>
      <c r="AE370" s="194">
        <v>45155</v>
      </c>
      <c r="AF370" s="194"/>
      <c r="AG370" s="194" t="str">
        <f>IF(COUNTIF(C370,"*preso*")&gt;0,"SI","NO")</f>
        <v>NO</v>
      </c>
      <c r="AH370" s="194">
        <f>NroOrden(N370)</f>
        <v>99</v>
      </c>
      <c r="AI370" s="194"/>
      <c r="AJ370" s="194" t="str">
        <f ca="1">IF(OR(Y370="NO",Y370="LIMBO"),"IMP","NOIMP")</f>
        <v>IMP</v>
      </c>
    </row>
    <row r="371" spans="1:36" ht="39.950000000000003" customHeight="1">
      <c r="A371" s="194">
        <v>341</v>
      </c>
      <c r="B371" s="195" t="s">
        <v>2094</v>
      </c>
      <c r="C371" s="196"/>
      <c r="D371" s="194" t="s">
        <v>2100</v>
      </c>
      <c r="E371" s="194" t="s">
        <v>2101</v>
      </c>
      <c r="F371" s="316">
        <v>45209</v>
      </c>
      <c r="G371" s="194" t="s">
        <v>2102</v>
      </c>
      <c r="H371" s="197" t="s">
        <v>1639</v>
      </c>
      <c r="I371" s="198">
        <v>45271</v>
      </c>
      <c r="J371" s="198" t="s">
        <v>282</v>
      </c>
      <c r="K371" s="197" t="s">
        <v>2131</v>
      </c>
      <c r="L371" s="197" t="s">
        <v>1658</v>
      </c>
      <c r="M371" s="198" t="s">
        <v>1808</v>
      </c>
      <c r="N371" s="194"/>
      <c r="O371" s="194"/>
      <c r="P371" s="194"/>
      <c r="Q371" s="194" t="s">
        <v>240</v>
      </c>
      <c r="R371" s="194"/>
      <c r="S371" s="194"/>
      <c r="T371" s="194"/>
      <c r="U371" s="194"/>
      <c r="V371" s="194" t="s">
        <v>189</v>
      </c>
      <c r="W371" s="194" t="s">
        <v>535</v>
      </c>
      <c r="X371" s="194"/>
      <c r="Y371" s="194" t="str">
        <f ca="1">IF(I371&lt;&gt;"",IF(I371&lt;=TODAY(),IF(OR(N371="REPROGRAMADA",N371="SUSPENDIDA",N371="EXCLUSION",N371="COLEGIADO"),"NO HECHA",IF(N371=" ","SINRESULTADO","SI")),"NO"),IF(N371="EXCLUSION","NO HECHA","LIMBO"))</f>
        <v>NO</v>
      </c>
      <c r="Z371" s="194" t="str">
        <f>IF($Z$1=I371,"DIASOL", "DIANOSOL")</f>
        <v>DIANOSOL</v>
      </c>
      <c r="AA371" s="194"/>
      <c r="AB371" s="194"/>
      <c r="AC371" s="194" t="str">
        <f>IF(H371=$M$1,"SI","NO")</f>
        <v>NO</v>
      </c>
      <c r="AD371" s="194"/>
      <c r="AE371" s="316">
        <v>45209</v>
      </c>
      <c r="AF371" s="194"/>
      <c r="AG371" s="194" t="str">
        <f>IF(COUNTIF(C371,"*preso*")&gt;0,"SI","NO")</f>
        <v>NO</v>
      </c>
      <c r="AH371" s="194">
        <f>NroOrden(N371)</f>
        <v>99</v>
      </c>
      <c r="AI371" s="194"/>
      <c r="AJ371" s="152" t="str">
        <f ca="1">IF(OR(Y371="NO",Y371="LIMBO"),"IMP","NOIMP")</f>
        <v>IMP</v>
      </c>
    </row>
    <row r="372" spans="1:36" ht="39.950000000000003" customHeight="1">
      <c r="A372" s="199">
        <v>413</v>
      </c>
      <c r="B372" s="200" t="s">
        <v>2488</v>
      </c>
      <c r="C372" s="201" t="s">
        <v>501</v>
      </c>
      <c r="D372" s="199" t="s">
        <v>2493</v>
      </c>
      <c r="E372" s="199" t="s">
        <v>2489</v>
      </c>
      <c r="F372" s="335">
        <v>45239</v>
      </c>
      <c r="G372" s="199"/>
      <c r="H372" s="197" t="s">
        <v>1643</v>
      </c>
      <c r="I372" s="198">
        <v>45271</v>
      </c>
      <c r="J372" s="198" t="s">
        <v>960</v>
      </c>
      <c r="K372" s="197" t="s">
        <v>1827</v>
      </c>
      <c r="L372" s="197" t="s">
        <v>1658</v>
      </c>
      <c r="M372" s="198" t="s">
        <v>333</v>
      </c>
      <c r="N372" s="199"/>
      <c r="O372" s="199"/>
      <c r="P372" s="156" t="s">
        <v>2658</v>
      </c>
      <c r="Q372" s="199" t="s">
        <v>240</v>
      </c>
      <c r="R372" s="199"/>
      <c r="S372" s="199" t="s">
        <v>2492</v>
      </c>
      <c r="T372" s="199" t="s">
        <v>2491</v>
      </c>
      <c r="U372" s="199" t="s">
        <v>2490</v>
      </c>
      <c r="V372" s="199" t="s">
        <v>189</v>
      </c>
      <c r="W372" s="199"/>
      <c r="X372" s="199"/>
      <c r="Y372" s="199" t="str">
        <f ca="1">IF(I372&lt;&gt;"",IF(I372&lt;=TODAY(),IF(OR(N372="REPROGRAMADA",N372="SUSPENDIDA",N372="EXCLUSION",N372="COLEGIADO"),"NO HECHA",IF(N372=" ","SINRESULTADO","SI")),"NO"),IF(N372="EXCLUSION","NO HECHA","LIMBO"))</f>
        <v>NO</v>
      </c>
      <c r="Z372" s="199" t="str">
        <f>IF($Z$1=I372,"DIASOL", "DIANOSOL")</f>
        <v>DIANOSOL</v>
      </c>
      <c r="AA372" s="199"/>
      <c r="AB372" s="199"/>
      <c r="AC372" s="199" t="str">
        <f>IF(H372=$M$1,"SI","NO")</f>
        <v>SI</v>
      </c>
      <c r="AD372" s="199"/>
      <c r="AE372" s="199"/>
      <c r="AF372" s="199"/>
      <c r="AG372" s="199" t="str">
        <f>IF(COUNTIF(C372,"*preso*")&gt;0,"SI","NO")</f>
        <v>SI</v>
      </c>
      <c r="AH372" s="199">
        <f>NroOrden(N372)</f>
        <v>99</v>
      </c>
      <c r="AI372" s="199"/>
      <c r="AJ372" s="199" t="str">
        <f ca="1">IF(OR(Y372="NO",Y372="LIMBO"),"IMP","NOIMP")</f>
        <v>IMP</v>
      </c>
    </row>
    <row r="373" spans="1:36" ht="39.950000000000003" customHeight="1">
      <c r="A373" s="84">
        <v>130</v>
      </c>
      <c r="B373" s="150" t="s">
        <v>1031</v>
      </c>
      <c r="C373" s="211"/>
      <c r="D373" s="149" t="s">
        <v>1032</v>
      </c>
      <c r="E373" s="152" t="s">
        <v>1033</v>
      </c>
      <c r="F373" s="84"/>
      <c r="G373" s="149" t="s">
        <v>1009</v>
      </c>
      <c r="H373" s="173" t="s">
        <v>1642</v>
      </c>
      <c r="I373" s="170">
        <v>45271</v>
      </c>
      <c r="J373" s="171" t="s">
        <v>396</v>
      </c>
      <c r="K373" s="172" t="s">
        <v>362</v>
      </c>
      <c r="L373" s="172" t="s">
        <v>1658</v>
      </c>
      <c r="M373" s="171" t="s">
        <v>330</v>
      </c>
      <c r="N373" s="149" t="s">
        <v>111</v>
      </c>
      <c r="O373" s="149"/>
      <c r="P373" s="84"/>
      <c r="Q373" s="84" t="s">
        <v>111</v>
      </c>
      <c r="R373" s="283"/>
      <c r="S373" s="149"/>
      <c r="T373" s="84"/>
      <c r="U373" s="84"/>
      <c r="V373" s="149" t="s">
        <v>347</v>
      </c>
      <c r="W373" s="149" t="s">
        <v>1034</v>
      </c>
      <c r="X373" s="149" t="s">
        <v>1035</v>
      </c>
      <c r="Y373" s="159" t="str">
        <f ca="1">IF(I373&lt;&gt;"",IF(I373&lt;=TODAY(),IF(OR(N373="REPROGRAMADA",N373="SUSPENDIDA",N373="EXCLUSION",N373="COLEGIADO"),"NO HECHA",IF(N373=" ","SINRESULTADO","SI")),"NO"),IF(N373="EXCLUSION","NO HECHA","LIMBO"))</f>
        <v>NO</v>
      </c>
      <c r="Z373" s="149" t="str">
        <f>IF($Z$1=I373,"DIASOL", "DIANOSOL")</f>
        <v>DIANOSOL</v>
      </c>
      <c r="AA373" s="149" t="s">
        <v>240</v>
      </c>
      <c r="AB373" s="152" t="s">
        <v>1036</v>
      </c>
      <c r="AC373" s="151" t="str">
        <f>IF(H373=$M$1,"SI","NO")</f>
        <v>NO</v>
      </c>
      <c r="AD373" s="151"/>
      <c r="AE373" s="84"/>
      <c r="AF373" s="84"/>
      <c r="AG373" s="84" t="str">
        <f>IF(COUNTIF(C373,"*preso*")&gt;0,"SI","NO")</f>
        <v>NO</v>
      </c>
      <c r="AH373" s="245">
        <f>NroOrden(N373)</f>
        <v>99</v>
      </c>
      <c r="AI373" s="84"/>
      <c r="AJ373" s="152" t="str">
        <f ca="1">IF(OR(Y373="NO",Y373="LIMBO"),"IMP","NOIMP")</f>
        <v>IMP</v>
      </c>
    </row>
    <row r="374" spans="1:36" ht="39.950000000000003" customHeight="1">
      <c r="A374" s="194">
        <v>274</v>
      </c>
      <c r="B374" s="195" t="s">
        <v>1789</v>
      </c>
      <c r="C374" s="196"/>
      <c r="D374" s="194" t="s">
        <v>1790</v>
      </c>
      <c r="E374" s="194" t="s">
        <v>1791</v>
      </c>
      <c r="F374" s="316">
        <v>45156</v>
      </c>
      <c r="G374" s="194" t="s">
        <v>1742</v>
      </c>
      <c r="H374" s="197" t="s">
        <v>1638</v>
      </c>
      <c r="I374" s="198">
        <v>45271</v>
      </c>
      <c r="J374" s="198" t="s">
        <v>14</v>
      </c>
      <c r="K374" s="197" t="s">
        <v>1674</v>
      </c>
      <c r="L374" s="197" t="s">
        <v>1659</v>
      </c>
      <c r="M374" s="198" t="s">
        <v>333</v>
      </c>
      <c r="N374" s="194" t="s">
        <v>111</v>
      </c>
      <c r="O374" s="194"/>
      <c r="P374" s="194"/>
      <c r="Q374" s="194"/>
      <c r="R374" s="194"/>
      <c r="S374" s="194"/>
      <c r="T374" s="194"/>
      <c r="U374" s="194"/>
      <c r="V374" s="194" t="s">
        <v>1281</v>
      </c>
      <c r="W374" s="194" t="s">
        <v>140</v>
      </c>
      <c r="X374" s="194" t="s">
        <v>111</v>
      </c>
      <c r="Y374" s="194" t="str">
        <f ca="1">IF(I374&lt;&gt;"",IF(I374&lt;=TODAY(),IF(OR(N374="REPROGRAMADA",N374="SUSPENDIDA",N374="EXCLUSION",N374="COLEGIADO"),"NO HECHA",IF(N374=" ","SINRESULTADO","SI")),"NO"),IF(N374="EXCLUSION","NO HECHA","LIMBO"))</f>
        <v>NO</v>
      </c>
      <c r="Z374" s="194" t="str">
        <f>IF($Z$1=I374,"DIASOL", "DIANOSOL")</f>
        <v>DIANOSOL</v>
      </c>
      <c r="AA374" s="194" t="s">
        <v>737</v>
      </c>
      <c r="AB374" s="194" t="s">
        <v>1792</v>
      </c>
      <c r="AC374" s="194" t="str">
        <f>IF(H374=$M$1,"SI","NO")</f>
        <v>NO</v>
      </c>
      <c r="AD374" s="194"/>
      <c r="AE374" s="316">
        <v>45113</v>
      </c>
      <c r="AF374" s="194"/>
      <c r="AG374" s="194" t="str">
        <f>IF(COUNTIF(C374,"*preso*")&gt;0,"SI","NO")</f>
        <v>NO</v>
      </c>
      <c r="AH374" s="245">
        <f>NroOrden(N374)</f>
        <v>99</v>
      </c>
      <c r="AI374" s="194"/>
      <c r="AJ374" s="152" t="str">
        <f ca="1">IF(OR(Y374="NO",Y374="LIMBO"),"IMP","NOIMP")</f>
        <v>IMP</v>
      </c>
    </row>
    <row r="375" spans="1:36" ht="39.950000000000003" customHeight="1">
      <c r="A375" s="194">
        <v>391</v>
      </c>
      <c r="B375" s="195" t="s">
        <v>2361</v>
      </c>
      <c r="C375" s="196"/>
      <c r="D375" s="194" t="s">
        <v>2362</v>
      </c>
      <c r="E375" s="194" t="s">
        <v>2363</v>
      </c>
      <c r="F375" s="316">
        <v>45231</v>
      </c>
      <c r="G375" s="194"/>
      <c r="H375" s="197" t="s">
        <v>1641</v>
      </c>
      <c r="I375" s="198">
        <v>45272</v>
      </c>
      <c r="J375" s="198" t="s">
        <v>396</v>
      </c>
      <c r="K375" s="197" t="s">
        <v>2131</v>
      </c>
      <c r="L375" s="197" t="s">
        <v>1659</v>
      </c>
      <c r="M375" s="198" t="s">
        <v>1807</v>
      </c>
      <c r="N375" s="194"/>
      <c r="O375" s="194"/>
      <c r="P375" s="194"/>
      <c r="Q375" s="194" t="s">
        <v>240</v>
      </c>
      <c r="R375" s="194"/>
      <c r="S375" s="194"/>
      <c r="T375" s="194"/>
      <c r="U375" s="194"/>
      <c r="V375" s="194" t="s">
        <v>190</v>
      </c>
      <c r="W375" s="194" t="s">
        <v>169</v>
      </c>
      <c r="X375" s="194"/>
      <c r="Y375" s="194" t="str">
        <f ca="1">IF(I375&lt;&gt;"",IF(I375&lt;=TODAY(),IF(OR(N375="REPROGRAMADA",N375="SUSPENDIDA",N375="EXCLUSION",N375="COLEGIADO"),"NO HECHA",IF(N375=" ","SINRESULTADO","SI")),"NO"),IF(N375="EXCLUSION","NO HECHA","LIMBO"))</f>
        <v>NO</v>
      </c>
      <c r="Z375" s="194" t="str">
        <f>IF($Z$1=I375,"DIASOL", "DIANOSOL")</f>
        <v>DIANOSOL</v>
      </c>
      <c r="AA375" s="194"/>
      <c r="AB375" s="194" t="s">
        <v>2364</v>
      </c>
      <c r="AC375" s="194" t="str">
        <f>IF(H375=$M$1,"SI","NO")</f>
        <v>NO</v>
      </c>
      <c r="AD375" s="194"/>
      <c r="AE375" s="316">
        <v>45231</v>
      </c>
      <c r="AF375" s="194"/>
      <c r="AG375" s="194" t="str">
        <f>IF(COUNTIF(C375,"*preso*")&gt;0,"SI","NO")</f>
        <v>NO</v>
      </c>
      <c r="AH375" s="194">
        <f>NroOrden(N375)</f>
        <v>99</v>
      </c>
      <c r="AI375" s="194"/>
      <c r="AJ375" s="194" t="str">
        <f ca="1">IF(OR(Y375="NO",Y375="LIMBO"),"IMP","NOIMP")</f>
        <v>IMP</v>
      </c>
    </row>
    <row r="376" spans="1:36" ht="66" customHeight="1">
      <c r="A376" s="199">
        <v>158</v>
      </c>
      <c r="B376" s="200" t="s">
        <v>1948</v>
      </c>
      <c r="C376" s="201" t="s">
        <v>501</v>
      </c>
      <c r="D376" s="199" t="s">
        <v>1949</v>
      </c>
      <c r="E376" s="199" t="s">
        <v>1950</v>
      </c>
      <c r="F376" s="335">
        <v>45204</v>
      </c>
      <c r="G376" s="199"/>
      <c r="H376" s="197" t="s">
        <v>1639</v>
      </c>
      <c r="I376" s="198">
        <v>45273</v>
      </c>
      <c r="J376" s="198" t="s">
        <v>282</v>
      </c>
      <c r="K376" s="197" t="s">
        <v>363</v>
      </c>
      <c r="L376" s="197" t="s">
        <v>1659</v>
      </c>
      <c r="M376" s="198" t="s">
        <v>330</v>
      </c>
      <c r="N376" s="199" t="s">
        <v>111</v>
      </c>
      <c r="O376" s="199"/>
      <c r="P376" s="199"/>
      <c r="Q376" s="199"/>
      <c r="R376" s="199"/>
      <c r="S376" s="199" t="s">
        <v>1946</v>
      </c>
      <c r="T376" s="199" t="s">
        <v>1953</v>
      </c>
      <c r="U376" s="199"/>
      <c r="V376" s="199" t="s">
        <v>1951</v>
      </c>
      <c r="W376" s="199" t="s">
        <v>535</v>
      </c>
      <c r="X376" s="199" t="s">
        <v>111</v>
      </c>
      <c r="Y376" s="199" t="str">
        <f ca="1">IF(I376&lt;&gt;"",IF(I376&lt;=TODAY(),IF(OR(N376="REPROGRAMADA",N376="SUSPENDIDA",N376="EXCLUSION",N376="COLEGIADO"),"NO HECHA",IF(N376=" ","SINRESULTADO","SI")),"NO"),IF(N376="EXCLUSION","NO HECHA","LIMBO"))</f>
        <v>NO</v>
      </c>
      <c r="Z376" s="199" t="str">
        <f>IF($Z$1=I376,"DIASOL", "DIANOSOL")</f>
        <v>DIANOSOL</v>
      </c>
      <c r="AA376" s="199" t="s">
        <v>240</v>
      </c>
      <c r="AB376" s="199" t="s">
        <v>1952</v>
      </c>
      <c r="AC376" s="199" t="str">
        <f>IF(H376=$M$1,"SI","NO")</f>
        <v>NO</v>
      </c>
      <c r="AD376" s="199"/>
      <c r="AE376" s="335">
        <v>45167</v>
      </c>
      <c r="AF376" s="199"/>
      <c r="AG376" s="199" t="str">
        <f>IF(COUNTIF(C376,"*preso*")&gt;0,"SI","NO")</f>
        <v>SI</v>
      </c>
      <c r="AH376" s="245">
        <f>NroOrden(N376)</f>
        <v>99</v>
      </c>
      <c r="AI376" s="199" t="s">
        <v>2461</v>
      </c>
      <c r="AJ376" s="152" t="str">
        <f ca="1">IF(OR(Y376="NO",Y376="LIMBO"),"IMP","NOIMP")</f>
        <v>IMP</v>
      </c>
    </row>
    <row r="377" spans="1:36" ht="39.950000000000003" customHeight="1">
      <c r="A377" s="199">
        <v>394</v>
      </c>
      <c r="B377" s="200" t="s">
        <v>2370</v>
      </c>
      <c r="C377" s="201" t="s">
        <v>501</v>
      </c>
      <c r="D377" s="199" t="s">
        <v>2371</v>
      </c>
      <c r="E377" s="199" t="s">
        <v>1860</v>
      </c>
      <c r="F377" s="313">
        <v>45230</v>
      </c>
      <c r="G377" s="199"/>
      <c r="H377" s="197" t="s">
        <v>1643</v>
      </c>
      <c r="I377" s="198">
        <v>45273</v>
      </c>
      <c r="J377" s="198" t="s">
        <v>282</v>
      </c>
      <c r="K377" s="197" t="s">
        <v>2130</v>
      </c>
      <c r="L377" s="197" t="s">
        <v>1658</v>
      </c>
      <c r="M377" s="198" t="s">
        <v>1805</v>
      </c>
      <c r="N377" s="199"/>
      <c r="O377" s="199"/>
      <c r="P377" s="199"/>
      <c r="Q377" s="199" t="s">
        <v>240</v>
      </c>
      <c r="R377" s="199"/>
      <c r="S377" s="199" t="s">
        <v>1928</v>
      </c>
      <c r="T377" s="199" t="s">
        <v>2372</v>
      </c>
      <c r="U377" s="199" t="s">
        <v>2373</v>
      </c>
      <c r="V377" s="199" t="s">
        <v>100</v>
      </c>
      <c r="W377" s="199" t="s">
        <v>169</v>
      </c>
      <c r="X377" s="199"/>
      <c r="Y377" s="199" t="str">
        <f ca="1">IF(I377&lt;&gt;"",IF(I377&lt;=TODAY(),IF(OR(N377="REPROGRAMADA",N377="SUSPENDIDA",N377="EXCLUSION",N377="COLEGIADO"),"NO HECHA",IF(N377=" ","SINRESULTADO","SI")),"NO"),IF(N377="EXCLUSION","NO HECHA","LIMBO"))</f>
        <v>NO</v>
      </c>
      <c r="Z377" s="199" t="str">
        <f>IF($Z$1=I377,"DIASOL", "DIANOSOL")</f>
        <v>DIANOSOL</v>
      </c>
      <c r="AA377" s="199"/>
      <c r="AB377" s="199" t="s">
        <v>2374</v>
      </c>
      <c r="AC377" s="199" t="str">
        <f>IF(H377=$M$1,"SI","NO")</f>
        <v>SI</v>
      </c>
      <c r="AD377" s="199"/>
      <c r="AE377" s="313">
        <v>45230</v>
      </c>
      <c r="AF377" s="199"/>
      <c r="AG377" s="199" t="str">
        <f>IF(COUNTIF(C377,"*preso*")&gt;0,"SI","NO")</f>
        <v>SI</v>
      </c>
      <c r="AH377" s="199">
        <f>NroOrden(N377)</f>
        <v>99</v>
      </c>
      <c r="AI377" s="199"/>
      <c r="AJ377" s="199" t="str">
        <f ca="1">IF(OR(Y377="NO",Y377="LIMBO"),"IMP","NOIMP")</f>
        <v>IMP</v>
      </c>
    </row>
    <row r="378" spans="1:36" ht="43.5" customHeight="1">
      <c r="A378" s="194">
        <v>374</v>
      </c>
      <c r="B378" s="195" t="s">
        <v>2265</v>
      </c>
      <c r="C378" s="196"/>
      <c r="D378" s="194" t="s">
        <v>2266</v>
      </c>
      <c r="E378" s="194" t="s">
        <v>2267</v>
      </c>
      <c r="F378" s="316">
        <v>45224</v>
      </c>
      <c r="G378" s="194"/>
      <c r="H378" s="197" t="s">
        <v>1642</v>
      </c>
      <c r="I378" s="198">
        <v>45273</v>
      </c>
      <c r="J378" s="198" t="s">
        <v>396</v>
      </c>
      <c r="K378" s="197" t="s">
        <v>362</v>
      </c>
      <c r="L378" s="197" t="s">
        <v>1658</v>
      </c>
      <c r="M378" s="198" t="s">
        <v>329</v>
      </c>
      <c r="N378" s="194"/>
      <c r="O378" s="194"/>
      <c r="P378" s="194"/>
      <c r="Q378" s="194" t="s">
        <v>240</v>
      </c>
      <c r="R378" s="194"/>
      <c r="S378" s="194"/>
      <c r="T378" s="194"/>
      <c r="U378" s="194"/>
      <c r="V378" s="194" t="s">
        <v>189</v>
      </c>
      <c r="W378" s="194" t="s">
        <v>2268</v>
      </c>
      <c r="X378" s="194" t="s">
        <v>2269</v>
      </c>
      <c r="Y378" s="194" t="str">
        <f ca="1">IF(I378&lt;&gt;"",IF(I378&lt;=TODAY(),IF(OR(N378="REPROGRAMADA",N378="SUSPENDIDA",N378="EXCLUSION",N378="COLEGIADO"),"NO HECHA",IF(N378=" ","SINRESULTADO","SI")),"NO"),IF(N378="EXCLUSION","NO HECHA","LIMBO"))</f>
        <v>NO</v>
      </c>
      <c r="Z378" s="194" t="str">
        <f>IF($Z$1=I378,"DIASOL", "DIANOSOL")</f>
        <v>DIANOSOL</v>
      </c>
      <c r="AA378" s="194"/>
      <c r="AB378" s="194" t="s">
        <v>2270</v>
      </c>
      <c r="AC378" s="194" t="str">
        <f>IF(H378=$M$1,"SI","NO")</f>
        <v>NO</v>
      </c>
      <c r="AD378" s="194"/>
      <c r="AE378" s="316">
        <v>45224</v>
      </c>
      <c r="AF378" s="194"/>
      <c r="AG378" s="194" t="str">
        <f>IF(COUNTIF(C378,"*preso*")&gt;0,"SI","NO")</f>
        <v>NO</v>
      </c>
      <c r="AH378" s="194">
        <f>NroOrden(N378)</f>
        <v>99</v>
      </c>
      <c r="AI378" s="194"/>
      <c r="AJ378" s="194" t="str">
        <f ca="1">IF(OR(Y378="NO",Y378="LIMBO"),"IMP","NOIMP")</f>
        <v>IMP</v>
      </c>
    </row>
    <row r="379" spans="1:36" ht="48" customHeight="1">
      <c r="A379" s="194">
        <v>223</v>
      </c>
      <c r="B379" s="195" t="s">
        <v>1555</v>
      </c>
      <c r="C379" s="196"/>
      <c r="D379" s="194" t="s">
        <v>1556</v>
      </c>
      <c r="E379" s="194" t="s">
        <v>1557</v>
      </c>
      <c r="F379" s="316">
        <v>45169</v>
      </c>
      <c r="G379" s="194" t="s">
        <v>1539</v>
      </c>
      <c r="H379" s="197" t="s">
        <v>1641</v>
      </c>
      <c r="I379" s="198">
        <v>45274</v>
      </c>
      <c r="J379" s="198" t="s">
        <v>282</v>
      </c>
      <c r="K379" s="197" t="s">
        <v>2130</v>
      </c>
      <c r="L379" s="172" t="s">
        <v>1659</v>
      </c>
      <c r="M379" s="198" t="s">
        <v>333</v>
      </c>
      <c r="N379" s="194" t="s">
        <v>111</v>
      </c>
      <c r="O379" s="194"/>
      <c r="P379" s="194"/>
      <c r="Q379" s="194" t="s">
        <v>111</v>
      </c>
      <c r="R379" s="194"/>
      <c r="S379" s="194"/>
      <c r="T379" s="194"/>
      <c r="U379" s="194"/>
      <c r="V379" s="194" t="s">
        <v>185</v>
      </c>
      <c r="W379" s="194" t="s">
        <v>134</v>
      </c>
      <c r="X379" s="194" t="s">
        <v>111</v>
      </c>
      <c r="Y379" s="194" t="str">
        <f ca="1">IF(I379&lt;&gt;"",IF(I379&lt;=TODAY(),IF(OR(N379="REPROGRAMADA",N379="SUSPENDIDA",N379="EXCLUSION",N379="COLEGIADO"),"NO HECHA",IF(N379=" ","SINRESULTADO","SI")),"NO"),IF(N379="EXCLUSION","NO HECHA","LIMBO"))</f>
        <v>NO</v>
      </c>
      <c r="Z379" s="194" t="str">
        <f>IF($Z$1=I379,"DIASOL", "DIANOSOL")</f>
        <v>DIANOSOL</v>
      </c>
      <c r="AA379" s="194" t="s">
        <v>240</v>
      </c>
      <c r="AB379" s="194" t="s">
        <v>1558</v>
      </c>
      <c r="AC379" s="194" t="str">
        <f>IF(H379=$M$1,"SI","NO")</f>
        <v>NO</v>
      </c>
      <c r="AD379" s="194"/>
      <c r="AE379" s="316">
        <v>45162</v>
      </c>
      <c r="AF379" s="194"/>
      <c r="AG379" s="194" t="str">
        <f>IF(COUNTIF(C379,"*preso*")&gt;0,"SI","NO")</f>
        <v>NO</v>
      </c>
      <c r="AH379" s="245">
        <f>NroOrden(N379)</f>
        <v>99</v>
      </c>
      <c r="AI379" s="194"/>
      <c r="AJ379" s="152" t="str">
        <f ca="1">IF(OR(Y379="NO",Y379="LIMBO"),"IMP","NOIMP")</f>
        <v>IMP</v>
      </c>
    </row>
    <row r="380" spans="1:36" ht="166.5" customHeight="1">
      <c r="A380" s="199">
        <v>402</v>
      </c>
      <c r="B380" s="200" t="s">
        <v>2406</v>
      </c>
      <c r="C380" s="201" t="s">
        <v>1472</v>
      </c>
      <c r="D380" s="199" t="s">
        <v>2407</v>
      </c>
      <c r="E380" s="199" t="s">
        <v>2408</v>
      </c>
      <c r="F380" s="335">
        <v>45219</v>
      </c>
      <c r="G380" s="199" t="s">
        <v>2409</v>
      </c>
      <c r="H380" s="197" t="s">
        <v>1640</v>
      </c>
      <c r="I380" s="198">
        <v>45274</v>
      </c>
      <c r="J380" s="198" t="s">
        <v>396</v>
      </c>
      <c r="K380" s="197" t="s">
        <v>1827</v>
      </c>
      <c r="L380" s="197" t="s">
        <v>1658</v>
      </c>
      <c r="M380" s="198" t="s">
        <v>1802</v>
      </c>
      <c r="N380" s="199"/>
      <c r="O380" s="199"/>
      <c r="P380" s="199"/>
      <c r="Q380" s="199" t="s">
        <v>240</v>
      </c>
      <c r="R380" s="199"/>
      <c r="S380" s="199" t="s">
        <v>1946</v>
      </c>
      <c r="T380" s="199" t="s">
        <v>2411</v>
      </c>
      <c r="U380" s="199" t="s">
        <v>2412</v>
      </c>
      <c r="V380" s="199" t="s">
        <v>184</v>
      </c>
      <c r="W380" s="199" t="s">
        <v>269</v>
      </c>
      <c r="X380" s="199"/>
      <c r="Y380" s="199" t="str">
        <f ca="1">IF(I380&lt;&gt;"",IF(I380&lt;=TODAY(),IF(OR(N380="REPROGRAMADA",N380="SUSPENDIDA",N380="EXCLUSION",N380="COLEGIADO"),"NO HECHA",IF(N380=" ","SINRESULTADO","SI")),"NO"),IF(N380="EXCLUSION","NO HECHA","LIMBO"))</f>
        <v>NO</v>
      </c>
      <c r="Z380" s="199" t="str">
        <f>IF($Z$1=I380,"DIASOL", "DIANOSOL")</f>
        <v>DIANOSOL</v>
      </c>
      <c r="AA380" s="199"/>
      <c r="AB380" s="199" t="s">
        <v>2410</v>
      </c>
      <c r="AC380" s="199" t="str">
        <f>IF(H380=$M$1,"SI","NO")</f>
        <v>NO</v>
      </c>
      <c r="AD380" s="199"/>
      <c r="AE380" s="335">
        <v>45219</v>
      </c>
      <c r="AF380" s="199"/>
      <c r="AG380" s="199" t="str">
        <f>IF(COUNTIF(C380,"*preso*")&gt;0,"SI","NO")</f>
        <v>SI</v>
      </c>
      <c r="AH380" s="199">
        <f>NroOrden(N380)</f>
        <v>99</v>
      </c>
      <c r="AI380" s="199"/>
      <c r="AJ380" s="199" t="str">
        <f ca="1">IF(OR(Y380="NO",Y380="LIMBO"),"IMP","NOIMP")</f>
        <v>IMP</v>
      </c>
    </row>
    <row r="381" spans="1:36" ht="39.950000000000003" customHeight="1">
      <c r="A381" s="194">
        <v>369</v>
      </c>
      <c r="B381" s="195" t="s">
        <v>2248</v>
      </c>
      <c r="C381" s="196"/>
      <c r="D381" s="194" t="s">
        <v>2249</v>
      </c>
      <c r="E381" s="194" t="s">
        <v>2250</v>
      </c>
      <c r="F381" s="316">
        <v>45222</v>
      </c>
      <c r="G381" s="194" t="s">
        <v>2252</v>
      </c>
      <c r="H381" s="197" t="s">
        <v>1643</v>
      </c>
      <c r="I381" s="198">
        <v>45275</v>
      </c>
      <c r="J381" s="198" t="s">
        <v>282</v>
      </c>
      <c r="K381" s="197" t="s">
        <v>1827</v>
      </c>
      <c r="L381" s="197" t="s">
        <v>1658</v>
      </c>
      <c r="M381" s="198" t="s">
        <v>332</v>
      </c>
      <c r="N381" s="194"/>
      <c r="O381" s="194"/>
      <c r="P381" s="194"/>
      <c r="Q381" s="194" t="s">
        <v>240</v>
      </c>
      <c r="R381" s="194"/>
      <c r="S381" s="194"/>
      <c r="T381" s="194"/>
      <c r="U381" s="194"/>
      <c r="V381" s="194" t="s">
        <v>192</v>
      </c>
      <c r="W381" s="194" t="s">
        <v>118</v>
      </c>
      <c r="X381" s="194"/>
      <c r="Y381" s="194" t="str">
        <f ca="1">IF(I381&lt;&gt;"",IF(I381&lt;=TODAY(),IF(OR(N381="REPROGRAMADA",N381="SUSPENDIDA",N381="EXCLUSION",N381="COLEGIADO"),"NO HECHA",IF(N381=" ","SINRESULTADO","SI")),"NO"),IF(N381="EXCLUSION","NO HECHA","LIMBO"))</f>
        <v>NO</v>
      </c>
      <c r="Z381" s="194" t="str">
        <f>IF($Z$1=I381,"DIASOL", "DIANOSOL")</f>
        <v>DIANOSOL</v>
      </c>
      <c r="AA381" s="194"/>
      <c r="AB381" s="194" t="s">
        <v>2251</v>
      </c>
      <c r="AC381" s="194" t="str">
        <f>IF(H381=$M$1,"SI","NO")</f>
        <v>SI</v>
      </c>
      <c r="AD381" s="194"/>
      <c r="AE381" s="316">
        <v>45222</v>
      </c>
      <c r="AF381" s="194"/>
      <c r="AG381" s="194" t="str">
        <f>IF(COUNTIF(C381,"*preso*")&gt;0,"SI","NO")</f>
        <v>NO</v>
      </c>
      <c r="AH381" s="194">
        <f>NroOrden(N381)</f>
        <v>99</v>
      </c>
      <c r="AI381" s="194"/>
      <c r="AJ381" s="194" t="str">
        <f ca="1">IF(OR(Y381="NO",Y381="LIMBO"),"IMP","NOIMP")</f>
        <v>IMP</v>
      </c>
    </row>
    <row r="382" spans="1:36" ht="39.950000000000003" customHeight="1">
      <c r="A382" s="194">
        <v>438</v>
      </c>
      <c r="B382" s="195" t="s">
        <v>1858</v>
      </c>
      <c r="C382" s="196"/>
      <c r="D382" s="194" t="s">
        <v>1859</v>
      </c>
      <c r="E382" s="194" t="s">
        <v>1860</v>
      </c>
      <c r="F382" s="194">
        <v>45194</v>
      </c>
      <c r="G382" s="194" t="s">
        <v>1836</v>
      </c>
      <c r="H382" s="197" t="s">
        <v>1644</v>
      </c>
      <c r="I382" s="198">
        <v>45275</v>
      </c>
      <c r="J382" s="198" t="s">
        <v>1417</v>
      </c>
      <c r="K382" s="197" t="s">
        <v>1826</v>
      </c>
      <c r="L382" s="197" t="s">
        <v>1658</v>
      </c>
      <c r="M382" s="198" t="s">
        <v>332</v>
      </c>
      <c r="N382" s="194"/>
      <c r="O382" s="194"/>
      <c r="P382" s="194"/>
      <c r="Q382" s="194" t="s">
        <v>240</v>
      </c>
      <c r="R382" s="194"/>
      <c r="S382" s="194"/>
      <c r="T382" s="194"/>
      <c r="U382" s="194"/>
      <c r="V382" s="194" t="s">
        <v>111</v>
      </c>
      <c r="W382" s="194" t="s">
        <v>111</v>
      </c>
      <c r="X382" s="194" t="s">
        <v>111</v>
      </c>
      <c r="Y382" s="194" t="str">
        <f ca="1">IF(I382&lt;&gt;"",IF(I382&lt;=TODAY(),IF(OR(N382="REPROGRAMADA",N382="SUSPENDIDA",N382="EXCLUSION",N382="COLEGIADO"),"NO HECHA",IF(N382=" ","SINRESULTADO","SI")),"NO"),IF(N382="EXCLUSION","NO HECHA","LIMBO"))</f>
        <v>NO</v>
      </c>
      <c r="Z382" s="194" t="str">
        <f>IF($Z$1=I382,"DIASOL", "DIANOSOL")</f>
        <v>DIANOSOL</v>
      </c>
      <c r="AA382" s="194" t="s">
        <v>240</v>
      </c>
      <c r="AB382" s="316"/>
      <c r="AC382" s="194" t="str">
        <f>IF(H382=$M$1,"SI","NO")</f>
        <v>NO</v>
      </c>
      <c r="AD382" s="194"/>
      <c r="AE382" s="194">
        <v>45194</v>
      </c>
      <c r="AF382" s="194"/>
      <c r="AG382" s="194" t="str">
        <f>IF(COUNTIF(C382,"*preso*")&gt;0,"SI","NO")</f>
        <v>NO</v>
      </c>
      <c r="AH382" s="194">
        <f>NroOrden(N382)</f>
        <v>99</v>
      </c>
      <c r="AI382" s="194"/>
      <c r="AJ382" s="194" t="str">
        <f ca="1">IF(OR(Y382="NO",Y382="LIMBO"),"IMP","NOIMP")</f>
        <v>IMP</v>
      </c>
    </row>
    <row r="383" spans="1:36" ht="39.950000000000003" customHeight="1">
      <c r="A383" s="194">
        <v>290</v>
      </c>
      <c r="B383" s="195" t="s">
        <v>1861</v>
      </c>
      <c r="C383" s="196"/>
      <c r="D383" s="194" t="s">
        <v>1862</v>
      </c>
      <c r="E383" s="194" t="s">
        <v>1863</v>
      </c>
      <c r="F383" s="316">
        <v>45194</v>
      </c>
      <c r="G383" s="194" t="s">
        <v>1836</v>
      </c>
      <c r="H383" s="197" t="s">
        <v>1639</v>
      </c>
      <c r="I383" s="198">
        <v>45275</v>
      </c>
      <c r="J383" s="198" t="s">
        <v>396</v>
      </c>
      <c r="K383" s="197" t="s">
        <v>362</v>
      </c>
      <c r="L383" s="197" t="s">
        <v>1659</v>
      </c>
      <c r="M383" s="198" t="s">
        <v>329</v>
      </c>
      <c r="N383" s="194" t="s">
        <v>111</v>
      </c>
      <c r="O383" s="194"/>
      <c r="P383" s="194"/>
      <c r="Q383" s="194"/>
      <c r="R383" s="194"/>
      <c r="S383" s="194"/>
      <c r="T383" s="194"/>
      <c r="U383" s="194"/>
      <c r="V383" s="194" t="s">
        <v>339</v>
      </c>
      <c r="W383" s="194" t="s">
        <v>133</v>
      </c>
      <c r="X383" s="194" t="s">
        <v>111</v>
      </c>
      <c r="Y383" s="194" t="str">
        <f ca="1">IF(I383&lt;&gt;"",IF(I383&lt;=TODAY(),IF(OR(N383="REPROGRAMADA",N383="SUSPENDIDA",N383="EXCLUSION",N383="COLEGIADO"),"NO HECHA",IF(N383=" ","SINRESULTADO","SI")),"NO"),IF(N383="EXCLUSION","NO HECHA","LIMBO"))</f>
        <v>NO</v>
      </c>
      <c r="Z383" s="194" t="str">
        <f>IF($Z$1=I383,"DIASOL", "DIANOSOL")</f>
        <v>DIANOSOL</v>
      </c>
      <c r="AA383" s="194" t="s">
        <v>240</v>
      </c>
      <c r="AB383" s="194" t="s">
        <v>1864</v>
      </c>
      <c r="AC383" s="194" t="str">
        <f>IF(H383=$M$1,"SI","NO")</f>
        <v>NO</v>
      </c>
      <c r="AD383" s="194"/>
      <c r="AE383" s="316">
        <v>45187</v>
      </c>
      <c r="AF383" s="194"/>
      <c r="AG383" s="194" t="str">
        <f>IF(COUNTIF(C383,"*preso*")&gt;0,"SI","NO")</f>
        <v>NO</v>
      </c>
      <c r="AH383" s="245">
        <f>NroOrden(N383)</f>
        <v>99</v>
      </c>
      <c r="AI383" s="194"/>
      <c r="AJ383" s="152" t="str">
        <f ca="1">IF(OR(Y383="NO",Y383="LIMBO"),"IMP","NOIMP")</f>
        <v>IMP</v>
      </c>
    </row>
    <row r="384" spans="1:36" ht="39.950000000000003" customHeight="1">
      <c r="A384" s="194">
        <v>380</v>
      </c>
      <c r="B384" s="195" t="s">
        <v>2307</v>
      </c>
      <c r="C384" s="196"/>
      <c r="D384" s="194" t="s">
        <v>2308</v>
      </c>
      <c r="E384" s="194" t="s">
        <v>2309</v>
      </c>
      <c r="F384" s="316">
        <v>45226</v>
      </c>
      <c r="G384" s="194" t="s">
        <v>2292</v>
      </c>
      <c r="H384" s="197" t="s">
        <v>1641</v>
      </c>
      <c r="I384" s="198">
        <v>45278</v>
      </c>
      <c r="J384" s="198" t="s">
        <v>282</v>
      </c>
      <c r="K384" s="197" t="s">
        <v>1938</v>
      </c>
      <c r="L384" s="197" t="s">
        <v>1659</v>
      </c>
      <c r="M384" s="198" t="s">
        <v>333</v>
      </c>
      <c r="N384" s="194"/>
      <c r="O384" s="194"/>
      <c r="P384" s="194"/>
      <c r="Q384" s="194" t="s">
        <v>240</v>
      </c>
      <c r="R384" s="194"/>
      <c r="S384" s="194"/>
      <c r="T384" s="194"/>
      <c r="U384" s="194"/>
      <c r="V384" s="194" t="s">
        <v>186</v>
      </c>
      <c r="W384" s="194"/>
      <c r="X384" s="194"/>
      <c r="Y384" s="194" t="str">
        <f ca="1">IF(I384&lt;&gt;"",IF(I384&lt;=TODAY(),IF(OR(N384="REPROGRAMADA",N384="SUSPENDIDA",N384="EXCLUSION",N384="COLEGIADO"),"NO HECHA",IF(N384=" ","SINRESULTADO","SI")),"NO"),IF(N384="EXCLUSION","NO HECHA","LIMBO"))</f>
        <v>NO</v>
      </c>
      <c r="Z384" s="194" t="str">
        <f>IF($Z$1=I384,"DIASOL", "DIANOSOL")</f>
        <v>DIANOSOL</v>
      </c>
      <c r="AA384" s="194"/>
      <c r="AB384" s="194" t="s">
        <v>2310</v>
      </c>
      <c r="AC384" s="194" t="str">
        <f>IF(H384=$M$1,"SI","NO")</f>
        <v>NO</v>
      </c>
      <c r="AD384" s="194"/>
      <c r="AE384" s="316">
        <v>45226</v>
      </c>
      <c r="AF384" s="194"/>
      <c r="AG384" s="194" t="str">
        <f>IF(COUNTIF(C384,"*preso*")&gt;0,"SI","NO")</f>
        <v>NO</v>
      </c>
      <c r="AH384" s="194">
        <f>NroOrden(N384)</f>
        <v>99</v>
      </c>
      <c r="AI384" s="194"/>
      <c r="AJ384" s="194" t="str">
        <f ca="1">IF(OR(Y384="NO",Y384="LIMBO"),"IMP","NOIMP")</f>
        <v>IMP</v>
      </c>
    </row>
    <row r="385" spans="1:36" ht="39.950000000000003" customHeight="1">
      <c r="A385" s="194">
        <v>435</v>
      </c>
      <c r="B385" s="195" t="s">
        <v>1906</v>
      </c>
      <c r="C385" s="196"/>
      <c r="D385" s="194" t="s">
        <v>1907</v>
      </c>
      <c r="E385" s="194" t="s">
        <v>1908</v>
      </c>
      <c r="F385" s="194">
        <v>45198</v>
      </c>
      <c r="G385" s="194"/>
      <c r="H385" s="197" t="s">
        <v>1640</v>
      </c>
      <c r="I385" s="198">
        <v>45278</v>
      </c>
      <c r="J385" s="198" t="s">
        <v>282</v>
      </c>
      <c r="K385" s="197" t="s">
        <v>1827</v>
      </c>
      <c r="L385" s="197" t="s">
        <v>1658</v>
      </c>
      <c r="M385" s="198" t="s">
        <v>1802</v>
      </c>
      <c r="N385" s="194"/>
      <c r="O385" s="194"/>
      <c r="P385" s="194"/>
      <c r="Q385" s="194" t="s">
        <v>240</v>
      </c>
      <c r="R385" s="194"/>
      <c r="S385" s="194"/>
      <c r="T385" s="194"/>
      <c r="U385" s="194"/>
      <c r="V385" s="194" t="s">
        <v>189</v>
      </c>
      <c r="W385" s="194" t="s">
        <v>141</v>
      </c>
      <c r="X385" s="194" t="s">
        <v>111</v>
      </c>
      <c r="Y385" s="194" t="str">
        <f ca="1">IF(I385&lt;&gt;"",IF(I385&lt;=TODAY(),IF(OR(N385="REPROGRAMADA",N385="SUSPENDIDA",N385="EXCLUSION",N385="COLEGIADO"),"NO HECHA",IF(N385=" ","SINRESULTADO","SI")),"NO"),IF(N385="EXCLUSION","NO HECHA","LIMBO"))</f>
        <v>NO</v>
      </c>
      <c r="Z385" s="194" t="str">
        <f>IF($Z$1=I385,"DIASOL", "DIANOSOL")</f>
        <v>DIANOSOL</v>
      </c>
      <c r="AA385" s="194" t="s">
        <v>240</v>
      </c>
      <c r="AB385" s="316"/>
      <c r="AC385" s="194" t="str">
        <f>IF(H385=$M$1,"SI","NO")</f>
        <v>NO</v>
      </c>
      <c r="AD385" s="194"/>
      <c r="AE385" s="194">
        <v>45198</v>
      </c>
      <c r="AF385" s="194"/>
      <c r="AG385" s="194" t="str">
        <f>IF(COUNTIF(C385,"*preso*")&gt;0,"SI","NO")</f>
        <v>NO</v>
      </c>
      <c r="AH385" s="194">
        <f>NroOrden(N385)</f>
        <v>99</v>
      </c>
      <c r="AI385" s="194"/>
      <c r="AJ385" s="194" t="str">
        <f ca="1">IF(OR(Y385="NO",Y385="LIMBO"),"IMP","NOIMP")</f>
        <v>IMP</v>
      </c>
    </row>
    <row r="386" spans="1:36" ht="76.5" customHeight="1">
      <c r="A386" s="194">
        <v>410</v>
      </c>
      <c r="B386" s="195" t="s">
        <v>2465</v>
      </c>
      <c r="C386" s="196"/>
      <c r="D386" s="194" t="s">
        <v>2466</v>
      </c>
      <c r="E386" s="194" t="s">
        <v>2467</v>
      </c>
      <c r="F386" s="316">
        <v>45237</v>
      </c>
      <c r="G386" s="316" t="s">
        <v>2502</v>
      </c>
      <c r="H386" s="197" t="s">
        <v>1644</v>
      </c>
      <c r="I386" s="198">
        <v>45278</v>
      </c>
      <c r="J386" s="198" t="s">
        <v>1417</v>
      </c>
      <c r="K386" s="197" t="s">
        <v>362</v>
      </c>
      <c r="L386" s="197" t="s">
        <v>1658</v>
      </c>
      <c r="M386" s="198" t="s">
        <v>330</v>
      </c>
      <c r="N386" s="194"/>
      <c r="O386" s="194"/>
      <c r="P386" s="194"/>
      <c r="Q386" s="194" t="s">
        <v>240</v>
      </c>
      <c r="R386" s="194"/>
      <c r="S386" s="194"/>
      <c r="T386" s="194"/>
      <c r="U386" s="194"/>
      <c r="V386" s="194" t="s">
        <v>1275</v>
      </c>
      <c r="W386" s="194"/>
      <c r="X386" s="194"/>
      <c r="Y386" s="194" t="str">
        <f ca="1">IF(I386&lt;&gt;"",IF(I386&lt;=TODAY(),IF(OR(N386="REPROGRAMADA",N386="SUSPENDIDA",N386="EXCLUSION",N386="COLEGIADO"),"NO HECHA",IF(N386=" ","SINRESULTADO","SI")),"NO"),IF(N386="EXCLUSION","NO HECHA","LIMBO"))</f>
        <v>NO</v>
      </c>
      <c r="Z386" s="194" t="str">
        <f>IF($Z$1=I386,"DIASOL", "DIANOSOL")</f>
        <v>DIANOSOL</v>
      </c>
      <c r="AA386" s="194"/>
      <c r="AB386" s="194" t="s">
        <v>2468</v>
      </c>
      <c r="AC386" s="194" t="str">
        <f>IF(H386=$M$1,"SI","NO")</f>
        <v>NO</v>
      </c>
      <c r="AD386" s="194"/>
      <c r="AE386" s="316">
        <v>45237</v>
      </c>
      <c r="AF386" s="194"/>
      <c r="AG386" s="194" t="str">
        <f>IF(COUNTIF(C386,"*preso*")&gt;0,"SI","NO")</f>
        <v>NO</v>
      </c>
      <c r="AH386" s="194">
        <f>NroOrden(N386)</f>
        <v>99</v>
      </c>
      <c r="AI386" s="194"/>
      <c r="AJ386" s="194" t="str">
        <f ca="1">IF(OR(Y386="NO",Y386="LIMBO"),"IMP","NOIMP")</f>
        <v>IMP</v>
      </c>
    </row>
    <row r="387" spans="1:36" ht="65.25" customHeight="1">
      <c r="A387" s="194">
        <v>382</v>
      </c>
      <c r="B387" s="195" t="s">
        <v>2317</v>
      </c>
      <c r="C387" s="196"/>
      <c r="D387" s="194" t="s">
        <v>2318</v>
      </c>
      <c r="E387" s="194" t="s">
        <v>518</v>
      </c>
      <c r="F387" s="316">
        <v>45226</v>
      </c>
      <c r="G387" s="194"/>
      <c r="H387" s="197" t="s">
        <v>1642</v>
      </c>
      <c r="I387" s="198">
        <v>45278</v>
      </c>
      <c r="J387" s="198" t="s">
        <v>396</v>
      </c>
      <c r="K387" s="197" t="s">
        <v>1827</v>
      </c>
      <c r="L387" s="197" t="s">
        <v>1658</v>
      </c>
      <c r="M387" s="198" t="s">
        <v>332</v>
      </c>
      <c r="N387" s="194"/>
      <c r="O387" s="194"/>
      <c r="P387" s="194"/>
      <c r="Q387" s="194" t="s">
        <v>240</v>
      </c>
      <c r="R387" s="194"/>
      <c r="S387" s="194"/>
      <c r="T387" s="194"/>
      <c r="U387" s="194"/>
      <c r="V387" s="194" t="s">
        <v>189</v>
      </c>
      <c r="W387" s="194"/>
      <c r="X387" s="194"/>
      <c r="Y387" s="194" t="str">
        <f ca="1">IF(I387&lt;&gt;"",IF(I387&lt;=TODAY(),IF(OR(N387="REPROGRAMADA",N387="SUSPENDIDA",N387="EXCLUSION",N387="COLEGIADO"),"NO HECHA",IF(N387=" ","SINRESULTADO","SI")),"NO"),IF(N387="EXCLUSION","NO HECHA","LIMBO"))</f>
        <v>NO</v>
      </c>
      <c r="Z387" s="194" t="str">
        <f>IF($Z$1=I387,"DIASOL", "DIANOSOL")</f>
        <v>DIANOSOL</v>
      </c>
      <c r="AA387" s="194"/>
      <c r="AB387" s="194" t="s">
        <v>2319</v>
      </c>
      <c r="AC387" s="194" t="str">
        <f>IF(H387=$M$1,"SI","NO")</f>
        <v>NO</v>
      </c>
      <c r="AD387" s="194"/>
      <c r="AE387" s="316">
        <v>45226</v>
      </c>
      <c r="AF387" s="194"/>
      <c r="AG387" s="194" t="str">
        <f>IF(COUNTIF(C387,"*preso*")&gt;0,"SI","NO")</f>
        <v>NO</v>
      </c>
      <c r="AH387" s="194">
        <f>NroOrden(N387)</f>
        <v>99</v>
      </c>
      <c r="AI387" s="194"/>
      <c r="AJ387" s="194" t="str">
        <f ca="1">IF(OR(Y387="NO",Y387="LIMBO"),"IMP","NOIMP")</f>
        <v>IMP</v>
      </c>
    </row>
    <row r="388" spans="1:36" ht="82.5" customHeight="1">
      <c r="A388" s="199">
        <v>417</v>
      </c>
      <c r="B388" s="200" t="s">
        <v>2506</v>
      </c>
      <c r="C388" s="201" t="s">
        <v>1472</v>
      </c>
      <c r="D388" s="199" t="s">
        <v>2507</v>
      </c>
      <c r="E388" s="199" t="s">
        <v>2508</v>
      </c>
      <c r="F388" s="335">
        <v>45239</v>
      </c>
      <c r="G388" s="199" t="s">
        <v>2501</v>
      </c>
      <c r="H388" s="197" t="s">
        <v>1643</v>
      </c>
      <c r="I388" s="198">
        <v>45279</v>
      </c>
      <c r="J388" s="198" t="s">
        <v>282</v>
      </c>
      <c r="K388" s="197" t="s">
        <v>2130</v>
      </c>
      <c r="L388" s="197" t="s">
        <v>1658</v>
      </c>
      <c r="M388" s="198" t="s">
        <v>1802</v>
      </c>
      <c r="N388" s="199"/>
      <c r="O388" s="199"/>
      <c r="P388" s="199"/>
      <c r="Q388" s="199" t="s">
        <v>240</v>
      </c>
      <c r="R388" s="199"/>
      <c r="S388" s="199" t="s">
        <v>1946</v>
      </c>
      <c r="T388" s="199" t="s">
        <v>2511</v>
      </c>
      <c r="U388" s="199" t="s">
        <v>2512</v>
      </c>
      <c r="V388" s="199" t="s">
        <v>114</v>
      </c>
      <c r="W388" s="199" t="s">
        <v>2509</v>
      </c>
      <c r="X388" s="199"/>
      <c r="Y388" s="199" t="str">
        <f ca="1">IF(I388&lt;&gt;"",IF(I388&lt;=TODAY(),IF(OR(N388="REPROGRAMADA",N388="SUSPENDIDA",N388="EXCLUSION",N388="COLEGIADO"),"NO HECHA",IF(N388=" ","SINRESULTADO","SI")),"NO"),IF(N388="EXCLUSION","NO HECHA","LIMBO"))</f>
        <v>NO</v>
      </c>
      <c r="Z388" s="199" t="str">
        <f>IF($Z$1=I388,"DIASOL", "DIANOSOL")</f>
        <v>DIANOSOL</v>
      </c>
      <c r="AA388" s="199"/>
      <c r="AB388" s="199" t="s">
        <v>2510</v>
      </c>
      <c r="AC388" s="199" t="str">
        <f>IF(H388=$M$1,"SI","NO")</f>
        <v>SI</v>
      </c>
      <c r="AD388" s="199"/>
      <c r="AE388" s="335">
        <v>45239</v>
      </c>
      <c r="AF388" s="199"/>
      <c r="AG388" s="199" t="str">
        <f>IF(COUNTIF(C388,"*preso*")&gt;0,"SI","NO")</f>
        <v>SI</v>
      </c>
      <c r="AH388" s="199">
        <f>NroOrden(N388)</f>
        <v>99</v>
      </c>
      <c r="AI388" s="199"/>
      <c r="AJ388" s="199" t="str">
        <f ca="1">IF(OR(Y388="NO",Y388="LIMBO"),"IMP","NOIMP")</f>
        <v>IMP</v>
      </c>
    </row>
    <row r="389" spans="1:36" ht="39.950000000000003" customHeight="1">
      <c r="A389" s="199">
        <v>381</v>
      </c>
      <c r="B389" s="200" t="s">
        <v>2312</v>
      </c>
      <c r="C389" s="201" t="s">
        <v>501</v>
      </c>
      <c r="D389" s="199" t="s">
        <v>2311</v>
      </c>
      <c r="E389" s="199" t="s">
        <v>1293</v>
      </c>
      <c r="F389" s="313">
        <v>45229</v>
      </c>
      <c r="G389" s="199"/>
      <c r="H389" s="197" t="s">
        <v>1642</v>
      </c>
      <c r="I389" s="198">
        <v>45279</v>
      </c>
      <c r="J389" s="198" t="s">
        <v>1417</v>
      </c>
      <c r="K389" s="197" t="s">
        <v>1674</v>
      </c>
      <c r="L389" s="197" t="s">
        <v>1659</v>
      </c>
      <c r="M389" s="198" t="s">
        <v>331</v>
      </c>
      <c r="N389" s="199"/>
      <c r="O389" s="199"/>
      <c r="P389" s="199"/>
      <c r="Q389" s="199" t="s">
        <v>240</v>
      </c>
      <c r="R389" s="199"/>
      <c r="S389" s="199" t="s">
        <v>1946</v>
      </c>
      <c r="T389" s="199" t="s">
        <v>2314</v>
      </c>
      <c r="U389" s="199" t="s">
        <v>2315</v>
      </c>
      <c r="V389" s="199" t="s">
        <v>341</v>
      </c>
      <c r="W389" s="199"/>
      <c r="X389" s="199"/>
      <c r="Y389" s="199" t="str">
        <f ca="1">IF(I389&lt;&gt;"",IF(I389&lt;=TODAY(),IF(OR(N389="REPROGRAMADA",N389="SUSPENDIDA",N389="EXCLUSION",N389="COLEGIADO"),"NO HECHA",IF(N389=" ","SINRESULTADO","SI")),"NO"),IF(N389="EXCLUSION","NO HECHA","LIMBO"))</f>
        <v>NO</v>
      </c>
      <c r="Z389" s="199" t="str">
        <f>IF($Z$1=I389,"DIASOL", "DIANOSOL")</f>
        <v>DIANOSOL</v>
      </c>
      <c r="AA389" s="199"/>
      <c r="AB389" s="199" t="s">
        <v>2313</v>
      </c>
      <c r="AC389" s="199" t="str">
        <f>IF(H389=$M$1,"SI","NO")</f>
        <v>NO</v>
      </c>
      <c r="AD389" s="199"/>
      <c r="AE389" s="313">
        <v>45229</v>
      </c>
      <c r="AF389" s="199"/>
      <c r="AG389" s="199" t="str">
        <f>IF(COUNTIF(C389,"*preso*")&gt;0,"SI","NO")</f>
        <v>SI</v>
      </c>
      <c r="AH389" s="199">
        <f>NroOrden(N389)</f>
        <v>99</v>
      </c>
      <c r="AI389" s="199"/>
      <c r="AJ389" s="199" t="str">
        <f ca="1">IF(OR(Y389="NO",Y389="LIMBO"),"IMP","NOIMP")</f>
        <v>IMP</v>
      </c>
    </row>
    <row r="390" spans="1:36" ht="39.950000000000003" customHeight="1">
      <c r="A390" s="194">
        <v>383</v>
      </c>
      <c r="B390" s="195" t="s">
        <v>2320</v>
      </c>
      <c r="C390" s="196"/>
      <c r="D390" s="194" t="s">
        <v>2321</v>
      </c>
      <c r="E390" s="194" t="s">
        <v>2322</v>
      </c>
      <c r="F390" s="316">
        <v>45226</v>
      </c>
      <c r="G390" s="194"/>
      <c r="H390" s="197" t="s">
        <v>1638</v>
      </c>
      <c r="I390" s="198">
        <v>45279</v>
      </c>
      <c r="J390" s="198" t="s">
        <v>1417</v>
      </c>
      <c r="K390" s="197" t="s">
        <v>1826</v>
      </c>
      <c r="L390" s="197" t="s">
        <v>1658</v>
      </c>
      <c r="M390" s="198" t="s">
        <v>332</v>
      </c>
      <c r="N390" s="194"/>
      <c r="O390" s="194"/>
      <c r="P390" s="194"/>
      <c r="Q390" s="194" t="s">
        <v>240</v>
      </c>
      <c r="R390" s="194"/>
      <c r="S390" s="194"/>
      <c r="T390" s="194"/>
      <c r="U390" s="194"/>
      <c r="V390" s="194" t="s">
        <v>343</v>
      </c>
      <c r="W390" s="194" t="s">
        <v>120</v>
      </c>
      <c r="X390" s="194"/>
      <c r="Y390" s="194" t="str">
        <f ca="1">IF(I390&lt;&gt;"",IF(I390&lt;=TODAY(),IF(OR(N390="REPROGRAMADA",N390="SUSPENDIDA",N390="EXCLUSION",N390="COLEGIADO"),"NO HECHA",IF(N390=" ","SINRESULTADO","SI")),"NO"),IF(N390="EXCLUSION","NO HECHA","LIMBO"))</f>
        <v>NO</v>
      </c>
      <c r="Z390" s="194" t="str">
        <f>IF($Z$1=I390,"DIASOL", "DIANOSOL")</f>
        <v>DIANOSOL</v>
      </c>
      <c r="AA390" s="194"/>
      <c r="AB390" s="194" t="s">
        <v>2323</v>
      </c>
      <c r="AC390" s="194" t="str">
        <f>IF(H390=$M$1,"SI","NO")</f>
        <v>NO</v>
      </c>
      <c r="AD390" s="194"/>
      <c r="AE390" s="316">
        <v>45226</v>
      </c>
      <c r="AF390" s="194"/>
      <c r="AG390" s="194" t="str">
        <f>IF(COUNTIF(C390,"*preso*")&gt;0,"SI","NO")</f>
        <v>NO</v>
      </c>
      <c r="AH390" s="194">
        <f>NroOrden(N390)</f>
        <v>99</v>
      </c>
      <c r="AI390" s="194"/>
      <c r="AJ390" s="194" t="str">
        <f ca="1">IF(OR(Y390="NO",Y390="LIMBO"),"IMP","NOIMP")</f>
        <v>IMP</v>
      </c>
    </row>
    <row r="391" spans="1:36" ht="39.950000000000003" customHeight="1">
      <c r="A391" s="199">
        <v>332</v>
      </c>
      <c r="B391" s="200" t="s">
        <v>2068</v>
      </c>
      <c r="C391" s="201" t="s">
        <v>501</v>
      </c>
      <c r="D391" s="199" t="s">
        <v>2069</v>
      </c>
      <c r="E391" s="199" t="s">
        <v>2070</v>
      </c>
      <c r="F391" s="335">
        <v>45208</v>
      </c>
      <c r="G391" s="199"/>
      <c r="H391" s="197" t="s">
        <v>1637</v>
      </c>
      <c r="I391" s="198">
        <v>45279</v>
      </c>
      <c r="J391" s="198" t="s">
        <v>396</v>
      </c>
      <c r="K391" s="197" t="s">
        <v>362</v>
      </c>
      <c r="L391" s="197" t="s">
        <v>1658</v>
      </c>
      <c r="M391" s="198" t="s">
        <v>330</v>
      </c>
      <c r="N391" s="199"/>
      <c r="O391" s="199"/>
      <c r="P391" s="199"/>
      <c r="Q391" s="199" t="s">
        <v>240</v>
      </c>
      <c r="R391" s="199"/>
      <c r="S391" s="199" t="s">
        <v>1946</v>
      </c>
      <c r="T391" s="199" t="s">
        <v>2073</v>
      </c>
      <c r="U391" s="199" t="s">
        <v>2074</v>
      </c>
      <c r="V391" s="199" t="s">
        <v>1127</v>
      </c>
      <c r="W391" s="199" t="s">
        <v>2071</v>
      </c>
      <c r="X391" s="199"/>
      <c r="Y391" s="199" t="str">
        <f ca="1">IF(I391&lt;&gt;"",IF(I391&lt;=TODAY(),IF(OR(N391="REPROGRAMADA",N391="SUSPENDIDA",N391="EXCLUSION",N391="COLEGIADO"),"NO HECHA",IF(N391=" ","SINRESULTADO","SI")),"NO"),IF(N391="EXCLUSION","NO HECHA","LIMBO"))</f>
        <v>NO</v>
      </c>
      <c r="Z391" s="199" t="str">
        <f>IF($Z$1=I391,"DIASOL", "DIANOSOL")</f>
        <v>DIANOSOL</v>
      </c>
      <c r="AA391" s="199"/>
      <c r="AB391" s="199" t="s">
        <v>2072</v>
      </c>
      <c r="AC391" s="199" t="str">
        <f>IF(H391=$M$1,"SI","NO")</f>
        <v>NO</v>
      </c>
      <c r="AD391" s="199"/>
      <c r="AE391" s="335">
        <v>45208</v>
      </c>
      <c r="AF391" s="199"/>
      <c r="AG391" s="199" t="str">
        <f>IF(COUNTIF(C391,"*preso*")&gt;0,"SI","NO")</f>
        <v>SI</v>
      </c>
      <c r="AH391" s="199">
        <f>NroOrden(N391)</f>
        <v>99</v>
      </c>
      <c r="AI391" s="199"/>
      <c r="AJ391" s="152" t="str">
        <f ca="1">IF(OR(Y391="NO",Y391="LIMBO"),"IMP","NOIMP")</f>
        <v>IMP</v>
      </c>
    </row>
    <row r="392" spans="1:36" ht="117.75" customHeight="1">
      <c r="A392" s="194">
        <v>405</v>
      </c>
      <c r="B392" s="195" t="s">
        <v>2439</v>
      </c>
      <c r="C392" s="196"/>
      <c r="D392" s="194" t="s">
        <v>2440</v>
      </c>
      <c r="E392" s="194" t="s">
        <v>2459</v>
      </c>
      <c r="F392" s="316">
        <v>45216</v>
      </c>
      <c r="G392" s="194" t="s">
        <v>2441</v>
      </c>
      <c r="H392" s="197" t="s">
        <v>1639</v>
      </c>
      <c r="I392" s="198">
        <v>45279</v>
      </c>
      <c r="J392" s="198" t="s">
        <v>396</v>
      </c>
      <c r="K392" s="197" t="s">
        <v>1827</v>
      </c>
      <c r="L392" s="197" t="s">
        <v>1659</v>
      </c>
      <c r="M392" s="198" t="s">
        <v>1805</v>
      </c>
      <c r="N392" s="194"/>
      <c r="O392" s="194"/>
      <c r="P392" s="194"/>
      <c r="Q392" s="194" t="s">
        <v>240</v>
      </c>
      <c r="R392" s="194"/>
      <c r="S392" s="194"/>
      <c r="T392" s="194"/>
      <c r="U392" s="194"/>
      <c r="V392" s="194" t="s">
        <v>114</v>
      </c>
      <c r="W392" s="194"/>
      <c r="X392" s="194"/>
      <c r="Y392" s="194" t="str">
        <f ca="1">IF(I392&lt;&gt;"",IF(I392&lt;=TODAY(),IF(OR(N392="REPROGRAMADA",N392="SUSPENDIDA",N392="EXCLUSION",N392="COLEGIADO"),"NO HECHA",IF(N392=" ","SINRESULTADO","SI")),"NO"),IF(N392="EXCLUSION","NO HECHA","LIMBO"))</f>
        <v>NO</v>
      </c>
      <c r="Z392" s="194" t="str">
        <f>IF($Z$1=I392,"DIASOL", "DIANOSOL")</f>
        <v>DIANOSOL</v>
      </c>
      <c r="AA392" s="194"/>
      <c r="AB392" s="194" t="s">
        <v>2443</v>
      </c>
      <c r="AC392" s="194" t="str">
        <f>IF(H392=$M$1,"SI","NO")</f>
        <v>NO</v>
      </c>
      <c r="AD392" s="194"/>
      <c r="AE392" s="316">
        <v>45216</v>
      </c>
      <c r="AF392" s="194"/>
      <c r="AG392" s="194" t="str">
        <f>IF(COUNTIF(C392,"*preso*")&gt;0,"SI","NO")</f>
        <v>NO</v>
      </c>
      <c r="AH392" s="194">
        <f>NroOrden(N392)</f>
        <v>99</v>
      </c>
      <c r="AI392" s="194" t="s">
        <v>2442</v>
      </c>
      <c r="AJ392" s="194" t="str">
        <f ca="1">IF(OR(Y392="NO",Y392="LIMBO"),"IMP","NOIMP")</f>
        <v>IMP</v>
      </c>
    </row>
    <row r="393" spans="1:36" ht="39.950000000000003" customHeight="1">
      <c r="A393" s="194">
        <v>284</v>
      </c>
      <c r="B393" s="195" t="s">
        <v>1838</v>
      </c>
      <c r="C393" s="196"/>
      <c r="D393" s="194" t="s">
        <v>1837</v>
      </c>
      <c r="E393" s="194" t="s">
        <v>1839</v>
      </c>
      <c r="F393" s="312">
        <v>45190</v>
      </c>
      <c r="G393" s="194" t="s">
        <v>1836</v>
      </c>
      <c r="H393" s="197" t="s">
        <v>1640</v>
      </c>
      <c r="I393" s="198">
        <v>45280</v>
      </c>
      <c r="J393" s="198" t="s">
        <v>282</v>
      </c>
      <c r="K393" s="197" t="s">
        <v>1827</v>
      </c>
      <c r="L393" s="197" t="s">
        <v>1659</v>
      </c>
      <c r="M393" s="198" t="s">
        <v>1807</v>
      </c>
      <c r="N393" s="194" t="s">
        <v>111</v>
      </c>
      <c r="O393" s="194"/>
      <c r="P393" s="194"/>
      <c r="Q393" s="194"/>
      <c r="R393" s="194"/>
      <c r="S393" s="194"/>
      <c r="T393" s="194"/>
      <c r="U393" s="194"/>
      <c r="V393" s="194" t="s">
        <v>192</v>
      </c>
      <c r="W393" s="194" t="s">
        <v>136</v>
      </c>
      <c r="X393" s="194" t="s">
        <v>111</v>
      </c>
      <c r="Y393" s="194" t="str">
        <f ca="1">IF(I393&lt;&gt;"",IF(I393&lt;=TODAY(),IF(OR(N393="REPROGRAMADA",N393="SUSPENDIDA",N393="EXCLUSION",N393="COLEGIADO"),"NO HECHA",IF(N393=" ","SINRESULTADO","SI")),"NO"),IF(N393="EXCLUSION","NO HECHA","LIMBO"))</f>
        <v>NO</v>
      </c>
      <c r="Z393" s="194" t="str">
        <f>IF($Z$1=I393,"DIASOL", "DIANOSOL")</f>
        <v>DIANOSOL</v>
      </c>
      <c r="AA393" s="194" t="s">
        <v>240</v>
      </c>
      <c r="AB393" s="194" t="s">
        <v>1840</v>
      </c>
      <c r="AC393" s="194" t="str">
        <f>IF(H393=$M$1,"SI","NO")</f>
        <v>NO</v>
      </c>
      <c r="AD393" s="194"/>
      <c r="AE393" s="312">
        <v>45190</v>
      </c>
      <c r="AF393" s="194"/>
      <c r="AG393" s="194" t="str">
        <f>IF(COUNTIF(C393,"*preso*")&gt;0,"SI","NO")</f>
        <v>NO</v>
      </c>
      <c r="AH393" s="245">
        <f>NroOrden(N393)</f>
        <v>99</v>
      </c>
      <c r="AI393" s="194"/>
      <c r="AJ393" s="152" t="str">
        <f ca="1">IF(OR(Y393="NO",Y393="LIMBO"),"IMP","NOIMP")</f>
        <v>IMP</v>
      </c>
    </row>
    <row r="394" spans="1:36" ht="131.25" customHeight="1">
      <c r="A394" s="194">
        <v>401</v>
      </c>
      <c r="B394" s="195" t="s">
        <v>2402</v>
      </c>
      <c r="C394" s="196"/>
      <c r="D394" s="194" t="s">
        <v>2403</v>
      </c>
      <c r="E394" s="279" t="s">
        <v>2405</v>
      </c>
      <c r="F394" s="316">
        <v>45232</v>
      </c>
      <c r="G394" s="194"/>
      <c r="H394" s="197" t="s">
        <v>1644</v>
      </c>
      <c r="I394" s="198">
        <v>45280</v>
      </c>
      <c r="J394" s="198" t="s">
        <v>396</v>
      </c>
      <c r="K394" s="197" t="s">
        <v>362</v>
      </c>
      <c r="L394" s="197" t="s">
        <v>1659</v>
      </c>
      <c r="M394" s="198" t="s">
        <v>328</v>
      </c>
      <c r="N394" s="194"/>
      <c r="O394" s="194"/>
      <c r="P394" s="194"/>
      <c r="Q394" s="194" t="s">
        <v>240</v>
      </c>
      <c r="R394" s="194"/>
      <c r="S394" s="194"/>
      <c r="T394" s="194"/>
      <c r="U394" s="194"/>
      <c r="V394" s="194" t="s">
        <v>182</v>
      </c>
      <c r="W394" s="194" t="s">
        <v>1234</v>
      </c>
      <c r="X394" s="194"/>
      <c r="Y394" s="194" t="str">
        <f ca="1">IF(I394&lt;&gt;"",IF(I394&lt;=TODAY(),IF(OR(N394="REPROGRAMADA",N394="SUSPENDIDA",N394="EXCLUSION",N394="COLEGIADO"),"NO HECHA",IF(N394=" ","SINRESULTADO","SI")),"NO"),IF(N394="EXCLUSION","NO HECHA","LIMBO"))</f>
        <v>NO</v>
      </c>
      <c r="Z394" s="194" t="str">
        <f>IF($Z$1=I394,"DIASOL", "DIANOSOL")</f>
        <v>DIANOSOL</v>
      </c>
      <c r="AA394" s="194"/>
      <c r="AB394" s="194" t="s">
        <v>2404</v>
      </c>
      <c r="AC394" s="194" t="str">
        <f>IF(H394=$M$1,"SI","NO")</f>
        <v>NO</v>
      </c>
      <c r="AD394" s="194"/>
      <c r="AE394" s="316">
        <v>45232</v>
      </c>
      <c r="AF394" s="194"/>
      <c r="AG394" s="194" t="str">
        <f>IF(COUNTIF(C394,"*preso*")&gt;0,"SI","NO")</f>
        <v>NO</v>
      </c>
      <c r="AH394" s="194">
        <f>NroOrden(N394)</f>
        <v>99</v>
      </c>
      <c r="AI394" s="194"/>
      <c r="AJ394" s="194" t="str">
        <f ca="1">IF(OR(Y394="NO",Y394="LIMBO"),"IMP","NOIMP")</f>
        <v>IMP</v>
      </c>
    </row>
    <row r="395" spans="1:36" ht="39.950000000000003" customHeight="1">
      <c r="A395" s="194">
        <v>436</v>
      </c>
      <c r="B395" s="195" t="s">
        <v>1963</v>
      </c>
      <c r="C395" s="196"/>
      <c r="D395" s="194" t="s">
        <v>1964</v>
      </c>
      <c r="E395" s="194" t="s">
        <v>1965</v>
      </c>
      <c r="F395" s="194">
        <v>45202</v>
      </c>
      <c r="G395" s="194"/>
      <c r="H395" s="197" t="s">
        <v>1643</v>
      </c>
      <c r="I395" s="198">
        <v>45280</v>
      </c>
      <c r="J395" s="198" t="s">
        <v>396</v>
      </c>
      <c r="K395" s="197" t="s">
        <v>1827</v>
      </c>
      <c r="L395" s="197" t="s">
        <v>1658</v>
      </c>
      <c r="M395" s="198" t="s">
        <v>2155</v>
      </c>
      <c r="N395" s="194"/>
      <c r="O395" s="194"/>
      <c r="P395" s="194"/>
      <c r="Q395" s="194" t="s">
        <v>240</v>
      </c>
      <c r="R395" s="194"/>
      <c r="S395" s="194"/>
      <c r="T395" s="194"/>
      <c r="U395" s="194"/>
      <c r="V395" s="194" t="s">
        <v>1127</v>
      </c>
      <c r="W395" s="194" t="s">
        <v>111</v>
      </c>
      <c r="X395" s="194" t="s">
        <v>111</v>
      </c>
      <c r="Y395" s="194" t="str">
        <f ca="1">IF(I395&lt;&gt;"",IF(I395&lt;=TODAY(),IF(OR(N395="REPROGRAMADA",N395="SUSPENDIDA",N395="EXCLUSION",N395="COLEGIADO"),"NO HECHA",IF(N395=" ","SINRESULTADO","SI")),"NO"),IF(N395="EXCLUSION","NO HECHA","LIMBO"))</f>
        <v>NO</v>
      </c>
      <c r="Z395" s="194" t="str">
        <f>IF($Z$1=I395,"DIASOL", "DIANOSOL")</f>
        <v>DIANOSOL</v>
      </c>
      <c r="AA395" s="194" t="s">
        <v>240</v>
      </c>
      <c r="AB395" s="316"/>
      <c r="AC395" s="194" t="str">
        <f>IF(H395=$M$1,"SI","NO")</f>
        <v>SI</v>
      </c>
      <c r="AD395" s="194"/>
      <c r="AE395" s="194">
        <v>45202</v>
      </c>
      <c r="AF395" s="194"/>
      <c r="AG395" s="194" t="str">
        <f>IF(COUNTIF(C395,"*preso*")&gt;0,"SI","NO")</f>
        <v>NO</v>
      </c>
      <c r="AH395" s="194">
        <f>NroOrden(N395)</f>
        <v>99</v>
      </c>
      <c r="AI395" s="194"/>
      <c r="AJ395" s="194" t="str">
        <f ca="1">IF(OR(Y395="NO",Y395="LIMBO"),"IMP","NOIMP")</f>
        <v>IMP</v>
      </c>
    </row>
    <row r="396" spans="1:36" ht="39.950000000000003" customHeight="1">
      <c r="A396" s="199">
        <v>437</v>
      </c>
      <c r="B396" s="200" t="s">
        <v>2040</v>
      </c>
      <c r="C396" s="201" t="s">
        <v>501</v>
      </c>
      <c r="D396" s="199" t="s">
        <v>2041</v>
      </c>
      <c r="E396" s="199" t="s">
        <v>2042</v>
      </c>
      <c r="F396" s="199">
        <v>45205</v>
      </c>
      <c r="G396" s="199"/>
      <c r="H396" s="197" t="s">
        <v>1637</v>
      </c>
      <c r="I396" s="198">
        <v>45280</v>
      </c>
      <c r="J396" s="198" t="s">
        <v>1562</v>
      </c>
      <c r="K396" s="197" t="s">
        <v>1827</v>
      </c>
      <c r="L396" s="197" t="s">
        <v>1658</v>
      </c>
      <c r="M396" s="198" t="s">
        <v>1805</v>
      </c>
      <c r="N396" s="199"/>
      <c r="O396" s="199"/>
      <c r="P396" s="199"/>
      <c r="Q396" s="199" t="s">
        <v>240</v>
      </c>
      <c r="R396" s="199"/>
      <c r="S396" s="199" t="s">
        <v>1946</v>
      </c>
      <c r="T396" s="199" t="s">
        <v>2043</v>
      </c>
      <c r="U396" s="199" t="s">
        <v>2075</v>
      </c>
      <c r="V396" s="199" t="s">
        <v>186</v>
      </c>
      <c r="W396" s="199" t="s">
        <v>111</v>
      </c>
      <c r="X396" s="199" t="s">
        <v>111</v>
      </c>
      <c r="Y396" s="199" t="str">
        <f ca="1">IF(I396&lt;&gt;"",IF(I396&lt;=TODAY(),IF(OR(N396="REPROGRAMADA",N396="SUSPENDIDA",N396="EXCLUSION",N396="COLEGIADO"),"NO HECHA",IF(N396=" ","SINRESULTADO","SI")),"NO"),IF(N396="EXCLUSION","NO HECHA","LIMBO"))</f>
        <v>NO</v>
      </c>
      <c r="Z396" s="199" t="str">
        <f>IF($Z$1=I396,"DIASOL", "DIANOSOL")</f>
        <v>DIANOSOL</v>
      </c>
      <c r="AA396" s="199" t="s">
        <v>681</v>
      </c>
      <c r="AB396" s="335"/>
      <c r="AC396" s="199" t="str">
        <f>IF(H396=$M$1,"SI","NO")</f>
        <v>NO</v>
      </c>
      <c r="AD396" s="199"/>
      <c r="AE396" s="199">
        <v>45205</v>
      </c>
      <c r="AF396" s="199"/>
      <c r="AG396" s="199" t="str">
        <f>IF(COUNTIF(C396,"*preso*")&gt;0,"SI","NO")</f>
        <v>SI</v>
      </c>
      <c r="AH396" s="199">
        <f>NroOrden(N396)</f>
        <v>99</v>
      </c>
      <c r="AI396" s="199"/>
      <c r="AJ396" s="199" t="str">
        <f ca="1">IF(OR(Y396="NO",Y396="LIMBO"),"IMP","NOIMP")</f>
        <v>IMP</v>
      </c>
    </row>
    <row r="397" spans="1:36" ht="61.5" customHeight="1">
      <c r="A397" s="194">
        <v>373</v>
      </c>
      <c r="B397" s="195" t="s">
        <v>2262</v>
      </c>
      <c r="C397" s="196"/>
      <c r="D397" s="194" t="s">
        <v>2263</v>
      </c>
      <c r="E397" s="194" t="s">
        <v>831</v>
      </c>
      <c r="F397" s="316">
        <v>45224</v>
      </c>
      <c r="G397" s="194"/>
      <c r="H397" s="197" t="s">
        <v>1643</v>
      </c>
      <c r="I397" s="198">
        <v>45281</v>
      </c>
      <c r="J397" s="198" t="s">
        <v>282</v>
      </c>
      <c r="K397" s="197" t="s">
        <v>2131</v>
      </c>
      <c r="L397" s="197" t="s">
        <v>1658</v>
      </c>
      <c r="M397" s="198" t="s">
        <v>1808</v>
      </c>
      <c r="N397" s="194"/>
      <c r="O397" s="194"/>
      <c r="P397" s="194"/>
      <c r="Q397" s="194" t="s">
        <v>240</v>
      </c>
      <c r="R397" s="194"/>
      <c r="S397" s="194"/>
      <c r="T397" s="194"/>
      <c r="U397" s="194"/>
      <c r="V397" s="194" t="s">
        <v>188</v>
      </c>
      <c r="W397" s="194" t="s">
        <v>2272</v>
      </c>
      <c r="X397" s="194"/>
      <c r="Y397" s="194" t="str">
        <f ca="1">IF(I397&lt;&gt;"",IF(I397&lt;=TODAY(),IF(OR(N397="REPROGRAMADA",N397="SUSPENDIDA",N397="EXCLUSION",N397="COLEGIADO"),"NO HECHA",IF(N397=" ","SINRESULTADO","SI")),"NO"),IF(N397="EXCLUSION","NO HECHA","LIMBO"))</f>
        <v>NO</v>
      </c>
      <c r="Z397" s="194" t="str">
        <f>IF($Z$1=I397,"DIASOL", "DIANOSOL")</f>
        <v>DIANOSOL</v>
      </c>
      <c r="AA397" s="194"/>
      <c r="AB397" s="194" t="s">
        <v>2264</v>
      </c>
      <c r="AC397" s="194" t="str">
        <f>IF(H397=$M$1,"SI","NO")</f>
        <v>SI</v>
      </c>
      <c r="AD397" s="194"/>
      <c r="AE397" s="316">
        <v>45224</v>
      </c>
      <c r="AF397" s="194"/>
      <c r="AG397" s="194" t="str">
        <f>IF(COUNTIF(C397,"*preso*")&gt;0,"SI","NO")</f>
        <v>NO</v>
      </c>
      <c r="AH397" s="194">
        <f>NroOrden(N397)</f>
        <v>99</v>
      </c>
      <c r="AI397" s="194"/>
      <c r="AJ397" s="194" t="str">
        <f ca="1">IF(OR(Y397="NO",Y397="LIMBO"),"IMP","NOIMP")</f>
        <v>IMP</v>
      </c>
    </row>
    <row r="398" spans="1:36" ht="39.950000000000003" customHeight="1">
      <c r="A398" s="199">
        <v>455</v>
      </c>
      <c r="B398" s="200" t="s">
        <v>2375</v>
      </c>
      <c r="C398" s="201" t="s">
        <v>501</v>
      </c>
      <c r="D398" s="199" t="s">
        <v>2376</v>
      </c>
      <c r="E398" s="199" t="s">
        <v>2380</v>
      </c>
      <c r="F398" s="199">
        <v>45229</v>
      </c>
      <c r="G398" s="199"/>
      <c r="H398" s="197" t="s">
        <v>1638</v>
      </c>
      <c r="I398" s="198">
        <v>45281</v>
      </c>
      <c r="J398" s="198" t="s">
        <v>282</v>
      </c>
      <c r="K398" s="197" t="s">
        <v>1674</v>
      </c>
      <c r="L398" s="197" t="s">
        <v>1659</v>
      </c>
      <c r="M398" s="198" t="s">
        <v>331</v>
      </c>
      <c r="N398" s="199"/>
      <c r="O398" s="199"/>
      <c r="P398" s="199"/>
      <c r="Q398" s="199" t="s">
        <v>240</v>
      </c>
      <c r="R398" s="199"/>
      <c r="S398" s="199" t="s">
        <v>1928</v>
      </c>
      <c r="T398" s="199" t="s">
        <v>2377</v>
      </c>
      <c r="U398" s="199" t="s">
        <v>2378</v>
      </c>
      <c r="V398" s="199" t="s">
        <v>347</v>
      </c>
      <c r="W398" s="199" t="s">
        <v>125</v>
      </c>
      <c r="X398" s="199"/>
      <c r="Y398" s="199" t="str">
        <f ca="1">IF(I398&lt;&gt;"",IF(I398&lt;=TODAY(),IF(OR(N398="REPROGRAMADA",N398="SUSPENDIDA",N398="EXCLUSION",N398="COLEGIADO"),"NO HECHA",IF(N398=" ","SINRESULTADO","SI")),"NO"),IF(N398="EXCLUSION","NO HECHA","LIMBO"))</f>
        <v>NO</v>
      </c>
      <c r="Z398" s="199" t="str">
        <f>IF($Z$1=I398,"DIASOL", "DIANOSOL")</f>
        <v>DIANOSOL</v>
      </c>
      <c r="AA398" s="199"/>
      <c r="AB398" s="335"/>
      <c r="AC398" s="199" t="str">
        <f>IF(H398=$M$1,"SI","NO")</f>
        <v>NO</v>
      </c>
      <c r="AD398" s="199"/>
      <c r="AE398" s="199">
        <v>45229</v>
      </c>
      <c r="AF398" s="199"/>
      <c r="AG398" s="199" t="str">
        <f>IF(COUNTIF(C398,"*preso*")&gt;0,"SI","NO")</f>
        <v>SI</v>
      </c>
      <c r="AH398" s="199">
        <f>NroOrden(N398)</f>
        <v>99</v>
      </c>
      <c r="AI398" s="199" t="s">
        <v>2379</v>
      </c>
      <c r="AJ398" s="199" t="str">
        <f ca="1">IF(OR(Y398="NO",Y398="LIMBO"),"IMP","NOIMP")</f>
        <v>IMP</v>
      </c>
    </row>
    <row r="399" spans="1:36" ht="39.950000000000003" customHeight="1">
      <c r="A399" s="194">
        <v>372</v>
      </c>
      <c r="B399" s="195" t="s">
        <v>2259</v>
      </c>
      <c r="C399" s="196"/>
      <c r="D399" s="194" t="s">
        <v>2324</v>
      </c>
      <c r="E399" s="194" t="s">
        <v>2260</v>
      </c>
      <c r="F399" s="316">
        <v>45224</v>
      </c>
      <c r="G399" s="194"/>
      <c r="H399" s="197" t="s">
        <v>1639</v>
      </c>
      <c r="I399" s="198">
        <v>45281</v>
      </c>
      <c r="J399" s="198" t="s">
        <v>396</v>
      </c>
      <c r="K399" s="197" t="s">
        <v>2131</v>
      </c>
      <c r="L399" s="197" t="s">
        <v>1659</v>
      </c>
      <c r="M399" s="198" t="s">
        <v>1805</v>
      </c>
      <c r="N399" s="194"/>
      <c r="O399" s="194"/>
      <c r="P399" s="194"/>
      <c r="Q399" s="194" t="s">
        <v>240</v>
      </c>
      <c r="R399" s="194"/>
      <c r="S399" s="194"/>
      <c r="T399" s="194"/>
      <c r="U399" s="194"/>
      <c r="V399" s="194" t="s">
        <v>182</v>
      </c>
      <c r="W399" s="194" t="s">
        <v>1046</v>
      </c>
      <c r="X399" s="194"/>
      <c r="Y399" s="194" t="str">
        <f ca="1">IF(I399&lt;&gt;"",IF(I399&lt;=TODAY(),IF(OR(N399="REPROGRAMADA",N399="SUSPENDIDA",N399="EXCLUSION",N399="COLEGIADO"),"NO HECHA",IF(N399=" ","SINRESULTADO","SI")),"NO"),IF(N399="EXCLUSION","NO HECHA","LIMBO"))</f>
        <v>NO</v>
      </c>
      <c r="Z399" s="194" t="str">
        <f>IF($Z$1=I399,"DIASOL", "DIANOSOL")</f>
        <v>DIANOSOL</v>
      </c>
      <c r="AA399" s="194"/>
      <c r="AB399" s="194" t="s">
        <v>2261</v>
      </c>
      <c r="AC399" s="194" t="str">
        <f>IF(H399=$M$1,"SI","NO")</f>
        <v>NO</v>
      </c>
      <c r="AD399" s="194"/>
      <c r="AE399" s="316">
        <v>45224</v>
      </c>
      <c r="AF399" s="194"/>
      <c r="AG399" s="194" t="str">
        <f>IF(COUNTIF(C399,"*preso*")&gt;0,"SI","NO")</f>
        <v>NO</v>
      </c>
      <c r="AH399" s="194">
        <f>NroOrden(N399)</f>
        <v>99</v>
      </c>
      <c r="AI399" s="194"/>
      <c r="AJ399" s="194" t="str">
        <f ca="1">IF(OR(Y399="NO",Y399="LIMBO"),"IMP","NOIMP")</f>
        <v>IMP</v>
      </c>
    </row>
    <row r="400" spans="1:36" ht="39.950000000000003" customHeight="1">
      <c r="A400" s="194">
        <v>408</v>
      </c>
      <c r="B400" s="195" t="s">
        <v>2462</v>
      </c>
      <c r="C400" s="196"/>
      <c r="D400" s="194" t="s">
        <v>2472</v>
      </c>
      <c r="E400" s="194" t="s">
        <v>2471</v>
      </c>
      <c r="F400" s="316">
        <v>45233</v>
      </c>
      <c r="G400" s="194" t="s">
        <v>2504</v>
      </c>
      <c r="H400" s="197"/>
      <c r="I400" s="198">
        <v>45282</v>
      </c>
      <c r="J400" s="198" t="s">
        <v>282</v>
      </c>
      <c r="K400" s="197" t="s">
        <v>2131</v>
      </c>
      <c r="L400" s="197" t="s">
        <v>1658</v>
      </c>
      <c r="M400" s="198" t="s">
        <v>1750</v>
      </c>
      <c r="N400" s="194"/>
      <c r="O400" s="194"/>
      <c r="P400" s="194"/>
      <c r="Q400" s="194" t="s">
        <v>240</v>
      </c>
      <c r="R400" s="194"/>
      <c r="S400" s="194"/>
      <c r="T400" s="194"/>
      <c r="U400" s="194"/>
      <c r="V400" s="194" t="s">
        <v>193</v>
      </c>
      <c r="W400" s="194" t="s">
        <v>141</v>
      </c>
      <c r="X400" s="194"/>
      <c r="Y400" s="194" t="str">
        <f ca="1">IF(I400&lt;&gt;"",IF(I400&lt;=TODAY(),IF(OR(N400="REPROGRAMADA",N400="SUSPENDIDA",N400="EXCLUSION",N400="COLEGIADO"),"NO HECHA",IF(N400=" ","SINRESULTADO","SI")),"NO"),IF(N400="EXCLUSION","NO HECHA","LIMBO"))</f>
        <v>NO</v>
      </c>
      <c r="Z400" s="194" t="str">
        <f>IF($Z$1=I400,"DIASOL", "DIANOSOL")</f>
        <v>DIANOSOL</v>
      </c>
      <c r="AA400" s="194"/>
      <c r="AB400" s="194" t="s">
        <v>2473</v>
      </c>
      <c r="AC400" s="194" t="str">
        <f>IF(H400=$M$1,"SI","NO")</f>
        <v>NO</v>
      </c>
      <c r="AD400" s="194"/>
      <c r="AE400" s="316">
        <v>45233</v>
      </c>
      <c r="AF400" s="194"/>
      <c r="AG400" s="194" t="str">
        <f>IF(COUNTIF(C400,"*preso*")&gt;0,"SI","NO")</f>
        <v>NO</v>
      </c>
      <c r="AH400" s="194">
        <f>NroOrden(N400)</f>
        <v>99</v>
      </c>
      <c r="AI400" s="194"/>
      <c r="AJ400" s="194" t="str">
        <f ca="1">IF(OR(Y400="NO",Y400="LIMBO"),"IMP","NOIMP")</f>
        <v>IMP</v>
      </c>
    </row>
    <row r="401" spans="1:36" ht="133.5" customHeight="1">
      <c r="A401" s="194">
        <v>454</v>
      </c>
      <c r="B401" s="195" t="s">
        <v>2225</v>
      </c>
      <c r="C401" s="196"/>
      <c r="D401" s="194" t="s">
        <v>2226</v>
      </c>
      <c r="E401" s="194" t="s">
        <v>2229</v>
      </c>
      <c r="F401" s="194">
        <v>45219</v>
      </c>
      <c r="G401" s="194"/>
      <c r="H401" s="197" t="s">
        <v>1643</v>
      </c>
      <c r="I401" s="198">
        <v>45282</v>
      </c>
      <c r="J401" s="198" t="s">
        <v>282</v>
      </c>
      <c r="K401" s="197" t="s">
        <v>1662</v>
      </c>
      <c r="L401" s="197" t="s">
        <v>1658</v>
      </c>
      <c r="M401" s="198" t="s">
        <v>1808</v>
      </c>
      <c r="N401" s="194"/>
      <c r="O401" s="194"/>
      <c r="P401" s="194"/>
      <c r="Q401" s="194" t="s">
        <v>240</v>
      </c>
      <c r="R401" s="194"/>
      <c r="S401" s="194"/>
      <c r="T401" s="194"/>
      <c r="U401" s="194"/>
      <c r="V401" s="194" t="s">
        <v>186</v>
      </c>
      <c r="W401" s="194" t="s">
        <v>2227</v>
      </c>
      <c r="X401" s="194"/>
      <c r="Y401" s="194" t="str">
        <f ca="1">IF(I401&lt;&gt;"",IF(I401&lt;=TODAY(),IF(OR(N401="REPROGRAMADA",N401="SUSPENDIDA",N401="EXCLUSION",N401="COLEGIADO"),"NO HECHA",IF(N401=" ","SINRESULTADO","SI")),"NO"),IF(N401="EXCLUSION","NO HECHA","LIMBO"))</f>
        <v>NO</v>
      </c>
      <c r="Z401" s="194" t="str">
        <f>IF($Z$1=I401,"DIASOL", "DIANOSOL")</f>
        <v>DIANOSOL</v>
      </c>
      <c r="AA401" s="194"/>
      <c r="AB401" s="316"/>
      <c r="AC401" s="194" t="str">
        <f>IF(H401=$M$1,"SI","NO")</f>
        <v>SI</v>
      </c>
      <c r="AD401" s="194"/>
      <c r="AE401" s="194">
        <v>45219</v>
      </c>
      <c r="AF401" s="194"/>
      <c r="AG401" s="194" t="str">
        <f>IF(COUNTIF(C401,"*preso*")&gt;0,"SI","NO")</f>
        <v>NO</v>
      </c>
      <c r="AH401" s="194">
        <f>NroOrden(N401)</f>
        <v>99</v>
      </c>
      <c r="AI401" s="194"/>
      <c r="AJ401" s="194" t="str">
        <f ca="1">IF(OR(Y401="NO",Y401="LIMBO"),"IMP","NOIMP")</f>
        <v>IMP</v>
      </c>
    </row>
    <row r="402" spans="1:36" ht="39.950000000000003" customHeight="1">
      <c r="A402" s="194">
        <v>444</v>
      </c>
      <c r="B402" s="195" t="s">
        <v>670</v>
      </c>
      <c r="C402" s="196"/>
      <c r="D402" s="194" t="s">
        <v>671</v>
      </c>
      <c r="E402" s="194" t="s">
        <v>672</v>
      </c>
      <c r="F402" s="194">
        <v>45090</v>
      </c>
      <c r="G402" s="194" t="s">
        <v>673</v>
      </c>
      <c r="H402" s="197" t="s">
        <v>1644</v>
      </c>
      <c r="I402" s="198">
        <v>45282</v>
      </c>
      <c r="J402" s="198" t="s">
        <v>1417</v>
      </c>
      <c r="K402" s="197" t="s">
        <v>1674</v>
      </c>
      <c r="L402" s="197" t="s">
        <v>1659</v>
      </c>
      <c r="M402" s="198" t="s">
        <v>331</v>
      </c>
      <c r="N402" s="194"/>
      <c r="O402" s="194"/>
      <c r="P402" s="194"/>
      <c r="Q402" s="194" t="s">
        <v>240</v>
      </c>
      <c r="R402" s="194"/>
      <c r="S402" s="194"/>
      <c r="T402" s="194"/>
      <c r="U402" s="194"/>
      <c r="V402" s="194" t="s">
        <v>347</v>
      </c>
      <c r="W402" s="194" t="s">
        <v>674</v>
      </c>
      <c r="X402" s="194" t="s">
        <v>111</v>
      </c>
      <c r="Y402" s="194" t="str">
        <f ca="1">IF(I402&lt;&gt;"",IF(I402&lt;=TODAY(),IF(OR(N402="REPROGRAMADA",N402="SUSPENDIDA",N402="EXCLUSION",N402="COLEGIADO"),"NO HECHA",IF(N402=" ","SINRESULTADO","SI")),"NO"),IF(N402="EXCLUSION","NO HECHA","LIMBO"))</f>
        <v>NO</v>
      </c>
      <c r="Z402" s="194" t="str">
        <f>IF($Z$1=I402,"DIASOL", "DIANOSOL")</f>
        <v>DIANOSOL</v>
      </c>
      <c r="AA402" s="194" t="s">
        <v>240</v>
      </c>
      <c r="AB402" s="316"/>
      <c r="AC402" s="194" t="str">
        <f>IF(H402=$M$1,"SI","NO")</f>
        <v>NO</v>
      </c>
      <c r="AD402" s="194"/>
      <c r="AE402" s="194">
        <v>45083</v>
      </c>
      <c r="AF402" s="194"/>
      <c r="AG402" s="194" t="str">
        <f>IF(COUNTIF(C402,"*preso*")&gt;0,"SI","NO")</f>
        <v>NO</v>
      </c>
      <c r="AH402" s="194">
        <f>NroOrden(N402)</f>
        <v>99</v>
      </c>
      <c r="AI402" s="194" t="s">
        <v>669</v>
      </c>
      <c r="AJ402" s="194" t="str">
        <f ca="1">IF(OR(Y402="NO",Y402="LIMBO"),"IMP","NOIMP")</f>
        <v>IMP</v>
      </c>
    </row>
    <row r="403" spans="1:36" ht="79.5" customHeight="1">
      <c r="A403" s="194">
        <v>371</v>
      </c>
      <c r="B403" s="195" t="s">
        <v>2257</v>
      </c>
      <c r="C403" s="196"/>
      <c r="D403" s="194" t="s">
        <v>2271</v>
      </c>
      <c r="E403" s="194" t="s">
        <v>2258</v>
      </c>
      <c r="F403" s="316">
        <v>45224</v>
      </c>
      <c r="G403" s="194"/>
      <c r="H403" s="197" t="s">
        <v>1640</v>
      </c>
      <c r="I403" s="198">
        <v>45282</v>
      </c>
      <c r="J403" s="198" t="s">
        <v>396</v>
      </c>
      <c r="K403" s="197" t="s">
        <v>2131</v>
      </c>
      <c r="L403" s="197" t="s">
        <v>1659</v>
      </c>
      <c r="M403" s="198" t="s">
        <v>2155</v>
      </c>
      <c r="N403" s="194"/>
      <c r="O403" s="194"/>
      <c r="P403" s="194"/>
      <c r="Q403" s="194" t="s">
        <v>240</v>
      </c>
      <c r="R403" s="194"/>
      <c r="S403" s="194"/>
      <c r="T403" s="194"/>
      <c r="U403" s="194"/>
      <c r="V403" s="194" t="s">
        <v>182</v>
      </c>
      <c r="W403" s="194" t="s">
        <v>119</v>
      </c>
      <c r="X403" s="194"/>
      <c r="Y403" s="194" t="str">
        <f ca="1">IF(I403&lt;&gt;"",IF(I403&lt;=TODAY(),IF(OR(N403="REPROGRAMADA",N403="SUSPENDIDA",N403="EXCLUSION",N403="COLEGIADO"),"NO HECHA",IF(N403=" ","SINRESULTADO","SI")),"NO"),IF(N403="EXCLUSION","NO HECHA","LIMBO"))</f>
        <v>NO</v>
      </c>
      <c r="Z403" s="194" t="str">
        <f>IF($Z$1=I403,"DIASOL", "DIANOSOL")</f>
        <v>DIANOSOL</v>
      </c>
      <c r="AA403" s="194"/>
      <c r="AB403" s="194" t="s">
        <v>2273</v>
      </c>
      <c r="AC403" s="194" t="str">
        <f>IF(H403=$M$1,"SI","NO")</f>
        <v>NO</v>
      </c>
      <c r="AD403" s="194"/>
      <c r="AE403" s="316">
        <v>45224</v>
      </c>
      <c r="AF403" s="194"/>
      <c r="AG403" s="194" t="str">
        <f>IF(COUNTIF(C403,"*preso*")&gt;0,"SI","NO")</f>
        <v>NO</v>
      </c>
      <c r="AH403" s="194">
        <f>NroOrden(N403)</f>
        <v>99</v>
      </c>
      <c r="AI403" s="194"/>
      <c r="AJ403" s="194" t="str">
        <f ca="1">IF(OR(Y403="NO",Y403="LIMBO"),"IMP","NOIMP")</f>
        <v>IMP</v>
      </c>
    </row>
    <row r="404" spans="1:36" ht="39.950000000000003" customHeight="1">
      <c r="A404" s="194">
        <v>378</v>
      </c>
      <c r="B404" s="195" t="s">
        <v>2300</v>
      </c>
      <c r="C404" s="196"/>
      <c r="D404" s="194" t="s">
        <v>2301</v>
      </c>
      <c r="E404" s="194" t="s">
        <v>2302</v>
      </c>
      <c r="F404" s="316">
        <v>45226</v>
      </c>
      <c r="G404" s="194" t="s">
        <v>2292</v>
      </c>
      <c r="H404" s="197" t="s">
        <v>1637</v>
      </c>
      <c r="I404" s="198">
        <v>45286</v>
      </c>
      <c r="J404" s="198" t="s">
        <v>282</v>
      </c>
      <c r="K404" s="197" t="s">
        <v>2131</v>
      </c>
      <c r="L404" s="197" t="s">
        <v>1658</v>
      </c>
      <c r="M404" s="198" t="s">
        <v>331</v>
      </c>
      <c r="N404" s="194"/>
      <c r="O404" s="194"/>
      <c r="P404" s="194"/>
      <c r="Q404" s="194" t="s">
        <v>240</v>
      </c>
      <c r="R404" s="194"/>
      <c r="S404" s="194"/>
      <c r="T404" s="194"/>
      <c r="U404" s="194"/>
      <c r="V404" s="194" t="s">
        <v>193</v>
      </c>
      <c r="W404" s="194"/>
      <c r="X404" s="194"/>
      <c r="Y404" s="194" t="str">
        <f ca="1">IF(I404&lt;&gt;"",IF(I404&lt;=TODAY(),IF(OR(N404="REPROGRAMADA",N404="SUSPENDIDA",N404="EXCLUSION",N404="COLEGIADO"),"NO HECHA",IF(N404=" ","SINRESULTADO","SI")),"NO"),IF(N404="EXCLUSION","NO HECHA","LIMBO"))</f>
        <v>NO</v>
      </c>
      <c r="Z404" s="194" t="str">
        <f>IF($Z$1=I404,"DIASOL", "DIANOSOL")</f>
        <v>DIANOSOL</v>
      </c>
      <c r="AA404" s="194"/>
      <c r="AB404" s="194" t="s">
        <v>2303</v>
      </c>
      <c r="AC404" s="194" t="str">
        <f>IF(H404=$M$1,"SI","NO")</f>
        <v>NO</v>
      </c>
      <c r="AD404" s="194"/>
      <c r="AE404" s="316">
        <v>45226</v>
      </c>
      <c r="AF404" s="194"/>
      <c r="AG404" s="194" t="str">
        <f>IF(COUNTIF(C404,"*preso*")&gt;0,"SI","NO")</f>
        <v>NO</v>
      </c>
      <c r="AH404" s="194">
        <f>NroOrden(N404)</f>
        <v>99</v>
      </c>
      <c r="AI404" s="194"/>
      <c r="AJ404" s="194" t="str">
        <f ca="1">IF(OR(Y404="NO",Y404="LIMBO"),"IMP","NOIMP")</f>
        <v>IMP</v>
      </c>
    </row>
    <row r="405" spans="1:36" ht="66.75" customHeight="1">
      <c r="A405" s="194">
        <v>451</v>
      </c>
      <c r="B405" s="195" t="s">
        <v>1757</v>
      </c>
      <c r="C405" s="196"/>
      <c r="D405" s="194" t="s">
        <v>1758</v>
      </c>
      <c r="E405" s="194" t="s">
        <v>1759</v>
      </c>
      <c r="F405" s="194">
        <v>45190</v>
      </c>
      <c r="G405" s="194" t="s">
        <v>1742</v>
      </c>
      <c r="H405" s="197" t="s">
        <v>1640</v>
      </c>
      <c r="I405" s="198">
        <v>45286</v>
      </c>
      <c r="J405" s="198" t="s">
        <v>1417</v>
      </c>
      <c r="K405" s="197" t="s">
        <v>2131</v>
      </c>
      <c r="L405" s="197" t="s">
        <v>1658</v>
      </c>
      <c r="M405" s="198" t="s">
        <v>1805</v>
      </c>
      <c r="N405" s="194"/>
      <c r="O405" s="194"/>
      <c r="P405" s="194"/>
      <c r="Q405" s="194" t="s">
        <v>240</v>
      </c>
      <c r="R405" s="194"/>
      <c r="S405" s="194"/>
      <c r="T405" s="194"/>
      <c r="U405" s="194"/>
      <c r="V405" s="194" t="s">
        <v>345</v>
      </c>
      <c r="W405" s="194" t="s">
        <v>535</v>
      </c>
      <c r="X405" s="194" t="s">
        <v>111</v>
      </c>
      <c r="Y405" s="194" t="str">
        <f ca="1">IF(I405&lt;&gt;"",IF(I405&lt;=TODAY(),IF(OR(N405="REPROGRAMADA",N405="SUSPENDIDA",N405="EXCLUSION",N405="COLEGIADO"),"NO HECHA",IF(N405=" ","SINRESULTADO","SI")),"NO"),IF(N405="EXCLUSION","NO HECHA","LIMBO"))</f>
        <v>NO</v>
      </c>
      <c r="Z405" s="194" t="str">
        <f>IF($Z$1=I405,"DIASOL", "DIANOSOL")</f>
        <v>DIANOSOL</v>
      </c>
      <c r="AA405" s="194" t="s">
        <v>240</v>
      </c>
      <c r="AB405" s="316"/>
      <c r="AC405" s="194" t="str">
        <f>IF(H405=$M$1,"SI","NO")</f>
        <v>NO</v>
      </c>
      <c r="AD405" s="194"/>
      <c r="AE405" s="194">
        <v>45190</v>
      </c>
      <c r="AF405" s="194"/>
      <c r="AG405" s="194" t="str">
        <f>IF(COUNTIF(C405,"*preso*")&gt;0,"SI","NO")</f>
        <v>NO</v>
      </c>
      <c r="AH405" s="194">
        <f>NroOrden(N405)</f>
        <v>99</v>
      </c>
      <c r="AI405" s="194"/>
      <c r="AJ405" s="194" t="str">
        <f ca="1">IF(OR(Y405="NO",Y405="LIMBO"),"IMP","NOIMP")</f>
        <v>IMP</v>
      </c>
    </row>
    <row r="406" spans="1:36" ht="155.25" customHeight="1">
      <c r="A406" s="194">
        <v>441</v>
      </c>
      <c r="B406" s="195" t="s">
        <v>2059</v>
      </c>
      <c r="C406" s="196"/>
      <c r="D406" s="194" t="s">
        <v>2060</v>
      </c>
      <c r="E406" s="194" t="s">
        <v>2061</v>
      </c>
      <c r="F406" s="194">
        <v>45208</v>
      </c>
      <c r="G406" s="194"/>
      <c r="H406" s="197" t="s">
        <v>1644</v>
      </c>
      <c r="I406" s="198">
        <v>45286</v>
      </c>
      <c r="J406" s="198" t="s">
        <v>396</v>
      </c>
      <c r="K406" s="197" t="s">
        <v>362</v>
      </c>
      <c r="L406" s="197" t="s">
        <v>1658</v>
      </c>
      <c r="M406" s="198" t="s">
        <v>328</v>
      </c>
      <c r="N406" s="194"/>
      <c r="O406" s="194"/>
      <c r="P406" s="194"/>
      <c r="Q406" s="194" t="s">
        <v>240</v>
      </c>
      <c r="R406" s="194"/>
      <c r="S406" s="194"/>
      <c r="T406" s="194"/>
      <c r="U406" s="194" t="s">
        <v>111</v>
      </c>
      <c r="V406" s="194" t="s">
        <v>184</v>
      </c>
      <c r="W406" s="194" t="s">
        <v>2063</v>
      </c>
      <c r="X406" s="194" t="s">
        <v>434</v>
      </c>
      <c r="Y406" s="194" t="str">
        <f ca="1">IF(I406&lt;&gt;"",IF(I406&lt;=TODAY(),IF(OR(N406="REPROGRAMADA",N406="SUSPENDIDA",N406="EXCLUSION",N406="COLEGIADO"),"NO HECHA",IF(N406=" ","SINRESULTADO","SI")),"NO"),IF(N406="EXCLUSION","NO HECHA","LIMBO"))</f>
        <v>NO</v>
      </c>
      <c r="Z406" s="194" t="str">
        <f>IF($Z$1=I406,"DIASOL", "DIANOSOL")</f>
        <v>DIANOSOL</v>
      </c>
      <c r="AA406" s="194"/>
      <c r="AB406" s="316"/>
      <c r="AC406" s="194" t="str">
        <f>IF(H406=$M$1,"SI","NO")</f>
        <v>NO</v>
      </c>
      <c r="AD406" s="194"/>
      <c r="AE406" s="194">
        <v>45208</v>
      </c>
      <c r="AF406" s="194"/>
      <c r="AG406" s="194" t="str">
        <f>IF(COUNTIF(C406,"*preso*")&gt;0,"SI","NO")</f>
        <v>NO</v>
      </c>
      <c r="AH406" s="194">
        <f>NroOrden(N406)</f>
        <v>99</v>
      </c>
      <c r="AI406" s="194"/>
      <c r="AJ406" s="194" t="str">
        <f ca="1">IF(OR(Y406="NO",Y406="LIMBO"),"IMP","NOIMP")</f>
        <v>IMP</v>
      </c>
    </row>
    <row r="407" spans="1:36" ht="39.950000000000003" customHeight="1">
      <c r="A407" s="199">
        <v>275</v>
      </c>
      <c r="B407" s="200" t="s">
        <v>1793</v>
      </c>
      <c r="C407" s="201" t="s">
        <v>501</v>
      </c>
      <c r="D407" s="199" t="s">
        <v>1795</v>
      </c>
      <c r="E407" s="199" t="s">
        <v>1794</v>
      </c>
      <c r="F407" s="313">
        <v>45197</v>
      </c>
      <c r="G407" s="199" t="s">
        <v>1742</v>
      </c>
      <c r="H407" s="197" t="s">
        <v>1642</v>
      </c>
      <c r="I407" s="198">
        <v>45287</v>
      </c>
      <c r="J407" s="198" t="s">
        <v>282</v>
      </c>
      <c r="K407" s="197" t="s">
        <v>1674</v>
      </c>
      <c r="L407" s="197" t="s">
        <v>1658</v>
      </c>
      <c r="M407" s="198" t="s">
        <v>332</v>
      </c>
      <c r="N407" s="199" t="s">
        <v>111</v>
      </c>
      <c r="O407" s="199"/>
      <c r="P407" s="199"/>
      <c r="Q407" s="199"/>
      <c r="R407" s="199"/>
      <c r="S407" s="199"/>
      <c r="T407" s="199"/>
      <c r="U407" s="199"/>
      <c r="V407" s="199" t="s">
        <v>1281</v>
      </c>
      <c r="W407" s="199" t="s">
        <v>125</v>
      </c>
      <c r="X407" s="199" t="s">
        <v>111</v>
      </c>
      <c r="Y407" s="199" t="str">
        <f ca="1">IF(I407&lt;&gt;"",IF(I407&lt;=TODAY(),IF(OR(N407="REPROGRAMADA",N407="SUSPENDIDA",N407="EXCLUSION",N407="COLEGIADO"),"NO HECHA",IF(N407=" ","SINRESULTADO","SI")),"NO"),IF(N407="EXCLUSION","NO HECHA","LIMBO"))</f>
        <v>NO</v>
      </c>
      <c r="Z407" s="199" t="str">
        <f>IF($Z$1=I407,"DIASOL", "DIANOSOL")</f>
        <v>DIANOSOL</v>
      </c>
      <c r="AA407" s="199" t="s">
        <v>1129</v>
      </c>
      <c r="AB407" s="199" t="s">
        <v>1796</v>
      </c>
      <c r="AC407" s="199" t="str">
        <f>IF(H407=$M$1,"SI","NO")</f>
        <v>NO</v>
      </c>
      <c r="AD407" s="199"/>
      <c r="AE407" s="199" t="s">
        <v>152</v>
      </c>
      <c r="AF407" s="199"/>
      <c r="AG407" s="199" t="str">
        <f>IF(COUNTIF(C407,"*preso*")&gt;0,"SI","NO")</f>
        <v>SI</v>
      </c>
      <c r="AH407" s="245">
        <f>NroOrden(N407)</f>
        <v>99</v>
      </c>
      <c r="AI407" s="199"/>
      <c r="AJ407" s="152" t="str">
        <f ca="1">IF(OR(Y407="NO",Y407="LIMBO"),"IMP","NOIMP")</f>
        <v>IMP</v>
      </c>
    </row>
    <row r="408" spans="1:36" ht="69.75" customHeight="1">
      <c r="A408" s="199">
        <v>389</v>
      </c>
      <c r="B408" s="200" t="s">
        <v>2348</v>
      </c>
      <c r="C408" s="201" t="s">
        <v>501</v>
      </c>
      <c r="D408" s="199" t="s">
        <v>2349</v>
      </c>
      <c r="E408" s="199" t="s">
        <v>2350</v>
      </c>
      <c r="F408" s="335">
        <v>45230</v>
      </c>
      <c r="G408" s="199"/>
      <c r="H408" s="197" t="s">
        <v>1639</v>
      </c>
      <c r="I408" s="198">
        <v>45287</v>
      </c>
      <c r="J408" s="198" t="s">
        <v>282</v>
      </c>
      <c r="K408" s="197" t="s">
        <v>362</v>
      </c>
      <c r="L408" s="197" t="s">
        <v>1659</v>
      </c>
      <c r="M408" s="198" t="s">
        <v>328</v>
      </c>
      <c r="N408" s="199"/>
      <c r="O408" s="199"/>
      <c r="P408" s="199"/>
      <c r="Q408" s="199" t="s">
        <v>240</v>
      </c>
      <c r="R408" s="199"/>
      <c r="S408" s="199" t="s">
        <v>1946</v>
      </c>
      <c r="T408" s="199" t="s">
        <v>2352</v>
      </c>
      <c r="U408" s="199" t="s">
        <v>2353</v>
      </c>
      <c r="V408" s="199" t="s">
        <v>100</v>
      </c>
      <c r="W408" s="199" t="s">
        <v>1191</v>
      </c>
      <c r="X408" s="199"/>
      <c r="Y408" s="199" t="str">
        <f ca="1">IF(I408&lt;&gt;"",IF(I408&lt;=TODAY(),IF(OR(N408="REPROGRAMADA",N408="SUSPENDIDA",N408="EXCLUSION",N408="COLEGIADO"),"NO HECHA",IF(N408=" ","SINRESULTADO","SI")),"NO"),IF(N408="EXCLUSION","NO HECHA","LIMBO"))</f>
        <v>NO</v>
      </c>
      <c r="Z408" s="199" t="str">
        <f>IF($Z$1=I408,"DIASOL", "DIANOSOL")</f>
        <v>DIANOSOL</v>
      </c>
      <c r="AA408" s="199" t="s">
        <v>1714</v>
      </c>
      <c r="AB408" s="199"/>
      <c r="AC408" s="199" t="str">
        <f>IF(H408=$M$1,"SI","NO")</f>
        <v>NO</v>
      </c>
      <c r="AD408" s="199"/>
      <c r="AE408" s="335">
        <v>45230</v>
      </c>
      <c r="AF408" s="199"/>
      <c r="AG408" s="199" t="str">
        <f>IF(COUNTIF(C408,"*preso*")&gt;0,"SI","NO")</f>
        <v>SI</v>
      </c>
      <c r="AH408" s="199">
        <f>NroOrden(N408)</f>
        <v>99</v>
      </c>
      <c r="AI408" s="199" t="s">
        <v>2351</v>
      </c>
      <c r="AJ408" s="199" t="str">
        <f ca="1">IF(OR(Y408="NO",Y408="LIMBO"),"IMP","NOIMP")</f>
        <v>IMP</v>
      </c>
    </row>
    <row r="409" spans="1:36" ht="39.950000000000003" customHeight="1">
      <c r="A409" s="84">
        <v>186</v>
      </c>
      <c r="B409" s="150" t="s">
        <v>1349</v>
      </c>
      <c r="C409" s="211"/>
      <c r="D409" s="84" t="s">
        <v>1350</v>
      </c>
      <c r="E409" s="152" t="s">
        <v>1351</v>
      </c>
      <c r="F409" s="167">
        <v>45152</v>
      </c>
      <c r="G409" s="149" t="s">
        <v>1352</v>
      </c>
      <c r="H409" s="173" t="s">
        <v>1638</v>
      </c>
      <c r="I409" s="171">
        <v>45287</v>
      </c>
      <c r="J409" s="171" t="s">
        <v>1045</v>
      </c>
      <c r="K409" s="173" t="s">
        <v>1674</v>
      </c>
      <c r="L409" s="172" t="s">
        <v>1997</v>
      </c>
      <c r="M409" s="171" t="s">
        <v>332</v>
      </c>
      <c r="N409" s="149" t="s">
        <v>111</v>
      </c>
      <c r="O409" s="149"/>
      <c r="P409" s="149"/>
      <c r="Q409" s="149" t="s">
        <v>111</v>
      </c>
      <c r="R409" s="283"/>
      <c r="S409" s="149"/>
      <c r="T409" s="149"/>
      <c r="U409" s="149"/>
      <c r="V409" s="149" t="s">
        <v>186</v>
      </c>
      <c r="W409" s="149" t="s">
        <v>202</v>
      </c>
      <c r="X409" s="149" t="s">
        <v>111</v>
      </c>
      <c r="Y409" s="159" t="str">
        <f ca="1">IF(I409&lt;&gt;"",IF(I409&lt;=TODAY(),IF(OR(N409="REPROGRAMADA",N409="SUSPENDIDA",N409="EXCLUSION",N409="COLEGIADO"),"NO HECHA",IF(N409=" ","SINRESULTADO","SI")),"NO"),IF(N409="EXCLUSION","NO HECHA","LIMBO"))</f>
        <v>NO</v>
      </c>
      <c r="Z409" s="149" t="str">
        <f>IF($Z$1=I409,"DIASOL", "DIANOSOL")</f>
        <v>DIANOSOL</v>
      </c>
      <c r="AA409" s="149" t="s">
        <v>240</v>
      </c>
      <c r="AB409" s="166" t="s">
        <v>1353</v>
      </c>
      <c r="AC409" s="149" t="str">
        <f>IF(H409=$M$1,"SI","NO")</f>
        <v>NO</v>
      </c>
      <c r="AD409" s="149"/>
      <c r="AE409" s="149"/>
      <c r="AF409" s="149"/>
      <c r="AG409" s="164" t="str">
        <f>IF(COUNTIF(C409,"*preso*")&gt;0,"SI","NO")</f>
        <v>NO</v>
      </c>
      <c r="AH409" s="245">
        <f>NroOrden(N409)</f>
        <v>99</v>
      </c>
      <c r="AI409" s="149"/>
      <c r="AJ409" s="152" t="str">
        <f ca="1">IF(OR(Y409="NO",Y409="LIMBO"),"IMP","NOIMP")</f>
        <v>IMP</v>
      </c>
    </row>
    <row r="410" spans="1:36" ht="39.950000000000003" customHeight="1">
      <c r="A410" s="199">
        <v>325</v>
      </c>
      <c r="B410" s="200" t="s">
        <v>2023</v>
      </c>
      <c r="C410" s="201" t="s">
        <v>1472</v>
      </c>
      <c r="D410" s="199" t="s">
        <v>2024</v>
      </c>
      <c r="E410" s="199" t="s">
        <v>2025</v>
      </c>
      <c r="F410" s="335">
        <v>45196</v>
      </c>
      <c r="G410" s="199"/>
      <c r="H410" s="197" t="s">
        <v>1639</v>
      </c>
      <c r="I410" s="198">
        <v>45287</v>
      </c>
      <c r="J410" s="198" t="s">
        <v>396</v>
      </c>
      <c r="K410" s="197" t="s">
        <v>362</v>
      </c>
      <c r="L410" s="197" t="s">
        <v>1658</v>
      </c>
      <c r="M410" s="198" t="s">
        <v>329</v>
      </c>
      <c r="N410" s="199" t="s">
        <v>111</v>
      </c>
      <c r="O410" s="199"/>
      <c r="P410" s="199"/>
      <c r="Q410" s="199"/>
      <c r="R410" s="199"/>
      <c r="S410" s="199" t="s">
        <v>2017</v>
      </c>
      <c r="T410" s="199" t="s">
        <v>2013</v>
      </c>
      <c r="U410" s="199" t="s">
        <v>2013</v>
      </c>
      <c r="V410" s="199" t="s">
        <v>1128</v>
      </c>
      <c r="W410" s="199"/>
      <c r="X410" s="199"/>
      <c r="Y410" s="199" t="str">
        <f ca="1">IF(I410&lt;&gt;"",IF(I410&lt;=TODAY(),IF(OR(N410="REPROGRAMADA",N410="SUSPENDIDA",N410="EXCLUSION",N410="COLEGIADO"),"NO HECHA",IF(N410=" ","SINRESULTADO","SI")),"NO"),IF(N410="EXCLUSION","NO HECHA","LIMBO"))</f>
        <v>NO</v>
      </c>
      <c r="Z410" s="199" t="str">
        <f>IF($Z$1=I410,"DIASOL", "DIANOSOL")</f>
        <v>DIANOSOL</v>
      </c>
      <c r="AA410" s="199"/>
      <c r="AB410" s="199"/>
      <c r="AC410" s="199" t="str">
        <f>IF(H410=$M$1,"SI","NO")</f>
        <v>NO</v>
      </c>
      <c r="AD410" s="199"/>
      <c r="AE410" s="199"/>
      <c r="AF410" s="199"/>
      <c r="AG410" s="199" t="str">
        <f>IF(COUNTIF(C410,"*preso*")&gt;0,"SI","NO")</f>
        <v>SI</v>
      </c>
      <c r="AH410" s="154">
        <f>NroOrden(N410)</f>
        <v>99</v>
      </c>
      <c r="AI410" s="199"/>
      <c r="AJ410" s="152" t="str">
        <f ca="1">IF(OR(Y410="NO",Y410="LIMBO"),"IMP","NOIMP")</f>
        <v>IMP</v>
      </c>
    </row>
    <row r="411" spans="1:36" ht="119.25" customHeight="1">
      <c r="A411" s="199">
        <v>446</v>
      </c>
      <c r="B411" s="200" t="s">
        <v>2110</v>
      </c>
      <c r="C411" s="201" t="s">
        <v>1472</v>
      </c>
      <c r="D411" s="199" t="s">
        <v>2112</v>
      </c>
      <c r="E411" s="199" t="s">
        <v>2111</v>
      </c>
      <c r="F411" s="199">
        <v>45210</v>
      </c>
      <c r="G411" s="199" t="s">
        <v>2245</v>
      </c>
      <c r="H411" s="197" t="s">
        <v>1643</v>
      </c>
      <c r="I411" s="198">
        <v>45287</v>
      </c>
      <c r="J411" s="198" t="s">
        <v>1562</v>
      </c>
      <c r="K411" s="197" t="s">
        <v>2131</v>
      </c>
      <c r="L411" s="197" t="s">
        <v>1659</v>
      </c>
      <c r="M411" s="198" t="s">
        <v>2155</v>
      </c>
      <c r="N411" s="199"/>
      <c r="O411" s="199"/>
      <c r="P411" s="199"/>
      <c r="Q411" s="199" t="s">
        <v>240</v>
      </c>
      <c r="R411" s="199"/>
      <c r="S411" s="199" t="s">
        <v>1946</v>
      </c>
      <c r="T411" s="199" t="s">
        <v>2113</v>
      </c>
      <c r="U411" s="199" t="s">
        <v>2116</v>
      </c>
      <c r="V411" s="199" t="s">
        <v>344</v>
      </c>
      <c r="W411" s="199" t="s">
        <v>2115</v>
      </c>
      <c r="X411" s="199"/>
      <c r="Y411" s="199" t="str">
        <f ca="1">IF(I411&lt;&gt;"",IF(I411&lt;=TODAY(),IF(OR(N411="REPROGRAMADA",N411="SUSPENDIDA",N411="EXCLUSION",N411="COLEGIADO"),"NO HECHA",IF(N411=" ","SINRESULTADO","SI")),"NO"),IF(N411="EXCLUSION","NO HECHA","LIMBO"))</f>
        <v>NO</v>
      </c>
      <c r="Z411" s="199" t="str">
        <f>IF($Z$1=I411,"DIASOL", "DIANOSOL")</f>
        <v>DIANOSOL</v>
      </c>
      <c r="AA411" s="199"/>
      <c r="AB411" s="335"/>
      <c r="AC411" s="199" t="str">
        <f>IF(H411=$M$1,"SI","NO")</f>
        <v>SI</v>
      </c>
      <c r="AD411" s="199"/>
      <c r="AE411" s="199">
        <v>45210</v>
      </c>
      <c r="AF411" s="199"/>
      <c r="AG411" s="199" t="str">
        <f>IF(COUNTIF(C411,"*preso*")&gt;0,"SI","NO")</f>
        <v>SI</v>
      </c>
      <c r="AH411" s="199">
        <f>NroOrden(N411)</f>
        <v>99</v>
      </c>
      <c r="AI411" s="199"/>
      <c r="AJ411" s="199" t="str">
        <f ca="1">IF(OR(Y411="NO",Y411="LIMBO"),"IMP","NOIMP")</f>
        <v>IMP</v>
      </c>
    </row>
    <row r="412" spans="1:36" ht="80.25" customHeight="1">
      <c r="A412" s="194">
        <v>328</v>
      </c>
      <c r="B412" s="195" t="s">
        <v>2045</v>
      </c>
      <c r="C412" s="196"/>
      <c r="D412" s="194" t="s">
        <v>2046</v>
      </c>
      <c r="E412" s="194" t="s">
        <v>2047</v>
      </c>
      <c r="F412" s="316">
        <v>45205</v>
      </c>
      <c r="G412" s="194"/>
      <c r="H412" s="197" t="s">
        <v>1644</v>
      </c>
      <c r="I412" s="198">
        <v>45288</v>
      </c>
      <c r="J412" s="198" t="s">
        <v>282</v>
      </c>
      <c r="K412" s="197" t="s">
        <v>1674</v>
      </c>
      <c r="L412" s="197" t="s">
        <v>1658</v>
      </c>
      <c r="M412" s="198" t="s">
        <v>332</v>
      </c>
      <c r="N412" s="194"/>
      <c r="O412" s="194"/>
      <c r="P412" s="194"/>
      <c r="Q412" s="194" t="s">
        <v>240</v>
      </c>
      <c r="R412" s="194"/>
      <c r="S412" s="194"/>
      <c r="T412" s="194"/>
      <c r="U412" s="194"/>
      <c r="V412" s="194" t="s">
        <v>1281</v>
      </c>
      <c r="W412" s="194" t="s">
        <v>180</v>
      </c>
      <c r="X412" s="194"/>
      <c r="Y412" s="194" t="str">
        <f ca="1">IF(I412&lt;&gt;"",IF(I412&lt;=TODAY(),IF(OR(N412="REPROGRAMADA",N412="SUSPENDIDA",N412="EXCLUSION",N412="COLEGIADO"),"NO HECHA",IF(N412=" ","SINRESULTADO","SI")),"NO"),IF(N412="EXCLUSION","NO HECHA","LIMBO"))</f>
        <v>NO</v>
      </c>
      <c r="Z412" s="194" t="str">
        <f>IF($Z$1=I412,"DIASOL", "DIANOSOL")</f>
        <v>DIANOSOL</v>
      </c>
      <c r="AA412" s="194"/>
      <c r="AB412" s="194" t="s">
        <v>2048</v>
      </c>
      <c r="AC412" s="194" t="str">
        <f>IF(H412=$M$1,"SI","NO")</f>
        <v>NO</v>
      </c>
      <c r="AD412" s="194"/>
      <c r="AE412" s="194"/>
      <c r="AF412" s="194"/>
      <c r="AG412" s="194" t="str">
        <f>IF(COUNTIF(C412,"*preso*")&gt;0,"SI","NO")</f>
        <v>NO</v>
      </c>
      <c r="AH412" s="194">
        <f>NroOrden(N412)</f>
        <v>99</v>
      </c>
      <c r="AI412" s="194"/>
      <c r="AJ412" s="152" t="str">
        <f ca="1">IF(OR(Y412="NO",Y412="LIMBO"),"IMP","NOIMP")</f>
        <v>IMP</v>
      </c>
    </row>
    <row r="413" spans="1:36" ht="39.950000000000003" customHeight="1">
      <c r="A413" s="199">
        <v>377</v>
      </c>
      <c r="B413" s="200" t="s">
        <v>1231</v>
      </c>
      <c r="C413" s="201" t="s">
        <v>501</v>
      </c>
      <c r="D413" s="199" t="s">
        <v>1232</v>
      </c>
      <c r="E413" s="199" t="s">
        <v>1233</v>
      </c>
      <c r="F413" s="335">
        <v>45140</v>
      </c>
      <c r="G413" s="199"/>
      <c r="H413" s="197" t="s">
        <v>1637</v>
      </c>
      <c r="I413" s="198">
        <v>45288</v>
      </c>
      <c r="J413" s="198" t="s">
        <v>1181</v>
      </c>
      <c r="K413" s="197" t="s">
        <v>1674</v>
      </c>
      <c r="L413" s="197" t="s">
        <v>1658</v>
      </c>
      <c r="M413" s="198" t="s">
        <v>332</v>
      </c>
      <c r="N413" s="199"/>
      <c r="O413" s="199"/>
      <c r="P413" s="199"/>
      <c r="Q413" s="199" t="s">
        <v>240</v>
      </c>
      <c r="R413" s="199"/>
      <c r="S413" s="199"/>
      <c r="T413" s="199"/>
      <c r="U413" s="199"/>
      <c r="V413" s="199" t="s">
        <v>340</v>
      </c>
      <c r="W413" s="199" t="s">
        <v>1234</v>
      </c>
      <c r="X413" s="199" t="s">
        <v>1235</v>
      </c>
      <c r="Y413" s="199" t="str">
        <f ca="1">IF(I413&lt;&gt;"",IF(I413&lt;=TODAY(),IF(OR(N413="REPROGRAMADA",N413="SUSPENDIDA",N413="EXCLUSION",N413="COLEGIADO"),"NO HECHA",IF(N413=" ","SINRESULTADO","SI")),"NO"),IF(N413="EXCLUSION","NO HECHA","LIMBO"))</f>
        <v>NO</v>
      </c>
      <c r="Z413" s="199" t="str">
        <f>IF($Z$1=I413,"DIASOL", "DIANOSOL")</f>
        <v>DIANOSOL</v>
      </c>
      <c r="AA413" s="199" t="s">
        <v>240</v>
      </c>
      <c r="AB413" s="335"/>
      <c r="AC413" s="199" t="str">
        <f>IF(H413=$M$1,"SI","NO")</f>
        <v>NO</v>
      </c>
      <c r="AD413" s="199"/>
      <c r="AE413" s="199"/>
      <c r="AF413" s="199"/>
      <c r="AG413" s="199" t="str">
        <f>IF(COUNTIF(C413,"*preso*")&gt;0,"SI","NO")</f>
        <v>SI</v>
      </c>
      <c r="AH413" s="199">
        <f>NroOrden(N413)</f>
        <v>99</v>
      </c>
      <c r="AI413" s="199" t="s">
        <v>2274</v>
      </c>
      <c r="AJ413" s="199" t="str">
        <f ca="1">IF(OR(Y413="NO",Y413="LIMBO"),"IMP","NOIMP")</f>
        <v>IMP</v>
      </c>
    </row>
    <row r="414" spans="1:36" ht="111.75" customHeight="1">
      <c r="A414" s="194">
        <v>398</v>
      </c>
      <c r="B414" s="195" t="s">
        <v>2391</v>
      </c>
      <c r="C414" s="196"/>
      <c r="D414" s="194" t="s">
        <v>2392</v>
      </c>
      <c r="E414" s="194" t="s">
        <v>1737</v>
      </c>
      <c r="F414" s="316">
        <v>45232</v>
      </c>
      <c r="G414" s="194"/>
      <c r="H414" s="197" t="s">
        <v>1640</v>
      </c>
      <c r="I414" s="198">
        <v>45288</v>
      </c>
      <c r="J414" s="198" t="s">
        <v>1865</v>
      </c>
      <c r="K414" s="197" t="s">
        <v>1674</v>
      </c>
      <c r="L414" s="197" t="s">
        <v>1658</v>
      </c>
      <c r="M414" s="198" t="s">
        <v>332</v>
      </c>
      <c r="N414" s="194"/>
      <c r="O414" s="194"/>
      <c r="P414" s="194"/>
      <c r="Q414" s="194" t="s">
        <v>240</v>
      </c>
      <c r="R414" s="194"/>
      <c r="S414" s="194"/>
      <c r="T414" s="194"/>
      <c r="U414" s="194"/>
      <c r="V414" s="194" t="s">
        <v>182</v>
      </c>
      <c r="W414" s="194" t="s">
        <v>1240</v>
      </c>
      <c r="X414" s="194" t="s">
        <v>2393</v>
      </c>
      <c r="Y414" s="194" t="str">
        <f ca="1">IF(I414&lt;&gt;"",IF(I414&lt;=TODAY(),IF(OR(N414="REPROGRAMADA",N414="SUSPENDIDA",N414="EXCLUSION",N414="COLEGIADO"),"NO HECHA",IF(N414=" ","SINRESULTADO","SI")),"NO"),IF(N414="EXCLUSION","NO HECHA","LIMBO"))</f>
        <v>NO</v>
      </c>
      <c r="Z414" s="194" t="str">
        <f>IF($Z$1=I414,"DIASOL", "DIANOSOL")</f>
        <v>DIANOSOL</v>
      </c>
      <c r="AA414" s="194"/>
      <c r="AB414" s="194" t="s">
        <v>2396</v>
      </c>
      <c r="AC414" s="194" t="str">
        <f>IF(H414=$M$1,"SI","NO")</f>
        <v>NO</v>
      </c>
      <c r="AD414" s="194"/>
      <c r="AE414" s="316">
        <v>45232</v>
      </c>
      <c r="AF414" s="194"/>
      <c r="AG414" s="194" t="str">
        <f>IF(COUNTIF(C414,"*preso*")&gt;0,"SI","NO")</f>
        <v>NO</v>
      </c>
      <c r="AH414" s="194">
        <f>NroOrden(N414)</f>
        <v>99</v>
      </c>
      <c r="AI414" s="194" t="s">
        <v>2395</v>
      </c>
      <c r="AJ414" s="194" t="str">
        <f ca="1">IF(OR(Y414="NO",Y414="LIMBO"),"IMP","NOIMP")</f>
        <v>IMP</v>
      </c>
    </row>
    <row r="415" spans="1:36" ht="113.25" customHeight="1">
      <c r="A415" s="199">
        <v>448</v>
      </c>
      <c r="B415" s="200" t="s">
        <v>2630</v>
      </c>
      <c r="C415" s="201" t="s">
        <v>501</v>
      </c>
      <c r="D415" s="199" t="s">
        <v>2631</v>
      </c>
      <c r="E415" s="199" t="s">
        <v>2632</v>
      </c>
      <c r="F415" s="335">
        <v>45258</v>
      </c>
      <c r="G415" s="199"/>
      <c r="H415" s="197" t="s">
        <v>1643</v>
      </c>
      <c r="I415" s="198">
        <v>45288</v>
      </c>
      <c r="J415" s="198" t="s">
        <v>1562</v>
      </c>
      <c r="K415" s="197" t="s">
        <v>1674</v>
      </c>
      <c r="L415" s="197" t="s">
        <v>1658</v>
      </c>
      <c r="M415" s="198" t="s">
        <v>333</v>
      </c>
      <c r="N415" s="199"/>
      <c r="O415" s="199"/>
      <c r="P415" s="199"/>
      <c r="Q415" s="199" t="s">
        <v>240</v>
      </c>
      <c r="R415" s="199"/>
      <c r="S415" s="199"/>
      <c r="T415" s="199"/>
      <c r="U415" s="199"/>
      <c r="V415" s="199" t="s">
        <v>1281</v>
      </c>
      <c r="W415" s="199"/>
      <c r="X415" s="199"/>
      <c r="Y415" s="199" t="str">
        <f ca="1">IF(I415&lt;&gt;"",IF(I415&lt;=TODAY(),IF(OR(N415="REPROGRAMADA",N415="SUSPENDIDA",N415="EXCLUSION",N415="COLEGIADO"),"NO HECHA",IF(N415=" ","SINRESULTADO","SI")),"NO"),IF(N415="EXCLUSION","NO HECHA","LIMBO"))</f>
        <v>NO</v>
      </c>
      <c r="Z415" s="199" t="str">
        <f>IF($Z$1=I415,"DIASOL", "DIANOSOL")</f>
        <v>DIANOSOL</v>
      </c>
      <c r="AA415" s="199" t="s">
        <v>681</v>
      </c>
      <c r="AB415" s="199" t="s">
        <v>2633</v>
      </c>
      <c r="AC415" s="199" t="str">
        <f>IF(H415=$M$1,"SI","NO")</f>
        <v>SI</v>
      </c>
      <c r="AD415" s="199"/>
      <c r="AE415" s="335">
        <v>45258</v>
      </c>
      <c r="AF415" s="199"/>
      <c r="AG415" s="199" t="str">
        <f>IF(COUNTIF(C415,"*preso*")&gt;0,"SI","NO")</f>
        <v>SI</v>
      </c>
      <c r="AH415" s="199">
        <f>NroOrden(N415)</f>
        <v>99</v>
      </c>
      <c r="AI415" s="199"/>
      <c r="AJ415" s="199" t="str">
        <f ca="1">IF(OR(Y415="NO",Y415="LIMBO"),"IMP","NOIMP")</f>
        <v>IMP</v>
      </c>
    </row>
    <row r="416" spans="1:36" ht="39.950000000000003" customHeight="1">
      <c r="A416" s="194">
        <v>299</v>
      </c>
      <c r="B416" s="195" t="s">
        <v>1901</v>
      </c>
      <c r="C416" s="196"/>
      <c r="D416" s="194" t="s">
        <v>1902</v>
      </c>
      <c r="E416" s="194" t="s">
        <v>1044</v>
      </c>
      <c r="F416" s="316">
        <v>45197</v>
      </c>
      <c r="G416" s="194" t="s">
        <v>1836</v>
      </c>
      <c r="H416" s="197" t="s">
        <v>1640</v>
      </c>
      <c r="I416" s="198">
        <v>45289</v>
      </c>
      <c r="J416" s="198" t="s">
        <v>396</v>
      </c>
      <c r="K416" s="197" t="s">
        <v>1662</v>
      </c>
      <c r="L416" s="197" t="s">
        <v>1658</v>
      </c>
      <c r="M416" s="198" t="s">
        <v>1807</v>
      </c>
      <c r="N416" s="194" t="s">
        <v>111</v>
      </c>
      <c r="O416" s="194"/>
      <c r="P416" s="194"/>
      <c r="Q416" s="194"/>
      <c r="R416" s="194"/>
      <c r="S416" s="194"/>
      <c r="T416" s="194"/>
      <c r="U416" s="194"/>
      <c r="V416" s="194" t="s">
        <v>344</v>
      </c>
      <c r="W416" s="194" t="s">
        <v>135</v>
      </c>
      <c r="X416" s="194" t="s">
        <v>111</v>
      </c>
      <c r="Y416" s="194" t="str">
        <f ca="1">IF(I416&lt;&gt;"",IF(I416&lt;=TODAY(),IF(OR(N416="REPROGRAMADA",N416="SUSPENDIDA",N416="EXCLUSION",N416="COLEGIADO"),"NO HECHA",IF(N416=" ","SINRESULTADO","SI")),"NO"),IF(N416="EXCLUSION","NO HECHA","LIMBO"))</f>
        <v>NO</v>
      </c>
      <c r="Z416" s="194" t="str">
        <f>IF($Z$1=I416,"DIASOL", "DIANOSOL")</f>
        <v>DIANOSOL</v>
      </c>
      <c r="AA416" s="194" t="s">
        <v>240</v>
      </c>
      <c r="AB416" s="194" t="s">
        <v>1903</v>
      </c>
      <c r="AC416" s="194" t="str">
        <f>IF(H416=$M$1,"SI","NO")</f>
        <v>NO</v>
      </c>
      <c r="AD416" s="194"/>
      <c r="AE416" s="316">
        <v>45197</v>
      </c>
      <c r="AF416" s="194"/>
      <c r="AG416" s="194" t="str">
        <f>IF(COUNTIF(C416,"*preso*")&gt;0,"SI","NO")</f>
        <v>NO</v>
      </c>
      <c r="AH416" s="245">
        <f>NroOrden(N416)</f>
        <v>99</v>
      </c>
      <c r="AI416" s="194"/>
      <c r="AJ416" s="152" t="str">
        <f ca="1">IF(OR(Y416="NO",Y416="LIMBO"),"IMP","NOIMP")</f>
        <v>IMP</v>
      </c>
    </row>
    <row r="417" spans="1:36" s="6" customFormat="1" ht="39.950000000000003" customHeight="1">
      <c r="A417" s="199">
        <v>347</v>
      </c>
      <c r="B417" s="200" t="s">
        <v>2134</v>
      </c>
      <c r="C417" s="201" t="s">
        <v>1472</v>
      </c>
      <c r="D417" s="199" t="s">
        <v>2135</v>
      </c>
      <c r="E417" s="199" t="s">
        <v>717</v>
      </c>
      <c r="F417" s="335">
        <v>45216</v>
      </c>
      <c r="G417" s="199" t="s">
        <v>2244</v>
      </c>
      <c r="H417" s="319"/>
      <c r="I417" s="320">
        <v>45296</v>
      </c>
      <c r="J417" s="320" t="s">
        <v>14</v>
      </c>
      <c r="K417" s="319" t="s">
        <v>2131</v>
      </c>
      <c r="L417" s="319"/>
      <c r="M417" s="320" t="s">
        <v>1808</v>
      </c>
      <c r="N417" s="199"/>
      <c r="O417" s="199"/>
      <c r="P417" s="319" t="s">
        <v>2659</v>
      </c>
      <c r="Q417" s="199" t="s">
        <v>240</v>
      </c>
      <c r="R417" s="199"/>
      <c r="S417" s="199" t="s">
        <v>1688</v>
      </c>
      <c r="T417" s="199" t="s">
        <v>2137</v>
      </c>
      <c r="U417" s="199" t="s">
        <v>2138</v>
      </c>
      <c r="V417" s="199" t="s">
        <v>1281</v>
      </c>
      <c r="W417" s="199" t="s">
        <v>180</v>
      </c>
      <c r="X417" s="199" t="s">
        <v>434</v>
      </c>
      <c r="Y417" s="199" t="str">
        <f ca="1">IF(I417&lt;&gt;"",IF(I417&lt;=TODAY(),IF(OR(N417="REPROGRAMADA",N417="SUSPENDIDA",N417="EXCLUSION",N417="COLEGIADO"),"NO HECHA",IF(N417=" ","SINRESULTADO","SI")),"NO"),IF(N417="EXCLUSION","NO HECHA","LIMBO"))</f>
        <v>NO</v>
      </c>
      <c r="Z417" s="199" t="str">
        <f>IF($Z$1=I417,"DIASOL", "DIANOSOL")</f>
        <v>DIANOSOL</v>
      </c>
      <c r="AA417" s="199"/>
      <c r="AB417" s="199" t="s">
        <v>2136</v>
      </c>
      <c r="AC417" s="199" t="str">
        <f>IF(H417=$M$1,"SI","NO")</f>
        <v>NO</v>
      </c>
      <c r="AD417" s="199"/>
      <c r="AE417" s="335">
        <v>45216</v>
      </c>
      <c r="AF417" s="199"/>
      <c r="AG417" s="199" t="str">
        <f>IF(COUNTIF(C417,"*preso*")&gt;0,"SI","NO")</f>
        <v>SI</v>
      </c>
      <c r="AH417" s="199">
        <f>NroOrden(N417)</f>
        <v>99</v>
      </c>
      <c r="AI417" s="199"/>
      <c r="AJ417" s="152" t="str">
        <f ca="1">IF(OR(Y417="NO",Y417="LIMBO"),"IMP","NOIMP")</f>
        <v>IMP</v>
      </c>
    </row>
    <row r="418" spans="1:36" ht="39.950000000000003" customHeight="1">
      <c r="A418" s="84">
        <v>205</v>
      </c>
      <c r="B418" s="157" t="s">
        <v>746</v>
      </c>
      <c r="C418" s="211"/>
      <c r="D418" s="84" t="s">
        <v>747</v>
      </c>
      <c r="E418" s="84" t="s">
        <v>748</v>
      </c>
      <c r="F418" s="186">
        <v>45091</v>
      </c>
      <c r="G418" s="84" t="s">
        <v>673</v>
      </c>
      <c r="H418" s="149"/>
      <c r="I418" s="157"/>
      <c r="J418" s="157"/>
      <c r="K418" s="84" t="s">
        <v>111</v>
      </c>
      <c r="L418" s="283"/>
      <c r="M418" s="150" t="s">
        <v>328</v>
      </c>
      <c r="N418" s="149" t="s">
        <v>111</v>
      </c>
      <c r="O418" s="149"/>
      <c r="P418" s="84"/>
      <c r="Q418" s="84" t="s">
        <v>111</v>
      </c>
      <c r="R418" s="283"/>
      <c r="S418" s="149"/>
      <c r="T418" s="84"/>
      <c r="U418" s="84"/>
      <c r="V418" s="149" t="s">
        <v>344</v>
      </c>
      <c r="W418" s="149" t="s">
        <v>535</v>
      </c>
      <c r="X418" s="149" t="s">
        <v>111</v>
      </c>
      <c r="Y418" s="159" t="str">
        <f ca="1">IF(I418&lt;&gt;"",IF(I418&lt;=TODAY(),IF(OR(N418="REPROGRAMADA",N418="SUSPENDIDA",N418="EXCLUSION",N418="COLEGIADO"),"NO HECHA",IF(N418=" ","SINRESULTADO","SI")),"NO"),IF(N418="EXCLUSION","NO HECHA","LIMBO"))</f>
        <v>LIMBO</v>
      </c>
      <c r="Z418" s="149" t="str">
        <f>IF($Z$1=I418,"DIASOL", "DIANOSOL")</f>
        <v>DIANOSOL</v>
      </c>
      <c r="AA418" s="149" t="s">
        <v>240</v>
      </c>
      <c r="AB418" s="149" t="s">
        <v>749</v>
      </c>
      <c r="AC418" s="151" t="str">
        <f>IF(H418=$M$1,"SI","NO")</f>
        <v>NO</v>
      </c>
      <c r="AD418" s="151"/>
      <c r="AE418" s="84"/>
      <c r="AF418" s="84"/>
      <c r="AG418" s="84" t="str">
        <f>IF(COUNTIF(C418,"*preso*")&gt;0,"SI","NO")</f>
        <v>NO</v>
      </c>
      <c r="AH418" s="245">
        <f>NroOrden(N418)</f>
        <v>99</v>
      </c>
      <c r="AI418" s="84"/>
      <c r="AJ418" s="152" t="str">
        <f ca="1">IF(OR(Y418="NO",Y418="LIMBO"),"IMP","NOIMP")</f>
        <v>IMP</v>
      </c>
    </row>
    <row r="419" spans="1:36" ht="53.25" customHeight="1">
      <c r="A419" s="194">
        <v>256</v>
      </c>
      <c r="B419" s="195" t="s">
        <v>1551</v>
      </c>
      <c r="C419" s="196"/>
      <c r="D419" s="194" t="s">
        <v>1552</v>
      </c>
      <c r="E419" s="194" t="s">
        <v>1712</v>
      </c>
      <c r="F419" s="312">
        <v>45169</v>
      </c>
      <c r="G419" s="194" t="s">
        <v>1715</v>
      </c>
      <c r="H419" s="194" t="s">
        <v>111</v>
      </c>
      <c r="I419" s="195"/>
      <c r="J419" s="195"/>
      <c r="K419" s="194" t="s">
        <v>111</v>
      </c>
      <c r="L419" s="194" t="s">
        <v>111</v>
      </c>
      <c r="M419" s="195" t="s">
        <v>331</v>
      </c>
      <c r="N419" s="194" t="s">
        <v>111</v>
      </c>
      <c r="O419" s="194"/>
      <c r="P419" s="194"/>
      <c r="Q419" s="194"/>
      <c r="R419" s="194"/>
      <c r="S419" s="194"/>
      <c r="T419" s="194"/>
      <c r="U419" s="194"/>
      <c r="V419" s="194" t="s">
        <v>343</v>
      </c>
      <c r="W419" s="194" t="s">
        <v>269</v>
      </c>
      <c r="X419" s="194" t="s">
        <v>111</v>
      </c>
      <c r="Y419" s="194" t="str">
        <f ca="1">IF(I419&lt;&gt;"",IF(I419&lt;=TODAY(),IF(OR(N419="REPROGRAMADA",N419="SUSPENDIDA",N419="EXCLUSION",N419="COLEGIADO"),"NO HECHA",IF(N419=" ","SINRESULTADO","SI")),"NO"),IF(N419="EXCLUSION","NO HECHA","LIMBO"))</f>
        <v>LIMBO</v>
      </c>
      <c r="Z419" s="194" t="str">
        <f>IF($Z$1=I419,"DIASOL", "DIANOSOL")</f>
        <v>DIANOSOL</v>
      </c>
      <c r="AA419" s="194" t="s">
        <v>1714</v>
      </c>
      <c r="AB419" s="194" t="s">
        <v>1713</v>
      </c>
      <c r="AC419" s="194" t="str">
        <f>IF(H419=$M$1,"SI","NO")</f>
        <v>NO</v>
      </c>
      <c r="AD419" s="194"/>
      <c r="AE419" s="312">
        <v>45163</v>
      </c>
      <c r="AF419" s="194"/>
      <c r="AG419" s="194" t="str">
        <f>IF(COUNTIF(C419,"*preso*")&gt;0,"SI","NO")</f>
        <v>NO</v>
      </c>
      <c r="AH419" s="245">
        <f>NroOrden(N419)</f>
        <v>99</v>
      </c>
      <c r="AI419" s="194"/>
      <c r="AJ419" s="152" t="str">
        <f ca="1">IF(OR(Y419="NO",Y419="LIMBO"),"IMP","NOIMP")</f>
        <v>IMP</v>
      </c>
    </row>
    <row r="420" spans="1:36" ht="96" customHeight="1">
      <c r="A420" s="194">
        <v>277</v>
      </c>
      <c r="B420" s="195" t="s">
        <v>1828</v>
      </c>
      <c r="C420" s="196"/>
      <c r="D420" s="194" t="s">
        <v>1829</v>
      </c>
      <c r="E420" s="194" t="s">
        <v>1830</v>
      </c>
      <c r="F420" s="312">
        <v>45188</v>
      </c>
      <c r="G420" s="194" t="s">
        <v>1742</v>
      </c>
      <c r="H420" s="194" t="s">
        <v>111</v>
      </c>
      <c r="I420" s="195"/>
      <c r="J420" s="195"/>
      <c r="K420" s="194" t="s">
        <v>111</v>
      </c>
      <c r="L420" s="194" t="s">
        <v>111</v>
      </c>
      <c r="M420" s="195" t="s">
        <v>111</v>
      </c>
      <c r="N420" s="194" t="s">
        <v>111</v>
      </c>
      <c r="O420" s="194"/>
      <c r="P420" s="194"/>
      <c r="Q420" s="194"/>
      <c r="R420" s="194"/>
      <c r="S420" s="194"/>
      <c r="T420" s="194"/>
      <c r="U420" s="194"/>
      <c r="V420" s="194" t="s">
        <v>189</v>
      </c>
      <c r="W420" s="194" t="s">
        <v>169</v>
      </c>
      <c r="X420" s="194" t="s">
        <v>111</v>
      </c>
      <c r="Y420" s="194" t="str">
        <f ca="1">IF(I420&lt;&gt;"",IF(I420&lt;=TODAY(),IF(OR(N420="REPROGRAMADA",N420="SUSPENDIDA",N420="EXCLUSION",N420="COLEGIADO"),"NO HECHA",IF(N420=" ","SINRESULTADO","SI")),"NO"),IF(N420="EXCLUSION","NO HECHA","LIMBO"))</f>
        <v>LIMBO</v>
      </c>
      <c r="Z420" s="194" t="str">
        <f>IF($Z$1=I420,"DIASOL", "DIANOSOL")</f>
        <v>DIANOSOL</v>
      </c>
      <c r="AA420" s="194" t="s">
        <v>240</v>
      </c>
      <c r="AB420" s="194" t="s">
        <v>1831</v>
      </c>
      <c r="AC420" s="194" t="str">
        <f>IF(H420=$M$1,"SI","NO")</f>
        <v>NO</v>
      </c>
      <c r="AD420" s="194"/>
      <c r="AE420" s="312">
        <v>44860</v>
      </c>
      <c r="AF420" s="316">
        <v>45188</v>
      </c>
      <c r="AG420" s="194" t="str">
        <f>IF(COUNTIF(C420,"*preso*")&gt;0,"SI","NO")</f>
        <v>NO</v>
      </c>
      <c r="AH420" s="245">
        <f>NroOrden(N420)</f>
        <v>99</v>
      </c>
      <c r="AI420" s="194" t="s">
        <v>1873</v>
      </c>
      <c r="AJ420" s="152" t="str">
        <f ca="1">IF(OR(Y420="NO",Y420="LIMBO"),"IMP","NOIMP")</f>
        <v>IMP</v>
      </c>
    </row>
    <row r="421" spans="1:36" ht="45" customHeight="1">
      <c r="A421" s="194">
        <v>280</v>
      </c>
      <c r="B421" s="195" t="s">
        <v>1818</v>
      </c>
      <c r="C421" s="196"/>
      <c r="D421" s="194" t="s">
        <v>1819</v>
      </c>
      <c r="E421" s="194" t="s">
        <v>1820</v>
      </c>
      <c r="F421" s="312">
        <v>45176</v>
      </c>
      <c r="G421" s="194" t="s">
        <v>1816</v>
      </c>
      <c r="H421" s="194" t="s">
        <v>111</v>
      </c>
      <c r="I421" s="195"/>
      <c r="J421" s="195"/>
      <c r="K421" s="194" t="s">
        <v>111</v>
      </c>
      <c r="L421" s="194" t="s">
        <v>111</v>
      </c>
      <c r="M421" s="195" t="s">
        <v>330</v>
      </c>
      <c r="N421" s="194" t="s">
        <v>111</v>
      </c>
      <c r="O421" s="194"/>
      <c r="P421" s="151" t="s">
        <v>2653</v>
      </c>
      <c r="Q421" s="194"/>
      <c r="R421" s="194"/>
      <c r="S421" s="194"/>
      <c r="T421" s="194"/>
      <c r="U421" s="194"/>
      <c r="V421" s="194" t="s">
        <v>913</v>
      </c>
      <c r="W421" s="194" t="s">
        <v>111</v>
      </c>
      <c r="X421" s="194" t="s">
        <v>111</v>
      </c>
      <c r="Y421" s="194" t="str">
        <f ca="1">IF(I421&lt;&gt;"",IF(I421&lt;=TODAY(),IF(OR(N421="REPROGRAMADA",N421="SUSPENDIDA",N421="EXCLUSION",N421="COLEGIADO"),"NO HECHA",IF(N421=" ","SINRESULTADO","SI")),"NO"),IF(N421="EXCLUSION","NO HECHA","LIMBO"))</f>
        <v>LIMBO</v>
      </c>
      <c r="Z421" s="194" t="str">
        <f>IF($Z$1=I421,"DIASOL", "DIANOSOL")</f>
        <v>DIANOSOL</v>
      </c>
      <c r="AA421" s="194" t="s">
        <v>240</v>
      </c>
      <c r="AB421" s="194" t="s">
        <v>1821</v>
      </c>
      <c r="AC421" s="194" t="str">
        <f>IF(H421=$M$1,"SI","NO")</f>
        <v>NO</v>
      </c>
      <c r="AD421" s="194"/>
      <c r="AE421" s="312">
        <v>45176</v>
      </c>
      <c r="AF421" s="194"/>
      <c r="AG421" s="194" t="str">
        <f>IF(COUNTIF(C421,"*preso*")&gt;0,"SI","NO")</f>
        <v>NO</v>
      </c>
      <c r="AH421" s="245">
        <f>NroOrden(N421)</f>
        <v>99</v>
      </c>
      <c r="AI421" s="194"/>
      <c r="AJ421" s="152" t="str">
        <f ca="1">IF(OR(Y421="NO",Y421="LIMBO"),"IMP","NOIMP")</f>
        <v>IMP</v>
      </c>
    </row>
    <row r="422" spans="1:36" ht="57.75" customHeight="1">
      <c r="A422" s="194">
        <v>356</v>
      </c>
      <c r="B422" s="195" t="s">
        <v>2189</v>
      </c>
      <c r="C422" s="196"/>
      <c r="D422" s="194" t="s">
        <v>2190</v>
      </c>
      <c r="E422" s="194" t="s">
        <v>2191</v>
      </c>
      <c r="F422" s="312">
        <v>45218</v>
      </c>
      <c r="G422" s="194"/>
      <c r="H422" s="194"/>
      <c r="I422" s="195"/>
      <c r="J422" s="195"/>
      <c r="K422" s="194"/>
      <c r="L422" s="194"/>
      <c r="M422" s="195" t="s">
        <v>1750</v>
      </c>
      <c r="N422" s="194"/>
      <c r="O422" s="194"/>
      <c r="P422" s="194"/>
      <c r="Q422" s="194" t="s">
        <v>240</v>
      </c>
      <c r="R422" s="194"/>
      <c r="S422" s="194"/>
      <c r="T422" s="194"/>
      <c r="U422" s="194"/>
      <c r="V422" s="194" t="s">
        <v>1275</v>
      </c>
      <c r="W422" s="194" t="s">
        <v>140</v>
      </c>
      <c r="X422" s="194"/>
      <c r="Y422" s="194" t="str">
        <f ca="1">IF(I422&lt;&gt;"",IF(I422&lt;=TODAY(),IF(OR(N422="REPROGRAMADA",N422="SUSPENDIDA",N422="EXCLUSION",N422="COLEGIADO"),"NO HECHA",IF(N422=" ","SINRESULTADO","SI")),"NO"),IF(N422="EXCLUSION","NO HECHA","LIMBO"))</f>
        <v>LIMBO</v>
      </c>
      <c r="Z422" s="194" t="str">
        <f>IF($Z$1=I422,"DIASOL", "DIANOSOL")</f>
        <v>DIANOSOL</v>
      </c>
      <c r="AA422" s="194"/>
      <c r="AB422" s="194" t="s">
        <v>2192</v>
      </c>
      <c r="AC422" s="194" t="str">
        <f>IF(H422=$M$1,"SI","NO")</f>
        <v>NO</v>
      </c>
      <c r="AD422" s="194"/>
      <c r="AE422" s="312">
        <v>45218</v>
      </c>
      <c r="AF422" s="194"/>
      <c r="AG422" s="194" t="str">
        <f>IF(COUNTIF(C422,"*preso*")&gt;0,"SI","NO")</f>
        <v>NO</v>
      </c>
      <c r="AH422" s="194">
        <f>NroOrden(N422)</f>
        <v>99</v>
      </c>
      <c r="AI422" s="194"/>
      <c r="AJ422" s="194" t="str">
        <f ca="1">IF(OR(Y422="NO",Y422="LIMBO"),"IMP","NOIMP")</f>
        <v>IMP</v>
      </c>
    </row>
    <row r="423" spans="1:36" ht="39.950000000000003" customHeight="1">
      <c r="A423" s="194">
        <v>364</v>
      </c>
      <c r="B423" s="195" t="s">
        <v>2221</v>
      </c>
      <c r="C423" s="196"/>
      <c r="D423" s="194" t="s">
        <v>2222</v>
      </c>
      <c r="E423" s="194" t="s">
        <v>2223</v>
      </c>
      <c r="F423" s="312">
        <v>45219</v>
      </c>
      <c r="G423" s="194"/>
      <c r="H423" s="194"/>
      <c r="I423" s="195"/>
      <c r="J423" s="195"/>
      <c r="K423" s="194"/>
      <c r="L423" s="194"/>
      <c r="M423" s="195" t="s">
        <v>1808</v>
      </c>
      <c r="N423" s="194"/>
      <c r="O423" s="194"/>
      <c r="P423" s="194"/>
      <c r="Q423" s="194" t="s">
        <v>240</v>
      </c>
      <c r="R423" s="194"/>
      <c r="S423" s="194"/>
      <c r="T423" s="194"/>
      <c r="U423" s="194"/>
      <c r="V423" s="194" t="s">
        <v>1275</v>
      </c>
      <c r="W423" s="194"/>
      <c r="X423" s="194"/>
      <c r="Y423" s="194" t="str">
        <f ca="1">IF(I423&lt;&gt;"",IF(I423&lt;=TODAY(),IF(OR(N423="REPROGRAMADA",N423="SUSPENDIDA",N423="EXCLUSION",N423="COLEGIADO"),"NO HECHA",IF(N423=" ","SINRESULTADO","SI")),"NO"),IF(N423="EXCLUSION","NO HECHA","LIMBO"))</f>
        <v>LIMBO</v>
      </c>
      <c r="Z423" s="194" t="str">
        <f>IF($Z$1=I423,"DIASOL", "DIANOSOL")</f>
        <v>DIANOSOL</v>
      </c>
      <c r="AA423" s="194"/>
      <c r="AB423" s="194" t="s">
        <v>2224</v>
      </c>
      <c r="AC423" s="194" t="str">
        <f>IF(H423=$M$1,"SI","NO")</f>
        <v>NO</v>
      </c>
      <c r="AD423" s="194"/>
      <c r="AE423" s="312">
        <v>45219</v>
      </c>
      <c r="AF423" s="194"/>
      <c r="AG423" s="194" t="str">
        <f>IF(COUNTIF(C423,"*preso*")&gt;0,"SI","NO")</f>
        <v>NO</v>
      </c>
      <c r="AH423" s="194">
        <f>NroOrden(N423)</f>
        <v>99</v>
      </c>
      <c r="AI423" s="194"/>
      <c r="AJ423" s="194" t="str">
        <f ca="1">IF(OR(Y423="NO",Y423="LIMBO"),"IMP","NOIMP")</f>
        <v>IMP</v>
      </c>
    </row>
    <row r="424" spans="1:36" ht="95.25" customHeight="1">
      <c r="A424" s="194">
        <v>370</v>
      </c>
      <c r="B424" s="195" t="s">
        <v>2253</v>
      </c>
      <c r="C424" s="196"/>
      <c r="D424" s="194" t="s">
        <v>2254</v>
      </c>
      <c r="E424" s="194" t="s">
        <v>2255</v>
      </c>
      <c r="F424" s="316">
        <v>45223</v>
      </c>
      <c r="G424" s="194"/>
      <c r="H424" s="194"/>
      <c r="I424" s="195"/>
      <c r="J424" s="195"/>
      <c r="K424" s="194"/>
      <c r="L424" s="194"/>
      <c r="M424" s="195" t="s">
        <v>1808</v>
      </c>
      <c r="N424" s="194"/>
      <c r="O424" s="194"/>
      <c r="P424" s="194"/>
      <c r="Q424" s="194" t="s">
        <v>240</v>
      </c>
      <c r="R424" s="194"/>
      <c r="S424" s="194"/>
      <c r="T424" s="194"/>
      <c r="U424" s="194"/>
      <c r="V424" s="194" t="s">
        <v>344</v>
      </c>
      <c r="W424" s="194" t="s">
        <v>265</v>
      </c>
      <c r="X424" s="194"/>
      <c r="Y424" s="194" t="str">
        <f ca="1">IF(I424&lt;&gt;"",IF(I424&lt;=TODAY(),IF(OR(N424="REPROGRAMADA",N424="SUSPENDIDA",N424="EXCLUSION",N424="COLEGIADO"),"NO HECHA",IF(N424=" ","SINRESULTADO","SI")),"NO"),IF(N424="EXCLUSION","NO HECHA","LIMBO"))</f>
        <v>LIMBO</v>
      </c>
      <c r="Z424" s="194" t="str">
        <f>IF($Z$1=I424,"DIASOL", "DIANOSOL")</f>
        <v>DIANOSOL</v>
      </c>
      <c r="AA424" s="194"/>
      <c r="AB424" s="194" t="s">
        <v>2256</v>
      </c>
      <c r="AC424" s="194" t="str">
        <f>IF(H424=$M$1,"SI","NO")</f>
        <v>NO</v>
      </c>
      <c r="AD424" s="194"/>
      <c r="AE424" s="316">
        <v>45223</v>
      </c>
      <c r="AF424" s="194"/>
      <c r="AG424" s="194" t="str">
        <f>IF(COUNTIF(C424,"*preso*")&gt;0,"SI","NO")</f>
        <v>NO</v>
      </c>
      <c r="AH424" s="194">
        <f>NroOrden(N424)</f>
        <v>99</v>
      </c>
      <c r="AI424" s="194"/>
      <c r="AJ424" s="194" t="str">
        <f ca="1">IF(OR(Y424="NO",Y424="LIMBO"),"IMP","NOIMP")</f>
        <v>IMP</v>
      </c>
    </row>
    <row r="425" spans="1:36" ht="77.25" customHeight="1">
      <c r="A425" s="194">
        <v>377</v>
      </c>
      <c r="B425" s="195" t="s">
        <v>2286</v>
      </c>
      <c r="C425" s="196"/>
      <c r="D425" s="194" t="s">
        <v>2287</v>
      </c>
      <c r="E425" s="194" t="s">
        <v>2288</v>
      </c>
      <c r="F425" s="312">
        <v>45226</v>
      </c>
      <c r="G425" s="194" t="s">
        <v>2292</v>
      </c>
      <c r="H425" s="194"/>
      <c r="I425" s="195"/>
      <c r="J425" s="195"/>
      <c r="K425" s="194"/>
      <c r="L425" s="194"/>
      <c r="M425" s="195" t="s">
        <v>1750</v>
      </c>
      <c r="N425" s="194"/>
      <c r="O425" s="194"/>
      <c r="P425" s="194"/>
      <c r="Q425" s="194" t="s">
        <v>240</v>
      </c>
      <c r="R425" s="194"/>
      <c r="S425" s="194"/>
      <c r="T425" s="194"/>
      <c r="U425" s="194"/>
      <c r="V425" s="194" t="s">
        <v>341</v>
      </c>
      <c r="W425" s="194" t="s">
        <v>2289</v>
      </c>
      <c r="X425" s="194" t="s">
        <v>2290</v>
      </c>
      <c r="Y425" s="194" t="str">
        <f ca="1">IF(I425&lt;&gt;"",IF(I425&lt;=TODAY(),IF(OR(N425="REPROGRAMADA",N425="SUSPENDIDA",N425="EXCLUSION",N425="COLEGIADO"),"NO HECHA",IF(N425=" ","SINRESULTADO","SI")),"NO"),IF(N425="EXCLUSION","NO HECHA","LIMBO"))</f>
        <v>LIMBO</v>
      </c>
      <c r="Z425" s="194" t="str">
        <f>IF($Z$1=I425,"DIASOL", "DIANOSOL")</f>
        <v>DIANOSOL</v>
      </c>
      <c r="AA425" s="194"/>
      <c r="AB425" s="194" t="s">
        <v>2291</v>
      </c>
      <c r="AC425" s="194" t="str">
        <f>IF(H425=$M$1,"SI","NO")</f>
        <v>NO</v>
      </c>
      <c r="AD425" s="194"/>
      <c r="AE425" s="312">
        <v>45226</v>
      </c>
      <c r="AF425" s="194"/>
      <c r="AG425" s="194" t="str">
        <f>IF(COUNTIF(C425,"*preso*")&gt;0,"SI","NO")</f>
        <v>NO</v>
      </c>
      <c r="AH425" s="194">
        <f>NroOrden(N425)</f>
        <v>99</v>
      </c>
      <c r="AI425" s="194"/>
      <c r="AJ425" s="194" t="str">
        <f ca="1">IF(OR(Y425="NO",Y425="LIMBO"),"IMP","NOIMP")</f>
        <v>IMP</v>
      </c>
    </row>
    <row r="426" spans="1:36" ht="39.950000000000003" customHeight="1">
      <c r="A426" s="194">
        <v>379</v>
      </c>
      <c r="B426" s="195" t="s">
        <v>2304</v>
      </c>
      <c r="C426" s="196"/>
      <c r="D426" s="194" t="s">
        <v>2357</v>
      </c>
      <c r="E426" s="194" t="s">
        <v>2305</v>
      </c>
      <c r="F426" s="312">
        <v>45226</v>
      </c>
      <c r="G426" s="194" t="s">
        <v>2292</v>
      </c>
      <c r="H426" s="194"/>
      <c r="I426" s="195"/>
      <c r="J426" s="195"/>
      <c r="K426" s="194"/>
      <c r="L426" s="194"/>
      <c r="M426" s="195" t="s">
        <v>333</v>
      </c>
      <c r="N426" s="194"/>
      <c r="O426" s="194"/>
      <c r="P426" s="194"/>
      <c r="Q426" s="194" t="s">
        <v>240</v>
      </c>
      <c r="R426" s="194"/>
      <c r="S426" s="194"/>
      <c r="T426" s="194"/>
      <c r="U426" s="194"/>
      <c r="V426" s="194" t="s">
        <v>343</v>
      </c>
      <c r="W426" s="194" t="s">
        <v>136</v>
      </c>
      <c r="X426" s="194"/>
      <c r="Y426" s="194" t="str">
        <f ca="1">IF(I426&lt;&gt;"",IF(I426&lt;=TODAY(),IF(OR(N426="REPROGRAMADA",N426="SUSPENDIDA",N426="EXCLUSION",N426="COLEGIADO"),"NO HECHA",IF(N426=" ","SINRESULTADO","SI")),"NO"),IF(N426="EXCLUSION","NO HECHA","LIMBO"))</f>
        <v>LIMBO</v>
      </c>
      <c r="Z426" s="194" t="str">
        <f>IF($Z$1=I426,"DIASOL", "DIANOSOL")</f>
        <v>DIANOSOL</v>
      </c>
      <c r="AA426" s="194"/>
      <c r="AB426" s="194" t="s">
        <v>2306</v>
      </c>
      <c r="AC426" s="194" t="str">
        <f>IF(H426=$M$1,"SI","NO")</f>
        <v>NO</v>
      </c>
      <c r="AD426" s="194"/>
      <c r="AE426" s="312">
        <v>45226</v>
      </c>
      <c r="AF426" s="194"/>
      <c r="AG426" s="194" t="str">
        <f>IF(COUNTIF(C426,"*preso*")&gt;0,"SI","NO")</f>
        <v>NO</v>
      </c>
      <c r="AH426" s="194">
        <f>NroOrden(N426)</f>
        <v>99</v>
      </c>
      <c r="AI426" s="194"/>
      <c r="AJ426" s="194" t="str">
        <f ca="1">IF(OR(Y426="NO",Y426="LIMBO"),"IMP","NOIMP")</f>
        <v>IMP</v>
      </c>
    </row>
    <row r="427" spans="1:36" ht="103.5" customHeight="1">
      <c r="A427" s="194">
        <v>386</v>
      </c>
      <c r="B427" s="195" t="s">
        <v>2325</v>
      </c>
      <c r="C427" s="196"/>
      <c r="D427" s="194" t="s">
        <v>2326</v>
      </c>
      <c r="E427" s="194" t="s">
        <v>2327</v>
      </c>
      <c r="F427" s="316">
        <v>45230</v>
      </c>
      <c r="G427" s="194"/>
      <c r="H427" s="194"/>
      <c r="I427" s="195"/>
      <c r="J427" s="195"/>
      <c r="K427" s="194"/>
      <c r="L427" s="194"/>
      <c r="M427" s="195" t="s">
        <v>329</v>
      </c>
      <c r="N427" s="194"/>
      <c r="O427" s="194"/>
      <c r="P427" s="194"/>
      <c r="Q427" s="194" t="s">
        <v>240</v>
      </c>
      <c r="R427" s="194"/>
      <c r="S427" s="194"/>
      <c r="T427" s="194"/>
      <c r="U427" s="194"/>
      <c r="V427" s="194" t="s">
        <v>346</v>
      </c>
      <c r="W427" s="194"/>
      <c r="X427" s="194"/>
      <c r="Y427" s="194" t="str">
        <f ca="1">IF(I427&lt;&gt;"",IF(I427&lt;=TODAY(),IF(OR(N427="REPROGRAMADA",N427="SUSPENDIDA",N427="EXCLUSION",N427="COLEGIADO"),"NO HECHA",IF(N427=" ","SINRESULTADO","SI")),"NO"),IF(N427="EXCLUSION","NO HECHA","LIMBO"))</f>
        <v>LIMBO</v>
      </c>
      <c r="Z427" s="194" t="str">
        <f>IF($Z$1=I427,"DIASOL", "DIANOSOL")</f>
        <v>DIANOSOL</v>
      </c>
      <c r="AA427" s="194"/>
      <c r="AB427" s="194" t="s">
        <v>2328</v>
      </c>
      <c r="AC427" s="194" t="str">
        <f>IF(H427=$M$1,"SI","NO")</f>
        <v>NO</v>
      </c>
      <c r="AD427" s="194"/>
      <c r="AE427" s="316">
        <v>45230</v>
      </c>
      <c r="AF427" s="194"/>
      <c r="AG427" s="194" t="str">
        <f>IF(COUNTIF(C427,"*preso*")&gt;0,"SI","NO")</f>
        <v>NO</v>
      </c>
      <c r="AH427" s="194">
        <f>NroOrden(N427)</f>
        <v>99</v>
      </c>
      <c r="AI427" s="194"/>
      <c r="AJ427" s="194" t="str">
        <f ca="1">IF(OR(Y427="NO",Y427="LIMBO"),"IMP","NOIMP")</f>
        <v>IMP</v>
      </c>
    </row>
    <row r="428" spans="1:36" ht="30.75" customHeight="1">
      <c r="A428" s="194">
        <v>388</v>
      </c>
      <c r="B428" s="195" t="s">
        <v>2343</v>
      </c>
      <c r="C428" s="196"/>
      <c r="D428" s="194" t="s">
        <v>2344</v>
      </c>
      <c r="E428" s="194" t="s">
        <v>2345</v>
      </c>
      <c r="F428" s="312">
        <v>45229</v>
      </c>
      <c r="G428" s="194" t="s">
        <v>2346</v>
      </c>
      <c r="H428" s="194"/>
      <c r="I428" s="195"/>
      <c r="J428" s="195"/>
      <c r="K428" s="194"/>
      <c r="L428" s="194"/>
      <c r="M428" s="195" t="s">
        <v>330</v>
      </c>
      <c r="N428" s="194"/>
      <c r="O428" s="194"/>
      <c r="P428" s="151" t="s">
        <v>2650</v>
      </c>
      <c r="Q428" s="194" t="s">
        <v>240</v>
      </c>
      <c r="R428" s="194"/>
      <c r="S428" s="194"/>
      <c r="T428" s="194"/>
      <c r="U428" s="194"/>
      <c r="V428" s="194" t="s">
        <v>1128</v>
      </c>
      <c r="W428" s="194" t="s">
        <v>141</v>
      </c>
      <c r="X428" s="194"/>
      <c r="Y428" s="194" t="str">
        <f ca="1">IF(I428&lt;&gt;"",IF(I428&lt;=TODAY(),IF(OR(N428="REPROGRAMADA",N428="SUSPENDIDA",N428="EXCLUSION",N428="COLEGIADO"),"NO HECHA",IF(N428=" ","SINRESULTADO","SI")),"NO"),IF(N428="EXCLUSION","NO HECHA","LIMBO"))</f>
        <v>LIMBO</v>
      </c>
      <c r="Z428" s="194" t="str">
        <f>IF($Z$1=I428,"DIASOL", "DIANOSOL")</f>
        <v>DIANOSOL</v>
      </c>
      <c r="AA428" s="194"/>
      <c r="AB428" s="194" t="s">
        <v>2347</v>
      </c>
      <c r="AC428" s="194" t="str">
        <f>IF(H428=$M$1,"SI","NO")</f>
        <v>NO</v>
      </c>
      <c r="AD428" s="194"/>
      <c r="AE428" s="312">
        <v>45229</v>
      </c>
      <c r="AF428" s="194"/>
      <c r="AG428" s="194" t="str">
        <f>IF(COUNTIF(C428,"*preso*")&gt;0,"SI","NO")</f>
        <v>NO</v>
      </c>
      <c r="AH428" s="194">
        <f>NroOrden(N428)</f>
        <v>99</v>
      </c>
      <c r="AI428" s="194"/>
      <c r="AJ428" s="194" t="str">
        <f ca="1">IF(OR(Y428="NO",Y428="LIMBO"),"IMP","NOIMP")</f>
        <v>IMP</v>
      </c>
    </row>
    <row r="429" spans="1:36" ht="66.75" customHeight="1">
      <c r="A429" s="194">
        <v>390</v>
      </c>
      <c r="B429" s="195" t="s">
        <v>2358</v>
      </c>
      <c r="C429" s="196"/>
      <c r="D429" s="194" t="s">
        <v>2359</v>
      </c>
      <c r="E429" s="194" t="s">
        <v>1044</v>
      </c>
      <c r="F429" s="316">
        <v>45222</v>
      </c>
      <c r="G429" s="194" t="s">
        <v>2278</v>
      </c>
      <c r="H429" s="194"/>
      <c r="I429" s="195"/>
      <c r="J429" s="195"/>
      <c r="K429" s="194"/>
      <c r="L429" s="194"/>
      <c r="M429" s="195" t="s">
        <v>1802</v>
      </c>
      <c r="N429" s="194"/>
      <c r="O429" s="194"/>
      <c r="P429" s="194"/>
      <c r="Q429" s="194" t="s">
        <v>240</v>
      </c>
      <c r="R429" s="194"/>
      <c r="S429" s="194"/>
      <c r="T429" s="194"/>
      <c r="U429" s="194"/>
      <c r="V429" s="194" t="s">
        <v>1275</v>
      </c>
      <c r="W429" s="194"/>
      <c r="X429" s="194"/>
      <c r="Y429" s="194" t="str">
        <f ca="1">IF(I429&lt;&gt;"",IF(I429&lt;=TODAY(),IF(OR(N429="REPROGRAMADA",N429="SUSPENDIDA",N429="EXCLUSION",N429="COLEGIADO"),"NO HECHA",IF(N429=" ","SINRESULTADO","SI")),"NO"),IF(N429="EXCLUSION","NO HECHA","LIMBO"))</f>
        <v>LIMBO</v>
      </c>
      <c r="Z429" s="194" t="str">
        <f>IF($Z$1=I429,"DIASOL", "DIANOSOL")</f>
        <v>DIANOSOL</v>
      </c>
      <c r="AA429" s="194"/>
      <c r="AB429" s="194" t="s">
        <v>2360</v>
      </c>
      <c r="AC429" s="194" t="str">
        <f>IF(H429=$M$1,"SI","NO")</f>
        <v>NO</v>
      </c>
      <c r="AD429" s="194"/>
      <c r="AE429" s="316">
        <v>45222</v>
      </c>
      <c r="AF429" s="194"/>
      <c r="AG429" s="194" t="str">
        <f>IF(COUNTIF(C429,"*preso*")&gt;0,"SI","NO")</f>
        <v>NO</v>
      </c>
      <c r="AH429" s="194">
        <f>NroOrden(N429)</f>
        <v>99</v>
      </c>
      <c r="AI429" s="194"/>
      <c r="AJ429" s="194" t="str">
        <f ca="1">IF(OR(Y429="NO",Y429="LIMBO"),"IMP","NOIMP")</f>
        <v>IMP</v>
      </c>
    </row>
    <row r="430" spans="1:36" ht="39.950000000000003" customHeight="1">
      <c r="A430" s="194">
        <v>399</v>
      </c>
      <c r="B430" s="195" t="s">
        <v>2397</v>
      </c>
      <c r="C430" s="196"/>
      <c r="D430" s="194" t="s">
        <v>2398</v>
      </c>
      <c r="E430" s="194" t="s">
        <v>2399</v>
      </c>
      <c r="F430" s="316">
        <v>45232</v>
      </c>
      <c r="G430" s="194"/>
      <c r="H430" s="194"/>
      <c r="I430" s="195"/>
      <c r="J430" s="195"/>
      <c r="K430" s="194"/>
      <c r="L430" s="194"/>
      <c r="M430" s="195" t="s">
        <v>330</v>
      </c>
      <c r="N430" s="194"/>
      <c r="O430" s="194"/>
      <c r="P430" s="151" t="s">
        <v>2650</v>
      </c>
      <c r="Q430" s="194" t="s">
        <v>240</v>
      </c>
      <c r="R430" s="194"/>
      <c r="S430" s="194"/>
      <c r="T430" s="194"/>
      <c r="U430" s="194"/>
      <c r="V430" s="194" t="s">
        <v>1275</v>
      </c>
      <c r="W430" s="194"/>
      <c r="X430" s="194"/>
      <c r="Y430" s="194" t="str">
        <f ca="1">IF(I430&lt;&gt;"",IF(I430&lt;=TODAY(),IF(OR(N430="REPROGRAMADA",N430="SUSPENDIDA",N430="EXCLUSION",N430="COLEGIADO"),"NO HECHA",IF(N430=" ","SINRESULTADO","SI")),"NO"),IF(N430="EXCLUSION","NO HECHA","LIMBO"))</f>
        <v>LIMBO</v>
      </c>
      <c r="Z430" s="194" t="str">
        <f>IF($Z$1=I430,"DIASOL", "DIANOSOL")</f>
        <v>DIANOSOL</v>
      </c>
      <c r="AA430" s="194"/>
      <c r="AB430" s="194" t="s">
        <v>2400</v>
      </c>
      <c r="AC430" s="194" t="str">
        <f>IF(H430=$M$1,"SI","NO")</f>
        <v>NO</v>
      </c>
      <c r="AD430" s="194"/>
      <c r="AE430" s="316">
        <v>45232</v>
      </c>
      <c r="AF430" s="194"/>
      <c r="AG430" s="194" t="str">
        <f>IF(COUNTIF(C430,"*preso*")&gt;0,"SI","NO")</f>
        <v>NO</v>
      </c>
      <c r="AH430" s="194">
        <f>NroOrden(N430)</f>
        <v>99</v>
      </c>
      <c r="AI430" s="194"/>
      <c r="AJ430" s="194" t="str">
        <f ca="1">IF(OR(Y430="NO",Y430="LIMBO"),"IMP","NOIMP")</f>
        <v>IMP</v>
      </c>
    </row>
    <row r="431" spans="1:36" ht="39.950000000000003" customHeight="1">
      <c r="A431" s="194">
        <v>403</v>
      </c>
      <c r="B431" s="195" t="s">
        <v>2434</v>
      </c>
      <c r="C431" s="196"/>
      <c r="D431" s="194" t="s">
        <v>2435</v>
      </c>
      <c r="E431" s="194" t="s">
        <v>2436</v>
      </c>
      <c r="F431" s="316">
        <v>45236</v>
      </c>
      <c r="G431" s="194"/>
      <c r="H431" s="194"/>
      <c r="I431" s="195"/>
      <c r="J431" s="195"/>
      <c r="K431" s="194"/>
      <c r="L431" s="194"/>
      <c r="M431" s="195" t="s">
        <v>332</v>
      </c>
      <c r="N431" s="194"/>
      <c r="O431" s="194"/>
      <c r="P431" s="194"/>
      <c r="Q431" s="194" t="s">
        <v>240</v>
      </c>
      <c r="R431" s="194"/>
      <c r="S431" s="194"/>
      <c r="T431" s="194"/>
      <c r="U431" s="194"/>
      <c r="V431" s="194" t="s">
        <v>1279</v>
      </c>
      <c r="W431" s="194"/>
      <c r="X431" s="194"/>
      <c r="Y431" s="194" t="str">
        <f ca="1">IF(I431&lt;&gt;"",IF(I431&lt;=TODAY(),IF(OR(N431="REPROGRAMADA",N431="SUSPENDIDA",N431="EXCLUSION",N431="COLEGIADO"),"NO HECHA",IF(N431=" ","SINRESULTADO","SI")),"NO"),IF(N431="EXCLUSION","NO HECHA","LIMBO"))</f>
        <v>LIMBO</v>
      </c>
      <c r="Z431" s="194" t="str">
        <f>IF($Z$1=I431,"DIASOL", "DIANOSOL")</f>
        <v>DIANOSOL</v>
      </c>
      <c r="AA431" s="194"/>
      <c r="AB431" s="194" t="s">
        <v>2437</v>
      </c>
      <c r="AC431" s="194" t="str">
        <f>IF(H431=$M$1,"SI","NO")</f>
        <v>NO</v>
      </c>
      <c r="AD431" s="194"/>
      <c r="AE431" s="316">
        <v>45236</v>
      </c>
      <c r="AF431" s="194"/>
      <c r="AG431" s="194" t="str">
        <f>IF(COUNTIF(C431,"*preso*")&gt;0,"SI","NO")</f>
        <v>NO</v>
      </c>
      <c r="AH431" s="194">
        <f>NroOrden(N431)</f>
        <v>99</v>
      </c>
      <c r="AI431" s="194" t="s">
        <v>2438</v>
      </c>
      <c r="AJ431" s="194" t="str">
        <f ca="1">IF(OR(Y431="NO",Y431="LIMBO"),"IMP","NOIMP")</f>
        <v>IMP</v>
      </c>
    </row>
    <row r="432" spans="1:36" ht="39.950000000000003" customHeight="1">
      <c r="A432" s="194">
        <v>409</v>
      </c>
      <c r="B432" s="195" t="s">
        <v>2463</v>
      </c>
      <c r="C432" s="196"/>
      <c r="D432" s="194" t="s">
        <v>2464</v>
      </c>
      <c r="E432" s="194" t="s">
        <v>2470</v>
      </c>
      <c r="F432" s="316">
        <v>45236</v>
      </c>
      <c r="G432" s="194" t="s">
        <v>2503</v>
      </c>
      <c r="H432" s="194"/>
      <c r="I432" s="195"/>
      <c r="J432" s="195"/>
      <c r="K432" s="194"/>
      <c r="L432" s="194"/>
      <c r="M432" s="195" t="s">
        <v>1807</v>
      </c>
      <c r="N432" s="194"/>
      <c r="O432" s="194"/>
      <c r="P432" s="194"/>
      <c r="Q432" s="194" t="s">
        <v>240</v>
      </c>
      <c r="R432" s="194"/>
      <c r="S432" s="194"/>
      <c r="T432" s="194"/>
      <c r="U432" s="194"/>
      <c r="V432" s="194" t="s">
        <v>184</v>
      </c>
      <c r="W432" s="194" t="s">
        <v>169</v>
      </c>
      <c r="X432" s="194"/>
      <c r="Y432" s="194" t="str">
        <f ca="1">IF(I432&lt;&gt;"",IF(I432&lt;=TODAY(),IF(OR(N432="REPROGRAMADA",N432="SUSPENDIDA",N432="EXCLUSION",N432="COLEGIADO"),"NO HECHA",IF(N432=" ","SINRESULTADO","SI")),"NO"),IF(N432="EXCLUSION","NO HECHA","LIMBO"))</f>
        <v>LIMBO</v>
      </c>
      <c r="Z432" s="194" t="str">
        <f>IF($Z$1=I432,"DIASOL", "DIANOSOL")</f>
        <v>DIANOSOL</v>
      </c>
      <c r="AA432" s="194"/>
      <c r="AB432" s="194" t="s">
        <v>2469</v>
      </c>
      <c r="AC432" s="194" t="str">
        <f>IF(H432=$M$1,"SI","NO")</f>
        <v>NO</v>
      </c>
      <c r="AD432" s="194"/>
      <c r="AE432" s="316">
        <v>45236</v>
      </c>
      <c r="AF432" s="194"/>
      <c r="AG432" s="194" t="str">
        <f>IF(COUNTIF(C432,"*preso*")&gt;0,"SI","NO")</f>
        <v>NO</v>
      </c>
      <c r="AH432" s="194">
        <f>NroOrden(N432)</f>
        <v>99</v>
      </c>
      <c r="AI432" s="194"/>
      <c r="AJ432" s="194" t="str">
        <f ca="1">IF(OR(Y432="NO",Y432="LIMBO"),"IMP","NOIMP")</f>
        <v>IMP</v>
      </c>
    </row>
    <row r="433" spans="1:36" ht="39.950000000000003" customHeight="1">
      <c r="A433" s="199">
        <v>411</v>
      </c>
      <c r="B433" s="200" t="s">
        <v>2474</v>
      </c>
      <c r="C433" s="201" t="s">
        <v>1472</v>
      </c>
      <c r="D433" s="199" t="s">
        <v>2476</v>
      </c>
      <c r="E433" s="199" t="s">
        <v>2477</v>
      </c>
      <c r="F433" s="313">
        <v>45237</v>
      </c>
      <c r="G433" s="199"/>
      <c r="H433" s="199"/>
      <c r="I433" s="200"/>
      <c r="J433" s="200"/>
      <c r="K433" s="199"/>
      <c r="L433" s="199"/>
      <c r="M433" s="200" t="s">
        <v>1750</v>
      </c>
      <c r="N433" s="199"/>
      <c r="O433" s="199"/>
      <c r="P433" s="156" t="s">
        <v>2657</v>
      </c>
      <c r="Q433" s="199" t="s">
        <v>240</v>
      </c>
      <c r="R433" s="199"/>
      <c r="S433" s="199" t="s">
        <v>1946</v>
      </c>
      <c r="T433" s="199" t="s">
        <v>2475</v>
      </c>
      <c r="U433" s="199" t="s">
        <v>2478</v>
      </c>
      <c r="V433" s="199" t="s">
        <v>199</v>
      </c>
      <c r="W433" s="199" t="s">
        <v>132</v>
      </c>
      <c r="X433" s="199"/>
      <c r="Y433" s="199" t="str">
        <f ca="1">IF(I433&lt;&gt;"",IF(I433&lt;=TODAY(),IF(OR(N433="REPROGRAMADA",N433="SUSPENDIDA",N433="EXCLUSION",N433="COLEGIADO"),"NO HECHA",IF(N433=" ","SINRESULTADO","SI")),"NO"),IF(N433="EXCLUSION","NO HECHA","LIMBO"))</f>
        <v>LIMBO</v>
      </c>
      <c r="Z433" s="199" t="str">
        <f>IF($Z$1=I433,"DIASOL", "DIANOSOL")</f>
        <v>DIANOSOL</v>
      </c>
      <c r="AA433" s="199"/>
      <c r="AB433" s="199" t="s">
        <v>2479</v>
      </c>
      <c r="AC433" s="199" t="str">
        <f>IF(H433=$M$1,"SI","NO")</f>
        <v>NO</v>
      </c>
      <c r="AD433" s="199"/>
      <c r="AE433" s="313">
        <v>45237</v>
      </c>
      <c r="AF433" s="199"/>
      <c r="AG433" s="199" t="str">
        <f>IF(COUNTIF(C433,"*preso*")&gt;0,"SI","NO")</f>
        <v>SI</v>
      </c>
      <c r="AH433" s="199">
        <f>NroOrden(N433)</f>
        <v>99</v>
      </c>
      <c r="AI433" s="199" t="s">
        <v>2480</v>
      </c>
      <c r="AJ433" s="199" t="str">
        <f ca="1">IF(OR(Y433="NO",Y433="LIMBO"),"IMP","NOIMP")</f>
        <v>IMP</v>
      </c>
    </row>
    <row r="434" spans="1:36" ht="39.950000000000003" customHeight="1">
      <c r="A434" s="199">
        <v>412</v>
      </c>
      <c r="B434" s="200" t="s">
        <v>2482</v>
      </c>
      <c r="C434" s="201" t="s">
        <v>1472</v>
      </c>
      <c r="D434" s="199" t="s">
        <v>2483</v>
      </c>
      <c r="E434" s="199" t="s">
        <v>2484</v>
      </c>
      <c r="F434" s="313">
        <v>45239</v>
      </c>
      <c r="G434" s="199"/>
      <c r="H434" s="199"/>
      <c r="I434" s="200"/>
      <c r="J434" s="200"/>
      <c r="K434" s="199"/>
      <c r="L434" s="199"/>
      <c r="M434" s="200" t="s">
        <v>330</v>
      </c>
      <c r="N434" s="199"/>
      <c r="O434" s="199"/>
      <c r="P434" s="156" t="s">
        <v>2658</v>
      </c>
      <c r="Q434" s="199" t="s">
        <v>240</v>
      </c>
      <c r="R434" s="199"/>
      <c r="S434" s="199" t="s">
        <v>1946</v>
      </c>
      <c r="T434" s="199" t="s">
        <v>2486</v>
      </c>
      <c r="U434" s="199" t="s">
        <v>2487</v>
      </c>
      <c r="V434" s="199" t="s">
        <v>191</v>
      </c>
      <c r="W434" s="199"/>
      <c r="X434" s="199"/>
      <c r="Y434" s="199" t="str">
        <f ca="1">IF(I434&lt;&gt;"",IF(I434&lt;=TODAY(),IF(OR(N434="REPROGRAMADA",N434="SUSPENDIDA",N434="EXCLUSION",N434="COLEGIADO"),"NO HECHA",IF(N434=" ","SINRESULTADO","SI")),"NO"),IF(N434="EXCLUSION","NO HECHA","LIMBO"))</f>
        <v>LIMBO</v>
      </c>
      <c r="Z434" s="199" t="str">
        <f>IF($Z$1=I434,"DIASOL", "DIANOSOL")</f>
        <v>DIANOSOL</v>
      </c>
      <c r="AA434" s="199"/>
      <c r="AB434" s="199" t="s">
        <v>2485</v>
      </c>
      <c r="AC434" s="199" t="str">
        <f>IF(H434=$M$1,"SI","NO")</f>
        <v>NO</v>
      </c>
      <c r="AD434" s="199"/>
      <c r="AE434" s="313">
        <v>45239</v>
      </c>
      <c r="AF434" s="199"/>
      <c r="AG434" s="199" t="str">
        <f>IF(COUNTIF(C434,"*preso*")&gt;0,"SI","NO")</f>
        <v>SI</v>
      </c>
      <c r="AH434" s="199">
        <f>NroOrden(N434)</f>
        <v>99</v>
      </c>
      <c r="AI434" s="199"/>
      <c r="AJ434" s="199" t="str">
        <f ca="1">IF(OR(Y434="NO",Y434="LIMBO"),"IMP","NOIMP")</f>
        <v>IMP</v>
      </c>
    </row>
    <row r="435" spans="1:36" ht="39.950000000000003" customHeight="1">
      <c r="A435" s="194">
        <v>415</v>
      </c>
      <c r="B435" s="195" t="s">
        <v>2494</v>
      </c>
      <c r="C435" s="196"/>
      <c r="D435" s="194" t="s">
        <v>2495</v>
      </c>
      <c r="E435" s="194" t="s">
        <v>841</v>
      </c>
      <c r="F435" s="312">
        <v>45240</v>
      </c>
      <c r="G435" s="194"/>
      <c r="H435" s="194"/>
      <c r="I435" s="195"/>
      <c r="J435" s="195"/>
      <c r="K435" s="194"/>
      <c r="L435" s="194"/>
      <c r="M435" s="195" t="s">
        <v>330</v>
      </c>
      <c r="N435" s="194"/>
      <c r="O435" s="194"/>
      <c r="P435" s="151" t="s">
        <v>2654</v>
      </c>
      <c r="Q435" s="194" t="s">
        <v>240</v>
      </c>
      <c r="R435" s="194"/>
      <c r="S435" s="194"/>
      <c r="T435" s="194"/>
      <c r="U435" s="194"/>
      <c r="V435" s="194" t="s">
        <v>1128</v>
      </c>
      <c r="W435" s="194" t="s">
        <v>2497</v>
      </c>
      <c r="X435" s="194"/>
      <c r="Y435" s="194" t="str">
        <f ca="1">IF(I435&lt;&gt;"",IF(I435&lt;=TODAY(),IF(OR(N435="REPROGRAMADA",N435="SUSPENDIDA",N435="EXCLUSION",N435="COLEGIADO"),"NO HECHA",IF(N435=" ","SINRESULTADO","SI")),"NO"),IF(N435="EXCLUSION","NO HECHA","LIMBO"))</f>
        <v>LIMBO</v>
      </c>
      <c r="Z435" s="194" t="str">
        <f>IF($Z$1=I435,"DIASOL", "DIANOSOL")</f>
        <v>DIANOSOL</v>
      </c>
      <c r="AA435" s="194"/>
      <c r="AB435" s="194" t="s">
        <v>2496</v>
      </c>
      <c r="AC435" s="194" t="str">
        <f>IF(H435=$M$1,"SI","NO")</f>
        <v>NO</v>
      </c>
      <c r="AD435" s="194"/>
      <c r="AE435" s="312">
        <v>45240</v>
      </c>
      <c r="AF435" s="194"/>
      <c r="AG435" s="194" t="str">
        <f>IF(COUNTIF(C435,"*preso*")&gt;0,"SI","NO")</f>
        <v>NO</v>
      </c>
      <c r="AH435" s="194">
        <f>NroOrden(N435)</f>
        <v>99</v>
      </c>
      <c r="AI435" s="194"/>
      <c r="AJ435" s="194" t="str">
        <f ca="1">IF(OR(Y435="NO",Y435="LIMBO"),"IMP","NOIMP")</f>
        <v>IMP</v>
      </c>
    </row>
    <row r="436" spans="1:36" ht="39.950000000000003" customHeight="1">
      <c r="A436" s="194">
        <v>416</v>
      </c>
      <c r="B436" s="195" t="s">
        <v>2498</v>
      </c>
      <c r="C436" s="196"/>
      <c r="D436" s="194" t="s">
        <v>2499</v>
      </c>
      <c r="E436" s="194" t="s">
        <v>2500</v>
      </c>
      <c r="F436" s="312">
        <v>45238</v>
      </c>
      <c r="G436" s="194" t="s">
        <v>2501</v>
      </c>
      <c r="H436" s="194"/>
      <c r="I436" s="195"/>
      <c r="J436" s="195"/>
      <c r="K436" s="194"/>
      <c r="L436" s="194"/>
      <c r="M436" s="195" t="s">
        <v>1802</v>
      </c>
      <c r="N436" s="194"/>
      <c r="O436" s="194"/>
      <c r="P436" s="194"/>
      <c r="Q436" s="194" t="s">
        <v>240</v>
      </c>
      <c r="R436" s="194"/>
      <c r="S436" s="194"/>
      <c r="T436" s="194"/>
      <c r="U436" s="194"/>
      <c r="V436" s="194" t="s">
        <v>345</v>
      </c>
      <c r="W436" s="194" t="s">
        <v>169</v>
      </c>
      <c r="X436" s="194"/>
      <c r="Y436" s="194" t="str">
        <f ca="1">IF(I436&lt;&gt;"",IF(I436&lt;=TODAY(),IF(OR(N436="REPROGRAMADA",N436="SUSPENDIDA",N436="EXCLUSION",N436="COLEGIADO"),"NO HECHA",IF(N436=" ","SINRESULTADO","SI")),"NO"),IF(N436="EXCLUSION","NO HECHA","LIMBO"))</f>
        <v>LIMBO</v>
      </c>
      <c r="Z436" s="194" t="str">
        <f>IF($Z$1=I436,"DIASOL", "DIANOSOL")</f>
        <v>DIANOSOL</v>
      </c>
      <c r="AA436" s="194"/>
      <c r="AB436" s="194" t="s">
        <v>2505</v>
      </c>
      <c r="AC436" s="194" t="str">
        <f>IF(H436=$M$1,"SI","NO")</f>
        <v>NO</v>
      </c>
      <c r="AD436" s="194"/>
      <c r="AE436" s="312">
        <v>45238</v>
      </c>
      <c r="AF436" s="194"/>
      <c r="AG436" s="194" t="str">
        <f>IF(COUNTIF(C436,"*preso*")&gt;0,"SI","NO")</f>
        <v>NO</v>
      </c>
      <c r="AH436" s="194">
        <f>NroOrden(N436)</f>
        <v>99</v>
      </c>
      <c r="AI436" s="194"/>
      <c r="AJ436" s="194" t="str">
        <f ca="1">IF(OR(Y436="NO",Y436="LIMBO"),"IMP","NOIMP")</f>
        <v>IMP</v>
      </c>
    </row>
    <row r="437" spans="1:36" ht="39.950000000000003" customHeight="1">
      <c r="A437" s="194">
        <v>418</v>
      </c>
      <c r="B437" s="195" t="s">
        <v>2522</v>
      </c>
      <c r="C437" s="196"/>
      <c r="D437" s="194" t="s">
        <v>2523</v>
      </c>
      <c r="E437" s="194" t="s">
        <v>2528</v>
      </c>
      <c r="F437" s="312">
        <v>45240</v>
      </c>
      <c r="G437" s="194"/>
      <c r="H437" s="194"/>
      <c r="I437" s="195"/>
      <c r="J437" s="195"/>
      <c r="K437" s="194"/>
      <c r="L437" s="194"/>
      <c r="M437" s="195" t="s">
        <v>332</v>
      </c>
      <c r="N437" s="194"/>
      <c r="O437" s="194"/>
      <c r="P437" s="194"/>
      <c r="Q437" s="194" t="s">
        <v>240</v>
      </c>
      <c r="R437" s="194"/>
      <c r="S437" s="194"/>
      <c r="T437" s="194"/>
      <c r="U437" s="194"/>
      <c r="V437" s="194" t="s">
        <v>192</v>
      </c>
      <c r="W437" s="194" t="s">
        <v>140</v>
      </c>
      <c r="X437" s="194"/>
      <c r="Y437" s="194" t="str">
        <f ca="1">IF(I437&lt;&gt;"",IF(I437&lt;=TODAY(),IF(OR(N437="REPROGRAMADA",N437="SUSPENDIDA",N437="EXCLUSION",N437="COLEGIADO"),"NO HECHA",IF(N437=" ","SINRESULTADO","SI")),"NO"),IF(N437="EXCLUSION","NO HECHA","LIMBO"))</f>
        <v>LIMBO</v>
      </c>
      <c r="Z437" s="194" t="str">
        <f>IF($Z$1=I437,"DIASOL", "DIANOSOL")</f>
        <v>DIANOSOL</v>
      </c>
      <c r="AA437" s="194"/>
      <c r="AB437" s="194" t="s">
        <v>2529</v>
      </c>
      <c r="AC437" s="194" t="str">
        <f>IF(H437=$M$1,"SI","NO")</f>
        <v>NO</v>
      </c>
      <c r="AD437" s="194"/>
      <c r="AE437" s="312">
        <v>45240</v>
      </c>
      <c r="AF437" s="194"/>
      <c r="AG437" s="194" t="str">
        <f>IF(COUNTIF(C437,"*preso*")&gt;0,"SI","NO")</f>
        <v>NO</v>
      </c>
      <c r="AH437" s="194">
        <f>NroOrden(N437)</f>
        <v>99</v>
      </c>
      <c r="AI437" s="194"/>
      <c r="AJ437" s="194" t="str">
        <f ca="1">IF(OR(Y437="NO",Y437="LIMBO"),"IMP","NOIMP")</f>
        <v>IMP</v>
      </c>
    </row>
    <row r="438" spans="1:36" ht="66" customHeight="1">
      <c r="A438" s="194">
        <v>419</v>
      </c>
      <c r="B438" s="195" t="s">
        <v>2524</v>
      </c>
      <c r="C438" s="196"/>
      <c r="D438" s="194" t="s">
        <v>2525</v>
      </c>
      <c r="E438" s="194" t="s">
        <v>2526</v>
      </c>
      <c r="F438" s="312">
        <v>45243</v>
      </c>
      <c r="G438" s="194"/>
      <c r="H438" s="194"/>
      <c r="I438" s="195"/>
      <c r="J438" s="195"/>
      <c r="K438" s="194"/>
      <c r="L438" s="194"/>
      <c r="M438" s="195" t="s">
        <v>332</v>
      </c>
      <c r="N438" s="194"/>
      <c r="O438" s="194"/>
      <c r="P438" s="194"/>
      <c r="Q438" s="194" t="s">
        <v>240</v>
      </c>
      <c r="R438" s="194"/>
      <c r="S438" s="194"/>
      <c r="T438" s="194"/>
      <c r="U438" s="194"/>
      <c r="V438" s="194" t="s">
        <v>341</v>
      </c>
      <c r="W438" s="194"/>
      <c r="X438" s="194"/>
      <c r="Y438" s="194" t="str">
        <f ca="1">IF(I438&lt;&gt;"",IF(I438&lt;=TODAY(),IF(OR(N438="REPROGRAMADA",N438="SUSPENDIDA",N438="EXCLUSION",N438="COLEGIADO"),"NO HECHA",IF(N438=" ","SINRESULTADO","SI")),"NO"),IF(N438="EXCLUSION","NO HECHA","LIMBO"))</f>
        <v>LIMBO</v>
      </c>
      <c r="Z438" s="194" t="str">
        <f>IF($Z$1=I438,"DIASOL", "DIANOSOL")</f>
        <v>DIANOSOL</v>
      </c>
      <c r="AA438" s="194"/>
      <c r="AB438" s="194" t="s">
        <v>2527</v>
      </c>
      <c r="AC438" s="194" t="str">
        <f>IF(H438=$M$1,"SI","NO")</f>
        <v>NO</v>
      </c>
      <c r="AD438" s="194"/>
      <c r="AE438" s="312">
        <v>45243</v>
      </c>
      <c r="AF438" s="194"/>
      <c r="AG438" s="194" t="str">
        <f>IF(COUNTIF(C438,"*preso*")&gt;0,"SI","NO")</f>
        <v>NO</v>
      </c>
      <c r="AH438" s="194">
        <f>NroOrden(N438)</f>
        <v>99</v>
      </c>
      <c r="AI438" s="194"/>
      <c r="AJ438" s="194" t="str">
        <f ca="1">IF(OR(Y438="NO",Y438="LIMBO"),"IMP","NOIMP")</f>
        <v>IMP</v>
      </c>
    </row>
    <row r="439" spans="1:36" ht="39.950000000000003" customHeight="1">
      <c r="A439" s="194">
        <v>420</v>
      </c>
      <c r="B439" s="195" t="s">
        <v>2530</v>
      </c>
      <c r="C439" s="196"/>
      <c r="D439" s="194" t="s">
        <v>2531</v>
      </c>
      <c r="E439" s="194" t="s">
        <v>2539</v>
      </c>
      <c r="F439" s="312">
        <v>45243</v>
      </c>
      <c r="G439" s="194"/>
      <c r="H439" s="194"/>
      <c r="I439" s="195"/>
      <c r="J439" s="195"/>
      <c r="K439" s="194"/>
      <c r="L439" s="194"/>
      <c r="M439" s="195" t="s">
        <v>329</v>
      </c>
      <c r="N439" s="194"/>
      <c r="O439" s="194"/>
      <c r="P439" s="194"/>
      <c r="Q439" s="194" t="s">
        <v>240</v>
      </c>
      <c r="R439" s="194"/>
      <c r="S439" s="194"/>
      <c r="T439" s="194"/>
      <c r="U439" s="194"/>
      <c r="V439" s="194" t="s">
        <v>1277</v>
      </c>
      <c r="W439" s="194"/>
      <c r="X439" s="194"/>
      <c r="Y439" s="194" t="str">
        <f ca="1">IF(I439&lt;&gt;"",IF(I439&lt;=TODAY(),IF(OR(N439="REPROGRAMADA",N439="SUSPENDIDA",N439="EXCLUSION",N439="COLEGIADO"),"NO HECHA",IF(N439=" ","SINRESULTADO","SI")),"NO"),IF(N439="EXCLUSION","NO HECHA","LIMBO"))</f>
        <v>LIMBO</v>
      </c>
      <c r="Z439" s="194" t="str">
        <f>IF($Z$1=I439,"DIASOL", "DIANOSOL")</f>
        <v>DIANOSOL</v>
      </c>
      <c r="AA439" s="194"/>
      <c r="AB439" s="194" t="s">
        <v>2540</v>
      </c>
      <c r="AC439" s="194" t="str">
        <f>IF(H439=$M$1,"SI","NO")</f>
        <v>NO</v>
      </c>
      <c r="AD439" s="194"/>
      <c r="AE439" s="312">
        <v>45243</v>
      </c>
      <c r="AF439" s="194"/>
      <c r="AG439" s="194" t="str">
        <f>IF(COUNTIF(C439,"*preso*")&gt;0,"SI","NO")</f>
        <v>NO</v>
      </c>
      <c r="AH439" s="194">
        <f>NroOrden(N439)</f>
        <v>99</v>
      </c>
      <c r="AI439" s="194"/>
      <c r="AJ439" s="194" t="str">
        <f ca="1">IF(OR(Y439="NO",Y439="LIMBO"),"IMP","NOIMP")</f>
        <v>IMP</v>
      </c>
    </row>
    <row r="440" spans="1:36" ht="39.950000000000003" customHeight="1">
      <c r="A440" s="194">
        <v>421</v>
      </c>
      <c r="B440" s="195" t="s">
        <v>2532</v>
      </c>
      <c r="C440" s="196"/>
      <c r="D440" s="194" t="s">
        <v>2533</v>
      </c>
      <c r="E440" s="194" t="s">
        <v>2543</v>
      </c>
      <c r="F440" s="298">
        <v>45239</v>
      </c>
      <c r="G440" s="194"/>
      <c r="H440" s="194"/>
      <c r="I440" s="195"/>
      <c r="J440" s="195"/>
      <c r="K440" s="194"/>
      <c r="L440" s="194"/>
      <c r="M440" s="195" t="s">
        <v>1802</v>
      </c>
      <c r="N440" s="194"/>
      <c r="O440" s="194"/>
      <c r="P440" s="194"/>
      <c r="Q440" s="194" t="s">
        <v>240</v>
      </c>
      <c r="R440" s="194"/>
      <c r="S440" s="194"/>
      <c r="T440" s="194"/>
      <c r="U440" s="194"/>
      <c r="V440" s="194" t="s">
        <v>1275</v>
      </c>
      <c r="W440" s="194" t="s">
        <v>136</v>
      </c>
      <c r="X440" s="194"/>
      <c r="Y440" s="194" t="str">
        <f ca="1">IF(I440&lt;&gt;"",IF(I440&lt;=TODAY(),IF(OR(N440="REPROGRAMADA",N440="SUSPENDIDA",N440="EXCLUSION",N440="COLEGIADO"),"NO HECHA",IF(N440=" ","SINRESULTADO","SI")),"NO"),IF(N440="EXCLUSION","NO HECHA","LIMBO"))</f>
        <v>LIMBO</v>
      </c>
      <c r="Z440" s="194" t="str">
        <f>IF($Z$1=I440,"DIASOL", "DIANOSOL")</f>
        <v>DIANOSOL</v>
      </c>
      <c r="AA440" s="194"/>
      <c r="AB440" s="194" t="s">
        <v>2544</v>
      </c>
      <c r="AC440" s="194" t="str">
        <f>IF(H440=$M$1,"SI","NO")</f>
        <v>NO</v>
      </c>
      <c r="AD440" s="194"/>
      <c r="AE440" s="312">
        <v>45239</v>
      </c>
      <c r="AF440" s="194"/>
      <c r="AG440" s="194" t="str">
        <f>IF(COUNTIF(C440,"*preso*")&gt;0,"SI","NO")</f>
        <v>NO</v>
      </c>
      <c r="AH440" s="194">
        <f>NroOrden(N440)</f>
        <v>99</v>
      </c>
      <c r="AI440" s="194"/>
      <c r="AJ440" s="194" t="str">
        <f ca="1">IF(OR(Y440="NO",Y440="LIMBO"),"IMP","NOIMP")</f>
        <v>IMP</v>
      </c>
    </row>
    <row r="441" spans="1:36" ht="39.950000000000003" customHeight="1">
      <c r="A441" s="194">
        <v>422</v>
      </c>
      <c r="B441" s="195" t="s">
        <v>2534</v>
      </c>
      <c r="C441" s="196"/>
      <c r="D441" s="194" t="s">
        <v>2535</v>
      </c>
      <c r="E441" s="194" t="s">
        <v>2545</v>
      </c>
      <c r="F441" s="312">
        <v>45239</v>
      </c>
      <c r="G441" s="194"/>
      <c r="H441" s="194"/>
      <c r="I441" s="195"/>
      <c r="J441" s="195"/>
      <c r="K441" s="194"/>
      <c r="L441" s="194"/>
      <c r="M441" s="195" t="s">
        <v>1808</v>
      </c>
      <c r="N441" s="194"/>
      <c r="O441" s="194"/>
      <c r="P441" s="194"/>
      <c r="Q441" s="194" t="s">
        <v>240</v>
      </c>
      <c r="R441" s="194"/>
      <c r="S441" s="194"/>
      <c r="T441" s="194"/>
      <c r="U441" s="194"/>
      <c r="V441" s="194" t="s">
        <v>1275</v>
      </c>
      <c r="W441" s="194" t="s">
        <v>535</v>
      </c>
      <c r="X441" s="194"/>
      <c r="Y441" s="194" t="str">
        <f ca="1">IF(I441&lt;&gt;"",IF(I441&lt;=TODAY(),IF(OR(N441="REPROGRAMADA",N441="SUSPENDIDA",N441="EXCLUSION",N441="COLEGIADO"),"NO HECHA",IF(N441=" ","SINRESULTADO","SI")),"NO"),IF(N441="EXCLUSION","NO HECHA","LIMBO"))</f>
        <v>LIMBO</v>
      </c>
      <c r="Z441" s="194" t="str">
        <f>IF($Z$1=I441,"DIASOL", "DIANOSOL")</f>
        <v>DIANOSOL</v>
      </c>
      <c r="AA441" s="194"/>
      <c r="AB441" s="194" t="s">
        <v>2546</v>
      </c>
      <c r="AC441" s="194" t="str">
        <f>IF(H441=$M$1,"SI","NO")</f>
        <v>NO</v>
      </c>
      <c r="AD441" s="194"/>
      <c r="AE441" s="312">
        <v>45239</v>
      </c>
      <c r="AF441" s="194"/>
      <c r="AG441" s="194" t="str">
        <f>IF(COUNTIF(C441,"*preso*")&gt;0,"SI","NO")</f>
        <v>NO</v>
      </c>
      <c r="AH441" s="194">
        <f>NroOrden(N441)</f>
        <v>99</v>
      </c>
      <c r="AI441" s="194"/>
      <c r="AJ441" s="194" t="str">
        <f ca="1">IF(OR(Y441="NO",Y441="LIMBO"),"IMP","NOIMP")</f>
        <v>IMP</v>
      </c>
    </row>
    <row r="442" spans="1:36" ht="60.75" customHeight="1">
      <c r="A442" s="194">
        <v>423</v>
      </c>
      <c r="B442" s="195" t="s">
        <v>2537</v>
      </c>
      <c r="C442" s="196"/>
      <c r="D442" s="194" t="s">
        <v>2536</v>
      </c>
      <c r="E442" s="194" t="s">
        <v>2541</v>
      </c>
      <c r="F442" s="312">
        <v>45243</v>
      </c>
      <c r="G442" s="194"/>
      <c r="H442" s="194"/>
      <c r="I442" s="195"/>
      <c r="J442" s="195"/>
      <c r="K442" s="194"/>
      <c r="L442" s="194"/>
      <c r="M442" s="195" t="s">
        <v>328</v>
      </c>
      <c r="N442" s="194"/>
      <c r="O442" s="194"/>
      <c r="P442" s="194"/>
      <c r="Q442" s="194" t="s">
        <v>240</v>
      </c>
      <c r="R442" s="194"/>
      <c r="S442" s="194"/>
      <c r="T442" s="194"/>
      <c r="U442" s="194"/>
      <c r="V442" s="194" t="s">
        <v>191</v>
      </c>
      <c r="W442" s="194"/>
      <c r="X442" s="194"/>
      <c r="Y442" s="194" t="str">
        <f ca="1">IF(I442&lt;&gt;"",IF(I442&lt;=TODAY(),IF(OR(N442="REPROGRAMADA",N442="SUSPENDIDA",N442="EXCLUSION",N442="COLEGIADO"),"NO HECHA",IF(N442=" ","SINRESULTADO","SI")),"NO"),IF(N442="EXCLUSION","NO HECHA","LIMBO"))</f>
        <v>LIMBO</v>
      </c>
      <c r="Z442" s="194" t="str">
        <f>IF($Z$1=I442,"DIASOL", "DIANOSOL")</f>
        <v>DIANOSOL</v>
      </c>
      <c r="AA442" s="194"/>
      <c r="AB442" s="194" t="s">
        <v>2542</v>
      </c>
      <c r="AC442" s="194" t="str">
        <f>IF(H442=$M$1,"SI","NO")</f>
        <v>NO</v>
      </c>
      <c r="AD442" s="194"/>
      <c r="AE442" s="312">
        <v>45243</v>
      </c>
      <c r="AF442" s="194"/>
      <c r="AG442" s="194" t="str">
        <f>IF(COUNTIF(C442,"*preso*")&gt;0,"SI","NO")</f>
        <v>NO</v>
      </c>
      <c r="AH442" s="194">
        <f>NroOrden(N442)</f>
        <v>99</v>
      </c>
      <c r="AI442" s="194"/>
      <c r="AJ442" s="194" t="str">
        <f ca="1">IF(OR(Y442="NO",Y442="LIMBO"),"IMP","NOIMP")</f>
        <v>IMP</v>
      </c>
    </row>
    <row r="443" spans="1:36" ht="39.950000000000003" customHeight="1">
      <c r="A443" s="194">
        <v>424</v>
      </c>
      <c r="B443" s="195" t="s">
        <v>2547</v>
      </c>
      <c r="C443" s="196"/>
      <c r="D443" s="194" t="s">
        <v>2548</v>
      </c>
      <c r="E443" s="194" t="s">
        <v>2549</v>
      </c>
      <c r="F443" s="312">
        <v>45245</v>
      </c>
      <c r="G443" s="194" t="s">
        <v>2567</v>
      </c>
      <c r="H443" s="194"/>
      <c r="I443" s="195"/>
      <c r="J443" s="195"/>
      <c r="K443" s="194"/>
      <c r="L443" s="194"/>
      <c r="M443" s="195" t="s">
        <v>1805</v>
      </c>
      <c r="N443" s="194"/>
      <c r="O443" s="194"/>
      <c r="P443" s="194"/>
      <c r="Q443" s="194" t="s">
        <v>240</v>
      </c>
      <c r="R443" s="194"/>
      <c r="S443" s="194"/>
      <c r="T443" s="194"/>
      <c r="U443" s="194"/>
      <c r="V443" s="194" t="s">
        <v>185</v>
      </c>
      <c r="W443" s="194"/>
      <c r="X443" s="194"/>
      <c r="Y443" s="194" t="str">
        <f ca="1">IF(I443&lt;&gt;"",IF(I443&lt;=TODAY(),IF(OR(N443="REPROGRAMADA",N443="SUSPENDIDA",N443="EXCLUSION",N443="COLEGIADO"),"NO HECHA",IF(N443=" ","SINRESULTADO","SI")),"NO"),IF(N443="EXCLUSION","NO HECHA","LIMBO"))</f>
        <v>LIMBO</v>
      </c>
      <c r="Z443" s="194" t="str">
        <f>IF($Z$1=I443,"DIASOL", "DIANOSOL")</f>
        <v>DIANOSOL</v>
      </c>
      <c r="AA443" s="194"/>
      <c r="AB443" s="194" t="s">
        <v>2550</v>
      </c>
      <c r="AC443" s="194" t="str">
        <f>IF(H443=$M$1,"SI","NO")</f>
        <v>NO</v>
      </c>
      <c r="AD443" s="194"/>
      <c r="AE443" s="312">
        <v>45245</v>
      </c>
      <c r="AF443" s="194"/>
      <c r="AG443" s="194" t="str">
        <f>IF(COUNTIF(C443,"*preso*")&gt;0,"SI","NO")</f>
        <v>NO</v>
      </c>
      <c r="AH443" s="194">
        <f>NroOrden(N443)</f>
        <v>99</v>
      </c>
      <c r="AI443" s="194"/>
      <c r="AJ443" s="194" t="str">
        <f ca="1">IF(OR(Y443="NO",Y443="LIMBO"),"IMP","NOIMP")</f>
        <v>IMP</v>
      </c>
    </row>
    <row r="444" spans="1:36" ht="39.950000000000003" customHeight="1">
      <c r="A444" s="194">
        <v>426</v>
      </c>
      <c r="B444" s="195" t="s">
        <v>2552</v>
      </c>
      <c r="C444" s="196"/>
      <c r="D444" s="194" t="s">
        <v>2553</v>
      </c>
      <c r="E444" s="194" t="s">
        <v>518</v>
      </c>
      <c r="F444" s="312">
        <v>45245</v>
      </c>
      <c r="G444" s="194"/>
      <c r="H444" s="194"/>
      <c r="I444" s="195"/>
      <c r="J444" s="195"/>
      <c r="K444" s="194"/>
      <c r="L444" s="194"/>
      <c r="M444" s="195" t="s">
        <v>1802</v>
      </c>
      <c r="N444" s="194"/>
      <c r="O444" s="194"/>
      <c r="P444" s="194"/>
      <c r="Q444" s="194" t="s">
        <v>240</v>
      </c>
      <c r="R444" s="194"/>
      <c r="S444" s="194"/>
      <c r="T444" s="194"/>
      <c r="U444" s="194"/>
      <c r="V444" s="194"/>
      <c r="W444" s="194"/>
      <c r="X444" s="194"/>
      <c r="Y444" s="194" t="str">
        <f ca="1">IF(I444&lt;&gt;"",IF(I444&lt;=TODAY(),IF(OR(N444="REPROGRAMADA",N444="SUSPENDIDA",N444="EXCLUSION",N444="COLEGIADO"),"NO HECHA",IF(N444=" ","SINRESULTADO","SI")),"NO"),IF(N444="EXCLUSION","NO HECHA","LIMBO"))</f>
        <v>LIMBO</v>
      </c>
      <c r="Z444" s="194" t="str">
        <f>IF($Z$1=I444,"DIASOL", "DIANOSOL")</f>
        <v>DIANOSOL</v>
      </c>
      <c r="AA444" s="194"/>
      <c r="AB444" s="194"/>
      <c r="AC444" s="194" t="str">
        <f>IF(H444=$M$1,"SI","NO")</f>
        <v>NO</v>
      </c>
      <c r="AD444" s="194"/>
      <c r="AE444" s="312">
        <v>45245</v>
      </c>
      <c r="AF444" s="194"/>
      <c r="AG444" s="194" t="str">
        <f>IF(COUNTIF(C444,"*preso*")&gt;0,"SI","NO")</f>
        <v>NO</v>
      </c>
      <c r="AH444" s="194">
        <f>NroOrden(N444)</f>
        <v>99</v>
      </c>
      <c r="AI444" s="194"/>
      <c r="AJ444" s="194" t="str">
        <f ca="1">IF(OR(Y444="NO",Y444="LIMBO"),"IMP","NOIMP")</f>
        <v>IMP</v>
      </c>
    </row>
    <row r="445" spans="1:36" ht="39.950000000000003" customHeight="1">
      <c r="A445" s="194">
        <v>427</v>
      </c>
      <c r="B445" s="195" t="s">
        <v>2554</v>
      </c>
      <c r="C445" s="196"/>
      <c r="D445" s="194" t="s">
        <v>2574</v>
      </c>
      <c r="E445" s="194" t="s">
        <v>2575</v>
      </c>
      <c r="F445" s="312">
        <v>45245</v>
      </c>
      <c r="G445" s="194"/>
      <c r="H445" s="194"/>
      <c r="I445" s="195"/>
      <c r="J445" s="195"/>
      <c r="K445" s="194"/>
      <c r="L445" s="194"/>
      <c r="M445" s="195" t="s">
        <v>1750</v>
      </c>
      <c r="N445" s="194"/>
      <c r="O445" s="194"/>
      <c r="P445" s="194"/>
      <c r="Q445" s="194" t="s">
        <v>240</v>
      </c>
      <c r="R445" s="194"/>
      <c r="S445" s="194"/>
      <c r="T445" s="194"/>
      <c r="U445" s="194"/>
      <c r="V445" s="194"/>
      <c r="W445" s="194"/>
      <c r="X445" s="194"/>
      <c r="Y445" s="194" t="str">
        <f ca="1">IF(I445&lt;&gt;"",IF(I445&lt;=TODAY(),IF(OR(N445="REPROGRAMADA",N445="SUSPENDIDA",N445="EXCLUSION",N445="COLEGIADO"),"NO HECHA",IF(N445=" ","SINRESULTADO","SI")),"NO"),IF(N445="EXCLUSION","NO HECHA","LIMBO"))</f>
        <v>LIMBO</v>
      </c>
      <c r="Z445" s="194" t="str">
        <f>IF($Z$1=I445,"DIASOL", "DIANOSOL")</f>
        <v>DIANOSOL</v>
      </c>
      <c r="AA445" s="194"/>
      <c r="AB445" s="194"/>
      <c r="AC445" s="194" t="str">
        <f>IF(H445=$M$1,"SI","NO")</f>
        <v>NO</v>
      </c>
      <c r="AD445" s="194"/>
      <c r="AE445" s="312">
        <v>45245</v>
      </c>
      <c r="AF445" s="194"/>
      <c r="AG445" s="194" t="str">
        <f>IF(COUNTIF(C445,"*preso*")&gt;0,"SI","NO")</f>
        <v>NO</v>
      </c>
      <c r="AH445" s="194">
        <f>NroOrden(N445)</f>
        <v>99</v>
      </c>
      <c r="AI445" s="194"/>
      <c r="AJ445" s="194" t="str">
        <f ca="1">IF(OR(Y445="NO",Y445="LIMBO"),"IMP","NOIMP")</f>
        <v>IMP</v>
      </c>
    </row>
    <row r="446" spans="1:36" ht="39.950000000000003" customHeight="1">
      <c r="A446" s="194">
        <v>428</v>
      </c>
      <c r="B446" s="195" t="s">
        <v>2555</v>
      </c>
      <c r="C446" s="196"/>
      <c r="D446" s="194" t="s">
        <v>2556</v>
      </c>
      <c r="E446" s="194" t="s">
        <v>2612</v>
      </c>
      <c r="F446" s="312">
        <v>45246</v>
      </c>
      <c r="G446" s="194"/>
      <c r="H446" s="194"/>
      <c r="I446" s="195"/>
      <c r="J446" s="195"/>
      <c r="K446" s="194"/>
      <c r="L446" s="194"/>
      <c r="M446" s="195" t="s">
        <v>331</v>
      </c>
      <c r="N446" s="194"/>
      <c r="O446" s="194"/>
      <c r="P446" s="194"/>
      <c r="Q446" s="194" t="s">
        <v>240</v>
      </c>
      <c r="R446" s="194"/>
      <c r="S446" s="194"/>
      <c r="T446" s="194"/>
      <c r="U446" s="194"/>
      <c r="V446" s="194" t="s">
        <v>185</v>
      </c>
      <c r="W446" s="194"/>
      <c r="X446" s="194"/>
      <c r="Y446" s="194" t="str">
        <f ca="1">IF(I446&lt;&gt;"",IF(I446&lt;=TODAY(),IF(OR(N446="REPROGRAMADA",N446="SUSPENDIDA",N446="EXCLUSION",N446="COLEGIADO"),"NO HECHA",IF(N446=" ","SINRESULTADO","SI")),"NO"),IF(N446="EXCLUSION","NO HECHA","LIMBO"))</f>
        <v>LIMBO</v>
      </c>
      <c r="Z446" s="194" t="str">
        <f>IF($Z$1=I446,"DIASOL", "DIANOSOL")</f>
        <v>DIANOSOL</v>
      </c>
      <c r="AA446" s="194"/>
      <c r="AB446" s="194" t="s">
        <v>2613</v>
      </c>
      <c r="AC446" s="194" t="str">
        <f>IF(H446=$M$1,"SI","NO")</f>
        <v>NO</v>
      </c>
      <c r="AD446" s="194"/>
      <c r="AE446" s="312">
        <v>45245</v>
      </c>
      <c r="AF446" s="194"/>
      <c r="AG446" s="194" t="str">
        <f>IF(COUNTIF(C446,"*preso*")&gt;0,"SI","NO")</f>
        <v>NO</v>
      </c>
      <c r="AH446" s="194">
        <f>NroOrden(N446)</f>
        <v>99</v>
      </c>
      <c r="AI446" s="194"/>
      <c r="AJ446" s="194" t="str">
        <f ca="1">IF(OR(Y446="NO",Y446="LIMBO"),"IMP","NOIMP")</f>
        <v>IMP</v>
      </c>
    </row>
    <row r="447" spans="1:36" ht="39.950000000000003" customHeight="1">
      <c r="A447" s="194">
        <v>429</v>
      </c>
      <c r="B447" s="195" t="s">
        <v>2557</v>
      </c>
      <c r="C447" s="196"/>
      <c r="D447" s="194" t="s">
        <v>2558</v>
      </c>
      <c r="E447" s="194" t="s">
        <v>2614</v>
      </c>
      <c r="F447" s="312">
        <v>45246</v>
      </c>
      <c r="G447" s="194"/>
      <c r="H447" s="194"/>
      <c r="I447" s="195"/>
      <c r="J447" s="195"/>
      <c r="K447" s="194"/>
      <c r="L447" s="194"/>
      <c r="M447" s="195" t="s">
        <v>1808</v>
      </c>
      <c r="N447" s="194"/>
      <c r="O447" s="194"/>
      <c r="P447" s="194"/>
      <c r="Q447" s="194" t="s">
        <v>240</v>
      </c>
      <c r="R447" s="194"/>
      <c r="S447" s="194"/>
      <c r="T447" s="194"/>
      <c r="U447" s="194"/>
      <c r="V447" s="194" t="s">
        <v>913</v>
      </c>
      <c r="W447" s="194"/>
      <c r="X447" s="194"/>
      <c r="Y447" s="194" t="str">
        <f ca="1">IF(I447&lt;&gt;"",IF(I447&lt;=TODAY(),IF(OR(N447="REPROGRAMADA",N447="SUSPENDIDA",N447="EXCLUSION",N447="COLEGIADO"),"NO HECHA",IF(N447=" ","SINRESULTADO","SI")),"NO"),IF(N447="EXCLUSION","NO HECHA","LIMBO"))</f>
        <v>LIMBO</v>
      </c>
      <c r="Z447" s="194" t="str">
        <f>IF($Z$1=I447,"DIASOL", "DIANOSOL")</f>
        <v>DIANOSOL</v>
      </c>
      <c r="AA447" s="194"/>
      <c r="AB447" s="194" t="s">
        <v>2615</v>
      </c>
      <c r="AC447" s="194" t="str">
        <f>IF(H447=$M$1,"SI","NO")</f>
        <v>NO</v>
      </c>
      <c r="AD447" s="194"/>
      <c r="AE447" s="312">
        <v>45246</v>
      </c>
      <c r="AF447" s="194"/>
      <c r="AG447" s="194" t="str">
        <f>IF(COUNTIF(C447,"*preso*")&gt;0,"SI","NO")</f>
        <v>NO</v>
      </c>
      <c r="AH447" s="194">
        <f>NroOrden(N447)</f>
        <v>99</v>
      </c>
      <c r="AI447" s="194"/>
      <c r="AJ447" s="194" t="str">
        <f ca="1">IF(OR(Y447="NO",Y447="LIMBO"),"IMP","NOIMP")</f>
        <v>IMP</v>
      </c>
    </row>
    <row r="448" spans="1:36" ht="63" customHeight="1">
      <c r="A448" s="194">
        <v>430</v>
      </c>
      <c r="B448" s="195" t="s">
        <v>2559</v>
      </c>
      <c r="C448" s="196"/>
      <c r="D448" s="194" t="s">
        <v>2560</v>
      </c>
      <c r="E448" s="194" t="s">
        <v>2576</v>
      </c>
      <c r="F448" s="312">
        <v>45246</v>
      </c>
      <c r="G448" s="194" t="s">
        <v>2577</v>
      </c>
      <c r="H448" s="194"/>
      <c r="I448" s="195"/>
      <c r="J448" s="195"/>
      <c r="K448" s="194"/>
      <c r="L448" s="194"/>
      <c r="M448" s="195" t="s">
        <v>1802</v>
      </c>
      <c r="N448" s="194"/>
      <c r="O448" s="194"/>
      <c r="P448" s="194"/>
      <c r="Q448" s="194" t="s">
        <v>240</v>
      </c>
      <c r="R448" s="194"/>
      <c r="S448" s="194"/>
      <c r="T448" s="194"/>
      <c r="U448" s="194"/>
      <c r="V448" s="194" t="s">
        <v>1281</v>
      </c>
      <c r="W448" s="194" t="s">
        <v>133</v>
      </c>
      <c r="X448" s="194"/>
      <c r="Y448" s="194" t="str">
        <f ca="1">IF(I448&lt;&gt;"",IF(I448&lt;=TODAY(),IF(OR(N448="REPROGRAMADA",N448="SUSPENDIDA",N448="EXCLUSION",N448="COLEGIADO"),"NO HECHA",IF(N448=" ","SINRESULTADO","SI")),"NO"),IF(N448="EXCLUSION","NO HECHA","LIMBO"))</f>
        <v>LIMBO</v>
      </c>
      <c r="Z448" s="194" t="str">
        <f>IF($Z$1=I448,"DIASOL", "DIANOSOL")</f>
        <v>DIANOSOL</v>
      </c>
      <c r="AA448" s="194"/>
      <c r="AB448" s="194" t="s">
        <v>2578</v>
      </c>
      <c r="AC448" s="194" t="str">
        <f>IF(H448=$M$1,"SI","NO")</f>
        <v>NO</v>
      </c>
      <c r="AD448" s="194"/>
      <c r="AE448" s="312">
        <v>45246</v>
      </c>
      <c r="AF448" s="194"/>
      <c r="AG448" s="194" t="str">
        <f>IF(COUNTIF(C448,"*preso*")&gt;0,"SI","NO")</f>
        <v>NO</v>
      </c>
      <c r="AH448" s="194">
        <f>NroOrden(N448)</f>
        <v>99</v>
      </c>
      <c r="AI448" s="194"/>
      <c r="AJ448" s="194" t="str">
        <f ca="1">IF(OR(Y448="NO",Y448="LIMBO"),"IMP","NOIMP")</f>
        <v>IMP</v>
      </c>
    </row>
    <row r="449" spans="1:36" ht="39.950000000000003" customHeight="1">
      <c r="A449" s="194">
        <v>431</v>
      </c>
      <c r="B449" s="195" t="s">
        <v>2561</v>
      </c>
      <c r="C449" s="196"/>
      <c r="D449" s="194" t="s">
        <v>2562</v>
      </c>
      <c r="E449" s="194" t="s">
        <v>2616</v>
      </c>
      <c r="F449" s="312">
        <v>45246</v>
      </c>
      <c r="G449" s="194" t="s">
        <v>2617</v>
      </c>
      <c r="H449" s="194"/>
      <c r="I449" s="195"/>
      <c r="J449" s="195"/>
      <c r="K449" s="194"/>
      <c r="L449" s="194"/>
      <c r="M449" s="195" t="s">
        <v>330</v>
      </c>
      <c r="N449" s="194"/>
      <c r="O449" s="194"/>
      <c r="P449" s="194"/>
      <c r="Q449" s="194" t="s">
        <v>240</v>
      </c>
      <c r="R449" s="194"/>
      <c r="S449" s="194"/>
      <c r="T449" s="194"/>
      <c r="U449" s="194"/>
      <c r="V449" s="194" t="s">
        <v>913</v>
      </c>
      <c r="W449" s="194" t="s">
        <v>269</v>
      </c>
      <c r="X449" s="194"/>
      <c r="Y449" s="194" t="str">
        <f ca="1">IF(I449&lt;&gt;"",IF(I449&lt;=TODAY(),IF(OR(N449="REPROGRAMADA",N449="SUSPENDIDA",N449="EXCLUSION",N449="COLEGIADO"),"NO HECHA",IF(N449=" ","SINRESULTADO","SI")),"NO"),IF(N449="EXCLUSION","NO HECHA","LIMBO"))</f>
        <v>LIMBO</v>
      </c>
      <c r="Z449" s="194" t="str">
        <f>IF($Z$1=I449,"DIASOL", "DIANOSOL")</f>
        <v>DIANOSOL</v>
      </c>
      <c r="AA449" s="194"/>
      <c r="AB449" s="194" t="s">
        <v>2618</v>
      </c>
      <c r="AC449" s="194" t="str">
        <f>IF(H449=$M$1,"SI","NO")</f>
        <v>NO</v>
      </c>
      <c r="AD449" s="194"/>
      <c r="AE449" s="312">
        <v>45246</v>
      </c>
      <c r="AF449" s="194"/>
      <c r="AG449" s="194" t="str">
        <f>IF(COUNTIF(C449,"*preso*")&gt;0,"SI","NO")</f>
        <v>NO</v>
      </c>
      <c r="AH449" s="194">
        <f>NroOrden(N449)</f>
        <v>99</v>
      </c>
      <c r="AI449" s="194"/>
      <c r="AJ449" s="194" t="str">
        <f ca="1">IF(OR(Y449="NO",Y449="LIMBO"),"IMP","NOIMP")</f>
        <v>IMP</v>
      </c>
    </row>
    <row r="450" spans="1:36" ht="142.5" customHeight="1">
      <c r="A450" s="194">
        <v>432</v>
      </c>
      <c r="B450" s="195" t="s">
        <v>2563</v>
      </c>
      <c r="C450" s="196"/>
      <c r="D450" s="194" t="s">
        <v>2564</v>
      </c>
      <c r="E450" s="194" t="s">
        <v>2620</v>
      </c>
      <c r="F450" s="312">
        <v>45251</v>
      </c>
      <c r="G450" s="194" t="s">
        <v>2617</v>
      </c>
      <c r="H450" s="194"/>
      <c r="I450" s="195"/>
      <c r="J450" s="195"/>
      <c r="K450" s="194"/>
      <c r="L450" s="194"/>
      <c r="M450" s="195" t="s">
        <v>329</v>
      </c>
      <c r="N450" s="194"/>
      <c r="O450" s="194"/>
      <c r="P450" s="194"/>
      <c r="Q450" s="194" t="s">
        <v>240</v>
      </c>
      <c r="R450" s="194"/>
      <c r="S450" s="194"/>
      <c r="T450" s="194"/>
      <c r="U450" s="194"/>
      <c r="V450" s="194" t="s">
        <v>346</v>
      </c>
      <c r="W450" s="194" t="s">
        <v>169</v>
      </c>
      <c r="X450" s="194"/>
      <c r="Y450" s="194" t="str">
        <f ca="1">IF(I450&lt;&gt;"",IF(I450&lt;=TODAY(),IF(OR(N450="REPROGRAMADA",N450="SUSPENDIDA",N450="EXCLUSION",N450="COLEGIADO"),"NO HECHA",IF(N450=" ","SINRESULTADO","SI")),"NO"),IF(N450="EXCLUSION","NO HECHA","LIMBO"))</f>
        <v>LIMBO</v>
      </c>
      <c r="Z450" s="194" t="str">
        <f>IF($Z$1=I450,"DIASOL", "DIANOSOL")</f>
        <v>DIANOSOL</v>
      </c>
      <c r="AA450" s="194"/>
      <c r="AB450" s="194" t="s">
        <v>2619</v>
      </c>
      <c r="AC450" s="194" t="str">
        <f>IF(H450=$M$1,"SI","NO")</f>
        <v>NO</v>
      </c>
      <c r="AD450" s="194"/>
      <c r="AE450" s="316">
        <v>45251</v>
      </c>
      <c r="AF450" s="194"/>
      <c r="AG450" s="194" t="str">
        <f>IF(COUNTIF(C450,"*preso*")&gt;0,"SI","NO")</f>
        <v>NO</v>
      </c>
      <c r="AH450" s="194">
        <f>NroOrden(N450)</f>
        <v>99</v>
      </c>
      <c r="AI450" s="194"/>
      <c r="AJ450" s="194" t="str">
        <f ca="1">IF(OR(Y450="NO",Y450="LIMBO"),"IMP","NOIMP")</f>
        <v>IMP</v>
      </c>
    </row>
    <row r="451" spans="1:36" ht="65.25" customHeight="1">
      <c r="A451" s="194">
        <v>433</v>
      </c>
      <c r="B451" s="195" t="s">
        <v>2565</v>
      </c>
      <c r="C451" s="196"/>
      <c r="D451" s="194" t="s">
        <v>2566</v>
      </c>
      <c r="E451" s="194" t="s">
        <v>2572</v>
      </c>
      <c r="F451" s="316">
        <v>45251</v>
      </c>
      <c r="G451" s="194" t="s">
        <v>2621</v>
      </c>
      <c r="H451" s="194"/>
      <c r="I451" s="195"/>
      <c r="J451" s="195"/>
      <c r="K451" s="194"/>
      <c r="L451" s="194"/>
      <c r="M451" s="195" t="s">
        <v>1808</v>
      </c>
      <c r="N451" s="194"/>
      <c r="O451" s="194"/>
      <c r="P451" s="194"/>
      <c r="Q451" s="194" t="s">
        <v>240</v>
      </c>
      <c r="R451" s="194"/>
      <c r="S451" s="194"/>
      <c r="T451" s="194"/>
      <c r="U451" s="194"/>
      <c r="V451" s="194" t="s">
        <v>1279</v>
      </c>
      <c r="W451" s="194"/>
      <c r="X451" s="194"/>
      <c r="Y451" s="194" t="str">
        <f ca="1">IF(I451&lt;&gt;"",IF(I451&lt;=TODAY(),IF(OR(N451="REPROGRAMADA",N451="SUSPENDIDA",N451="EXCLUSION",N451="COLEGIADO"),"NO HECHA",IF(N451=" ","SINRESULTADO","SI")),"NO"),IF(N451="EXCLUSION","NO HECHA","LIMBO"))</f>
        <v>LIMBO</v>
      </c>
      <c r="Z451" s="194" t="str">
        <f>IF($Z$1=I451,"DIASOL", "DIANOSOL")</f>
        <v>DIANOSOL</v>
      </c>
      <c r="AA451" s="194"/>
      <c r="AB451" s="194" t="s">
        <v>2573</v>
      </c>
      <c r="AC451" s="194" t="str">
        <f>IF(H451=$M$1,"SI","NO")</f>
        <v>NO</v>
      </c>
      <c r="AD451" s="194"/>
      <c r="AE451" s="316">
        <v>45251</v>
      </c>
      <c r="AF451" s="194"/>
      <c r="AG451" s="194" t="str">
        <f>IF(COUNTIF(C451,"*preso*")&gt;0,"SI","NO")</f>
        <v>NO</v>
      </c>
      <c r="AH451" s="194">
        <f>NroOrden(N451)</f>
        <v>99</v>
      </c>
      <c r="AI451" s="194"/>
      <c r="AJ451" s="194" t="str">
        <f ca="1">IF(OR(Y451="NO",Y451="LIMBO"),"IMP","NOIMP")</f>
        <v>IMP</v>
      </c>
    </row>
    <row r="452" spans="1:36" ht="69" customHeight="1">
      <c r="A452" s="194">
        <v>434</v>
      </c>
      <c r="B452" s="195" t="s">
        <v>2568</v>
      </c>
      <c r="C452" s="196"/>
      <c r="D452" s="194" t="s">
        <v>2569</v>
      </c>
      <c r="E452" s="194" t="s">
        <v>1971</v>
      </c>
      <c r="F452" s="316">
        <v>45240</v>
      </c>
      <c r="G452" s="194" t="s">
        <v>2570</v>
      </c>
      <c r="H452" s="194"/>
      <c r="I452" s="195"/>
      <c r="J452" s="195"/>
      <c r="K452" s="194"/>
      <c r="L452" s="194"/>
      <c r="M452" s="195" t="s">
        <v>1805</v>
      </c>
      <c r="N452" s="194"/>
      <c r="O452" s="194"/>
      <c r="P452" s="194"/>
      <c r="Q452" s="194" t="s">
        <v>240</v>
      </c>
      <c r="R452" s="194"/>
      <c r="S452" s="194"/>
      <c r="T452" s="194"/>
      <c r="U452" s="194"/>
      <c r="V452" s="194" t="s">
        <v>186</v>
      </c>
      <c r="W452" s="194" t="s">
        <v>535</v>
      </c>
      <c r="X452" s="194"/>
      <c r="Y452" s="194" t="str">
        <f ca="1">IF(I452&lt;&gt;"",IF(I452&lt;=TODAY(),IF(OR(N452="REPROGRAMADA",N452="SUSPENDIDA",N452="EXCLUSION",N452="COLEGIADO"),"NO HECHA",IF(N452=" ","SINRESULTADO","SI")),"NO"),IF(N452="EXCLUSION","NO HECHA","LIMBO"))</f>
        <v>LIMBO</v>
      </c>
      <c r="Z452" s="194" t="str">
        <f>IF($Z$1=I452,"DIASOL", "DIANOSOL")</f>
        <v>DIANOSOL</v>
      </c>
      <c r="AA452" s="194"/>
      <c r="AB452" s="194" t="s">
        <v>2571</v>
      </c>
      <c r="AC452" s="194" t="str">
        <f>IF(H452=$M$1,"SI","NO")</f>
        <v>NO</v>
      </c>
      <c r="AD452" s="194"/>
      <c r="AE452" s="316">
        <v>45240</v>
      </c>
      <c r="AF452" s="194"/>
      <c r="AG452" s="194" t="str">
        <f>IF(COUNTIF(C452,"*preso*")&gt;0,"SI","NO")</f>
        <v>NO</v>
      </c>
      <c r="AH452" s="194">
        <f>NroOrden(N452)</f>
        <v>99</v>
      </c>
      <c r="AI452" s="194"/>
      <c r="AJ452" s="194" t="str">
        <f ca="1">IF(OR(Y452="NO",Y452="LIMBO"),"IMP","NOIMP")</f>
        <v>IMP</v>
      </c>
    </row>
    <row r="453" spans="1:36" ht="63" customHeight="1">
      <c r="A453" s="194">
        <v>440</v>
      </c>
      <c r="B453" s="195" t="s">
        <v>2601</v>
      </c>
      <c r="C453" s="196"/>
      <c r="D453" s="194" t="s">
        <v>2602</v>
      </c>
      <c r="E453" s="194" t="s">
        <v>2603</v>
      </c>
      <c r="F453" s="316">
        <v>45254</v>
      </c>
      <c r="G453" s="274"/>
      <c r="H453" s="194"/>
      <c r="I453" s="195"/>
      <c r="J453" s="195"/>
      <c r="K453" s="194"/>
      <c r="L453" s="194"/>
      <c r="M453" s="195"/>
      <c r="N453" s="194"/>
      <c r="O453" s="194"/>
      <c r="P453" s="194"/>
      <c r="Q453" s="194" t="s">
        <v>240</v>
      </c>
      <c r="R453" s="194"/>
      <c r="S453" s="194"/>
      <c r="T453" s="194"/>
      <c r="U453" s="194"/>
      <c r="V453" s="194" t="s">
        <v>1281</v>
      </c>
      <c r="W453" s="194" t="s">
        <v>1234</v>
      </c>
      <c r="X453" s="314"/>
      <c r="Y453" s="194" t="str">
        <f ca="1">IF(I453&lt;&gt;"",IF(I453&lt;=TODAY(),IF(OR(N453="REPROGRAMADA",N453="SUSPENDIDA",N453="EXCLUSION",N453="COLEGIADO"),"NO HECHA",IF(N453=" ","SINRESULTADO","SI")),"NO"),IF(N453="EXCLUSION","NO HECHA","LIMBO"))</f>
        <v>LIMBO</v>
      </c>
      <c r="Z453" s="194" t="str">
        <f>IF($Z$1=I453,"DIASOL", "DIANOSOL")</f>
        <v>DIANOSOL</v>
      </c>
      <c r="AA453" s="194"/>
      <c r="AB453" s="194" t="s">
        <v>2604</v>
      </c>
      <c r="AC453" s="194" t="str">
        <f>IF(H453=$M$1,"SI","NO")</f>
        <v>NO</v>
      </c>
      <c r="AD453" s="194"/>
      <c r="AE453" s="194"/>
      <c r="AF453" s="316">
        <v>45254</v>
      </c>
      <c r="AG453" s="194" t="str">
        <f>IF(COUNTIF(C453,"*preso*")&gt;0,"SI","NO")</f>
        <v>NO</v>
      </c>
      <c r="AH453" s="194">
        <f>NroOrden(N453)</f>
        <v>99</v>
      </c>
      <c r="AI453" s="194" t="s">
        <v>2605</v>
      </c>
      <c r="AJ453" s="194" t="str">
        <f ca="1">IF(OR(Y453="NO",Y453="LIMBO"),"IMP","NOIMP")</f>
        <v>IMP</v>
      </c>
    </row>
    <row r="454" spans="1:36" ht="39.950000000000003" customHeight="1">
      <c r="A454" s="199">
        <v>449</v>
      </c>
      <c r="B454" s="200" t="s">
        <v>2634</v>
      </c>
      <c r="C454" s="201" t="s">
        <v>501</v>
      </c>
      <c r="D454" s="199" t="s">
        <v>2635</v>
      </c>
      <c r="E454" s="330" t="s">
        <v>2636</v>
      </c>
      <c r="F454" s="313">
        <v>45258</v>
      </c>
      <c r="G454" s="199"/>
      <c r="H454" s="199"/>
      <c r="I454" s="200"/>
      <c r="J454" s="200"/>
      <c r="K454" s="199"/>
      <c r="L454" s="199"/>
      <c r="M454" s="200" t="s">
        <v>1750</v>
      </c>
      <c r="N454" s="199"/>
      <c r="O454" s="199"/>
      <c r="P454" s="156" t="s">
        <v>2660</v>
      </c>
      <c r="Q454" s="199" t="s">
        <v>240</v>
      </c>
      <c r="R454" s="199"/>
      <c r="S454" s="199" t="s">
        <v>1946</v>
      </c>
      <c r="T454" s="199" t="s">
        <v>2638</v>
      </c>
      <c r="U454" s="199" t="s">
        <v>2639</v>
      </c>
      <c r="V454" s="199" t="s">
        <v>1128</v>
      </c>
      <c r="W454" s="199" t="s">
        <v>132</v>
      </c>
      <c r="X454" s="199"/>
      <c r="Y454" s="199" t="str">
        <f ca="1">IF(I454&lt;&gt;"",IF(I454&lt;=TODAY(),IF(OR(N454="REPROGRAMADA",N454="SUSPENDIDA",N454="EXCLUSION",N454="COLEGIADO"),"NO HECHA",IF(N454=" ","SINRESULTADO","SI")),"NO"),IF(N454="EXCLUSION","NO HECHA","LIMBO"))</f>
        <v>LIMBO</v>
      </c>
      <c r="Z454" s="199" t="str">
        <f>IF($Z$1=I454,"DIASOL", "DIANOSOL")</f>
        <v>DIANOSOL</v>
      </c>
      <c r="AA454" s="199" t="s">
        <v>737</v>
      </c>
      <c r="AB454" s="199" t="s">
        <v>2637</v>
      </c>
      <c r="AC454" s="199" t="str">
        <f>IF(H454=$M$1,"SI","NO")</f>
        <v>NO</v>
      </c>
      <c r="AD454" s="199"/>
      <c r="AE454" s="313">
        <v>45258</v>
      </c>
      <c r="AF454" s="199"/>
      <c r="AG454" s="199" t="str">
        <f>IF(COUNTIF(C454,"*preso*")&gt;0,"SI","NO")</f>
        <v>SI</v>
      </c>
      <c r="AH454" s="199">
        <f>NroOrden(N454)</f>
        <v>99</v>
      </c>
      <c r="AI454" s="199"/>
      <c r="AJ454" s="199" t="str">
        <f ca="1">IF(OR(Y454="NO",Y454="LIMBO"),"IMP","NOIMP")</f>
        <v>IMP</v>
      </c>
    </row>
    <row r="455" spans="1:36" ht="39.950000000000003" customHeight="1">
      <c r="A455" s="199">
        <v>452</v>
      </c>
      <c r="B455" s="200" t="s">
        <v>2664</v>
      </c>
      <c r="C455" s="201" t="s">
        <v>501</v>
      </c>
      <c r="D455" s="199" t="s">
        <v>2665</v>
      </c>
      <c r="E455" s="199" t="s">
        <v>2666</v>
      </c>
      <c r="F455" s="313">
        <v>45259</v>
      </c>
      <c r="G455" s="199"/>
      <c r="H455" s="199"/>
      <c r="I455" s="200"/>
      <c r="J455" s="200"/>
      <c r="K455" s="199"/>
      <c r="L455" s="199"/>
      <c r="M455" s="200" t="s">
        <v>1802</v>
      </c>
      <c r="N455" s="199"/>
      <c r="O455" s="199"/>
      <c r="P455" s="199"/>
      <c r="Q455" s="199" t="s">
        <v>240</v>
      </c>
      <c r="R455" s="199"/>
      <c r="S455" s="199" t="s">
        <v>1946</v>
      </c>
      <c r="T455" s="199" t="s">
        <v>2668</v>
      </c>
      <c r="U455" s="199" t="s">
        <v>2669</v>
      </c>
      <c r="V455" s="199" t="s">
        <v>1275</v>
      </c>
      <c r="W455" s="199" t="s">
        <v>269</v>
      </c>
      <c r="X455" s="199"/>
      <c r="Y455" s="199" t="str">
        <f ca="1">IF(I455&lt;&gt;"",IF(I455&lt;=TODAY(),IF(OR(N455="REPROGRAMADA",N455="SUSPENDIDA",N455="EXCLUSION",N455="COLEGIADO"),"NO HECHA",IF(N455=" ","SINRESULTADO","SI")),"NO"),IF(N455="EXCLUSION","NO HECHA","LIMBO"))</f>
        <v>LIMBO</v>
      </c>
      <c r="Z455" s="199" t="str">
        <f>IF($Z$1=I455,"DIASOL", "DIANOSOL")</f>
        <v>DIANOSOL</v>
      </c>
      <c r="AA455" s="199"/>
      <c r="AB455" s="199" t="s">
        <v>2667</v>
      </c>
      <c r="AC455" s="199" t="str">
        <f>IF(H455=$M$1,"SI","NO")</f>
        <v>NO</v>
      </c>
      <c r="AD455" s="199"/>
      <c r="AE455" s="313">
        <v>45259</v>
      </c>
      <c r="AF455" s="199"/>
      <c r="AG455" s="199" t="str">
        <f>IF(COUNTIF(C455,"*preso*")&gt;0,"SI","NO")</f>
        <v>SI</v>
      </c>
      <c r="AH455" s="199">
        <f>NroOrden(N455)</f>
        <v>99</v>
      </c>
      <c r="AI455" s="199"/>
      <c r="AJ455" s="199" t="str">
        <f ca="1">IF(OR(Y455="NO",Y455="LIMBO"),"IMP","NOIMP")</f>
        <v>IMP</v>
      </c>
    </row>
    <row r="456" spans="1:36" ht="39.950000000000003" customHeight="1">
      <c r="A456" s="194">
        <v>453</v>
      </c>
      <c r="B456" s="195" t="s">
        <v>2670</v>
      </c>
      <c r="C456" s="196"/>
      <c r="D456" s="194" t="s">
        <v>2671</v>
      </c>
      <c r="E456" s="194" t="s">
        <v>2672</v>
      </c>
      <c r="F456" s="316">
        <v>45253</v>
      </c>
      <c r="G456" s="194"/>
      <c r="H456" s="194"/>
      <c r="I456" s="195"/>
      <c r="J456" s="195"/>
      <c r="K456" s="194"/>
      <c r="L456" s="194"/>
      <c r="M456" s="195" t="s">
        <v>1802</v>
      </c>
      <c r="N456" s="194"/>
      <c r="O456" s="194"/>
      <c r="P456" s="194"/>
      <c r="Q456" s="194" t="s">
        <v>240</v>
      </c>
      <c r="R456" s="194"/>
      <c r="S456" s="194"/>
      <c r="T456" s="194"/>
      <c r="U456" s="194"/>
      <c r="V456" s="194" t="s">
        <v>191</v>
      </c>
      <c r="W456" s="194" t="s">
        <v>135</v>
      </c>
      <c r="X456" s="194"/>
      <c r="Y456" s="194" t="str">
        <f ca="1">IF(I456&lt;&gt;"",IF(I456&lt;=TODAY(),IF(OR(N456="REPROGRAMADA",N456="SUSPENDIDA",N456="EXCLUSION",N456="COLEGIADO"),"NO HECHA",IF(N456=" ","SINRESULTADO","SI")),"NO"),IF(N456="EXCLUSION","NO HECHA","LIMBO"))</f>
        <v>LIMBO</v>
      </c>
      <c r="Z456" s="194" t="str">
        <f>IF($Z$1=I456,"DIASOL", "DIANOSOL")</f>
        <v>DIANOSOL</v>
      </c>
      <c r="AA456" s="194"/>
      <c r="AB456" s="194" t="s">
        <v>2673</v>
      </c>
      <c r="AC456" s="194" t="str">
        <f>IF(H456=$M$1,"SI","NO")</f>
        <v>NO</v>
      </c>
      <c r="AD456" s="194"/>
      <c r="AE456" s="316">
        <v>45253</v>
      </c>
      <c r="AF456" s="194"/>
      <c r="AG456" s="194" t="str">
        <f>IF(COUNTIF(C456,"*preso*")&gt;0,"SI","NO")</f>
        <v>NO</v>
      </c>
      <c r="AH456" s="194">
        <f>NroOrden(N456)</f>
        <v>99</v>
      </c>
      <c r="AI456" s="194"/>
      <c r="AJ456" s="194" t="str">
        <f ca="1">IF(OR(Y456="NO",Y456="LIMBO"),"IMP","NOIMP")</f>
        <v>IMP</v>
      </c>
    </row>
    <row r="457" spans="1:36" ht="39.950000000000003" customHeight="1">
      <c r="A457" s="331">
        <v>455</v>
      </c>
      <c r="B457" s="332" t="s">
        <v>2674</v>
      </c>
      <c r="C457" s="333"/>
      <c r="D457" s="331" t="s">
        <v>2675</v>
      </c>
      <c r="E457" s="331" t="s">
        <v>1044</v>
      </c>
      <c r="F457" s="334">
        <v>45259</v>
      </c>
      <c r="G457" s="331"/>
      <c r="H457" s="331"/>
      <c r="I457" s="332"/>
      <c r="J457" s="332"/>
      <c r="K457" s="331"/>
      <c r="L457" s="331"/>
      <c r="M457" s="332" t="s">
        <v>333</v>
      </c>
      <c r="N457" s="331"/>
      <c r="O457" s="331"/>
      <c r="P457" s="331"/>
      <c r="Q457" s="331" t="s">
        <v>240</v>
      </c>
      <c r="R457" s="331"/>
      <c r="S457" s="331"/>
      <c r="T457" s="331"/>
      <c r="U457" s="331"/>
      <c r="V457" s="331" t="s">
        <v>199</v>
      </c>
      <c r="W457" s="331" t="s">
        <v>535</v>
      </c>
      <c r="X457" s="331"/>
      <c r="Y457" s="331" t="str">
        <f ca="1">IF(I457&lt;&gt;"",IF(I457&lt;=TODAY(),IF(OR(N457="REPROGRAMADA",N457="SUSPENDIDA",N457="EXCLUSION",N457="COLEGIADO"),"NO HECHA",IF(N457=" ","SINRESULTADO","SI")),"NO"),IF(N457="EXCLUSION","NO HECHA","LIMBO"))</f>
        <v>LIMBO</v>
      </c>
      <c r="Z457" s="331" t="str">
        <f>IF($Z$1=I457,"DIASOL", "DIANOSOL")</f>
        <v>DIANOSOL</v>
      </c>
      <c r="AA457" s="331"/>
      <c r="AB457" s="331" t="s">
        <v>2676</v>
      </c>
      <c r="AC457" s="331" t="str">
        <f>IF(H457=$M$1,"SI","NO")</f>
        <v>NO</v>
      </c>
      <c r="AD457" s="331"/>
      <c r="AE457" s="334">
        <v>45259</v>
      </c>
      <c r="AF457" s="331"/>
      <c r="AG457" s="331" t="str">
        <f>IF(COUNTIF(C457,"*preso*")&gt;0,"SI","NO")</f>
        <v>NO</v>
      </c>
      <c r="AH457" s="331">
        <f>NroOrden(N457)</f>
        <v>99</v>
      </c>
      <c r="AI457" s="331"/>
      <c r="AJ457" s="331" t="str">
        <f ca="1">IF(OR(Y457="NO",Y457="LIMBO"),"IMP","NOIMP")</f>
        <v>IMP</v>
      </c>
    </row>
  </sheetData>
  <sortState ref="A3:AJ457">
    <sortCondition ref="AH3:AH457"/>
    <sortCondition ref="I3:I457"/>
    <sortCondition ref="J3:J457"/>
  </sortState>
  <dataConsolidate/>
  <customSheetViews>
    <customSheetView guid="{0199CA3F-EFF7-4FF3-938A-24486AD9575F}" scale="85" showAutoFilter="1" hiddenColumns="1">
      <pane ySplit="2" topLeftCell="A285" activePane="bottomLeft" state="frozen"/>
      <selection pane="bottomLeft" activeCell="L292" sqref="L292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2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DB4207DD-4199-49C8-82A0-9B1EB1C1B792}" scale="85" showPageBreaks="1" hiddenColumns="1">
      <pane ySplit="2" topLeftCell="A248" activePane="bottomLeft" state="frozen"/>
      <selection pane="bottomLeft" activeCell="N251" sqref="N251:N254"/>
    </customSheetView>
    <customSheetView guid="{8889932B-014C-4A7A-B620-114840895FF5}" scale="70" showAutoFilter="1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70" orientation="landscape" r:id="rId3"/>
      <headerFooter alignWithMargins="0"/>
      <autoFilter ref="A2:Z292"/>
    </customSheetView>
  </customSheetViews>
  <phoneticPr fontId="1" type="noConversion"/>
  <dataValidations count="10">
    <dataValidation type="list" allowBlank="1" showInputMessage="1" showErrorMessage="1" sqref="H3:H457">
      <formula1>Valores!$A$2:$A$15</formula1>
    </dataValidation>
    <dataValidation type="list" allowBlank="1" showInputMessage="1" showErrorMessage="1" sqref="M3:M457 Q3:Q457">
      <formula1>Valores!$C$2:$C$20</formula1>
    </dataValidation>
    <dataValidation type="list" allowBlank="1" showInputMessage="1" showErrorMessage="1" sqref="K3:K457">
      <formula1>Valores!$E$2:$E$17</formula1>
    </dataValidation>
    <dataValidation type="list" allowBlank="1" showInputMessage="1" showErrorMessage="1" sqref="L3:L457">
      <formula1>Valores!$U$2:$U$7</formula1>
    </dataValidation>
    <dataValidation type="list" allowBlank="1" showInputMessage="1" showErrorMessage="1" sqref="N3:N457">
      <formula1>Valores!$Q$2:$Q$20</formula1>
    </dataValidation>
    <dataValidation type="list" allowBlank="1" showInputMessage="1" showErrorMessage="1" sqref="O3:O457">
      <formula1>Valores!$S$2:$S$17</formula1>
    </dataValidation>
    <dataValidation type="list" allowBlank="1" showInputMessage="1" showErrorMessage="1" sqref="V3:V457">
      <formula1>Valores!$G$2:$G$40</formula1>
    </dataValidation>
    <dataValidation type="list" allowBlank="1" showInputMessage="1" showErrorMessage="1" sqref="W3:W457">
      <formula1>Valores!$I$2:$I$100</formula1>
    </dataValidation>
    <dataValidation type="list" allowBlank="1" showInputMessage="1" showErrorMessage="1" sqref="X3:X457">
      <formula1>Valores!$M$2:$M$20</formula1>
    </dataValidation>
    <dataValidation type="list" allowBlank="1" showInputMessage="1" showErrorMessage="1" sqref="AA3:AA457">
      <formula1>Valores!$K$2:$K$20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75" orientation="landscape" r:id="rId4"/>
  <headerFooter alignWithMargins="0"/>
  <drawing r:id="rId5"/>
  <legacyDrawing r:id="rId6"/>
  <controls>
    <control shapeId="1152" r:id="rId7" name="GarOrigen"/>
    <control shapeId="1129" r:id="rId8" name="ComboBox2"/>
    <control shapeId="1126" r:id="rId9" name="ComboBox1"/>
  </controls>
  <extLst xmlns:x14="http://schemas.microsoft.com/office/spreadsheetml/2009/9/main">
    <ext uri="{CCE6A557-97BC-4b89-ADB6-D9C93CAAB3DF}">
      <x14:dataValidations xmlns:xm="http://schemas.microsoft.com/office/excel/2006/main" count="35">
        <x14:dataValidation type="list" showInputMessage="1" showErrorMessage="1">
          <x14:formula1>
            <xm:f>Valores!$C$2:$C$7</xm:f>
          </x14:formula1>
          <xm:sqref>M2</xm:sqref>
        </x14:dataValidation>
        <x14:dataValidation type="list" allowBlank="1" showInputMessage="1" showErrorMessage="1">
          <x14:formula1>
            <xm:f>Valores!$I$2:$I$120</xm:f>
          </x14:formula1>
          <xm:sqref>W2</xm:sqref>
        </x14:dataValidation>
        <x14:dataValidation type="list" showInputMessage="1" showErrorMessage="1">
          <x14:formula1>
            <xm:f>Valores!$Q$2:$Q$15</xm:f>
          </x14:formula1>
          <xm:sqref>N2</xm:sqref>
        </x14:dataValidation>
        <x14:dataValidation type="list" showInputMessage="1">
          <x14:formula1>
            <xm:f>Valores!$K$2:$K$10</xm:f>
          </x14:formula1>
          <xm:sqref>AA2</xm:sqref>
        </x14:dataValidation>
        <x14:dataValidation type="list" allowBlank="1" showInputMessage="1" showErrorMessage="1">
          <x14:formula1>
            <xm:f>Valores!$A$2:$A$10</xm:f>
          </x14:formula1>
          <xm:sqref>H3:H128 M1 H329</xm:sqref>
        </x14:dataValidation>
        <x14:dataValidation type="list" allowBlank="1" showInputMessage="1" showErrorMessage="1">
          <x14:formula1>
            <xm:f>Valores!$E$2:$E$15</xm:f>
          </x14:formula1>
          <xm:sqref>K3:K128 K329</xm:sqref>
        </x14:dataValidation>
        <x14:dataValidation type="list" allowBlank="1" showInputMessage="1" showErrorMessage="1">
          <x14:formula1>
            <xm:f>Valores!$G$2:$G$80</xm:f>
          </x14:formula1>
          <xm:sqref>V3:V128 V329</xm:sqref>
        </x14:dataValidation>
        <x14:dataValidation type="list" allowBlank="1" showInputMessage="1">
          <x14:formula1>
            <xm:f>Valores!$I$2:$I$90</xm:f>
          </x14:formula1>
          <xm:sqref>W3:W128 W329</xm:sqref>
        </x14:dataValidation>
        <x14:dataValidation type="list" allowBlank="1" showInputMessage="1" showErrorMessage="1">
          <x14:formula1>
            <xm:f>Valores!$M$2:$M$40</xm:f>
          </x14:formula1>
          <xm:sqref>X3:X128 X329</xm:sqref>
        </x14:dataValidation>
        <x14:dataValidation type="list" allowBlank="1" showInputMessage="1" showErrorMessage="1">
          <x14:formula1>
            <xm:f>Valores!$K$2:$K$39</xm:f>
          </x14:formula1>
          <xm:sqref>AA3:AA128 AA329</xm:sqref>
        </x14:dataValidation>
        <x14:dataValidation type="list" allowBlank="1" showInputMessage="1" showErrorMessage="1">
          <x14:formula1>
            <xm:f>Valores!$Q$2:$Q$15</xm:f>
          </x14:formula1>
          <xm:sqref>N3:N128 N329</xm:sqref>
        </x14:dataValidation>
        <x14:dataValidation type="list" allowBlank="1" showInputMessage="1" showErrorMessage="1">
          <x14:formula1>
            <xm:f>Valores!$G$2:$G$50</xm:f>
          </x14:formula1>
          <xm:sqref>V3:V17 V93:V99 V101:V128 V329</xm:sqref>
        </x14:dataValidation>
        <x14:dataValidation type="list" allowBlank="1" showInputMessage="1" showErrorMessage="1">
          <x14:formula1>
            <xm:f>Valores!$I$2:$I$65</xm:f>
          </x14:formula1>
          <xm:sqref>W3:W17 W93:W99 W101:W128 W329</xm:sqref>
        </x14:dataValidation>
        <x14:dataValidation type="list" allowBlank="1" showInputMessage="1" showErrorMessage="1">
          <x14:formula1>
            <xm:f>Valores!$M$2:$M$20</xm:f>
          </x14:formula1>
          <xm:sqref>X3:X17 X93:X99 X101:X128 X329</xm:sqref>
        </x14:dataValidation>
        <x14:dataValidation type="list" allowBlank="1" showInputMessage="1" showErrorMessage="1">
          <x14:formula1>
            <xm:f>Valores!$K$2:$K$10</xm:f>
          </x14:formula1>
          <xm:sqref>AA3:AA17 AA93:AA99 AA101:AA128 AA329</xm:sqref>
        </x14:dataValidation>
        <x14:dataValidation type="list" allowBlank="1" showInputMessage="1" showErrorMessage="1">
          <x14:formula1>
            <xm:f>Valores!$A$3:$A$10</xm:f>
          </x14:formula1>
          <xm:sqref>H18:H92 H100</xm:sqref>
        </x14:dataValidation>
        <x14:dataValidation type="list" allowBlank="1" showInputMessage="1" showErrorMessage="1">
          <x14:formula1>
            <xm:f>'[1]fiscalias penales'!#REF!</xm:f>
          </x14:formula1>
          <xm:sqref>V2:V79 V93:V128 V329</xm:sqref>
        </x14:dataValidation>
        <x14:dataValidation type="list" allowBlank="1" showInputMessage="1" showErrorMessage="1">
          <x14:formula1>
            <xm:f>Valores!$G$2:$G$43</xm:f>
          </x14:formula1>
          <xm:sqref>V80:V92</xm:sqref>
        </x14:dataValidation>
        <x14:dataValidation type="list" allowBlank="1" showInputMessage="1" showErrorMessage="1">
          <x14:formula1>
            <xm:f>Valores!$C$2:$C$10</xm:f>
          </x14:formula1>
          <xm:sqref>M3:M128 M329</xm:sqref>
        </x14:dataValidation>
        <x14:dataValidation type="list" allowBlank="1" showInputMessage="1" showErrorMessage="1">
          <x14:formula1>
            <xm:f>Valores!$E$2:$E$10</xm:f>
          </x14:formula1>
          <xm:sqref>K3:K128 K329</xm:sqref>
        </x14:dataValidation>
        <x14:dataValidation type="list" allowBlank="1" showInputMessage="1" showErrorMessage="1">
          <x14:formula1>
            <xm:f>Valores!$I$2:$I$61</xm:f>
          </x14:formula1>
          <xm:sqref>W3:W128 W329</xm:sqref>
        </x14:dataValidation>
        <x14:dataValidation type="list" allowBlank="1" showInputMessage="1" showErrorMessage="1">
          <x14:formula1>
            <xm:f>Valores!$M$2:$M$13</xm:f>
          </x14:formula1>
          <xm:sqref>X3:X128 X329</xm:sqref>
        </x14:dataValidation>
        <x14:dataValidation type="list" allowBlank="1" showInputMessage="1" showErrorMessage="1">
          <x14:formula1>
            <xm:f>Valores!$K$2:$K$25</xm:f>
          </x14:formula1>
          <xm:sqref>AA3:AA128 AA329</xm:sqref>
        </x14:dataValidation>
        <x14:dataValidation type="list" allowBlank="1" showInputMessage="1" showErrorMessage="1">
          <x14:formula1>
            <xm:f>Valores!$Q$2:$Q$14</xm:f>
          </x14:formula1>
          <xm:sqref>N3:N128 N329</xm:sqref>
        </x14:dataValidation>
        <x14:dataValidation type="list" allowBlank="1" showInputMessage="1" showErrorMessage="1">
          <x14:formula1>
            <xm:f>Valores!$A$2:$A$15</xm:f>
          </x14:formula1>
          <xm:sqref>H2:H329</xm:sqref>
        </x14:dataValidation>
        <x14:dataValidation type="list" showInputMessage="1">
          <x14:formula1>
            <xm:f>Valores!$E$2:$E$14</xm:f>
          </x14:formula1>
          <xm:sqref>K2:K329</xm:sqref>
        </x14:dataValidation>
        <x14:dataValidation type="list" showInputMessage="1">
          <x14:formula1>
            <xm:f>Valores!$G$2:$G$50</xm:f>
          </x14:formula1>
          <xm:sqref>V2:V329</xm:sqref>
        </x14:dataValidation>
        <x14:dataValidation type="list" allowBlank="1" showInputMessage="1">
          <x14:formula1>
            <xm:f>Valores!$M$2:$M$8</xm:f>
          </x14:formula1>
          <xm:sqref>X2:X329</xm:sqref>
        </x14:dataValidation>
        <x14:dataValidation type="list" allowBlank="1" showInputMessage="1">
          <x14:formula1>
            <xm:f>Valores!$I$2:$I$120</xm:f>
          </x14:formula1>
          <xm:sqref>W3:W329</xm:sqref>
        </x14:dataValidation>
        <x14:dataValidation type="list" allowBlank="1" showInputMessage="1" showErrorMessage="1">
          <x14:formula1>
            <xm:f>Valores!$U$2:$U$10</xm:f>
          </x14:formula1>
          <xm:sqref>L3:L329</xm:sqref>
        </x14:dataValidation>
        <x14:dataValidation type="list" showInputMessage="1">
          <x14:formula1>
            <xm:f>Valores!$K$2:$K$12</xm:f>
          </x14:formula1>
          <xm:sqref>AA3:AA329</xm:sqref>
        </x14:dataValidation>
        <x14:dataValidation type="list" showInputMessage="1" showErrorMessage="1">
          <x14:formula1>
            <xm:f>Valores!$C$2:$C$15</xm:f>
          </x14:formula1>
          <xm:sqref>M3:M329</xm:sqref>
        </x14:dataValidation>
        <x14:dataValidation type="list" showInputMessage="1" showErrorMessage="1">
          <x14:formula1>
            <xm:f>Valores!$Q$2:$Q$20</xm:f>
          </x14:formula1>
          <xm:sqref>N3:N329</xm:sqref>
        </x14:dataValidation>
        <x14:dataValidation type="list" allowBlank="1" showInputMessage="1" showErrorMessage="1">
          <x14:formula1>
            <xm:f>Valores!$S$2:$S$5</xm:f>
          </x14:formula1>
          <xm:sqref>O3:O329</xm:sqref>
        </x14:dataValidation>
        <x14:dataValidation type="list" allowBlank="1" showInputMessage="1" showErrorMessage="1">
          <x14:formula1>
            <xm:f>Valores!$C$2:$C$18</xm:f>
          </x14:formula1>
          <xm:sqref>Q3:Q329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F44"/>
  <sheetViews>
    <sheetView topLeftCell="A4" workbookViewId="0">
      <selection activeCell="F7" sqref="F7"/>
    </sheetView>
  </sheetViews>
  <sheetFormatPr baseColWidth="10" defaultRowHeight="12.75"/>
  <cols>
    <col min="1" max="1" width="6.28515625" customWidth="1"/>
    <col min="2" max="2" width="35.28515625" bestFit="1" customWidth="1"/>
    <col min="3" max="3" width="29.5703125" customWidth="1"/>
  </cols>
  <sheetData>
    <row r="1" spans="2:6" ht="20.25">
      <c r="B1" s="24" t="s">
        <v>81</v>
      </c>
      <c r="C1" s="17">
        <f ca="1">TODAY()</f>
        <v>45264</v>
      </c>
    </row>
    <row r="2" spans="2:6" ht="21.95" customHeight="1">
      <c r="B2" s="345" t="s">
        <v>53</v>
      </c>
      <c r="C2" s="345"/>
    </row>
    <row r="3" spans="2:6" ht="21.95" customHeight="1">
      <c r="B3" s="10" t="s">
        <v>3</v>
      </c>
      <c r="C3" s="10" t="s">
        <v>41</v>
      </c>
    </row>
    <row r="4" spans="2:6" ht="21.95" customHeight="1">
      <c r="B4" s="135" t="s">
        <v>325</v>
      </c>
      <c r="C4" s="8">
        <f>COUNTIFS(EXPEDIENTES!H:H,B4,EXPEDIENTES!Y:Y,"NO")</f>
        <v>0</v>
      </c>
      <c r="E4" s="7"/>
    </row>
    <row r="5" spans="2:6" ht="21.95" customHeight="1">
      <c r="B5" s="135" t="s">
        <v>326</v>
      </c>
      <c r="C5" s="8">
        <f ca="1">COUNTIFS(EXPEDIENTES!H:H,B5,EXPEDIENTES!Y:Y,"NO")</f>
        <v>0</v>
      </c>
      <c r="E5" s="7"/>
    </row>
    <row r="6" spans="2:6" ht="21.95" customHeight="1">
      <c r="B6" s="135" t="s">
        <v>324</v>
      </c>
      <c r="C6" s="8">
        <f>COUNTIFS(EXPEDIENTES!H:H,B6,EXPEDIENTES!Y:Y,"NO")</f>
        <v>0</v>
      </c>
      <c r="F6" t="str">
        <f>IF(N3="EXCLUSION",1, IF(N3="SUSPENDIDA",2,IF(N3="REPROGRAMADA",3,IF(N3="COLEGIADO",4,IF(color_Celda(N3)=regrbl(93,73,116),"5",IF(color_Celda(N3)=regrbl(255,255,0),"6","7"))))))</f>
        <v>7</v>
      </c>
    </row>
    <row r="7" spans="2:6" ht="21.95" customHeight="1">
      <c r="B7" s="135" t="s">
        <v>327</v>
      </c>
      <c r="C7" s="8">
        <f>COUNTIFS(EXPEDIENTES!H:H,B7,EXPEDIENTES!Y:Y,"NO")</f>
        <v>0</v>
      </c>
    </row>
    <row r="8" spans="2:6" ht="21.95" customHeight="1">
      <c r="B8" s="22" t="s">
        <v>47</v>
      </c>
      <c r="C8" s="25">
        <f ca="1">SUM(C4:C7)</f>
        <v>0</v>
      </c>
    </row>
    <row r="9" spans="2:6" ht="21.95" customHeight="1"/>
    <row r="10" spans="2:6" ht="21.95" customHeight="1">
      <c r="B10" s="88"/>
      <c r="C10" s="89"/>
    </row>
    <row r="11" spans="2:6" ht="36.75" customHeight="1">
      <c r="B11" s="15" t="s">
        <v>1421</v>
      </c>
      <c r="C11" s="8">
        <f ca="1">COUNTIFS(EXPEDIENTES!Y:Y,"LIMBO",EXPEDIENTES!I:I,"")</f>
        <v>51</v>
      </c>
    </row>
    <row r="12" spans="2:6" ht="21.95" customHeight="1"/>
    <row r="13" spans="2:6" ht="9.9499999999999993" customHeight="1">
      <c r="B13" s="90"/>
      <c r="C13" s="91"/>
    </row>
    <row r="14" spans="2:6" ht="21.95" customHeight="1">
      <c r="B14" s="346" t="s">
        <v>64</v>
      </c>
      <c r="C14" s="347"/>
    </row>
    <row r="15" spans="2:6" ht="21.95" customHeight="1">
      <c r="B15" s="10" t="s">
        <v>3</v>
      </c>
      <c r="C15" s="10" t="s">
        <v>41</v>
      </c>
    </row>
    <row r="16" spans="2:6" ht="21" customHeight="1">
      <c r="B16" s="135" t="s">
        <v>325</v>
      </c>
      <c r="C16" s="8">
        <f>COUNTIF(EXPEDIENTES!H:H,B16)</f>
        <v>0</v>
      </c>
    </row>
    <row r="17" spans="2:3" ht="21.95" customHeight="1">
      <c r="B17" s="135" t="s">
        <v>326</v>
      </c>
      <c r="C17" s="8">
        <f>COUNTIF(EXPEDIENTES!H:H,B17)</f>
        <v>1</v>
      </c>
    </row>
    <row r="18" spans="2:3" ht="21.95" customHeight="1">
      <c r="B18" s="135" t="s">
        <v>324</v>
      </c>
      <c r="C18" s="8">
        <f>COUNTIF(EXPEDIENTES!H:H,B18)</f>
        <v>0</v>
      </c>
    </row>
    <row r="19" spans="2:3" ht="21.95" customHeight="1">
      <c r="B19" s="135" t="s">
        <v>327</v>
      </c>
      <c r="C19" s="8">
        <f>COUNTIF(EXPEDIENTES!H:H,B19)</f>
        <v>0</v>
      </c>
    </row>
    <row r="20" spans="2:3" ht="21.95" customHeight="1">
      <c r="B20" s="22" t="s">
        <v>45</v>
      </c>
      <c r="C20" s="25">
        <f>SUM(C16:C19)</f>
        <v>1</v>
      </c>
    </row>
    <row r="21" spans="2:3" ht="21.95" customHeight="1"/>
    <row r="22" spans="2:3" ht="21.95" customHeight="1">
      <c r="B22" s="345" t="s">
        <v>65</v>
      </c>
      <c r="C22" s="345"/>
    </row>
    <row r="23" spans="2:3" ht="21.95" customHeight="1">
      <c r="B23" s="10" t="s">
        <v>3</v>
      </c>
      <c r="C23" s="10" t="s">
        <v>41</v>
      </c>
    </row>
    <row r="24" spans="2:3" ht="21.95" customHeight="1">
      <c r="B24" s="135" t="s">
        <v>325</v>
      </c>
      <c r="C24" s="8">
        <f>COUNTIFS(EXPEDIENTES!H:H,B24,EXPEDIENTES!Y:Y,"SI")</f>
        <v>0</v>
      </c>
    </row>
    <row r="25" spans="2:3" ht="21.95" customHeight="1">
      <c r="B25" s="135" t="s">
        <v>326</v>
      </c>
      <c r="C25" s="8">
        <f ca="1">COUNTIFS(EXPEDIENTES!H:H,B25,EXPEDIENTES!Y:Y,"SI")</f>
        <v>1</v>
      </c>
    </row>
    <row r="26" spans="2:3" ht="21.95" customHeight="1">
      <c r="B26" s="135" t="s">
        <v>324</v>
      </c>
      <c r="C26" s="8">
        <f>COUNTIFS(EXPEDIENTES!H:H,B26,EXPEDIENTES!Y:Y,"SI")</f>
        <v>0</v>
      </c>
    </row>
    <row r="27" spans="2:3" ht="21.95" customHeight="1">
      <c r="B27" s="135" t="s">
        <v>327</v>
      </c>
      <c r="C27" s="8">
        <f>COUNTIFS(EXPEDIENTES!H:H,B27,EXPEDIENTES!Y:Y,"SI")</f>
        <v>0</v>
      </c>
    </row>
    <row r="28" spans="2:3" ht="21.95" customHeight="1">
      <c r="B28" s="82" t="s">
        <v>46</v>
      </c>
      <c r="C28" s="83">
        <f ca="1">SUM(C24:C27)</f>
        <v>1</v>
      </c>
    </row>
    <row r="29" spans="2:3" ht="21.95" customHeight="1"/>
    <row r="30" spans="2:3" ht="21.95" customHeight="1"/>
    <row r="31" spans="2:3" ht="24.95" customHeight="1">
      <c r="B31" s="11"/>
      <c r="C31" s="11"/>
    </row>
    <row r="32" spans="2:3" ht="24.95" customHeight="1"/>
    <row r="33" ht="24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customSheetViews>
    <customSheetView guid="{0199CA3F-EFF7-4FF3-938A-24486AD9575F}" scale="70" showPageBreaks="1">
      <selection activeCell="E15" sqref="E15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 topLeftCell="A4">
      <selection activeCell="B31" sqref="B31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 scale="70">
      <selection activeCell="C4" sqref="C4"/>
    </customSheetView>
    <customSheetView guid="{8889932B-014C-4A7A-B620-114840895FF5}">
      <selection activeCell="C23" sqref="C23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22:C22"/>
    <mergeCell ref="B14:C14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2"/>
  <dimension ref="A1:U100"/>
  <sheetViews>
    <sheetView topLeftCell="K1" zoomScale="80" zoomScaleNormal="80" workbookViewId="0">
      <selection activeCell="S10" sqref="S10"/>
    </sheetView>
  </sheetViews>
  <sheetFormatPr baseColWidth="10" defaultRowHeight="12.75"/>
  <cols>
    <col min="1" max="1" width="21.7109375" bestFit="1" customWidth="1"/>
    <col min="2" max="2" width="23.7109375" customWidth="1"/>
    <col min="3" max="3" width="19" bestFit="1" customWidth="1"/>
    <col min="5" max="5" width="19.5703125" bestFit="1" customWidth="1"/>
    <col min="7" max="7" width="37.85546875" style="119" bestFit="1" customWidth="1"/>
    <col min="8" max="8" width="40" customWidth="1"/>
    <col min="9" max="9" width="44.5703125" bestFit="1" customWidth="1"/>
    <col min="11" max="11" width="29.42578125" bestFit="1" customWidth="1"/>
    <col min="13" max="13" width="24.140625" bestFit="1" customWidth="1"/>
    <col min="15" max="15" width="25.28515625" bestFit="1" customWidth="1"/>
    <col min="17" max="17" width="42.85546875" bestFit="1" customWidth="1"/>
    <col min="19" max="19" width="67.140625" bestFit="1" customWidth="1"/>
    <col min="21" max="21" width="16" bestFit="1" customWidth="1"/>
  </cols>
  <sheetData>
    <row r="1" spans="1:21" ht="13.5" thickBot="1">
      <c r="A1" s="117" t="s">
        <v>312</v>
      </c>
      <c r="B1" s="7" t="s">
        <v>1646</v>
      </c>
      <c r="C1" s="117" t="s">
        <v>322</v>
      </c>
      <c r="E1" s="117" t="s">
        <v>20</v>
      </c>
      <c r="G1" s="118" t="s">
        <v>93</v>
      </c>
      <c r="I1" s="117" t="s">
        <v>334</v>
      </c>
      <c r="K1" s="117" t="s">
        <v>335</v>
      </c>
      <c r="M1" s="117" t="s">
        <v>315</v>
      </c>
      <c r="O1" s="117" t="s">
        <v>336</v>
      </c>
      <c r="Q1" s="117" t="s">
        <v>217</v>
      </c>
      <c r="R1" s="7" t="s">
        <v>2038</v>
      </c>
      <c r="S1" s="133" t="s">
        <v>2033</v>
      </c>
      <c r="U1" s="133" t="s">
        <v>1657</v>
      </c>
    </row>
    <row r="2" spans="1:21">
      <c r="A2" s="7" t="s">
        <v>1638</v>
      </c>
      <c r="B2" s="7" t="s">
        <v>325</v>
      </c>
      <c r="C2" s="7" t="s">
        <v>328</v>
      </c>
      <c r="E2" s="7" t="s">
        <v>362</v>
      </c>
      <c r="G2" s="42" t="s">
        <v>191</v>
      </c>
      <c r="I2" s="70" t="s">
        <v>744</v>
      </c>
      <c r="K2" s="7" t="s">
        <v>861</v>
      </c>
      <c r="M2" s="7" t="s">
        <v>605</v>
      </c>
      <c r="O2" s="7" t="s">
        <v>372</v>
      </c>
      <c r="Q2" s="7" t="s">
        <v>2030</v>
      </c>
      <c r="S2" s="7" t="s">
        <v>2036</v>
      </c>
      <c r="U2" s="7" t="s">
        <v>1658</v>
      </c>
    </row>
    <row r="3" spans="1:21">
      <c r="A3" s="7" t="s">
        <v>1637</v>
      </c>
      <c r="C3" s="7" t="s">
        <v>329</v>
      </c>
      <c r="E3" s="7" t="s">
        <v>363</v>
      </c>
      <c r="G3" s="42" t="s">
        <v>339</v>
      </c>
      <c r="I3" s="70" t="s">
        <v>141</v>
      </c>
      <c r="K3" s="120" t="s">
        <v>681</v>
      </c>
      <c r="M3" s="7" t="s">
        <v>434</v>
      </c>
      <c r="O3" s="7" t="s">
        <v>373</v>
      </c>
      <c r="Q3" s="120" t="s">
        <v>357</v>
      </c>
      <c r="S3" s="7" t="s">
        <v>2034</v>
      </c>
      <c r="U3" s="7" t="s">
        <v>1659</v>
      </c>
    </row>
    <row r="4" spans="1:21">
      <c r="A4" s="7" t="s">
        <v>1643</v>
      </c>
      <c r="C4" s="7" t="s">
        <v>330</v>
      </c>
      <c r="E4" s="7" t="s">
        <v>364</v>
      </c>
      <c r="G4" s="42" t="s">
        <v>188</v>
      </c>
      <c r="I4" s="70" t="s">
        <v>140</v>
      </c>
      <c r="K4" s="120" t="s">
        <v>737</v>
      </c>
      <c r="M4" s="7" t="s">
        <v>404</v>
      </c>
      <c r="O4" s="7" t="s">
        <v>374</v>
      </c>
      <c r="Q4" s="7" t="s">
        <v>2383</v>
      </c>
      <c r="S4" s="7" t="s">
        <v>2035</v>
      </c>
      <c r="U4" s="7" t="s">
        <v>1660</v>
      </c>
    </row>
    <row r="5" spans="1:21">
      <c r="A5" s="7" t="s">
        <v>1639</v>
      </c>
      <c r="C5" s="7" t="s">
        <v>331</v>
      </c>
      <c r="E5" s="120" t="s">
        <v>365</v>
      </c>
      <c r="G5" s="42" t="s">
        <v>189</v>
      </c>
      <c r="I5" s="42" t="s">
        <v>169</v>
      </c>
      <c r="K5" s="7" t="s">
        <v>1223</v>
      </c>
      <c r="M5" s="120" t="s">
        <v>688</v>
      </c>
      <c r="O5" s="120" t="s">
        <v>375</v>
      </c>
      <c r="Q5" s="7" t="s">
        <v>2032</v>
      </c>
      <c r="S5" s="120" t="s">
        <v>2280</v>
      </c>
      <c r="U5" s="120" t="s">
        <v>1661</v>
      </c>
    </row>
    <row r="6" spans="1:21">
      <c r="A6" s="7" t="s">
        <v>1645</v>
      </c>
      <c r="B6" s="120" t="s">
        <v>1326</v>
      </c>
      <c r="C6" s="7" t="s">
        <v>332</v>
      </c>
      <c r="E6" s="120" t="s">
        <v>1672</v>
      </c>
      <c r="G6" s="42" t="s">
        <v>190</v>
      </c>
      <c r="I6" s="70" t="s">
        <v>202</v>
      </c>
      <c r="K6" s="7" t="s">
        <v>906</v>
      </c>
      <c r="M6" s="120" t="s">
        <v>1035</v>
      </c>
      <c r="O6" s="120" t="s">
        <v>376</v>
      </c>
      <c r="Q6" s="120" t="s">
        <v>361</v>
      </c>
      <c r="S6" t="s">
        <v>2338</v>
      </c>
      <c r="U6" s="120" t="s">
        <v>1997</v>
      </c>
    </row>
    <row r="7" spans="1:21">
      <c r="A7" s="7" t="s">
        <v>1641</v>
      </c>
      <c r="B7" s="7" t="s">
        <v>324</v>
      </c>
      <c r="C7" s="7" t="s">
        <v>333</v>
      </c>
      <c r="E7" s="120" t="s">
        <v>1673</v>
      </c>
      <c r="G7" s="42" t="s">
        <v>192</v>
      </c>
      <c r="I7" s="70" t="s">
        <v>269</v>
      </c>
      <c r="K7" s="7" t="s">
        <v>738</v>
      </c>
      <c r="M7" s="120" t="s">
        <v>1229</v>
      </c>
      <c r="Q7" s="7" t="s">
        <v>2031</v>
      </c>
      <c r="S7" s="120" t="s">
        <v>2333</v>
      </c>
    </row>
    <row r="8" spans="1:21">
      <c r="A8" s="7" t="s">
        <v>1640</v>
      </c>
      <c r="C8" s="7" t="s">
        <v>2155</v>
      </c>
      <c r="D8" s="7" t="s">
        <v>1801</v>
      </c>
      <c r="E8" s="120" t="s">
        <v>1674</v>
      </c>
      <c r="G8" s="42" t="s">
        <v>193</v>
      </c>
      <c r="I8" s="70" t="s">
        <v>132</v>
      </c>
      <c r="K8" s="7" t="s">
        <v>624</v>
      </c>
      <c r="M8" s="120" t="s">
        <v>2143</v>
      </c>
      <c r="Q8" s="7" t="s">
        <v>1648</v>
      </c>
      <c r="S8" t="s">
        <v>2337</v>
      </c>
    </row>
    <row r="9" spans="1:21">
      <c r="A9" s="7" t="s">
        <v>1642</v>
      </c>
      <c r="C9" s="7" t="s">
        <v>1802</v>
      </c>
      <c r="D9" s="7" t="s">
        <v>1803</v>
      </c>
      <c r="E9" s="120" t="s">
        <v>1675</v>
      </c>
      <c r="G9" s="42" t="s">
        <v>337</v>
      </c>
      <c r="I9" s="70" t="s">
        <v>133</v>
      </c>
      <c r="K9" s="7" t="s">
        <v>1129</v>
      </c>
      <c r="M9" s="120" t="s">
        <v>2269</v>
      </c>
      <c r="Q9" s="7" t="s">
        <v>355</v>
      </c>
      <c r="S9" s="120" t="s">
        <v>2336</v>
      </c>
    </row>
    <row r="10" spans="1:21">
      <c r="A10" s="7" t="s">
        <v>1644</v>
      </c>
      <c r="B10" s="7" t="s">
        <v>327</v>
      </c>
      <c r="C10" s="7" t="s">
        <v>1750</v>
      </c>
      <c r="D10" s="7" t="s">
        <v>1804</v>
      </c>
      <c r="E10" s="120" t="s">
        <v>1662</v>
      </c>
      <c r="G10" s="42" t="s">
        <v>1951</v>
      </c>
      <c r="I10" s="70" t="s">
        <v>116</v>
      </c>
      <c r="K10" s="7" t="s">
        <v>1714</v>
      </c>
      <c r="M10" s="120" t="s">
        <v>2290</v>
      </c>
      <c r="Q10" s="120" t="s">
        <v>356</v>
      </c>
      <c r="S10" s="120" t="s">
        <v>2331</v>
      </c>
    </row>
    <row r="11" spans="1:21">
      <c r="A11" s="7" t="s">
        <v>1671</v>
      </c>
      <c r="B11" s="7" t="s">
        <v>326</v>
      </c>
      <c r="C11" s="7" t="s">
        <v>1805</v>
      </c>
      <c r="D11" s="7" t="s">
        <v>1806</v>
      </c>
      <c r="E11" s="120" t="s">
        <v>1938</v>
      </c>
      <c r="G11" s="42" t="s">
        <v>199</v>
      </c>
      <c r="I11" s="70" t="s">
        <v>117</v>
      </c>
      <c r="K11" s="7" t="s">
        <v>982</v>
      </c>
      <c r="M11" s="120" t="s">
        <v>2393</v>
      </c>
      <c r="Q11" s="7" t="s">
        <v>378</v>
      </c>
      <c r="S11" s="120" t="s">
        <v>2332</v>
      </c>
    </row>
    <row r="12" spans="1:21">
      <c r="C12" s="7" t="s">
        <v>1807</v>
      </c>
      <c r="D12" s="7" t="s">
        <v>1806</v>
      </c>
      <c r="E12" s="120" t="s">
        <v>2130</v>
      </c>
      <c r="G12" s="42" t="s">
        <v>1279</v>
      </c>
      <c r="H12" s="7" t="s">
        <v>1280</v>
      </c>
      <c r="I12" s="70" t="s">
        <v>118</v>
      </c>
      <c r="M12" s="120" t="s">
        <v>2394</v>
      </c>
      <c r="Q12" s="120" t="s">
        <v>359</v>
      </c>
      <c r="S12" s="120" t="s">
        <v>2335</v>
      </c>
    </row>
    <row r="13" spans="1:21">
      <c r="C13" s="7" t="s">
        <v>1808</v>
      </c>
      <c r="D13" s="7" t="s">
        <v>1806</v>
      </c>
      <c r="E13" s="120" t="s">
        <v>1826</v>
      </c>
      <c r="G13" s="42" t="s">
        <v>181</v>
      </c>
      <c r="I13" s="70" t="s">
        <v>119</v>
      </c>
      <c r="Q13" s="7" t="s">
        <v>1647</v>
      </c>
      <c r="S13" s="120" t="s">
        <v>2334</v>
      </c>
    </row>
    <row r="14" spans="1:21">
      <c r="C14" t="s">
        <v>1788</v>
      </c>
      <c r="E14" s="120" t="s">
        <v>2117</v>
      </c>
      <c r="G14" s="41" t="s">
        <v>182</v>
      </c>
      <c r="I14" s="70" t="s">
        <v>136</v>
      </c>
      <c r="Q14" s="7" t="s">
        <v>354</v>
      </c>
      <c r="S14" s="120" t="s">
        <v>2284</v>
      </c>
    </row>
    <row r="15" spans="1:21">
      <c r="E15" s="120" t="s">
        <v>2131</v>
      </c>
      <c r="G15" s="42" t="s">
        <v>183</v>
      </c>
      <c r="I15" s="70" t="s">
        <v>134</v>
      </c>
      <c r="Q15" s="7" t="s">
        <v>1387</v>
      </c>
      <c r="S15" s="120" t="s">
        <v>2316</v>
      </c>
    </row>
    <row r="16" spans="1:21">
      <c r="E16" s="120" t="s">
        <v>1827</v>
      </c>
      <c r="G16" s="41" t="s">
        <v>184</v>
      </c>
      <c r="I16" s="70" t="s">
        <v>1046</v>
      </c>
      <c r="Q16" s="120" t="s">
        <v>358</v>
      </c>
      <c r="S16" s="120" t="s">
        <v>2538</v>
      </c>
    </row>
    <row r="17" spans="5:19">
      <c r="E17" s="120" t="s">
        <v>403</v>
      </c>
      <c r="G17" s="41" t="s">
        <v>185</v>
      </c>
      <c r="I17" s="70" t="s">
        <v>535</v>
      </c>
      <c r="Q17" s="7" t="s">
        <v>2029</v>
      </c>
      <c r="S17" s="120"/>
    </row>
    <row r="18" spans="5:19">
      <c r="G18" s="42" t="s">
        <v>913</v>
      </c>
      <c r="I18" s="70" t="s">
        <v>135</v>
      </c>
      <c r="Q18" s="7" t="s">
        <v>353</v>
      </c>
      <c r="S18" s="120"/>
    </row>
    <row r="19" spans="5:19">
      <c r="G19" s="42" t="s">
        <v>1127</v>
      </c>
      <c r="I19" s="70" t="s">
        <v>674</v>
      </c>
    </row>
    <row r="20" spans="5:19">
      <c r="G20" s="42" t="s">
        <v>186</v>
      </c>
      <c r="I20" s="70" t="s">
        <v>120</v>
      </c>
      <c r="Q20" s="7"/>
    </row>
    <row r="21" spans="5:19">
      <c r="G21" s="42" t="s">
        <v>1281</v>
      </c>
      <c r="H21" s="7" t="s">
        <v>1282</v>
      </c>
      <c r="I21" s="70" t="s">
        <v>265</v>
      </c>
    </row>
    <row r="22" spans="5:19">
      <c r="G22" s="42" t="s">
        <v>1128</v>
      </c>
      <c r="I22" s="70" t="s">
        <v>112</v>
      </c>
    </row>
    <row r="23" spans="5:19">
      <c r="G23" s="42" t="s">
        <v>1275</v>
      </c>
      <c r="H23" s="7" t="s">
        <v>1276</v>
      </c>
      <c r="I23" s="70" t="s">
        <v>25</v>
      </c>
    </row>
    <row r="24" spans="5:19">
      <c r="G24" s="42" t="s">
        <v>344</v>
      </c>
      <c r="I24" s="70" t="s">
        <v>842</v>
      </c>
    </row>
    <row r="25" spans="5:19">
      <c r="G25" s="42" t="s">
        <v>345</v>
      </c>
      <c r="I25" s="70" t="s">
        <v>567</v>
      </c>
    </row>
    <row r="26" spans="5:19">
      <c r="G26" s="42" t="s">
        <v>343</v>
      </c>
      <c r="I26" s="70" t="s">
        <v>245</v>
      </c>
    </row>
    <row r="27" spans="5:19">
      <c r="G27" s="42" t="s">
        <v>346</v>
      </c>
      <c r="I27" s="70" t="s">
        <v>1301</v>
      </c>
    </row>
    <row r="28" spans="5:19">
      <c r="G28" s="42" t="s">
        <v>347</v>
      </c>
      <c r="I28" s="70" t="s">
        <v>719</v>
      </c>
    </row>
    <row r="29" spans="5:19">
      <c r="G29" s="42" t="s">
        <v>114</v>
      </c>
      <c r="I29" s="70" t="s">
        <v>200</v>
      </c>
    </row>
    <row r="30" spans="5:19">
      <c r="G30" s="42" t="s">
        <v>1277</v>
      </c>
      <c r="H30" s="7" t="s">
        <v>1278</v>
      </c>
      <c r="I30" s="70" t="s">
        <v>1132</v>
      </c>
    </row>
    <row r="31" spans="5:19">
      <c r="G31" s="42" t="s">
        <v>338</v>
      </c>
      <c r="I31" s="70" t="s">
        <v>263</v>
      </c>
    </row>
    <row r="32" spans="5:19">
      <c r="G32" s="42" t="s">
        <v>100</v>
      </c>
      <c r="I32" s="70" t="s">
        <v>370</v>
      </c>
    </row>
    <row r="33" spans="7:9">
      <c r="G33" s="42" t="s">
        <v>341</v>
      </c>
      <c r="I33" s="70" t="s">
        <v>1345</v>
      </c>
    </row>
    <row r="34" spans="7:9">
      <c r="G34" s="42"/>
      <c r="I34" s="70" t="s">
        <v>121</v>
      </c>
    </row>
    <row r="35" spans="7:9">
      <c r="G35" s="42"/>
      <c r="I35" s="70" t="s">
        <v>544</v>
      </c>
    </row>
    <row r="36" spans="7:9">
      <c r="G36" s="42"/>
      <c r="I36" s="70" t="s">
        <v>122</v>
      </c>
    </row>
    <row r="37" spans="7:9">
      <c r="G37" s="42"/>
      <c r="I37" s="70" t="s">
        <v>654</v>
      </c>
    </row>
    <row r="38" spans="7:9">
      <c r="G38" s="42"/>
      <c r="I38" s="70" t="s">
        <v>123</v>
      </c>
    </row>
    <row r="39" spans="7:9">
      <c r="G39" s="42"/>
      <c r="I39" s="70" t="s">
        <v>1234</v>
      </c>
    </row>
    <row r="40" spans="7:9">
      <c r="G40" s="41"/>
      <c r="I40" s="70" t="s">
        <v>634</v>
      </c>
    </row>
    <row r="41" spans="7:9">
      <c r="I41" s="70" t="s">
        <v>1222</v>
      </c>
    </row>
    <row r="42" spans="7:9">
      <c r="I42" s="70" t="s">
        <v>1174</v>
      </c>
    </row>
    <row r="43" spans="7:9">
      <c r="I43" s="70" t="s">
        <v>1159</v>
      </c>
    </row>
    <row r="44" spans="7:9">
      <c r="I44" s="7" t="s">
        <v>781</v>
      </c>
    </row>
    <row r="45" spans="7:9">
      <c r="I45" s="70" t="s">
        <v>593</v>
      </c>
    </row>
    <row r="46" spans="7:9">
      <c r="I46" s="70" t="s">
        <v>1240</v>
      </c>
    </row>
    <row r="47" spans="7:9">
      <c r="I47" s="70" t="s">
        <v>1259</v>
      </c>
    </row>
    <row r="48" spans="7:9">
      <c r="I48" t="s">
        <v>387</v>
      </c>
    </row>
    <row r="49" spans="9:9">
      <c r="I49" s="70" t="s">
        <v>124</v>
      </c>
    </row>
    <row r="50" spans="9:9">
      <c r="I50" s="70" t="s">
        <v>1204</v>
      </c>
    </row>
    <row r="51" spans="9:9">
      <c r="I51" s="70" t="s">
        <v>125</v>
      </c>
    </row>
    <row r="52" spans="9:9">
      <c r="I52" s="70" t="s">
        <v>730</v>
      </c>
    </row>
    <row r="53" spans="9:9">
      <c r="I53" s="70" t="s">
        <v>301</v>
      </c>
    </row>
    <row r="54" spans="9:9">
      <c r="I54" s="70" t="s">
        <v>179</v>
      </c>
    </row>
    <row r="55" spans="9:9">
      <c r="I55" s="70" t="s">
        <v>1755</v>
      </c>
    </row>
    <row r="56" spans="9:9">
      <c r="I56" s="70" t="s">
        <v>271</v>
      </c>
    </row>
    <row r="57" spans="9:9">
      <c r="I57" s="70" t="s">
        <v>261</v>
      </c>
    </row>
    <row r="58" spans="9:9">
      <c r="I58" s="70" t="s">
        <v>260</v>
      </c>
    </row>
    <row r="59" spans="9:9">
      <c r="I59" s="70" t="s">
        <v>262</v>
      </c>
    </row>
    <row r="60" spans="9:9">
      <c r="I60" s="70" t="s">
        <v>180</v>
      </c>
    </row>
    <row r="61" spans="9:9">
      <c r="I61" s="70" t="s">
        <v>294</v>
      </c>
    </row>
    <row r="62" spans="9:9">
      <c r="I62" s="70" t="s">
        <v>32</v>
      </c>
    </row>
    <row r="63" spans="9:9">
      <c r="I63" s="70" t="s">
        <v>1155</v>
      </c>
    </row>
    <row r="64" spans="9:9">
      <c r="I64" s="70" t="s">
        <v>899</v>
      </c>
    </row>
    <row r="65" spans="9:9">
      <c r="I65" s="70" t="s">
        <v>203</v>
      </c>
    </row>
    <row r="66" spans="9:9">
      <c r="I66" s="70" t="s">
        <v>812</v>
      </c>
    </row>
    <row r="67" spans="9:9">
      <c r="I67" s="70" t="s">
        <v>1040</v>
      </c>
    </row>
    <row r="68" spans="9:9">
      <c r="I68" s="70" t="s">
        <v>296</v>
      </c>
    </row>
    <row r="69" spans="9:9">
      <c r="I69" s="70" t="s">
        <v>1097</v>
      </c>
    </row>
    <row r="70" spans="9:9">
      <c r="I70" s="70" t="s">
        <v>264</v>
      </c>
    </row>
    <row r="71" spans="9:9">
      <c r="I71" s="70" t="s">
        <v>622</v>
      </c>
    </row>
    <row r="72" spans="9:9">
      <c r="I72" s="70" t="s">
        <v>1252</v>
      </c>
    </row>
    <row r="73" spans="9:9">
      <c r="I73" s="70" t="s">
        <v>660</v>
      </c>
    </row>
    <row r="74" spans="9:9">
      <c r="I74" s="70" t="s">
        <v>680</v>
      </c>
    </row>
    <row r="75" spans="9:9">
      <c r="I75" s="70" t="s">
        <v>1191</v>
      </c>
    </row>
    <row r="76" spans="9:9">
      <c r="I76" s="70" t="s">
        <v>726</v>
      </c>
    </row>
    <row r="77" spans="9:9">
      <c r="I77" s="40" t="s">
        <v>127</v>
      </c>
    </row>
    <row r="78" spans="9:9">
      <c r="I78" s="70" t="s">
        <v>302</v>
      </c>
    </row>
    <row r="79" spans="9:9">
      <c r="I79" s="70" t="s">
        <v>1199</v>
      </c>
    </row>
    <row r="80" spans="9:9">
      <c r="I80" s="70" t="s">
        <v>295</v>
      </c>
    </row>
    <row r="81" spans="9:9">
      <c r="I81" s="70" t="s">
        <v>1228</v>
      </c>
    </row>
    <row r="82" spans="9:9">
      <c r="I82" s="70" t="s">
        <v>128</v>
      </c>
    </row>
    <row r="83" spans="9:9">
      <c r="I83" s="70" t="s">
        <v>604</v>
      </c>
    </row>
    <row r="84" spans="9:9">
      <c r="I84" s="70" t="s">
        <v>297</v>
      </c>
    </row>
    <row r="85" spans="9:9">
      <c r="I85" s="7" t="s">
        <v>892</v>
      </c>
    </row>
    <row r="86" spans="9:9">
      <c r="I86" s="70" t="s">
        <v>818</v>
      </c>
    </row>
    <row r="87" spans="9:9">
      <c r="I87" s="70" t="s">
        <v>440</v>
      </c>
    </row>
    <row r="88" spans="9:9">
      <c r="I88" s="70" t="s">
        <v>1056</v>
      </c>
    </row>
    <row r="89" spans="9:9">
      <c r="I89" s="70" t="s">
        <v>129</v>
      </c>
    </row>
    <row r="90" spans="9:9">
      <c r="I90" s="70" t="s">
        <v>1078</v>
      </c>
    </row>
    <row r="91" spans="9:9">
      <c r="I91" s="40" t="s">
        <v>36</v>
      </c>
    </row>
    <row r="92" spans="9:9">
      <c r="I92" s="70" t="s">
        <v>130</v>
      </c>
    </row>
    <row r="93" spans="9:9">
      <c r="I93" s="70" t="s">
        <v>2063</v>
      </c>
    </row>
    <row r="94" spans="9:9">
      <c r="I94" s="70" t="s">
        <v>2071</v>
      </c>
    </row>
    <row r="95" spans="9:9">
      <c r="I95" s="70" t="s">
        <v>2115</v>
      </c>
    </row>
    <row r="96" spans="9:9">
      <c r="I96" s="70" t="s">
        <v>2227</v>
      </c>
    </row>
    <row r="97" spans="9:9">
      <c r="I97" s="70" t="s">
        <v>2268</v>
      </c>
    </row>
    <row r="98" spans="9:9">
      <c r="I98" s="70" t="s">
        <v>2289</v>
      </c>
    </row>
    <row r="99" spans="9:9">
      <c r="I99" s="70" t="s">
        <v>2497</v>
      </c>
    </row>
    <row r="100" spans="9:9">
      <c r="I100" s="70" t="s">
        <v>2509</v>
      </c>
    </row>
  </sheetData>
  <sortState ref="S6:S15">
    <sortCondition ref="S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F49"/>
  <sheetViews>
    <sheetView zoomScaleSheetLayoutView="70" workbookViewId="0">
      <selection activeCell="C25" sqref="C25"/>
    </sheetView>
  </sheetViews>
  <sheetFormatPr baseColWidth="10" defaultRowHeight="12.75"/>
  <cols>
    <col min="1" max="1" width="5.5703125" customWidth="1"/>
    <col min="2" max="2" width="42.140625" customWidth="1"/>
    <col min="3" max="3" width="37.7109375" customWidth="1"/>
    <col min="5" max="5" width="26.5703125" bestFit="1" customWidth="1"/>
  </cols>
  <sheetData>
    <row r="1" spans="2:6" ht="36.75" customHeight="1">
      <c r="B1" s="16" t="s">
        <v>81</v>
      </c>
      <c r="C1" s="17">
        <f ca="1">TODAY()</f>
        <v>45264</v>
      </c>
      <c r="D1" s="7" t="s">
        <v>1512</v>
      </c>
    </row>
    <row r="3" spans="2:6" ht="20.100000000000001" customHeight="1">
      <c r="B3" s="345" t="s">
        <v>61</v>
      </c>
      <c r="C3" s="345"/>
      <c r="E3" s="7" t="s">
        <v>1514</v>
      </c>
      <c r="F3">
        <f>COUNTIFS(EXPEDIENTES!$M:$M," ",EXPEDIENTES!$N:$N,"&lt;&gt;REPROGRAMADA",EXPEDIENTES!$N:$N,"&lt;&gt;EXCLUSION")</f>
        <v>3</v>
      </c>
    </row>
    <row r="4" spans="2:6" ht="20.100000000000001" customHeight="1">
      <c r="B4" s="9" t="s">
        <v>51</v>
      </c>
      <c r="C4" s="9" t="s">
        <v>41</v>
      </c>
    </row>
    <row r="5" spans="2:6" ht="24.95" customHeight="1">
      <c r="B5" s="8" t="s">
        <v>328</v>
      </c>
      <c r="C5" s="8">
        <f>COUNTIFS(EXPEDIENTES!$M:$M,$B5,EXPEDIENTES!$N:$N,"&lt;&gt;REPROGRAMADA",EXPEDIENTES!$N:$N,"&lt;&gt;EXCLUSION")</f>
        <v>56</v>
      </c>
      <c r="D5" s="7"/>
    </row>
    <row r="6" spans="2:6" ht="24.95" customHeight="1">
      <c r="B6" s="8" t="s">
        <v>329</v>
      </c>
      <c r="C6" s="8">
        <f>COUNTIFS(EXPEDIENTES!$M:$M,$B6,EXPEDIENTES!$N:$N,"&lt;&gt;REPROGRAMADA",EXPEDIENTES!$N:$N,"&lt;&gt;EXCLUSION")</f>
        <v>56</v>
      </c>
    </row>
    <row r="7" spans="2:6" ht="24.95" customHeight="1">
      <c r="B7" s="8" t="s">
        <v>330</v>
      </c>
      <c r="C7" s="8">
        <f>COUNTIFS(EXPEDIENTES!$M:$M,$B7,EXPEDIENTES!$N:$N,"&lt;&gt;REPROGRAMADA",EXPEDIENTES!$N:$N,"&lt;&gt;EXCLUSION")</f>
        <v>70</v>
      </c>
    </row>
    <row r="8" spans="2:6" ht="24.95" customHeight="1">
      <c r="B8" s="8" t="s">
        <v>331</v>
      </c>
      <c r="C8" s="8">
        <f>COUNTIFS(EXPEDIENTES!$M:$M,$B8,EXPEDIENTES!$N:$N,"&lt;&gt;REPROGRAMADA",EXPEDIENTES!$N:$N,"&lt;&gt;EXCLUSION")</f>
        <v>42</v>
      </c>
    </row>
    <row r="9" spans="2:6" ht="24.95" customHeight="1">
      <c r="B9" s="8" t="s">
        <v>332</v>
      </c>
      <c r="C9" s="8">
        <f>COUNTIFS(EXPEDIENTES!$M:$M,$B9,EXPEDIENTES!$N:$N,"&lt;&gt;REPROGRAMADA",EXPEDIENTES!$N:$N,"&lt;&gt;EXCLUSION")</f>
        <v>58</v>
      </c>
    </row>
    <row r="10" spans="2:6" ht="24.95" customHeight="1">
      <c r="B10" s="8" t="s">
        <v>333</v>
      </c>
      <c r="C10" s="8">
        <f>COUNTIFS(EXPEDIENTES!$M:$M,$B10,EXPEDIENTES!$N:$N,"&lt;&gt;REPROGRAMADA",EXPEDIENTES!$N:$N,"&lt;&gt;EXCLUSION")</f>
        <v>32</v>
      </c>
    </row>
    <row r="11" spans="2:6" ht="24.95" customHeight="1">
      <c r="B11" s="187" t="s">
        <v>52</v>
      </c>
      <c r="C11" s="59">
        <f>SUM(C5:C10)</f>
        <v>314</v>
      </c>
    </row>
    <row r="12" spans="2:6" ht="24.95" customHeight="1"/>
    <row r="13" spans="2:6" ht="24.95" customHeight="1">
      <c r="B13" s="346" t="s">
        <v>62</v>
      </c>
      <c r="C13" s="347"/>
    </row>
    <row r="14" spans="2:6" ht="24.95" customHeight="1">
      <c r="B14" s="9" t="s">
        <v>51</v>
      </c>
      <c r="C14" s="9" t="s">
        <v>41</v>
      </c>
    </row>
    <row r="15" spans="2:6" ht="24.95" customHeight="1">
      <c r="B15" s="8" t="s">
        <v>328</v>
      </c>
      <c r="C15" s="8">
        <f ca="1">COUNTIFS(EXPEDIENTES!M:M,$B15,EXPEDIENTES!Y:Y,"NO")</f>
        <v>4</v>
      </c>
    </row>
    <row r="16" spans="2:6" ht="20.100000000000001" customHeight="1">
      <c r="B16" s="8" t="s">
        <v>329</v>
      </c>
      <c r="C16" s="8">
        <f ca="1">COUNTIFS(EXPEDIENTES!M:M,$B16,EXPEDIENTES!Y:Y,"NO")</f>
        <v>3</v>
      </c>
    </row>
    <row r="17" spans="2:3" ht="20.100000000000001" customHeight="1">
      <c r="B17" s="8" t="s">
        <v>330</v>
      </c>
      <c r="C17" s="8">
        <f ca="1">COUNTIFS(EXPEDIENTES!M:M,$B17,EXPEDIENTES!Y:Y,"NO")</f>
        <v>6</v>
      </c>
    </row>
    <row r="18" spans="2:3" ht="20.100000000000001" customHeight="1">
      <c r="B18" s="8" t="s">
        <v>331</v>
      </c>
      <c r="C18" s="8">
        <f ca="1">COUNTIFS(EXPEDIENTES!M:M,$B18,EXPEDIENTES!Y:Y,"NO")</f>
        <v>5</v>
      </c>
    </row>
    <row r="19" spans="2:3" ht="20.100000000000001" customHeight="1">
      <c r="B19" s="8" t="s">
        <v>332</v>
      </c>
      <c r="C19" s="8">
        <f ca="1">COUNTIFS(EXPEDIENTES!M:M,$B19,EXPEDIENTES!Y:Y,"NO")</f>
        <v>11</v>
      </c>
    </row>
    <row r="20" spans="2:3" ht="24.95" customHeight="1">
      <c r="B20" s="8" t="s">
        <v>333</v>
      </c>
      <c r="C20" s="8">
        <f ca="1">COUNTIFS(EXPEDIENTES!M:M,$B20,EXPEDIENTES!Y:Y,"NO")</f>
        <v>5</v>
      </c>
    </row>
    <row r="21" spans="2:3" ht="24.95" customHeight="1">
      <c r="B21" s="187" t="s">
        <v>242</v>
      </c>
      <c r="C21" s="59">
        <f ca="1">SUM(C15:C20)</f>
        <v>34</v>
      </c>
    </row>
    <row r="22" spans="2:3" ht="24.95" customHeight="1"/>
    <row r="23" spans="2:3" ht="24.95" customHeight="1">
      <c r="B23" s="345" t="s">
        <v>63</v>
      </c>
      <c r="C23" s="345"/>
    </row>
    <row r="24" spans="2:3" ht="24.95" customHeight="1">
      <c r="B24" s="9" t="s">
        <v>51</v>
      </c>
      <c r="C24" s="9" t="s">
        <v>41</v>
      </c>
    </row>
    <row r="25" spans="2:3" ht="24.95" customHeight="1">
      <c r="B25" s="8" t="s">
        <v>328</v>
      </c>
      <c r="C25" s="8">
        <f ca="1">COUNTIFS(EXPEDIENTES!M:M,$B25,EXPEDIENTES!Y:Y,"SI")</f>
        <v>42</v>
      </c>
    </row>
    <row r="26" spans="2:3" ht="24.95" customHeight="1">
      <c r="B26" s="8" t="s">
        <v>329</v>
      </c>
      <c r="C26" s="8">
        <f ca="1">COUNTIFS(EXPEDIENTES!M:M,$B26,EXPEDIENTES!Y:Y,"SI")</f>
        <v>41</v>
      </c>
    </row>
    <row r="27" spans="2:3" ht="24.95" customHeight="1">
      <c r="B27" s="8" t="s">
        <v>330</v>
      </c>
      <c r="C27" s="8">
        <f ca="1">COUNTIFS(EXPEDIENTES!M:M,$B27,EXPEDIENTES!Y:Y,"SI")</f>
        <v>49</v>
      </c>
    </row>
    <row r="28" spans="2:3" ht="24.95" customHeight="1">
      <c r="B28" s="8" t="s">
        <v>331</v>
      </c>
      <c r="C28" s="8">
        <f ca="1">COUNTIFS(EXPEDIENTES!M:M,$B28,EXPEDIENTES!Y:Y,"SI")</f>
        <v>26</v>
      </c>
    </row>
    <row r="29" spans="2:3" ht="24.95" customHeight="1">
      <c r="B29" s="8" t="s">
        <v>332</v>
      </c>
      <c r="C29" s="8">
        <f ca="1">COUNTIFS(EXPEDIENTES!M:M,$B29,EXPEDIENTES!Y:Y,"SI")</f>
        <v>28</v>
      </c>
    </row>
    <row r="30" spans="2:3" ht="24.95" customHeight="1">
      <c r="B30" s="8" t="s">
        <v>333</v>
      </c>
      <c r="C30" s="8">
        <f ca="1">COUNTIFS(EXPEDIENTES!M:M,$B30,EXPEDIENTES!Y:Y,"SI")</f>
        <v>23</v>
      </c>
    </row>
    <row r="31" spans="2:3" ht="20.100000000000001" customHeight="1">
      <c r="B31" s="187" t="s">
        <v>46</v>
      </c>
      <c r="C31" s="27">
        <f ca="1">SUM(C25:C30)</f>
        <v>209</v>
      </c>
    </row>
    <row r="32" spans="2:3" ht="20.100000000000001" customHeight="1"/>
    <row r="33" spans="2:3" ht="20.100000000000001" customHeight="1"/>
    <row r="34" spans="2:3" ht="20.100000000000001" customHeight="1"/>
    <row r="35" spans="2:3" ht="24.95" customHeight="1"/>
    <row r="36" spans="2:3" ht="24.95" customHeight="1"/>
    <row r="37" spans="2:3" ht="24.95" customHeight="1"/>
    <row r="38" spans="2:3" ht="24.95" customHeight="1"/>
    <row r="39" spans="2:3" ht="24.95" customHeight="1"/>
    <row r="40" spans="2:3" ht="24.95" customHeight="1"/>
    <row r="41" spans="2:3" ht="24.95" customHeight="1"/>
    <row r="42" spans="2:3" ht="24.95" customHeight="1"/>
    <row r="43" spans="2:3" ht="24.95" customHeight="1"/>
    <row r="44" spans="2:3" ht="24.95" customHeight="1"/>
    <row r="45" spans="2:3" ht="24.95" customHeight="1"/>
    <row r="46" spans="2:3" ht="20.100000000000001" customHeight="1"/>
    <row r="47" spans="2:3" ht="20.100000000000001" customHeight="1"/>
    <row r="48" spans="2:3" ht="20.100000000000001" customHeight="1">
      <c r="B48" s="348" t="s">
        <v>67</v>
      </c>
      <c r="C48" s="348"/>
    </row>
    <row r="49" spans="2:3" ht="20.100000000000001" customHeight="1">
      <c r="B49" s="8" t="s">
        <v>68</v>
      </c>
      <c r="C49" s="8">
        <f>'no realizadas'!N10</f>
        <v>9</v>
      </c>
    </row>
  </sheetData>
  <customSheetViews>
    <customSheetView guid="{0199CA3F-EFF7-4FF3-938A-24486AD9575F}" topLeftCell="A7">
      <selection activeCell="C31" sqref="C31"/>
      <pageMargins left="0.23622047244094491" right="0.19685039370078741" top="0.39370078740157483" bottom="0.39370078740157483" header="0.27559055118110237" footer="0.31496062992125984"/>
      <pageSetup paperSize="5" scale="95" orientation="portrait" r:id="rId1"/>
    </customSheetView>
    <customSheetView guid="{5BF16DBA-4BB4-4498-B7BF-4F2DDC074FBE}">
      <selection activeCell="C17" sqref="C17"/>
      <pageMargins left="0.23622047244094491" right="0.19685039370078741" top="0.39370078740157483" bottom="0.39370078740157483" header="0.27559055118110237" footer="0.31496062992125984"/>
      <pageSetup paperSize="5" scale="95" orientation="portrait" r:id="rId2"/>
    </customSheetView>
    <customSheetView guid="{DB4207DD-4199-49C8-82A0-9B1EB1C1B792}" topLeftCell="A7">
      <selection activeCell="C31" sqref="C31"/>
    </customSheetView>
    <customSheetView guid="{8889932B-014C-4A7A-B620-114840895FF5}">
      <selection activeCell="C8" sqref="C8"/>
      <rowBreaks count="1" manualBreakCount="1">
        <brk id="30" max="16383" man="1"/>
      </rowBreaks>
      <pageMargins left="0.23622047244094491" right="0.19685039370078741" top="0.39370078740157483" bottom="0.39370078740157483" header="0.27559055118110237" footer="0.31496062992125984"/>
      <pageSetup paperSize="5" scale="95" orientation="portrait" r:id="rId3"/>
    </customSheetView>
  </customSheetViews>
  <mergeCells count="4">
    <mergeCell ref="B3:C3"/>
    <mergeCell ref="B23:C23"/>
    <mergeCell ref="B48:C48"/>
    <mergeCell ref="B13:C13"/>
  </mergeCells>
  <pageMargins left="0.23622047244094491" right="0.19685039370078741" top="0.39370078740157483" bottom="0.39370078740157483" header="0.27559055118110237" footer="0.31496062992125984"/>
  <pageSetup paperSize="5" scale="95" orientation="portrait" r:id="rId4"/>
  <rowBreaks count="1" manualBreakCount="1">
    <brk id="3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3">
    <pageSetUpPr autoPageBreaks="0"/>
  </sheetPr>
  <dimension ref="A1:AD140"/>
  <sheetViews>
    <sheetView view="pageBreakPreview" topLeftCell="K33" zoomScale="55" zoomScaleNormal="70" zoomScaleSheetLayoutView="55" zoomScalePageLayoutView="70" workbookViewId="0">
      <selection activeCell="U1" sqref="U1:AD53"/>
    </sheetView>
  </sheetViews>
  <sheetFormatPr baseColWidth="10" defaultRowHeight="12.75"/>
  <cols>
    <col min="1" max="1" width="8.85546875" style="45" bestFit="1" customWidth="1"/>
    <col min="2" max="2" width="11.7109375" style="45" bestFit="1" customWidth="1"/>
    <col min="3" max="3" width="37.28515625" style="45" bestFit="1" customWidth="1"/>
    <col min="4" max="4" width="33.85546875" customWidth="1"/>
    <col min="8" max="8" width="4.28515625" style="51" customWidth="1"/>
    <col min="9" max="9" width="8.28515625" style="51" bestFit="1" customWidth="1"/>
    <col min="10" max="10" width="44.28515625" bestFit="1" customWidth="1"/>
    <col min="13" max="13" width="3.5703125" customWidth="1"/>
    <col min="15" max="15" width="11.28515625" customWidth="1"/>
    <col min="16" max="16" width="23.42578125" customWidth="1"/>
    <col min="22" max="22" width="37.7109375" bestFit="1" customWidth="1"/>
    <col min="23" max="23" width="42.85546875" bestFit="1" customWidth="1"/>
  </cols>
  <sheetData>
    <row r="1" spans="1:23" ht="18">
      <c r="A1" s="349" t="s">
        <v>241</v>
      </c>
      <c r="B1" s="349"/>
      <c r="C1" s="349"/>
      <c r="D1" s="349"/>
      <c r="E1" s="349"/>
      <c r="F1" s="349"/>
      <c r="G1" s="349"/>
      <c r="H1" s="349"/>
      <c r="I1" s="349"/>
      <c r="J1" s="349"/>
      <c r="K1" s="7"/>
      <c r="U1" s="63" t="s">
        <v>1677</v>
      </c>
    </row>
    <row r="2" spans="1:23" ht="20.25">
      <c r="A2" s="68"/>
      <c r="B2" s="68"/>
      <c r="C2" s="68"/>
      <c r="D2" s="68"/>
      <c r="E2" s="68"/>
      <c r="F2" s="68"/>
      <c r="G2" s="68"/>
      <c r="H2" s="68"/>
      <c r="I2" s="68"/>
      <c r="J2" s="68"/>
      <c r="W2" s="16" t="s">
        <v>1678</v>
      </c>
    </row>
    <row r="3" spans="1:23" ht="18">
      <c r="A3" s="68"/>
      <c r="B3" s="68"/>
      <c r="C3" s="68"/>
      <c r="D3" s="68"/>
      <c r="E3" s="68"/>
      <c r="F3" s="68"/>
      <c r="G3" s="68"/>
      <c r="H3" s="68"/>
      <c r="I3" s="68"/>
      <c r="J3" s="68"/>
      <c r="K3" s="63"/>
      <c r="L3" s="63"/>
      <c r="N3" s="7" t="s">
        <v>304</v>
      </c>
      <c r="O3" s="7" t="s">
        <v>305</v>
      </c>
    </row>
    <row r="4" spans="1:23" ht="18">
      <c r="A4" s="66" t="s">
        <v>225</v>
      </c>
      <c r="B4" s="66" t="s">
        <v>298</v>
      </c>
      <c r="C4" s="66" t="s">
        <v>226</v>
      </c>
      <c r="N4" s="66" t="s">
        <v>225</v>
      </c>
      <c r="O4" s="73" t="s">
        <v>299</v>
      </c>
      <c r="P4" s="73" t="s">
        <v>226</v>
      </c>
      <c r="U4" s="228" t="s">
        <v>225</v>
      </c>
      <c r="V4" s="228" t="s">
        <v>226</v>
      </c>
    </row>
    <row r="5" spans="1:23" ht="45" customHeight="1">
      <c r="A5" s="62">
        <f>COUNTIF(EXPEDIENTES!N:N,C5)</f>
        <v>83</v>
      </c>
      <c r="B5" s="111">
        <f>A5/A16</f>
        <v>0.2455621301775148</v>
      </c>
      <c r="C5" s="190" t="s">
        <v>357</v>
      </c>
      <c r="F5" s="60"/>
      <c r="N5" s="62">
        <f>COUNTIF(EXPEDIENTES!AB:AB,"=Prisión Preventiva")</f>
        <v>0</v>
      </c>
      <c r="O5" s="111"/>
      <c r="P5" s="48" t="s">
        <v>98</v>
      </c>
      <c r="U5" s="229">
        <f ca="1">COUNTIFS(EXPEDIENTES!N:N,"*JUICIO ABREVIADO*",EXPEDIENTES!Y:Y,"SI")</f>
        <v>99</v>
      </c>
      <c r="V5" s="230" t="s">
        <v>21</v>
      </c>
    </row>
    <row r="6" spans="1:23" ht="45" customHeight="1">
      <c r="A6" s="62">
        <f>COUNTIF(EXPEDIENTES!N:N,C6)</f>
        <v>0</v>
      </c>
      <c r="B6" s="111">
        <f>A6/A16</f>
        <v>0</v>
      </c>
      <c r="C6" s="190" t="s">
        <v>360</v>
      </c>
      <c r="F6" s="60"/>
      <c r="N6" s="62">
        <f>COUNTIF(EXPEDIENTES!AA:AA,"Juicio Abreviado - Efectiva")</f>
        <v>0</v>
      </c>
      <c r="O6" s="111"/>
      <c r="P6" s="48" t="s">
        <v>306</v>
      </c>
      <c r="U6" s="229">
        <f ca="1">COUNTIFS(EXPEDIENTES!N:N,"AUTO DE PRUEBA",EXPEDIENTES!Y:Y,"SI")+COUNTIFS(EXPEDIENTES!N:N,"CON AUTO DE PRUEBA PARA FIJAR DEBATE",EXPEDIENTES!Y:Y,"SI")</f>
        <v>83</v>
      </c>
      <c r="V6" s="232" t="s">
        <v>1680</v>
      </c>
      <c r="W6" s="120"/>
    </row>
    <row r="7" spans="1:23" ht="45" customHeight="1">
      <c r="A7" s="62">
        <f>COUNTIF(EXPEDIENTES!N:N,C7)</f>
        <v>15</v>
      </c>
      <c r="B7" s="111">
        <f>A7/A16</f>
        <v>4.4378698224852069E-2</v>
      </c>
      <c r="C7" s="190" t="s">
        <v>361</v>
      </c>
      <c r="F7" s="60"/>
      <c r="N7" s="62">
        <f>COUNTIF(EXPEDIENTES!AA:AA,"Juicio Abreviado - Condicional y reglas de conducta")</f>
        <v>0</v>
      </c>
      <c r="O7" s="111"/>
      <c r="P7" s="48" t="s">
        <v>307</v>
      </c>
      <c r="U7" s="229">
        <f ca="1">COUNTIFS(EXPEDIENTES!N:N,"SOBRESEIMIENTO",EXPEDIENTES!Y:Y,"SI")</f>
        <v>10</v>
      </c>
      <c r="V7" s="230" t="s">
        <v>1679</v>
      </c>
      <c r="W7" s="120"/>
    </row>
    <row r="8" spans="1:23" ht="45" customHeight="1">
      <c r="A8" s="62">
        <f>COUNTIF(EXPEDIENTES!N:N,C8)</f>
        <v>54</v>
      </c>
      <c r="B8" s="111">
        <f>A8/A16</f>
        <v>0.15976331360946747</v>
      </c>
      <c r="C8" s="55" t="s">
        <v>355</v>
      </c>
      <c r="F8" s="60"/>
      <c r="N8" s="62"/>
      <c r="O8" s="111"/>
      <c r="P8" s="48" t="s">
        <v>205</v>
      </c>
      <c r="U8" s="229">
        <f ca="1">COUNTIFS(EXPEDIENTES!N:N,"SUSPENDIDA",EXPEDIENTES!Y:Y,"NO HECHA")+COUNTIFS(EXPEDIENTES!N:N,"COLEGIADO",EXPEDIENTES!Y:Y,"NO HECHA")+COUNTIFS(EXPEDIENTES!N:N,"INHIBICIÓN",EXPEDIENTES!Y:Y,"NO HECHA")</f>
        <v>55</v>
      </c>
      <c r="V8" s="230" t="s">
        <v>239</v>
      </c>
      <c r="W8" s="7"/>
    </row>
    <row r="9" spans="1:23" ht="45" customHeight="1">
      <c r="A9" s="62">
        <f>COUNTIF(EXPEDIENTES!N:N,C9)</f>
        <v>46</v>
      </c>
      <c r="B9" s="111">
        <f>A9/A16</f>
        <v>0.13609467455621302</v>
      </c>
      <c r="C9" s="190" t="s">
        <v>356</v>
      </c>
      <c r="F9" s="60"/>
      <c r="N9" s="62"/>
      <c r="O9" s="111"/>
      <c r="P9" s="48" t="s">
        <v>308</v>
      </c>
      <c r="U9" s="229">
        <f ca="1">COUNTIFS(EXPEDIENTES!N:N,"EXCLUSION",EXPEDIENTES!Y:Y,"NO HECHA")+COUNTIFS(EXPEDIENTES!N:N,"EXCLUSION - Acumulacion Fuera del plan piloto",EXPEDIENTES!Y:Y,"NO HECHA")</f>
        <v>15</v>
      </c>
      <c r="V9" s="230" t="s">
        <v>1681</v>
      </c>
      <c r="W9" s="7"/>
    </row>
    <row r="10" spans="1:23" ht="45" customHeight="1">
      <c r="A10" s="62">
        <f>COUNTIF(EXPEDIENTES!N:N,C10)</f>
        <v>24</v>
      </c>
      <c r="B10" s="111">
        <f>A10/A16</f>
        <v>7.1005917159763315E-2</v>
      </c>
      <c r="C10" s="190" t="s">
        <v>359</v>
      </c>
      <c r="F10" s="60"/>
      <c r="N10" s="62"/>
      <c r="O10" s="111"/>
      <c r="P10" s="48" t="s">
        <v>239</v>
      </c>
      <c r="U10" s="229">
        <f ca="1">COUNTIFS(EXPEDIENTES!N:N,"PROBATION",EXPEDIENTES!Y:Y,"SI")</f>
        <v>23</v>
      </c>
      <c r="V10" s="231" t="s">
        <v>211</v>
      </c>
      <c r="W10" s="120"/>
    </row>
    <row r="11" spans="1:23" ht="45" customHeight="1">
      <c r="A11" s="62">
        <f>COUNTIF(EXPEDIENTES!N:N,C11)</f>
        <v>39</v>
      </c>
      <c r="B11" s="111">
        <f>A11/A16</f>
        <v>0.11538461538461539</v>
      </c>
      <c r="C11" s="55" t="s">
        <v>354</v>
      </c>
      <c r="F11" s="60"/>
      <c r="N11" s="62"/>
      <c r="O11" s="111"/>
      <c r="P11" s="48" t="s">
        <v>45</v>
      </c>
      <c r="U11" s="229">
        <f ca="1">COUNTIFS(EXPEDIENTES!N:N,"NULIDAD",EXPEDIENTES!Y:Y,"SI")</f>
        <v>4</v>
      </c>
      <c r="V11" s="231" t="s">
        <v>1682</v>
      </c>
      <c r="W11" s="7"/>
    </row>
    <row r="12" spans="1:23" ht="45" customHeight="1">
      <c r="A12" s="62">
        <f>COUNTIF(EXPEDIENTES!N:N,C12)</f>
        <v>10</v>
      </c>
      <c r="B12" s="111">
        <f>A12/A16</f>
        <v>2.9585798816568046E-2</v>
      </c>
      <c r="C12" s="190" t="s">
        <v>358</v>
      </c>
      <c r="F12" s="60"/>
      <c r="U12" s="228">
        <f ca="1">SUM(U5:U11)</f>
        <v>289</v>
      </c>
      <c r="V12" s="228" t="s">
        <v>45</v>
      </c>
      <c r="W12" s="120"/>
    </row>
    <row r="13" spans="1:23" ht="39.75" customHeight="1">
      <c r="A13" s="62">
        <f>COUNTIF(EXPEDIENTES!N:N,C13)</f>
        <v>55</v>
      </c>
      <c r="B13" s="111">
        <f>A13/A16</f>
        <v>0.16272189349112426</v>
      </c>
      <c r="C13" s="55" t="s">
        <v>353</v>
      </c>
      <c r="F13" s="60"/>
      <c r="W13" s="7"/>
    </row>
    <row r="14" spans="1:23" ht="35.25" customHeight="1">
      <c r="A14" s="62">
        <f>COUNTIF(EXPEDIENTES!N:N,C14)</f>
        <v>4</v>
      </c>
      <c r="B14" s="111">
        <f>A14/A16</f>
        <v>1.1834319526627219E-2</v>
      </c>
      <c r="C14" s="55" t="s">
        <v>378</v>
      </c>
      <c r="W14" s="7"/>
    </row>
    <row r="15" spans="1:23" ht="37.5" customHeight="1">
      <c r="A15" s="62">
        <f>COUNTIF(EXPEDIENTES!N:N,C15)</f>
        <v>8</v>
      </c>
      <c r="B15" s="111">
        <f>A15/A16</f>
        <v>2.3668639053254437E-2</v>
      </c>
      <c r="C15" s="55" t="s">
        <v>1387</v>
      </c>
    </row>
    <row r="16" spans="1:23" ht="45" customHeight="1">
      <c r="A16" s="67">
        <f>SUM(A5:A15)</f>
        <v>338</v>
      </c>
      <c r="B16" s="113">
        <f>SUM(B5:B15)</f>
        <v>1</v>
      </c>
      <c r="C16" s="66" t="s">
        <v>45</v>
      </c>
      <c r="U16" s="63" t="s">
        <v>1677</v>
      </c>
      <c r="W16" s="16"/>
    </row>
    <row r="17" spans="1:23">
      <c r="W17" s="7"/>
    </row>
    <row r="18" spans="1:23" ht="20.25">
      <c r="A18" s="350"/>
      <c r="B18" s="350"/>
      <c r="C18" s="350"/>
      <c r="U18" s="16" t="s">
        <v>1813</v>
      </c>
    </row>
    <row r="19" spans="1:23">
      <c r="A19" s="66" t="s">
        <v>225</v>
      </c>
      <c r="B19" s="73" t="s">
        <v>299</v>
      </c>
      <c r="C19" s="73" t="s">
        <v>226</v>
      </c>
      <c r="K19" s="64"/>
    </row>
    <row r="20" spans="1:23" ht="18">
      <c r="A20" s="62">
        <f>COUNTIF(EXPEDIENTES!AA:AA,C20)</f>
        <v>0</v>
      </c>
      <c r="B20" s="111">
        <f>A20/A43</f>
        <v>0</v>
      </c>
      <c r="C20" s="48" t="s">
        <v>207</v>
      </c>
      <c r="D20" s="65"/>
      <c r="U20" s="228" t="s">
        <v>225</v>
      </c>
      <c r="V20" s="228" t="s">
        <v>226</v>
      </c>
    </row>
    <row r="21" spans="1:23" ht="30">
      <c r="A21" s="62">
        <f>COUNTIF(EXPEDIENTES!AA:AA,C21)</f>
        <v>0</v>
      </c>
      <c r="B21" s="111">
        <f>A21/A43</f>
        <v>0</v>
      </c>
      <c r="C21" s="48" t="s">
        <v>22</v>
      </c>
      <c r="U21" s="229">
        <f ca="1">COUNTIFS(EXPEDIENTES!N:N,"JUICIO ABREVIADO - CONDICIONAL",EXPEDIENTES!Y:Y,"SI")</f>
        <v>54</v>
      </c>
      <c r="V21" s="233" t="s">
        <v>208</v>
      </c>
    </row>
    <row r="22" spans="1:23" ht="30" customHeight="1">
      <c r="A22" s="62">
        <f>COUNTIF(EXPEDIENTES!AA:AA,C22)</f>
        <v>0</v>
      </c>
      <c r="B22" s="111">
        <f>A22/A43</f>
        <v>0</v>
      </c>
      <c r="C22" s="48" t="s">
        <v>208</v>
      </c>
      <c r="P22" s="114"/>
      <c r="U22" s="229">
        <f ca="1">COUNTIFS(EXPEDIENTES!N:N,"JUICIO ABREVIADO - EFECTIVA",EXPEDIENTES!Y:Y,"SI")</f>
        <v>45</v>
      </c>
      <c r="V22" s="233" t="s">
        <v>207</v>
      </c>
    </row>
    <row r="23" spans="1:23" ht="30" customHeight="1">
      <c r="A23" s="62">
        <f>COUNTIF(EXPEDIENTES!AA:AA,LEFT(C23,2))</f>
        <v>307</v>
      </c>
      <c r="B23" s="111">
        <f>A23/A43</f>
        <v>1</v>
      </c>
      <c r="C23" s="48" t="s">
        <v>243</v>
      </c>
      <c r="U23" s="228">
        <f ca="1">SUM(U21:U22)</f>
        <v>99</v>
      </c>
      <c r="V23" s="228" t="s">
        <v>45</v>
      </c>
    </row>
    <row r="24" spans="1:23" ht="30" customHeight="1">
      <c r="A24" s="62">
        <f>COUNTIF(EXPEDIENTES!AA:AA,C24)</f>
        <v>0</v>
      </c>
      <c r="B24" s="111">
        <f>A24/A43</f>
        <v>0</v>
      </c>
      <c r="C24" s="48" t="s">
        <v>204</v>
      </c>
    </row>
    <row r="25" spans="1:23" ht="30" customHeight="1">
      <c r="A25" s="62"/>
      <c r="B25" s="111"/>
      <c r="C25" s="48"/>
      <c r="H25" s="237"/>
      <c r="I25" s="237"/>
    </row>
    <row r="26" spans="1:23" ht="30" customHeight="1">
      <c r="A26" s="62"/>
      <c r="B26" s="111"/>
      <c r="C26" s="48"/>
      <c r="H26" s="237"/>
      <c r="I26" s="237"/>
    </row>
    <row r="27" spans="1:23" ht="30" customHeight="1">
      <c r="A27" s="62"/>
      <c r="B27" s="111"/>
      <c r="C27" s="48"/>
      <c r="H27" s="237"/>
      <c r="I27" s="237"/>
    </row>
    <row r="28" spans="1:23" ht="30" customHeight="1">
      <c r="A28" s="62"/>
      <c r="B28" s="111"/>
      <c r="C28" s="48"/>
      <c r="H28" s="237"/>
      <c r="I28" s="237"/>
    </row>
    <row r="29" spans="1:23" ht="30" customHeight="1">
      <c r="A29" s="62"/>
      <c r="B29" s="111"/>
      <c r="C29" s="48"/>
      <c r="H29" s="237"/>
      <c r="I29" s="237"/>
    </row>
    <row r="30" spans="1:23" ht="30" customHeight="1">
      <c r="A30" s="62"/>
      <c r="B30" s="111"/>
      <c r="C30" s="48"/>
      <c r="H30" s="237"/>
      <c r="I30" s="237"/>
    </row>
    <row r="31" spans="1:23" ht="30" customHeight="1">
      <c r="A31" s="62"/>
      <c r="B31" s="111"/>
      <c r="C31" s="48"/>
      <c r="H31" s="237"/>
      <c r="I31" s="237"/>
    </row>
    <row r="32" spans="1:23" ht="30" customHeight="1">
      <c r="A32" s="62"/>
      <c r="B32" s="111"/>
      <c r="C32" s="48"/>
      <c r="H32" s="237"/>
      <c r="I32" s="237"/>
    </row>
    <row r="33" spans="1:30" ht="30" customHeight="1">
      <c r="A33" s="62">
        <f>COUNTIF(EXPEDIENTES!AA:AA,C33)</f>
        <v>0</v>
      </c>
      <c r="B33" s="111">
        <f>A33/A43</f>
        <v>0</v>
      </c>
      <c r="C33" s="48" t="s">
        <v>214</v>
      </c>
    </row>
    <row r="34" spans="1:30" ht="30" customHeight="1">
      <c r="A34" s="62">
        <f>COUNTIF(EXPEDIENTES!AA:AA,C34)</f>
        <v>0</v>
      </c>
      <c r="B34" s="111">
        <f>A34/A43</f>
        <v>0</v>
      </c>
      <c r="C34" s="48" t="s">
        <v>205</v>
      </c>
    </row>
    <row r="35" spans="1:30" ht="30" customHeight="1">
      <c r="A35" s="62">
        <f>COUNTIF(EXPEDIENTES!AA:AA,C35)</f>
        <v>0</v>
      </c>
      <c r="B35" s="111">
        <f>A35/A43</f>
        <v>0</v>
      </c>
      <c r="C35" s="48" t="s">
        <v>211</v>
      </c>
    </row>
    <row r="36" spans="1:30" ht="30" customHeight="1">
      <c r="A36" s="62">
        <f>COUNTIF(EXPEDIENTES!AA:AA,C36)</f>
        <v>0</v>
      </c>
      <c r="B36" s="111">
        <f>A36/A43</f>
        <v>0</v>
      </c>
      <c r="C36" s="48" t="s">
        <v>212</v>
      </c>
      <c r="U36" s="351" t="s">
        <v>1684</v>
      </c>
      <c r="V36" s="351"/>
      <c r="W36" s="351"/>
      <c r="X36" s="351"/>
      <c r="Y36" s="351"/>
      <c r="Z36" s="351"/>
      <c r="AA36" s="351"/>
      <c r="AB36" s="351"/>
      <c r="AC36" s="351"/>
      <c r="AD36" s="351"/>
    </row>
    <row r="37" spans="1:30" ht="30" customHeight="1">
      <c r="A37" s="62">
        <f>COUNTIF(EXPEDIENTES!AA:AA,C37)</f>
        <v>0</v>
      </c>
      <c r="B37" s="111">
        <f>A37/A43</f>
        <v>0</v>
      </c>
      <c r="C37" s="48" t="s">
        <v>209</v>
      </c>
      <c r="U37" s="352" t="s">
        <v>1683</v>
      </c>
      <c r="V37" s="352"/>
      <c r="W37" s="352"/>
      <c r="X37" s="352"/>
      <c r="Y37" s="352"/>
      <c r="Z37" s="352"/>
      <c r="AA37" s="352"/>
      <c r="AB37" s="352"/>
      <c r="AC37" s="352"/>
      <c r="AD37" s="352"/>
    </row>
    <row r="38" spans="1:30" ht="30" customHeight="1">
      <c r="A38" s="62">
        <f>COUNTIF(EXPEDIENTES!AA:AA,C38)</f>
        <v>0</v>
      </c>
      <c r="B38" s="111">
        <f>A38/A43</f>
        <v>0</v>
      </c>
      <c r="C38" s="48" t="s">
        <v>215</v>
      </c>
      <c r="U38" s="228" t="s">
        <v>225</v>
      </c>
      <c r="V38" s="228" t="s">
        <v>226</v>
      </c>
    </row>
    <row r="39" spans="1:30" ht="30" customHeight="1">
      <c r="A39" s="62">
        <f>COUNTIF(EXPEDIENTES!AA:AA,C39)</f>
        <v>0</v>
      </c>
      <c r="B39" s="111">
        <f>A39/A43</f>
        <v>0</v>
      </c>
      <c r="C39" s="48" t="s">
        <v>210</v>
      </c>
      <c r="U39" s="234">
        <f>COUNTIFS(EXPEDIENTES!N:N,"AUTO DE PRUEBA")</f>
        <v>83</v>
      </c>
      <c r="V39" s="235" t="s">
        <v>357</v>
      </c>
      <c r="W39" s="238"/>
      <c r="X39" s="236"/>
      <c r="Y39" s="236"/>
      <c r="Z39" s="236"/>
      <c r="AA39" s="236"/>
      <c r="AB39" s="236"/>
      <c r="AC39" s="236"/>
      <c r="AD39" s="236"/>
    </row>
    <row r="40" spans="1:30" ht="30" customHeight="1">
      <c r="A40" s="62">
        <f>COUNTIF(EXPEDIENTES!AA:AA,C40)</f>
        <v>0</v>
      </c>
      <c r="B40" s="111">
        <f>A40/A43</f>
        <v>0</v>
      </c>
      <c r="C40" s="48" t="s">
        <v>206</v>
      </c>
      <c r="U40" s="234">
        <f>COUNTIFS(EXPEDIENTES!N:N,V40)+COUNTIFS(EXPEDIENTES!N:N,"COLEGIADO")+COUNTIFS(EXPEDIENTES!N:N,"EXCLUSION - Acumulacion Fuera del plan piloto")</f>
        <v>27</v>
      </c>
      <c r="V40" s="235" t="s">
        <v>361</v>
      </c>
      <c r="W40" s="238"/>
    </row>
    <row r="41" spans="1:30" ht="30" customHeight="1">
      <c r="A41" s="62">
        <f>COUNTIF(EXPEDIENTES!AA:AA,C41)</f>
        <v>0</v>
      </c>
      <c r="B41" s="111">
        <f>A41/A43</f>
        <v>0</v>
      </c>
      <c r="C41" s="48" t="s">
        <v>213</v>
      </c>
      <c r="U41" s="234">
        <f>COUNTIFS(EXPEDIENTES!N:N,V41)</f>
        <v>1</v>
      </c>
      <c r="V41" s="18" t="s">
        <v>2032</v>
      </c>
      <c r="W41" s="238"/>
    </row>
    <row r="42" spans="1:30" ht="30" customHeight="1">
      <c r="A42" s="62">
        <f>COUNTIF(EXPEDIENTES!AA:AA,C42)</f>
        <v>0</v>
      </c>
      <c r="B42" s="111">
        <f>A42/A43</f>
        <v>0</v>
      </c>
      <c r="C42" s="48" t="s">
        <v>229</v>
      </c>
      <c r="U42" s="234">
        <f>COUNTIFS(EXPEDIENTES!N:N,V42)</f>
        <v>54</v>
      </c>
      <c r="V42" s="18" t="s">
        <v>355</v>
      </c>
      <c r="W42" s="239"/>
    </row>
    <row r="43" spans="1:30" ht="30" customHeight="1">
      <c r="A43" s="72">
        <f>SUM(A20:A42)</f>
        <v>307</v>
      </c>
      <c r="B43" s="112">
        <f>SUM(B20:B42)</f>
        <v>1</v>
      </c>
      <c r="C43" s="31" t="s">
        <v>238</v>
      </c>
      <c r="U43" s="234">
        <f>COUNTIFS(EXPEDIENTES!N:N,V43)</f>
        <v>46</v>
      </c>
      <c r="V43" s="235" t="s">
        <v>356</v>
      </c>
      <c r="W43" s="239"/>
    </row>
    <row r="44" spans="1:30" ht="30" customHeight="1">
      <c r="A44" s="51"/>
      <c r="B44" s="110"/>
      <c r="C44" s="7"/>
      <c r="U44" s="234">
        <f>COUNTIFS(EXPEDIENTES!N:N,V44)</f>
        <v>4</v>
      </c>
      <c r="V44" s="18" t="s">
        <v>378</v>
      </c>
      <c r="W44" s="238"/>
    </row>
    <row r="45" spans="1:30" ht="30" customHeight="1">
      <c r="U45" s="234">
        <f>COUNTIFS(EXPEDIENTES!N:N,V45)</f>
        <v>24</v>
      </c>
      <c r="V45" s="235" t="s">
        <v>359</v>
      </c>
      <c r="W45" s="239"/>
    </row>
    <row r="46" spans="1:30" ht="27" customHeight="1">
      <c r="U46" s="234">
        <f>COUNTIFS(EXPEDIENTES!N:N,V46)</f>
        <v>39</v>
      </c>
      <c r="V46" s="18" t="s">
        <v>354</v>
      </c>
      <c r="W46" s="238"/>
    </row>
    <row r="47" spans="1:30" ht="25.5" customHeight="1">
      <c r="U47" s="234">
        <f>COUNTIFS(EXPEDIENTES!N:N,V47)</f>
        <v>10</v>
      </c>
      <c r="V47" s="235" t="s">
        <v>358</v>
      </c>
      <c r="W47" s="239"/>
    </row>
    <row r="48" spans="1:30" ht="30.75" customHeight="1" thickBot="1">
      <c r="A48" s="80"/>
      <c r="B48" s="109"/>
      <c r="C48" s="80"/>
      <c r="U48" s="234">
        <f>COUNTIFS(EXPEDIENTES!N:N,V48)</f>
        <v>55</v>
      </c>
      <c r="V48" s="18" t="s">
        <v>353</v>
      </c>
      <c r="W48" s="238"/>
    </row>
    <row r="49" spans="2:23" ht="27.75" customHeight="1">
      <c r="B49" s="74" t="s">
        <v>225</v>
      </c>
      <c r="C49" s="75" t="s">
        <v>228</v>
      </c>
      <c r="U49" s="228">
        <f>SUM(U39:U48)</f>
        <v>343</v>
      </c>
      <c r="V49" s="228" t="s">
        <v>45</v>
      </c>
      <c r="W49" s="239"/>
    </row>
    <row r="50" spans="2:23" ht="36" customHeight="1">
      <c r="B50" s="62">
        <f>COUNTIFS(EXPEDIENTES!I:I,"&gt;=01/02/2023",EXPEDIENTES!I:I,"&lt;=28/02/2023",EXPEDIENTES!Y:Y,"=SI")</f>
        <v>0</v>
      </c>
      <c r="C50" s="76" t="s">
        <v>218</v>
      </c>
      <c r="D50" s="80"/>
      <c r="E50" s="80"/>
      <c r="F50" s="80"/>
      <c r="G50" s="80"/>
      <c r="W50" s="240"/>
    </row>
    <row r="51" spans="2:23" ht="34.5" customHeight="1">
      <c r="B51" s="62">
        <f ca="1">COUNTIFS(EXPEDIENTES!I:I,"&gt;=01/03/2023",EXPEDIENTES!I:I,"&lt;=31/03/2023",EXPEDIENTES!Y:Y,"=SI")</f>
        <v>2</v>
      </c>
      <c r="C51" s="76" t="s">
        <v>219</v>
      </c>
    </row>
    <row r="52" spans="2:23" ht="35.1" customHeight="1">
      <c r="B52" s="62">
        <f ca="1">COUNTIFS(EXPEDIENTES!I:I,"&gt;=01/04/2023",EXPEDIENTES!I:I,"&lt;=30/04/2023",EXPEDIENTES!Y:Y,"=SI")</f>
        <v>5</v>
      </c>
      <c r="C52" s="76" t="s">
        <v>220</v>
      </c>
    </row>
    <row r="53" spans="2:23" ht="35.1" customHeight="1">
      <c r="B53" s="62">
        <f ca="1">COUNTIFS(EXPEDIENTES!I:I,"&gt;=01/05/2023",EXPEDIENTES!I:I,"&lt;=31/05/2023",EXPEDIENTES!Y:Y,"=SI")</f>
        <v>9</v>
      </c>
      <c r="C53" s="76" t="s">
        <v>221</v>
      </c>
    </row>
    <row r="54" spans="2:23" ht="35.1" customHeight="1">
      <c r="B54" s="62">
        <f ca="1">COUNTIFS(EXPEDIENTES!I:I,"&gt;=01/06/2023",EXPEDIENTES!I:I,"&lt;=30/06/2023",EXPEDIENTES!Y:Y,"=SI")</f>
        <v>19</v>
      </c>
      <c r="C54" s="76" t="s">
        <v>222</v>
      </c>
    </row>
    <row r="55" spans="2:23" ht="35.1" customHeight="1">
      <c r="B55" s="62">
        <f ca="1">COUNTIFS(EXPEDIENTES!I:I,"&gt;=01/07/2023",EXPEDIENTES!I:I,"&lt;=31/07/2023",EXPEDIENTES!Y:Y,"=SI")</f>
        <v>22</v>
      </c>
      <c r="C55" s="76" t="s">
        <v>223</v>
      </c>
    </row>
    <row r="56" spans="2:23" ht="35.1" customHeight="1">
      <c r="B56" s="62">
        <f ca="1">COUNTIFS(EXPEDIENTES!I:I,"&gt;=01/08/2023",EXPEDIENTES!I:I,"&lt;=31/08/2023",EXPEDIENTES!Y:Y,"=SI")</f>
        <v>37</v>
      </c>
      <c r="C56" s="76" t="s">
        <v>224</v>
      </c>
    </row>
    <row r="57" spans="2:23" ht="35.1" customHeight="1">
      <c r="B57" s="62">
        <f ca="1">COUNTIFS(EXPEDIENTES!I:I,"&gt;=01/09/2023",EXPEDIENTES!I:I,"&lt;=30/09/2023",EXPEDIENTES!Y:Y,"=SI")</f>
        <v>30</v>
      </c>
      <c r="C57" s="76" t="s">
        <v>246</v>
      </c>
      <c r="I57" s="52"/>
    </row>
    <row r="58" spans="2:23" ht="35.1" customHeight="1">
      <c r="B58" s="62">
        <f ca="1">COUNTIFS(EXPEDIENTES!I:I,"&gt;=01/10/2023",EXPEDIENTES!I:I,"&lt;=31/10/2023",EXPEDIENTES!Y:Y,"=SI")</f>
        <v>52</v>
      </c>
      <c r="C58" s="76" t="s">
        <v>247</v>
      </c>
    </row>
    <row r="59" spans="2:23" ht="35.1" customHeight="1">
      <c r="B59" s="62">
        <f ca="1">COUNTIFS(EXPEDIENTES!I:I,"&gt;=01/11/2023",EXPEDIENTES!I:I,"&lt;=30/11/2023",EXPEDIENTES!Y:Y,"=SI")</f>
        <v>58</v>
      </c>
      <c r="C59" s="76" t="s">
        <v>248</v>
      </c>
    </row>
    <row r="60" spans="2:23" ht="35.1" customHeight="1" thickBot="1">
      <c r="B60" s="62">
        <f ca="1">COUNTIFS(EXPEDIENTES!I:I,"&gt;=01/12/2023",EXPEDIENTES!I:I,"&lt;=31/12/2023",EXPEDIENTES!Y:Y,"=SI")</f>
        <v>5</v>
      </c>
      <c r="C60" s="77" t="s">
        <v>249</v>
      </c>
    </row>
    <row r="61" spans="2:23" ht="35.1" customHeight="1">
      <c r="B61" s="62">
        <f ca="1">SUM(B50:B60)</f>
        <v>239</v>
      </c>
      <c r="C61" s="191" t="s">
        <v>45</v>
      </c>
    </row>
    <row r="62" spans="2:23" ht="35.1" customHeight="1"/>
    <row r="77" spans="1:12" ht="18">
      <c r="A77" s="63" t="s">
        <v>251</v>
      </c>
      <c r="B77" s="63"/>
      <c r="C77" s="63"/>
    </row>
    <row r="78" spans="1:12">
      <c r="A78" s="66" t="s">
        <v>225</v>
      </c>
      <c r="B78" s="66" t="s">
        <v>303</v>
      </c>
      <c r="C78" s="56" t="s">
        <v>231</v>
      </c>
    </row>
    <row r="79" spans="1:12" ht="18">
      <c r="A79" s="62">
        <f>COUNTIF(EXPEDIENTES!G:G,2)</f>
        <v>0</v>
      </c>
      <c r="B79" s="111" t="e">
        <f>A79/A83</f>
        <v>#DIV/0!</v>
      </c>
      <c r="C79" s="55" t="s">
        <v>232</v>
      </c>
      <c r="D79" s="63"/>
      <c r="E79" s="63"/>
      <c r="F79" s="63"/>
      <c r="G79" s="63"/>
      <c r="L79" s="7"/>
    </row>
    <row r="80" spans="1:12">
      <c r="A80" s="62">
        <f>COUNTIF(EXPEDIENTES!G:G,3)</f>
        <v>0</v>
      </c>
      <c r="B80" s="111" t="e">
        <f>A80/A83</f>
        <v>#DIV/0!</v>
      </c>
      <c r="C80" s="55" t="s">
        <v>233</v>
      </c>
    </row>
    <row r="81" spans="1:3">
      <c r="A81" s="62">
        <f>COUNTIF(EXPEDIENTES!G:G,4)</f>
        <v>0</v>
      </c>
      <c r="B81" s="111" t="e">
        <f>A81/A83</f>
        <v>#DIV/0!</v>
      </c>
      <c r="C81" s="55" t="s">
        <v>234</v>
      </c>
    </row>
    <row r="82" spans="1:3">
      <c r="A82" s="62">
        <f>COUNTIF(EXPEDIENTES!G:G,8)</f>
        <v>0</v>
      </c>
      <c r="B82" s="111" t="e">
        <f>A82/A83</f>
        <v>#DIV/0!</v>
      </c>
      <c r="C82" s="55" t="s">
        <v>235</v>
      </c>
    </row>
    <row r="83" spans="1:3">
      <c r="A83" s="67">
        <f>SUM(A79:A82)</f>
        <v>0</v>
      </c>
      <c r="B83" s="67"/>
      <c r="C83" s="56" t="s">
        <v>236</v>
      </c>
    </row>
    <row r="116" spans="1:7" ht="18">
      <c r="A116" s="79"/>
      <c r="B116" s="79"/>
      <c r="C116" s="79"/>
    </row>
    <row r="117" spans="1:7">
      <c r="A117" s="66" t="s">
        <v>225</v>
      </c>
      <c r="B117" s="66" t="s">
        <v>299</v>
      </c>
      <c r="C117" s="56" t="s">
        <v>237</v>
      </c>
    </row>
    <row r="118" spans="1:7" ht="18">
      <c r="A118" s="62">
        <f>COUNTIF(EXPEDIENTES!K:K,2)</f>
        <v>0</v>
      </c>
      <c r="B118" s="111" t="e">
        <f>A118/A122</f>
        <v>#DIV/0!</v>
      </c>
      <c r="C118" s="49" t="s">
        <v>7</v>
      </c>
      <c r="E118" s="63"/>
      <c r="F118" s="63"/>
      <c r="G118" s="63"/>
    </row>
    <row r="119" spans="1:7">
      <c r="A119" s="62">
        <f>COUNTIF(EXPEDIENTES!K:K,3)</f>
        <v>0</v>
      </c>
      <c r="B119" s="111" t="e">
        <f>A119/A122</f>
        <v>#DIV/0!</v>
      </c>
      <c r="C119" s="49" t="s">
        <v>11</v>
      </c>
    </row>
    <row r="120" spans="1:7">
      <c r="A120" s="62">
        <f>COUNTIF(EXPEDIENTES!K:K,4)</f>
        <v>0</v>
      </c>
      <c r="B120" s="111" t="e">
        <f>A120/A122</f>
        <v>#DIV/0!</v>
      </c>
      <c r="C120" s="58" t="s">
        <v>9</v>
      </c>
    </row>
    <row r="121" spans="1:7">
      <c r="A121" s="62">
        <f>COUNTIF(EXPEDIENTES!K:K,8)</f>
        <v>0</v>
      </c>
      <c r="B121" s="111" t="e">
        <f>A121/A122</f>
        <v>#DIV/0!</v>
      </c>
      <c r="C121" s="49" t="s">
        <v>17</v>
      </c>
    </row>
    <row r="122" spans="1:7">
      <c r="A122" s="67">
        <f>SUM(A118:A121)</f>
        <v>0</v>
      </c>
      <c r="B122" s="67"/>
      <c r="C122" s="56" t="s">
        <v>236</v>
      </c>
    </row>
    <row r="140" spans="11:11">
      <c r="K140" s="7"/>
    </row>
  </sheetData>
  <sortState ref="A20:B34">
    <sortCondition descending="1" ref="A20:A34"/>
  </sortState>
  <customSheetViews>
    <customSheetView guid="{0199CA3F-EFF7-4FF3-938A-24486AD9575F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1"/>
      <headerFooter>
        <oddHeader>&amp;COFIJU GAR</oddHeader>
      </headerFooter>
    </customSheetView>
    <customSheetView guid="{5BF16DBA-4BB4-4498-B7BF-4F2DDC074FBE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2"/>
      <headerFooter>
        <oddHeader>&amp;COFIJU GAR</oddHeader>
      </headerFooter>
    </customSheetView>
    <customSheetView guid="{DB4207DD-4199-49C8-82A0-9B1EB1C1B792}" scale="70" showPageBreaks="1" showGridLines="0" view="pageLayout">
      <selection activeCell="J12" sqref="J12"/>
    </customSheetView>
    <customSheetView guid="{8889932B-014C-4A7A-B620-114840895FF5}" scale="70">
      <selection activeCell="N8" sqref="N8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portrait" r:id="rId3"/>
      <headerFooter>
        <oddHeader>&amp;COFIJU GAR</oddHeader>
      </headerFooter>
    </customSheetView>
  </customSheetViews>
  <mergeCells count="4">
    <mergeCell ref="A1:J1"/>
    <mergeCell ref="A18:C18"/>
    <mergeCell ref="U36:AD36"/>
    <mergeCell ref="U37:AD37"/>
  </mergeCells>
  <pageMargins left="0.39370078740157483" right="0.39370078740157483" top="0.39370078740157483" bottom="0.39370078740157483" header="0.11811023622047245" footer="0.11811023622047245"/>
  <pageSetup paperSize="5" orientation="landscape" r:id="rId4"/>
  <headerFooter>
    <oddHeader>&amp;COFIJU GAR</oddHeader>
  </headerFooter>
  <rowBreaks count="2" manualBreakCount="2">
    <brk id="35" max="29" man="1"/>
    <brk id="53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37"/>
  <sheetViews>
    <sheetView workbookViewId="0">
      <selection activeCell="B11" sqref="B11"/>
    </sheetView>
  </sheetViews>
  <sheetFormatPr baseColWidth="10" defaultRowHeight="12.75"/>
  <cols>
    <col min="1" max="1" width="27.5703125" style="41" customWidth="1"/>
    <col min="2" max="2" width="21.28515625" bestFit="1" customWidth="1"/>
    <col min="4" max="4" width="20.5703125" bestFit="1" customWidth="1"/>
    <col min="5" max="5" width="21.28515625" bestFit="1" customWidth="1"/>
  </cols>
  <sheetData>
    <row r="1" spans="1:5" ht="20.100000000000001" customHeight="1">
      <c r="A1" s="42" t="s">
        <v>1389</v>
      </c>
    </row>
    <row r="2" spans="1:5" ht="20.100000000000001" customHeight="1">
      <c r="A2" s="174" t="s">
        <v>1390</v>
      </c>
      <c r="B2" s="175" t="s">
        <v>1391</v>
      </c>
      <c r="C2" s="176"/>
      <c r="D2" s="175" t="s">
        <v>1392</v>
      </c>
      <c r="E2" s="175" t="s">
        <v>1391</v>
      </c>
    </row>
    <row r="3" spans="1:5" ht="20.100000000000001" customHeight="1">
      <c r="A3" s="177" t="s">
        <v>1393</v>
      </c>
      <c r="B3" s="178">
        <f>COUNTIFS(EXPEDIENTES!M:M,"Dra. Romero Nayar",EXPEDIENTES!N:N,"AUTO DE PRUEBA")</f>
        <v>10</v>
      </c>
      <c r="D3" s="55" t="s">
        <v>1394</v>
      </c>
      <c r="E3" s="178">
        <f>COUNTIFS(EXPEDIENTES!M:M,"Dr. Guillermo Pereyra",EXPEDIENTES!N:N,"AUTO DE PRUEBA")</f>
        <v>7</v>
      </c>
    </row>
    <row r="4" spans="1:5" ht="20.100000000000001" customHeight="1">
      <c r="A4" s="177" t="s">
        <v>1395</v>
      </c>
      <c r="B4" s="178">
        <f>COUNTIFS(EXPEDIENTES!M:M,"Dr. Marcelo Rubio",EXPEDIENTES!N:N,"AUTO DE PRUEBA")</f>
        <v>20</v>
      </c>
      <c r="D4" s="55" t="s">
        <v>1396</v>
      </c>
      <c r="E4" s="178">
        <f>COUNTIFS(EXPEDIENTES!M:M,"Dr. Riera",EXPEDIENTES!N:N,"AUTO DE PRUEBA")</f>
        <v>9</v>
      </c>
    </row>
    <row r="5" spans="1:5" ht="20.100000000000001" customHeight="1">
      <c r="A5" s="177" t="s">
        <v>1397</v>
      </c>
      <c r="B5" s="178">
        <f>COUNTIFS(EXPEDIENTES!M:M,"Dra. Mónica Faber",EXPEDIENTES!N:N,"AUTO DE PRUEBA")</f>
        <v>17</v>
      </c>
      <c r="D5" s="55" t="s">
        <v>1398</v>
      </c>
      <c r="E5" s="178">
        <f>COUNTIFS(EXPEDIENTES!M:M,"Dra. Mónica Mukdsi",EXPEDIENTES!N:N,"AUTO DE PRUEBA")</f>
        <v>10</v>
      </c>
    </row>
    <row r="6" spans="1:5" ht="20.100000000000001" customHeight="1">
      <c r="A6" s="42"/>
    </row>
    <row r="7" spans="1:5" ht="20.100000000000001" customHeight="1">
      <c r="A7" s="42" t="s">
        <v>1529</v>
      </c>
    </row>
    <row r="8" spans="1:5" ht="20.100000000000001" customHeight="1">
      <c r="A8" s="174" t="s">
        <v>1390</v>
      </c>
      <c r="B8" s="175" t="s">
        <v>1391</v>
      </c>
      <c r="C8" s="176"/>
      <c r="D8" s="175" t="s">
        <v>1392</v>
      </c>
      <c r="E8" s="175" t="s">
        <v>1391</v>
      </c>
    </row>
    <row r="9" spans="1:5" ht="20.100000000000001" customHeight="1">
      <c r="A9" s="177" t="s">
        <v>1393</v>
      </c>
      <c r="B9" s="178">
        <f>COUNTIFS(EXPEDIENTES!Q:Q,"Dr. Marcelo Rubio",EXPEDIENTES!N:N,"AUTO DE PRUEBA")</f>
        <v>7</v>
      </c>
      <c r="D9" s="55" t="s">
        <v>1394</v>
      </c>
      <c r="E9" s="178">
        <f>COUNTIFS(EXPEDIENTES!Q:Q,"Dr. Riera",EXPEDIENTES!N:N,"AUTO DE PRUEBA")</f>
        <v>1</v>
      </c>
    </row>
    <row r="10" spans="1:5" ht="20.100000000000001" customHeight="1">
      <c r="A10" s="177" t="s">
        <v>1395</v>
      </c>
      <c r="B10" s="178">
        <f>COUNTIFS(EXPEDIENTES!Q:Q,"Dra. Mónica Faber",EXPEDIENTES!N:N,"AUTO DE PRUEBA")</f>
        <v>9</v>
      </c>
      <c r="D10" s="55" t="s">
        <v>1396</v>
      </c>
      <c r="E10" s="178">
        <f>COUNTIFS(EXPEDIENTES!Q:Q,"Dra. Mónica Mukdsi",EXPEDIENTES!N:N,"AUTO DE PRUEBA")</f>
        <v>4</v>
      </c>
    </row>
    <row r="11" spans="1:5" ht="20.100000000000001" customHeight="1">
      <c r="A11" s="177" t="s">
        <v>1397</v>
      </c>
      <c r="B11" s="178">
        <f>COUNTIFS(EXPEDIENTES!Q:Q,"Dra. Romero Nayar",EXPEDIENTES!N:N,"AUTO DE PRUEBA")</f>
        <v>10</v>
      </c>
      <c r="D11" s="55" t="s">
        <v>1398</v>
      </c>
      <c r="E11" s="178">
        <f>COUNTIFS(EXPEDIENTES!Q:Q,"Dr. Guillermo Pereyra",EXPEDIENTES!N:N,"AUTO DE PRUEBA")</f>
        <v>11</v>
      </c>
    </row>
    <row r="12" spans="1:5" ht="20.100000000000001" customHeight="1">
      <c r="A12" s="42"/>
    </row>
    <row r="13" spans="1:5" ht="20.100000000000001" customHeight="1">
      <c r="A13" s="42"/>
    </row>
    <row r="14" spans="1:5" ht="20.100000000000001" customHeight="1">
      <c r="A14" s="42"/>
    </row>
    <row r="15" spans="1:5" ht="20.100000000000001" customHeight="1">
      <c r="A15" s="42"/>
    </row>
    <row r="16" spans="1:5" ht="20.100000000000001" customHeight="1"/>
    <row r="17" spans="1:1" ht="20.100000000000001" customHeight="1">
      <c r="A17" s="42"/>
    </row>
    <row r="18" spans="1:1" ht="20.100000000000001" customHeight="1"/>
    <row r="19" spans="1:1" ht="20.100000000000001" customHeight="1"/>
    <row r="20" spans="1:1" ht="20.100000000000001" customHeight="1">
      <c r="A20" s="42"/>
    </row>
    <row r="21" spans="1:1" ht="20.100000000000001" customHeight="1">
      <c r="A21" s="42"/>
    </row>
    <row r="22" spans="1:1" ht="20.100000000000001" customHeight="1">
      <c r="A22" s="42"/>
    </row>
    <row r="23" spans="1:1" ht="20.100000000000001" customHeight="1">
      <c r="A23" s="42"/>
    </row>
    <row r="24" spans="1:1" ht="20.100000000000001" customHeight="1">
      <c r="A24" s="42"/>
    </row>
    <row r="25" spans="1:1" ht="20.100000000000001" customHeight="1">
      <c r="A25" s="42"/>
    </row>
    <row r="26" spans="1:1" ht="20.100000000000001" customHeight="1">
      <c r="A26" s="42"/>
    </row>
    <row r="27" spans="1:1" ht="20.100000000000001" customHeight="1">
      <c r="A27" s="42"/>
    </row>
    <row r="28" spans="1:1" ht="20.100000000000001" customHeight="1">
      <c r="A28" s="42"/>
    </row>
    <row r="29" spans="1:1" ht="20.100000000000001" customHeight="1">
      <c r="A29" s="42"/>
    </row>
    <row r="30" spans="1:1" ht="20.100000000000001" customHeight="1">
      <c r="A30" s="42"/>
    </row>
    <row r="31" spans="1:1" ht="20.100000000000001" customHeight="1">
      <c r="A31" s="42"/>
    </row>
    <row r="32" spans="1:1" ht="20.100000000000001" customHeight="1">
      <c r="A32" s="42"/>
    </row>
    <row r="33" spans="1:1" ht="20.100000000000001" customHeight="1">
      <c r="A33" s="42"/>
    </row>
    <row r="34" spans="1:1" ht="20.100000000000001" customHeight="1">
      <c r="A34" s="42"/>
    </row>
    <row r="35" spans="1:1" ht="20.100000000000001" customHeight="1"/>
    <row r="36" spans="1:1" ht="20.100000000000001" customHeight="1">
      <c r="A36" s="42"/>
    </row>
    <row r="37" spans="1:1" ht="20.100000000000001" customHeight="1">
      <c r="A37" s="42"/>
    </row>
  </sheetData>
  <sortState ref="A1:A37">
    <sortCondition ref="A37"/>
  </sortState>
  <customSheetViews>
    <customSheetView guid="{0199CA3F-EFF7-4FF3-938A-24486AD9575F}" topLeftCell="A23">
      <selection activeCell="A39" sqref="A39"/>
      <pageMargins left="0.7" right="0.7" top="0.75" bottom="0.75" header="0.3" footer="0.3"/>
    </customSheetView>
    <customSheetView guid="{5BF16DBA-4BB4-4498-B7BF-4F2DDC074FBE}" topLeftCell="A22">
      <selection activeCell="A35" sqref="A35"/>
      <pageMargins left="0.7" right="0.7" top="0.75" bottom="0.75" header="0.3" footer="0.3"/>
    </customSheetView>
    <customSheetView guid="{DB4207DD-4199-49C8-82A0-9B1EB1C1B792}" topLeftCell="A23">
      <selection activeCell="A39" sqref="A39"/>
    </customSheetView>
    <customSheetView guid="{8889932B-014C-4A7A-B620-114840895FF5}" topLeftCell="A32">
      <selection activeCell="A42" sqref="A42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B3:G13"/>
  <sheetViews>
    <sheetView workbookViewId="0">
      <selection activeCell="E19" sqref="E19"/>
    </sheetView>
  </sheetViews>
  <sheetFormatPr baseColWidth="10" defaultRowHeight="12.75"/>
  <cols>
    <col min="4" max="4" width="20.28515625" bestFit="1" customWidth="1"/>
    <col min="5" max="5" width="15.28515625" bestFit="1" customWidth="1"/>
    <col min="7" max="7" width="15.28515625" bestFit="1" customWidth="1"/>
  </cols>
  <sheetData>
    <row r="3" spans="2:7" ht="18">
      <c r="D3" s="63" t="s">
        <v>2599</v>
      </c>
    </row>
    <row r="4" spans="2:7" ht="18">
      <c r="B4" s="63"/>
      <c r="C4" s="63"/>
      <c r="D4" s="63" t="s">
        <v>2597</v>
      </c>
      <c r="E4" s="302">
        <v>45257</v>
      </c>
      <c r="F4" s="301" t="s">
        <v>1631</v>
      </c>
      <c r="G4" s="302">
        <v>45261</v>
      </c>
    </row>
    <row r="5" spans="2:7" ht="18">
      <c r="B5" s="303" t="s">
        <v>225</v>
      </c>
      <c r="C5" s="304" t="s">
        <v>299</v>
      </c>
      <c r="D5" s="304" t="s">
        <v>226</v>
      </c>
      <c r="E5" s="63"/>
      <c r="F5" s="63"/>
    </row>
    <row r="6" spans="2:7" ht="15">
      <c r="B6" s="305">
        <f>COUNTIFS(EXPEDIENTES!N:N,"=AUTO DE PRUEBA",EXPEDIENTES!I:I,"&gt;=27/11/2023",EXPEDIENTES!I:I,"&lt;=01/12/2023")</f>
        <v>2</v>
      </c>
      <c r="C6" s="306">
        <f>B6/B11</f>
        <v>0.15384615384615385</v>
      </c>
      <c r="D6" s="307" t="s">
        <v>2600</v>
      </c>
      <c r="E6" s="60"/>
    </row>
    <row r="7" spans="2:7" ht="15">
      <c r="B7" s="305">
        <v>6</v>
      </c>
      <c r="C7" s="306">
        <f>B7/B11</f>
        <v>0.46153846153846156</v>
      </c>
      <c r="D7" s="307" t="s">
        <v>2598</v>
      </c>
      <c r="E7" s="60"/>
    </row>
    <row r="8" spans="2:7" ht="30">
      <c r="B8" s="305">
        <v>3</v>
      </c>
      <c r="C8" s="306">
        <f>B8/B11</f>
        <v>0.23076923076923078</v>
      </c>
      <c r="D8" s="307" t="s">
        <v>211</v>
      </c>
      <c r="E8" s="60"/>
    </row>
    <row r="9" spans="2:7" ht="15">
      <c r="B9" s="305">
        <f>COUNTIFS(EXPEDIENTES!N:N,"=NULIDAD",EXPEDIENTES!I:I,"&gt;=27/11/2023",EXPEDIENTES!I:I,"&lt;=01/12/2023")</f>
        <v>1</v>
      </c>
      <c r="C9" s="306">
        <f>B9/B11</f>
        <v>7.6923076923076927E-2</v>
      </c>
      <c r="D9" s="307" t="s">
        <v>378</v>
      </c>
      <c r="E9" s="60"/>
    </row>
    <row r="10" spans="2:7" ht="15">
      <c r="B10" s="305">
        <f>COUNTIFS(EXPEDIENTES!N:N,"=SOBRESEIMIENTO",EXPEDIENTES!I:I,"&gt;=27/11/2023",EXPEDIENTES!I:I,"&lt;=01/12/2023")</f>
        <v>1</v>
      </c>
      <c r="C10" s="306">
        <f>B10/B11</f>
        <v>7.6923076923076927E-2</v>
      </c>
      <c r="D10" s="344" t="s">
        <v>358</v>
      </c>
      <c r="E10" s="60"/>
    </row>
    <row r="11" spans="2:7" ht="15">
      <c r="B11" s="308">
        <f>SUM(B6:B10)</f>
        <v>13</v>
      </c>
      <c r="C11" s="309">
        <f>SUM(C6:C10)</f>
        <v>1</v>
      </c>
      <c r="D11" s="310" t="s">
        <v>45</v>
      </c>
      <c r="E11" s="60"/>
    </row>
    <row r="12" spans="2:7">
      <c r="E12" s="60"/>
    </row>
    <row r="13" spans="2:7">
      <c r="E13" s="60"/>
    </row>
  </sheetData>
  <pageMargins left="0.7" right="0.7" top="0.75" bottom="0.75" header="0.3" footer="0.3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2"/>
  <dimension ref="A1:E16"/>
  <sheetViews>
    <sheetView workbookViewId="0">
      <selection activeCell="O12" sqref="O12"/>
    </sheetView>
  </sheetViews>
  <sheetFormatPr baseColWidth="10" defaultRowHeight="12.75"/>
  <cols>
    <col min="1" max="1" width="21" customWidth="1"/>
    <col min="2" max="2" width="12.42578125" customWidth="1"/>
    <col min="3" max="3" width="9.85546875" customWidth="1"/>
    <col min="4" max="4" width="21" customWidth="1"/>
    <col min="5" max="5" width="12.42578125" customWidth="1"/>
  </cols>
  <sheetData>
    <row r="1" spans="1:5" ht="45" customHeight="1"/>
    <row r="2" spans="1:5">
      <c r="A2" s="215" t="s">
        <v>4</v>
      </c>
      <c r="B2" s="116">
        <v>45191</v>
      </c>
      <c r="D2" s="215" t="s">
        <v>4</v>
      </c>
      <c r="E2" s="116">
        <v>45194</v>
      </c>
    </row>
    <row r="4" spans="1:5">
      <c r="A4" s="215" t="s">
        <v>1586</v>
      </c>
      <c r="D4" s="215" t="s">
        <v>1586</v>
      </c>
    </row>
    <row r="5" spans="1:5">
      <c r="A5" s="13" t="s">
        <v>330</v>
      </c>
      <c r="D5" s="13" t="s">
        <v>329</v>
      </c>
    </row>
    <row r="6" spans="1:5">
      <c r="A6" s="115" t="s">
        <v>111</v>
      </c>
      <c r="D6" s="115" t="s">
        <v>282</v>
      </c>
    </row>
    <row r="7" spans="1:5">
      <c r="A7" s="216" t="s">
        <v>14</v>
      </c>
      <c r="D7" s="216" t="s">
        <v>324</v>
      </c>
    </row>
    <row r="8" spans="1:5">
      <c r="A8" s="115" t="s">
        <v>324</v>
      </c>
      <c r="D8" s="115" t="s">
        <v>14</v>
      </c>
    </row>
    <row r="9" spans="1:5">
      <c r="A9" s="216" t="s">
        <v>282</v>
      </c>
      <c r="D9" s="216" t="s">
        <v>325</v>
      </c>
    </row>
    <row r="10" spans="1:5">
      <c r="A10" s="13" t="s">
        <v>332</v>
      </c>
      <c r="D10" s="13" t="s">
        <v>333</v>
      </c>
    </row>
    <row r="11" spans="1:5">
      <c r="A11" s="115" t="s">
        <v>327</v>
      </c>
      <c r="D11" s="115" t="s">
        <v>14</v>
      </c>
    </row>
    <row r="12" spans="1:5">
      <c r="A12" s="216" t="s">
        <v>396</v>
      </c>
      <c r="D12" s="216" t="s">
        <v>327</v>
      </c>
    </row>
    <row r="13" spans="1:5">
      <c r="A13" s="13" t="s">
        <v>328</v>
      </c>
      <c r="D13" s="13" t="s">
        <v>1587</v>
      </c>
    </row>
    <row r="14" spans="1:5">
      <c r="A14" s="115" t="s">
        <v>325</v>
      </c>
    </row>
    <row r="15" spans="1:5">
      <c r="A15" s="216" t="s">
        <v>960</v>
      </c>
    </row>
    <row r="16" spans="1:5">
      <c r="A16" s="13" t="s">
        <v>1587</v>
      </c>
    </row>
  </sheetData>
  <pageMargins left="0.7" right="0.7" top="0.75" bottom="0.75" header="0.3" footer="0.3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0"/>
  <dimension ref="A1:A57"/>
  <sheetViews>
    <sheetView workbookViewId="0">
      <selection activeCell="O12" sqref="O12"/>
    </sheetView>
  </sheetViews>
  <sheetFormatPr baseColWidth="10" defaultRowHeight="12.75"/>
  <cols>
    <col min="1" max="1" width="43.85546875" style="40" bestFit="1" customWidth="1"/>
  </cols>
  <sheetData>
    <row r="1" spans="1:1" ht="20.100000000000001" customHeight="1">
      <c r="A1" s="69" t="s">
        <v>110</v>
      </c>
    </row>
    <row r="2" spans="1:1" ht="20.100000000000001" customHeight="1">
      <c r="A2" s="69" t="s">
        <v>107</v>
      </c>
    </row>
    <row r="3" spans="1:1" ht="20.100000000000001" customHeight="1">
      <c r="A3" s="70" t="s">
        <v>115</v>
      </c>
    </row>
    <row r="4" spans="1:1" ht="20.100000000000001" customHeight="1">
      <c r="A4" s="70" t="s">
        <v>141</v>
      </c>
    </row>
    <row r="5" spans="1:1" ht="20.100000000000001" customHeight="1">
      <c r="A5" s="70" t="s">
        <v>140</v>
      </c>
    </row>
    <row r="6" spans="1:1" ht="20.100000000000001" customHeight="1">
      <c r="A6" s="70" t="s">
        <v>348</v>
      </c>
    </row>
    <row r="7" spans="1:1" ht="20.100000000000001" customHeight="1">
      <c r="A7" s="42" t="s">
        <v>169</v>
      </c>
    </row>
    <row r="8" spans="1:1" ht="20.100000000000001" customHeight="1">
      <c r="A8" s="70" t="s">
        <v>349</v>
      </c>
    </row>
    <row r="9" spans="1:1" ht="20.100000000000001" customHeight="1">
      <c r="A9" s="70" t="s">
        <v>350</v>
      </c>
    </row>
    <row r="10" spans="1:1" ht="20.100000000000001" customHeight="1">
      <c r="A10" s="70" t="s">
        <v>202</v>
      </c>
    </row>
    <row r="11" spans="1:1" ht="20.100000000000001" customHeight="1">
      <c r="A11" s="70" t="s">
        <v>269</v>
      </c>
    </row>
    <row r="12" spans="1:1" ht="20.100000000000001" customHeight="1">
      <c r="A12" s="69" t="s">
        <v>132</v>
      </c>
    </row>
    <row r="13" spans="1:1" ht="20.100000000000001" customHeight="1">
      <c r="A13" s="69" t="s">
        <v>351</v>
      </c>
    </row>
    <row r="14" spans="1:1" ht="20.100000000000001" customHeight="1">
      <c r="A14" s="69" t="s">
        <v>137</v>
      </c>
    </row>
    <row r="15" spans="1:1" ht="20.100000000000001" customHeight="1">
      <c r="A15" s="69" t="s">
        <v>133</v>
      </c>
    </row>
    <row r="16" spans="1:1" ht="20.100000000000001" customHeight="1">
      <c r="A16" s="70" t="s">
        <v>352</v>
      </c>
    </row>
    <row r="17" spans="1:1" ht="20.100000000000001" customHeight="1">
      <c r="A17" s="69" t="s">
        <v>116</v>
      </c>
    </row>
    <row r="18" spans="1:1" ht="20.100000000000001" customHeight="1">
      <c r="A18" s="69" t="s">
        <v>117</v>
      </c>
    </row>
    <row r="19" spans="1:1" ht="20.100000000000001" customHeight="1">
      <c r="A19" s="69" t="s">
        <v>118</v>
      </c>
    </row>
    <row r="20" spans="1:1" ht="20.100000000000001" customHeight="1">
      <c r="A20" s="69" t="s">
        <v>119</v>
      </c>
    </row>
    <row r="21" spans="1:1" ht="20.100000000000001" customHeight="1">
      <c r="A21" s="69" t="s">
        <v>136</v>
      </c>
    </row>
    <row r="22" spans="1:1" ht="20.100000000000001" customHeight="1">
      <c r="A22" s="69" t="s">
        <v>134</v>
      </c>
    </row>
    <row r="23" spans="1:1" ht="20.100000000000001" customHeight="1">
      <c r="A23" s="69" t="s">
        <v>250</v>
      </c>
    </row>
    <row r="24" spans="1:1" ht="20.100000000000001" customHeight="1">
      <c r="A24" s="69" t="s">
        <v>135</v>
      </c>
    </row>
    <row r="25" spans="1:1" ht="20.100000000000001" customHeight="1">
      <c r="A25" s="69" t="s">
        <v>120</v>
      </c>
    </row>
    <row r="26" spans="1:1" ht="20.100000000000001" customHeight="1">
      <c r="A26" s="70" t="s">
        <v>265</v>
      </c>
    </row>
    <row r="27" spans="1:1" ht="20.100000000000001" customHeight="1">
      <c r="A27" s="69" t="s">
        <v>112</v>
      </c>
    </row>
    <row r="28" spans="1:1" ht="20.100000000000001" customHeight="1">
      <c r="A28" s="69" t="s">
        <v>25</v>
      </c>
    </row>
    <row r="29" spans="1:1" ht="20.100000000000001" customHeight="1">
      <c r="A29" s="70" t="s">
        <v>245</v>
      </c>
    </row>
    <row r="30" spans="1:1" ht="20.100000000000001" customHeight="1">
      <c r="A30" s="69" t="s">
        <v>200</v>
      </c>
    </row>
    <row r="31" spans="1:1" ht="20.100000000000001" customHeight="1">
      <c r="A31" s="70" t="s">
        <v>263</v>
      </c>
    </row>
    <row r="32" spans="1:1" ht="20.100000000000001" customHeight="1">
      <c r="A32" s="69" t="s">
        <v>121</v>
      </c>
    </row>
    <row r="33" spans="1:1" ht="20.100000000000001" customHeight="1">
      <c r="A33" s="69" t="s">
        <v>122</v>
      </c>
    </row>
    <row r="34" spans="1:1" ht="20.100000000000001" customHeight="1">
      <c r="A34" s="69" t="s">
        <v>123</v>
      </c>
    </row>
    <row r="35" spans="1:1" ht="20.100000000000001" customHeight="1">
      <c r="A35" s="69" t="s">
        <v>124</v>
      </c>
    </row>
    <row r="36" spans="1:1" ht="20.100000000000001" customHeight="1">
      <c r="A36" s="69" t="s">
        <v>125</v>
      </c>
    </row>
    <row r="37" spans="1:1" ht="20.100000000000001" customHeight="1">
      <c r="A37" s="70" t="s">
        <v>301</v>
      </c>
    </row>
    <row r="38" spans="1:1" ht="20.100000000000001" customHeight="1">
      <c r="A38" s="69" t="s">
        <v>179</v>
      </c>
    </row>
    <row r="39" spans="1:1" ht="20.100000000000001" customHeight="1">
      <c r="A39" s="70" t="s">
        <v>271</v>
      </c>
    </row>
    <row r="40" spans="1:1" ht="20.100000000000001" customHeight="1">
      <c r="A40" s="70" t="s">
        <v>261</v>
      </c>
    </row>
    <row r="41" spans="1:1" ht="20.100000000000001" customHeight="1">
      <c r="A41" s="70" t="s">
        <v>260</v>
      </c>
    </row>
    <row r="42" spans="1:1" ht="20.100000000000001" customHeight="1">
      <c r="A42" s="70" t="s">
        <v>262</v>
      </c>
    </row>
    <row r="43" spans="1:1" ht="20.100000000000001" customHeight="1">
      <c r="A43" s="69" t="s">
        <v>180</v>
      </c>
    </row>
    <row r="44" spans="1:1" ht="20.100000000000001" customHeight="1">
      <c r="A44" s="70" t="s">
        <v>294</v>
      </c>
    </row>
    <row r="45" spans="1:1" ht="20.100000000000001" customHeight="1">
      <c r="A45" s="69" t="s">
        <v>32</v>
      </c>
    </row>
    <row r="46" spans="1:1" ht="20.100000000000001" customHeight="1">
      <c r="A46" s="70" t="s">
        <v>203</v>
      </c>
    </row>
    <row r="47" spans="1:1" ht="20.100000000000001" customHeight="1">
      <c r="A47" s="70" t="s">
        <v>296</v>
      </c>
    </row>
    <row r="48" spans="1:1" ht="20.100000000000001" customHeight="1">
      <c r="A48" s="69" t="s">
        <v>126</v>
      </c>
    </row>
    <row r="49" spans="1:1" ht="20.100000000000001" customHeight="1">
      <c r="A49" s="70" t="s">
        <v>264</v>
      </c>
    </row>
    <row r="50" spans="1:1" ht="20.100000000000001" customHeight="1">
      <c r="A50" s="71" t="s">
        <v>127</v>
      </c>
    </row>
    <row r="51" spans="1:1" ht="20.100000000000001" customHeight="1">
      <c r="A51" s="70" t="s">
        <v>302</v>
      </c>
    </row>
    <row r="52" spans="1:1" ht="20.100000000000001" customHeight="1">
      <c r="A52" s="70" t="s">
        <v>295</v>
      </c>
    </row>
    <row r="53" spans="1:1" ht="20.100000000000001" customHeight="1">
      <c r="A53" s="69" t="s">
        <v>128</v>
      </c>
    </row>
    <row r="54" spans="1:1" ht="20.100000000000001" customHeight="1">
      <c r="A54" s="70" t="s">
        <v>297</v>
      </c>
    </row>
    <row r="55" spans="1:1" ht="20.100000000000001" customHeight="1">
      <c r="A55" s="69" t="s">
        <v>129</v>
      </c>
    </row>
    <row r="56" spans="1:1" ht="20.100000000000001" customHeight="1">
      <c r="A56" s="71" t="s">
        <v>36</v>
      </c>
    </row>
    <row r="57" spans="1:1" ht="20.100000000000001" customHeight="1">
      <c r="A57" s="69" t="s">
        <v>130</v>
      </c>
    </row>
  </sheetData>
  <sortState ref="A1:A57">
    <sortCondition ref="A1"/>
  </sortState>
  <customSheetViews>
    <customSheetView guid="{0199CA3F-EFF7-4FF3-938A-24486AD9575F}" topLeftCell="A29">
      <selection activeCell="A50" sqref="A50"/>
      <pageMargins left="0.7" right="0.7" top="0.75" bottom="0.75" header="0.3" footer="0.3"/>
    </customSheetView>
    <customSheetView guid="{5BF16DBA-4BB4-4498-B7BF-4F2DDC074FBE}" topLeftCell="A28">
      <selection activeCell="D51" sqref="D51"/>
      <pageMargins left="0.7" right="0.7" top="0.75" bottom="0.75" header="0.3" footer="0.3"/>
    </customSheetView>
    <customSheetView guid="{DB4207DD-4199-49C8-82A0-9B1EB1C1B792}" topLeftCell="A29">
      <selection activeCell="A50" sqref="A50"/>
    </customSheetView>
    <customSheetView guid="{8889932B-014C-4A7A-B620-114840895FF5}" topLeftCell="A36">
      <selection activeCell="A60" sqref="A6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2"/>
  <dimension ref="A1:A12"/>
  <sheetViews>
    <sheetView workbookViewId="0">
      <selection activeCell="A13" sqref="A13"/>
    </sheetView>
  </sheetViews>
  <sheetFormatPr baseColWidth="10" defaultRowHeight="12.75"/>
  <sheetData>
    <row r="1" spans="1:1">
      <c r="A1" s="7" t="s">
        <v>171</v>
      </c>
    </row>
    <row r="2" spans="1:1">
      <c r="A2" s="7" t="s">
        <v>172</v>
      </c>
    </row>
    <row r="3" spans="1:1">
      <c r="A3" s="7" t="s">
        <v>173</v>
      </c>
    </row>
    <row r="4" spans="1:1">
      <c r="A4" s="7" t="s">
        <v>174</v>
      </c>
    </row>
    <row r="5" spans="1:1">
      <c r="A5" s="7" t="s">
        <v>175</v>
      </c>
    </row>
    <row r="6" spans="1:1">
      <c r="A6" s="7" t="s">
        <v>176</v>
      </c>
    </row>
    <row r="7" spans="1:1">
      <c r="A7" s="7" t="s">
        <v>177</v>
      </c>
    </row>
    <row r="8" spans="1:1">
      <c r="A8" s="7" t="s">
        <v>178</v>
      </c>
    </row>
    <row r="12" spans="1:1">
      <c r="A12">
        <f>IF(N3="EXCLUSION",1, IF(N3="SUSPENDIDA",2,IF(N3="REPROGRAMADA",3,IF(N3="COLEGIADO",4,IF(color_Celda(A3)=8079712,50,IF(color_Celda(A3)=65535,51,99))))))</f>
        <v>99</v>
      </c>
    </row>
  </sheetData>
  <customSheetViews>
    <customSheetView guid="{0199CA3F-EFF7-4FF3-938A-24486AD9575F}">
      <selection activeCell="A11" sqref="A11"/>
      <pageMargins left="0.7" right="0.7" top="0.75" bottom="0.75" header="0.3" footer="0.3"/>
    </customSheetView>
    <customSheetView guid="{5BF16DBA-4BB4-4498-B7BF-4F2DDC074FBE}">
      <selection activeCell="A11" sqref="A11"/>
      <pageMargins left="0.7" right="0.7" top="0.75" bottom="0.75" header="0.3" footer="0.3"/>
    </customSheetView>
    <customSheetView guid="{DB4207DD-4199-49C8-82A0-9B1EB1C1B792}">
      <selection activeCell="A11" sqref="A11"/>
    </customSheetView>
    <customSheetView guid="{8889932B-014C-4A7A-B620-114840895FF5}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3"/>
  <dimension ref="C2:F3"/>
  <sheetViews>
    <sheetView workbookViewId="0">
      <selection activeCell="B5" sqref="B5"/>
    </sheetView>
  </sheetViews>
  <sheetFormatPr baseColWidth="10" defaultRowHeight="12.75"/>
  <cols>
    <col min="3" max="3" width="21.28515625" bestFit="1" customWidth="1"/>
  </cols>
  <sheetData>
    <row r="2" spans="3:6" ht="15">
      <c r="C2" s="217" t="s">
        <v>1629</v>
      </c>
    </row>
    <row r="3" spans="3:6" ht="15">
      <c r="C3" s="217" t="s">
        <v>1630</v>
      </c>
      <c r="D3" s="218">
        <v>45173</v>
      </c>
      <c r="E3" s="219" t="s">
        <v>1631</v>
      </c>
      <c r="F3" s="218">
        <v>45177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/>
  <dimension ref="A1:F34"/>
  <sheetViews>
    <sheetView workbookViewId="0">
      <selection activeCell="O12" sqref="O12"/>
    </sheetView>
  </sheetViews>
  <sheetFormatPr baseColWidth="10" defaultRowHeight="12.75"/>
  <cols>
    <col min="1" max="2" width="45.7109375" customWidth="1"/>
  </cols>
  <sheetData>
    <row r="1" spans="1:6">
      <c r="A1" s="60" t="s">
        <v>212</v>
      </c>
      <c r="B1" s="60" t="s">
        <v>212</v>
      </c>
    </row>
    <row r="2" spans="1:6">
      <c r="A2" s="60" t="s">
        <v>259</v>
      </c>
      <c r="B2" s="60" t="s">
        <v>209</v>
      </c>
      <c r="F2" s="7"/>
    </row>
    <row r="3" spans="1:6">
      <c r="A3" s="60" t="s">
        <v>208</v>
      </c>
      <c r="B3" s="60" t="s">
        <v>21</v>
      </c>
    </row>
    <row r="4" spans="1:6">
      <c r="A4" s="60" t="s">
        <v>207</v>
      </c>
      <c r="B4" s="60" t="s">
        <v>21</v>
      </c>
    </row>
    <row r="5" spans="1:6">
      <c r="A5" s="60" t="s">
        <v>210</v>
      </c>
      <c r="B5" s="60" t="s">
        <v>21</v>
      </c>
    </row>
    <row r="6" spans="1:6">
      <c r="A6" s="60" t="s">
        <v>205</v>
      </c>
      <c r="B6" s="60" t="s">
        <v>205</v>
      </c>
    </row>
    <row r="7" spans="1:6">
      <c r="A7" s="60" t="s">
        <v>204</v>
      </c>
      <c r="B7" s="60" t="s">
        <v>205</v>
      </c>
    </row>
    <row r="8" spans="1:6">
      <c r="A8" s="60" t="s">
        <v>215</v>
      </c>
      <c r="B8" s="60" t="s">
        <v>215</v>
      </c>
    </row>
    <row r="9" spans="1:6">
      <c r="A9" s="60" t="s">
        <v>244</v>
      </c>
      <c r="B9" s="60" t="s">
        <v>215</v>
      </c>
    </row>
    <row r="10" spans="1:6">
      <c r="A10" s="60" t="s">
        <v>22</v>
      </c>
      <c r="B10" s="60" t="s">
        <v>22</v>
      </c>
    </row>
    <row r="11" spans="1:6">
      <c r="A11" s="60" t="s">
        <v>206</v>
      </c>
      <c r="B11" s="60" t="s">
        <v>206</v>
      </c>
    </row>
    <row r="12" spans="1:6">
      <c r="A12" s="60" t="s">
        <v>214</v>
      </c>
      <c r="B12" s="60" t="s">
        <v>239</v>
      </c>
    </row>
    <row r="13" spans="1:6">
      <c r="A13" s="60" t="s">
        <v>213</v>
      </c>
      <c r="B13" s="60" t="s">
        <v>239</v>
      </c>
    </row>
    <row r="14" spans="1:6">
      <c r="A14" s="60" t="s">
        <v>211</v>
      </c>
      <c r="B14" s="60" t="s">
        <v>211</v>
      </c>
    </row>
    <row r="15" spans="1:6">
      <c r="A15" s="60" t="s">
        <v>256</v>
      </c>
      <c r="B15" s="60" t="s">
        <v>239</v>
      </c>
    </row>
    <row r="16" spans="1:6">
      <c r="A16" s="60" t="s">
        <v>258</v>
      </c>
      <c r="B16" s="60" t="s">
        <v>240</v>
      </c>
      <c r="D16" s="7"/>
    </row>
    <row r="17" spans="1:2">
      <c r="A17" s="60" t="s">
        <v>240</v>
      </c>
      <c r="B17" s="60" t="s">
        <v>240</v>
      </c>
    </row>
    <row r="18" spans="1:2">
      <c r="A18" s="60" t="s">
        <v>240</v>
      </c>
      <c r="B18" s="60" t="s">
        <v>240</v>
      </c>
    </row>
    <row r="19" spans="1:2">
      <c r="A19" s="60" t="s">
        <v>240</v>
      </c>
      <c r="B19" s="60" t="s">
        <v>240</v>
      </c>
    </row>
    <row r="20" spans="1:2">
      <c r="A20" s="60" t="s">
        <v>240</v>
      </c>
      <c r="B20" s="60" t="s">
        <v>240</v>
      </c>
    </row>
    <row r="21" spans="1:2">
      <c r="A21" s="60" t="s">
        <v>240</v>
      </c>
      <c r="B21" s="60" t="s">
        <v>240</v>
      </c>
    </row>
    <row r="22" spans="1:2">
      <c r="A22" s="60" t="s">
        <v>240</v>
      </c>
      <c r="B22" s="60" t="s">
        <v>240</v>
      </c>
    </row>
    <row r="23" spans="1:2">
      <c r="A23" s="60" t="s">
        <v>240</v>
      </c>
      <c r="B23" s="60" t="s">
        <v>240</v>
      </c>
    </row>
    <row r="24" spans="1:2">
      <c r="A24" s="60" t="s">
        <v>240</v>
      </c>
      <c r="B24" s="60" t="s">
        <v>240</v>
      </c>
    </row>
    <row r="25" spans="1:2">
      <c r="A25" s="60" t="s">
        <v>240</v>
      </c>
      <c r="B25" s="60" t="s">
        <v>240</v>
      </c>
    </row>
    <row r="26" spans="1:2">
      <c r="A26" s="60" t="s">
        <v>240</v>
      </c>
      <c r="B26" s="60" t="s">
        <v>240</v>
      </c>
    </row>
    <row r="27" spans="1:2">
      <c r="A27" s="60" t="s">
        <v>240</v>
      </c>
      <c r="B27" s="60" t="s">
        <v>240</v>
      </c>
    </row>
    <row r="28" spans="1:2">
      <c r="A28" s="60" t="s">
        <v>240</v>
      </c>
      <c r="B28" s="60" t="s">
        <v>240</v>
      </c>
    </row>
    <row r="29" spans="1:2">
      <c r="A29" s="60" t="s">
        <v>240</v>
      </c>
      <c r="B29" s="60" t="s">
        <v>240</v>
      </c>
    </row>
    <row r="30" spans="1:2">
      <c r="A30" s="60" t="s">
        <v>240</v>
      </c>
      <c r="B30" s="60" t="s">
        <v>240</v>
      </c>
    </row>
    <row r="31" spans="1:2">
      <c r="A31" s="60" t="s">
        <v>240</v>
      </c>
      <c r="B31" s="60" t="s">
        <v>240</v>
      </c>
    </row>
    <row r="32" spans="1:2">
      <c r="A32" s="60"/>
    </row>
    <row r="33" spans="1:1">
      <c r="A33" s="60"/>
    </row>
    <row r="34" spans="1:1">
      <c r="A34" s="60"/>
    </row>
  </sheetData>
  <sortState ref="A1:A13">
    <sortCondition ref="A1:A13"/>
  </sortState>
  <customSheetViews>
    <customSheetView guid="{0199CA3F-EFF7-4FF3-938A-24486AD9575F}">
      <selection activeCell="A3" sqref="A3"/>
      <pageMargins left="0.7" right="0.7" top="0.75" bottom="0.75" header="0.3" footer="0.3"/>
    </customSheetView>
    <customSheetView guid="{5BF16DBA-4BB4-4498-B7BF-4F2DDC074FBE}">
      <selection activeCell="A3" sqref="A3"/>
      <pageMargins left="0.7" right="0.7" top="0.75" bottom="0.75" header="0.3" footer="0.3"/>
    </customSheetView>
    <customSheetView guid="{DB4207DD-4199-49C8-82A0-9B1EB1C1B792}">
      <selection activeCell="A3" sqref="A3"/>
    </customSheetView>
    <customSheetView guid="{8889932B-014C-4A7A-B620-114840895FF5}">
      <selection activeCell="A10" sqref="A1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6"/>
  <dimension ref="A1:A4"/>
  <sheetViews>
    <sheetView workbookViewId="0">
      <pane xSplit="20115"/>
      <selection activeCell="N9" sqref="N9"/>
      <selection pane="topRight"/>
    </sheetView>
  </sheetViews>
  <sheetFormatPr baseColWidth="10" defaultRowHeight="12.75"/>
  <sheetData>
    <row r="1" spans="1:1" ht="38.25">
      <c r="A1" s="4" t="s">
        <v>253</v>
      </c>
    </row>
    <row r="2" spans="1:1" ht="38.25">
      <c r="A2" s="4" t="s">
        <v>254</v>
      </c>
    </row>
    <row r="3" spans="1:1" ht="51">
      <c r="A3" s="4" t="s">
        <v>255</v>
      </c>
    </row>
    <row r="4" spans="1:1" ht="63.75">
      <c r="A4" s="4" t="s">
        <v>257</v>
      </c>
    </row>
  </sheetData>
  <customSheetViews>
    <customSheetView guid="{0199CA3F-EFF7-4FF3-938A-24486AD9575F}">
      <pageMargins left="0.7" right="0.7" top="0.75" bottom="0.75" header="0.3" footer="0.3"/>
    </customSheetView>
    <customSheetView guid="{5BF16DBA-4BB4-4498-B7BF-4F2DDC074FBE}">
      <pageMargins left="0.7" right="0.7" top="0.75" bottom="0.75" header="0.3" footer="0.3"/>
    </customSheetView>
    <customSheetView guid="{DB4207DD-4199-49C8-82A0-9B1EB1C1B792}"/>
    <customSheetView guid="{8889932B-014C-4A7A-B620-114840895FF5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9"/>
  <dimension ref="A1:U21"/>
  <sheetViews>
    <sheetView workbookViewId="0">
      <selection activeCell="O12" sqref="O12"/>
    </sheetView>
  </sheetViews>
  <sheetFormatPr baseColWidth="10" defaultRowHeight="12.75"/>
  <cols>
    <col min="2" max="2" width="21.42578125" customWidth="1"/>
    <col min="4" max="4" width="16.85546875" customWidth="1"/>
    <col min="5" max="5" width="15" customWidth="1"/>
    <col min="11" max="11" width="53.7109375" style="13" customWidth="1"/>
    <col min="13" max="13" width="40.140625" bestFit="1" customWidth="1"/>
  </cols>
  <sheetData>
    <row r="1" spans="1:21" ht="24.95" customHeight="1">
      <c r="M1" s="18" t="s">
        <v>69</v>
      </c>
    </row>
    <row r="2" spans="1:21" s="1" customFormat="1" ht="39.950000000000003" customHeight="1">
      <c r="A2" s="23" t="s">
        <v>1</v>
      </c>
      <c r="B2" s="23" t="s">
        <v>2</v>
      </c>
      <c r="C2" s="23" t="s">
        <v>89</v>
      </c>
      <c r="D2" s="23" t="s">
        <v>3</v>
      </c>
      <c r="E2" s="23" t="s">
        <v>90</v>
      </c>
      <c r="F2" s="23" t="s">
        <v>5</v>
      </c>
      <c r="G2" s="23" t="s">
        <v>91</v>
      </c>
      <c r="H2" s="23" t="s">
        <v>92</v>
      </c>
      <c r="I2" s="23" t="s">
        <v>93</v>
      </c>
      <c r="J2" s="23" t="s">
        <v>94</v>
      </c>
      <c r="K2" s="23" t="s">
        <v>95</v>
      </c>
      <c r="L2" s="6" t="str">
        <f ca="1">IF(E3&lt;=TODAY(),"SI","NO")</f>
        <v>SI</v>
      </c>
      <c r="M2" s="15" t="s">
        <v>12</v>
      </c>
      <c r="N2" s="15">
        <f>COUNTIF($D:$D, "Dra. Lamas")</f>
        <v>1</v>
      </c>
    </row>
    <row r="3" spans="1:21" ht="39.950000000000003" customHeight="1">
      <c r="A3" s="28" t="s">
        <v>55</v>
      </c>
      <c r="B3" s="28" t="s">
        <v>56</v>
      </c>
      <c r="C3" s="28">
        <v>4</v>
      </c>
      <c r="D3" s="28" t="s">
        <v>33</v>
      </c>
      <c r="E3" s="29">
        <v>45002</v>
      </c>
      <c r="F3" s="28"/>
      <c r="G3" s="29"/>
      <c r="H3" s="28"/>
      <c r="I3" s="28" t="s">
        <v>31</v>
      </c>
      <c r="J3" s="28" t="s">
        <v>57</v>
      </c>
      <c r="K3" s="35" t="s">
        <v>60</v>
      </c>
      <c r="M3" s="8" t="s">
        <v>10</v>
      </c>
      <c r="N3" s="8">
        <f>COUNTIF($D:$D, "Dr. Moreno")</f>
        <v>0</v>
      </c>
    </row>
    <row r="4" spans="1:21" s="14" customFormat="1" ht="39.950000000000003" customHeight="1">
      <c r="A4" s="31" t="s">
        <v>73</v>
      </c>
      <c r="B4" s="31" t="s">
        <v>75</v>
      </c>
      <c r="C4" s="31">
        <v>4</v>
      </c>
      <c r="D4" s="31" t="s">
        <v>33</v>
      </c>
      <c r="E4" s="28"/>
      <c r="F4" s="28"/>
      <c r="G4" s="28"/>
      <c r="H4" s="28"/>
      <c r="I4" s="31" t="s">
        <v>34</v>
      </c>
      <c r="J4" s="31" t="s">
        <v>74</v>
      </c>
      <c r="K4" s="35" t="s">
        <v>76</v>
      </c>
      <c r="M4" s="8" t="s">
        <v>6</v>
      </c>
      <c r="N4" s="8">
        <f>COUNTIF($D:$D, "Dr. Cervantes")</f>
        <v>1</v>
      </c>
    </row>
    <row r="5" spans="1:21" s="1" customFormat="1" ht="39.950000000000003" customHeight="1">
      <c r="A5" s="28" t="s">
        <v>38</v>
      </c>
      <c r="B5" s="28" t="s">
        <v>79</v>
      </c>
      <c r="C5" s="28">
        <v>4</v>
      </c>
      <c r="D5" s="28" t="s">
        <v>29</v>
      </c>
      <c r="E5" s="36">
        <v>45021</v>
      </c>
      <c r="F5" s="31" t="s">
        <v>13</v>
      </c>
      <c r="G5" s="32" t="s">
        <v>9</v>
      </c>
      <c r="H5" s="28">
        <v>4</v>
      </c>
      <c r="I5" s="28" t="s">
        <v>43</v>
      </c>
      <c r="J5" s="28" t="s">
        <v>44</v>
      </c>
      <c r="K5" s="35" t="s">
        <v>80</v>
      </c>
      <c r="L5" s="6" t="str">
        <f ca="1">IF(E6&lt;=TODAY(),"SI","NO")</f>
        <v>SI</v>
      </c>
      <c r="M5" s="8" t="s">
        <v>29</v>
      </c>
      <c r="N5" s="8">
        <f>COUNTIF($D:$D, "Dra. Nallim")</f>
        <v>2</v>
      </c>
    </row>
    <row r="6" spans="1:21" ht="39.950000000000003" customHeight="1">
      <c r="A6" s="28" t="s">
        <v>77</v>
      </c>
      <c r="B6" s="28" t="s">
        <v>78</v>
      </c>
      <c r="C6" s="28">
        <v>4</v>
      </c>
      <c r="D6" s="28" t="s">
        <v>101</v>
      </c>
      <c r="E6" s="29"/>
      <c r="F6" s="28"/>
      <c r="G6" s="29"/>
      <c r="H6" s="28"/>
      <c r="I6" s="28"/>
      <c r="J6" s="28"/>
      <c r="K6" s="35" t="s">
        <v>82</v>
      </c>
      <c r="M6" s="8" t="s">
        <v>8</v>
      </c>
      <c r="N6" s="8">
        <f>COUNTIF($D:$D, "Dr. Quiroga")</f>
        <v>1</v>
      </c>
    </row>
    <row r="7" spans="1:21" ht="39.950000000000003" customHeight="1">
      <c r="A7" s="31" t="s">
        <v>85</v>
      </c>
      <c r="B7" s="31" t="s">
        <v>84</v>
      </c>
      <c r="C7" s="28">
        <v>4</v>
      </c>
      <c r="D7" s="28" t="s">
        <v>29</v>
      </c>
      <c r="E7" s="29">
        <v>45030</v>
      </c>
      <c r="F7" s="30" t="s">
        <v>15</v>
      </c>
      <c r="G7" s="29" t="s">
        <v>9</v>
      </c>
      <c r="H7" s="28">
        <v>4</v>
      </c>
      <c r="I7" s="28" t="s">
        <v>87</v>
      </c>
      <c r="J7" s="28" t="s">
        <v>86</v>
      </c>
      <c r="K7" s="37" t="s">
        <v>88</v>
      </c>
      <c r="M7" s="8" t="s">
        <v>40</v>
      </c>
      <c r="N7" s="8">
        <f>COUNTIF($D:$D, "Dra. Volante (Dr.Robbio)")</f>
        <v>3</v>
      </c>
    </row>
    <row r="8" spans="1:21" s="1" customFormat="1" ht="39.950000000000003" customHeight="1">
      <c r="A8" s="28" t="s">
        <v>48</v>
      </c>
      <c r="B8" s="28" t="s">
        <v>50</v>
      </c>
      <c r="C8" s="28">
        <v>4</v>
      </c>
      <c r="D8" s="28" t="s">
        <v>8</v>
      </c>
      <c r="E8" s="29">
        <v>45015</v>
      </c>
      <c r="F8" s="31" t="s">
        <v>13</v>
      </c>
      <c r="G8" s="29" t="s">
        <v>9</v>
      </c>
      <c r="H8" s="28">
        <v>4</v>
      </c>
      <c r="I8" s="28" t="s">
        <v>49</v>
      </c>
      <c r="J8" s="31" t="s">
        <v>42</v>
      </c>
      <c r="K8" s="28" t="s">
        <v>99</v>
      </c>
      <c r="M8" s="8" t="s">
        <v>96</v>
      </c>
      <c r="N8" s="8">
        <f>COUNTIF($D:$D, "Dra. Chanchorra")</f>
        <v>0</v>
      </c>
      <c r="O8" s="3"/>
    </row>
    <row r="9" spans="1:21" s="1" customFormat="1" ht="39.950000000000003" customHeight="1">
      <c r="A9" s="28" t="s">
        <v>58</v>
      </c>
      <c r="B9" s="28" t="s">
        <v>59</v>
      </c>
      <c r="C9" s="28">
        <v>4</v>
      </c>
      <c r="D9" s="28" t="s">
        <v>6</v>
      </c>
      <c r="E9" s="32">
        <v>45033</v>
      </c>
      <c r="F9" s="30" t="s">
        <v>13</v>
      </c>
      <c r="G9" s="29" t="s">
        <v>11</v>
      </c>
      <c r="H9" s="28">
        <v>3</v>
      </c>
      <c r="I9" s="28" t="s">
        <v>35</v>
      </c>
      <c r="J9" s="28" t="s">
        <v>42</v>
      </c>
      <c r="K9" s="28" t="s">
        <v>102</v>
      </c>
      <c r="M9" s="8" t="s">
        <v>83</v>
      </c>
      <c r="N9" s="34">
        <f>COUNTIF($D:$D, "Sin asignar")</f>
        <v>1</v>
      </c>
      <c r="O9" s="19"/>
    </row>
    <row r="10" spans="1:21" ht="39.950000000000003" customHeight="1">
      <c r="A10" s="31" t="s">
        <v>24</v>
      </c>
      <c r="B10" s="31" t="s">
        <v>23</v>
      </c>
      <c r="C10" s="28">
        <v>3</v>
      </c>
      <c r="D10" s="31" t="s">
        <v>12</v>
      </c>
      <c r="E10" s="29">
        <v>45020</v>
      </c>
      <c r="F10" s="31" t="s">
        <v>39</v>
      </c>
      <c r="G10" s="29" t="s">
        <v>9</v>
      </c>
      <c r="H10" s="28">
        <v>4</v>
      </c>
      <c r="I10" s="28" t="s">
        <v>26</v>
      </c>
      <c r="J10" s="28" t="s">
        <v>27</v>
      </c>
      <c r="K10" s="31" t="s">
        <v>103</v>
      </c>
      <c r="M10" s="26" t="s">
        <v>70</v>
      </c>
      <c r="N10" s="33">
        <f>SUM(N2:N9)</f>
        <v>9</v>
      </c>
    </row>
    <row r="11" spans="1:21" s="1" customFormat="1" ht="39.950000000000003" customHeight="1">
      <c r="A11" s="31" t="s">
        <v>105</v>
      </c>
      <c r="B11" s="31" t="s">
        <v>104</v>
      </c>
      <c r="C11" s="31" t="s">
        <v>101</v>
      </c>
      <c r="D11" s="31"/>
      <c r="E11" s="28"/>
      <c r="F11" s="28"/>
      <c r="G11" s="38"/>
      <c r="H11" s="29"/>
      <c r="I11" s="28" t="s">
        <v>28</v>
      </c>
      <c r="J11" s="28" t="s">
        <v>30</v>
      </c>
      <c r="K11" s="31" t="s">
        <v>216</v>
      </c>
      <c r="O11" s="6"/>
      <c r="P11" s="3"/>
    </row>
    <row r="12" spans="1:21" s="1" customFormat="1" ht="76.5">
      <c r="A12" s="31" t="s">
        <v>72</v>
      </c>
      <c r="B12" s="35" t="s">
        <v>71</v>
      </c>
      <c r="C12" s="31">
        <v>4</v>
      </c>
      <c r="D12" s="31" t="s">
        <v>33</v>
      </c>
      <c r="E12" s="32">
        <v>45041</v>
      </c>
      <c r="F12" s="31" t="s">
        <v>15</v>
      </c>
      <c r="G12" s="32" t="s">
        <v>7</v>
      </c>
      <c r="H12" s="31">
        <v>2</v>
      </c>
      <c r="I12" s="31" t="s">
        <v>54</v>
      </c>
      <c r="J12" s="31" t="s">
        <v>42</v>
      </c>
      <c r="K12" s="31" t="s">
        <v>109</v>
      </c>
      <c r="O12" s="21" t="str">
        <f ca="1">IF(E12&lt;=TODAY(),"SI","NO")</f>
        <v>SI</v>
      </c>
      <c r="P12" s="21" t="str">
        <f>IF(EXPEDIENTES!$Z$1=E12,"DIASOL", "DIANOSOL")</f>
        <v>DIANOSOL</v>
      </c>
      <c r="Q12" s="3"/>
      <c r="R12" s="3"/>
      <c r="S12" s="3"/>
      <c r="T12" s="3"/>
      <c r="U12" s="3"/>
    </row>
    <row r="13" spans="1:21" ht="39.950000000000003" customHeight="1">
      <c r="A13" s="1"/>
      <c r="B13" s="1"/>
      <c r="C13" s="1"/>
      <c r="D13" s="1"/>
      <c r="E13" s="2"/>
      <c r="F13" s="1"/>
      <c r="G13" s="2"/>
      <c r="H13" s="1"/>
      <c r="I13" s="1"/>
      <c r="J13" s="1"/>
      <c r="K13" s="12"/>
    </row>
    <row r="14" spans="1:21" ht="39.950000000000003" customHeight="1">
      <c r="K14" s="39"/>
    </row>
    <row r="15" spans="1:21" ht="39.950000000000003" customHeight="1"/>
    <row r="21" spans="2:15" s="1" customFormat="1">
      <c r="B21" s="2"/>
      <c r="C21" s="20"/>
      <c r="N21" s="6" t="str">
        <f ca="1">IF(E8&lt;=TODAY(),"SI","NO")</f>
        <v>SI</v>
      </c>
      <c r="O21" s="3"/>
    </row>
  </sheetData>
  <customSheetViews>
    <customSheetView guid="{0199CA3F-EFF7-4FF3-938A-24486AD9575F}" topLeftCell="F1">
      <selection activeCell="N10" sqref="N10"/>
      <pageMargins left="0.7" right="0.7" top="0.75" bottom="0.75" header="0.3" footer="0.3"/>
      <pageSetup paperSize="5" orientation="portrait" r:id="rId1"/>
    </customSheetView>
    <customSheetView guid="{5BF16DBA-4BB4-4498-B7BF-4F2DDC074FBE}" topLeftCell="F1">
      <selection activeCell="U21" sqref="U21"/>
      <pageMargins left="0.7" right="0.7" top="0.75" bottom="0.75" header="0.3" footer="0.3"/>
      <pageSetup paperSize="5" orientation="portrait" r:id="rId2"/>
    </customSheetView>
    <customSheetView guid="{DB4207DD-4199-49C8-82A0-9B1EB1C1B792}" topLeftCell="F1">
      <selection activeCell="N10" sqref="N10"/>
    </customSheetView>
    <customSheetView guid="{8889932B-014C-4A7A-B620-114840895FF5}" topLeftCell="I1">
      <selection activeCell="I11" sqref="I11"/>
      <pageMargins left="0.7" right="0.7" top="0.75" bottom="0.75" header="0.3" footer="0.3"/>
      <pageSetup paperSize="5" orientation="portrait" r:id="rId3"/>
    </customSheetView>
  </customSheetViews>
  <dataValidations count="1">
    <dataValidation type="list" allowBlank="1" showInputMessage="1" showErrorMessage="1" sqref="G3 G13 G5:G10">
      <formula1>"Dr. Pastrana, Dr. Colombo, Dr. Rodriguez Pipino, Dra. Puertas"</formula1>
    </dataValidation>
  </dataValidations>
  <pageMargins left="0.7" right="0.7" top="0.75" bottom="0.75" header="0.3" footer="0.3"/>
  <pageSetup paperSize="5" orientation="portrait" r:id="rId4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[2]Internos!#REF!</xm:f>
          </x14:formula1>
          <xm:sqref>D12 D8:D10</xm:sqref>
        </x14:dataValidation>
        <x14:dataValidation type="list" allowBlank="1" showInputMessage="1" showErrorMessage="1">
          <x14:formula1>
            <xm:f>[2]Internos!#REF!</xm:f>
          </x14:formula1>
          <xm:sqref>D3 D13 D5 D7</xm:sqref>
        </x14:dataValidation>
        <x14:dataValidation type="list" allowBlank="1" showInputMessage="1" showErrorMessage="1">
          <x14:formula1>
            <xm:f>[2]Internos!#REF!</xm:f>
          </x14:formula1>
          <xm:sqref>D6</xm:sqref>
        </x14:dataValidation>
        <x14:dataValidation type="list" allowBlank="1" showInputMessage="1" showErrorMessage="1">
          <x14:formula1>
            <xm:f>'[1]fiscalias penales'!#REF!</xm:f>
          </x14:formula1>
          <xm:sqref>I6:I7</xm:sqref>
        </x14:dataValidation>
        <x14:dataValidation type="list" allowBlank="1" showInputMessage="1" showErrorMessage="1">
          <x14:formula1>
            <xm:f>'[1]fiscalias penales'!#REF!</xm:f>
          </x14:formula1>
          <xm:sqref>I3</xm:sqref>
        </x14:dataValidation>
        <x14:dataValidation type="list" allowBlank="1" showInputMessage="1" showErrorMessage="1">
          <x14:formula1>
            <xm:f>'[1]fiscalias penales'!#REF!</xm:f>
          </x14:formula1>
          <xm:sqref>I13</xm:sqref>
        </x14:dataValidation>
        <x14:dataValidation type="list" allowBlank="1" showInputMessage="1" showErrorMessage="1">
          <x14:formula1>
            <xm:f>'[1]fiscalias penales'!#REF!</xm:f>
          </x14:formula1>
          <xm:sqref>I12</xm:sqref>
        </x14:dataValidation>
        <x14:dataValidation type="list" allowBlank="1" showInputMessage="1" showErrorMessage="1">
          <x14:formula1>
            <xm:f>'[1]fiscalias penales'!#REF!</xm:f>
          </x14:formula1>
          <xm:sqref>I8:I10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7"/>
  <dimension ref="A1:Q16"/>
  <sheetViews>
    <sheetView workbookViewId="0">
      <selection activeCell="O12" sqref="O12"/>
    </sheetView>
  </sheetViews>
  <sheetFormatPr baseColWidth="10" defaultRowHeight="12.75"/>
  <cols>
    <col min="1" max="1" width="10.7109375" customWidth="1"/>
    <col min="2" max="2" width="12.7109375" style="45" bestFit="1" customWidth="1"/>
    <col min="3" max="3" width="22.42578125" style="45" customWidth="1"/>
    <col min="4" max="4" width="12.7109375" style="45" customWidth="1"/>
    <col min="5" max="5" width="12.42578125" bestFit="1" customWidth="1"/>
    <col min="6" max="6" width="10.28515625" style="51" customWidth="1"/>
    <col min="7" max="7" width="14" customWidth="1"/>
    <col min="8" max="8" width="15.42578125" customWidth="1"/>
    <col min="9" max="9" width="12.7109375" bestFit="1" customWidth="1"/>
    <col min="10" max="10" width="16.7109375" customWidth="1"/>
    <col min="11" max="11" width="12.7109375" bestFit="1" customWidth="1"/>
    <col min="12" max="12" width="16.42578125" customWidth="1"/>
    <col min="13" max="13" width="12.7109375" bestFit="1" customWidth="1"/>
    <col min="14" max="14" width="13.28515625" customWidth="1"/>
    <col min="15" max="15" width="12.7109375" bestFit="1" customWidth="1"/>
    <col min="16" max="16" width="22.7109375" customWidth="1"/>
    <col min="17" max="17" width="14.28515625" bestFit="1" customWidth="1"/>
  </cols>
  <sheetData>
    <row r="1" spans="1:17">
      <c r="H1" s="353" t="s">
        <v>148</v>
      </c>
      <c r="I1" s="353"/>
      <c r="J1" s="353"/>
      <c r="K1" s="353"/>
      <c r="L1" s="353"/>
      <c r="M1" s="353"/>
      <c r="N1" s="353"/>
      <c r="O1" s="353"/>
      <c r="P1" s="353"/>
      <c r="Q1" s="353"/>
    </row>
    <row r="2" spans="1:17" s="1" customFormat="1" ht="57.75" customHeight="1">
      <c r="A2" s="48" t="s">
        <v>0</v>
      </c>
      <c r="B2" s="48" t="s">
        <v>164</v>
      </c>
      <c r="C2" s="48" t="s">
        <v>51</v>
      </c>
      <c r="D2" s="48" t="s">
        <v>197</v>
      </c>
      <c r="E2" s="48" t="s">
        <v>145</v>
      </c>
      <c r="F2" s="48" t="s">
        <v>146</v>
      </c>
      <c r="G2" s="48" t="s">
        <v>149</v>
      </c>
      <c r="H2" s="48" t="s">
        <v>142</v>
      </c>
      <c r="I2" s="48" t="s">
        <v>147</v>
      </c>
      <c r="J2" s="48" t="s">
        <v>143</v>
      </c>
      <c r="K2" s="48" t="s">
        <v>147</v>
      </c>
      <c r="L2" s="48" t="s">
        <v>144</v>
      </c>
      <c r="M2" s="48" t="s">
        <v>147</v>
      </c>
      <c r="N2" s="48" t="s">
        <v>158</v>
      </c>
      <c r="O2" s="48" t="s">
        <v>147</v>
      </c>
      <c r="P2" s="48" t="s">
        <v>159</v>
      </c>
      <c r="Q2" s="48" t="s">
        <v>147</v>
      </c>
    </row>
    <row r="3" spans="1:17" s="45" customFormat="1" ht="39.950000000000003" customHeight="1">
      <c r="A3" s="43">
        <v>45055</v>
      </c>
      <c r="B3" s="44" t="s">
        <v>167</v>
      </c>
      <c r="C3" s="44" t="s">
        <v>153</v>
      </c>
      <c r="D3" s="44"/>
      <c r="E3" s="45" t="s">
        <v>131</v>
      </c>
      <c r="F3" s="44" t="s">
        <v>150</v>
      </c>
      <c r="G3" s="45">
        <v>20</v>
      </c>
      <c r="H3" s="47" t="s">
        <v>157</v>
      </c>
      <c r="I3" s="44" t="s">
        <v>151</v>
      </c>
      <c r="J3" s="46">
        <v>0.3354166666666667</v>
      </c>
      <c r="K3" s="44" t="s">
        <v>151</v>
      </c>
      <c r="L3" s="44" t="s">
        <v>152</v>
      </c>
      <c r="M3" s="44" t="s">
        <v>152</v>
      </c>
      <c r="N3" s="47" t="s">
        <v>161</v>
      </c>
      <c r="O3" s="44" t="s">
        <v>151</v>
      </c>
      <c r="P3" s="44"/>
      <c r="Q3" s="44"/>
    </row>
    <row r="4" spans="1:17" s="45" customFormat="1" ht="39.950000000000003" customHeight="1">
      <c r="A4" s="43">
        <v>45055</v>
      </c>
      <c r="B4" s="44" t="s">
        <v>154</v>
      </c>
      <c r="C4" s="44" t="s">
        <v>165</v>
      </c>
      <c r="D4" s="44"/>
      <c r="E4" s="45" t="s">
        <v>113</v>
      </c>
      <c r="F4" s="44" t="s">
        <v>155</v>
      </c>
      <c r="G4" s="45">
        <v>37</v>
      </c>
      <c r="H4" s="47" t="s">
        <v>156</v>
      </c>
      <c r="I4" s="44" t="s">
        <v>151</v>
      </c>
      <c r="J4" s="44" t="s">
        <v>162</v>
      </c>
      <c r="K4" s="44" t="s">
        <v>163</v>
      </c>
      <c r="L4" s="44" t="s">
        <v>166</v>
      </c>
      <c r="M4" s="44" t="s">
        <v>151</v>
      </c>
      <c r="N4" s="47" t="s">
        <v>13</v>
      </c>
      <c r="O4" s="44" t="s">
        <v>151</v>
      </c>
      <c r="P4" s="44" t="s">
        <v>156</v>
      </c>
      <c r="Q4" s="44" t="s">
        <v>160</v>
      </c>
    </row>
    <row r="5" spans="1:17" s="11" customFormat="1" ht="39.950000000000003" customHeight="1">
      <c r="A5" s="43">
        <v>45056</v>
      </c>
      <c r="B5" s="44" t="s">
        <v>154</v>
      </c>
      <c r="E5" s="50" t="s">
        <v>139</v>
      </c>
      <c r="F5" s="50" t="s">
        <v>170</v>
      </c>
    </row>
    <row r="6" spans="1:17" s="11" customFormat="1" ht="39.950000000000003" customHeight="1">
      <c r="A6" s="43">
        <v>45057</v>
      </c>
      <c r="B6" s="44" t="s">
        <v>195</v>
      </c>
      <c r="C6" s="44" t="s">
        <v>196</v>
      </c>
      <c r="D6" s="44"/>
      <c r="E6" s="45" t="s">
        <v>138</v>
      </c>
      <c r="F6" s="44" t="s">
        <v>155</v>
      </c>
      <c r="G6" s="45"/>
      <c r="H6" s="46">
        <v>0.33749999999999997</v>
      </c>
      <c r="I6" s="44" t="s">
        <v>151</v>
      </c>
      <c r="J6" s="46">
        <v>0.3263888888888889</v>
      </c>
      <c r="K6" s="44" t="s">
        <v>151</v>
      </c>
      <c r="L6" s="45"/>
      <c r="M6" s="44" t="s">
        <v>151</v>
      </c>
      <c r="N6" s="46">
        <v>0.3298611111111111</v>
      </c>
      <c r="O6" s="44" t="s">
        <v>151</v>
      </c>
      <c r="P6" s="45"/>
      <c r="Q6" s="45"/>
    </row>
    <row r="7" spans="1:17">
      <c r="A7" s="53">
        <v>45062</v>
      </c>
      <c r="B7" s="44" t="s">
        <v>154</v>
      </c>
      <c r="C7" s="44" t="s">
        <v>165</v>
      </c>
      <c r="E7" t="s">
        <v>168</v>
      </c>
      <c r="F7" s="52" t="s">
        <v>150</v>
      </c>
      <c r="H7" s="54">
        <v>0.33402777777777781</v>
      </c>
      <c r="I7" s="44" t="s">
        <v>151</v>
      </c>
      <c r="J7" s="54">
        <v>0.3298611111111111</v>
      </c>
      <c r="K7" s="44" t="s">
        <v>151</v>
      </c>
      <c r="L7" s="54">
        <v>0.33333333333333331</v>
      </c>
      <c r="M7" s="44" t="s">
        <v>151</v>
      </c>
      <c r="N7" s="54">
        <v>0.33333333333333331</v>
      </c>
      <c r="O7" s="44" t="s">
        <v>151</v>
      </c>
    </row>
    <row r="15" spans="1:17">
      <c r="A15" s="53">
        <v>45068</v>
      </c>
      <c r="B15" s="44" t="s">
        <v>230</v>
      </c>
      <c r="C15" s="44" t="s">
        <v>153</v>
      </c>
      <c r="E15" s="7" t="s">
        <v>201</v>
      </c>
      <c r="F15" s="52" t="s">
        <v>150</v>
      </c>
      <c r="H15" s="57">
        <v>0.34722222222222227</v>
      </c>
      <c r="I15" s="7" t="s">
        <v>151</v>
      </c>
      <c r="J15" s="57">
        <v>0.3263888888888889</v>
      </c>
      <c r="K15" s="7" t="s">
        <v>151</v>
      </c>
      <c r="N15" s="57">
        <v>0.34375</v>
      </c>
      <c r="O15" s="7" t="s">
        <v>151</v>
      </c>
    </row>
    <row r="16" spans="1:17">
      <c r="A16" s="53">
        <v>45068</v>
      </c>
      <c r="B16" s="44" t="s">
        <v>230</v>
      </c>
    </row>
  </sheetData>
  <customSheetViews>
    <customSheetView guid="{0199CA3F-EFF7-4FF3-938A-24486AD9575F}">
      <selection activeCell="C16" sqref="C16"/>
      <pageMargins left="0.7" right="0.7" top="0.75" bottom="0.75" header="0.3" footer="0.3"/>
    </customSheetView>
    <customSheetView guid="{5BF16DBA-4BB4-4498-B7BF-4F2DDC074FBE}">
      <selection activeCell="C16" sqref="C16"/>
      <pageMargins left="0.7" right="0.7" top="0.75" bottom="0.75" header="0.3" footer="0.3"/>
    </customSheetView>
    <customSheetView guid="{DB4207DD-4199-49C8-82A0-9B1EB1C1B792}">
      <selection activeCell="C16" sqref="C16"/>
    </customSheetView>
    <customSheetView guid="{8889932B-014C-4A7A-B620-114840895FF5}">
      <selection activeCell="C16" sqref="C16"/>
      <pageMargins left="0.7" right="0.7" top="0.75" bottom="0.75" header="0.3" footer="0.3"/>
    </customSheetView>
  </customSheetViews>
  <mergeCells count="1">
    <mergeCell ref="H1:Q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4"/>
  <dimension ref="A1:D10"/>
  <sheetViews>
    <sheetView workbookViewId="0">
      <selection activeCell="O12" sqref="O12"/>
    </sheetView>
  </sheetViews>
  <sheetFormatPr baseColWidth="10" defaultRowHeight="12.75"/>
  <sheetData>
    <row r="1" spans="1:4" ht="30" customHeight="1">
      <c r="A1" s="78">
        <v>1</v>
      </c>
      <c r="B1" s="12" t="s">
        <v>266</v>
      </c>
      <c r="C1" s="7" t="s">
        <v>170</v>
      </c>
      <c r="D1" s="7" t="s">
        <v>270</v>
      </c>
    </row>
    <row r="2" spans="1:4" ht="30" customHeight="1">
      <c r="A2" s="78">
        <v>2</v>
      </c>
      <c r="B2" s="12" t="s">
        <v>267</v>
      </c>
      <c r="C2" s="7">
        <f>MATCH(C1,B1:B5,0)</f>
        <v>5</v>
      </c>
      <c r="D2" s="7" t="s">
        <v>283</v>
      </c>
    </row>
    <row r="3" spans="1:4" ht="30" customHeight="1">
      <c r="A3" s="78">
        <v>3</v>
      </c>
      <c r="B3" s="12" t="s">
        <v>155</v>
      </c>
    </row>
    <row r="4" spans="1:4" ht="30" customHeight="1">
      <c r="A4" s="78">
        <v>4</v>
      </c>
      <c r="B4" s="12" t="s">
        <v>150</v>
      </c>
    </row>
    <row r="5" spans="1:4" ht="30" customHeight="1">
      <c r="A5" s="78">
        <v>5</v>
      </c>
      <c r="B5" s="12" t="s">
        <v>170</v>
      </c>
    </row>
    <row r="6" spans="1:4" ht="30" customHeight="1">
      <c r="A6" s="78"/>
      <c r="B6" s="12"/>
    </row>
    <row r="7" spans="1:4" ht="30" customHeight="1">
      <c r="A7" s="78"/>
      <c r="B7" s="12"/>
    </row>
    <row r="8" spans="1:4" ht="30" customHeight="1">
      <c r="A8" s="78"/>
      <c r="B8" s="12"/>
    </row>
    <row r="9" spans="1:4" ht="30" customHeight="1">
      <c r="A9" s="78"/>
      <c r="B9" s="12"/>
    </row>
    <row r="10" spans="1:4" ht="30" customHeight="1">
      <c r="A10" s="78"/>
      <c r="B10" s="12"/>
    </row>
  </sheetData>
  <customSheetViews>
    <customSheetView guid="{0199CA3F-EFF7-4FF3-938A-24486AD9575F}">
      <selection activeCell="D1" sqref="D1"/>
      <pageMargins left="0.7" right="0.7" top="0.75" bottom="0.75" header="0.3" footer="0.3"/>
    </customSheetView>
    <customSheetView guid="{5BF16DBA-4BB4-4498-B7BF-4F2DDC074FBE}">
      <selection activeCell="C2" sqref="C2"/>
      <pageMargins left="0.7" right="0.7" top="0.75" bottom="0.75" header="0.3" footer="0.3"/>
    </customSheetView>
    <customSheetView guid="{DB4207DD-4199-49C8-82A0-9B1EB1C1B792}">
      <selection activeCell="D1" sqref="D1"/>
    </customSheetView>
    <customSheetView guid="{8889932B-014C-4A7A-B620-114840895FF5}">
      <selection activeCell="C2" sqref="C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6"/>
  <dimension ref="B1:C35"/>
  <sheetViews>
    <sheetView workbookViewId="0">
      <selection activeCell="O12" sqref="O12"/>
    </sheetView>
  </sheetViews>
  <sheetFormatPr baseColWidth="10" defaultRowHeight="12.75"/>
  <cols>
    <col min="1" max="1" width="6.28515625" customWidth="1"/>
    <col min="2" max="2" width="42.42578125" customWidth="1"/>
    <col min="3" max="3" width="49.28515625" customWidth="1"/>
  </cols>
  <sheetData>
    <row r="1" spans="2:3" ht="20.25">
      <c r="B1" s="24" t="s">
        <v>81</v>
      </c>
      <c r="C1" s="17">
        <f ca="1">TODAY()</f>
        <v>45264</v>
      </c>
    </row>
    <row r="2" spans="2:3" ht="24.95" customHeight="1">
      <c r="B2" s="345" t="s">
        <v>53</v>
      </c>
      <c r="C2" s="345"/>
    </row>
    <row r="3" spans="2:3" ht="24.95" customHeight="1">
      <c r="B3" s="10" t="s">
        <v>3</v>
      </c>
      <c r="C3" s="10" t="s">
        <v>41</v>
      </c>
    </row>
    <row r="4" spans="2:3" ht="24.95" customHeight="1">
      <c r="B4" s="8" t="s">
        <v>12</v>
      </c>
      <c r="C4" s="8">
        <f>COUNTIFS(EXPEDIENTES!H:H,B4,EXPEDIENTES!Y:Y,"NO")</f>
        <v>0</v>
      </c>
    </row>
    <row r="5" spans="2:3" ht="24.95" customHeight="1">
      <c r="B5" s="8" t="s">
        <v>10</v>
      </c>
      <c r="C5" s="8">
        <f>COUNTIFS(EXPEDIENTES!H:H,B5,EXPEDIENTES!Y:Y,"NO")</f>
        <v>0</v>
      </c>
    </row>
    <row r="6" spans="2:3" ht="24.95" customHeight="1">
      <c r="B6" s="8" t="s">
        <v>6</v>
      </c>
      <c r="C6" s="8">
        <f>COUNTIFS(EXPEDIENTES!H:H,B6,EXPEDIENTES!Y:Y,"NO")</f>
        <v>0</v>
      </c>
    </row>
    <row r="7" spans="2:3" ht="24.95" customHeight="1">
      <c r="B7" s="8" t="s">
        <v>29</v>
      </c>
      <c r="C7" s="8">
        <f>COUNTIFS(EXPEDIENTES!H:H,B7,EXPEDIENTES!Y:Y,"NO")</f>
        <v>0</v>
      </c>
    </row>
    <row r="8" spans="2:3" ht="24.95" customHeight="1">
      <c r="B8" s="8" t="s">
        <v>8</v>
      </c>
      <c r="C8" s="8">
        <f>COUNTIFS(EXPEDIENTES!H:H,B8,EXPEDIENTES!Y:Y,"NO")</f>
        <v>0</v>
      </c>
    </row>
    <row r="9" spans="2:3" ht="24.95" customHeight="1">
      <c r="B9" s="8" t="s">
        <v>33</v>
      </c>
      <c r="C9" s="8">
        <f>COUNTIFS(EXPEDIENTES!H:H,B9,EXPEDIENTES!Y:Y,"NO")</f>
        <v>0</v>
      </c>
    </row>
    <row r="10" spans="2:3" ht="24.95" customHeight="1">
      <c r="B10" s="8" t="s">
        <v>96</v>
      </c>
      <c r="C10" s="8">
        <f>COUNTIFS(EXPEDIENTES!H:H,B10,EXPEDIENTES!Y:Y,"NO")</f>
        <v>0</v>
      </c>
    </row>
    <row r="11" spans="2:3" ht="24.95" customHeight="1">
      <c r="B11" s="8" t="s">
        <v>106</v>
      </c>
      <c r="C11" s="8"/>
    </row>
    <row r="12" spans="2:3" ht="24.95" customHeight="1">
      <c r="B12" s="22" t="s">
        <v>47</v>
      </c>
      <c r="C12" s="25">
        <f>SUM(C4:C11)</f>
        <v>0</v>
      </c>
    </row>
    <row r="13" spans="2:3" ht="24.95" customHeight="1">
      <c r="B13" s="11"/>
      <c r="C13" s="11"/>
    </row>
    <row r="14" spans="2:3" ht="24.95" customHeight="1">
      <c r="B14" s="345" t="s">
        <v>64</v>
      </c>
      <c r="C14" s="345"/>
    </row>
    <row r="15" spans="2:3" ht="24.95" customHeight="1">
      <c r="B15" s="10" t="s">
        <v>3</v>
      </c>
      <c r="C15" s="10" t="s">
        <v>41</v>
      </c>
    </row>
    <row r="16" spans="2:3" ht="24.95" customHeight="1">
      <c r="B16" s="8" t="s">
        <v>12</v>
      </c>
      <c r="C16" s="8">
        <f>COUNTIF(EXPEDIENTES!H:H,B16)</f>
        <v>0</v>
      </c>
    </row>
    <row r="17" spans="2:3" ht="24.95" customHeight="1">
      <c r="B17" s="8" t="s">
        <v>10</v>
      </c>
      <c r="C17" s="8">
        <f>COUNTIF(EXPEDIENTES!H:H,B17)</f>
        <v>0</v>
      </c>
    </row>
    <row r="18" spans="2:3" ht="24.95" customHeight="1">
      <c r="B18" s="8" t="s">
        <v>6</v>
      </c>
      <c r="C18" s="8">
        <f>COUNTIF(EXPEDIENTES!H:H,B18)</f>
        <v>0</v>
      </c>
    </row>
    <row r="19" spans="2:3" ht="24.95" customHeight="1">
      <c r="B19" s="8" t="s">
        <v>29</v>
      </c>
      <c r="C19" s="8">
        <f>COUNTIF(EXPEDIENTES!H:H,B19)</f>
        <v>0</v>
      </c>
    </row>
    <row r="20" spans="2:3" ht="24.95" customHeight="1">
      <c r="B20" s="8" t="s">
        <v>8</v>
      </c>
      <c r="C20" s="8">
        <f>COUNTIF(EXPEDIENTES!H:H,B20)</f>
        <v>0</v>
      </c>
    </row>
    <row r="21" spans="2:3" ht="24.95" customHeight="1">
      <c r="B21" s="8" t="s">
        <v>33</v>
      </c>
      <c r="C21" s="8">
        <f>COUNTIF(EXPEDIENTES!H:H,B21)</f>
        <v>0</v>
      </c>
    </row>
    <row r="22" spans="2:3" ht="24.95" customHeight="1">
      <c r="B22" s="8" t="s">
        <v>96</v>
      </c>
      <c r="C22" s="8">
        <f>COUNTIF(EXPEDIENTES!H:H,B22)</f>
        <v>0</v>
      </c>
    </row>
    <row r="23" spans="2:3" ht="24.95" customHeight="1">
      <c r="B23" s="22" t="s">
        <v>45</v>
      </c>
      <c r="C23" s="25">
        <f>SUM(C16:C22)</f>
        <v>0</v>
      </c>
    </row>
    <row r="24" spans="2:3" ht="23.25" customHeight="1">
      <c r="B24" s="8" t="s">
        <v>66</v>
      </c>
      <c r="C24" s="8">
        <f>'no realizadas'!N10</f>
        <v>9</v>
      </c>
    </row>
    <row r="25" spans="2:3" ht="24.95" customHeight="1">
      <c r="B25" s="11"/>
      <c r="C25" s="11"/>
    </row>
    <row r="26" spans="2:3" ht="24.95" customHeight="1">
      <c r="B26" s="345" t="s">
        <v>65</v>
      </c>
      <c r="C26" s="345"/>
    </row>
    <row r="27" spans="2:3" ht="24.95" customHeight="1">
      <c r="B27" s="10" t="s">
        <v>3</v>
      </c>
      <c r="C27" s="10" t="s">
        <v>41</v>
      </c>
    </row>
    <row r="28" spans="2:3" ht="24.95" customHeight="1">
      <c r="B28" s="8" t="s">
        <v>12</v>
      </c>
      <c r="C28" s="8">
        <f>COUNTIFS(EXPEDIENTES!H:H,B28,EXPEDIENTES!Y:Y,"SI")</f>
        <v>0</v>
      </c>
    </row>
    <row r="29" spans="2:3" ht="24.95" customHeight="1">
      <c r="B29" s="8" t="s">
        <v>10</v>
      </c>
      <c r="C29" s="8">
        <f>COUNTIFS(EXPEDIENTES!H:H,B29,EXPEDIENTES!Y:Y,"SI")</f>
        <v>0</v>
      </c>
    </row>
    <row r="30" spans="2:3" ht="24.95" customHeight="1">
      <c r="B30" s="8" t="s">
        <v>6</v>
      </c>
      <c r="C30" s="8">
        <f>COUNTIFS(EXPEDIENTES!H:H,B30,EXPEDIENTES!Y:Y,"SI")</f>
        <v>0</v>
      </c>
    </row>
    <row r="31" spans="2:3" ht="24.95" customHeight="1">
      <c r="B31" s="8" t="s">
        <v>29</v>
      </c>
      <c r="C31" s="8">
        <f>COUNTIFS(EXPEDIENTES!H:H,B31,EXPEDIENTES!Y:Y,"SI")</f>
        <v>0</v>
      </c>
    </row>
    <row r="32" spans="2:3" ht="24.95" customHeight="1">
      <c r="B32" s="8" t="s">
        <v>8</v>
      </c>
      <c r="C32" s="8">
        <f>COUNTIFS(EXPEDIENTES!H:H,B32,EXPEDIENTES!Y:Y,"SI")</f>
        <v>0</v>
      </c>
    </row>
    <row r="33" spans="2:3" ht="24.95" customHeight="1">
      <c r="B33" s="8" t="s">
        <v>33</v>
      </c>
      <c r="C33" s="8">
        <f>COUNTIFS(EXPEDIENTES!H:H,B33,EXPEDIENTES!Y:Y,"SI")</f>
        <v>0</v>
      </c>
    </row>
    <row r="34" spans="2:3" ht="24.95" customHeight="1">
      <c r="B34" s="8" t="s">
        <v>96</v>
      </c>
      <c r="C34" s="8">
        <f>COUNTIFS(EXPEDIENTES!H:H,B34,EXPEDIENTES!Y:Y,"SI")</f>
        <v>0</v>
      </c>
    </row>
    <row r="35" spans="2:3" ht="24.95" customHeight="1">
      <c r="B35" s="22" t="s">
        <v>46</v>
      </c>
      <c r="C35" s="25">
        <f>SUM(C28:C34)</f>
        <v>0</v>
      </c>
    </row>
  </sheetData>
  <customSheetViews>
    <customSheetView guid="{0199CA3F-EFF7-4FF3-938A-24486AD9575F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>
      <selection activeCell="C4" sqref="C4"/>
    </customSheetView>
    <customSheetView guid="{8889932B-014C-4A7A-B620-114840895FF5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14:C14"/>
    <mergeCell ref="B26:C26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20"/>
  <dimension ref="A1:B17"/>
  <sheetViews>
    <sheetView workbookViewId="0">
      <selection activeCell="O12" sqref="O12"/>
    </sheetView>
  </sheetViews>
  <sheetFormatPr baseColWidth="10" defaultRowHeight="12.75"/>
  <cols>
    <col min="1" max="1" width="27" bestFit="1" customWidth="1"/>
    <col min="2" max="2" width="11.42578125" customWidth="1"/>
  </cols>
  <sheetData>
    <row r="1" spans="1:2">
      <c r="B1" s="116"/>
    </row>
    <row r="4" spans="1:2">
      <c r="A4" s="13"/>
    </row>
    <row r="5" spans="1:2">
      <c r="A5" s="115"/>
    </row>
    <row r="6" spans="1:2">
      <c r="A6" s="13"/>
    </row>
    <row r="7" spans="1:2">
      <c r="A7" s="115"/>
    </row>
    <row r="8" spans="1:2">
      <c r="A8" s="13"/>
    </row>
    <row r="9" spans="1:2">
      <c r="A9" s="115"/>
    </row>
    <row r="10" spans="1:2">
      <c r="A10" s="13"/>
    </row>
    <row r="11" spans="1:2">
      <c r="A11" s="115"/>
    </row>
    <row r="12" spans="1:2">
      <c r="A12" s="115"/>
    </row>
    <row r="13" spans="1:2">
      <c r="A13" s="13"/>
    </row>
    <row r="14" spans="1:2">
      <c r="A14" s="115"/>
    </row>
    <row r="15" spans="1:2">
      <c r="A15" s="13"/>
    </row>
    <row r="16" spans="1:2">
      <c r="A16" s="115"/>
    </row>
    <row r="17" spans="1:1">
      <c r="A17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5"/>
  <dimension ref="A1:F24"/>
  <sheetViews>
    <sheetView workbookViewId="0">
      <selection activeCell="O12" sqref="O12"/>
    </sheetView>
  </sheetViews>
  <sheetFormatPr baseColWidth="10" defaultRowHeight="12.75"/>
  <cols>
    <col min="1" max="1" width="12.42578125" bestFit="1" customWidth="1"/>
    <col min="2" max="2" width="15.140625" customWidth="1"/>
    <col min="3" max="3" width="23" customWidth="1"/>
    <col min="5" max="5" width="12.42578125" bestFit="1" customWidth="1"/>
    <col min="6" max="6" width="15.42578125" customWidth="1"/>
  </cols>
  <sheetData>
    <row r="1" spans="1:6">
      <c r="A1" s="353"/>
      <c r="B1" s="354"/>
      <c r="E1" s="353"/>
      <c r="F1" s="354"/>
    </row>
    <row r="2" spans="1:6">
      <c r="A2" s="7"/>
      <c r="E2" s="7"/>
    </row>
    <row r="3" spans="1:6">
      <c r="B3" s="7"/>
      <c r="C3" s="53"/>
    </row>
    <row r="4" spans="1:6">
      <c r="A4" s="7"/>
      <c r="E4" s="7"/>
    </row>
    <row r="5" spans="1:6">
      <c r="A5" s="7"/>
      <c r="E5" s="7"/>
    </row>
    <row r="6" spans="1:6">
      <c r="A6" s="7"/>
      <c r="E6" s="7"/>
    </row>
    <row r="7" spans="1:6">
      <c r="A7" s="7"/>
      <c r="E7" s="7"/>
    </row>
    <row r="8" spans="1:6">
      <c r="A8" s="7"/>
      <c r="B8" s="7"/>
      <c r="C8" s="7"/>
      <c r="D8" s="7"/>
      <c r="E8" s="7"/>
    </row>
    <row r="9" spans="1:6">
      <c r="B9" s="7"/>
    </row>
    <row r="10" spans="1:6">
      <c r="A10" s="7"/>
      <c r="B10" s="7"/>
      <c r="E10" s="7"/>
    </row>
    <row r="11" spans="1:6">
      <c r="B11" s="7"/>
    </row>
    <row r="12" spans="1:6">
      <c r="B12" s="7"/>
    </row>
    <row r="21" spans="6:6">
      <c r="F21" s="7"/>
    </row>
    <row r="22" spans="6:6">
      <c r="F22" s="7"/>
    </row>
    <row r="23" spans="6:6">
      <c r="F23" s="7"/>
    </row>
    <row r="24" spans="6:6">
      <c r="F24" s="7"/>
    </row>
  </sheetData>
  <customSheetViews>
    <customSheetView guid="{0199CA3F-EFF7-4FF3-938A-24486AD9575F}" topLeftCell="A7">
      <selection activeCell="A11" sqref="A11:R13"/>
      <pageMargins left="0.7" right="0.7" top="0.75" bottom="0.75" header="0.3" footer="0.3"/>
    </customSheetView>
    <customSheetView guid="{5BF16DBA-4BB4-4498-B7BF-4F2DDC074FBE}">
      <selection activeCell="B2" sqref="B2"/>
      <pageMargins left="0.7" right="0.7" top="0.75" bottom="0.75" header="0.3" footer="0.3"/>
    </customSheetView>
    <customSheetView guid="{DB4207DD-4199-49C8-82A0-9B1EB1C1B792}" topLeftCell="A7">
      <selection activeCell="A11" sqref="A11:R13"/>
    </customSheetView>
    <customSheetView guid="{8889932B-014C-4A7A-B620-114840895FF5}">
      <selection activeCell="F9" sqref="F9"/>
      <pageMargins left="0.7" right="0.7" top="0.75" bottom="0.75" header="0.3" footer="0.3"/>
    </customSheetView>
  </customSheetViews>
  <mergeCells count="2">
    <mergeCell ref="A1:B1"/>
    <mergeCell ref="E1:F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17"/>
  <dimension ref="A1:J16"/>
  <sheetViews>
    <sheetView workbookViewId="0">
      <selection activeCell="O12" sqref="O12"/>
    </sheetView>
  </sheetViews>
  <sheetFormatPr baseColWidth="10" defaultRowHeight="12.75"/>
  <cols>
    <col min="1" max="1" width="15.7109375" bestFit="1" customWidth="1"/>
  </cols>
  <sheetData>
    <row r="1" spans="1:10" ht="15.75">
      <c r="A1" s="7" t="s">
        <v>272</v>
      </c>
      <c r="B1" s="7" t="s">
        <v>150</v>
      </c>
      <c r="C1" s="7" t="s">
        <v>286</v>
      </c>
      <c r="H1" s="93" t="s">
        <v>150</v>
      </c>
      <c r="I1" s="100" t="s">
        <v>281</v>
      </c>
      <c r="J1" s="101" t="s">
        <v>279</v>
      </c>
    </row>
    <row r="2" spans="1:10" ht="31.5">
      <c r="A2" s="7" t="s">
        <v>274</v>
      </c>
      <c r="B2">
        <f>MATCH(B1,A1:A3,0)</f>
        <v>3</v>
      </c>
      <c r="C2" s="7" t="s">
        <v>287</v>
      </c>
      <c r="H2" s="93" t="s">
        <v>266</v>
      </c>
      <c r="I2" s="100" t="s">
        <v>275</v>
      </c>
      <c r="J2" s="101" t="s">
        <v>277</v>
      </c>
    </row>
    <row r="3" spans="1:10" ht="31.5">
      <c r="A3" s="7" t="s">
        <v>150</v>
      </c>
      <c r="H3" s="93" t="s">
        <v>267</v>
      </c>
      <c r="I3" s="100" t="s">
        <v>273</v>
      </c>
      <c r="J3" s="101" t="s">
        <v>276</v>
      </c>
    </row>
    <row r="4" spans="1:10" ht="31.5">
      <c r="H4" s="93" t="s">
        <v>155</v>
      </c>
      <c r="I4" s="94" t="s">
        <v>281</v>
      </c>
      <c r="J4" s="95" t="s">
        <v>278</v>
      </c>
    </row>
    <row r="5" spans="1:10" ht="15.75">
      <c r="H5" s="93" t="s">
        <v>150</v>
      </c>
      <c r="I5" s="94" t="s">
        <v>275</v>
      </c>
      <c r="J5" s="95" t="s">
        <v>280</v>
      </c>
    </row>
    <row r="6" spans="1:10" ht="31.5">
      <c r="H6" s="93" t="s">
        <v>170</v>
      </c>
      <c r="I6" s="94" t="s">
        <v>273</v>
      </c>
      <c r="J6" s="95" t="s">
        <v>279</v>
      </c>
    </row>
    <row r="7" spans="1:10">
      <c r="H7" s="84"/>
      <c r="I7" s="92"/>
      <c r="J7" s="92"/>
    </row>
    <row r="8" spans="1:10" ht="31.5">
      <c r="H8" s="93" t="s">
        <v>266</v>
      </c>
      <c r="I8" s="94" t="s">
        <v>281</v>
      </c>
      <c r="J8" s="95" t="s">
        <v>277</v>
      </c>
    </row>
    <row r="9" spans="1:10" ht="15.75">
      <c r="H9" s="93" t="s">
        <v>267</v>
      </c>
      <c r="I9" s="94" t="s">
        <v>275</v>
      </c>
      <c r="J9" s="95" t="s">
        <v>276</v>
      </c>
    </row>
    <row r="10" spans="1:10" ht="31.5">
      <c r="H10" s="93" t="s">
        <v>155</v>
      </c>
      <c r="I10" s="94" t="s">
        <v>273</v>
      </c>
      <c r="J10" s="95" t="s">
        <v>278</v>
      </c>
    </row>
    <row r="11" spans="1:10" ht="15.75">
      <c r="H11" s="93" t="s">
        <v>150</v>
      </c>
      <c r="I11" s="94" t="s">
        <v>281</v>
      </c>
      <c r="J11" s="95" t="s">
        <v>280</v>
      </c>
    </row>
    <row r="12" spans="1:10">
      <c r="H12" s="84"/>
      <c r="I12" s="92"/>
      <c r="J12" s="92"/>
    </row>
    <row r="13" spans="1:10" ht="31.5">
      <c r="H13" s="93" t="s">
        <v>170</v>
      </c>
      <c r="I13" s="94" t="s">
        <v>275</v>
      </c>
      <c r="J13" s="95" t="s">
        <v>279</v>
      </c>
    </row>
    <row r="14" spans="1:10" ht="31.5">
      <c r="H14" s="93" t="s">
        <v>266</v>
      </c>
      <c r="I14" s="94" t="s">
        <v>281</v>
      </c>
      <c r="J14" s="95" t="s">
        <v>277</v>
      </c>
    </row>
    <row r="15" spans="1:10" ht="31.5">
      <c r="H15" s="93" t="s">
        <v>267</v>
      </c>
      <c r="I15" s="102" t="s">
        <v>273</v>
      </c>
      <c r="J15" s="103" t="s">
        <v>276</v>
      </c>
    </row>
    <row r="16" spans="1:10" ht="31.5">
      <c r="H16" s="93" t="s">
        <v>155</v>
      </c>
      <c r="I16" s="102" t="s">
        <v>275</v>
      </c>
      <c r="J16" s="103" t="s">
        <v>278</v>
      </c>
    </row>
  </sheetData>
  <customSheetViews>
    <customSheetView guid="{0199CA3F-EFF7-4FF3-938A-24486AD9575F}">
      <selection activeCell="H1" sqref="H1:J16"/>
      <pageMargins left="0.7" right="0.7" top="0.75" bottom="0.75" header="0.3" footer="0.3"/>
    </customSheetView>
    <customSheetView guid="{8889932B-014C-4A7A-B620-114840895FF5}">
      <selection activeCell="H1" sqref="H1:J1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19"/>
  <dimension ref="A1:I6"/>
  <sheetViews>
    <sheetView topLeftCell="U1" workbookViewId="0">
      <selection activeCell="O12" sqref="O12"/>
    </sheetView>
  </sheetViews>
  <sheetFormatPr baseColWidth="10" defaultRowHeight="12.75"/>
  <sheetData>
    <row r="1" spans="1:9">
      <c r="A1" s="105" t="s">
        <v>288</v>
      </c>
      <c r="B1" s="106"/>
      <c r="C1" s="106"/>
      <c r="D1" s="105" t="s">
        <v>289</v>
      </c>
      <c r="E1" s="106"/>
      <c r="F1" s="106"/>
      <c r="G1" s="105" t="s">
        <v>290</v>
      </c>
      <c r="H1" s="106"/>
      <c r="I1" s="106"/>
    </row>
    <row r="2" spans="1:9">
      <c r="A2" s="49" t="s">
        <v>266</v>
      </c>
      <c r="B2" s="107" t="s">
        <v>266</v>
      </c>
      <c r="C2" s="55" t="s">
        <v>291</v>
      </c>
      <c r="D2" s="55" t="s">
        <v>272</v>
      </c>
      <c r="E2" s="107" t="s">
        <v>274</v>
      </c>
      <c r="F2" s="55" t="s">
        <v>291</v>
      </c>
      <c r="G2" s="55" t="s">
        <v>276</v>
      </c>
      <c r="H2" s="107" t="s">
        <v>277</v>
      </c>
      <c r="I2" s="55" t="s">
        <v>291</v>
      </c>
    </row>
    <row r="3" spans="1:9">
      <c r="A3" s="49" t="s">
        <v>267</v>
      </c>
      <c r="B3" s="107">
        <f>MATCH(B2,A2:A6,0)+1</f>
        <v>2</v>
      </c>
      <c r="C3" s="55" t="s">
        <v>292</v>
      </c>
      <c r="D3" s="55" t="s">
        <v>274</v>
      </c>
      <c r="E3" s="108">
        <f>MATCH(E2,D2:D4,0)+1</f>
        <v>3</v>
      </c>
      <c r="F3" s="55" t="s">
        <v>292</v>
      </c>
      <c r="G3" s="55" t="s">
        <v>278</v>
      </c>
      <c r="H3" s="108">
        <f>MATCH(H2,G2:G6,0)+1</f>
        <v>6</v>
      </c>
      <c r="I3" s="55" t="s">
        <v>292</v>
      </c>
    </row>
    <row r="4" spans="1:9">
      <c r="A4" s="49" t="s">
        <v>155</v>
      </c>
      <c r="B4" s="104"/>
      <c r="C4" s="104"/>
      <c r="D4" s="55" t="s">
        <v>150</v>
      </c>
      <c r="E4" s="104"/>
      <c r="F4" s="104"/>
      <c r="G4" s="55" t="s">
        <v>280</v>
      </c>
      <c r="H4" s="104"/>
      <c r="I4" s="104"/>
    </row>
    <row r="5" spans="1:9">
      <c r="A5" s="49" t="s">
        <v>150</v>
      </c>
      <c r="B5" s="104"/>
      <c r="C5" s="104"/>
      <c r="D5" s="104"/>
      <c r="E5" s="104"/>
      <c r="F5" s="104"/>
      <c r="G5" s="55" t="s">
        <v>279</v>
      </c>
      <c r="H5" s="104"/>
      <c r="I5" s="104"/>
    </row>
    <row r="6" spans="1:9">
      <c r="A6" s="49" t="s">
        <v>170</v>
      </c>
      <c r="B6" s="104"/>
      <c r="C6" s="104"/>
      <c r="D6" s="104"/>
      <c r="E6" s="104"/>
      <c r="F6" s="104"/>
      <c r="G6" s="55" t="s">
        <v>277</v>
      </c>
      <c r="H6" s="104"/>
      <c r="I6" s="104"/>
    </row>
  </sheetData>
  <customSheetViews>
    <customSheetView guid="{0199CA3F-EFF7-4FF3-938A-24486AD9575F}">
      <selection activeCell="K11" sqref="K11"/>
      <pageMargins left="0.7" right="0.7" top="0.75" bottom="0.75" header="0.3" footer="0.3"/>
    </customSheetView>
    <customSheetView guid="{8889932B-014C-4A7A-B620-114840895FF5}">
      <selection activeCell="K11" sqref="K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18"/>
  <dimension ref="A1:C5"/>
  <sheetViews>
    <sheetView workbookViewId="0">
      <selection activeCell="O12" sqref="O12"/>
    </sheetView>
  </sheetViews>
  <sheetFormatPr baseColWidth="10" defaultRowHeight="12.75"/>
  <sheetData>
    <row r="1" spans="1:3">
      <c r="A1" s="7" t="s">
        <v>276</v>
      </c>
      <c r="B1" s="7" t="s">
        <v>278</v>
      </c>
      <c r="C1" s="7" t="s">
        <v>284</v>
      </c>
    </row>
    <row r="2" spans="1:3">
      <c r="A2" s="7" t="s">
        <v>278</v>
      </c>
      <c r="B2">
        <f>MATCH(B1,A1:A5,0)</f>
        <v>2</v>
      </c>
      <c r="C2" s="7" t="s">
        <v>285</v>
      </c>
    </row>
    <row r="3" spans="1:3">
      <c r="A3" s="7" t="s">
        <v>280</v>
      </c>
    </row>
    <row r="4" spans="1:3">
      <c r="A4" s="7" t="s">
        <v>279</v>
      </c>
    </row>
    <row r="5" spans="1:3">
      <c r="A5" s="7" t="s">
        <v>277</v>
      </c>
    </row>
  </sheetData>
  <customSheetViews>
    <customSheetView guid="{0199CA3F-EFF7-4FF3-938A-24486AD9575F}">
      <selection activeCell="A6" sqref="A1:B6"/>
      <pageMargins left="0.7" right="0.7" top="0.75" bottom="0.75" header="0.3" footer="0.3"/>
    </customSheetView>
    <customSheetView guid="{8889932B-014C-4A7A-B620-114840895FF5}">
      <selection activeCell="A6" sqref="A1:B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2</vt:i4>
      </vt:variant>
    </vt:vector>
  </HeadingPairs>
  <TitlesOfParts>
    <vt:vector size="24" baseType="lpstr">
      <vt:lpstr>EXPEDIENTES</vt:lpstr>
      <vt:lpstr>Exp por Encargado</vt:lpstr>
      <vt:lpstr>Valores</vt:lpstr>
      <vt:lpstr>Exp por Jueces</vt:lpstr>
      <vt:lpstr>Graficos Estadisticos</vt:lpstr>
      <vt:lpstr>Est. Auto de prueba</vt:lpstr>
      <vt:lpstr>Informe semanal</vt:lpstr>
      <vt:lpstr>Informe disponibilidad</vt:lpstr>
      <vt:lpstr>defensores</vt:lpstr>
      <vt:lpstr>Codigos</vt:lpstr>
      <vt:lpstr>Informe semanal prensa</vt:lpstr>
      <vt:lpstr>Resultados</vt:lpstr>
      <vt:lpstr>Observac</vt:lpstr>
      <vt:lpstr>no realizadas</vt:lpstr>
      <vt:lpstr>Horarios VIEJO</vt:lpstr>
      <vt:lpstr>Tecnicos</vt:lpstr>
      <vt:lpstr>Exp por Encargado - Alvaro</vt:lpstr>
      <vt:lpstr>Hoja1</vt:lpstr>
      <vt:lpstr>Planilla Auxiliar</vt:lpstr>
      <vt:lpstr>Asistencia</vt:lpstr>
      <vt:lpstr>Personal</vt:lpstr>
      <vt:lpstr>Notificaciones</vt:lpstr>
      <vt:lpstr>A.I._Nº_2___Dr._Flores_Larsen</vt:lpstr>
      <vt:lpstr>Audiencia_cancelada___inimputabilidad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JUICIO05 - Russo, Julieta</cp:lastModifiedBy>
  <cp:lastPrinted>2023-12-01T17:03:59Z</cp:lastPrinted>
  <dcterms:created xsi:type="dcterms:W3CDTF">2023-02-23T14:47:20Z</dcterms:created>
  <dcterms:modified xsi:type="dcterms:W3CDTF">2023-12-04T17:36:11Z</dcterms:modified>
</cp:coreProperties>
</file>