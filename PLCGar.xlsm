
<file path=[Content_Types].xml><?xml version="1.0" encoding="utf-8"?>
<Types xmlns="http://schemas.openxmlformats.org/package/2006/content-types">
  <Override PartName="/xl/worksheets/sheet15.xml" ContentType="application/vnd.openxmlformats-officedocument.spreadsheetml.worksheet+xml"/>
  <Override PartName="/xl/pivotTables/pivotTable6.xml" ContentType="application/vnd.openxmlformats-officedocument.spreadsheetml.pivotTable+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EXPEDIENTES!$A$2:$AC$877</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77" i="1"/>
  <c r="T877"/>
  <c r="P877"/>
  <c r="O877"/>
  <c r="K877"/>
  <c r="R876"/>
  <c r="T876"/>
  <c r="P876"/>
  <c r="O876"/>
  <c r="K876"/>
  <c r="R875"/>
  <c r="T875"/>
  <c r="P875"/>
  <c r="O875"/>
  <c r="K875"/>
  <c r="R874"/>
  <c r="T874"/>
  <c r="P874"/>
  <c r="O874"/>
  <c r="K874"/>
  <c r="R872" l="1"/>
  <c r="T872"/>
  <c r="P872"/>
  <c r="O872"/>
  <c r="K872"/>
  <c r="R871"/>
  <c r="T871"/>
  <c r="P871"/>
  <c r="O871"/>
  <c r="K871"/>
  <c r="R869"/>
  <c r="T869"/>
  <c r="P869"/>
  <c r="O869"/>
  <c r="K869"/>
  <c r="R873"/>
  <c r="T873"/>
  <c r="P873"/>
  <c r="O873"/>
  <c r="K873"/>
  <c r="R814"/>
  <c r="T814"/>
  <c r="P814"/>
  <c r="O814"/>
  <c r="R870"/>
  <c r="T870"/>
  <c r="P870"/>
  <c r="O870"/>
  <c r="K870"/>
  <c r="R845"/>
  <c r="T845"/>
  <c r="P845"/>
  <c r="O845"/>
  <c r="K845"/>
  <c r="R868" l="1"/>
  <c r="T868"/>
  <c r="P868"/>
  <c r="O868"/>
  <c r="K868"/>
  <c r="R867"/>
  <c r="T867"/>
  <c r="P867"/>
  <c r="O867"/>
  <c r="K867"/>
  <c r="H25" i="17"/>
  <c r="R795" i="1"/>
  <c r="T795"/>
  <c r="P795"/>
  <c r="O795"/>
  <c r="K795"/>
  <c r="R851"/>
  <c r="T851"/>
  <c r="P851"/>
  <c r="O851"/>
  <c r="K851"/>
  <c r="R828"/>
  <c r="T828"/>
  <c r="P828"/>
  <c r="O828"/>
  <c r="R848"/>
  <c r="T848"/>
  <c r="P848"/>
  <c r="O848"/>
  <c r="K848"/>
  <c r="R822"/>
  <c r="T822"/>
  <c r="P822"/>
  <c r="O822"/>
  <c r="K822"/>
  <c r="R831"/>
  <c r="T831"/>
  <c r="P831"/>
  <c r="O831"/>
  <c r="K831"/>
  <c r="R819"/>
  <c r="T819"/>
  <c r="P819"/>
  <c r="O819"/>
  <c r="K819"/>
  <c r="R830"/>
  <c r="T830"/>
  <c r="P830"/>
  <c r="O830"/>
  <c r="K830"/>
  <c r="R844"/>
  <c r="T844"/>
  <c r="P844"/>
  <c r="O844"/>
  <c r="K844"/>
  <c r="R854"/>
  <c r="T854"/>
  <c r="P854"/>
  <c r="O854"/>
  <c r="K854"/>
  <c r="R837"/>
  <c r="T837"/>
  <c r="P837"/>
  <c r="O837"/>
  <c r="K837"/>
  <c r="R827"/>
  <c r="T827"/>
  <c r="P827"/>
  <c r="O827"/>
  <c r="K827"/>
  <c r="R850"/>
  <c r="T850"/>
  <c r="P850"/>
  <c r="O850"/>
  <c r="K850"/>
  <c r="R836"/>
  <c r="T836"/>
  <c r="P836"/>
  <c r="O836"/>
  <c r="R801"/>
  <c r="T801"/>
  <c r="P801"/>
  <c r="O801"/>
  <c r="K801"/>
  <c r="R829"/>
  <c r="T829"/>
  <c r="P829"/>
  <c r="O829"/>
  <c r="K829"/>
  <c r="R849"/>
  <c r="T849"/>
  <c r="P849"/>
  <c r="O849"/>
  <c r="K849"/>
  <c r="R866"/>
  <c r="T866"/>
  <c r="P866"/>
  <c r="O866"/>
  <c r="K866"/>
  <c r="R853"/>
  <c r="T853"/>
  <c r="P853"/>
  <c r="O853"/>
  <c r="K853"/>
  <c r="R857"/>
  <c r="T857"/>
  <c r="P857"/>
  <c r="O857"/>
  <c r="R762"/>
  <c r="T762"/>
  <c r="P762"/>
  <c r="O762"/>
  <c r="R815"/>
  <c r="T815"/>
  <c r="P815"/>
  <c r="O815"/>
  <c r="K815"/>
  <c r="R838"/>
  <c r="T838"/>
  <c r="P838"/>
  <c r="O838"/>
  <c r="K838"/>
  <c r="R852"/>
  <c r="T852"/>
  <c r="P852"/>
  <c r="O852"/>
  <c r="K852"/>
  <c r="R846"/>
  <c r="T846"/>
  <c r="P846"/>
  <c r="O846"/>
  <c r="K846"/>
  <c r="R832"/>
  <c r="T832"/>
  <c r="P832"/>
  <c r="O832"/>
  <c r="R823"/>
  <c r="T823"/>
  <c r="P823"/>
  <c r="O823"/>
  <c r="R840"/>
  <c r="T840"/>
  <c r="P840"/>
  <c r="O840"/>
  <c r="K840"/>
  <c r="H24" i="17"/>
  <c r="R841" i="1"/>
  <c r="T841"/>
  <c r="P841"/>
  <c r="O841"/>
  <c r="R797"/>
  <c r="T797"/>
  <c r="P797"/>
  <c r="O797"/>
  <c r="R824"/>
  <c r="T824"/>
  <c r="P824"/>
  <c r="O824"/>
  <c r="R825"/>
  <c r="T825"/>
  <c r="P825"/>
  <c r="O825"/>
  <c r="R833"/>
  <c r="T833"/>
  <c r="P833"/>
  <c r="O833"/>
  <c r="R843"/>
  <c r="T843"/>
  <c r="P843"/>
  <c r="O843"/>
  <c r="R855"/>
  <c r="T855"/>
  <c r="P855"/>
  <c r="O855"/>
  <c r="K855"/>
  <c r="R835"/>
  <c r="T835"/>
  <c r="P835"/>
  <c r="O835"/>
  <c r="K835"/>
  <c r="R813"/>
  <c r="T813"/>
  <c r="P813"/>
  <c r="O813"/>
  <c r="K813"/>
  <c r="R805"/>
  <c r="T805"/>
  <c r="P805"/>
  <c r="O805"/>
  <c r="K805"/>
  <c r="R847"/>
  <c r="T847"/>
  <c r="P847"/>
  <c r="O847"/>
  <c r="R856"/>
  <c r="T856"/>
  <c r="P856"/>
  <c r="O856"/>
  <c r="R865"/>
  <c r="T865"/>
  <c r="P865"/>
  <c r="O865"/>
  <c r="K865"/>
  <c r="R818"/>
  <c r="T818"/>
  <c r="P818"/>
  <c r="O818"/>
  <c r="R821"/>
  <c r="T821"/>
  <c r="P821"/>
  <c r="O821"/>
  <c r="R826"/>
  <c r="T826"/>
  <c r="P826"/>
  <c r="O826"/>
  <c r="R817"/>
  <c r="T817"/>
  <c r="P817"/>
  <c r="O817"/>
  <c r="K817"/>
  <c r="R810"/>
  <c r="T810"/>
  <c r="P810"/>
  <c r="O810"/>
  <c r="K810"/>
  <c r="R787"/>
  <c r="T787"/>
  <c r="P787"/>
  <c r="O787"/>
  <c r="K787"/>
  <c r="R864"/>
  <c r="T864"/>
  <c r="P864"/>
  <c r="O864"/>
  <c r="K864"/>
  <c r="R780"/>
  <c r="T780"/>
  <c r="P780"/>
  <c r="O780"/>
  <c r="K780"/>
  <c r="R796"/>
  <c r="T796"/>
  <c r="P796"/>
  <c r="O796"/>
  <c r="R811"/>
  <c r="T811"/>
  <c r="P811"/>
  <c r="O811"/>
  <c r="K811"/>
  <c r="R809"/>
  <c r="T809"/>
  <c r="P809"/>
  <c r="O809"/>
  <c r="R784"/>
  <c r="T784"/>
  <c r="P784"/>
  <c r="O784"/>
  <c r="K784"/>
  <c r="R863"/>
  <c r="T863"/>
  <c r="P863"/>
  <c r="O863"/>
  <c r="K863"/>
  <c r="R862"/>
  <c r="T862"/>
  <c r="P862"/>
  <c r="O862"/>
  <c r="K862"/>
  <c r="R794"/>
  <c r="T794"/>
  <c r="P794"/>
  <c r="O794"/>
  <c r="K794"/>
  <c r="R839"/>
  <c r="T839"/>
  <c r="P839"/>
  <c r="O839"/>
  <c r="K839"/>
  <c r="R808"/>
  <c r="T808"/>
  <c r="P808"/>
  <c r="O808"/>
  <c r="R800"/>
  <c r="T800"/>
  <c r="P800"/>
  <c r="O800"/>
  <c r="R779"/>
  <c r="T779"/>
  <c r="P779"/>
  <c r="O779"/>
  <c r="K779"/>
  <c r="R793"/>
  <c r="T793"/>
  <c r="P793"/>
  <c r="O793"/>
  <c r="K793"/>
  <c r="R861"/>
  <c r="T861"/>
  <c r="P861"/>
  <c r="O861"/>
  <c r="K861"/>
  <c r="R775"/>
  <c r="T775"/>
  <c r="P775"/>
  <c r="O775"/>
  <c r="K775"/>
  <c r="R789"/>
  <c r="T789"/>
  <c r="P789"/>
  <c r="O789"/>
  <c r="R860"/>
  <c r="T860"/>
  <c r="P860"/>
  <c r="O860"/>
  <c r="K860"/>
  <c r="R799"/>
  <c r="T799"/>
  <c r="P799"/>
  <c r="O799"/>
  <c r="R788"/>
  <c r="T788"/>
  <c r="P788"/>
  <c r="O788"/>
  <c r="K788"/>
  <c r="R790"/>
  <c r="T790"/>
  <c r="P790"/>
  <c r="O790"/>
  <c r="K790"/>
  <c r="R820"/>
  <c r="T820"/>
  <c r="P820"/>
  <c r="O820"/>
  <c r="K820"/>
  <c r="R778"/>
  <c r="T778"/>
  <c r="P778"/>
  <c r="O778"/>
  <c r="K778"/>
  <c r="R774"/>
  <c r="T774"/>
  <c r="P774"/>
  <c r="O774"/>
  <c r="R792"/>
  <c r="T792"/>
  <c r="P792"/>
  <c r="O792"/>
  <c r="R802"/>
  <c r="T802"/>
  <c r="P802"/>
  <c r="O802"/>
  <c r="K802"/>
  <c r="R783"/>
  <c r="T783"/>
  <c r="P783"/>
  <c r="O783"/>
  <c r="K783"/>
  <c r="R772"/>
  <c r="T772"/>
  <c r="P772"/>
  <c r="O772"/>
  <c r="K772"/>
  <c r="R791"/>
  <c r="T791"/>
  <c r="P791"/>
  <c r="O791"/>
  <c r="R798"/>
  <c r="T798"/>
  <c r="P798"/>
  <c r="O798"/>
  <c r="K798"/>
  <c r="R842"/>
  <c r="T842"/>
  <c r="P842"/>
  <c r="O842"/>
  <c r="K842"/>
  <c r="R786"/>
  <c r="T786"/>
  <c r="P786"/>
  <c r="O786"/>
  <c r="K786"/>
  <c r="R776"/>
  <c r="T776"/>
  <c r="P776"/>
  <c r="O776"/>
  <c r="R777"/>
  <c r="T777"/>
  <c r="P777"/>
  <c r="O777"/>
  <c r="K777"/>
  <c r="R782"/>
  <c r="T782"/>
  <c r="P782"/>
  <c r="O782"/>
  <c r="R812"/>
  <c r="T812"/>
  <c r="P812"/>
  <c r="O812"/>
  <c r="K812"/>
  <c r="R804"/>
  <c r="T804"/>
  <c r="P804"/>
  <c r="O804"/>
  <c r="R765"/>
  <c r="T765"/>
  <c r="P765"/>
  <c r="O765"/>
  <c r="R771"/>
  <c r="T771"/>
  <c r="P771"/>
  <c r="O771"/>
  <c r="K771"/>
  <c r="R764"/>
  <c r="T764"/>
  <c r="P764"/>
  <c r="O764"/>
  <c r="R773"/>
  <c r="T773"/>
  <c r="P773"/>
  <c r="O773"/>
  <c r="K773"/>
  <c r="R749" l="1"/>
  <c r="T749"/>
  <c r="P749"/>
  <c r="O749"/>
  <c r="R803"/>
  <c r="T803"/>
  <c r="P803"/>
  <c r="O803"/>
  <c r="K803"/>
  <c r="R767"/>
  <c r="T767"/>
  <c r="P767"/>
  <c r="O767"/>
  <c r="R781"/>
  <c r="T781"/>
  <c r="P781"/>
  <c r="O781"/>
  <c r="R766"/>
  <c r="T766"/>
  <c r="P766"/>
  <c r="O766"/>
  <c r="K766"/>
  <c r="R739"/>
  <c r="T739"/>
  <c r="P739"/>
  <c r="O739"/>
  <c r="R715"/>
  <c r="T715"/>
  <c r="P715"/>
  <c r="O715"/>
  <c r="H23" i="17" l="1"/>
  <c r="R760" i="1"/>
  <c r="T760"/>
  <c r="P760"/>
  <c r="O760"/>
  <c r="K760"/>
  <c r="R785"/>
  <c r="T785"/>
  <c r="P785"/>
  <c r="O785"/>
  <c r="R738"/>
  <c r="T738"/>
  <c r="P738"/>
  <c r="O738"/>
  <c r="K738"/>
  <c r="R744"/>
  <c r="T744"/>
  <c r="P744"/>
  <c r="O744"/>
  <c r="K744"/>
  <c r="R681"/>
  <c r="R757"/>
  <c r="T757"/>
  <c r="P757"/>
  <c r="O757"/>
  <c r="K757"/>
  <c r="T741"/>
  <c r="P741"/>
  <c r="O741"/>
  <c r="R761"/>
  <c r="T761"/>
  <c r="P761"/>
  <c r="O761"/>
  <c r="R834"/>
  <c r="T834"/>
  <c r="P834"/>
  <c r="O834"/>
  <c r="K834"/>
  <c r="R807"/>
  <c r="T807"/>
  <c r="P807"/>
  <c r="O807"/>
  <c r="K807"/>
  <c r="H22" i="17"/>
  <c r="R752" i="1" l="1"/>
  <c r="T752"/>
  <c r="P752"/>
  <c r="O752"/>
  <c r="R751"/>
  <c r="T751"/>
  <c r="P751"/>
  <c r="O751"/>
  <c r="T742"/>
  <c r="P742"/>
  <c r="O742"/>
  <c r="B16" i="24"/>
  <c r="R753" i="1"/>
  <c r="T753"/>
  <c r="P753"/>
  <c r="O753"/>
  <c r="K753"/>
  <c r="R816"/>
  <c r="T816"/>
  <c r="P816"/>
  <c r="O816"/>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859"/>
  <c r="T859"/>
  <c r="P859"/>
  <c r="O859"/>
  <c r="K859"/>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6"/>
  <c r="T806"/>
  <c r="P806"/>
  <c r="O806"/>
  <c r="K806"/>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858"/>
  <c r="T858"/>
  <c r="P858"/>
  <c r="O858"/>
  <c r="K858"/>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B14" i="24" l="1"/>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1" i="9"/>
  <c r="T267" i="1"/>
  <c r="P267"/>
  <c r="O267"/>
  <c r="A6" i="7" l="1"/>
  <c r="A7"/>
  <c r="A8"/>
  <c r="A9"/>
  <c r="F65" i="6"/>
  <c r="AQ75" i="24"/>
  <c r="AQ14"/>
  <c r="C34" i="6"/>
  <c r="F31"/>
  <c r="F30"/>
  <c r="A5" i="23"/>
  <c r="B6"/>
  <c r="C36" i="6"/>
  <c r="C61"/>
  <c r="C63"/>
  <c r="T259" i="1"/>
  <c r="P259"/>
  <c r="O259"/>
  <c r="C11" i="9" s="1"/>
  <c r="A10" i="7" l="1"/>
  <c r="B9" s="1"/>
  <c r="F38" i="6"/>
  <c r="A6" i="23"/>
  <c r="B7"/>
  <c r="C45"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7" i="7" l="1"/>
  <c r="A7" i="23"/>
  <c r="B8"/>
  <c r="T246" i="1"/>
  <c r="P246"/>
  <c r="O246"/>
  <c r="T244"/>
  <c r="P244"/>
  <c r="O244"/>
  <c r="T231"/>
  <c r="P231"/>
  <c r="O231"/>
  <c r="T243"/>
  <c r="P243"/>
  <c r="O243"/>
  <c r="T254"/>
  <c r="P254"/>
  <c r="O254"/>
  <c r="T236"/>
  <c r="P236"/>
  <c r="O236"/>
  <c r="A8" i="23" l="1"/>
  <c r="B9"/>
  <c r="C3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2" i="9" s="1"/>
  <c r="C16" i="20"/>
  <c r="C1"/>
  <c r="A11" i="23" l="1"/>
  <c r="B12"/>
  <c r="C23" i="20"/>
  <c r="B13" i="23" l="1"/>
  <c r="A12"/>
  <c r="T225" i="1"/>
  <c r="P225"/>
  <c r="O225"/>
  <c r="T224"/>
  <c r="P224"/>
  <c r="O224"/>
  <c r="T221"/>
  <c r="P221"/>
  <c r="O221"/>
  <c r="T223"/>
  <c r="P223"/>
  <c r="O223"/>
  <c r="T222"/>
  <c r="P222"/>
  <c r="O222"/>
  <c r="B14" i="23" l="1"/>
  <c r="A13"/>
  <c r="T204" i="1"/>
  <c r="P204"/>
  <c r="O204"/>
  <c r="U220"/>
  <c r="T220"/>
  <c r="C29" i="9"/>
  <c r="C28"/>
  <c r="C27"/>
  <c r="C26"/>
  <c r="C25"/>
  <c r="C2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B10" i="24" l="1"/>
  <c r="B9"/>
  <c r="B8"/>
  <c r="B7"/>
  <c r="B6"/>
  <c r="AQ13"/>
  <c r="AQ55"/>
  <c r="AQ52"/>
  <c r="AQ10"/>
  <c r="B1" i="1"/>
  <c r="AQ11" i="24"/>
  <c r="AQ12"/>
  <c r="AQ9"/>
  <c r="AQ49"/>
  <c r="AQ8"/>
  <c r="AQ53"/>
  <c r="AQ7"/>
  <c r="AQ30"/>
  <c r="AQ6"/>
  <c r="AQ47"/>
  <c r="AQ29"/>
  <c r="AQ70"/>
  <c r="AQ50"/>
  <c r="AQ48"/>
  <c r="AQ71"/>
  <c r="AQ51"/>
  <c r="AQ73"/>
  <c r="AQ54"/>
  <c r="AQ68"/>
  <c r="AQ46"/>
  <c r="AQ74"/>
  <c r="AQ56"/>
  <c r="AQ67"/>
  <c r="AQ45"/>
  <c r="AQ69"/>
  <c r="AQ72"/>
  <c r="C42" i="9"/>
  <c r="C1" i="1"/>
  <c r="C57" i="6"/>
  <c r="A19" i="23"/>
  <c r="B20"/>
  <c r="C30" i="6"/>
  <c r="C33"/>
  <c r="C32"/>
  <c r="C31"/>
  <c r="C9" i="9"/>
  <c r="C43"/>
  <c r="C9" i="20"/>
  <c r="C33"/>
  <c r="C7"/>
  <c r="C31"/>
  <c r="C8"/>
  <c r="C32"/>
  <c r="C28"/>
  <c r="C4"/>
  <c r="C29"/>
  <c r="C46" i="9" s="1"/>
  <c r="C5" i="20"/>
  <c r="C16" i="9" s="1"/>
  <c r="C10" i="20"/>
  <c r="C34"/>
  <c r="C6"/>
  <c r="C30"/>
  <c r="C41" i="9"/>
  <c r="C40"/>
  <c r="C38"/>
  <c r="C10"/>
  <c r="C44"/>
  <c r="C39"/>
  <c r="C8"/>
  <c r="C5"/>
  <c r="C6"/>
  <c r="C4"/>
  <c r="C7"/>
  <c r="C60" i="6"/>
  <c r="C59"/>
  <c r="C58"/>
  <c r="P159" i="1"/>
  <c r="P158"/>
  <c r="P157"/>
  <c r="P156"/>
  <c r="B17" i="24" l="1"/>
  <c r="C64" i="6"/>
  <c r="C37"/>
  <c r="AQ32" i="24"/>
  <c r="AQ36" s="1"/>
  <c r="AQ15"/>
  <c r="AQ76"/>
  <c r="AQ60"/>
  <c r="C47" i="9"/>
  <c r="C17"/>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18" i="9"/>
  <c r="B25" i="23" l="1"/>
  <c r="A24"/>
  <c r="C24" i="20"/>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<sst xmlns="http://schemas.openxmlformats.org/spreadsheetml/2006/main" count="17464" uniqueCount="3655">
  <si>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</si>
  <si>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</si>
  <si>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</si>
  <si>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</si>
  <si>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</si>
  <si>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</si>
  <si>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</si>
  <si>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</si>
  <si>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</si>
  <si>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</si>
  <si>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</si>
  <si>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</si>
  <si>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</si>
  <si>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</si>
  <si>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</si>
  <si>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</si>
  <si>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</si>
  <si>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</si>
  <si>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</si>
  <si>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</si>
  <si>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</si>
  <si>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</si>
  <si>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</si>
  <si>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</si>
  <si>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</si>
  <si>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</si>
  <si>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</si>
  <si>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</si>
  <si>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</si>
  <si>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</si>
  <si>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</si>
  <si>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</si>
  <si>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</si>
  <si>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</si>
  <si>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</si>
  <si>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</si>
  <si>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</si>
  <si>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</si>
  <si>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</si>
  <si>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</si>
  <si>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</si>
  <si>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</si>
  <si>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</si>
  <si>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</si>
  <si>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</si>
  <si>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</si>
  <si>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</si>
  <si>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</si>
  <si>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</si>
  <si>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</si>
  <si>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</si>
  <si>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</si>
  <si>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</si>
  <si>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</si>
  <si>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</si>
  <si>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</si>
  <si>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</si>
  <si>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</si>
  <si>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</si>
  <si>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</si>
  <si>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</si>
  <si>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</si>
  <si>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</si>
  <si>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</si>
  <si>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</si>
  <si>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</si>
  <si>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</si>
  <si>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</si>
  <si>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</si>
  <si>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</si>
  <si>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</si>
  <si>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</si>
  <si>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</si>
  <si>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</si>
  <si>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</si>
  <si>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</si>
  <si>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</si>
  <si>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</si>
  <si>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</si>
  <si>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</si>
  <si>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</si>
  <si>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</si>
  <si>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</si>
  <si>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</si>
  <si>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</si>
  <si>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</si>
  <si>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</si>
  <si>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</si>
  <si>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</si>
  <si>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</si>
  <si>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</si>
  <si>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</si>
  <si>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</si>
  <si>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</si>
  <si>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</si>
  <si>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</si>
  <si>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</si>
  <si>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</si>
  <si>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</si>
  <si>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</si>
  <si>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</si>
  <si>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</si>
  <si>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</si>
  <si>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</si>
  <si>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</si>
  <si>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</si>
  <si>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</si>
  <si>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</si>
  <si>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</si>
  <si>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</si>
  <si>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</si>
  <si>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</si>
  <si>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</si>
  <si>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</si>
  <si>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</si>
  <si>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</si>
  <si>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</si>
  <si>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</si>
  <si>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</si>
  <si>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</si>
  <si>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</si>
  <si>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</si>
  <si>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</si>
  <si>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</si>
  <si>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</si>
  <si>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</si>
  <si>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</si>
  <si>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</si>
  <si>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</si>
  <si>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</si>
  <si>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</si>
  <si>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</si>
  <si>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</si>
  <si>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</si>
  <si>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</si>
  <si>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</si>
  <si>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</si>
  <si>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</si>
  <si>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</si>
  <si>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</si>
  <si>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</si>
  <si>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</si>
  <si>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</si>
  <si>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</si>
  <si>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</si>
  <si>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</si>
  <si>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</si>
  <si>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</si>
  <si>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</si>
  <si>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</si>
  <si>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</si>
  <si>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</si>
  <si>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</si>
  <si>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</si>
  <si>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</si>
  <si>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</si>
  <si>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</si>
  <si>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</si>
  <si>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</si>
  <si>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</si>
  <si>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</si>
  <si>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</si>
  <si>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</si>
  <si>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</si>
  <si>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</si>
  <si>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</si>
  <si>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</si>
  <si>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</si>
  <si>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</si>
  <si>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</si>
  <si>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</si>
  <si>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</si>
  <si>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</si>
  <si>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</si>
  <si>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</si>
  <si>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</si>
  <si>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</si>
  <si>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</si>
  <si>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</si>
  <si>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</si>
  <si>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</si>
  <si>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</si>
  <si>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</si>
  <si>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</si>
  <si>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</si>
  <si>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</si>
  <si>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</si>
  <si>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</si>
  <si>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</si>
  <si>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</si>
  <si>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</si>
  <si>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</si>
  <si>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</si>
  <si>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</si>
  <si>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</si>
  <si>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</si>
  <si>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</si>
  <si>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</si>
  <si>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</si>
  <si>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</si>
  <si>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</si>
  <si>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</si>
  <si>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</si>
  <si>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</si>
  <si>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</si>
  <si>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</si>
  <si>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</si>
  <si>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</si>
  <si>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</si>
  <si>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</si>
  <si>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</si>
  <si>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</si>
  <si>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</si>
  <si>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</si>
  <si>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</si>
  <si>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</si>
  <si>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</si>
  <si>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</si>
  <si>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</si>
  <si>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</si>
  <si>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</si>
  <si>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</si>
  <si>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</si>
  <si>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</si>
  <si>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</si>
  <si>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</si>
  <si>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</si>
  <si>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</si>
  <si>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</si>
  <si>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</si>
  <si>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</si>
  <si>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</si>
  <si>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</si>
  <si>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</si>
  <si>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</si>
  <si>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</si>
  <si>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</si>
  <si>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</si>
  <si>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</si>
  <si>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</si>
  <si>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</si>
  <si>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</si>
  <si>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</si>
  <si>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</si>
  <si>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</si>
  <si>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</si>
  <si>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</si>
  <si>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</si>
  <si>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</si>
  <si>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</si>
  <si>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</si>
  <si>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</si>
  <si>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</si>
  <si>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</si>
  <si>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</si>
  <si>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</si>
  <si>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</si>
  <si>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</si>
  <si>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</si>
  <si>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</si>
  <si>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</si>
  <si>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</si>
  <si>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</si>
  <si>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</si>
  <si>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</si>
  <si>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</si>
  <si>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</si>
  <si>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</si>
  <si>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</si>
  <si>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</si>
  <si>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</si>
  <si>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</si>
  <si>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</si>
  <si>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</si>
  <si>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</si>
  <si>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</si>
  <si>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</si>
  <si>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</si>
  <si>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</si>
  <si>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</si>
  <si>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</si>
  <si>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</si>
  <si>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</si>
  <si>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</si>
  <si>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</si>
  <si>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</si>
  <si>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</si>
  <si>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</si>
  <si>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</si>
  <si>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</si>
  <si>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</si>
  <si>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</si>
  <si>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</si>
  <si>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</si>
  <si>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</si>
  <si>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</si>
  <si>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</si>
  <si>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</si>
  <si>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</si>
  <si>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</si>
  <si>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</si>
  <si>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</si>
  <si>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</si>
  <si>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</si>
  <si>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</si>
  <si>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</si>
  <si>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</si>
  <si>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</si>
  <si>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</si>
  <si>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</si>
  <si>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</si>
  <si>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</si>
  <si>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</si>
  <si>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</si>
  <si>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</si>
  <si>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</si>
  <si>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</si>
  <si>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</si>
  <si>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</si>
  <si>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</si>
  <si>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</si>
  <si>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</si>
  <si>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</si>
  <si>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</si>
  <si>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</si>
  <si>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</si>
  <si>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</si>
  <si>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</si>
  <si>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</si>
  <si>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</si>
  <si>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</si>
  <si>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</si>
  <si>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</si>
  <si>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</si>
  <si>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</si>
  <si>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</si>
  <si>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</si>
  <si>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</si>
  <si>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</si>
  <si>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</si>
  <si>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</si>
  <si>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</si>
  <si>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</si>
  <si>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</si>
  <si>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</si>
  <si>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</si>
  <si>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</si>
  <si>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</si>
  <si>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</si>
  <si>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</si>
  <si>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</si>
  <si>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</si>
  <si>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</si>
  <si>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</si>
  <si>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</si>
  <si>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</si>
  <si>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</si>
  <si>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</si>
  <si>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</si>
  <si>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</si>
  <si>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</si>
  <si>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</si>
  <si>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</si>
  <si>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</si>
  <si>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</si>
  <si>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</si>
  <si>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</si>
  <si>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</si>
  <si>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</si>
  <si>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</si>
  <si>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</si>
  <si>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</si>
  <si>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</si>
  <si>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</si>
  <si>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</si>
  <si>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</si>
  <si>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</si>
  <si>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</si>
  <si>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</si>
  <si>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</si>
  <si>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</si>
  <si>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</si>
  <si>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</si>
  <si>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</si>
  <si>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</si>
  <si>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</si>
  <si>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</si>
  <si>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</si>
  <si>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</si>
  <si>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</si>
  <si>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</si>
  <si>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</si>
  <si>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</si>
  <si>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</si>
  <si>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</si>
  <si>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</si>
  <si>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</si>
  <si>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</si>
  <si>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</si>
  <si>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</si>
  <si>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</si>
  <si>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</si>
  <si>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</si>
  <si>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</si>
  <si>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</si>
  <si>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</si>
  <si>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</si>
  <si>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</si>
  <si>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</si>
  <si>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</si>
  <si>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</si>
  <si>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</si>
  <si>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</si>
  <si>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</si>
  <si>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</si>
  <si>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</si>
  <si>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</si>
  <si>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</si>
  <si>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</si>
  <si>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</si>
  <si>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</si>
  <si>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</si>
  <si>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</si>
  <si>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</si>
  <si>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</si>
  <si>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</si>
  <si>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</si>
  <si>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</si>
  <si>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</si>
  <si>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</si>
  <si>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</si>
  <si>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</si>
  <si>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</si>
  <si>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</si>
  <si>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</si>
  <si>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</si>
  <si>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</si>
  <si>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</si>
  <si>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</si>
  <si>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</si>
  <si>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</si>
  <si>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</si>
  <si>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</si>
  <si>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</si>
  <si>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</si>
  <si>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</si>
  <si>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</si>
  <si>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</si>
  <si>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</si>
  <si>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</si>
  <si>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</si>
  <si>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</si>
  <si>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</si>
  <si>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</si>
  <si>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</si>
  <si>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</si>
  <si>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</si>
  <si>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</si>
  <si>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</si>
  <si>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</si>
  <si>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</si>
  <si>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</si>
  <si>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</si>
  <si>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</si>
  <si>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</si>
  <si>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</si>
  <si>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</si>
  <si>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</si>
  <si>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</si>
  <si>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</si>
  <si>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</si>
  <si>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</si>
  <si>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</si>
  <si>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</si>
  <si>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</si>
  <si>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</si>
  <si>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</si>
  <si>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</si>
  <si>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</si>
  <si>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</si>
  <si>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</si>
  <si>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</si>
  <si>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</si>
  <si>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</si>
  <si>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</si>
  <si>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</si>
  <si>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</si>
  <si>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</si>
  <si>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</si>
  <si>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</si>
  <si>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</si>
  <si>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</si>
  <si>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</si>
  <si>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</si>
  <si>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</si>
  <si>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</si>
  <si>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</si>
  <si>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</si>
  <si>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</si>
  <si>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</si>
  <si>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</si>
  <si>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</si>
  <si>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</si>
  <si>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</si>
  <si>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</si>
  <si>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</si>
  <si>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</si>
  <si>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</si>
  <si>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</si>
  <si>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</si>
  <si>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</si>
  <si>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</si>
  <si>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</si>
  <si>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</si>
  <si>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</si>
  <si>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</si>
  <si>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</si>
  <si>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</si>
  <si>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</si>
  <si>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</si>
  <si>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</si>
  <si>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</si>
  <si>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</si>
  <si>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</si>
  <si>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</si>
  <si>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</si>
  <si>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</si>
  <si>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</si>
  <si>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</si>
  <si>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</si>
  <si>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</si>
  <si>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</si>
  <si>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</si>
  <si>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</si>
  <si>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</si>
  <si>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</si>
  <si>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</si>
  <si>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</si>
  <si>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</si>
  <si>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</si>
  <si>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</si>
  <si>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</si>
  <si>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</si>
  <si>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</si>
  <si>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</si>
  <si>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</si>
  <si>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</si>
  <si>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</si>
  <si>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</si>
  <si>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</si>
  <si>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</si>
  <si>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</si>
  <si>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</si>
  <si>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</si>
  <si>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</si>
  <si>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</si>
  <si>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</si>
  <si>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</si>
  <si>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</si>
  <si>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</si>
  <si>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</si>
  <si>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</si>
  <si>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</si>
  <si>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</si>
  <si>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</si>
  <si>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</si>
  <si>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</si>
  <si>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</si>
  <si>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</si>
  <si>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</si>
  <si>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</si>
  <si>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</si>
  <si>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</si>
  <si>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</si>
  <si>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</si>
  <si>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</si>
  <si>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</si>
  <si>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</si>
  <si>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</si>
  <si>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</si>
  <si>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</si>
  <si>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</si>
  <si>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</si>
  <si>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</si>
  <si>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</si>
  <si>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</si>
  <si>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</si>
  <si>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</si>
  <si>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</si>
  <si>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</si>
  <si>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</si>
  <si>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</si>
  <si>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</si>
  <si>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</si>
  <si>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</si>
  <si>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</si>
  <si>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</si>
  <si>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</si>
  <si>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</si>
  <si>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</si>
  <si>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</si>
  <si>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</si>
  <si>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</si>
  <si>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</si>
  <si>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</si>
  <si>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</si>
  <si>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</si>
  <si>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</si>
  <si>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</si>
  <si>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</si>
  <si>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</si>
  <si>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</si>
  <si>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</si>
  <si>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</si>
  <si>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</si>
  <si>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</si>
  <si>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</si>
  <si>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</si>
  <si>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</si>
  <si>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</si>
  <si>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</si>
  <si>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</si>
  <si>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</si>
  <si>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</si>
  <si>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</si>
  <si>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</si>
  <si>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</si>
  <si>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</si>
  <si>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</si>
  <si>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</si>
  <si>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</si>
  <si>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</si>
  <si>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</si>
  <si>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</si>
  <si>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</si>
  <si>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</si>
  <si>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</si>
  <si>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</si>
  <si>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</si>
  <si>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</si>
  <si>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</si>
  <si>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</si>
  <si>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</si>
  <si>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</si>
  <si>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</si>
  <si>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</si>
  <si>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</si>
  <si>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</si>
  <si>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</si>
  <si>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</si>
  <si>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</si>
  <si>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</si>
  <si>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</si>
  <si>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</si>
  <si>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</si>
  <si>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</si>
  <si>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</si>
  <si>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</si>
  <si>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</si>
  <si>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</si>
  <si>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</si>
  <si>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</si>
  <si>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</si>
  <si>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</si>
  <si>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</si>
  <si>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</si>
  <si>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</si>
  <si>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</si>
  <si>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</si>
  <si>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</si>
  <si>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</si>
  <si>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</si>
  <si>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</si>
  <si>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</si>
  <si>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</si>
  <si>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</si>
  <si>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</si>
  <si>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</si>
  <si>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</si>
  <si>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</si>
  <si>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</si>
  <si>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</si>
  <si>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</si>
  <si>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</si>
  <si>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</si>
  <si>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</si>
  <si>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</si>
  <si>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</si>
  <si>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</si>
  <si>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</si>
  <si>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</si>
  <si>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</si>
  <si>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</si>
  <si>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</si>
  <si>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</si>
  <si>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</si>
  <si>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</si>
  <si>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</si>
  <si>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</si>
  <si>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</si>
  <si>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</si>
  <si>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</si>
  <si>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</si>
  <si>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</si>
  <si>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</si>
  <si>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</si>
  <si>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</si>
  <si>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</si>
  <si>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</si>
  <si>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</si>
  <si>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</si>
  <si>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</si>
  <si>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</si>
  <si>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</si>
  <si>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</si>
  <si>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</si>
  <si>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</si>
  <si>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</si>
  <si>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</si>
  <si>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</si>
  <si>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</si>
  <si>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</si>
  <si>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</si>
  <si>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</si>
  <si>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</si>
  <si>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</si>
  <si>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</si>
  <si>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</si>
  <si>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</si>
  <si>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</si>
  <si>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</si>
  <si>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</si>
  <si>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</si>
  <si>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</si>
  <si>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</si>
  <si>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</si>
  <si>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</si>
  <si>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</si>
  <si>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</si>
  <si>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</si>
  <si>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</si>
  <si>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</si>
  <si>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</si>
  <si>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</si>
  <si>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</si>
  <si>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</si>
  <si>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</si>
  <si>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</si>
  <si>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</si>
  <si>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</si>
  <si>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</si>
  <si>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</si>
  <si>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</si>
  <si>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</si>
  <si>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</si>
  <si>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</si>
  <si>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</si>
  <si>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</si>
  <si>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</si>
  <si>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</si>
  <si>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</si>
  <si>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</si>
  <si>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</si>
  <si>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</si>
  <si>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</si>
  <si>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</si>
  <si>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</si>
  <si>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</si>
  <si>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</si>
  <si>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</si>
  <si>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</si>
  <si>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</si>
  <si>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</si>
  <si>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</si>
  <si>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</si>
  <si>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</si>
  <si>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</si>
  <si>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</si>
  <si>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</si>
  <si>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</si>
  <si>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</si>
  <si>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</si>
  <si>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</si>
  <si>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</si>
  <si>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</si>
  <si>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</si>
  <si>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</si>
  <si>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</si>
  <si>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</si>
  <si>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</si>
  <si>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</si>
  <si>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</si>
  <si>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</si>
  <si>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</si>
  <si>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</si>
  <si>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</si>
  <si>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</si>
  <si>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</si>
  <si>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</si>
  <si>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</si>
  <si>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</si>
  <si>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</si>
  <si>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</si>
  <si>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</si>
  <si>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</si>
  <si>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</si>
  <si>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</si>
  <si>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</si>
  <si>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</si>
  <si>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</si>
  <si>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</si>
  <si>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</si>
  <si>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</si>
  <si>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</si>
  <si>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</si>
  <si>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</si>
  <si>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</si>
  <si>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</si>
  <si>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</si>
  <si>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</si>
  <si>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</si>
  <si>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</si>
  <si>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</si>
  <si>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</si>
  <si>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</si>
  <si>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</si>
  <si>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</si>
  <si>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</si>
  <si>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</si>
  <si>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</si>
  <si>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</si>
  <si>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</si>
  <si>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</si>
  <si>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</si>
  <si>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</si>
  <si>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</si>
  <si>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</si>
  <si>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</si>
  <si>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</si>
  <si>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</si>
  <si>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</si>
  <si>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</si>
  <si>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</si>
  <si>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</si>
  <si>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</si>
  <si>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</si>
  <si>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</si>
  <si>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</si>
  <si>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</si>
  <si>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</si>
  <si>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</si>
  <si>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</si>
  <si>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</si>
  <si>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</si>
  <si>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</si>
  <si>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</si>
  <si>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</si>
  <si>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</si>
  <si>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</si>
  <si>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</si>
  <si>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</si>
  <si>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</si>
  <si>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</si>
  <si>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</si>
  <si>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</si>
  <si>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</si>
  <si>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</si>
  <si>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</si>
  <si>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</si>
  <si>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</si>
  <si>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</si>
  <si>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</si>
  <si>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</si>
  <si>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</si>
  <si>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</si>
  <si>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</si>
  <si>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</si>
  <si>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</si>
  <si>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</si>
  <si>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</si>
  <si>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</si>
  <si>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</si>
  <si>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</si>
  <si>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</si>
  <si>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</si>
  <si>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</si>
  <si>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</si>
  <si>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</si>
  <si>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</si>
  <si>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</si>
  <si>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</si>
  <si>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</si>
  <si>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</si>
  <si>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</si>
  <si>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</si>
  <si>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</si>
  <si>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</si>
  <si>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</si>
  <si>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</si>
  <si>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</si>
  <si>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</si>
  <si>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</si>
  <si>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</si>
  <si>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</si>
  <si>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</si>
  <si>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</si>
  <si>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</si>
  <si>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</si>
  <si>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</si>
  <si>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</si>
  <si>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</si>
  <si>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</si>
  <si>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</si>
  <si>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</si>
  <si>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</si>
  <si>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</si>
  <si>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</si>
  <si>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</si>
  <si>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</si>
  <si>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</si>
  <si>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</si>
  <si>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</si>
  <si>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</si>
  <si>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</si>
  <si>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</si>
  <si>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</si>
  <si>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</si>
  <si>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</si>
  <si>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</si>
  <si>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</si>
  <si>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</si>
  <si>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</si>
  <si>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</si>
  <si>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</si>
  <si>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</si>
  <si>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</si>
  <si>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</si>
  <si>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</si>
  <si>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</si>
  <si>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</si>
  <si>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</si>
  <si>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</si>
  <si>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</si>
  <si>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</si>
  <si>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</si>
  <si>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</si>
  <si>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</si>
  <si>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</si>
  <si>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</si>
  <si>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</si>
  <si>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</si>
  <si>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</si>
  <si>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</si>
  <si>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</si>
  <si>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</si>
  <si>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</si>
  <si>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</si>
  <si>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</si>
  <si>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</si>
  <si>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</si>
  <si>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</si>
  <si>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</si>
  <si>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</si>
  <si>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</si>
  <si>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</si>
  <si>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</si>
  <si>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</si>
  <si>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</si>
  <si>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</si>
  <si>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</si>
  <si>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</si>
  <si>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</si>
  <si>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</si>
  <si>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</si>
  <si>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</si>
  <si>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</si>
  <si>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</si>
  <si>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</si>
  <si>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</si>
  <si>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</si>
  <si>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</si>
  <si>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</si>
  <si>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</si>
  <si>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</si>
  <si>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</si>
  <si>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</si>
  <si>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</si>
  <si>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</si>
  <si>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</si>
  <si>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</si>
  <si>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</si>
  <si>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</si>
  <si>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</si>
  <si>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</si>
  <si>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</si>
  <si>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</si>
  <si>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</si>
  <si>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</si>
  <si>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</si>
  <si>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</si>
  <si>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</si>
  <si>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</si>
  <si>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</si>
  <si>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</si>
  <si>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</si>
  <si>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</si>
  <si>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</si>
  <si>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</si>
  <si>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</si>
  <si>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</si>
  <si>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</si>
  <si>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</si>
  <si>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</si>
  <si>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</si>
  <si>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</si>
  <si>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</si>
  <si>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</si>
  <si>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</si>
  <si>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</si>
  <si>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</si>
  <si>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</si>
  <si>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</si>
  <si>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</si>
  <si>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</si>
  <si>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</si>
  <si>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</si>
  <si>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</si>
  <si>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</si>
  <si>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</si>
  <si>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</si>
  <si>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</si>
  <si>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</si>
  <si>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</si>
  <si>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</si>
  <si>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</si>
  <si>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</si>
  <si>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</si>
  <si>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</si>
  <si>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</si>
  <si>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</si>
  <si>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</si>
  <si>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</si>
  <si>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</si>
  <si>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</si>
  <si>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</si>
  <si>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</si>
  <si>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</si>
  <si>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</si>
  <si>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</si>
  <si>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</si>
  <si>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</si>
  <si>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</si>
  <si>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</si>
  <si>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</si>
  <si>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</si>
  <si>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</si>
  <si>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</si>
  <si>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</si>
  <si>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</si>
  <si>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</si>
  <si>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</si>
  <si>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</si>
  <si>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</si>
  <si>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</si>
  <si>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</si>
  <si>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</si>
  <si>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</si>
  <si>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</si>
  <si>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</si>
  <si>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</si>
  <si>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</si>
  <si>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</si>
  <si>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</si>
  <si>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</si>
  <si>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</si>
  <si>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</si>
  <si>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</si>
  <si>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</si>
  <si>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</si>
  <si>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</si>
  <si>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</si>
  <si>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</si>
  <si>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</si>
  <si>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</si>
  <si>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</si>
  <si>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</si>
  <si>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</si>
  <si>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</si>
  <si>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</si>
  <si>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</si>
  <si>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</si>
  <si>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</si>
  <si>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</si>
  <si>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</si>
  <si>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</si>
  <si>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</si>
  <si>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</si>
  <si>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</si>
  <si>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</si>
  <si>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</si>
  <si>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</si>
  <si>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</si>
  <si>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</si>
  <si>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</si>
  <si>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</si>
  <si>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</si>
  <si>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</si>
  <si>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</si>
  <si>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</si>
  <si>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</si>
  <si>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</si>
  <si>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</si>
  <si>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</si>
  <si>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</si>
  <si>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</si>
  <si>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</si>
  <si>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</si>
  <si>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</si>
  <si>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</si>
  <si>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</si>
  <si>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</si>
  <si>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</si>
  <si>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</si>
  <si>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</si>
  <si>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</si>
  <si>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</si>
  <si>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</si>
  <si>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</si>
  <si>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</si>
  <si>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</si>
  <si>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</si>
  <si>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</si>
  <si>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</si>
  <si>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</si>
  <si>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</si>
  <si>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</si>
  <si>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</si>
  <si>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</si>
  <si>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</si>
  <si>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</si>
  <si>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</si>
  <si>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</si>
  <si>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</si>
  <si>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</si>
  <si>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</si>
  <si>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</si>
  <si>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</si>
  <si>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</si>
  <si>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</si>
  <si>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</si>
  <si>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</si>
  <si>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</si>
  <si>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</si>
  <si>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</si>
  <si>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</si>
  <si>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</si>
  <si>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</si>
  <si>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</si>
  <si>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</si>
  <si>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</si>
  <si>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</si>
  <si>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</si>
  <si>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</si>
  <si>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</si>
  <si>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</si>
  <si>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</si>
  <si>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</si>
  <si>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</si>
  <si>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</si>
  <si>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</si>
  <si>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</si>
  <si>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</si>
  <si>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</si>
  <si>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</si>
  <si>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</si>
  <si>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</si>
  <si>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</si>
  <si>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</si>
  <si>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</si>
  <si>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</si>
  <si>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</si>
  <si>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</si>
  <si>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</si>
  <si>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</si>
  <si>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</si>
  <si>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</si>
  <si>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</si>
  <si>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</si>
  <si>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</si>
  <si>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</si>
  <si>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</si>
  <si>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</si>
  <si>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</si>
  <si>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</si>
  <si>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</si>
  <si>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</si>
  <si>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</si>
  <si>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</si>
  <si>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</si>
  <si>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</si>
  <si>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</si>
  <si>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</si>
  <si>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</si>
  <si>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</si>
  <si>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</si>
  <si>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</si>
  <si>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</si>
  <si>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</si>
  <si>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</si>
  <si>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</si>
  <si>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</si>
  <si>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</si>
  <si>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</si>
  <si>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</si>
  <si>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</si>
  <si>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</si>
  <si>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</si>
  <si>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</si>
  <si>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</si>
  <si>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</si>
  <si>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</si>
  <si>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</si>
  <si>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</si>
  <si>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</si>
  <si>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</si>
  <si>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</si>
  <si>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</si>
  <si>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</si>
  <si>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</si>
  <si>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</si>
  <si>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</si>
  <si>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</si>
  <si>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</si>
  <si>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</si>
  <si>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</si>
  <si>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</si>
  <si>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</si>
  <si>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</si>
  <si>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</si>
  <si>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</si>
  <si>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</si>
  <si>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</si>
  <si>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</si>
  <si>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</si>
  <si>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</si>
  <si>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</si>
  <si>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</si>
  <si>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</si>
  <si>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</si>
  <si>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</si>
  <si>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</si>
  <si>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</si>
  <si>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</si>
  <si>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</si>
  <si>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</si>
  <si>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</si>
  <si>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</si>
  <si>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</si>
  <si>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</si>
  <si>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</si>
  <si>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</si>
  <si>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</si>
  <si>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</si>
  <si>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</si>
  <si>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</si>
  <si>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</si>
  <si>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</si>
  <si>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</si>
  <si>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</si>
  <si>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</si>
  <si>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</si>
  <si>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</si>
  <si>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</si>
  <si>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</si>
  <si>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</si>
  <si>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</si>
  <si>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</si>
  <si>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</si>
  <si>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</si>
  <si>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</si>
  <si>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</si>
  <si>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</si>
  <si>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</si>
  <si>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</si>
  <si>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</si>
  <si>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</si>
  <si>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</si>
  <si>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</si>
  <si>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</si>
  <si>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</si>
  <si>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</si>
  <si>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</si>
  <si>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</si>
  <si>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</si>
  <si>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</si>
  <si>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</si>
  <si>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</si>
  <si>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</si>
  <si>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</si>
  <si>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</si>
  <si>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</si>
  <si>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</si>
  <si>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</si>
  <si>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</si>
  <si>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</si>
  <si>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</si>
  <si>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</si>
  <si>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</si>
  <si>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</si>
  <si>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</si>
  <si>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</si>
  <si>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</si>
  <si>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</si>
  <si>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</si>
  <si>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</si>
  <si>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</si>
  <si>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</si>
  <si>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</si>
  <si>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</si>
  <si>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</si>
  <si>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</si>
  <si>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</si>
  <si>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</si>
  <si>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</si>
  <si>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</si>
  <si>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</si>
  <si>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</si>
  <si>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</si>
  <si>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</si>
  <si>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</si>
  <si>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</si>
  <si>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</si>
  <si>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</si>
  <si>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</si>
  <si>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</si>
  <si>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</si>
  <si>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</si>
  <si>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</si>
  <si>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</si>
  <si>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</si>
  <si>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</si>
  <si>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</si>
  <si>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</si>
  <si>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</si>
  <si>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</si>
  <si>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</si>
  <si>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</si>
  <si>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</si>
  <si>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</si>
  <si>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</si>
  <si>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</si>
  <si>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</si>
  <si>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</si>
  <si>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</si>
  <si>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</si>
  <si>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</si>
  <si>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</si>
  <si>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</si>
  <si>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</si>
  <si>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</si>
  <si>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</si>
  <si>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</si>
  <si>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</si>
  <si>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</si>
  <si>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</si>
  <si>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</si>
  <si>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</si>
  <si>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</si>
  <si>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</si>
  <si>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</si>
  <si>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</si>
  <si>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</si>
  <si>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</si>
  <si>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</si>
  <si>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</si>
  <si>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</si>
  <si>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</si>
  <si>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</si>
  <si>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</si>
  <si>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</si>
  <si>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</si>
  <si>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</si>
  <si>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</si>
  <si>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</si>
  <si>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</si>
  <si>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</si>
  <si>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</si>
  <si>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</si>
  <si>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</si>
  <si>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</si>
  <si>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</si>
  <si>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</si>
  <si>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</si>
  <si>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</si>
  <si>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</si>
  <si>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</si>
  <si>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</si>
  <si>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</si>
  <si>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</si>
  <si>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</si>
  <si>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</si>
  <si>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</si>
  <si>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</si>
  <si>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</si>
  <si>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</si>
  <si>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</si>
  <si>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</si>
  <si>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</si>
  <si>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</si>
  <si>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</si>
  <si>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</si>
  <si>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</si>
  <si>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</si>
  <si>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</si>
  <si>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</si>
  <si>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</si>
  <si>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</si>
  <si>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</si>
  <si>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</si>
  <si>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</si>
  <si>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</si>
  <si>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</si>
  <si>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</si>
  <si>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</si>
  <si>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</si>
  <si>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</si>
  <si>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</si>
  <si>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</si>
  <si>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</si>
  <si>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</si>
  <si>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</si>
  <si>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</si>
  <si>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</si>
  <si>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</si>
  <si>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</si>
  <si>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</si>
  <si>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</si>
  <si>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</si>
  <si>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</si>
  <si>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</si>
  <si>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</si>
  <si>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</si>
  <si>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</si>
  <si>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</si>
  <si>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</si>
  <si>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</si>
  <si>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</si>
  <si>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</si>
  <si>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</si>
  <si>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</si>
  <si>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</si>
  <si>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</si>
  <si>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</si>
  <si>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</si>
  <si>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</si>
  <si>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</si>
  <si>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</si>
  <si>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</si>
  <si>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</si>
  <si>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</si>
  <si>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</si>
  <si>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</si>
  <si>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</si>
  <si>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</si>
  <si>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</si>
  <si>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</si>
  <si>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</si>
  <si>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</si>
  <si>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</si>
  <si>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</si>
  <si>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</si>
  <si>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</si>
  <si>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</si>
  <si>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</si>
  <si>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</si>
  <si>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</si>
  <si>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</si>
  <si>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</si>
  <si>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</si>
  <si>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</si>
  <si>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</si>
  <si>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</si>
  <si>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</si>
  <si>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</si>
  <si>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</si>
  <si>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</si>
  <si>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</si>
  <si>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</si>
  <si>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</si>
  <si>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</si>
  <si>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</si>
  <si>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</si>
  <si>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</si>
  <si>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</si>
  <si>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</si>
  <si>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</si>
  <si>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</si>
  <si>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</si>
  <si>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</si>
  <si>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</si>
  <si>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</si>
  <si>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</si>
  <si>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</si>
  <si>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</si>
  <si>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</si>
  <si>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</si>
  <si>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</si>
  <si>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</si>
  <si>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</si>
  <si>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</si>
  <si>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</si>
  <si>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</si>
  <si>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</si>
  <si>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</si>
  <si>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</si>
  <si>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</si>
  <si>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</si>
  <si>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</si>
  <si>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</si>
  <si>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</si>
  <si>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</si>
  <si>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</si>
  <si>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</si>
  <si>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</si>
  <si>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</si>
  <si>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</si>
  <si>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</si>
  <si>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</si>
  <si>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</si>
  <si>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</si>
  <si>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</si>
  <si>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</si>
  <si>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</si>
  <si>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</si>
  <si>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</si>
  <si>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</si>
  <si>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</si>
  <si>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</si>
  <si>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</si>
  <si>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</si>
  <si>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</si>
  <si>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</si>
  <si>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</si>
  <si>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</si>
  <si>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</si>
  <si>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</si>
  <si>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</si>
  <si>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</si>
  <si>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</si>
  <si>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</si>
  <si>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</si>
  <si>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</si>
  <si>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</si>
  <si>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</si>
  <si>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</si>
  <si>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</si>
  <si>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</si>
  <si>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</si>
  <si>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</si>
  <si>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</si>
  <si>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</si>
  <si>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</si>
  <si>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</si>
  <si>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</si>
  <si>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</si>
  <si>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</si>
  <si>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</si>
  <si>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</si>
  <si>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</si>
  <si>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</si>
  <si>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</si>
  <si>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</si>
  <si>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</si>
  <si>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</si>
  <si>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</si>
  <si>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</si>
  <si>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</si>
  <si>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</si>
  <si>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</si>
  <si>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</si>
  <si>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</si>
  <si>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</si>
  <si>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</si>
  <si>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</si>
  <si>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</si>
  <si>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</si>
  <si>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</si>
  <si>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</si>
  <si>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</si>
  <si>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</si>
  <si>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</si>
  <si>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</si>
  <si>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</si>
  <si>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</si>
  <si>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</si>
  <si>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</si>
  <si>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</si>
  <si>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</si>
  <si>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</si>
  <si>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</si>
  <si>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</si>
  <si>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</si>
  <si>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</si>
  <si>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</si>
  <si>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</si>
  <si>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</si>
  <si>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</si>
  <si>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</si>
  <si>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</si>
  <si>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</si>
  <si>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</si>
  <si>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</si>
  <si>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</si>
  <si>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</si>
  <si>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</si>
  <si>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</si>
  <si>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</si>
  <si>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</si>
  <si>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</si>
  <si>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</si>
  <si>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</si>
  <si>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</si>
  <si>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</si>
  <si>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</si>
  <si>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</si>
  <si>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</si>
  <si>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</si>
  <si>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</si>
  <si>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</si>
  <si>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</si>
  <si>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</si>
  <si>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</si>
  <si>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</si>
  <si>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</si>
  <si>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</si>
  <si>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</si>
  <si>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</si>
  <si>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</si>
  <si>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</si>
  <si>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</si>
  <si>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</si>
  <si>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</si>
  <si>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</si>
  <si>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</si>
  <si>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</si>
  <si>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</si>
  <si>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</si>
  <si>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</si>
  <si>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</si>
  <si>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</si>
  <si>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</si>
  <si>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</si>
  <si>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</si>
  <si>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</si>
  <si>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</si>
  <si>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</si>
  <si>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</si>
  <si>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</si>
  <si>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</si>
  <si>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</si>
  <si>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</si>
  <si>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</si>
  <si>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</si>
  <si>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</si>
  <si>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</si>
  <si>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</si>
  <si>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</si>
  <si>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</si>
  <si>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</si>
  <si>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</si>
  <si>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</si>
  <si>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</si>
  <si>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</si>
  <si>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</si>
  <si>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</si>
  <si>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</si>
  <si>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</si>
  <si>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</si>
  <si>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</si>
  <si>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</si>
  <si>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</si>
  <si>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</si>
  <si>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</si>
  <si>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</si>
  <si>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</si>
  <si>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</si>
  <si>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</si>
  <si>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</si>
  <si>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</si>
  <si>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</si>
  <si>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</si>
  <si>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</si>
  <si>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</si>
  <si>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</si>
  <si>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</si>
  <si>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</si>
  <si>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</si>
  <si>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</si>
  <si>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</si>
  <si>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</si>
  <si>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</si>
  <si>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</si>
  <si>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</si>
  <si>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</si>
  <si>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</si>
  <si>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</si>
  <si>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</si>
  <si>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</si>
  <si>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</si>
  <si>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</si>
  <si>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</si>
  <si>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</si>
  <si>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</si>
  <si>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</si>
  <si>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</si>
  <si>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</si>
  <si>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</si>
  <si>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</si>
  <si>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</si>
  <si>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</si>
  <si>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</si>
  <si>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</si>
  <si>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</si>
  <si>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</si>
  <si>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</si>
  <si>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</si>
  <si>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</si>
  <si>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</si>
  <si>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</si>
  <si>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</si>
  <si>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</si>
  <si>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</si>
  <si>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</si>
  <si>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</si>
  <si>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</si>
  <si>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</si>
  <si>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</si>
  <si>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</si>
  <si>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</si>
  <si>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</si>
  <si>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</si>
  <si>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</si>
  <si>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</si>
  <si>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</si>
  <si>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</si>
  <si>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</si>
  <si>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</si>
  <si>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</si>
  <si>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</si>
  <si>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</si>
  <si>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</si>
  <si>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</si>
  <si>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</si>
  <si>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</si>
  <si>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</si>
  <si>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</si>
  <si>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</si>
  <si>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</si>
  <si>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</si>
  <si>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</si>
  <si>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</si>
  <si>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</si>
  <si>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</si>
  <si>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</si>
  <si>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</si>
  <si>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</si>
  <si>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</si>
  <si>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</si>
  <si>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</si>
  <si>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</si>
  <si>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</si>
  <si>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</si>
  <si>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</si>
  <si>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</si>
  <si>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</si>
  <si>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</si>
  <si>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</si>
  <si>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</si>
  <si>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</si>
  <si>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</si>
  <si>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</si>
  <si>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</si>
  <si>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</si>
  <si>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</si>
  <si>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</si>
  <si>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</si>
  <si>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</si>
  <si>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</si>
  <si>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</si>
  <si>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</si>
  <si>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</si>
  <si>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</si>
  <si>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</si>
  <si>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</si>
  <si>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</si>
  <si>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</si>
  <si>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</si>
  <si>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</si>
  <si>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</si>
  <si>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</si>
  <si>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</si>
  <si>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</si>
  <si>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</si>
  <si>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</si>
  <si>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</si>
  <si>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</si>
  <si>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</si>
  <si>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</si>
  <si>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</si>
  <si>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</si>
  <si>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</si>
  <si>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</si>
  <si>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</si>
  <si>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</si>
  <si>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</si>
  <si>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</si>
  <si>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</si>
  <si>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</si>
  <si>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</si>
  <si>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</si>
  <si>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</si>
  <si>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</si>
  <si>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</si>
  <si>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</si>
  <si>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</si>
  <si>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</si>
  <si>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</si>
  <si>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</si>
  <si>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</si>
  <si>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</si>
  <si>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</si>
  <si>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</si>
  <si>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</si>
  <si>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</si>
  <si>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</si>
  <si>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</si>
  <si>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</si>
  <si>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</si>
  <si>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</si>
  <si>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</si>
  <si>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</si>
  <si>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</si>
  <si>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</si>
  <si>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</si>
  <si>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</si>
  <si>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</si>
  <si>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</si>
  <si>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</si>
  <si>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</si>
  <si>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</si>
  <si>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</si>
  <si>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</si>
  <si>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</si>
  <si>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</si>
  <si>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</si>
  <si>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</si>
  <si>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</si>
  <si>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</si>
  <si>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</si>
  <si>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</si>
  <si>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</si>
  <si>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</si>
  <si>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</si>
  <si>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</si>
  <si>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</si>
  <si>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</si>
  <si>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</si>
  <si>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</si>
  <si>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</si>
  <si>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</si>
  <si>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</si>
  <si>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</si>
  <si>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</si>
  <si>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</si>
  <si>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</si>
  <si>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</si>
  <si>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</si>
  <si>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</si>
  <si>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</si>
  <si>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</si>
  <si>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</si>
  <si>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</si>
  <si>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</si>
  <si>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</si>
  <si>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</si>
  <si>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</si>
  <si>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</si>
  <si>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</si>
  <si>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</si>
  <si>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</si>
  <si>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</si>
  <si>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</si>
  <si>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</si>
  <si>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</si>
  <si>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</si>
  <si>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</si>
  <si>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</si>
  <si>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</si>
  <si>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</si>
  <si>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</si>
  <si>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</si>
  <si>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</si>
  <si>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</si>
  <si>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</si>
  <si>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</si>
  <si>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</si>
  <si>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</si>
  <si>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</si>
  <si>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</si>
  <si>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</si>
  <si>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</si>
  <si>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</si>
  <si>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</si>
  <si>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</si>
  <si>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</si>
  <si>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</si>
  <si>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</si>
  <si>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</si>
  <si>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</si>
  <si>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</si>
  <si>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</si>
  <si>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</si>
  <si>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</si>
  <si>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</si>
  <si>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</si>
  <si>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</si>
  <si>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</si>
  <si>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</si>
  <si>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</si>
  <si>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</si>
  <si>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</si>
  <si>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</si>
  <si>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</si>
  <si>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</si>
  <si>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</si>
  <si>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</si>
  <si>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</si>
  <si>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</si>
  <si>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</si>
  <si>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</si>
  <si>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</si>
  <si>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</si>
  <si>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</si>
  <si>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</si>
  <si>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</si>
  <si>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</si>
  <si>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</si>
  <si>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</si>
  <si>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</si>
  <si>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</si>
  <si>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</si>
  <si>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</si>
  <si>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</si>
  <si>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</si>
  <si>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</si>
  <si>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</si>
  <si>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</si>
  <si>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</si>
  <si>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</si>
  <si>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</si>
  <si>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</si>
  <si>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</si>
  <si>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</si>
  <si>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</si>
  <si>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</si>
  <si>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</si>
  <si>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</si>
  <si>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</si>
  <si>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</si>
  <si>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</si>
  <si>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</si>
  <si>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</si>
  <si>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</si>
  <si>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</si>
  <si>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</si>
  <si>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</si>
  <si>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</si>
  <si>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</si>
  <si>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</si>
  <si>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</si>
  <si>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</si>
  <si>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</si>
  <si>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</si>
  <si>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</si>
  <si>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</si>
  <si>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</si>
  <si>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</si>
  <si>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</si>
  <si>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</si>
  <si>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</si>
  <si>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</si>
  <si>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</si>
  <si>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</si>
  <si>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</si>
  <si>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</si>
  <si>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</si>
  <si>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</si>
  <si>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</si>
  <si>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</si>
  <si>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</si>
  <si>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</si>
  <si>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</si>
  <si>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</si>
  <si>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</si>
  <si>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</si>
  <si>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</si>
  <si>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</si>
  <si>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</si>
  <si>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</si>
  <si>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</si>
  <si>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</si>
  <si>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</si>
  <si>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</si>
  <si>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</si>
  <si>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</si>
  <si>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</si>
  <si>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</si>
  <si>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</si>
  <si>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</si>
  <si>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</si>
  <si>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</si>
  <si>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</si>
  <si>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</si>
  <si>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</si>
  <si>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</si>
  <si>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</si>
  <si>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</si>
  <si>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</si>
  <si>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</si>
  <si>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</si>
  <si>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</si>
  <si>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</si>
  <si>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</si>
  <si>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</si>
  <si>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</si>
  <si>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</si>
  <si>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</si>
  <si>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</si>
  <si>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</si>
  <si>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</si>
  <si>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</si>
  <si>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</si>
  <si>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</si>
  <si>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</si>
  <si>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</si>
  <si>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</si>
  <si>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</si>
  <si>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</si>
  <si>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</si>
  <si>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</si>
  <si>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</si>
  <si>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</si>
  <si>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</si>
  <si>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</si>
  <si>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</si>
  <si>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</si>
  <si>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</si>
  <si>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</si>
  <si>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</si>
  <si>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</si>
  <si>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</si>
  <si>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</si>
  <si>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</si>
  <si>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</si>
  <si>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</si>
  <si>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</si>
  <si>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</si>
  <si>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</si>
  <si>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</si>
  <si>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</si>
  <si>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</si>
  <si>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</si>
  <si>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</si>
  <si>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</si>
  <si>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</si>
  <si>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</si>
  <si>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</si>
  <si>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</si>
  <si>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</si>
  <si>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</si>
  <si>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</si>
  <si>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</si>
  <si>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</si>
  <si>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</si>
  <si>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</si>
  <si>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</si>
  <si>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</si>
  <si>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</si>
  <si>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</si>
  <si>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</si>
  <si>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</si>
  <si>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</si>
  <si>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</si>
  <si>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</si>
  <si>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</si>
  <si>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</si>
  <si>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</si>
  <si>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</si>
  <si>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</si>
  <si>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</si>
  <si>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</si>
  <si>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</si>
  <si>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</si>
  <si>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</si>
  <si>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</si>
  <si>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</si>
  <si>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</si>
  <si>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</si>
  <si>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</si>
  <si>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</si>
  <si>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</si>
  <si>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</si>
  <si>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</si>
  <si>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</si>
  <si>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</si>
  <si>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</si>
  <si>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</si>
  <si>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</si>
  <si>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</si>
  <si>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</si>
  <si>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</si>
  <si>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</si>
  <si>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</si>
  <si>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</si>
  <si>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</si>
  <si>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</si>
  <si>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</si>
  <si>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</si>
  <si>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</si>
  <si>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</si>
  <si>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</si>
  <si>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</si>
  <si>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</si>
  <si>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</si>
  <si>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</si>
  <si>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</si>
  <si>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</si>
  <si>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</si>
  <si>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</si>
  <si>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</si>
  <si>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</si>
  <si>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</si>
  <si>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</si>
  <si>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</si>
  <si>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</si>
  <si>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</si>
  <si>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</si>
  <si>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</si>
  <si>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</si>
  <si>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</si>
  <si>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</si>
  <si>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</si>
  <si>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</si>
  <si>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</si>
  <si>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</si>
  <si>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</si>
  <si>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</si>
  <si>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</si>
  <si>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</si>
  <si>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</si>
  <si>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</si>
  <si>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</si>
  <si>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</si>
  <si>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</si>
  <si>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</si>
  <si>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</si>
  <si>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</si>
  <si>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</si>
  <si>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</si>
  <si>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</si>
  <si>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</si>
  <si>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</si>
  <si>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</si>
  <si>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</si>
  <si>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</si>
  <si>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</si>
  <si>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</si>
  <si>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</si>
  <si>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</si>
  <si>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</si>
  <si>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</si>
  <si>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</si>
  <si>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</si>
  <si>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</si>
  <si>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</si>
  <si>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</si>
  <si>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</si>
  <si>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</si>
  <si>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</si>
  <si>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</si>
  <si>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</si>
  <si>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</si>
  <si>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</si>
  <si>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</si>
  <si>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</si>
  <si>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</si>
  <si>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</si>
  <si>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</si>
  <si>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</si>
  <si>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</si>
  <si>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</si>
  <si>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</si>
  <si>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</si>
  <si>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</si>
  <si>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</si>
  <si>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</si>
  <si>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</si>
  <si>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</si>
  <si>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</si>
  <si>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</si>
  <si>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</si>
  <si>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</si>
  <si>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</si>
  <si>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</si>
  <si>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</si>
  <si>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</si>
  <si>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</si>
  <si>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</si>
  <si>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</si>
  <si>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</si>
  <si>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</si>
  <si>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</si>
  <si>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</si>
  <si>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</si>
  <si>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</si>
  <si>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</si>
  <si>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</si>
  <si>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</si>
  <si>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</si>
  <si>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</si>
  <si>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</si>
  <si>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</si>
  <si>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</si>
  <si>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</si>
  <si>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</si>
  <si>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</si>
  <si>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</si>
  <si>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</si>
  <si>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</si>
  <si>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</si>
  <si>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</si>
  <si>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</si>
  <si>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</si>
  <si>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</si>
  <si>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</si>
  <si>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</si>
  <si>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</si>
  <si>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</si>
  <si>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</si>
  <si>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</si>
  <si>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</si>
  <si>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</si>
  <si>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</si>
  <si>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</si>
  <si>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</si>
  <si>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</si>
  <si>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</si>
  <si>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</si>
  <si>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</si>
  <si>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</si>
  <si>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</si>
  <si>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</si>
  <si>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</si>
  <si>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</si>
  <si>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</si>
  <si>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</si>
  <si>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</si>
  <si>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</si>
  <si>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</si>
  <si>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</si>
  <si>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</si>
  <si>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</si>
  <si>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</si>
  <si>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</si>
  <si>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</si>
  <si>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</si>
  <si>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</si>
  <si>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</si>
  <si>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</si>
  <si>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</si>
  <si>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</si>
  <si>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</si>
  <si>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</si>
  <si>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</si>
  <si>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</si>
  <si>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</si>
  <si>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</si>
  <si>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</si>
  <si>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</si>
  <si>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</si>
  <si>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</si>
  <si>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</si>
  <si>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</si>
  <si>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</si>
  <si>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</si>
  <si>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</si>
  <si>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</si>
  <si>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</si>
  <si>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</si>
  <si>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</si>
  <si>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</si>
  <si>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</si>
  <si>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</si>
  <si>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</si>
  <si>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</si>
  <si>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</si>
  <si>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</si>
  <si>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</si>
  <si>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</si>
  <si>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</si>
  <si>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</si>
  <si>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</si>
  <si>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</si>
  <si>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</si>
  <si>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</si>
  <si>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</si>
  <si>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</si>
  <si>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</si>
  <si>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</si>
  <si>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</si>
  <si>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</si>
  <si>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</si>
  <si>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</si>
  <si>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</si>
  <si>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</si>
  <si>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</si>
  <si>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</si>
  <si>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</si>
  <si>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</si>
  <si>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</si>
  <si>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</si>
  <si>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</si>
  <si>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</si>
  <si>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</si>
  <si>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</si>
  <si>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</si>
  <si>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</si>
  <si>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</si>
  <si>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</si>
  <si>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</si>
  <si>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</si>
  <si>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</si>
  <si>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</si>
  <si>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</si>
  <si>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</si>
  <si>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</si>
  <si>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</si>
  <si>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</si>
  <si>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</si>
  <si>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</si>
  <si>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</si>
  <si>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</si>
  <si>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</si>
  <si>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</si>
  <si>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</si>
  <si>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</si>
  <si>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</si>
  <si>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</si>
  <si>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</si>
  <si>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</si>
  <si>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</si>
  <si>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</si>
  <si>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</si>
  <si>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</si>
  <si>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</si>
  <si>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</si>
  <si>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</si>
  <si>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</si>
  <si>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</si>
  <si>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</si>
  <si>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</si>
  <si>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</si>
  <si>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</si>
  <si>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</si>
  <si>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</si>
  <si>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</si>
  <si>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</si>
  <si>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</si>
  <si>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</si>
  <si>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</si>
  <si>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</si>
  <si>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</si>
  <si>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</si>
  <si>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</si>
  <si>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</si>
  <si>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</si>
  <si>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</si>
  <si>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</si>
  <si>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</si>
  <si>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</si>
  <si>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</si>
  <si>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</si>
  <si>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</si>
  <si>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</si>
  <si>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</si>
  <si>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</si>
  <si>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</si>
  <si>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</si>
  <si>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</si>
  <si>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</si>
  <si>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</si>
  <si>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</si>
  <si>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</si>
  <si>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</si>
  <si>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</si>
  <si>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</si>
  <si>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</si>
  <si>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</si>
  <si>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</si>
  <si>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</si>
  <si>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</si>
  <si>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</si>
  <si>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</si>
  <si>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</si>
  <si>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</si>
  <si>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</si>
  <si>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</si>
  <si>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</si>
  <si>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</si>
  <si>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</si>
  <si>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</si>
  <si>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</si>
  <si>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</si>
  <si>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</si>
  <si>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</si>
  <si>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</si>
  <si>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</si>
  <si>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</si>
  <si>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</si>
  <si>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</si>
  <si>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</si>
  <si>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</si>
  <si>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</si>
  <si>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</si>
  <si>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</si>
  <si>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</si>
  <si>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</si>
  <si>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</si>
  <si>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</si>
  <si>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</si>
  <si>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</si>
  <si>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</si>
  <si>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</si>
  <si>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</si>
  <si>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</si>
  <si>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</si>
  <si>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</si>
  <si>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</si>
  <si>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</si>
  <si>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</si>
  <si>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</si>
  <si>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</si>
  <si>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</si>
  <si>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</si>
  <si>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</si>
  <si>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</si>
  <si>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</si>
  <si>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</si>
  <si>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</si>
  <si>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</si>
  <si>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</si>
  <si>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</si>
  <si>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</si>
  <si>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</si>
  <si>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</si>
  <si>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</si>
  <si>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</si>
  <si>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</si>
  <si>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</si>
  <si>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</si>
  <si>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</si>
  <si>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</si>
  <si>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</si>
  <si>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</si>
  <si>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</si>
  <si>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</si>
  <si>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</si>
  <si>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</si>
  <si>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</si>
  <si>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</si>
  <si>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</si>
  <si>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</si>
  <si>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</si>
  <si>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</si>
  <si>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</si>
  <si>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</si>
  <si>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</si>
  <si>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</si>
  <si>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</si>
  <si>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</si>
  <si>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</si>
  <si>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</si>
  <si>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</si>
  <si>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</si>
  <si>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</si>
  <si>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</si>
  <si>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</si>
  <si>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</si>
  <si>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</si>
  <si>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</si>
  <si>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</si>
  <si>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</si>
  <si>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</si>
  <si>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</si>
  <si>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</si>
  <si>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</si>
  <si>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</si>
  <si>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</si>
  <si>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</si>
  <si>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</si>
  <si>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</si>
  <si>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</si>
  <si>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</si>
  <si>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</si>
  <si>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</si>
  <si>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</si>
  <si>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</si>
  <si>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</si>
  <si>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</si>
  <si>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</si>
  <si>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</si>
  <si>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</si>
  <si>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</si>
  <si>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</si>
  <si>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</si>
  <si>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</si>
  <si>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</si>
  <si>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</si>
  <si>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</si>
  <si>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</si>
  <si>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</si>
  <si>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</si>
  <si>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</si>
  <si>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</si>
  <si>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</si>
  <si>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</si>
  <si>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</si>
  <si>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</si>
  <si>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</si>
  <si>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</si>
  <si>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</si>
  <si>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</si>
  <si>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</si>
  <si>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</si>
  <si>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</si>
  <si>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</si>
  <si>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</si>
  <si>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</si>
  <si>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</si>
  <si>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</si>
  <si>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</si>
  <si>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</si>
  <si>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</si>
  <si>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</si>
  <si>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</si>
  <si>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</si>
  <si>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</si>
  <si>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</si>
  <si>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</si>
  <si>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</si>
  <si>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</si>
  <si>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</si>
  <si>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</si>
  <si>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</si>
  <si>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</si>
  <si>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</si>
  <si>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</si>
  <si>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</si>
  <si>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</si>
  <si>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</si>
  <si>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</si>
  <si>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</si>
  <si>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</si>
  <si>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</si>
  <si>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</si>
  <si>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</si>
  <si>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</si>
  <si>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</si>
  <si>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</si>
  <si>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</si>
  <si>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</si>
  <si>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</si>
  <si>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</si>
  <si>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</si>
  <si>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</si>
  <si>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</si>
  <si>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</si>
  <si>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</si>
  <si>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</si>
  <si>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</si>
  <si>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</si>
  <si>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</si>
  <si>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</si>
  <si>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</si>
  <si>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</si>
  <si>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</si>
  <si>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</si>
  <si>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</si>
  <si>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</si>
  <si>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</si>
  <si>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</si>
  <si>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</si>
  <si>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</si>
  <si>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</si>
  <si>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</si>
  <si>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</si>
  <si>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</si>
  <si>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</si>
  <si>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</si>
  <si>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</si>
  <si>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</si>
  <si>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</si>
  <si>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</si>
  <si>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</si>
  <si>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</si>
  <si>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</si>
  <si>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</si>
  <si>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</si>
  <si>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</si>
  <si>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</si>
  <si>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</si>
  <si>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</si>
  <si>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</si>
  <si>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</si>
  <si>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</si>
  <si>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</si>
  <si>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</si>
  <si>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</si>
  <si>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</si>
  <si>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</si>
  <si>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</si>
  <si>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</si>
  <si>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</si>
  <si>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</si>
  <si>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</si>
  <si>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</si>
  <si>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</si>
  <si>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</si>
  <si>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</si>
  <si>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</si>
  <si>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</si>
  <si>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</si>
  <si>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</si>
  <si>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</si>
  <si>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</si>
  <si>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</si>
  <si>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</si>
  <si>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</si>
  <si>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</si>
  <si>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</si>
  <si>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</si>
  <si>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</si>
  <si>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</si>
  <si>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</si>
  <si>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</si>
  <si>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</si>
  <si>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</si>
  <si>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</si>
  <si>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</si>
  <si>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</si>
  <si>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</si>
  <si>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</si>
  <si>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</si>
  <si>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</si>
  <si>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</si>
  <si>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</si>
  <si>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</si>
  <si>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</si>
  <si>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</si>
  <si>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</si>
  <si>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</si>
  <si>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</si>
  <si>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</si>
  <si>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</si>
  <si>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</si>
  <si>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</si>
  <si>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</si>
  <si>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</si>
  <si>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</si>
  <si>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</si>
  <si>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</si>
  <si>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</si>
  <si>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</si>
  <si>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</si>
  <si>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</si>
  <si>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</si>
  <si>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</si>
  <si>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</si>
  <si>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</si>
  <si>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</si>
  <si>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</si>
  <si>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</si>
  <si>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</si>
  <si>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</si>
  <si>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</si>
  <si>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</si>
  <si>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</si>
  <si>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</si>
  <si>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</si>
  <si>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</si>
  <si>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</si>
  <si>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</si>
  <si>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</si>
  <si>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</si>
  <si>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</si>
  <si>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</si>
  <si>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</si>
  <si>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</si>
  <si>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</si>
  <si>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</si>
  <si>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</si>
  <si>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</si>
  <si>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</si>
  <si>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</si>
  <si>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</si>
  <si>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</si>
  <si>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</si>
  <si>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</si>
  <si>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</si>
  <si>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</si>
  <si>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</si>
  <si>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</si>
  <si>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</si>
  <si>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</si>
  <si>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</si>
  <si>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</si>
  <si>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</si>
  <si>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</si>
  <si>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</si>
  <si>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</si>
  <si>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</si>
  <si>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</si>
  <si>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</si>
  <si>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</si>
  <si>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</si>
  <si>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</si>
  <si>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</si>
  <si>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</si>
  <si>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</si>
  <si>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</si>
  <si>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</si>
  <si>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</si>
  <si>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</si>
  <si>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</si>
  <si>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</si>
  <si>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</si>
  <si>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</si>
  <si>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</si>
  <si>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</si>
  <si>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</si>
  <si>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</si>
  <si>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</si>
  <si>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</si>
  <si>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</si>
  <si>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</si>
  <si>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</si>
  <si>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</si>
  <si>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</si>
  <si>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</si>
  <si>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</si>
  <si>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</si>
  <si>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</si>
  <si>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</si>
  <si>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</si>
  <si>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</si>
  <si>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</si>
  <si>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</si>
  <si>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</si>
  <si>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</si>
  <si>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</si>
  <si>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</si>
  <si>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</si>
  <si>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</si>
  <si>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</si>
  <si>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</si>
  <si>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</si>
  <si>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</si>
  <si>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</si>
  <si>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</si>
  <si>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</si>
  <si>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</si>
  <si>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</si>
  <si>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</si>
  <si>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</si>
  <si>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</si>
  <si>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</si>
  <si>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</si>
  <si>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</si>
  <si>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</si>
  <si>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</si>
  <si>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</si>
  <si>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</si>
  <si>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</si>
  <si>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</si>
  <si>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</si>
  <si>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</si>
  <si>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</si>
  <si>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</si>
  <si>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</si>
  <si>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</si>
  <si>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</si>
  <si>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</si>
  <si>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</si>
  <si>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</si>
  <si>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</si>
  <si>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</si>
  <si>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</si>
  <si>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</si>
  <si>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</si>
  <si>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</si>
  <si>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</si>
  <si>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</si>
  <si>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</si>
  <si>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</si>
  <si>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</si>
  <si>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</si>
  <si>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</si>
  <si>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</si>
  <si>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</si>
  <si>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</si>
  <si>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</si>
  <si>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</si>
  <si>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</si>
  <si>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</si>
  <si>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</si>
  <si>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</si>
  <si>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</si>
  <si>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</si>
  <si>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</si>
  <si>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</si>
  <si>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</si>
  <si>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</si>
  <si>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</si>
  <si>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</si>
  <si>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</si>
  <si>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</si>
  <si>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</si>
  <si>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</si>
  <si>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</si>
  <si>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</si>
  <si>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</si>
  <si>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</si>
  <si>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</si>
  <si>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</si>
  <si>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</si>
  <si>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</si>
  <si>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</si>
  <si>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</si>
  <si>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</si>
  <si>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</si>
  <si>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</si>
  <si>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</si>
  <si>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</si>
  <si>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</si>
  <si>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</si>
  <si>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</si>
  <si>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</si>
  <si>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</si>
  <si>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</si>
  <si>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</si>
  <si>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</si>
  <si>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</si>
  <si>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</si>
  <si>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</si>
  <si>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</si>
  <si>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</si>
  <si>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</si>
  <si>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</si>
  <si>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</si>
  <si>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</si>
  <si>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</si>
  <si>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</si>
  <si>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</si>
  <si>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</si>
  <si>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</si>
  <si>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</si>
  <si>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</si>
  <si>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</si>
  <si>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</si>
  <si>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</si>
  <si>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</si>
  <si>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</si>
  <si>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</si>
  <si>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</si>
  <si>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</si>
  <si>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</si>
  <si>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</si>
  <si>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</si>
  <si>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</si>
  <si>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</si>
  <si>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</si>
  <si>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</si>
  <si>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</si>
  <si>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</si>
  <si>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</si>
  <si>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</si>
  <si>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</si>
  <si>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</si>
  <si>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</si>
  <si>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</si>
  <si>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</si>
  <si>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</si>
  <si>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</si>
  <si>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</si>
  <si>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</si>
  <si>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</si>
  <si>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</si>
  <si>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</si>
  <si>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</si>
  <si>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</si>
  <si>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</si>
  <si>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</si>
  <si>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</si>
  <si>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</si>
  <si>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</si>
  <si>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</si>
  <si>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</si>
  <si>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</si>
  <si>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</si>
  <si>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</si>
  <si>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</si>
  <si>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</si>
  <si>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</si>
  <si>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</si>
  <si>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</si>
  <si>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</si>
  <si>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</si>
  <si>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</si>
  <si>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</si>
  <si>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</si>
  <si>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</si>
  <si>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</si>
  <si>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</si>
  <si>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</si>
  <si>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</si>
  <si>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</si>
  <si>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</si>
  <si>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</si>
  <si>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</si>
  <si>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</si>
  <si>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</si>
  <si>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</si>
  <si>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</si>
  <si>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</si>
  <si>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</si>
  <si>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</si>
  <si>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</si>
  <si>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</si>
  <si>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</si>
  <si>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</si>
  <si>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</si>
  <si>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</si>
  <si>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</si>
  <si>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</si>
  <si>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</si>
  <si>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</si>
  <si>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</si>
  <si>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</si>
  <si>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</si>
  <si>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</si>
  <si>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</si>
  <si>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</si>
  <si>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</si>
  <si>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</si>
  <si>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</si>
  <si>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</si>
  <si>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</si>
  <si>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</si>
  <si>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</si>
  <si>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</si>
  <si>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</si>
  <si>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</si>
  <si>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</si>
  <si>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</si>
  <si>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</si>
  <si>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</si>
  <si>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</si>
  <si>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</si>
  <si>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</si>
  <si>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</si>
  <si>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</si>
  <si>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</si>
  <si>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</si>
  <si>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</si>
  <si>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</si>
  <si>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</si>
  <si>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</si>
  <si>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</si>
  <si>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</si>
  <si>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</si>
  <si>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</si>
  <si>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</si>
  <si>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</si>
  <si>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</si>
  <si>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</si>
  <si>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</si>
  <si>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</si>
  <si>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</si>
  <si>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</si>
  <si>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</si>
  <si>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</si>
  <si>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</si>
  <si>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</si>
  <si>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</si>
  <si>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</si>
  <si>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</si>
  <si>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</si>
  <si>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</si>
  <si>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</si>
  <si>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</si>
  <si>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</si>
  <si>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</si>
  <si>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</si>
  <si>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</si>
  <si>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</si>
  <si>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</si>
  <si>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</si>
  <si>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</si>
  <si>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</si>
  <si>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</si>
  <si>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</si>
  <si>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</si>
  <si>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</si>
  <si>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</si>
  <si>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</si>
  <si>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</si>
  <si>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</si>
  <si>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</si>
  <si>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</si>
  <si>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</si>
  <si>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</si>
  <si>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</si>
  <si>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</si>
  <si>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</si>
  <si>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</si>
  <si>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</si>
  <si>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</si>
  <si>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</si>
  <si>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</si>
  <si>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</si>
  <si>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</si>
  <si>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</si>
  <si>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</si>
  <si>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</si>
  <si>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</si>
  <si>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</si>
  <si>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</si>
  <si>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</si>
  <si>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</si>
  <si>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</si>
  <si>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</si>
  <si>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</si>
  <si>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</si>
  <si>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</si>
  <si>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</si>
  <si>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</si>
  <si>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</si>
  <si>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</si>
  <si>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</si>
  <si>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</si>
  <si>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</si>
  <si>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</si>
  <si>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</si>
  <si>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</si>
  <si>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</si>
  <si>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</si>
  <si>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</si>
  <si>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</si>
  <si>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</si>
  <si>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</si>
  <si>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</si>
  <si>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</si>
  <si>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</si>
  <si>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</si>
  <si>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</si>
  <si>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</si>
  <si>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</si>
  <si>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</si>
  <si>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</si>
  <si>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</si>
  <si>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</si>
  <si>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</si>
  <si>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</si>
  <si>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</si>
  <si>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</si>
  <si>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</si>
  <si>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</si>
  <si>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</si>
  <si>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</si>
  <si>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</si>
  <si>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</si>
  <si>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</si>
  <si>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</si>
  <si>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</si>
  <si>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</si>
  <si>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</si>
  <si>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</si>
  <si>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</si>
  <si>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</si>
  <si>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</si>
  <si>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</si>
  <si>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</si>
  <si>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</si>
  <si>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</si>
  <si>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</si>
  <si>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</si>
  <si>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</si>
  <si>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</si>
  <si>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</si>
  <si>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</si>
  <si>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</si>
  <si>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</si>
  <si>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</si>
  <si>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</si>
  <si>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</si>
  <si>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</si>
  <si>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</si>
  <si>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</si>
  <si>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</si>
  <si>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</si>
  <si>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</si>
  <si>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</si>
  <si>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</si>
  <si>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</si>
  <si>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</si>
  <si>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</si>
  <si>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</si>
  <si>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</si>
  <si>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</si>
  <si>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</si>
  <si>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</si>
  <si>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</si>
  <si>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</si>
  <si>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</si>
  <si>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</si>
  <si>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</si>
  <si>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</si>
  <si>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</si>
  <si>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</si>
  <si>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</si>
  <si>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</si>
  <si>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</si>
  <si>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</si>
  <si>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</si>
  <si>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</si>
  <si>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</si>
  <si>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</si>
  <si>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</si>
  <si>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</si>
  <si>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</si>
  <si>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</si>
  <si>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</si>
  <si>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</si>
  <si>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</si>
  <si>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</si>
  <si>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</si>
  <si>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</si>
  <si>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</si>
  <si>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</si>
  <si>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</si>
  <si>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</si>
  <si>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</si>
  <si>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</si>
  <si>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</si>
  <si>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</si>
  <si>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</si>
  <si>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</si>
  <si>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</si>
  <si>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</si>
  <si>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</si>
  <si>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</si>
  <si>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</si>
  <si>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</si>
  <si>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</si>
  <si>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</si>
  <si>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</si>
  <si>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</si>
  <si>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</si>
  <si>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</si>
  <si>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</si>
  <si>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</si>
  <si>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</si>
  <si>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</si>
  <si>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</si>
  <si>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</si>
  <si>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</si>
  <si>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</si>
  <si>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</si>
  <si>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</si>
  <si>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</si>
  <si>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</si>
  <si>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</si>
  <si>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</si>
  <si>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</si>
  <si>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</si>
  <si>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</si>
  <si>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</si>
  <si>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</si>
  <si>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</si>
  <si>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</si>
  <si>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</si>
  <si>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</si>
  <si>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</si>
  <si>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</si>
  <si>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</si>
  <si>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</si>
  <si>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</si>
  <si>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</si>
  <si>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</si>
  <si>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</si>
  <si>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</si>
  <si>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</si>
  <si>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</si>
  <si>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</si>
  <si>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</si>
  <si>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</si>
  <si>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</si>
  <si>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</si>
  <si>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</si>
  <si>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</si>
  <si>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</si>
  <si>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</si>
  <si>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</si>
  <si>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</si>
  <si>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</si>
  <si>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</si>
  <si>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</si>
  <si>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</si>
  <si>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</si>
  <si>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</si>
  <si>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</si>
  <si>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</si>
  <si>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</si>
  <si>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</si>
  <si>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</si>
  <si>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</si>
  <si>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</si>
  <si>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</si>
  <si>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</si>
  <si>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</si>
  <si>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</si>
  <si>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</si>
  <si>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</si>
  <si>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</si>
  <si>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</si>
  <si>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</si>
  <si>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</si>
  <si>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</si>
  <si>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</si>
  <si>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</si>
  <si>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</si>
  <si>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</si>
  <si>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</si>
  <si>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</si>
  <si>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</si>
  <si>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</si>
  <si>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</si>
  <si>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</si>
  <si>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</si>
  <si>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</si>
  <si>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</si>
  <si>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</si>
  <si>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</si>
  <si>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</si>
  <si>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</si>
  <si>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</si>
  <si>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</si>
  <si>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</si>
  <si>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</si>
  <si>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</si>
  <si>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</si>
  <si>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</si>
  <si>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</si>
  <si>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</si>
  <si>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</si>
  <si>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</si>
  <si>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</si>
  <si>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</si>
  <si>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</si>
  <si>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</si>
  <si>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</si>
  <si>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</si>
  <si>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</si>
  <si>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</si>
  <si>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</si>
  <si>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</si>
  <si>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</si>
  <si>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</si>
  <si>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</si>
  <si>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</si>
  <si>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</si>
  <si>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</si>
  <si>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</si>
  <si>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</si>
  <si>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</si>
  <si>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</si>
  <si>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</si>
  <si>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</si>
  <si>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</si>
  <si>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</si>
  <si>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</si>
  <si>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</si>
  <si>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</si>
  <si>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</si>
  <si>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</si>
  <si>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</si>
  <si>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</si>
  <si>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</si>
  <si>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</si>
  <si>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</si>
  <si>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</si>
  <si>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</si>
  <si>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</si>
  <si>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</si>
  <si>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</si>
  <si>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</si>
  <si>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</si>
  <si>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</si>
  <si>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</si>
  <si>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</si>
  <si>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</si>
  <si>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</si>
  <si>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</si>
  <si>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</si>
  <si>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</si>
  <si>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</si>
  <si>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</si>
  <si>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</si>
  <si>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</si>
  <si>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</si>
  <si>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</si>
  <si>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</si>
  <si>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</si>
  <si>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</si>
  <si>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</si>
  <si>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</si>
  <si>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</si>
  <si>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</si>
  <si>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</si>
  <si>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</si>
  <si>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</si>
  <si>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</si>
  <si>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</si>
  <si>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</si>
  <si>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</si>
  <si>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</si>
  <si>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</si>
  <si>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</si>
  <si>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</si>
  <si>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</si>
  <si>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</si>
  <si>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</si>
  <si>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</si>
  <si>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</si>
  <si>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</si>
  <si>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</si>
  <si>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</si>
  <si>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</si>
  <si>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</si>
  <si>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</si>
  <si>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</si>
  <si>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</si>
  <si>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</si>
  <si>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</si>
  <si>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</si>
  <si>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</si>
  <si>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</si>
  <si>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</si>
  <si>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</si>
  <si>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</si>
  <si>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</si>
  <si>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</si>
  <si>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</si>
  <si>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</si>
  <si>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</si>
  <si>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</si>
  <si>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</si>
  <si>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</si>
  <si>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</si>
  <si>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</si>
  <si>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</si>
  <si>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</si>
  <si>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</si>
  <si>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</si>
  <si>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</si>
  <si>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</si>
  <si>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</si>
  <si>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</si>
  <si>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</si>
  <si>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</si>
  <si>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</si>
  <si>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</si>
  <si>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</si>
  <si>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</si>
  <si>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</si>
  <si>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</si>
  <si>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</si>
  <si>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</si>
  <si>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</si>
  <si>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y DOP 16 - Carrizo Reyes por  LOPEZ ENZO SEBASTIAN</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</si>
  <si>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</si>
  <si>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</si>
  <si>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</si>
  <si>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</si>
  <si>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</si>
  <si>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</si>
  <si>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</si>
  <si>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</si>
  <si>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</si>
  <si>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</si>
  <si>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</si>
  <si>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</si>
  <si>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</si>
  <si>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</si>
  <si>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</si>
  <si>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</si>
  <si>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</si>
  <si>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</si>
  <si>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</si>
  <si>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</si>
  <si>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</si>
  <si>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</si>
  <si>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</si>
  <si>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</si>
  <si>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</si>
  <si>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</si>
  <si>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</si>
  <si>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</si>
  <si>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</si>
  <si>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</si>
  <si>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</si>
  <si>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</si>
  <si>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</si>
  <si>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</si>
  <si>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</si>
  <si>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</si>
  <si>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</si>
  <si>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</si>
  <si>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</si>
  <si>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</si>
  <si>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</si>
  <si>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</si>
  <si>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</si>
  <si>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</si>
  <si>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</si>
  <si>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</si>
  <si>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</si>
  <si>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</si>
  <si>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</si>
  <si>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</si>
  <si>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</si>
  <si>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</si>
  <si>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</si>
  <si>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</si>
  <si>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</si>
  <si>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</si>
  <si>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</si>
  <si>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</si>
  <si>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</si>
  <si>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</si>
  <si>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</si>
  <si>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</si>
  <si>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</si>
  <si>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</si>
  <si>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</si>
  <si>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</si>
  <si>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</si>
  <si>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</si>
  <si>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</si>
  <si>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</si>
  <si>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</si>
  <si>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</si>
  <si>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</si>
  <si>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</si>
  <si>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</si>
  <si>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</si>
  <si>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</si>
  <si>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</si>
  <si>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</si>
  <si>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</si>
  <si>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</si>
  <si>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</si>
  <si>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</si>
  <si>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JUI 2</t>
  </si>
  <si>
    <t>186668/23</t>
  </si>
  <si>
    <t>CALDERON, JUAN POR EL DELITO DE LESIONES LEVES</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</si>
  <si>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</si>
  <si>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</si>
  <si>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</si>
  <si>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</si>
  <si>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</si>
  <si>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</si>
  <si>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</si>
  <si>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</si>
  <si>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</si>
  <si>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</si>
  <si>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</si>
  <si>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</si>
  <si>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</si>
  <si>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</si>
  <si>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</si>
  <si>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</si>
  <si>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</si>
  <si>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</si>
  <si>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</si>
  <si>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</si>
  <si>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</si>
  <si>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</si>
  <si>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</si>
  <si>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</si>
  <si>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</si>
  <si>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</si>
  <si>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</si>
  <si>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</si>
  <si>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</si>
  <si>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</si>
  <si>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</si>
  <si>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</si>
  <si>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</si>
  <si>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</si>
  <si>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</si>
  <si>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</si>
  <si>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</si>
  <si>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</si>
  <si>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</si>
  <si>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</si>
  <si>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</si>
  <si>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</si>
  <si>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</si>
  <si>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</si>
  <si>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</si>
  <si>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</si>
  <si>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</si>
  <si>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</si>
  <si>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</si>
  <si>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</si>
  <si>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FERRONI LARRAN, JOSE MARIA</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</si>
  <si>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</si>
  <si>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</si>
  <si>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</si>
  <si>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</si>
  <si>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</si>
  <si>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</si>
  <si>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</si>
  <si>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</si>
  <si>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</si>
  <si>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</si>
  <si>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</si>
  <si>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</si>
  <si>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</si>
  <si>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</si>
  <si>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</si>
  <si>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</si>
  <si>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</si>
  <si>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</si>
  <si>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</si>
  <si>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</si>
  <si>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</si>
  <si>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Se envia  a la mesa distribuidora pupilar</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</si>
  <si>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</si>
  <si>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</si>
  <si>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</si>
  <si>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</si>
  <si>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</si>
  <si>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</si>
  <si>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</si>
  <si>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</si>
  <si>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</si>
  <si>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</si>
  <si>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 de incapaces Nº 2 Dra. Florencia Larsen. </t>
    </r>
    <r>
      <rPr>
        <b/>
        <sz val="10"/>
        <rFont val="Arial"/>
        <family val="2"/>
      </rPr>
      <t>SE SUSPENDE LASAUDINECIA EN FECHA 23/10/202</t>
    </r>
    <r>
      <rPr>
        <sz val="10"/>
        <rFont val="Arial"/>
        <family val="2"/>
      </rPr>
      <t>3</t>
    </r>
  </si>
  <si>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</si>
  <si>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</si>
  <si>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</si>
  <si>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</si>
  <si>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</si>
  <si>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</si>
  <si>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</si>
  <si>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</si>
  <si>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</si>
  <si>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</si>
  <si>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</si>
  <si>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</si>
  <si>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</si>
  <si>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</si>
  <si>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</si>
  <si>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</si>
  <si>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</si>
  <si>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</si>
  <si>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</si>
  <si>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</si>
  <si>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</si>
  <si>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</si>
  <si>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</si>
  <si>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</si>
  <si>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</si>
  <si>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</si>
  <si>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</si>
  <si>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</si>
  <si>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</si>
  <si>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</si>
  <si>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</si>
  <si>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</si>
  <si>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</si>
  <si>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</si>
  <si>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</si>
  <si>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</si>
  <si>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</si>
  <si>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</si>
  <si>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</si>
  <si>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</si>
  <si>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</si>
  <si>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VILCA, GASTON FEDERICO NICOLAS POR LOS DELITOS DE COACCION, VIOLACION DE DOMICILIO Y AMENAZAS CON ARMAS, TODO EN CONCURSO REAL</t>
  </si>
  <si>
    <t>186844/23</t>
  </si>
  <si>
    <t>RODRIGUEZ, EMMANUEL ALEJANDRO POR DESOBEDIENCIA JUDICIAL en perjuicio de María José Erazo</t>
  </si>
  <si>
    <t>Asesoría de Menores e Incapaces Nº 7</t>
  </si>
  <si>
    <t>186982/23</t>
  </si>
  <si>
    <t xml:space="preserve">RIVADENEIRA, ATILIO GASTÓN POR EL DELITO DE ROBO CALIFICADO DE VEHICULO DEJADO EN LA VIA PUBLICA EN PERJUICIO DE </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</si>
  <si>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</si>
  <si>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</si>
  <si>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</si>
  <si>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</si>
  <si>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</si>
  <si>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</si>
  <si>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</si>
  <si>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 xml:space="preserve">TERUEL, MAURICIO BERNABE por la comisilion del delito de DESOBEDIENCIA JUDICIAL, AMENAZAS EN CONCURSO REAL EN PERJUICIO DE </t>
  </si>
  <si>
    <t>Pririon preventiva - ASESORIA DE INCAPACES 9</t>
  </si>
  <si>
    <t>Llegó tarde la defensa técnica</t>
  </si>
  <si>
    <t>Asesoría de Menosres Nº 8</t>
  </si>
  <si>
    <t>...</t>
  </si>
  <si>
    <t>186949/23</t>
  </si>
  <si>
    <t>IPORRE, SONIA DEL MILAGRO por la supuesta comisión del delito de HURTO AGRAVADO POR EL ESCALAMIENTO EN GRADO DE TENTATIVA Y VIOLACIÓN DE DOMICILIO EN CONCURSO REAL</t>
  </si>
  <si>
    <t>186934/23</t>
  </si>
  <si>
    <t xml:space="preserve">YANINA ALEJANDRA CHAJU Y FEDERICO FERNANDO FIGUEROA POR EL DELITO DE ROBO SIMPLE </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</si>
  <si>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</si>
  <si>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</si>
  <si>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</si>
  <si>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</si>
  <si>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</si>
  <si>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</si>
  <si>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</si>
  <si>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</si>
  <si>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</si>
  <si>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 xml:space="preserve">LOPEZ. JOSE GABRIEL POR EL DELITO DE LESIONES AGRAVADAS POR LA RELACION DE PAREJA PREVIA Y GENERO; DESOBEDIENCIA JUDICIAL EN CONCURSO REAL EN PERJUICIO DE </t>
  </si>
  <si>
    <t>186849/23</t>
  </si>
  <si>
    <t>GIMENEZ, VICTOR MIGUEL POR AMENAZAS (2) DOS HECHOS EN PERJUICIO DE</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</si>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</sst>
</file>

<file path=xl/styles.xml><?xml version="1.0" encoding="utf-8"?>
<styleSheet xmlns="http://schemas.openxmlformats.org/spreadsheetml/2006/main">
  <numFmts count="2">
    <numFmt numFmtId="164" formatCode="dd/mm/yyyy;@"/>
    <numFmt numFmtId="165" formatCode="0.0%"/>
  </numFmts>
  <fonts count="53">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11"/>
      <color rgb="FFFF0000"/>
      <name val="Arial"/>
      <family val="2"/>
    </font>
    <font>
      <b/>
      <sz val="7"/>
      <color rgb="FFFF0000"/>
      <name val="Arial"/>
      <family val="2"/>
    </font>
    <font>
      <b/>
      <sz val="8"/>
      <name val="Arial"/>
      <family val="2"/>
    </font>
    <font>
      <b/>
      <sz val="14"/>
      <color rgb="FFFF0000"/>
      <name val="Arial"/>
      <family val="2"/>
    </font>
    <font>
      <sz val="14"/>
      <color rgb="FFFF0000"/>
      <name val="Arial"/>
      <family val="2"/>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41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8"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7" fillId="4" borderId="2" xfId="0" applyFont="1" applyFill="1" applyBorder="1" applyAlignment="1">
      <alignment horizontal="center" vertical="center" wrapText="1"/>
    </xf>
    <xf numFmtId="9" fontId="37" fillId="0" borderId="1" xfId="0" applyNumberFormat="1" applyFont="1" applyBorder="1" applyAlignment="1">
      <alignment horizontal="center" vertical="center"/>
    </xf>
    <xf numFmtId="0" fontId="47"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7"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50"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49" fontId="2" fillId="0" borderId="1" xfId="0" applyNumberFormat="1" applyFont="1" applyFill="1" applyBorder="1" applyAlignment="1">
      <alignment horizontal="center" vertical="center"/>
    </xf>
    <xf numFmtId="0" fontId="51" fillId="0" borderId="2" xfId="0" applyFont="1"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8" fillId="0" borderId="0" xfId="1" applyFont="1" applyBorder="1" applyAlignment="1">
      <alignment horizontal="center" vertical="center"/>
    </xf>
    <xf numFmtId="0" fontId="8" fillId="0" borderId="0" xfId="1" applyFont="1" applyAlignment="1">
      <alignment horizontal="left"/>
    </xf>
    <xf numFmtId="0" fontId="38"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Pedraz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5705"/>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c:v>
                </c:pt>
                <c:pt idx="3">
                  <c:v>Libertad</c:v>
                </c:pt>
                <c:pt idx="4">
                  <c:v>TOTAL</c:v>
                </c:pt>
              </c:strCache>
            </c:strRef>
          </c:cat>
          <c:val>
            <c:numRef>
              <c:f>'Informe semana'!$A$6:$A$9</c:f>
              <c:numCache>
                <c:formatCode>General</c:formatCode>
                <c:ptCount val="4"/>
                <c:pt idx="0">
                  <c:v>14</c:v>
                </c:pt>
                <c:pt idx="1">
                  <c:v>10</c:v>
                </c:pt>
                <c:pt idx="2">
                  <c:v>2</c:v>
                </c:pt>
                <c:pt idx="3">
                  <c:v>5</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90195840"/>
        <c:axId val="90197376"/>
      </c:barChart>
      <c:catAx>
        <c:axId val="90195840"/>
        <c:scaling>
          <c:orientation val="minMax"/>
        </c:scaling>
        <c:axPos val="b"/>
        <c:majorTickMark val="none"/>
        <c:tickLblPos val="nextTo"/>
        <c:txPr>
          <a:bodyPr/>
          <a:lstStyle/>
          <a:p>
            <a:pPr>
              <a:defRPr lang="es-ES"/>
            </a:pPr>
            <a:endParaRPr lang="es-ES"/>
          </a:p>
        </c:txPr>
        <c:crossAx val="90197376"/>
        <c:crosses val="autoZero"/>
        <c:auto val="1"/>
        <c:lblAlgn val="ctr"/>
        <c:lblOffset val="100"/>
      </c:catAx>
      <c:valAx>
        <c:axId val="90197376"/>
        <c:scaling>
          <c:orientation val="minMax"/>
        </c:scaling>
        <c:axPos val="l"/>
        <c:majorGridlines/>
        <c:numFmt formatCode="General" sourceLinked="1"/>
        <c:majorTickMark val="none"/>
        <c:tickLblPos val="nextTo"/>
        <c:txPr>
          <a:bodyPr/>
          <a:lstStyle/>
          <a:p>
            <a:pPr>
              <a:defRPr lang="es-ES"/>
            </a:pPr>
            <a:endParaRPr lang="es-ES"/>
          </a:p>
        </c:txPr>
        <c:crossAx val="90195840"/>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91212032"/>
        <c:axId val="91226112"/>
      </c:barChart>
      <c:catAx>
        <c:axId val="91212032"/>
        <c:scaling>
          <c:orientation val="minMax"/>
        </c:scaling>
        <c:axPos val="b"/>
        <c:majorTickMark val="none"/>
        <c:tickLblPos val="nextTo"/>
        <c:txPr>
          <a:bodyPr/>
          <a:lstStyle/>
          <a:p>
            <a:pPr>
              <a:defRPr lang="es-ES"/>
            </a:pPr>
            <a:endParaRPr lang="es-ES"/>
          </a:p>
        </c:txPr>
        <c:crossAx val="91226112"/>
        <c:crosses val="autoZero"/>
        <c:auto val="1"/>
        <c:lblAlgn val="ctr"/>
        <c:lblOffset val="100"/>
      </c:catAx>
      <c:valAx>
        <c:axId val="91226112"/>
        <c:scaling>
          <c:orientation val="minMax"/>
        </c:scaling>
        <c:axPos val="l"/>
        <c:majorGridlines/>
        <c:numFmt formatCode="General" sourceLinked="1"/>
        <c:majorTickMark val="none"/>
        <c:tickLblPos val="nextTo"/>
        <c:txPr>
          <a:bodyPr/>
          <a:lstStyle/>
          <a:p>
            <a:pPr>
              <a:defRPr lang="es-ES"/>
            </a:pPr>
            <a:endParaRPr lang="es-ES"/>
          </a:p>
        </c:txPr>
        <c:crossAx val="9121203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91274240"/>
        <c:axId val="91292416"/>
      </c:barChart>
      <c:catAx>
        <c:axId val="91274240"/>
        <c:scaling>
          <c:orientation val="minMax"/>
        </c:scaling>
        <c:axPos val="b"/>
        <c:majorTickMark val="none"/>
        <c:tickLblPos val="nextTo"/>
        <c:txPr>
          <a:bodyPr/>
          <a:lstStyle/>
          <a:p>
            <a:pPr>
              <a:defRPr lang="es-ES"/>
            </a:pPr>
            <a:endParaRPr lang="es-ES"/>
          </a:p>
        </c:txPr>
        <c:crossAx val="91292416"/>
        <c:crosses val="autoZero"/>
        <c:auto val="1"/>
        <c:lblAlgn val="ctr"/>
        <c:lblOffset val="100"/>
      </c:catAx>
      <c:valAx>
        <c:axId val="9129241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91274240"/>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91315584"/>
        <c:axId val="91329664"/>
      </c:barChart>
      <c:catAx>
        <c:axId val="91315584"/>
        <c:scaling>
          <c:orientation val="minMax"/>
        </c:scaling>
        <c:axPos val="b"/>
        <c:majorTickMark val="none"/>
        <c:tickLblPos val="nextTo"/>
        <c:txPr>
          <a:bodyPr/>
          <a:lstStyle/>
          <a:p>
            <a:pPr>
              <a:defRPr lang="es-ES"/>
            </a:pPr>
            <a:endParaRPr lang="es-ES"/>
          </a:p>
        </c:txPr>
        <c:crossAx val="91329664"/>
        <c:crosses val="autoZero"/>
        <c:auto val="1"/>
        <c:lblAlgn val="ctr"/>
        <c:lblOffset val="100"/>
      </c:catAx>
      <c:valAx>
        <c:axId val="9132966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91315584"/>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817"/>
                  <c:y val="-0.133897146192303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552"/>
                  <c:y val="-3.3544289550938321E-2"/>
                </c:manualLayout>
              </c:layout>
              <c:showVal val="1"/>
              <c:showCatName val="1"/>
              <c:showPercent val="1"/>
            </c:dLbl>
            <c:dLbl>
              <c:idx val="4"/>
              <c:layout>
                <c:manualLayout>
                  <c:x val="-0.14314243785878272"/>
                  <c:y val="-7.8679703455466363E-2"/>
                </c:manualLayout>
              </c:layout>
              <c:showVal val="1"/>
              <c:showCatName val="1"/>
              <c:showPercent val="1"/>
            </c:dLbl>
            <c:dLbl>
              <c:idx val="5"/>
              <c:layout>
                <c:manualLayout>
                  <c:x val="-4.9264472471034614E-3"/>
                  <c:y val="-5.1732777864431062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1945"/>
                  <c:y val="-3.8029270993357775E-2"/>
                </c:manualLayout>
              </c:layout>
              <c:dLblPos val="bestFit"/>
              <c:showVal val="1"/>
              <c:showCatName val="1"/>
              <c:showPercent val="1"/>
            </c:dLbl>
            <c:dLbl>
              <c:idx val="8"/>
              <c:layout>
                <c:manualLayout>
                  <c:x val="0.29249880865527372"/>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355</c:v>
                </c:pt>
                <c:pt idx="1">
                  <c:v>273</c:v>
                </c:pt>
                <c:pt idx="2">
                  <c:v>91</c:v>
                </c:pt>
                <c:pt idx="3">
                  <c:v>19</c:v>
                </c:pt>
                <c:pt idx="4">
                  <c:v>15</c:v>
                </c:pt>
                <c:pt idx="5">
                  <c:v>19</c:v>
                </c:pt>
                <c:pt idx="6">
                  <c:v>2</c:v>
                </c:pt>
                <c:pt idx="7">
                  <c:v>2</c:v>
                </c:pt>
                <c:pt idx="8">
                  <c:v>3</c:v>
                </c:pt>
              </c:numCache>
            </c:numRef>
          </c:val>
        </c:ser>
      </c:pie3DChart>
    </c:plotArea>
    <c:plotVisOnly val="1"/>
  </c:chart>
  <c:printSettings>
    <c:headerFooter/>
    <c:pageMargins b="0.19685039370078738" l="0.19685039370078738" r="0.19685039370078738" t="0.19685039370078738" header="0.31496062992130353" footer="0.3149606299213035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367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7984"/>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077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514"/>
                  <c:y val="0.35111261781950892"/>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121</c:v>
                </c:pt>
                <c:pt idx="1">
                  <c:v>223</c:v>
                </c:pt>
                <c:pt idx="2">
                  <c:v>11</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25"/>
                  <c:y val="0.10810008182188822"/>
                </c:manualLayout>
              </c:layout>
              <c:showVal val="1"/>
              <c:showCatName val="1"/>
              <c:showPercent val="1"/>
            </c:dLbl>
            <c:dLbl>
              <c:idx val="1"/>
              <c:layout>
                <c:manualLayout>
                  <c:x val="-0.34680714491641884"/>
                  <c:y val="9.8800800923204164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84E-2"/>
                  <c:y val="-0.20222138665135006"/>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12"/>
                  <c:y val="-7.8406782442156903E-2"/>
                </c:manualLayout>
              </c:layout>
              <c:showVal val="1"/>
              <c:showCatName val="1"/>
              <c:showPercent val="1"/>
            </c:dLbl>
            <c:dLbl>
              <c:idx val="10"/>
              <c:layout>
                <c:manualLayout>
                  <c:x val="0.15381044618908579"/>
                  <c:y val="3.1547200269128446E-2"/>
                </c:manualLayout>
              </c:layout>
              <c:showVal val="1"/>
              <c:showCatName val="1"/>
              <c:showPercent val="1"/>
            </c:dLbl>
            <c:dLbl>
              <c:idx val="11"/>
              <c:layout>
                <c:manualLayout>
                  <c:x val="0.19633672921484019"/>
                  <c:y val="0.1493162344699281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73"/>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121</c:v>
                </c:pt>
                <c:pt idx="3">
                  <c:v>223</c:v>
                </c:pt>
                <c:pt idx="4">
                  <c:v>9</c:v>
                </c:pt>
                <c:pt idx="5">
                  <c:v>82</c:v>
                </c:pt>
                <c:pt idx="6">
                  <c:v>12</c:v>
                </c:pt>
                <c:pt idx="7">
                  <c:v>3</c:v>
                </c:pt>
                <c:pt idx="8">
                  <c:v>273</c:v>
                </c:pt>
                <c:pt idx="9">
                  <c:v>11</c:v>
                </c:pt>
                <c:pt idx="10">
                  <c:v>7</c:v>
                </c:pt>
                <c:pt idx="11">
                  <c:v>19</c:v>
                </c:pt>
                <c:pt idx="12">
                  <c:v>1</c:v>
                </c:pt>
                <c:pt idx="13">
                  <c:v>11</c:v>
                </c:pt>
                <c:pt idx="14">
                  <c:v>3</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42"/>
                  <c:y val="0.10810008182188822"/>
                </c:manualLayout>
              </c:layout>
              <c:showVal val="1"/>
              <c:showCatName val="1"/>
              <c:showPercent val="1"/>
            </c:dLbl>
            <c:dLbl>
              <c:idx val="1"/>
              <c:layout>
                <c:manualLayout>
                  <c:x val="-0.34680714491641884"/>
                  <c:y val="9.8800800923204229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89E-2"/>
                  <c:y val="-0.20222138665135012"/>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19"/>
                  <c:y val="-7.8406782442156903E-2"/>
                </c:manualLayout>
              </c:layout>
              <c:showVal val="1"/>
              <c:showCatName val="1"/>
              <c:showPercent val="1"/>
            </c:dLbl>
            <c:dLbl>
              <c:idx val="10"/>
              <c:layout>
                <c:manualLayout>
                  <c:x val="0.15381044618908588"/>
                  <c:y val="3.1547200269128446E-2"/>
                </c:manualLayout>
              </c:layout>
              <c:showVal val="1"/>
              <c:showCatName val="1"/>
              <c:showPercent val="1"/>
            </c:dLbl>
            <c:dLbl>
              <c:idx val="11"/>
              <c:layout>
                <c:manualLayout>
                  <c:x val="0.19633672921484013"/>
                  <c:y val="0.14931623446992826"/>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79"/>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4.536289004631"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4.536289351854"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4.536289351854"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6"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32"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5">
    <i>
      <x/>
    </i>
    <i r="1">
      <x v="8"/>
    </i>
    <i r="2">
      <x v="5"/>
    </i>
    <i r="1">
      <x v="17"/>
    </i>
    <i r="2">
      <x v="3"/>
    </i>
    <i>
      <x v="3"/>
    </i>
    <i r="1">
      <x v="16"/>
    </i>
    <i r="2">
      <x v="3"/>
    </i>
    <i>
      <x v="6"/>
    </i>
    <i r="1">
      <x v="7"/>
    </i>
    <i r="2">
      <x v="5"/>
    </i>
    <i r="1">
      <x v="13"/>
    </i>
    <i r="2">
      <x v="3"/>
    </i>
    <i>
      <x v="7"/>
    </i>
    <i r="1">
      <x v="4"/>
    </i>
    <i r="2">
      <x v="7"/>
    </i>
    <i r="1">
      <x v="18"/>
    </i>
    <i r="2">
      <x v="5"/>
    </i>
    <i>
      <x v="13"/>
    </i>
    <i r="1">
      <x v="8"/>
    </i>
    <i r="2">
      <x v="20"/>
    </i>
    <i>
      <x v="15"/>
    </i>
    <i r="1">
      <x v="19"/>
    </i>
    <i r="2">
      <x v="3"/>
    </i>
    <i t="grand">
      <x/>
    </i>
  </rowItems>
  <colItems count="1">
    <i/>
  </colItems>
  <pageFields count="1">
    <pageField fld="4" item="153"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9">
    <i>
      <x v="2"/>
    </i>
    <i r="1">
      <x v="13"/>
    </i>
    <i r="2">
      <x v="3"/>
    </i>
    <i>
      <x v="4"/>
    </i>
    <i r="1">
      <x v="6"/>
    </i>
    <i r="2">
      <x v="7"/>
    </i>
    <i r="1">
      <x v="19"/>
    </i>
    <i r="2">
      <x v="12"/>
    </i>
    <i>
      <x v="6"/>
    </i>
    <i r="1">
      <x v="2"/>
    </i>
    <i r="2">
      <x v="5"/>
    </i>
    <i r="1">
      <x v="7"/>
    </i>
    <i r="2">
      <x v="3"/>
    </i>
    <i>
      <x v="7"/>
    </i>
    <i r="1">
      <x v="16"/>
    </i>
    <i r="2">
      <x v="22"/>
    </i>
    <i>
      <x v="10"/>
    </i>
    <i r="1">
      <x v="5"/>
    </i>
    <i r="2">
      <x v="3"/>
    </i>
    <i>
      <x v="13"/>
    </i>
    <i r="1">
      <x v="8"/>
    </i>
    <i r="2">
      <x v="20"/>
    </i>
    <i>
      <x v="15"/>
    </i>
    <i r="1">
      <x v="4"/>
    </i>
    <i r="2">
      <x v="3"/>
    </i>
    <i>
      <x v="16"/>
    </i>
    <i r="1">
      <x v="17"/>
    </i>
    <i r="2">
      <x v="5"/>
    </i>
    <i t="grand">
      <x/>
    </i>
  </rowItems>
  <colItems count="1">
    <i/>
  </colItems>
  <pageFields count="1">
    <pageField fld="4" item="150"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6">
    <i>
      <x/>
    </i>
    <i r="1">
      <x v="4"/>
    </i>
    <i r="2">
      <x v="5"/>
    </i>
    <i r="1">
      <x v="16"/>
    </i>
    <i r="2">
      <x v="9"/>
    </i>
    <i>
      <x v="3"/>
    </i>
    <i r="1">
      <x v="7"/>
    </i>
    <i r="2">
      <x v="7"/>
    </i>
    <i>
      <x v="4"/>
    </i>
    <i r="1">
      <x v="6"/>
    </i>
    <i r="2">
      <x v="5"/>
    </i>
    <i>
      <x v="6"/>
    </i>
    <i r="1">
      <x v="18"/>
    </i>
    <i r="2">
      <x v="5"/>
    </i>
    <i>
      <x v="7"/>
    </i>
    <i r="1">
      <x v="17"/>
    </i>
    <i r="2">
      <x v="13"/>
    </i>
    <i r="1">
      <x v="19"/>
    </i>
    <i r="2">
      <x v="10"/>
    </i>
    <i>
      <x v="13"/>
    </i>
    <i r="1">
      <x v="8"/>
    </i>
    <i r="2">
      <x v="20"/>
    </i>
    <i>
      <x v="15"/>
    </i>
    <i r="1">
      <x v="2"/>
    </i>
    <i r="2">
      <x v="3"/>
    </i>
    <i t="grand">
      <x/>
    </i>
  </rowItems>
  <colItems count="1">
    <i/>
  </colItems>
  <pageFields count="1">
    <pageField fld="4" item="159"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6">
    <i>
      <x/>
    </i>
    <i r="1">
      <x v="7"/>
    </i>
    <i r="2">
      <x v="3"/>
    </i>
    <i r="1">
      <x v="13"/>
    </i>
    <i r="2">
      <x v="5"/>
    </i>
    <i>
      <x v="3"/>
    </i>
    <i r="1">
      <x v="16"/>
    </i>
    <i r="2">
      <x v="5"/>
    </i>
    <i r="1">
      <x v="17"/>
    </i>
    <i r="2">
      <x v="12"/>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filterMode="1">
    <tabColor theme="5"/>
  </sheetPr>
  <dimension ref="A1:AC979"/>
  <sheetViews>
    <sheetView showGridLines="0" tabSelected="1" zoomScale="85" zoomScaleNormal="85" zoomScaleSheetLayoutView="55" workbookViewId="0">
      <pane ySplit="2" topLeftCell="A3" activePane="bottomLeft" state="frozen"/>
      <selection pane="bottomLeft" activeCell="F787" sqref="F787"/>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hidden="1" customWidth="1"/>
    <col min="15" max="15" width="29.28515625" style="3" hidden="1" customWidth="1"/>
    <col min="16" max="16" width="13.42578125" style="3" hidden="1" customWidth="1"/>
    <col min="17" max="18" width="31" style="3" hidden="1" customWidth="1"/>
    <col min="19" max="19" width="11.42578125" style="3" hidden="1" customWidth="1"/>
    <col min="20" max="21" width="11.42578125" style="62" hidden="1" customWidth="1"/>
    <col min="22" max="22" width="12.7109375" style="1" hidden="1" customWidth="1"/>
    <col min="23" max="23" width="11.42578125" style="1" hidden="1" customWidth="1"/>
    <col min="24" max="24" width="26.42578125" style="1" hidden="1" customWidth="1"/>
    <col min="25" max="25" width="17.42578125" style="1" hidden="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7">
        <v>875</v>
      </c>
      <c r="B1" s="238" t="str">
        <f ca="1" xml:space="preserve"> COUNTIF(O:O,"NO") &amp;
"                                      -                 "                 &amp; COUNTIF(O:O,"LIMBO")</f>
        <v>76                                      -                 20</v>
      </c>
      <c r="C1" s="238">
        <f ca="1" xml:space="preserve"> COUNTIF(O:O,"SI")</f>
        <v>779</v>
      </c>
      <c r="D1" s="236"/>
      <c r="E1" s="276" t="str">
        <f ca="1" xml:space="preserve"> "Cantidad de audiencias de la fecha:   " &amp; COUNTIF(H:H,TODAY())</f>
        <v>Cantidad de audiencias de la fecha:   5</v>
      </c>
      <c r="F1" s="239"/>
      <c r="G1" s="240"/>
      <c r="H1" s="241"/>
      <c r="I1" s="241"/>
      <c r="J1" s="241" t="s">
        <v>1442</v>
      </c>
      <c r="K1" s="240" t="s">
        <v>899</v>
      </c>
      <c r="L1" s="242" t="s">
        <v>1098</v>
      </c>
      <c r="M1" s="103"/>
      <c r="N1" s="104"/>
      <c r="O1" s="104"/>
      <c r="P1" s="105">
        <v>45225</v>
      </c>
      <c r="Q1" s="243">
        <v>45098</v>
      </c>
      <c r="R1" s="243">
        <v>45100</v>
      </c>
      <c r="S1" s="236"/>
      <c r="T1" s="106"/>
      <c r="U1" s="103"/>
      <c r="Y1" s="236"/>
      <c r="Z1" s="244"/>
    </row>
    <row r="2" spans="1:29" ht="38.25">
      <c r="A2" s="87" t="s">
        <v>1281</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1672</v>
      </c>
      <c r="Q2" s="50" t="s">
        <v>947</v>
      </c>
      <c r="R2" s="50" t="s">
        <v>948</v>
      </c>
      <c r="S2" s="50" t="s">
        <v>1021</v>
      </c>
      <c r="T2" s="89" t="s">
        <v>1673</v>
      </c>
      <c r="U2" s="78" t="s">
        <v>931</v>
      </c>
      <c r="V2" s="50" t="s">
        <v>1674</v>
      </c>
      <c r="W2" s="50" t="s">
        <v>1022</v>
      </c>
      <c r="X2" s="50" t="s">
        <v>990</v>
      </c>
      <c r="Y2" s="50" t="s">
        <v>996</v>
      </c>
      <c r="Z2" s="50" t="s">
        <v>1053</v>
      </c>
      <c r="AA2" s="50" t="s">
        <v>1181</v>
      </c>
      <c r="AB2" s="50" t="s">
        <v>1182</v>
      </c>
      <c r="AC2" s="50" t="s">
        <v>3464</v>
      </c>
    </row>
    <row r="3" spans="1:29" ht="25.5" hidden="1" outlineLevel="1">
      <c r="A3" s="7">
        <v>1</v>
      </c>
      <c r="B3" s="19">
        <v>44973</v>
      </c>
      <c r="C3" s="15" t="s">
        <v>73</v>
      </c>
      <c r="D3" s="7" t="s">
        <v>101</v>
      </c>
      <c r="E3" s="41" t="s">
        <v>104</v>
      </c>
      <c r="F3" s="7">
        <v>3</v>
      </c>
      <c r="G3" s="7" t="s">
        <v>1441</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3"/>
    </row>
    <row r="4" spans="1:29" ht="64.5" hidden="1"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75"/>
    </row>
    <row r="5" spans="1:29" ht="38.25" hidden="1"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75"/>
    </row>
    <row r="6" spans="1:29" ht="38.25" hidden="1"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75"/>
    </row>
    <row r="7" spans="1:29" ht="25.5" hidden="1"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75"/>
    </row>
    <row r="8" spans="1:29" ht="25.5" hidden="1"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75"/>
    </row>
    <row r="9" spans="1:29" ht="25.5" hidden="1"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75"/>
    </row>
    <row r="10" spans="1:29" ht="63.75" hidden="1"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75"/>
    </row>
    <row r="11" spans="1:29" ht="38.25" hidden="1"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75"/>
    </row>
    <row r="12" spans="1:29" ht="25.5" hidden="1"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75"/>
    </row>
    <row r="13" spans="1:29" ht="25.5" hidden="1"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75"/>
    </row>
    <row r="14" spans="1:29" ht="51" hidden="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75"/>
    </row>
    <row r="15" spans="1:29" ht="76.5" hidden="1"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75"/>
    </row>
    <row r="16" spans="1:29" ht="63.75" hidden="1"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75"/>
    </row>
    <row r="17" spans="1:29" ht="25.5" hidden="1" outlineLevel="1">
      <c r="A17" s="7">
        <v>15</v>
      </c>
      <c r="B17" s="19">
        <v>44987</v>
      </c>
      <c r="C17" s="15">
        <v>0.33333333333333331</v>
      </c>
      <c r="D17" s="7" t="s">
        <v>109</v>
      </c>
      <c r="E17" s="41" t="s">
        <v>110</v>
      </c>
      <c r="F17" s="7">
        <v>3</v>
      </c>
      <c r="G17" s="7" t="s">
        <v>1441</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75"/>
    </row>
    <row r="18" spans="1:29" ht="51" hidden="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75"/>
    </row>
    <row r="19" spans="1:29" ht="76.5" hidden="1"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75"/>
    </row>
    <row r="20" spans="1:29" ht="25.5" hidden="1"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75"/>
    </row>
    <row r="21" spans="1:29" ht="25.5" hidden="1" outlineLevel="1">
      <c r="A21" s="7">
        <v>19</v>
      </c>
      <c r="B21" s="5">
        <v>44986</v>
      </c>
      <c r="C21" s="4" t="s">
        <v>38</v>
      </c>
      <c r="D21" s="4" t="s">
        <v>44</v>
      </c>
      <c r="E21" s="40" t="s">
        <v>37</v>
      </c>
      <c r="F21" s="4">
        <v>3</v>
      </c>
      <c r="G21" s="4" t="s">
        <v>1441</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75"/>
    </row>
    <row r="22" spans="1:29" ht="38.25" hidden="1"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75"/>
    </row>
    <row r="23" spans="1:29" ht="38.25" hidden="1"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75"/>
    </row>
    <row r="24" spans="1:29" ht="38.25" hidden="1"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75"/>
    </row>
    <row r="25" spans="1:29" ht="63.75" hidden="1"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75"/>
    </row>
    <row r="26" spans="1:29" ht="51" hidden="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75"/>
    </row>
    <row r="27" spans="1:29" ht="25.5" hidden="1"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75"/>
    </row>
    <row r="28" spans="1:29" ht="51" hidden="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75"/>
    </row>
    <row r="29" spans="1:29" ht="38.25" hidden="1"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75"/>
    </row>
    <row r="30" spans="1:29" ht="51" hidden="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75"/>
    </row>
    <row r="31" spans="1:29" ht="51" hidden="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75"/>
    </row>
    <row r="32" spans="1:29" ht="51" hidden="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75"/>
    </row>
    <row r="33" spans="1:29" ht="89.25" hidden="1"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75"/>
    </row>
    <row r="34" spans="1:29" ht="89.25" hidden="1"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75"/>
    </row>
    <row r="35" spans="1:29" ht="51" hidden="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75"/>
    </row>
    <row r="36" spans="1:29" ht="51" hidden="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75"/>
    </row>
    <row r="37" spans="1:29" ht="51" hidden="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75"/>
    </row>
    <row r="38" spans="1:29" ht="51" hidden="1" outlineLevel="1">
      <c r="A38" s="7">
        <v>36</v>
      </c>
      <c r="B38" s="19">
        <v>44988</v>
      </c>
      <c r="C38" s="15">
        <v>0.44513888888888892</v>
      </c>
      <c r="D38" s="7" t="s">
        <v>144</v>
      </c>
      <c r="E38" s="41" t="s">
        <v>143</v>
      </c>
      <c r="F38" s="7">
        <v>3</v>
      </c>
      <c r="G38" s="7" t="s">
        <v>1441</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75"/>
    </row>
    <row r="39" spans="1:29" ht="38.25" hidden="1"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75"/>
    </row>
    <row r="40" spans="1:29" ht="76.5" hidden="1"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75"/>
    </row>
    <row r="41" spans="1:29" ht="63.75" hidden="1" outlineLevel="1">
      <c r="A41" s="7">
        <v>39</v>
      </c>
      <c r="B41" s="19">
        <v>44988</v>
      </c>
      <c r="C41" s="15">
        <v>0.52777777777777779</v>
      </c>
      <c r="D41" s="7" t="s">
        <v>146</v>
      </c>
      <c r="E41" s="41" t="s">
        <v>145</v>
      </c>
      <c r="F41" s="7">
        <v>3</v>
      </c>
      <c r="G41" s="7" t="s">
        <v>1441</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75"/>
    </row>
    <row r="42" spans="1:29" ht="25.5" hidden="1"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75"/>
    </row>
    <row r="43" spans="1:29" ht="38.25" hidden="1"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75"/>
    </row>
    <row r="44" spans="1:29" ht="76.5" hidden="1"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75"/>
    </row>
    <row r="45" spans="1:29" ht="38.25" hidden="1"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75"/>
    </row>
    <row r="46" spans="1:29" ht="51" hidden="1" outlineLevel="1">
      <c r="A46" s="7">
        <v>44</v>
      </c>
      <c r="B46" s="19">
        <v>44991</v>
      </c>
      <c r="C46" s="15">
        <v>0.37361111111111112</v>
      </c>
      <c r="D46" s="7" t="s">
        <v>164</v>
      </c>
      <c r="E46" s="41" t="s">
        <v>165</v>
      </c>
      <c r="F46" s="7">
        <v>3</v>
      </c>
      <c r="G46" s="7" t="s">
        <v>1441</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75"/>
    </row>
    <row r="47" spans="1:29" ht="51" hidden="1" outlineLevel="1">
      <c r="A47" s="7">
        <v>45</v>
      </c>
      <c r="B47" s="19">
        <v>44993</v>
      </c>
      <c r="C47" s="15">
        <v>0.34652777777777777</v>
      </c>
      <c r="D47" s="7" t="s">
        <v>221</v>
      </c>
      <c r="E47" s="41" t="s">
        <v>220</v>
      </c>
      <c r="F47" s="7">
        <v>3</v>
      </c>
      <c r="G47" s="7" t="s">
        <v>1441</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75"/>
    </row>
    <row r="48" spans="1:29" ht="25.5" hidden="1"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75"/>
    </row>
    <row r="49" spans="1:29" ht="51" hidden="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75"/>
    </row>
    <row r="50" spans="1:29" ht="51" hidden="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75"/>
    </row>
    <row r="51" spans="1:29" ht="51" hidden="1" outlineLevel="1">
      <c r="A51" s="7">
        <v>49</v>
      </c>
      <c r="B51" s="19">
        <v>44991</v>
      </c>
      <c r="C51" s="15">
        <v>0.35833333333333334</v>
      </c>
      <c r="D51" s="7" t="s">
        <v>160</v>
      </c>
      <c r="E51" s="41" t="s">
        <v>157</v>
      </c>
      <c r="F51" s="7">
        <v>3</v>
      </c>
      <c r="G51" s="7" t="s">
        <v>1441</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75"/>
    </row>
    <row r="52" spans="1:29" ht="38.25" hidden="1"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75"/>
    </row>
    <row r="53" spans="1:29" ht="38.25" hidden="1"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75"/>
    </row>
    <row r="54" spans="1:29" ht="25.5" hidden="1"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75"/>
    </row>
    <row r="55" spans="1:29" ht="51" hidden="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75"/>
    </row>
    <row r="56" spans="1:29" ht="89.25" hidden="1"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75"/>
    </row>
    <row r="57" spans="1:29" ht="63.75" hidden="1"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75"/>
    </row>
    <row r="58" spans="1:29" ht="63.75" hidden="1" outlineLevel="1">
      <c r="A58" s="7">
        <v>56</v>
      </c>
      <c r="B58" s="19">
        <v>44992</v>
      </c>
      <c r="C58" s="15">
        <v>0.50902777777777775</v>
      </c>
      <c r="D58" s="7" t="s">
        <v>207</v>
      </c>
      <c r="E58" s="41" t="s">
        <v>206</v>
      </c>
      <c r="F58" s="7">
        <v>3</v>
      </c>
      <c r="G58" s="7" t="s">
        <v>1441</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75"/>
    </row>
    <row r="59" spans="1:29" ht="25.5" hidden="1"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75"/>
    </row>
    <row r="60" spans="1:29" ht="38.25" hidden="1"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75"/>
    </row>
    <row r="61" spans="1:29" ht="63.75" hidden="1"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75"/>
    </row>
    <row r="62" spans="1:29" ht="76.5" hidden="1"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75"/>
    </row>
    <row r="63" spans="1:29" ht="51" hidden="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75"/>
    </row>
    <row r="64" spans="1:29" ht="63.75" hidden="1"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75"/>
    </row>
    <row r="65" spans="1:29" ht="25.5" hidden="1"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75"/>
    </row>
    <row r="66" spans="1:29" ht="51" hidden="1" outlineLevel="1">
      <c r="A66" s="7">
        <v>64</v>
      </c>
      <c r="B66" s="19">
        <v>44992</v>
      </c>
      <c r="C66" s="15">
        <v>0.48749999999999999</v>
      </c>
      <c r="D66" s="7" t="s">
        <v>259</v>
      </c>
      <c r="E66" s="41" t="s">
        <v>205</v>
      </c>
      <c r="F66" s="7">
        <v>4</v>
      </c>
      <c r="G66" s="7" t="s">
        <v>1441</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75"/>
    </row>
    <row r="67" spans="1:29" ht="38.25" hidden="1"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75"/>
    </row>
    <row r="68" spans="1:29" ht="38.25" hidden="1"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75"/>
    </row>
    <row r="69" spans="1:29" ht="89.25" hidden="1"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75"/>
    </row>
    <row r="70" spans="1:29" ht="63.75" hidden="1"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75"/>
    </row>
    <row r="71" spans="1:29" ht="38.25" hidden="1" outlineLevel="1">
      <c r="A71" s="7">
        <v>69</v>
      </c>
      <c r="B71" s="19">
        <v>44992</v>
      </c>
      <c r="C71" s="15">
        <v>0.53402777777777777</v>
      </c>
      <c r="D71" s="7" t="s">
        <v>212</v>
      </c>
      <c r="E71" s="41" t="s">
        <v>216</v>
      </c>
      <c r="F71" s="7">
        <v>4</v>
      </c>
      <c r="G71" s="7" t="s">
        <v>1441</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75"/>
    </row>
    <row r="72" spans="1:29" ht="25.5" hidden="1"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75"/>
    </row>
    <row r="73" spans="1:29" ht="51" hidden="1" outlineLevel="1">
      <c r="A73" s="7">
        <v>71</v>
      </c>
      <c r="B73" s="19">
        <v>44994</v>
      </c>
      <c r="C73" s="15">
        <v>0.3666666666666667</v>
      </c>
      <c r="D73" s="7" t="s">
        <v>268</v>
      </c>
      <c r="E73" s="41" t="s">
        <v>269</v>
      </c>
      <c r="F73" s="7">
        <v>4</v>
      </c>
      <c r="G73" s="7" t="s">
        <v>1441</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75"/>
    </row>
    <row r="74" spans="1:29" ht="63.75" hidden="1"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75"/>
    </row>
    <row r="75" spans="1:29" ht="38.25" hidden="1"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75"/>
    </row>
    <row r="76" spans="1:29" ht="76.5" hidden="1"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75"/>
    </row>
    <row r="77" spans="1:29" ht="38.25" hidden="1"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75"/>
    </row>
    <row r="78" spans="1:29" ht="25.5" hidden="1"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75"/>
    </row>
    <row r="79" spans="1:29" ht="76.5" hidden="1"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75"/>
    </row>
    <row r="80" spans="1:29" ht="38.25" hidden="1"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75"/>
    </row>
    <row r="81" spans="1:29" ht="89.25" hidden="1"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75"/>
    </row>
    <row r="82" spans="1:29" ht="51" hidden="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75"/>
    </row>
    <row r="83" spans="1:29" ht="25.5" hidden="1"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75"/>
    </row>
    <row r="84" spans="1:29" ht="38.25" hidden="1" outlineLevel="1">
      <c r="A84" s="7">
        <v>82</v>
      </c>
      <c r="B84" s="19">
        <v>45006</v>
      </c>
      <c r="C84" s="15">
        <v>0.375</v>
      </c>
      <c r="D84" s="7" t="s">
        <v>487</v>
      </c>
      <c r="E84" s="41" t="s">
        <v>486</v>
      </c>
      <c r="F84" s="7">
        <v>4</v>
      </c>
      <c r="G84" s="7" t="s">
        <v>1441</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75"/>
    </row>
    <row r="85" spans="1:29" ht="25.5" hidden="1"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75"/>
    </row>
    <row r="86" spans="1:29" ht="38.25" hidden="1" outlineLevel="1">
      <c r="A86" s="7">
        <v>84</v>
      </c>
      <c r="B86" s="19">
        <v>44998</v>
      </c>
      <c r="C86" s="15">
        <v>0.4375</v>
      </c>
      <c r="D86" s="7" t="s">
        <v>318</v>
      </c>
      <c r="E86" s="41" t="s">
        <v>319</v>
      </c>
      <c r="F86" s="7">
        <v>4</v>
      </c>
      <c r="G86" s="7" t="s">
        <v>1441</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75"/>
    </row>
    <row r="87" spans="1:29" ht="25.5" hidden="1"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75"/>
    </row>
    <row r="88" spans="1:29" ht="95.25" hidden="1"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75"/>
    </row>
    <row r="89" spans="1:29" ht="63.75" hidden="1"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75"/>
    </row>
    <row r="90" spans="1:29" ht="46.5" hidden="1"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75"/>
    </row>
    <row r="91" spans="1:29" ht="76.5" hidden="1"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75"/>
    </row>
    <row r="92" spans="1:29" ht="25.5" hidden="1" outlineLevel="1">
      <c r="A92" s="7">
        <v>90</v>
      </c>
      <c r="B92" s="19">
        <v>45000</v>
      </c>
      <c r="C92" s="15">
        <v>0.39444444444444443</v>
      </c>
      <c r="D92" s="7" t="s">
        <v>387</v>
      </c>
      <c r="E92" s="41" t="s">
        <v>390</v>
      </c>
      <c r="F92" s="7">
        <v>4</v>
      </c>
      <c r="G92" s="7" t="s">
        <v>1441</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75"/>
    </row>
    <row r="93" spans="1:29" s="8" customFormat="1" ht="76.5" hidden="1"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5"/>
    </row>
    <row r="94" spans="1:29" ht="127.5" hidden="1"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75"/>
    </row>
    <row r="95" spans="1:29" s="3" customFormat="1" ht="76.5" hidden="1"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hidden="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75"/>
    </row>
    <row r="97" spans="1:29" ht="25.5" hidden="1"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75"/>
    </row>
    <row r="98" spans="1:29" ht="38.25" hidden="1" outlineLevel="1">
      <c r="A98" s="7">
        <v>96</v>
      </c>
      <c r="B98" s="19">
        <v>44998</v>
      </c>
      <c r="C98" s="15">
        <v>0.45694444444444443</v>
      </c>
      <c r="D98" s="7" t="s">
        <v>335</v>
      </c>
      <c r="E98" s="41" t="s">
        <v>336</v>
      </c>
      <c r="F98" s="7">
        <v>4</v>
      </c>
      <c r="G98" s="7" t="s">
        <v>1441</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75"/>
    </row>
    <row r="99" spans="1:29" ht="38.25" hidden="1"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75"/>
    </row>
    <row r="100" spans="1:29" ht="38.25" hidden="1" outlineLevel="1">
      <c r="A100" s="7">
        <v>98</v>
      </c>
      <c r="B100" s="19">
        <v>44999</v>
      </c>
      <c r="C100" s="15">
        <v>0.49027777777777781</v>
      </c>
      <c r="D100" s="7" t="s">
        <v>373</v>
      </c>
      <c r="E100" s="41" t="s">
        <v>374</v>
      </c>
      <c r="F100" s="7">
        <v>4</v>
      </c>
      <c r="G100" s="7" t="s">
        <v>1441</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75"/>
    </row>
    <row r="101" spans="1:29" ht="63.75" hidden="1"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75"/>
    </row>
    <row r="102" spans="1:29" ht="51" hidden="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75"/>
    </row>
    <row r="103" spans="1:29" ht="38.25" hidden="1"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75"/>
    </row>
    <row r="104" spans="1:29" ht="38.25" hidden="1"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75"/>
    </row>
    <row r="105" spans="1:29" ht="51" hidden="1" outlineLevel="1">
      <c r="A105" s="7">
        <v>103</v>
      </c>
      <c r="B105" s="19">
        <v>44999</v>
      </c>
      <c r="C105" s="15">
        <v>0.59791666666666665</v>
      </c>
      <c r="D105" s="7" t="s">
        <v>386</v>
      </c>
      <c r="E105" s="41" t="s">
        <v>389</v>
      </c>
      <c r="F105" s="7">
        <v>4</v>
      </c>
      <c r="G105" s="7" t="s">
        <v>1441</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75"/>
    </row>
    <row r="106" spans="1:29" ht="63.75" hidden="1"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75"/>
    </row>
    <row r="107" spans="1:29" ht="51" hidden="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75"/>
    </row>
    <row r="108" spans="1:29" ht="38.25" hidden="1"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75"/>
    </row>
    <row r="109" spans="1:29" ht="25.5" hidden="1"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75"/>
    </row>
    <row r="110" spans="1:29" ht="76.5" hidden="1"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75"/>
    </row>
    <row r="111" spans="1:29" ht="38.25" hidden="1" outlineLevel="1">
      <c r="A111" s="7">
        <v>109</v>
      </c>
      <c r="B111" s="19">
        <v>45001</v>
      </c>
      <c r="C111" s="15">
        <v>0.41666666666666669</v>
      </c>
      <c r="D111" s="7" t="s">
        <v>544</v>
      </c>
      <c r="E111" s="41" t="s">
        <v>538</v>
      </c>
      <c r="F111" s="7">
        <v>4</v>
      </c>
      <c r="G111" s="7" t="s">
        <v>1441</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75"/>
    </row>
    <row r="112" spans="1:29" ht="51" hidden="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75"/>
    </row>
    <row r="113" spans="1:29" ht="38.25" hidden="1"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75"/>
    </row>
    <row r="114" spans="1:29" ht="38.25" hidden="1"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75"/>
    </row>
    <row r="115" spans="1:29" ht="63.75" hidden="1"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75"/>
    </row>
    <row r="116" spans="1:29" ht="38.25" hidden="1"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75"/>
    </row>
    <row r="117" spans="1:29" ht="38.25" hidden="1"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75"/>
    </row>
    <row r="118" spans="1:29" ht="89.25" hidden="1"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75"/>
    </row>
    <row r="119" spans="1:29" ht="38.25" hidden="1"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75"/>
    </row>
    <row r="120" spans="1:29" ht="38.25" hidden="1"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75"/>
    </row>
    <row r="121" spans="1:29" ht="38.25" hidden="1"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75"/>
    </row>
    <row r="122" spans="1:29" ht="51" hidden="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75"/>
    </row>
    <row r="123" spans="1:29" ht="38.25" hidden="1"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75"/>
    </row>
    <row r="124" spans="1:29" ht="51" hidden="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75"/>
    </row>
    <row r="125" spans="1:29" ht="102" hidden="1"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75"/>
    </row>
    <row r="126" spans="1:29" ht="51" hidden="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75"/>
    </row>
    <row r="127" spans="1:29" ht="51" hidden="1" outlineLevel="1">
      <c r="A127" s="7">
        <v>125</v>
      </c>
      <c r="B127" s="19">
        <v>45006</v>
      </c>
      <c r="C127" s="15">
        <v>0.3611111111111111</v>
      </c>
      <c r="D127" s="7" t="s">
        <v>470</v>
      </c>
      <c r="E127" s="41" t="s">
        <v>647</v>
      </c>
      <c r="F127" s="7">
        <v>3</v>
      </c>
      <c r="G127" s="7" t="s">
        <v>1441</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75"/>
    </row>
    <row r="128" spans="1:29" ht="38.25" hidden="1"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75"/>
    </row>
    <row r="129" spans="1:29" ht="25.5" hidden="1"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75"/>
    </row>
    <row r="130" spans="1:29" ht="63.75" hidden="1" outlineLevel="1">
      <c r="A130" s="7">
        <v>128</v>
      </c>
      <c r="B130" s="19">
        <v>45001</v>
      </c>
      <c r="C130" s="15">
        <v>0.43541666666666662</v>
      </c>
      <c r="D130" s="7" t="s">
        <v>430</v>
      </c>
      <c r="E130" s="41" t="s">
        <v>431</v>
      </c>
      <c r="F130" s="7">
        <v>4</v>
      </c>
      <c r="G130" s="7" t="s">
        <v>1441</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75"/>
    </row>
    <row r="131" spans="1:29" ht="38.25" hidden="1"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75"/>
    </row>
    <row r="132" spans="1:29" ht="63.75" hidden="1"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75"/>
    </row>
    <row r="133" spans="1:29" ht="38.25" hidden="1"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75"/>
    </row>
    <row r="134" spans="1:29" ht="25.5" hidden="1"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75"/>
    </row>
    <row r="135" spans="1:29" ht="25.5" hidden="1" outlineLevel="1">
      <c r="A135" s="7">
        <v>133</v>
      </c>
      <c r="B135" s="19">
        <v>45002</v>
      </c>
      <c r="C135" s="15">
        <v>0.35694444444444445</v>
      </c>
      <c r="D135" s="7" t="s">
        <v>439</v>
      </c>
      <c r="E135" s="41" t="s">
        <v>440</v>
      </c>
      <c r="F135" s="7">
        <v>4</v>
      </c>
      <c r="G135" s="7" t="s">
        <v>1441</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75"/>
    </row>
    <row r="136" spans="1:29" ht="63.75" hidden="1"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75"/>
    </row>
    <row r="137" spans="1:29" ht="25.5" hidden="1"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75"/>
    </row>
    <row r="138" spans="1:29" ht="38.25" hidden="1"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75"/>
    </row>
    <row r="139" spans="1:29" ht="38.25" hidden="1" outlineLevel="1">
      <c r="A139" s="7">
        <v>137</v>
      </c>
      <c r="B139" s="19">
        <v>45012</v>
      </c>
      <c r="C139" s="15" t="s">
        <v>73</v>
      </c>
      <c r="D139" s="7" t="s">
        <v>531</v>
      </c>
      <c r="E139" s="41" t="s">
        <v>534</v>
      </c>
      <c r="F139" s="7">
        <v>4</v>
      </c>
      <c r="G139" s="7" t="s">
        <v>1441</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75"/>
    </row>
    <row r="140" spans="1:29" ht="51" hidden="1" outlineLevel="1">
      <c r="A140" s="7">
        <v>138</v>
      </c>
      <c r="B140" s="19">
        <v>45034</v>
      </c>
      <c r="C140" s="15">
        <v>0.33333333333333331</v>
      </c>
      <c r="D140" s="7" t="s">
        <v>649</v>
      </c>
      <c r="E140" s="41" t="s">
        <v>650</v>
      </c>
      <c r="F140" s="7">
        <v>4</v>
      </c>
      <c r="G140" s="7" t="s">
        <v>1441</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75"/>
    </row>
    <row r="141" spans="1:29" ht="38.25" hidden="1"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75"/>
    </row>
    <row r="142" spans="1:29" ht="51" hidden="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75"/>
    </row>
    <row r="143" spans="1:29" ht="63.75" hidden="1"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75"/>
    </row>
    <row r="144" spans="1:29" ht="63.75" hidden="1"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75"/>
    </row>
    <row r="145" spans="1:29" ht="89.25" hidden="1"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75"/>
    </row>
    <row r="146" spans="1:29" ht="63.75" hidden="1"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75"/>
    </row>
    <row r="147" spans="1:29" ht="153" hidden="1" outlineLevel="1">
      <c r="A147" s="7">
        <v>145</v>
      </c>
      <c r="B147" s="19">
        <v>45014</v>
      </c>
      <c r="C147" s="15">
        <v>0.34791666666666665</v>
      </c>
      <c r="D147" s="7" t="s">
        <v>492</v>
      </c>
      <c r="E147" s="41" t="s">
        <v>527</v>
      </c>
      <c r="F147" s="7">
        <v>4</v>
      </c>
      <c r="G147" s="7" t="s">
        <v>1441</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75"/>
    </row>
    <row r="148" spans="1:29" ht="76.5" hidden="1"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75"/>
    </row>
    <row r="149" spans="1:29" ht="76.5" hidden="1"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75"/>
    </row>
    <row r="150" spans="1:29" ht="76.5" hidden="1"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75"/>
    </row>
    <row r="151" spans="1:29" ht="25.5" hidden="1"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75"/>
    </row>
    <row r="152" spans="1:29" ht="51" hidden="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75"/>
    </row>
    <row r="153" spans="1:29" ht="51" hidden="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75"/>
    </row>
    <row r="154" spans="1:29" ht="63.75" hidden="1"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75"/>
    </row>
    <row r="155" spans="1:29" ht="63.75" hidden="1"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75"/>
    </row>
    <row r="156" spans="1:29" ht="102" hidden="1"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75"/>
    </row>
    <row r="157" spans="1:29" ht="51" hidden="1" outlineLevel="1">
      <c r="A157" s="7">
        <v>155</v>
      </c>
      <c r="B157" s="19">
        <v>45048</v>
      </c>
      <c r="C157" s="15">
        <v>0.37916666666666665</v>
      </c>
      <c r="D157" s="7" t="s">
        <v>687</v>
      </c>
      <c r="E157" s="41" t="s">
        <v>707</v>
      </c>
      <c r="F157" s="7">
        <v>3</v>
      </c>
      <c r="G157" s="7" t="s">
        <v>1441</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75"/>
    </row>
    <row r="158" spans="1:29" ht="38.25" hidden="1"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75"/>
    </row>
    <row r="159" spans="1:29" ht="51" hidden="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75"/>
    </row>
    <row r="160" spans="1:29" ht="51" hidden="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75"/>
    </row>
    <row r="161" spans="1:29" ht="63.75" hidden="1" outlineLevel="1">
      <c r="A161" s="7">
        <v>159</v>
      </c>
      <c r="B161" s="19">
        <v>45055</v>
      </c>
      <c r="C161" s="15">
        <v>0.33333333333333331</v>
      </c>
      <c r="D161" s="7" t="s">
        <v>764</v>
      </c>
      <c r="E161" s="41" t="s">
        <v>739</v>
      </c>
      <c r="F161" s="7">
        <v>8</v>
      </c>
      <c r="G161" s="7" t="s">
        <v>1441</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75"/>
    </row>
    <row r="162" spans="1:29" ht="51" hidden="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75"/>
    </row>
    <row r="163" spans="1:29" ht="51" hidden="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75"/>
    </row>
    <row r="164" spans="1:29" ht="38.25" hidden="1"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75"/>
    </row>
    <row r="165" spans="1:29" ht="89.25" hidden="1"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75"/>
    </row>
    <row r="166" spans="1:29" ht="25.5" hidden="1" outlineLevel="1">
      <c r="A166" s="7">
        <v>164</v>
      </c>
      <c r="B166" s="19">
        <v>45055</v>
      </c>
      <c r="C166" s="15">
        <v>0.5</v>
      </c>
      <c r="D166" s="7" t="s">
        <v>821</v>
      </c>
      <c r="E166" s="41" t="s">
        <v>780</v>
      </c>
      <c r="F166" s="7">
        <v>8</v>
      </c>
      <c r="G166" s="7" t="s">
        <v>1441</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75"/>
    </row>
    <row r="167" spans="1:29" ht="25.5" hidden="1"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75"/>
    </row>
    <row r="168" spans="1:29" ht="25.5" hidden="1"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75"/>
    </row>
    <row r="169" spans="1:29" ht="25.5" hidden="1"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75"/>
    </row>
    <row r="170" spans="1:29" ht="25.5" hidden="1"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75"/>
    </row>
    <row r="171" spans="1:29" ht="25.5" hidden="1"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75"/>
    </row>
    <row r="172" spans="1:29" ht="25.5" hidden="1"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75"/>
    </row>
    <row r="173" spans="1:29" ht="63.75" hidden="1"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75"/>
    </row>
    <row r="174" spans="1:29" ht="25.5" hidden="1" outlineLevel="1">
      <c r="A174" s="7">
        <v>172</v>
      </c>
      <c r="B174" s="19">
        <v>45062</v>
      </c>
      <c r="C174" s="15">
        <v>0.33333333333333331</v>
      </c>
      <c r="D174" s="7" t="s">
        <v>856</v>
      </c>
      <c r="E174" s="41" t="s">
        <v>851</v>
      </c>
      <c r="F174" s="7">
        <v>8</v>
      </c>
      <c r="G174" s="7" t="s">
        <v>1441</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75"/>
    </row>
    <row r="175" spans="1:29" ht="76.5" hidden="1" outlineLevel="1">
      <c r="A175" s="7">
        <v>173</v>
      </c>
      <c r="B175" s="19">
        <v>45058</v>
      </c>
      <c r="C175" s="15">
        <v>0.35416666666666669</v>
      </c>
      <c r="D175" s="7" t="s">
        <v>840</v>
      </c>
      <c r="E175" s="41" t="s">
        <v>834</v>
      </c>
      <c r="F175" s="7">
        <v>8</v>
      </c>
      <c r="G175" s="328"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75"/>
    </row>
    <row r="176" spans="1:29" ht="38.25" hidden="1"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75"/>
    </row>
    <row r="177" spans="1:29" ht="89.25" hidden="1" outlineLevel="1">
      <c r="A177" s="7">
        <v>175</v>
      </c>
      <c r="B177" s="19">
        <v>45057</v>
      </c>
      <c r="C177" s="15">
        <v>0.41666666666666669</v>
      </c>
      <c r="D177" s="7" t="s">
        <v>828</v>
      </c>
      <c r="E177" s="41" t="s">
        <v>894</v>
      </c>
      <c r="F177" s="7">
        <v>8</v>
      </c>
      <c r="G177" s="7" t="s">
        <v>1441</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75"/>
    </row>
    <row r="178" spans="1:29" ht="25.5" hidden="1"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75"/>
    </row>
    <row r="179" spans="1:29" ht="25.5" hidden="1"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75"/>
    </row>
    <row r="180" spans="1:29" ht="38.25" hidden="1"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75"/>
    </row>
    <row r="181" spans="1:29" ht="25.5" hidden="1"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75"/>
    </row>
    <row r="182" spans="1:29" ht="25.5" hidden="1"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75"/>
    </row>
    <row r="183" spans="1:29" ht="51" hidden="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75"/>
    </row>
    <row r="184" spans="1:29" ht="25.5" hidden="1"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75"/>
    </row>
    <row r="185" spans="1:29" ht="51" hidden="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75"/>
    </row>
    <row r="186" spans="1:29" ht="38.25" hidden="1" outlineLevel="1">
      <c r="A186" s="7">
        <v>184</v>
      </c>
      <c r="B186" s="19">
        <v>45062</v>
      </c>
      <c r="C186" s="15">
        <v>0.54166666666666663</v>
      </c>
      <c r="D186" s="7" t="s">
        <v>876</v>
      </c>
      <c r="E186" s="41" t="s">
        <v>877</v>
      </c>
      <c r="F186" s="7">
        <v>8</v>
      </c>
      <c r="G186" s="7" t="s">
        <v>1441</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75"/>
    </row>
    <row r="187" spans="1:29" ht="51" hidden="1" outlineLevel="1">
      <c r="A187" s="7">
        <v>185</v>
      </c>
      <c r="B187" s="19">
        <v>45065</v>
      </c>
      <c r="C187" s="15">
        <v>0.54166666666666663</v>
      </c>
      <c r="D187" s="7" t="s">
        <v>933</v>
      </c>
      <c r="E187" s="41" t="s">
        <v>923</v>
      </c>
      <c r="F187" s="7">
        <v>8</v>
      </c>
      <c r="G187" s="7" t="s">
        <v>1441</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75"/>
    </row>
    <row r="188" spans="1:29" ht="51" hidden="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75"/>
    </row>
    <row r="189" spans="1:29" ht="38.25" hidden="1"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75"/>
    </row>
    <row r="190" spans="1:29" ht="127.5" hidden="1" outlineLevel="1">
      <c r="A190" s="7">
        <v>188</v>
      </c>
      <c r="B190" s="19">
        <v>45058</v>
      </c>
      <c r="C190" s="15">
        <v>0.51736111111111105</v>
      </c>
      <c r="D190" s="7" t="s">
        <v>873</v>
      </c>
      <c r="E190" s="41" t="s">
        <v>853</v>
      </c>
      <c r="F190" s="7">
        <v>8</v>
      </c>
      <c r="G190" s="7" t="s">
        <v>1441</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75"/>
    </row>
    <row r="191" spans="1:29" ht="63.75" hidden="1" outlineLevel="1">
      <c r="A191" s="7">
        <v>189</v>
      </c>
      <c r="B191" s="19">
        <v>45063</v>
      </c>
      <c r="C191" s="15">
        <v>0.5</v>
      </c>
      <c r="D191" s="7" t="s">
        <v>889</v>
      </c>
      <c r="E191" s="41" t="s">
        <v>890</v>
      </c>
      <c r="F191" s="7">
        <v>8</v>
      </c>
      <c r="G191" s="7" t="s">
        <v>1441</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75"/>
    </row>
    <row r="192" spans="1:29" ht="25.5" hidden="1"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75"/>
    </row>
    <row r="193" spans="1:29" ht="165.75" hidden="1"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75"/>
    </row>
    <row r="194" spans="1:29" ht="25.5" hidden="1"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75"/>
    </row>
    <row r="195" spans="1:29" ht="63.75" hidden="1"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75"/>
    </row>
    <row r="196" spans="1:29" ht="25.5" hidden="1"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75"/>
    </row>
    <row r="197" spans="1:29" ht="38.25" hidden="1"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75"/>
    </row>
    <row r="198" spans="1:29" ht="38.25" hidden="1"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75"/>
    </row>
    <row r="199" spans="1:29" ht="51" hidden="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1246</v>
      </c>
      <c r="T199" s="72" t="str">
        <f t="shared" si="14"/>
        <v>NO</v>
      </c>
      <c r="U199" s="72">
        <f t="shared" si="15"/>
        <v>6</v>
      </c>
      <c r="V199" s="7"/>
      <c r="W199" s="7"/>
      <c r="X199" s="7" t="s">
        <v>995</v>
      </c>
      <c r="Y199" s="7"/>
      <c r="Z199" s="72"/>
      <c r="AA199" s="72"/>
      <c r="AB199" s="72"/>
      <c r="AC199" s="375"/>
    </row>
    <row r="200" spans="1:29" ht="25.5" hidden="1" outlineLevel="1">
      <c r="A200" s="7">
        <v>198</v>
      </c>
      <c r="B200" s="19">
        <v>45075</v>
      </c>
      <c r="C200" s="15">
        <v>0.39583333333333331</v>
      </c>
      <c r="D200" s="7" t="s">
        <v>958</v>
      </c>
      <c r="E200" s="41" t="s">
        <v>959</v>
      </c>
      <c r="F200" s="7">
        <v>8</v>
      </c>
      <c r="G200" s="7" t="s">
        <v>1441</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75"/>
    </row>
    <row r="201" spans="1:29" ht="89.25" hidden="1"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75"/>
    </row>
    <row r="202" spans="1:29" ht="51" hidden="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75"/>
    </row>
    <row r="203" spans="1:29" ht="140.25" hidden="1"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1207</v>
      </c>
      <c r="X203" s="7" t="s">
        <v>998</v>
      </c>
      <c r="Y203" s="7"/>
      <c r="Z203" s="72"/>
      <c r="AA203" s="72"/>
      <c r="AB203" s="72"/>
      <c r="AC203" s="375"/>
    </row>
    <row r="204" spans="1:29" ht="38.25" hidden="1"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1244</v>
      </c>
      <c r="T204" s="72" t="str">
        <f t="shared" si="14"/>
        <v>NO</v>
      </c>
      <c r="U204" s="72"/>
      <c r="V204" s="7"/>
      <c r="W204" s="15" t="s">
        <v>1245</v>
      </c>
      <c r="X204" s="7"/>
      <c r="Y204" s="7"/>
      <c r="Z204" s="72"/>
      <c r="AA204" s="72"/>
      <c r="AB204" s="72"/>
      <c r="AC204" s="375"/>
    </row>
    <row r="205" spans="1:29" ht="25.5" hidden="1"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5"/>
      <c r="AB205" s="72"/>
      <c r="AC205" s="375"/>
    </row>
    <row r="206" spans="1:29" ht="51" hidden="1" outlineLevel="1">
      <c r="A206" s="7">
        <v>204</v>
      </c>
      <c r="B206" s="19">
        <v>43963</v>
      </c>
      <c r="C206" s="15">
        <v>0.40972222222222227</v>
      </c>
      <c r="D206" s="7" t="s">
        <v>836</v>
      </c>
      <c r="E206" s="41" t="s">
        <v>838</v>
      </c>
      <c r="F206" s="7">
        <v>8</v>
      </c>
      <c r="G206" s="7" t="s">
        <v>1441</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5"/>
      <c r="AB206" s="72"/>
      <c r="AC206" s="375"/>
    </row>
    <row r="207" spans="1:29" ht="38.25" hidden="1"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5"/>
      <c r="AB207" s="72"/>
      <c r="AC207" s="375"/>
    </row>
    <row r="208" spans="1:29" ht="38.25" hidden="1"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5"/>
      <c r="AB208" s="72"/>
      <c r="AC208" s="375"/>
    </row>
    <row r="209" spans="1:29" ht="25.5" hidden="1"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5"/>
      <c r="AB209" s="72"/>
      <c r="AC209" s="375"/>
    </row>
    <row r="210" spans="1:29" ht="51" hidden="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75"/>
    </row>
    <row r="211" spans="1:29" ht="63.75" hidden="1" outlineLevel="1">
      <c r="A211" s="7">
        <v>209</v>
      </c>
      <c r="B211" s="19">
        <v>45076</v>
      </c>
      <c r="C211" s="15">
        <v>0.40972222222222227</v>
      </c>
      <c r="D211" s="7" t="s">
        <v>970</v>
      </c>
      <c r="E211" s="41" t="s">
        <v>971</v>
      </c>
      <c r="F211" s="7">
        <v>8</v>
      </c>
      <c r="G211" s="7" t="s">
        <v>1441</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75"/>
    </row>
    <row r="212" spans="1:29" ht="51" hidden="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75"/>
    </row>
    <row r="213" spans="1:29" ht="38.25" hidden="1"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1304</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75"/>
    </row>
    <row r="214" spans="1:29" ht="51" hidden="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1134</v>
      </c>
      <c r="T214" s="72" t="str">
        <f t="shared" si="14"/>
        <v>NO</v>
      </c>
      <c r="U214" s="72">
        <f t="shared" si="16"/>
        <v>6</v>
      </c>
      <c r="V214" s="7"/>
      <c r="W214" s="15" t="s">
        <v>1135</v>
      </c>
      <c r="X214" s="7"/>
      <c r="Y214" s="7"/>
      <c r="Z214" s="72"/>
      <c r="AA214" s="72"/>
      <c r="AB214" s="72"/>
      <c r="AC214" s="375"/>
    </row>
    <row r="215" spans="1:29" ht="25.5" hidden="1"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75"/>
    </row>
    <row r="216" spans="1:29" ht="51" hidden="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1243</v>
      </c>
      <c r="T216" s="72" t="str">
        <f t="shared" si="14"/>
        <v>NO</v>
      </c>
      <c r="U216" s="72">
        <f t="shared" si="16"/>
        <v>6</v>
      </c>
      <c r="V216" s="7"/>
      <c r="W216" s="15" t="s">
        <v>1242</v>
      </c>
      <c r="X216" s="7" t="s">
        <v>1051</v>
      </c>
      <c r="Y216" s="7"/>
      <c r="Z216" s="72"/>
      <c r="AA216" s="72"/>
      <c r="AB216" s="72"/>
      <c r="AC216" s="375"/>
    </row>
    <row r="217" spans="1:29" ht="38.25" hidden="1"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1123</v>
      </c>
      <c r="T217" s="72" t="str">
        <f t="shared" si="14"/>
        <v>NO</v>
      </c>
      <c r="U217" s="72">
        <f t="shared" si="16"/>
        <v>6</v>
      </c>
      <c r="V217" s="7"/>
      <c r="W217" s="15" t="s">
        <v>1168</v>
      </c>
      <c r="X217" s="7"/>
      <c r="Y217" s="7"/>
      <c r="Z217" s="72"/>
      <c r="AA217" s="72"/>
      <c r="AB217" s="72"/>
      <c r="AC217" s="375"/>
    </row>
    <row r="218" spans="1:29" ht="51" hidden="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5"/>
      <c r="AA218" s="72"/>
      <c r="AB218" s="72"/>
      <c r="AC218" s="375"/>
    </row>
    <row r="219" spans="1:29" ht="76.5" hidden="1" outlineLevel="1">
      <c r="A219" s="7">
        <v>217</v>
      </c>
      <c r="B219" s="69">
        <v>45077</v>
      </c>
      <c r="C219" s="74">
        <v>0.42708333333333331</v>
      </c>
      <c r="D219" s="67" t="s">
        <v>981</v>
      </c>
      <c r="E219" s="68" t="s">
        <v>982</v>
      </c>
      <c r="F219" s="67">
        <v>8</v>
      </c>
      <c r="G219" s="67" t="s">
        <v>1441</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1125</v>
      </c>
      <c r="T219" s="77" t="str">
        <f t="shared" si="14"/>
        <v>NO</v>
      </c>
      <c r="U219" s="77">
        <f t="shared" si="16"/>
        <v>6</v>
      </c>
      <c r="V219" s="67"/>
      <c r="W219" s="74" t="s">
        <v>1126</v>
      </c>
      <c r="X219" s="67" t="s">
        <v>1069</v>
      </c>
      <c r="Y219" s="67"/>
      <c r="Z219" s="285"/>
      <c r="AA219" s="72"/>
      <c r="AB219" s="72"/>
      <c r="AC219" s="375"/>
    </row>
    <row r="220" spans="1:29" ht="51" hidden="1" outlineLevel="1">
      <c r="A220" s="7">
        <v>218</v>
      </c>
      <c r="B220" s="69">
        <v>45077</v>
      </c>
      <c r="C220" s="74">
        <v>0.45833333333333331</v>
      </c>
      <c r="D220" s="67" t="s">
        <v>1000</v>
      </c>
      <c r="E220" s="68" t="s">
        <v>997</v>
      </c>
      <c r="F220" s="67">
        <v>8</v>
      </c>
      <c r="G220" s="67" t="s">
        <v>1441</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1125</v>
      </c>
      <c r="T220" s="77" t="str">
        <f t="shared" si="14"/>
        <v>NO</v>
      </c>
      <c r="U220" s="77">
        <f t="shared" si="16"/>
        <v>6</v>
      </c>
      <c r="V220" s="67"/>
      <c r="W220" s="74" t="s">
        <v>1126</v>
      </c>
      <c r="X220" s="67"/>
      <c r="Y220" s="67"/>
      <c r="Z220" s="285"/>
      <c r="AA220" s="72"/>
      <c r="AB220" s="72"/>
      <c r="AC220" s="375"/>
    </row>
    <row r="221" spans="1:29" ht="25.5" hidden="1">
      <c r="A221" s="7">
        <v>219</v>
      </c>
      <c r="B221" s="69">
        <v>45083</v>
      </c>
      <c r="C221" s="74">
        <v>0.50694444444444442</v>
      </c>
      <c r="D221" s="67" t="s">
        <v>1054</v>
      </c>
      <c r="E221" s="68" t="s">
        <v>1055</v>
      </c>
      <c r="F221" s="67">
        <v>2</v>
      </c>
      <c r="G221" s="67" t="s">
        <v>1441</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1127</v>
      </c>
      <c r="T221" s="77" t="str">
        <f t="shared" si="14"/>
        <v>NO</v>
      </c>
      <c r="U221" s="77"/>
      <c r="V221" s="67"/>
      <c r="W221" s="74" t="s">
        <v>1128</v>
      </c>
      <c r="X221" s="7"/>
      <c r="Y221" s="67"/>
      <c r="Z221" s="124"/>
      <c r="AA221" s="72"/>
      <c r="AB221" s="72"/>
      <c r="AC221" s="375"/>
    </row>
    <row r="222" spans="1:29" ht="89.25" hidden="1">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4"/>
      <c r="AA222" s="72"/>
      <c r="AB222" s="72"/>
      <c r="AC222" s="375"/>
    </row>
    <row r="223" spans="1:29" ht="38.25" hidden="1">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4"/>
      <c r="AA223" s="72"/>
      <c r="AB223" s="72"/>
      <c r="AC223" s="375"/>
    </row>
    <row r="224" spans="1:29" ht="51" hidden="1">
      <c r="A224" s="7">
        <v>222</v>
      </c>
      <c r="B224" s="69">
        <v>45083</v>
      </c>
      <c r="C224" s="74">
        <v>0.48819444444444443</v>
      </c>
      <c r="D224" s="67" t="s">
        <v>1058</v>
      </c>
      <c r="E224" s="68" t="s">
        <v>1059</v>
      </c>
      <c r="F224" s="67">
        <v>2</v>
      </c>
      <c r="G224" s="67" t="s">
        <v>1441</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1129</v>
      </c>
      <c r="T224" s="77" t="str">
        <f t="shared" si="14"/>
        <v>NO</v>
      </c>
      <c r="U224" s="77"/>
      <c r="V224" s="67"/>
      <c r="W224" s="74" t="s">
        <v>1130</v>
      </c>
      <c r="X224" s="67"/>
      <c r="Y224" s="67"/>
      <c r="Z224" s="124"/>
      <c r="AA224" s="72"/>
      <c r="AB224" s="72"/>
      <c r="AC224" s="375"/>
    </row>
    <row r="225" spans="1:29" ht="51" hidden="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1131</v>
      </c>
      <c r="X225" s="67"/>
      <c r="Y225" s="67"/>
      <c r="Z225" s="124"/>
      <c r="AA225" s="72"/>
      <c r="AB225" s="72"/>
      <c r="AC225" s="375"/>
    </row>
    <row r="226" spans="1:29" ht="51" hidden="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1132</v>
      </c>
      <c r="T226" s="77" t="str">
        <f t="shared" si="14"/>
        <v>NO</v>
      </c>
      <c r="U226" s="77"/>
      <c r="V226" s="67"/>
      <c r="W226" s="74" t="s">
        <v>1133</v>
      </c>
      <c r="X226" s="67"/>
      <c r="Y226" s="67"/>
      <c r="Z226" s="124"/>
      <c r="AA226" s="72"/>
      <c r="AB226" s="72"/>
      <c r="AC226" s="375"/>
    </row>
    <row r="227" spans="1:29" ht="63.75" hidden="1">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1099</v>
      </c>
      <c r="Y227" s="67"/>
      <c r="Z227" s="124"/>
      <c r="AA227" s="72"/>
      <c r="AB227" s="72"/>
      <c r="AC227" s="375"/>
    </row>
    <row r="228" spans="1:29" ht="51" hidden="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1118</v>
      </c>
      <c r="O228" s="67" t="str">
        <f t="shared" ca="1" si="12"/>
        <v>SI</v>
      </c>
      <c r="P228" s="67" t="str">
        <f t="shared" si="13"/>
        <v>DIANOSOL</v>
      </c>
      <c r="Q228" s="67" t="s">
        <v>904</v>
      </c>
      <c r="R228" s="7" t="str">
        <f>VLOOKUP($Q228,Resultados!$A$1:$B$49,2,FALSE)</f>
        <v>Juicio Abreviado</v>
      </c>
      <c r="S228" s="67" t="s">
        <v>1123</v>
      </c>
      <c r="T228" s="77"/>
      <c r="U228" s="77"/>
      <c r="V228" s="67"/>
      <c r="W228" s="67" t="s">
        <v>1124</v>
      </c>
      <c r="X228" s="67" t="s">
        <v>1136</v>
      </c>
      <c r="Y228" s="67"/>
      <c r="Z228" s="124"/>
      <c r="AA228" s="72"/>
      <c r="AB228" s="72"/>
      <c r="AC228" s="375"/>
    </row>
    <row r="229" spans="1:29" ht="51" hidden="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1305</v>
      </c>
      <c r="M229" s="67" t="s">
        <v>1179</v>
      </c>
      <c r="N229" s="67" t="s">
        <v>1137</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1138</v>
      </c>
      <c r="X229" s="67" t="s">
        <v>1139</v>
      </c>
      <c r="Y229" s="67"/>
      <c r="Z229" s="124"/>
      <c r="AA229" s="72"/>
      <c r="AB229" s="72"/>
      <c r="AC229" s="375"/>
    </row>
    <row r="230" spans="1:29" ht="51" hidden="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1156</v>
      </c>
      <c r="O230" s="67" t="str">
        <f t="shared" ca="1" si="12"/>
        <v>SI</v>
      </c>
      <c r="P230" s="67" t="str">
        <f t="shared" si="13"/>
        <v>DIANOSOL</v>
      </c>
      <c r="Q230" s="67" t="s">
        <v>899</v>
      </c>
      <c r="R230" s="7" t="str">
        <f>VLOOKUP($Q230,Resultados!$A$1:$B$49,2,FALSE)</f>
        <v>Libertad</v>
      </c>
      <c r="S230" s="74" t="s">
        <v>1235</v>
      </c>
      <c r="T230" s="77"/>
      <c r="U230" s="77"/>
      <c r="V230" s="67"/>
      <c r="W230" s="74" t="s">
        <v>1236</v>
      </c>
      <c r="X230" s="67" t="s">
        <v>1159</v>
      </c>
      <c r="Y230" s="67"/>
      <c r="Z230" s="124"/>
      <c r="AA230" s="72"/>
      <c r="AB230" s="72"/>
      <c r="AC230" s="375"/>
    </row>
    <row r="231" spans="1:29" ht="25.5" hidden="1">
      <c r="A231" s="7">
        <v>229</v>
      </c>
      <c r="B231" s="19">
        <v>45089</v>
      </c>
      <c r="C231" s="15">
        <v>0.47291666666666665</v>
      </c>
      <c r="D231" s="7" t="s">
        <v>1111</v>
      </c>
      <c r="E231" s="41" t="s">
        <v>1112</v>
      </c>
      <c r="F231" s="7">
        <v>2</v>
      </c>
      <c r="G231" s="7" t="s">
        <v>1441</v>
      </c>
      <c r="H231" s="19">
        <v>45091</v>
      </c>
      <c r="I231" s="7" t="s">
        <v>73</v>
      </c>
      <c r="J231" s="19" t="s">
        <v>78</v>
      </c>
      <c r="K231" s="7">
        <f>IFERROR(VLOOKUP(J231,Jueces!$A$1:$B$11,2,FALSE),"")</f>
        <v>8</v>
      </c>
      <c r="L231" s="7" t="s">
        <v>812</v>
      </c>
      <c r="M231" s="7" t="s">
        <v>712</v>
      </c>
      <c r="N231" s="7" t="s">
        <v>1155</v>
      </c>
      <c r="O231" s="67" t="str">
        <f t="shared" ca="1" si="12"/>
        <v>SI</v>
      </c>
      <c r="P231" s="67" t="str">
        <f t="shared" si="13"/>
        <v>DIANOSOL</v>
      </c>
      <c r="Q231" s="7" t="s">
        <v>904</v>
      </c>
      <c r="R231" s="7" t="str">
        <f>VLOOKUP($Q231,Resultados!$A$1:$B$49,2,FALSE)</f>
        <v>Juicio Abreviado</v>
      </c>
      <c r="S231" s="15" t="s">
        <v>1237</v>
      </c>
      <c r="T231" s="72" t="str">
        <f>IF(G231=$J$1,"SI","NO")</f>
        <v>NO</v>
      </c>
      <c r="U231" s="72"/>
      <c r="V231" s="7"/>
      <c r="W231" s="15" t="s">
        <v>1018</v>
      </c>
      <c r="X231" s="7"/>
      <c r="Y231" s="7"/>
      <c r="Z231" s="124"/>
      <c r="AA231" s="72"/>
      <c r="AB231" s="72"/>
      <c r="AC231" s="375"/>
    </row>
    <row r="232" spans="1:29" ht="51" hidden="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1157</v>
      </c>
      <c r="O232" s="7" t="str">
        <f t="shared" ca="1" si="12"/>
        <v>SI</v>
      </c>
      <c r="P232" s="7" t="str">
        <f t="shared" si="13"/>
        <v>DIANOSOL</v>
      </c>
      <c r="Q232" s="7" t="s">
        <v>913</v>
      </c>
      <c r="R232" s="7" t="str">
        <f>VLOOKUP($Q232,Resultados!$A$1:$B$49,2,FALSE)</f>
        <v>Prision domiciliaria</v>
      </c>
      <c r="S232" s="15" t="s">
        <v>1210</v>
      </c>
      <c r="T232" s="72"/>
      <c r="U232" s="72"/>
      <c r="V232" s="7"/>
      <c r="W232" s="15" t="s">
        <v>75</v>
      </c>
      <c r="X232" s="7" t="s">
        <v>1158</v>
      </c>
      <c r="Y232" s="7"/>
      <c r="Z232" s="124"/>
      <c r="AA232" s="72"/>
      <c r="AB232" s="72"/>
      <c r="AC232" s="375"/>
    </row>
    <row r="233" spans="1:29" ht="63.75" hidden="1">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1186</v>
      </c>
      <c r="O233" s="67" t="str">
        <f t="shared" ca="1" si="12"/>
        <v>SI</v>
      </c>
      <c r="P233" s="67" t="str">
        <f t="shared" si="13"/>
        <v>DIANOSOL</v>
      </c>
      <c r="Q233" s="67" t="s">
        <v>151</v>
      </c>
      <c r="R233" s="7" t="str">
        <f>VLOOKUP($Q233,Resultados!$A$1:$B$49,2,FALSE)</f>
        <v>Prisión Preventiva</v>
      </c>
      <c r="S233" s="67" t="s">
        <v>1187</v>
      </c>
      <c r="T233" s="77"/>
      <c r="U233" s="77"/>
      <c r="V233" s="67"/>
      <c r="W233" s="67" t="s">
        <v>1123</v>
      </c>
      <c r="X233" s="67" t="s">
        <v>1188</v>
      </c>
      <c r="Y233" s="67"/>
      <c r="Z233" s="124"/>
      <c r="AA233" s="72"/>
      <c r="AB233" s="72"/>
      <c r="AC233" s="375"/>
    </row>
    <row r="234" spans="1:29" ht="51" hidden="1">
      <c r="A234" s="7">
        <v>232</v>
      </c>
      <c r="B234" s="69">
        <v>45085</v>
      </c>
      <c r="C234" s="74">
        <v>0.49722222222222223</v>
      </c>
      <c r="D234" s="67" t="s">
        <v>1088</v>
      </c>
      <c r="E234" s="68" t="s">
        <v>1089</v>
      </c>
      <c r="F234" s="67">
        <v>2</v>
      </c>
      <c r="G234" s="67" t="s">
        <v>1441</v>
      </c>
      <c r="H234" s="69">
        <v>45092</v>
      </c>
      <c r="I234" s="67" t="s">
        <v>73</v>
      </c>
      <c r="J234" s="69" t="s">
        <v>78</v>
      </c>
      <c r="K234" s="7">
        <f>IFERROR(VLOOKUP(J234,Jueces!$A$1:$B$11,2,FALSE),"")</f>
        <v>8</v>
      </c>
      <c r="L234" s="67" t="s">
        <v>1180</v>
      </c>
      <c r="M234" s="67" t="s">
        <v>1179</v>
      </c>
      <c r="N234" s="67" t="s">
        <v>1184</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1168</v>
      </c>
      <c r="X234" s="67" t="s">
        <v>1178</v>
      </c>
      <c r="Y234" s="67"/>
      <c r="Z234" s="124"/>
      <c r="AA234" s="72"/>
      <c r="AB234" s="72"/>
      <c r="AC234" s="375"/>
    </row>
    <row r="235" spans="1:29" ht="38.25" hidden="1">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1185</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1189</v>
      </c>
      <c r="X235" s="67" t="s">
        <v>1190</v>
      </c>
      <c r="Y235" s="67"/>
      <c r="Z235" s="124"/>
      <c r="AA235" s="72"/>
      <c r="AB235" s="72"/>
      <c r="AC235" s="375"/>
    </row>
    <row r="236" spans="1:29" ht="38.25" hidden="1">
      <c r="A236" s="7">
        <v>234</v>
      </c>
      <c r="B236" s="69">
        <v>45089</v>
      </c>
      <c r="C236" s="74">
        <v>0.41944444444444445</v>
      </c>
      <c r="D236" s="67" t="s">
        <v>1107</v>
      </c>
      <c r="E236" s="68" t="s">
        <v>1192</v>
      </c>
      <c r="F236" s="67">
        <v>2</v>
      </c>
      <c r="G236" s="67" t="s">
        <v>1442</v>
      </c>
      <c r="H236" s="69">
        <v>45092</v>
      </c>
      <c r="I236" s="67" t="s">
        <v>1086</v>
      </c>
      <c r="J236" s="69" t="s">
        <v>35</v>
      </c>
      <c r="K236" s="7">
        <f>IFERROR(VLOOKUP(J236,Jueces!$A$1:$B$11,2,FALSE),"")</f>
        <v>3</v>
      </c>
      <c r="L236" s="67" t="s">
        <v>806</v>
      </c>
      <c r="M236" s="67" t="s">
        <v>1108</v>
      </c>
      <c r="N236" s="67" t="s">
        <v>1166</v>
      </c>
      <c r="O236" s="67" t="str">
        <f t="shared" ca="1" si="12"/>
        <v>SI</v>
      </c>
      <c r="P236" s="67" t="str">
        <f t="shared" si="13"/>
        <v>DIANOSOL</v>
      </c>
      <c r="Q236" s="67" t="s">
        <v>904</v>
      </c>
      <c r="R236" s="7" t="str">
        <f>VLOOKUP($Q236,Resultados!$A$1:$B$49,2,FALSE)</f>
        <v>Juicio Abreviado</v>
      </c>
      <c r="S236" s="74" t="s">
        <v>1238</v>
      </c>
      <c r="T236" s="77" t="str">
        <f t="shared" si="17"/>
        <v>SI</v>
      </c>
      <c r="U236" s="77"/>
      <c r="V236" s="67"/>
      <c r="W236" s="67" t="s">
        <v>1009</v>
      </c>
      <c r="X236" s="67" t="s">
        <v>1167</v>
      </c>
      <c r="Y236" s="67"/>
      <c r="Z236" s="124"/>
      <c r="AA236" s="72"/>
      <c r="AB236" s="72"/>
      <c r="AC236" s="375"/>
    </row>
    <row r="237" spans="1:29" ht="38.25" hidden="1">
      <c r="A237" s="7">
        <v>235</v>
      </c>
      <c r="B237" s="69">
        <v>45089</v>
      </c>
      <c r="C237" s="74">
        <v>0.34861111111111115</v>
      </c>
      <c r="D237" s="67" t="s">
        <v>1101</v>
      </c>
      <c r="E237" s="68" t="s">
        <v>1102</v>
      </c>
      <c r="F237" s="67">
        <v>2</v>
      </c>
      <c r="G237" s="67" t="s">
        <v>43</v>
      </c>
      <c r="H237" s="69">
        <v>45093</v>
      </c>
      <c r="I237" s="67" t="s">
        <v>73</v>
      </c>
      <c r="J237" s="69" t="s">
        <v>78</v>
      </c>
      <c r="K237" s="7">
        <f>IFERROR(VLOOKUP(J237,Jueces!$A$1:$B$11,2,FALSE),"")</f>
        <v>8</v>
      </c>
      <c r="L237" s="67" t="s">
        <v>1070</v>
      </c>
      <c r="M237" s="67" t="s">
        <v>712</v>
      </c>
      <c r="N237" s="67" t="s">
        <v>1200</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1103</v>
      </c>
      <c r="Y237" s="67"/>
      <c r="Z237" s="124"/>
      <c r="AA237" s="285"/>
      <c r="AB237" s="336"/>
      <c r="AC237" s="375"/>
    </row>
    <row r="238" spans="1:29" ht="38.25" hidden="1">
      <c r="A238" s="7">
        <v>236</v>
      </c>
      <c r="B238" s="69">
        <v>45085</v>
      </c>
      <c r="C238" s="74">
        <v>0.35416666666666669</v>
      </c>
      <c r="D238" s="67" t="s">
        <v>1100</v>
      </c>
      <c r="E238" s="68" t="s">
        <v>1085</v>
      </c>
      <c r="F238" s="67">
        <v>3</v>
      </c>
      <c r="G238" s="67" t="s">
        <v>283</v>
      </c>
      <c r="H238" s="69">
        <v>45093</v>
      </c>
      <c r="I238" s="67" t="s">
        <v>1086</v>
      </c>
      <c r="J238" s="69" t="s">
        <v>31</v>
      </c>
      <c r="K238" s="7">
        <f>IFERROR(VLOOKUP(J238,Jueces!$A$1:$B$11,2,FALSE),"")</f>
        <v>2</v>
      </c>
      <c r="L238" s="67" t="s">
        <v>181</v>
      </c>
      <c r="M238" s="67" t="s">
        <v>712</v>
      </c>
      <c r="N238" s="67" t="s">
        <v>1198</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1234</v>
      </c>
      <c r="X238" s="67" t="s">
        <v>1199</v>
      </c>
      <c r="Y238" s="67"/>
      <c r="Z238" s="124"/>
      <c r="AA238" s="285"/>
      <c r="AB238" s="336"/>
      <c r="AC238" s="375"/>
    </row>
    <row r="239" spans="1:29" ht="76.5" hidden="1">
      <c r="A239" s="7">
        <v>237</v>
      </c>
      <c r="B239" s="69">
        <v>45089</v>
      </c>
      <c r="C239" s="74">
        <v>0.39305555555555555</v>
      </c>
      <c r="D239" s="67" t="s">
        <v>1104</v>
      </c>
      <c r="E239" s="68" t="s">
        <v>1105</v>
      </c>
      <c r="F239" s="67">
        <v>2</v>
      </c>
      <c r="G239" s="67" t="s">
        <v>32</v>
      </c>
      <c r="H239" s="69">
        <v>45093</v>
      </c>
      <c r="I239" s="67" t="s">
        <v>1086</v>
      </c>
      <c r="J239" s="69" t="s">
        <v>78</v>
      </c>
      <c r="K239" s="7">
        <f>IFERROR(VLOOKUP(J239,Jueces!$A$1:$B$11,2,FALSE),"")</f>
        <v>8</v>
      </c>
      <c r="L239" s="67" t="s">
        <v>326</v>
      </c>
      <c r="M239" s="67" t="s">
        <v>1106</v>
      </c>
      <c r="N239" s="67" t="s">
        <v>1203</v>
      </c>
      <c r="O239" s="67" t="str">
        <f t="shared" ca="1" si="12"/>
        <v>SI</v>
      </c>
      <c r="P239" s="67" t="str">
        <f t="shared" si="13"/>
        <v>DIANOSOL</v>
      </c>
      <c r="Q239" s="67" t="s">
        <v>151</v>
      </c>
      <c r="R239" s="7" t="str">
        <f>VLOOKUP($Q239,Resultados!$A$1:$B$49,2,FALSE)</f>
        <v>Prisión Preventiva</v>
      </c>
      <c r="S239" s="74" t="s">
        <v>1240</v>
      </c>
      <c r="T239" s="77" t="str">
        <f t="shared" si="17"/>
        <v>NO</v>
      </c>
      <c r="U239" s="77"/>
      <c r="V239" s="67"/>
      <c r="W239" s="74" t="s">
        <v>1241</v>
      </c>
      <c r="X239" s="67" t="s">
        <v>1204</v>
      </c>
      <c r="Y239" s="67"/>
      <c r="Z239" s="124"/>
      <c r="AA239" s="285"/>
      <c r="AB239" s="336"/>
      <c r="AC239" s="375"/>
    </row>
    <row r="240" spans="1:29" ht="38.25" hidden="1">
      <c r="A240" s="7">
        <v>238</v>
      </c>
      <c r="B240" s="69">
        <v>45084</v>
      </c>
      <c r="C240" s="74" t="s">
        <v>73</v>
      </c>
      <c r="D240" s="67" t="s">
        <v>1074</v>
      </c>
      <c r="E240" s="68" t="s">
        <v>1062</v>
      </c>
      <c r="F240" s="67">
        <v>4</v>
      </c>
      <c r="G240" s="67" t="s">
        <v>1441</v>
      </c>
      <c r="H240" s="69">
        <v>45093</v>
      </c>
      <c r="I240" s="67" t="s">
        <v>77</v>
      </c>
      <c r="J240" s="69" t="s">
        <v>31</v>
      </c>
      <c r="K240" s="7">
        <f>IFERROR(VLOOKUP(J240,Jueces!$A$1:$B$11,2,FALSE),"")</f>
        <v>2</v>
      </c>
      <c r="L240" s="67" t="s">
        <v>814</v>
      </c>
      <c r="M240" s="67" t="s">
        <v>1066</v>
      </c>
      <c r="N240" s="67" t="s">
        <v>1205</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1208</v>
      </c>
      <c r="Y240" s="67"/>
      <c r="Z240" s="124"/>
      <c r="AA240" s="285"/>
      <c r="AB240" s="336"/>
      <c r="AC240" s="375"/>
    </row>
    <row r="241" spans="1:29" ht="38.25" hidden="1">
      <c r="A241" s="7">
        <v>239</v>
      </c>
      <c r="B241" s="69">
        <v>45090</v>
      </c>
      <c r="C241" s="74">
        <v>0.42708333333333331</v>
      </c>
      <c r="D241" s="67" t="s">
        <v>1145</v>
      </c>
      <c r="E241" s="68" t="s">
        <v>1142</v>
      </c>
      <c r="F241" s="67">
        <v>2</v>
      </c>
      <c r="G241" s="67" t="s">
        <v>1441</v>
      </c>
      <c r="H241" s="69">
        <v>45093</v>
      </c>
      <c r="I241" s="67" t="s">
        <v>1150</v>
      </c>
      <c r="J241" s="69" t="s">
        <v>31</v>
      </c>
      <c r="K241" s="7">
        <f>IFERROR(VLOOKUP(J241,Jueces!$A$1:$B$11,2,FALSE),"")</f>
        <v>2</v>
      </c>
      <c r="L241" s="67" t="s">
        <v>812</v>
      </c>
      <c r="M241" s="67" t="s">
        <v>712</v>
      </c>
      <c r="N241" s="67" t="s">
        <v>1206</v>
      </c>
      <c r="O241" s="83" t="str">
        <f t="shared" ca="1" si="12"/>
        <v>SI</v>
      </c>
      <c r="P241" s="83" t="str">
        <f t="shared" si="13"/>
        <v>DIANOSOL</v>
      </c>
      <c r="Q241" s="67" t="s">
        <v>904</v>
      </c>
      <c r="R241" s="7" t="str">
        <f>VLOOKUP($Q241,Resultados!$A$1:$B$49,2,FALSE)</f>
        <v>Juicio Abreviado</v>
      </c>
      <c r="S241" s="74" t="s">
        <v>1239</v>
      </c>
      <c r="T241" s="86" t="str">
        <f t="shared" si="17"/>
        <v>NO</v>
      </c>
      <c r="U241" s="86"/>
      <c r="V241" s="57"/>
      <c r="W241" s="67" t="s">
        <v>1207</v>
      </c>
      <c r="X241" s="67"/>
      <c r="Y241" s="67"/>
      <c r="Z241" s="124"/>
      <c r="AA241" s="285"/>
      <c r="AB241" s="336"/>
      <c r="AC241" s="375"/>
    </row>
    <row r="242" spans="1:29" ht="63.75" hidden="1">
      <c r="A242" s="7">
        <v>246</v>
      </c>
      <c r="B242" s="69">
        <v>45090</v>
      </c>
      <c r="C242" s="67" t="s">
        <v>73</v>
      </c>
      <c r="D242" s="67" t="s">
        <v>1147</v>
      </c>
      <c r="E242" s="68" t="s">
        <v>1216</v>
      </c>
      <c r="F242" s="67">
        <v>8</v>
      </c>
      <c r="G242" s="67" t="s">
        <v>283</v>
      </c>
      <c r="H242" s="69">
        <v>45098</v>
      </c>
      <c r="I242" s="67" t="s">
        <v>73</v>
      </c>
      <c r="J242" s="69" t="s">
        <v>31</v>
      </c>
      <c r="K242" s="7">
        <f>IFERROR(VLOOKUP(J242,Jueces!$A$1:$B$11,2,FALSE),"")</f>
        <v>2</v>
      </c>
      <c r="L242" s="67" t="s">
        <v>1306</v>
      </c>
      <c r="M242" s="67" t="s">
        <v>767</v>
      </c>
      <c r="N242" s="67" t="s">
        <v>1232</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4" t="s">
        <v>1041</v>
      </c>
      <c r="AA242" s="285"/>
      <c r="AB242" s="336"/>
      <c r="AC242" s="375"/>
    </row>
    <row r="243" spans="1:29" ht="38.25" hidden="1">
      <c r="A243" s="7">
        <v>250</v>
      </c>
      <c r="B243" s="69">
        <v>45089</v>
      </c>
      <c r="C243" s="74">
        <v>0.4777777777777778</v>
      </c>
      <c r="D243" s="67" t="s">
        <v>1110</v>
      </c>
      <c r="E243" s="68" t="s">
        <v>1218</v>
      </c>
      <c r="F243" s="67">
        <v>2</v>
      </c>
      <c r="G243" s="67" t="s">
        <v>1442</v>
      </c>
      <c r="H243" s="69">
        <v>45098</v>
      </c>
      <c r="I243" s="67" t="s">
        <v>73</v>
      </c>
      <c r="J243" s="69" t="s">
        <v>78</v>
      </c>
      <c r="K243" s="7">
        <f>IFERROR(VLOOKUP(J243,Jueces!$A$1:$B$11,2,FALSE),"")</f>
        <v>8</v>
      </c>
      <c r="L243" s="67" t="s">
        <v>1180</v>
      </c>
      <c r="M243" s="67" t="s">
        <v>1179</v>
      </c>
      <c r="N243" s="67" t="s">
        <v>1214</v>
      </c>
      <c r="O243" s="67" t="str">
        <f t="shared" ca="1" si="12"/>
        <v>SI</v>
      </c>
      <c r="P243" s="67" t="str">
        <f t="shared" si="13"/>
        <v>DIANOSOL</v>
      </c>
      <c r="Q243" s="67" t="s">
        <v>904</v>
      </c>
      <c r="R243" s="7" t="str">
        <f>VLOOKUP($Q243,Resultados!$A$1:$B$49,2,FALSE)</f>
        <v>Juicio Abreviado</v>
      </c>
      <c r="S243" s="74" t="s">
        <v>1231</v>
      </c>
      <c r="T243" s="77" t="str">
        <f t="shared" si="17"/>
        <v>SI</v>
      </c>
      <c r="U243" s="77"/>
      <c r="V243" s="67"/>
      <c r="W243" s="74" t="s">
        <v>1168</v>
      </c>
      <c r="X243" s="67" t="s">
        <v>1215</v>
      </c>
      <c r="Y243" s="67"/>
      <c r="Z243" s="124" t="s">
        <v>1042</v>
      </c>
      <c r="AA243" s="285"/>
      <c r="AB243" s="336"/>
      <c r="AC243" s="375"/>
    </row>
    <row r="244" spans="1:29" ht="63.75" hidden="1">
      <c r="A244" s="7">
        <v>241</v>
      </c>
      <c r="B244" s="69">
        <v>45090</v>
      </c>
      <c r="C244" s="74" t="s">
        <v>73</v>
      </c>
      <c r="D244" s="67" t="s">
        <v>1113</v>
      </c>
      <c r="E244" s="68" t="s">
        <v>1217</v>
      </c>
      <c r="F244" s="67">
        <v>2</v>
      </c>
      <c r="G244" s="67" t="s">
        <v>32</v>
      </c>
      <c r="H244" s="69">
        <v>45098</v>
      </c>
      <c r="I244" s="74" t="s">
        <v>1086</v>
      </c>
      <c r="J244" s="69" t="s">
        <v>78</v>
      </c>
      <c r="K244" s="7">
        <f>IFERROR(VLOOKUP(J244,Jueces!$A$1:$B$11,2,FALSE),"")</f>
        <v>8</v>
      </c>
      <c r="L244" s="67" t="s">
        <v>809</v>
      </c>
      <c r="M244" s="67" t="s">
        <v>171</v>
      </c>
      <c r="N244" s="67" t="s">
        <v>1247</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4" t="s">
        <v>748</v>
      </c>
      <c r="AA244" s="285"/>
      <c r="AB244" s="336"/>
      <c r="AC244" s="375"/>
    </row>
    <row r="245" spans="1:29" ht="51" hidden="1">
      <c r="A245" s="7">
        <v>247</v>
      </c>
      <c r="B245" s="69">
        <v>45090</v>
      </c>
      <c r="C245" s="67" t="s">
        <v>73</v>
      </c>
      <c r="D245" s="67" t="s">
        <v>1201</v>
      </c>
      <c r="E245" s="68" t="s">
        <v>1219</v>
      </c>
      <c r="F245" s="67">
        <v>2</v>
      </c>
      <c r="G245" s="67" t="s">
        <v>1441</v>
      </c>
      <c r="H245" s="69">
        <v>45098</v>
      </c>
      <c r="I245" s="74" t="s">
        <v>1210</v>
      </c>
      <c r="J245" s="69" t="s">
        <v>31</v>
      </c>
      <c r="K245" s="7">
        <f>IFERROR(VLOOKUP(J245,Jueces!$A$1:$B$11,2,FALSE),"")</f>
        <v>2</v>
      </c>
      <c r="L245" s="67" t="s">
        <v>811</v>
      </c>
      <c r="M245" s="67" t="s">
        <v>712</v>
      </c>
      <c r="N245" s="67" t="s">
        <v>1160</v>
      </c>
      <c r="O245" s="83" t="str">
        <f t="shared" ca="1" si="12"/>
        <v>SI</v>
      </c>
      <c r="P245" s="83" t="str">
        <f t="shared" si="13"/>
        <v>DIANOSOL</v>
      </c>
      <c r="Q245" s="67" t="s">
        <v>904</v>
      </c>
      <c r="R245" s="7" t="str">
        <f>VLOOKUP($Q245,Resultados!$A$1:$B$49,2,FALSE)</f>
        <v>Juicio Abreviado</v>
      </c>
      <c r="S245" s="67" t="s">
        <v>1229</v>
      </c>
      <c r="T245" s="86" t="str">
        <f t="shared" si="17"/>
        <v>NO</v>
      </c>
      <c r="U245" s="86"/>
      <c r="V245" s="83"/>
      <c r="W245" s="67" t="s">
        <v>1230</v>
      </c>
      <c r="X245" s="67" t="s">
        <v>1233</v>
      </c>
      <c r="Y245" s="67"/>
      <c r="Z245" s="124" t="s">
        <v>743</v>
      </c>
      <c r="AA245" s="285"/>
      <c r="AB245" s="336"/>
      <c r="AC245" s="375"/>
    </row>
    <row r="246" spans="1:29" ht="76.5" hidden="1">
      <c r="A246" s="7">
        <v>242</v>
      </c>
      <c r="B246" s="69">
        <v>45090</v>
      </c>
      <c r="C246" s="74" t="s">
        <v>73</v>
      </c>
      <c r="D246" s="67" t="s">
        <v>1114</v>
      </c>
      <c r="E246" s="68" t="s">
        <v>1202</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1252</v>
      </c>
      <c r="X246" s="67" t="s">
        <v>1253</v>
      </c>
      <c r="Y246" s="67"/>
      <c r="Z246" s="124" t="s">
        <v>1041</v>
      </c>
      <c r="AA246" s="285" t="s">
        <v>1191</v>
      </c>
      <c r="AB246" s="336" t="s">
        <v>1173</v>
      </c>
      <c r="AC246" s="375"/>
    </row>
    <row r="247" spans="1:29" ht="38.25" hidden="1">
      <c r="A247" s="7">
        <v>248</v>
      </c>
      <c r="B247" s="69">
        <v>45090</v>
      </c>
      <c r="C247" s="67" t="s">
        <v>73</v>
      </c>
      <c r="D247" s="67" t="s">
        <v>1122</v>
      </c>
      <c r="E247" s="68" t="s">
        <v>1117</v>
      </c>
      <c r="F247" s="67">
        <v>2</v>
      </c>
      <c r="G247" s="67" t="s">
        <v>43</v>
      </c>
      <c r="H247" s="69">
        <v>45099</v>
      </c>
      <c r="I247" s="67" t="s">
        <v>73</v>
      </c>
      <c r="J247" s="69" t="s">
        <v>78</v>
      </c>
      <c r="K247" s="7">
        <f>IFERROR(VLOOKUP(J247,Jueces!$A$1:$B$11,2,FALSE),"")</f>
        <v>8</v>
      </c>
      <c r="L247" s="67" t="s">
        <v>789</v>
      </c>
      <c r="M247" s="67" t="s">
        <v>1290</v>
      </c>
      <c r="N247" s="67" t="s">
        <v>1278</v>
      </c>
      <c r="O247" s="67" t="str">
        <f t="shared" ca="1" si="12"/>
        <v>SI</v>
      </c>
      <c r="P247" s="67" t="str">
        <f t="shared" si="13"/>
        <v>DIANOSOL</v>
      </c>
      <c r="Q247" s="67" t="s">
        <v>904</v>
      </c>
      <c r="R247" s="7" t="str">
        <f>VLOOKUP($Q247,Resultados!$A$1:$B$49,2,FALSE)</f>
        <v>Juicio Abreviado</v>
      </c>
      <c r="S247" s="67" t="s">
        <v>1238</v>
      </c>
      <c r="T247" s="77" t="str">
        <f t="shared" si="17"/>
        <v>NO</v>
      </c>
      <c r="U247" s="77"/>
      <c r="V247" s="67"/>
      <c r="W247" s="67" t="s">
        <v>1279</v>
      </c>
      <c r="X247" s="67" t="s">
        <v>1280</v>
      </c>
      <c r="Y247" s="67"/>
      <c r="Z247" s="285" t="s">
        <v>1042</v>
      </c>
      <c r="AA247" s="285" t="s">
        <v>1172</v>
      </c>
      <c r="AB247" s="336" t="s">
        <v>1175</v>
      </c>
      <c r="AC247" s="375"/>
    </row>
    <row r="248" spans="1:29" ht="38.25" hidden="1">
      <c r="A248" s="7">
        <v>243</v>
      </c>
      <c r="B248" s="69">
        <v>45090</v>
      </c>
      <c r="C248" s="67" t="s">
        <v>73</v>
      </c>
      <c r="D248" s="67" t="s">
        <v>1120</v>
      </c>
      <c r="E248" s="68" t="s">
        <v>1115</v>
      </c>
      <c r="F248" s="67">
        <v>2</v>
      </c>
      <c r="G248" s="67" t="s">
        <v>1441</v>
      </c>
      <c r="H248" s="69">
        <v>45099</v>
      </c>
      <c r="I248" s="74" t="s">
        <v>1086</v>
      </c>
      <c r="J248" s="69" t="s">
        <v>31</v>
      </c>
      <c r="K248" s="7">
        <f>IFERROR(VLOOKUP(J248,Jueces!$A$1:$B$11,2,FALSE),"")</f>
        <v>2</v>
      </c>
      <c r="L248" s="67" t="s">
        <v>807</v>
      </c>
      <c r="M248" s="67" t="s">
        <v>712</v>
      </c>
      <c r="N248" s="67" t="s">
        <v>1275</v>
      </c>
      <c r="O248" s="67" t="str">
        <f t="shared" ca="1" si="12"/>
        <v>SI</v>
      </c>
      <c r="P248" s="67" t="str">
        <f t="shared" si="13"/>
        <v>DIANOSOL</v>
      </c>
      <c r="Q248" s="67" t="s">
        <v>151</v>
      </c>
      <c r="R248" s="7" t="str">
        <f>VLOOKUP($Q248,Resultados!$A$1:$B$49,2,FALSE)</f>
        <v>Prisión Preventiva</v>
      </c>
      <c r="S248" s="67" t="s">
        <v>1133</v>
      </c>
      <c r="T248" s="77" t="str">
        <f t="shared" si="17"/>
        <v>NO</v>
      </c>
      <c r="U248" s="77"/>
      <c r="V248" s="67"/>
      <c r="W248" s="67" t="s">
        <v>1276</v>
      </c>
      <c r="X248" s="67" t="s">
        <v>1277</v>
      </c>
      <c r="Y248" s="67"/>
      <c r="Z248" s="285" t="s">
        <v>748</v>
      </c>
      <c r="AA248" s="285" t="s">
        <v>1170</v>
      </c>
      <c r="AB248" s="336" t="s">
        <v>1173</v>
      </c>
      <c r="AC248" s="375"/>
    </row>
    <row r="249" spans="1:29" ht="51" hidden="1">
      <c r="A249" s="67">
        <v>244</v>
      </c>
      <c r="B249" s="69">
        <v>45090</v>
      </c>
      <c r="C249" s="67" t="s">
        <v>73</v>
      </c>
      <c r="D249" s="67" t="s">
        <v>1121</v>
      </c>
      <c r="E249" s="68" t="s">
        <v>1141</v>
      </c>
      <c r="F249" s="67">
        <v>2</v>
      </c>
      <c r="G249" s="67" t="s">
        <v>43</v>
      </c>
      <c r="H249" s="69">
        <v>45100</v>
      </c>
      <c r="I249" s="67" t="s">
        <v>73</v>
      </c>
      <c r="J249" s="69" t="s">
        <v>31</v>
      </c>
      <c r="K249" s="7">
        <f>IFERROR(VLOOKUP(J249,Jueces!$A$1:$B$11,2,FALSE),"")</f>
        <v>2</v>
      </c>
      <c r="L249" s="67" t="s">
        <v>569</v>
      </c>
      <c r="M249" s="67" t="s">
        <v>1294</v>
      </c>
      <c r="N249" s="67" t="s">
        <v>1295</v>
      </c>
      <c r="O249" s="67" t="str">
        <f t="shared" ca="1" si="12"/>
        <v>SI</v>
      </c>
      <c r="P249" s="67" t="str">
        <f t="shared" si="13"/>
        <v>DIANOSOL</v>
      </c>
      <c r="Q249" s="67" t="s">
        <v>905</v>
      </c>
      <c r="R249" s="7" t="str">
        <f>VLOOKUP($Q249,Resultados!$A$1:$B$49,2,FALSE)</f>
        <v>Juicio Abreviado</v>
      </c>
      <c r="S249" s="74" t="s">
        <v>1296</v>
      </c>
      <c r="T249" s="77" t="str">
        <f t="shared" si="17"/>
        <v>NO</v>
      </c>
      <c r="U249" s="77"/>
      <c r="V249" s="67"/>
      <c r="W249" s="67" t="s">
        <v>1297</v>
      </c>
      <c r="X249" s="67"/>
      <c r="Y249" s="67"/>
      <c r="Z249" s="285" t="s">
        <v>743</v>
      </c>
      <c r="AA249" s="72"/>
      <c r="AB249" s="285" t="s">
        <v>1176</v>
      </c>
      <c r="AC249" s="375"/>
    </row>
    <row r="250" spans="1:29" ht="25.5" hidden="1">
      <c r="A250" s="67">
        <v>245</v>
      </c>
      <c r="B250" s="69">
        <v>45090</v>
      </c>
      <c r="C250" s="67" t="s">
        <v>73</v>
      </c>
      <c r="D250" s="67" t="s">
        <v>1119</v>
      </c>
      <c r="E250" s="68" t="s">
        <v>1116</v>
      </c>
      <c r="F250" s="67">
        <v>2</v>
      </c>
      <c r="G250" s="67" t="s">
        <v>283</v>
      </c>
      <c r="H250" s="69">
        <v>45100</v>
      </c>
      <c r="I250" s="67" t="s">
        <v>73</v>
      </c>
      <c r="J250" s="69" t="s">
        <v>78</v>
      </c>
      <c r="K250" s="7">
        <f>IFERROR(VLOOKUP(J250,Jueces!$A$1:$B$11,2,FALSE),"")</f>
        <v>8</v>
      </c>
      <c r="L250" s="67" t="s">
        <v>812</v>
      </c>
      <c r="M250" s="67" t="s">
        <v>712</v>
      </c>
      <c r="N250" s="67" t="s">
        <v>1291</v>
      </c>
      <c r="O250" s="67" t="str">
        <f t="shared" ca="1" si="12"/>
        <v>SI</v>
      </c>
      <c r="P250" s="67" t="str">
        <f t="shared" si="13"/>
        <v>DIANOSOL</v>
      </c>
      <c r="Q250" s="67" t="s">
        <v>904</v>
      </c>
      <c r="R250" s="7" t="str">
        <f>VLOOKUP($Q250,Resultados!$A$1:$B$49,2,FALSE)</f>
        <v>Juicio Abreviado</v>
      </c>
      <c r="S250" s="67" t="s">
        <v>1292</v>
      </c>
      <c r="T250" s="77" t="str">
        <f t="shared" si="17"/>
        <v>NO</v>
      </c>
      <c r="U250" s="77"/>
      <c r="V250" s="67"/>
      <c r="W250" s="67" t="s">
        <v>1008</v>
      </c>
      <c r="X250" s="67" t="s">
        <v>1293</v>
      </c>
      <c r="Y250" s="67"/>
      <c r="Z250" s="285" t="s">
        <v>1041</v>
      </c>
      <c r="AA250" s="285" t="s">
        <v>1171</v>
      </c>
      <c r="AB250" s="285" t="s">
        <v>1174</v>
      </c>
      <c r="AC250" s="375"/>
    </row>
    <row r="251" spans="1:29" ht="51" hidden="1">
      <c r="A251" s="67">
        <v>251</v>
      </c>
      <c r="B251" s="69">
        <v>45090</v>
      </c>
      <c r="C251" s="74">
        <v>0.42708333333333331</v>
      </c>
      <c r="D251" s="67" t="s">
        <v>1144</v>
      </c>
      <c r="E251" s="68" t="s">
        <v>1143</v>
      </c>
      <c r="F251" s="67">
        <v>2</v>
      </c>
      <c r="G251" s="67" t="s">
        <v>32</v>
      </c>
      <c r="H251" s="69">
        <v>45100</v>
      </c>
      <c r="I251" s="67" t="s">
        <v>1086</v>
      </c>
      <c r="J251" s="69" t="s">
        <v>78</v>
      </c>
      <c r="K251" s="7">
        <f>IFERROR(VLOOKUP(J251,Jueces!$A$1:$B$11,2,FALSE),"")</f>
        <v>8</v>
      </c>
      <c r="L251" s="67" t="s">
        <v>807</v>
      </c>
      <c r="M251" s="67" t="s">
        <v>712</v>
      </c>
      <c r="N251" s="67" t="s">
        <v>1300</v>
      </c>
      <c r="O251" s="67" t="str">
        <f t="shared" ca="1" si="12"/>
        <v>SI</v>
      </c>
      <c r="P251" s="67" t="str">
        <f t="shared" si="13"/>
        <v>DIANOSOL</v>
      </c>
      <c r="Q251" s="67" t="s">
        <v>904</v>
      </c>
      <c r="R251" s="7" t="str">
        <f>VLOOKUP($Q251,Resultados!$A$1:$B$49,2,FALSE)</f>
        <v>Juicio Abreviado</v>
      </c>
      <c r="S251" s="67" t="s">
        <v>1299</v>
      </c>
      <c r="T251" s="77" t="str">
        <f t="shared" si="17"/>
        <v>NO</v>
      </c>
      <c r="U251" s="77"/>
      <c r="V251" s="67"/>
      <c r="W251" s="67" t="s">
        <v>1252</v>
      </c>
      <c r="X251" s="67" t="s">
        <v>1301</v>
      </c>
      <c r="Y251" s="67"/>
      <c r="Z251" s="285" t="s">
        <v>1042</v>
      </c>
      <c r="AA251" s="285" t="s">
        <v>1171</v>
      </c>
      <c r="AB251" s="285" t="s">
        <v>1173</v>
      </c>
      <c r="AC251" s="375"/>
    </row>
    <row r="252" spans="1:29" ht="25.5" hidden="1">
      <c r="A252" s="67">
        <v>253</v>
      </c>
      <c r="B252" s="69">
        <v>45091</v>
      </c>
      <c r="C252" s="74">
        <v>0.35972222222222222</v>
      </c>
      <c r="D252" s="67" t="s">
        <v>1154</v>
      </c>
      <c r="E252" s="68" t="s">
        <v>1153</v>
      </c>
      <c r="F252" s="67">
        <v>2</v>
      </c>
      <c r="G252" s="67" t="s">
        <v>1442</v>
      </c>
      <c r="H252" s="69">
        <v>45100</v>
      </c>
      <c r="I252" s="67" t="s">
        <v>1086</v>
      </c>
      <c r="J252" s="69" t="s">
        <v>31</v>
      </c>
      <c r="K252" s="7">
        <f>IFERROR(VLOOKUP(J252,Jueces!$A$1:$B$11,2,FALSE),"")</f>
        <v>2</v>
      </c>
      <c r="L252" s="67" t="s">
        <v>809</v>
      </c>
      <c r="M252" s="67" t="s">
        <v>692</v>
      </c>
      <c r="N252" s="67" t="s">
        <v>1302</v>
      </c>
      <c r="O252" s="67" t="str">
        <f t="shared" ca="1" si="12"/>
        <v>SI</v>
      </c>
      <c r="P252" s="67" t="str">
        <f t="shared" si="13"/>
        <v>DIANOSOL</v>
      </c>
      <c r="Q252" s="67" t="s">
        <v>904</v>
      </c>
      <c r="R252" s="7" t="str">
        <f>VLOOKUP($Q252,Resultados!$A$1:$B$49,2,FALSE)</f>
        <v>Juicio Abreviado</v>
      </c>
      <c r="S252" s="67" t="s">
        <v>1303</v>
      </c>
      <c r="T252" s="77" t="str">
        <f t="shared" si="17"/>
        <v>SI</v>
      </c>
      <c r="U252" s="77"/>
      <c r="V252" s="67"/>
      <c r="W252" s="74">
        <v>0.40902777777777777</v>
      </c>
      <c r="X252" s="67"/>
      <c r="Y252" s="67"/>
      <c r="Z252" s="285" t="s">
        <v>748</v>
      </c>
      <c r="AA252" s="285" t="s">
        <v>1169</v>
      </c>
      <c r="AB252" s="285" t="s">
        <v>1175</v>
      </c>
      <c r="AC252" s="375"/>
    </row>
    <row r="253" spans="1:29" ht="38.25" hidden="1">
      <c r="A253" s="67">
        <v>277</v>
      </c>
      <c r="B253" s="69">
        <v>45099</v>
      </c>
      <c r="C253" s="74">
        <v>0.49583333333333335</v>
      </c>
      <c r="D253" s="67" t="s">
        <v>1282</v>
      </c>
      <c r="E253" s="68" t="s">
        <v>3060</v>
      </c>
      <c r="F253" s="67">
        <v>2</v>
      </c>
      <c r="G253" s="67" t="s">
        <v>1441</v>
      </c>
      <c r="H253" s="69">
        <v>45100</v>
      </c>
      <c r="I253" s="67" t="s">
        <v>1210</v>
      </c>
      <c r="J253" s="69" t="s">
        <v>31</v>
      </c>
      <c r="K253" s="7">
        <f>IFERROR(VLOOKUP(J253,Jueces!$A$1:$B$11,2,FALSE),"")</f>
        <v>2</v>
      </c>
      <c r="L253" s="67" t="s">
        <v>806</v>
      </c>
      <c r="M253" s="67" t="s">
        <v>1307</v>
      </c>
      <c r="N253" s="67" t="s">
        <v>1309</v>
      </c>
      <c r="O253" s="67" t="str">
        <f t="shared" ca="1" si="12"/>
        <v>SI</v>
      </c>
      <c r="P253" s="67" t="str">
        <f t="shared" si="13"/>
        <v>DIANOSOL</v>
      </c>
      <c r="Q253" s="67" t="s">
        <v>909</v>
      </c>
      <c r="R253" s="7" t="str">
        <f>VLOOKUP($Q253,Resultados!$A$1:$B$49,2,FALSE)</f>
        <v>Suspensión de juicio a prueba</v>
      </c>
      <c r="S253" s="67" t="s">
        <v>1310</v>
      </c>
      <c r="T253" s="77" t="str">
        <f t="shared" si="17"/>
        <v>NO</v>
      </c>
      <c r="U253" s="77"/>
      <c r="V253" s="67"/>
      <c r="W253" s="67" t="s">
        <v>1240</v>
      </c>
      <c r="X253" s="67" t="s">
        <v>1311</v>
      </c>
      <c r="Y253" s="67"/>
      <c r="Z253" s="285" t="s">
        <v>743</v>
      </c>
      <c r="AA253" s="285" t="s">
        <v>743</v>
      </c>
      <c r="AB253" s="285" t="s">
        <v>1177</v>
      </c>
      <c r="AC253" s="375"/>
    </row>
    <row r="254" spans="1:29" ht="51" hidden="1">
      <c r="A254" s="67">
        <v>240</v>
      </c>
      <c r="B254" s="69">
        <v>45089</v>
      </c>
      <c r="C254" s="74">
        <v>0.45833333333333331</v>
      </c>
      <c r="D254" s="67" t="s">
        <v>1109</v>
      </c>
      <c r="E254" s="68" t="s">
        <v>1353</v>
      </c>
      <c r="F254" s="67">
        <v>2</v>
      </c>
      <c r="G254" s="67" t="s">
        <v>283</v>
      </c>
      <c r="H254" s="69">
        <v>45103</v>
      </c>
      <c r="I254" s="74" t="s">
        <v>73</v>
      </c>
      <c r="J254" s="69" t="s">
        <v>33</v>
      </c>
      <c r="K254" s="7">
        <f>IFERROR(VLOOKUP(J254,Jueces!$A$1:$B$11,2,FALSE),"")</f>
        <v>4</v>
      </c>
      <c r="L254" s="67" t="s">
        <v>811</v>
      </c>
      <c r="M254" s="67" t="s">
        <v>711</v>
      </c>
      <c r="N254" s="67" t="s">
        <v>1361</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1338</v>
      </c>
      <c r="Y254" s="67"/>
      <c r="Z254" s="285" t="s">
        <v>770</v>
      </c>
      <c r="AA254" s="285" t="s">
        <v>743</v>
      </c>
      <c r="AB254" s="285" t="s">
        <v>1176</v>
      </c>
      <c r="AC254" s="375"/>
    </row>
    <row r="255" spans="1:29" ht="76.5" hidden="1">
      <c r="A255" s="67">
        <v>252</v>
      </c>
      <c r="B255" s="69">
        <v>45090</v>
      </c>
      <c r="C255" s="74">
        <v>0.47916666666666669</v>
      </c>
      <c r="D255" s="67" t="s">
        <v>1151</v>
      </c>
      <c r="E255" s="68" t="s">
        <v>1152</v>
      </c>
      <c r="F255" s="67">
        <v>2</v>
      </c>
      <c r="G255" s="67" t="s">
        <v>29</v>
      </c>
      <c r="H255" s="69">
        <v>45103</v>
      </c>
      <c r="I255" s="67" t="s">
        <v>73</v>
      </c>
      <c r="J255" s="69" t="s">
        <v>31</v>
      </c>
      <c r="K255" s="7">
        <f>IFERROR(VLOOKUP(J255,Jueces!$A$1:$B$11,2,FALSE),"")</f>
        <v>2</v>
      </c>
      <c r="L255" s="67" t="s">
        <v>806</v>
      </c>
      <c r="M255" s="67" t="s">
        <v>1179</v>
      </c>
      <c r="N255" s="67" t="s">
        <v>1363</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1362</v>
      </c>
      <c r="Y255" s="67"/>
      <c r="Z255" s="285" t="s">
        <v>1041</v>
      </c>
      <c r="AA255" s="285" t="s">
        <v>1171</v>
      </c>
      <c r="AB255" s="285" t="s">
        <v>1174</v>
      </c>
      <c r="AC255" s="375"/>
    </row>
    <row r="256" spans="1:29" ht="51" hidden="1">
      <c r="A256" s="67">
        <v>264</v>
      </c>
      <c r="B256" s="69">
        <v>45098</v>
      </c>
      <c r="C256" s="74">
        <v>0.38263888888888892</v>
      </c>
      <c r="D256" s="67" t="s">
        <v>1212</v>
      </c>
      <c r="E256" s="68" t="s">
        <v>1354</v>
      </c>
      <c r="F256" s="67">
        <v>2</v>
      </c>
      <c r="G256" s="67" t="s">
        <v>32</v>
      </c>
      <c r="H256" s="69">
        <v>45103</v>
      </c>
      <c r="I256" s="67" t="s">
        <v>73</v>
      </c>
      <c r="J256" s="69" t="s">
        <v>1221</v>
      </c>
      <c r="K256" s="7">
        <f>IFERROR(VLOOKUP(J256,Jueces!$A$1:$B$11,2,FALSE),"")</f>
        <v>7</v>
      </c>
      <c r="L256" s="67" t="s">
        <v>812</v>
      </c>
      <c r="M256" s="67" t="s">
        <v>1334</v>
      </c>
      <c r="N256" s="67" t="s">
        <v>1332</v>
      </c>
      <c r="O256" s="67" t="str">
        <f t="shared" ca="1" si="12"/>
        <v>SI</v>
      </c>
      <c r="P256" s="67" t="str">
        <f t="shared" si="13"/>
        <v>DIANOSOL</v>
      </c>
      <c r="Q256" s="67" t="s">
        <v>904</v>
      </c>
      <c r="R256" s="7" t="str">
        <f>VLOOKUP($Q256,Resultados!$A$1:$B$49,2,FALSE)</f>
        <v>Juicio Abreviado</v>
      </c>
      <c r="S256" s="67" t="s">
        <v>1333</v>
      </c>
      <c r="T256" s="77" t="str">
        <f t="shared" si="17"/>
        <v>NO</v>
      </c>
      <c r="U256" s="77"/>
      <c r="V256" s="67"/>
      <c r="W256" s="74">
        <v>0.36319444444444443</v>
      </c>
      <c r="X256" s="67" t="s">
        <v>1364</v>
      </c>
      <c r="Y256" s="67"/>
      <c r="Z256" s="285" t="s">
        <v>1042</v>
      </c>
      <c r="AA256" s="258"/>
      <c r="AB256" s="285" t="s">
        <v>1173</v>
      </c>
      <c r="AC256" s="375"/>
    </row>
    <row r="257" spans="1:29" ht="38.25" hidden="1">
      <c r="A257" s="67">
        <v>265</v>
      </c>
      <c r="B257" s="69">
        <v>45099</v>
      </c>
      <c r="C257" s="74">
        <v>0.33333333333333331</v>
      </c>
      <c r="D257" s="67" t="s">
        <v>1248</v>
      </c>
      <c r="E257" s="68" t="s">
        <v>1249</v>
      </c>
      <c r="F257" s="67">
        <v>2</v>
      </c>
      <c r="G257" s="67" t="s">
        <v>1441</v>
      </c>
      <c r="H257" s="69">
        <v>45103</v>
      </c>
      <c r="I257" s="67" t="s">
        <v>73</v>
      </c>
      <c r="J257" s="69" t="s">
        <v>1222</v>
      </c>
      <c r="K257" s="7" t="s">
        <v>1346</v>
      </c>
      <c r="L257" s="67" t="s">
        <v>797</v>
      </c>
      <c r="M257" s="67" t="s">
        <v>1288</v>
      </c>
      <c r="N257" s="67" t="s">
        <v>1360</v>
      </c>
      <c r="O257" s="67" t="str">
        <f t="shared" ca="1" si="12"/>
        <v>SI</v>
      </c>
      <c r="P257" s="67" t="str">
        <f t="shared" si="13"/>
        <v>DIANOSOL</v>
      </c>
      <c r="Q257" s="67" t="s">
        <v>899</v>
      </c>
      <c r="R257" s="7" t="str">
        <f>VLOOKUP($Q257,Resultados!$A$1:$B$49,2,FALSE)</f>
        <v>Libertad</v>
      </c>
      <c r="S257" s="67" t="s">
        <v>1341</v>
      </c>
      <c r="T257" s="77" t="str">
        <f t="shared" si="17"/>
        <v>NO</v>
      </c>
      <c r="U257" s="77"/>
      <c r="V257" s="67"/>
      <c r="W257" s="74">
        <v>0.36388888888888887</v>
      </c>
      <c r="X257" s="67"/>
      <c r="Y257" s="67"/>
      <c r="Z257" s="285" t="s">
        <v>748</v>
      </c>
      <c r="AA257" s="285" t="s">
        <v>1169</v>
      </c>
      <c r="AB257" s="285" t="s">
        <v>1175</v>
      </c>
      <c r="AC257" s="375"/>
    </row>
    <row r="258" spans="1:29" ht="38.25" hidden="1">
      <c r="A258" s="67">
        <v>249</v>
      </c>
      <c r="B258" s="69">
        <v>45090</v>
      </c>
      <c r="C258" s="74">
        <v>0.42708333333333331</v>
      </c>
      <c r="D258" s="67" t="s">
        <v>1146</v>
      </c>
      <c r="E258" s="68" t="s">
        <v>1352</v>
      </c>
      <c r="F258" s="67">
        <v>2</v>
      </c>
      <c r="G258" s="67" t="s">
        <v>1442</v>
      </c>
      <c r="H258" s="69">
        <v>45103</v>
      </c>
      <c r="I258" s="67" t="s">
        <v>1086</v>
      </c>
      <c r="J258" s="69" t="s">
        <v>31</v>
      </c>
      <c r="K258" s="7">
        <f>IFERROR(VLOOKUP(J258,Jueces!$A$1:$B$11,2,FALSE),"")</f>
        <v>2</v>
      </c>
      <c r="L258" s="67" t="s">
        <v>811</v>
      </c>
      <c r="M258" s="67" t="s">
        <v>713</v>
      </c>
      <c r="N258" s="67" t="s">
        <v>1335</v>
      </c>
      <c r="O258" s="67" t="str">
        <f t="shared" ca="1" si="12"/>
        <v>SI</v>
      </c>
      <c r="P258" s="67" t="str">
        <f t="shared" si="13"/>
        <v>DIANOSOL</v>
      </c>
      <c r="Q258" s="67" t="s">
        <v>904</v>
      </c>
      <c r="R258" s="7" t="str">
        <f>VLOOKUP($Q258,Resultados!$A$1:$B$49,2,FALSE)</f>
        <v>Juicio Abreviado</v>
      </c>
      <c r="S258" s="74" t="s">
        <v>1006</v>
      </c>
      <c r="T258" s="77" t="str">
        <f t="shared" si="17"/>
        <v>SI</v>
      </c>
      <c r="U258" s="77"/>
      <c r="V258" s="67"/>
      <c r="W258" s="67" t="s">
        <v>1050</v>
      </c>
      <c r="X258" s="67" t="s">
        <v>1311</v>
      </c>
      <c r="Y258" s="67"/>
      <c r="Z258" s="285" t="s">
        <v>743</v>
      </c>
      <c r="AA258" s="285" t="s">
        <v>1169</v>
      </c>
      <c r="AB258" s="285" t="s">
        <v>1177</v>
      </c>
      <c r="AC258" s="375"/>
    </row>
    <row r="259" spans="1:29" ht="38.25" hidden="1">
      <c r="A259" s="7">
        <v>258</v>
      </c>
      <c r="B259" s="19">
        <v>45092</v>
      </c>
      <c r="C259" s="7" t="s">
        <v>1193</v>
      </c>
      <c r="D259" s="7" t="s">
        <v>1194</v>
      </c>
      <c r="E259" s="41" t="s">
        <v>1351</v>
      </c>
      <c r="F259" s="7">
        <v>2</v>
      </c>
      <c r="G259" s="7" t="s">
        <v>1443</v>
      </c>
      <c r="H259" s="19">
        <v>45103</v>
      </c>
      <c r="I259" s="7" t="s">
        <v>77</v>
      </c>
      <c r="J259" s="19" t="s">
        <v>33</v>
      </c>
      <c r="K259" s="7">
        <f>IFERROR(VLOOKUP(J259,Jueces!$A$1:$B$11,2,FALSE),"")</f>
        <v>4</v>
      </c>
      <c r="L259" s="7" t="s">
        <v>813</v>
      </c>
      <c r="M259" s="7" t="s">
        <v>1334</v>
      </c>
      <c r="N259" s="7" t="s">
        <v>1336</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1337</v>
      </c>
      <c r="X259" s="7"/>
      <c r="Y259" s="7"/>
      <c r="Z259" s="285" t="s">
        <v>770</v>
      </c>
      <c r="AA259" s="285" t="s">
        <v>743</v>
      </c>
      <c r="AB259" s="285" t="s">
        <v>1176</v>
      </c>
      <c r="AC259" s="375"/>
    </row>
    <row r="260" spans="1:29" ht="51" hidden="1">
      <c r="A260" s="67">
        <v>254</v>
      </c>
      <c r="B260" s="69">
        <v>45091</v>
      </c>
      <c r="C260" s="74">
        <v>0.45</v>
      </c>
      <c r="D260" s="67" t="s">
        <v>1162</v>
      </c>
      <c r="E260" s="68" t="s">
        <v>1355</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1193</v>
      </c>
      <c r="X260" s="67" t="s">
        <v>1397</v>
      </c>
      <c r="Y260" s="67"/>
      <c r="Z260" s="285" t="s">
        <v>1041</v>
      </c>
      <c r="AA260" s="72"/>
      <c r="AB260" s="285" t="s">
        <v>1174</v>
      </c>
      <c r="AC260" s="375"/>
    </row>
    <row r="261" spans="1:29" ht="51" hidden="1">
      <c r="A261" s="67">
        <v>257</v>
      </c>
      <c r="B261" s="69">
        <v>45092</v>
      </c>
      <c r="C261" s="74">
        <v>0.32430555555555557</v>
      </c>
      <c r="D261" s="67" t="s">
        <v>1183</v>
      </c>
      <c r="E261" s="68" t="s">
        <v>1356</v>
      </c>
      <c r="F261" s="67">
        <v>2</v>
      </c>
      <c r="G261" s="67" t="s">
        <v>1442</v>
      </c>
      <c r="H261" s="69">
        <v>45104</v>
      </c>
      <c r="I261" s="67" t="s">
        <v>73</v>
      </c>
      <c r="J261" s="69" t="s">
        <v>33</v>
      </c>
      <c r="K261" s="7">
        <f>IFERROR(VLOOKUP(J261,Jueces!$A$1:$B$11,2,FALSE),"")</f>
        <v>4</v>
      </c>
      <c r="L261" s="67" t="s">
        <v>802</v>
      </c>
      <c r="M261" s="67" t="s">
        <v>711</v>
      </c>
      <c r="N261" s="67" t="s">
        <v>1387</v>
      </c>
      <c r="O261" s="67" t="str">
        <f t="shared" ca="1" si="18"/>
        <v>SI</v>
      </c>
      <c r="P261" s="67" t="str">
        <f t="shared" si="19"/>
        <v>DIANOSOL</v>
      </c>
      <c r="Q261" s="67" t="s">
        <v>905</v>
      </c>
      <c r="R261" s="7" t="s">
        <v>100</v>
      </c>
      <c r="S261" s="74">
        <v>0.3520833333333333</v>
      </c>
      <c r="T261" s="77" t="str">
        <f t="shared" si="17"/>
        <v>SI</v>
      </c>
      <c r="U261" s="77"/>
      <c r="V261" s="67"/>
      <c r="W261" s="74">
        <v>0.36805555555555558</v>
      </c>
      <c r="X261" s="67"/>
      <c r="Y261" s="67"/>
      <c r="Z261" s="285" t="s">
        <v>1042</v>
      </c>
      <c r="AA261" s="285" t="s">
        <v>1169</v>
      </c>
      <c r="AB261" s="285" t="s">
        <v>1173</v>
      </c>
      <c r="AC261" s="375"/>
    </row>
    <row r="262" spans="1:29" ht="38.25" hidden="1">
      <c r="A262" s="67">
        <v>267</v>
      </c>
      <c r="B262" s="69">
        <v>45099</v>
      </c>
      <c r="C262" s="74">
        <v>0.33333333333333331</v>
      </c>
      <c r="D262" s="67" t="s">
        <v>1273</v>
      </c>
      <c r="E262" s="68" t="s">
        <v>1373</v>
      </c>
      <c r="F262" s="67">
        <v>3</v>
      </c>
      <c r="G262" s="67" t="s">
        <v>283</v>
      </c>
      <c r="H262" s="69">
        <v>45104</v>
      </c>
      <c r="I262" s="67" t="s">
        <v>73</v>
      </c>
      <c r="J262" s="69" t="s">
        <v>1220</v>
      </c>
      <c r="K262" s="7">
        <f>IFERROR(VLOOKUP(J262,Jueces!$A$1:$B$11,2,FALSE),"")</f>
        <v>1</v>
      </c>
      <c r="L262" s="67" t="s">
        <v>791</v>
      </c>
      <c r="M262" s="67" t="s">
        <v>693</v>
      </c>
      <c r="N262" s="67" t="s">
        <v>1374</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1375</v>
      </c>
      <c r="X262" s="67" t="s">
        <v>1376</v>
      </c>
      <c r="Y262" s="67"/>
      <c r="Z262" s="285" t="s">
        <v>748</v>
      </c>
      <c r="AA262" s="124" t="s">
        <v>1171</v>
      </c>
      <c r="AB262" s="285" t="s">
        <v>1175</v>
      </c>
      <c r="AC262" s="375"/>
    </row>
    <row r="263" spans="1:29" ht="63.75" hidden="1">
      <c r="A263" s="67">
        <v>275</v>
      </c>
      <c r="B263" s="69">
        <v>45099</v>
      </c>
      <c r="C263" s="67" t="s">
        <v>1274</v>
      </c>
      <c r="D263" s="67" t="s">
        <v>1269</v>
      </c>
      <c r="E263" s="68" t="s">
        <v>1357</v>
      </c>
      <c r="F263" s="67">
        <v>1</v>
      </c>
      <c r="G263" s="67" t="s">
        <v>1441</v>
      </c>
      <c r="H263" s="69">
        <v>45104</v>
      </c>
      <c r="I263" s="67" t="s">
        <v>73</v>
      </c>
      <c r="J263" s="69" t="s">
        <v>1223</v>
      </c>
      <c r="K263" s="7" t="s">
        <v>1326</v>
      </c>
      <c r="L263" s="67" t="s">
        <v>798</v>
      </c>
      <c r="M263" s="67" t="s">
        <v>692</v>
      </c>
      <c r="N263" s="67" t="s">
        <v>1379</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1378</v>
      </c>
      <c r="X263" s="67" t="s">
        <v>1376</v>
      </c>
      <c r="Y263" s="67"/>
      <c r="Z263" s="285" t="s">
        <v>743</v>
      </c>
      <c r="AA263" s="285" t="s">
        <v>743</v>
      </c>
      <c r="AB263" s="285" t="s">
        <v>1177</v>
      </c>
      <c r="AC263" s="375"/>
    </row>
    <row r="264" spans="1:29" ht="38.25" hidden="1">
      <c r="A264" s="67">
        <v>260</v>
      </c>
      <c r="B264" s="69">
        <v>45093</v>
      </c>
      <c r="C264" s="74">
        <v>0.33333333333333331</v>
      </c>
      <c r="D264" s="67" t="s">
        <v>1197</v>
      </c>
      <c r="E264" s="68" t="s">
        <v>1358</v>
      </c>
      <c r="F264" s="67">
        <v>2</v>
      </c>
      <c r="G264" s="67" t="s">
        <v>1443</v>
      </c>
      <c r="H264" s="69">
        <v>45104</v>
      </c>
      <c r="I264" s="74" t="s">
        <v>1086</v>
      </c>
      <c r="J264" s="69" t="s">
        <v>78</v>
      </c>
      <c r="K264" s="7">
        <f>IFERROR(VLOOKUP(J264,Jueces!$A$1:$B$11,2,FALSE),"")</f>
        <v>8</v>
      </c>
      <c r="L264" s="67" t="s">
        <v>812</v>
      </c>
      <c r="M264" s="67" t="s">
        <v>1179</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7" t="s">
        <v>770</v>
      </c>
      <c r="AA264" s="124" t="s">
        <v>1169</v>
      </c>
      <c r="AB264" s="285" t="s">
        <v>1176</v>
      </c>
      <c r="AC264" s="375"/>
    </row>
    <row r="265" spans="1:29" ht="63.75" hidden="1">
      <c r="A265" s="7">
        <v>287</v>
      </c>
      <c r="B265" s="19">
        <v>45100</v>
      </c>
      <c r="C265" s="15">
        <v>0.39097222222222222</v>
      </c>
      <c r="D265" s="7" t="s">
        <v>1316</v>
      </c>
      <c r="E265" s="41" t="s">
        <v>1359</v>
      </c>
      <c r="F265" s="7">
        <v>3</v>
      </c>
      <c r="G265" s="7" t="s">
        <v>43</v>
      </c>
      <c r="H265" s="19">
        <v>45104</v>
      </c>
      <c r="I265" s="7" t="s">
        <v>1086</v>
      </c>
      <c r="J265" s="19" t="s">
        <v>1220</v>
      </c>
      <c r="K265" s="7">
        <f>IFERROR(VLOOKUP(J265,Jueces!$A$1:$B$11,2,FALSE),"")</f>
        <v>1</v>
      </c>
      <c r="L265" s="7" t="s">
        <v>810</v>
      </c>
      <c r="M265" s="7" t="s">
        <v>693</v>
      </c>
      <c r="N265" s="7" t="s">
        <v>1371</v>
      </c>
      <c r="O265" s="67" t="str">
        <f t="shared" ca="1" si="18"/>
        <v>SI</v>
      </c>
      <c r="P265" s="67" t="str">
        <f t="shared" si="19"/>
        <v>DIANOSOL</v>
      </c>
      <c r="Q265" s="7" t="s">
        <v>151</v>
      </c>
      <c r="R265" s="7" t="str">
        <f>VLOOKUP($Q265,Resultados!$A$1:$B$49,2,FALSE)</f>
        <v>Prisión Preventiva</v>
      </c>
      <c r="S265" s="67" t="s">
        <v>1210</v>
      </c>
      <c r="T265" s="77" t="str">
        <f t="shared" si="17"/>
        <v>NO</v>
      </c>
      <c r="U265" s="77"/>
      <c r="V265" s="67"/>
      <c r="W265" s="67" t="s">
        <v>1372</v>
      </c>
      <c r="X265" s="67" t="s">
        <v>1377</v>
      </c>
      <c r="Y265" s="67"/>
      <c r="Z265" s="124" t="s">
        <v>1041</v>
      </c>
      <c r="AA265" s="124" t="s">
        <v>1171</v>
      </c>
      <c r="AB265" s="285" t="s">
        <v>1174</v>
      </c>
      <c r="AC265" s="375"/>
    </row>
    <row r="266" spans="1:29" ht="89.25" hidden="1">
      <c r="A266" s="67">
        <v>255</v>
      </c>
      <c r="B266" s="69">
        <v>45091</v>
      </c>
      <c r="C266" s="74">
        <v>0.51874999999999993</v>
      </c>
      <c r="D266" s="67" t="s">
        <v>1163</v>
      </c>
      <c r="E266" s="68" t="s">
        <v>1161</v>
      </c>
      <c r="F266" s="67">
        <v>2</v>
      </c>
      <c r="G266" s="67" t="s">
        <v>29</v>
      </c>
      <c r="H266" s="69">
        <v>45105</v>
      </c>
      <c r="I266" s="67" t="s">
        <v>73</v>
      </c>
      <c r="J266" s="69" t="s">
        <v>33</v>
      </c>
      <c r="K266" s="7">
        <f>IFERROR(VLOOKUP(J266,Jueces!$A$1:$B$11,2,FALSE),"")</f>
        <v>4</v>
      </c>
      <c r="L266" s="67" t="s">
        <v>414</v>
      </c>
      <c r="M266" s="67" t="s">
        <v>1179</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1231</v>
      </c>
      <c r="X266" s="67"/>
      <c r="Y266" s="67"/>
      <c r="Z266" s="124" t="s">
        <v>1042</v>
      </c>
      <c r="AA266" s="124" t="s">
        <v>1169</v>
      </c>
      <c r="AB266" s="285" t="s">
        <v>1173</v>
      </c>
      <c r="AC266" s="375"/>
    </row>
    <row r="267" spans="1:29" ht="51" hidden="1">
      <c r="A267" s="67">
        <v>259</v>
      </c>
      <c r="B267" s="69">
        <v>45092</v>
      </c>
      <c r="C267" s="74">
        <v>0.52777777777777779</v>
      </c>
      <c r="D267" s="67" t="s">
        <v>1195</v>
      </c>
      <c r="E267" s="68" t="s">
        <v>1196</v>
      </c>
      <c r="F267" s="67">
        <v>8</v>
      </c>
      <c r="G267" s="67" t="s">
        <v>1443</v>
      </c>
      <c r="H267" s="69">
        <v>45105</v>
      </c>
      <c r="I267" s="67" t="s">
        <v>73</v>
      </c>
      <c r="J267" s="69" t="s">
        <v>78</v>
      </c>
      <c r="K267" s="7">
        <f>IFERROR(VLOOKUP(J267,Jueces!$A$1:$B$11,2,FALSE),"")</f>
        <v>8</v>
      </c>
      <c r="L267" s="67" t="s">
        <v>799</v>
      </c>
      <c r="M267" s="67" t="s">
        <v>711</v>
      </c>
      <c r="N267" s="67" t="s">
        <v>1393</v>
      </c>
      <c r="O267" s="67" t="str">
        <f t="shared" ca="1" si="18"/>
        <v>SI</v>
      </c>
      <c r="P267" s="67" t="str">
        <f t="shared" si="19"/>
        <v>DIANOSOL</v>
      </c>
      <c r="Q267" s="67" t="s">
        <v>905</v>
      </c>
      <c r="R267" s="7" t="str">
        <f>VLOOKUP($Q267,Resultados!$A$1:$B$49,2,FALSE)</f>
        <v>Juicio Abreviado</v>
      </c>
      <c r="S267" s="67" t="s">
        <v>1391</v>
      </c>
      <c r="T267" s="77" t="str">
        <f t="shared" si="17"/>
        <v>NO</v>
      </c>
      <c r="U267" s="77"/>
      <c r="V267" s="67"/>
      <c r="W267" s="67" t="s">
        <v>1392</v>
      </c>
      <c r="X267" s="67" t="s">
        <v>1390</v>
      </c>
      <c r="Y267" s="67"/>
      <c r="Z267" s="285" t="s">
        <v>748</v>
      </c>
      <c r="AA267" s="124" t="s">
        <v>1171</v>
      </c>
      <c r="AB267" s="285" t="s">
        <v>1175</v>
      </c>
      <c r="AC267" s="375"/>
    </row>
    <row r="268" spans="1:29" ht="51" hidden="1">
      <c r="A268" s="67">
        <v>271</v>
      </c>
      <c r="B268" s="69">
        <v>45099</v>
      </c>
      <c r="C268" s="67" t="s">
        <v>76</v>
      </c>
      <c r="D268" s="67" t="s">
        <v>1264</v>
      </c>
      <c r="E268" s="68" t="s">
        <v>1251</v>
      </c>
      <c r="F268" s="67">
        <v>3</v>
      </c>
      <c r="G268" s="67" t="s">
        <v>1441</v>
      </c>
      <c r="H268" s="69">
        <v>45105</v>
      </c>
      <c r="I268" s="67" t="s">
        <v>73</v>
      </c>
      <c r="J268" s="69" t="s">
        <v>1221</v>
      </c>
      <c r="K268" s="7">
        <f>IFERROR(VLOOKUP(J268,Jueces!$A$1:$B$11,2,FALSE),"")</f>
        <v>7</v>
      </c>
      <c r="L268" s="67" t="s">
        <v>811</v>
      </c>
      <c r="M268" s="67" t="s">
        <v>693</v>
      </c>
      <c r="N268" s="67" t="s">
        <v>1394</v>
      </c>
      <c r="O268" s="67" t="str">
        <f t="shared" ca="1" si="18"/>
        <v>SI</v>
      </c>
      <c r="P268" s="67" t="str">
        <f t="shared" si="19"/>
        <v>DIANOSOL</v>
      </c>
      <c r="Q268" s="67" t="s">
        <v>151</v>
      </c>
      <c r="R268" s="7" t="str">
        <f>VLOOKUP($Q268,Resultados!$A$1:$B$49,2,FALSE)</f>
        <v>Prisión Preventiva</v>
      </c>
      <c r="S268" s="67" t="s">
        <v>1395</v>
      </c>
      <c r="T268" s="77" t="str">
        <f t="shared" si="17"/>
        <v>NO</v>
      </c>
      <c r="U268" s="77"/>
      <c r="V268" s="67"/>
      <c r="W268" s="67" t="s">
        <v>1396</v>
      </c>
      <c r="X268" s="67" t="s">
        <v>1402</v>
      </c>
      <c r="Y268" s="67"/>
      <c r="Z268" s="285" t="s">
        <v>743</v>
      </c>
      <c r="AA268" s="124" t="s">
        <v>743</v>
      </c>
      <c r="AB268" s="285" t="s">
        <v>1177</v>
      </c>
      <c r="AC268" s="375"/>
    </row>
    <row r="269" spans="1:29" ht="38.25" hidden="1">
      <c r="A269" s="67">
        <v>276</v>
      </c>
      <c r="B269" s="69">
        <v>45099</v>
      </c>
      <c r="C269" s="74">
        <v>0.43888888888888888</v>
      </c>
      <c r="D269" s="67" t="s">
        <v>1270</v>
      </c>
      <c r="E269" s="68" t="s">
        <v>1271</v>
      </c>
      <c r="F269" s="67">
        <v>1</v>
      </c>
      <c r="G269" s="67" t="s">
        <v>32</v>
      </c>
      <c r="H269" s="69">
        <v>45105</v>
      </c>
      <c r="I269" s="67" t="s">
        <v>73</v>
      </c>
      <c r="J269" s="69" t="s">
        <v>31</v>
      </c>
      <c r="K269" s="7">
        <f>IFERROR(VLOOKUP(J269,Jueces!$A$1:$B$11,2,FALSE),"")</f>
        <v>2</v>
      </c>
      <c r="L269" s="67" t="s">
        <v>688</v>
      </c>
      <c r="M269" s="67" t="s">
        <v>723</v>
      </c>
      <c r="N269" s="67" t="s">
        <v>1398</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1399</v>
      </c>
      <c r="Y269" s="67"/>
      <c r="Z269" s="124" t="s">
        <v>770</v>
      </c>
      <c r="AA269" s="124" t="s">
        <v>1169</v>
      </c>
      <c r="AB269" s="285" t="s">
        <v>1176</v>
      </c>
      <c r="AC269" s="375"/>
    </row>
    <row r="270" spans="1:29" ht="38.25" hidden="1">
      <c r="A270" s="67">
        <v>256</v>
      </c>
      <c r="B270" s="69">
        <v>45091</v>
      </c>
      <c r="C270" s="74">
        <v>0.53888888888888886</v>
      </c>
      <c r="D270" s="67" t="s">
        <v>1165</v>
      </c>
      <c r="E270" s="68" t="s">
        <v>1164</v>
      </c>
      <c r="F270" s="67">
        <v>2</v>
      </c>
      <c r="G270" s="67" t="s">
        <v>43</v>
      </c>
      <c r="H270" s="69">
        <v>45105</v>
      </c>
      <c r="I270" s="67" t="s">
        <v>1086</v>
      </c>
      <c r="J270" s="69" t="s">
        <v>33</v>
      </c>
      <c r="K270" s="7">
        <f>IFERROR(VLOOKUP(J270,Jueces!$A$1:$B$11,2,FALSE),"")</f>
        <v>4</v>
      </c>
      <c r="L270" s="67" t="s">
        <v>277</v>
      </c>
      <c r="M270" s="67" t="s">
        <v>1179</v>
      </c>
      <c r="N270" s="67" t="s">
        <v>1400</v>
      </c>
      <c r="O270" s="67" t="str">
        <f t="shared" ca="1" si="18"/>
        <v>SI</v>
      </c>
      <c r="P270" s="67" t="str">
        <f t="shared" si="19"/>
        <v>DIANOSOL</v>
      </c>
      <c r="Q270" s="67" t="s">
        <v>905</v>
      </c>
      <c r="R270" s="7" t="str">
        <f>VLOOKUP($Q270,Resultados!$A$1:$B$49,2,FALSE)</f>
        <v>Juicio Abreviado</v>
      </c>
      <c r="S270" s="67" t="s">
        <v>1396</v>
      </c>
      <c r="T270" s="77" t="str">
        <f t="shared" si="17"/>
        <v>NO</v>
      </c>
      <c r="U270" s="77"/>
      <c r="V270" s="67"/>
      <c r="W270" s="67" t="s">
        <v>1229</v>
      </c>
      <c r="X270" s="67"/>
      <c r="Y270" s="67"/>
      <c r="Z270" s="124" t="s">
        <v>1041</v>
      </c>
      <c r="AA270" s="124" t="s">
        <v>743</v>
      </c>
      <c r="AB270" s="124" t="s">
        <v>1174</v>
      </c>
      <c r="AC270" s="375"/>
    </row>
    <row r="271" spans="1:29" ht="63.75" hidden="1">
      <c r="A271" s="67">
        <v>274</v>
      </c>
      <c r="B271" s="69">
        <v>45099</v>
      </c>
      <c r="C271" s="74">
        <v>0.39513888888888887</v>
      </c>
      <c r="D271" s="67" t="s">
        <v>1267</v>
      </c>
      <c r="E271" s="68" t="s">
        <v>1268</v>
      </c>
      <c r="F271" s="67">
        <v>3</v>
      </c>
      <c r="G271" s="67" t="s">
        <v>283</v>
      </c>
      <c r="H271" s="69">
        <v>45105</v>
      </c>
      <c r="I271" s="67" t="s">
        <v>1086</v>
      </c>
      <c r="J271" s="69" t="s">
        <v>78</v>
      </c>
      <c r="K271" s="7">
        <f>IFERROR(VLOOKUP(J271,Jueces!$A$1:$B$11,2,FALSE),"")</f>
        <v>8</v>
      </c>
      <c r="L271" s="67" t="s">
        <v>1180</v>
      </c>
      <c r="M271" s="123" t="s">
        <v>697</v>
      </c>
      <c r="N271" s="67" t="s">
        <v>1403</v>
      </c>
      <c r="O271" s="67" t="str">
        <f t="shared" ca="1" si="18"/>
        <v>SI</v>
      </c>
      <c r="P271" s="67" t="str">
        <f t="shared" si="19"/>
        <v>DIANOSOL</v>
      </c>
      <c r="Q271" s="67" t="s">
        <v>913</v>
      </c>
      <c r="R271" s="7" t="str">
        <f>VLOOKUP($Q271,Resultados!$A$1:$B$49,2,FALSE)</f>
        <v>Prision domiciliaria</v>
      </c>
      <c r="S271" s="67" t="s">
        <v>1303</v>
      </c>
      <c r="T271" s="77" t="str">
        <f t="shared" si="17"/>
        <v>NO</v>
      </c>
      <c r="U271" s="77"/>
      <c r="V271" s="67"/>
      <c r="W271" s="67" t="s">
        <v>1404</v>
      </c>
      <c r="X271" s="67" t="s">
        <v>1311</v>
      </c>
      <c r="Y271" s="67"/>
      <c r="Z271" s="124" t="s">
        <v>1042</v>
      </c>
      <c r="AA271" s="124" t="s">
        <v>1171</v>
      </c>
      <c r="AB271" s="285" t="s">
        <v>1173</v>
      </c>
      <c r="AC271" s="375"/>
    </row>
    <row r="272" spans="1:29" ht="25.5" hidden="1">
      <c r="A272" s="67">
        <v>262</v>
      </c>
      <c r="B272" s="69">
        <v>45098</v>
      </c>
      <c r="C272" s="74">
        <v>0.33333333333333331</v>
      </c>
      <c r="D272" s="67" t="s">
        <v>1211</v>
      </c>
      <c r="E272" s="68" t="s">
        <v>1422</v>
      </c>
      <c r="F272" s="67">
        <v>2</v>
      </c>
      <c r="G272" s="67" t="s">
        <v>1441</v>
      </c>
      <c r="H272" s="69">
        <v>45106</v>
      </c>
      <c r="I272" s="67" t="s">
        <v>73</v>
      </c>
      <c r="J272" s="69" t="s">
        <v>1220</v>
      </c>
      <c r="K272" s="7">
        <f>IFERROR(VLOOKUP(J272,Jueces!$A$1:$B$11,2,FALSE),"")</f>
        <v>1</v>
      </c>
      <c r="L272" s="67" t="s">
        <v>797</v>
      </c>
      <c r="M272" s="67" t="s">
        <v>782</v>
      </c>
      <c r="N272" s="67" t="s">
        <v>1444</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1123</v>
      </c>
      <c r="X272" s="67" t="s">
        <v>1390</v>
      </c>
      <c r="Y272" s="67"/>
      <c r="Z272" s="124" t="s">
        <v>748</v>
      </c>
      <c r="AA272" s="124" t="s">
        <v>743</v>
      </c>
      <c r="AB272" s="285" t="s">
        <v>1175</v>
      </c>
      <c r="AC272" s="375"/>
    </row>
    <row r="273" spans="1:29" ht="51" hidden="1">
      <c r="A273" s="67">
        <v>266</v>
      </c>
      <c r="B273" s="69">
        <v>45099</v>
      </c>
      <c r="C273" s="74">
        <v>0.33333333333333331</v>
      </c>
      <c r="D273" s="67" t="s">
        <v>1272</v>
      </c>
      <c r="E273" s="68" t="s">
        <v>1423</v>
      </c>
      <c r="F273" s="67">
        <v>2</v>
      </c>
      <c r="G273" s="67" t="s">
        <v>1442</v>
      </c>
      <c r="H273" s="69">
        <v>45106</v>
      </c>
      <c r="I273" s="67" t="s">
        <v>73</v>
      </c>
      <c r="J273" s="69" t="s">
        <v>31</v>
      </c>
      <c r="K273" s="7">
        <f>IFERROR(VLOOKUP(J273,Jueces!$A$1:$B$11,2,FALSE),"")</f>
        <v>2</v>
      </c>
      <c r="L273" s="67" t="s">
        <v>508</v>
      </c>
      <c r="M273" s="67" t="s">
        <v>1285</v>
      </c>
      <c r="N273" s="67" t="s">
        <v>1431</v>
      </c>
      <c r="O273" s="67" t="str">
        <f t="shared" ca="1" si="18"/>
        <v>SI</v>
      </c>
      <c r="P273" s="67" t="str">
        <f t="shared" si="19"/>
        <v>DIANOSOL</v>
      </c>
      <c r="Q273" s="67" t="s">
        <v>151</v>
      </c>
      <c r="R273" s="7" t="str">
        <f>VLOOKUP($Q273,Resultados!$A$1:$B$49,2,FALSE)</f>
        <v>Prisión Preventiva</v>
      </c>
      <c r="S273" s="74">
        <v>0.37222222222222223</v>
      </c>
      <c r="T273" s="77" t="str">
        <f t="shared" si="17"/>
        <v>SI</v>
      </c>
      <c r="U273" s="77"/>
      <c r="V273" s="67"/>
      <c r="W273" s="74">
        <v>0.38958333333333334</v>
      </c>
      <c r="X273" s="67" t="s">
        <v>1432</v>
      </c>
      <c r="Y273" s="67"/>
      <c r="Z273" s="124" t="s">
        <v>743</v>
      </c>
      <c r="AA273" s="124" t="s">
        <v>1169</v>
      </c>
      <c r="AB273" s="285" t="s">
        <v>1177</v>
      </c>
      <c r="AC273" s="375"/>
    </row>
    <row r="274" spans="1:29" ht="38.25" hidden="1">
      <c r="A274" s="67">
        <v>272</v>
      </c>
      <c r="B274" s="69">
        <v>45099</v>
      </c>
      <c r="C274" s="74">
        <v>0.42638888888888887</v>
      </c>
      <c r="D274" s="67" t="s">
        <v>1265</v>
      </c>
      <c r="E274" s="68" t="s">
        <v>1425</v>
      </c>
      <c r="F274" s="67">
        <v>2</v>
      </c>
      <c r="G274" s="67" t="s">
        <v>32</v>
      </c>
      <c r="H274" s="69">
        <v>45106</v>
      </c>
      <c r="I274" s="67" t="s">
        <v>73</v>
      </c>
      <c r="J274" s="69" t="s">
        <v>1222</v>
      </c>
      <c r="K274" s="7" t="s">
        <v>1326</v>
      </c>
      <c r="L274" s="67" t="s">
        <v>807</v>
      </c>
      <c r="M274" s="67" t="s">
        <v>1286</v>
      </c>
      <c r="N274" s="67" t="s">
        <v>1428</v>
      </c>
      <c r="O274" s="67" t="str">
        <f t="shared" ca="1" si="18"/>
        <v>SI</v>
      </c>
      <c r="P274" s="67" t="str">
        <f t="shared" si="19"/>
        <v>DIANOSOL</v>
      </c>
      <c r="Q274" s="67" t="s">
        <v>904</v>
      </c>
      <c r="R274" s="7" t="str">
        <f>VLOOKUP($Q274,Resultados!$A$1:$B$49,2,FALSE)</f>
        <v>Juicio Abreviado</v>
      </c>
      <c r="S274" s="67" t="s">
        <v>1427</v>
      </c>
      <c r="T274" s="77" t="str">
        <f t="shared" si="17"/>
        <v>NO</v>
      </c>
      <c r="U274" s="77"/>
      <c r="V274" s="67"/>
      <c r="W274" s="67" t="s">
        <v>1429</v>
      </c>
      <c r="X274" s="67"/>
      <c r="Y274" s="67"/>
      <c r="Z274" s="124" t="s">
        <v>770</v>
      </c>
      <c r="AA274" s="124" t="s">
        <v>1169</v>
      </c>
      <c r="AB274" s="285" t="s">
        <v>1174</v>
      </c>
      <c r="AC274" s="375"/>
    </row>
    <row r="275" spans="1:29" ht="38.25" hidden="1">
      <c r="A275" s="67">
        <v>273</v>
      </c>
      <c r="B275" s="69">
        <v>45099</v>
      </c>
      <c r="C275" s="74">
        <v>0.39861111111111108</v>
      </c>
      <c r="D275" s="67" t="s">
        <v>1266</v>
      </c>
      <c r="E275" s="68" t="s">
        <v>1424</v>
      </c>
      <c r="F275" s="67">
        <v>3</v>
      </c>
      <c r="G275" s="67" t="s">
        <v>29</v>
      </c>
      <c r="H275" s="69">
        <v>45106</v>
      </c>
      <c r="I275" s="67" t="s">
        <v>73</v>
      </c>
      <c r="J275" s="69" t="s">
        <v>33</v>
      </c>
      <c r="K275" s="7">
        <f>IFERROR(VLOOKUP(J275,Jueces!$A$1:$B$11,2,FALSE),"")</f>
        <v>4</v>
      </c>
      <c r="L275" s="67" t="s">
        <v>812</v>
      </c>
      <c r="M275" s="67" t="s">
        <v>1290</v>
      </c>
      <c r="N275" s="67" t="s">
        <v>1332</v>
      </c>
      <c r="O275" s="67" t="str">
        <f t="shared" ca="1" si="18"/>
        <v>SI</v>
      </c>
      <c r="P275" s="67" t="str">
        <f t="shared" si="19"/>
        <v>DIANOSOL</v>
      </c>
      <c r="Q275" s="67" t="s">
        <v>904</v>
      </c>
      <c r="R275" s="7" t="str">
        <f>VLOOKUP($Q275,Resultados!$A$1:$B$49,2,FALSE)</f>
        <v>Juicio Abreviado</v>
      </c>
      <c r="S275" s="67" t="s">
        <v>1427</v>
      </c>
      <c r="T275" s="77" t="str">
        <f t="shared" si="17"/>
        <v>NO</v>
      </c>
      <c r="U275" s="77"/>
      <c r="V275" s="67"/>
      <c r="W275" s="67" t="s">
        <v>1129</v>
      </c>
      <c r="X275" s="67" t="s">
        <v>1390</v>
      </c>
      <c r="Y275" s="67"/>
      <c r="Z275" s="124" t="s">
        <v>1041</v>
      </c>
      <c r="AA275" s="124" t="s">
        <v>1171</v>
      </c>
      <c r="AB275" s="124" t="s">
        <v>1173</v>
      </c>
      <c r="AC275" s="375"/>
    </row>
    <row r="276" spans="1:29" ht="38.25" hidden="1">
      <c r="A276" s="67">
        <v>263</v>
      </c>
      <c r="B276" s="69">
        <v>45098</v>
      </c>
      <c r="C276" s="74">
        <v>0.38263888888888892</v>
      </c>
      <c r="D276" s="67" t="s">
        <v>1213</v>
      </c>
      <c r="E276" s="68" t="s">
        <v>1426</v>
      </c>
      <c r="F276" s="107">
        <v>2</v>
      </c>
      <c r="G276" s="69" t="s">
        <v>43</v>
      </c>
      <c r="H276" s="69">
        <v>45106</v>
      </c>
      <c r="I276" s="69" t="s">
        <v>1086</v>
      </c>
      <c r="J276" s="69" t="s">
        <v>1221</v>
      </c>
      <c r="K276" s="107">
        <f>IFERROR(VLOOKUP(J276,Jueces!$A$1:$B$11,2,FALSE),"")</f>
        <v>7</v>
      </c>
      <c r="L276" s="69" t="s">
        <v>797</v>
      </c>
      <c r="M276" s="69" t="s">
        <v>712</v>
      </c>
      <c r="N276" s="69" t="s">
        <v>1435</v>
      </c>
      <c r="O276" s="69" t="str">
        <f t="shared" ca="1" si="18"/>
        <v>SI</v>
      </c>
      <c r="P276" s="69" t="str">
        <f t="shared" si="19"/>
        <v>DIANOSOL</v>
      </c>
      <c r="Q276" s="69" t="s">
        <v>905</v>
      </c>
      <c r="R276" s="7" t="str">
        <f>VLOOKUP($Q276,Resultados!$A$1:$B$49,2,FALSE)</f>
        <v>Juicio Abreviado</v>
      </c>
      <c r="S276" s="107" t="s">
        <v>1135</v>
      </c>
      <c r="T276" s="69" t="str">
        <f t="shared" si="17"/>
        <v>NO</v>
      </c>
      <c r="U276" s="69"/>
      <c r="V276" s="69"/>
      <c r="W276" s="69" t="s">
        <v>1396</v>
      </c>
      <c r="X276" s="67" t="s">
        <v>1390</v>
      </c>
      <c r="Y276" s="67"/>
      <c r="Z276" s="124" t="s">
        <v>1042</v>
      </c>
      <c r="AA276" s="124" t="s">
        <v>743</v>
      </c>
      <c r="AB276" s="285" t="s">
        <v>1175</v>
      </c>
      <c r="AC276" s="375"/>
    </row>
    <row r="277" spans="1:29" ht="25.5" hidden="1">
      <c r="A277" s="67">
        <v>279</v>
      </c>
      <c r="B277" s="69">
        <v>45099</v>
      </c>
      <c r="C277" s="74">
        <v>0.52430555555555558</v>
      </c>
      <c r="D277" s="67" t="s">
        <v>1284</v>
      </c>
      <c r="E277" s="68" t="s">
        <v>3061</v>
      </c>
      <c r="F277" s="67">
        <v>2</v>
      </c>
      <c r="G277" s="67" t="s">
        <v>283</v>
      </c>
      <c r="H277" s="69">
        <v>45106</v>
      </c>
      <c r="I277" s="67" t="s">
        <v>1086</v>
      </c>
      <c r="J277" s="69" t="s">
        <v>1223</v>
      </c>
      <c r="K277" s="7" t="s">
        <v>1326</v>
      </c>
      <c r="L277" s="67" t="s">
        <v>791</v>
      </c>
      <c r="M277" s="67" t="s">
        <v>692</v>
      </c>
      <c r="N277" s="67" t="s">
        <v>1446</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1445</v>
      </c>
      <c r="X277" s="67" t="s">
        <v>1311</v>
      </c>
      <c r="Y277" s="67"/>
      <c r="Z277" s="124" t="s">
        <v>748</v>
      </c>
      <c r="AA277" s="124" t="s">
        <v>1171</v>
      </c>
      <c r="AB277" s="285" t="s">
        <v>1177</v>
      </c>
      <c r="AC277" s="375"/>
    </row>
    <row r="278" spans="1:29" ht="38.25" hidden="1">
      <c r="A278" s="67">
        <v>303</v>
      </c>
      <c r="B278" s="69">
        <v>45104</v>
      </c>
      <c r="C278" s="74">
        <v>0.4375</v>
      </c>
      <c r="D278" s="67" t="s">
        <v>1074</v>
      </c>
      <c r="E278" s="68" t="s">
        <v>1474</v>
      </c>
      <c r="F278" s="67">
        <v>4</v>
      </c>
      <c r="G278" s="67" t="s">
        <v>1443</v>
      </c>
      <c r="H278" s="69">
        <v>45107</v>
      </c>
      <c r="I278" s="74">
        <v>0.33333333333333331</v>
      </c>
      <c r="J278" s="69" t="s">
        <v>31</v>
      </c>
      <c r="K278" s="7">
        <f>IFERROR(VLOOKUP(J278,Jueces!$A$1:$B$11,2,FALSE),"")</f>
        <v>2</v>
      </c>
      <c r="L278" s="67" t="s">
        <v>1453</v>
      </c>
      <c r="M278" s="67" t="s">
        <v>701</v>
      </c>
      <c r="N278" s="67" t="s">
        <v>1454</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4" t="s">
        <v>748</v>
      </c>
      <c r="AA278" s="124" t="s">
        <v>743</v>
      </c>
      <c r="AB278" s="285" t="s">
        <v>1176</v>
      </c>
      <c r="AC278" s="375"/>
    </row>
    <row r="279" spans="1:29" ht="89.25" hidden="1">
      <c r="A279" s="67">
        <v>261</v>
      </c>
      <c r="B279" s="69">
        <v>45098</v>
      </c>
      <c r="C279" s="74">
        <v>0.5</v>
      </c>
      <c r="D279" s="67" t="s">
        <v>1209</v>
      </c>
      <c r="E279" s="68" t="s">
        <v>1473</v>
      </c>
      <c r="F279" s="67">
        <v>4</v>
      </c>
      <c r="G279" s="67" t="s">
        <v>43</v>
      </c>
      <c r="H279" s="69">
        <v>45107</v>
      </c>
      <c r="I279" s="67" t="s">
        <v>73</v>
      </c>
      <c r="J279" s="69" t="s">
        <v>33</v>
      </c>
      <c r="K279" s="7">
        <f>IFERROR(VLOOKUP(J279,Jueces!$A$1:$B$11,2,FALSE),"")</f>
        <v>4</v>
      </c>
      <c r="L279" s="67" t="s">
        <v>1070</v>
      </c>
      <c r="M279" s="67" t="s">
        <v>783</v>
      </c>
      <c r="N279" s="67" t="s">
        <v>1464</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1231</v>
      </c>
      <c r="X279" s="67"/>
      <c r="Y279" s="67"/>
      <c r="Z279" s="124" t="s">
        <v>743</v>
      </c>
      <c r="AA279" s="124" t="s">
        <v>1169</v>
      </c>
      <c r="AB279" s="285" t="s">
        <v>1176</v>
      </c>
      <c r="AC279" s="375"/>
    </row>
    <row r="280" spans="1:29" ht="25.5" hidden="1">
      <c r="A280" s="67">
        <v>270</v>
      </c>
      <c r="B280" s="69">
        <v>45099</v>
      </c>
      <c r="C280" s="67" t="s">
        <v>76</v>
      </c>
      <c r="D280" s="67" t="s">
        <v>1263</v>
      </c>
      <c r="E280" s="68" t="s">
        <v>1472</v>
      </c>
      <c r="F280" s="67">
        <v>3</v>
      </c>
      <c r="G280" s="67" t="s">
        <v>29</v>
      </c>
      <c r="H280" s="69">
        <v>45107</v>
      </c>
      <c r="I280" s="67" t="s">
        <v>73</v>
      </c>
      <c r="J280" s="69" t="s">
        <v>1220</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1246</v>
      </c>
      <c r="T280" s="77" t="str">
        <f t="shared" si="17"/>
        <v>NO</v>
      </c>
      <c r="U280" s="77"/>
      <c r="V280" s="67"/>
      <c r="W280" s="67" t="s">
        <v>76</v>
      </c>
      <c r="X280" s="67" t="s">
        <v>1460</v>
      </c>
      <c r="Y280" s="67"/>
      <c r="Z280" s="124" t="s">
        <v>770</v>
      </c>
      <c r="AA280" s="124" t="s">
        <v>743</v>
      </c>
      <c r="AB280" s="124" t="s">
        <v>1174</v>
      </c>
      <c r="AC280" s="375"/>
    </row>
    <row r="281" spans="1:29" ht="51" hidden="1">
      <c r="A281" s="67">
        <v>280</v>
      </c>
      <c r="B281" s="69">
        <v>45100</v>
      </c>
      <c r="C281" s="67" t="s">
        <v>73</v>
      </c>
      <c r="D281" s="67" t="s">
        <v>1289</v>
      </c>
      <c r="E281" s="68" t="s">
        <v>1471</v>
      </c>
      <c r="F281" s="67">
        <v>3</v>
      </c>
      <c r="G281" s="67" t="s">
        <v>1442</v>
      </c>
      <c r="H281" s="69">
        <v>45107</v>
      </c>
      <c r="I281" s="67" t="s">
        <v>73</v>
      </c>
      <c r="J281" s="69" t="s">
        <v>78</v>
      </c>
      <c r="K281" s="67">
        <f>IFERROR(VLOOKUP(J281,Jueces!$A$1:$B$11,2,FALSE),"")</f>
        <v>8</v>
      </c>
      <c r="L281" s="67" t="s">
        <v>807</v>
      </c>
      <c r="M281" s="67" t="s">
        <v>1461</v>
      </c>
      <c r="N281" s="67" t="s">
        <v>1462</v>
      </c>
      <c r="O281" s="67" t="str">
        <f t="shared" ca="1" si="18"/>
        <v>SI</v>
      </c>
      <c r="P281" s="67" t="str">
        <f t="shared" si="19"/>
        <v>DIANOSOL</v>
      </c>
      <c r="Q281" s="67" t="s">
        <v>151</v>
      </c>
      <c r="R281" s="7" t="str">
        <f>VLOOKUP($Q281,Resultados!$A$1:$B$49,2,FALSE)</f>
        <v>Prisión Preventiva</v>
      </c>
      <c r="S281" s="67" t="s">
        <v>1427</v>
      </c>
      <c r="T281" s="77" t="str">
        <f t="shared" si="17"/>
        <v>SI</v>
      </c>
      <c r="U281" s="77"/>
      <c r="V281" s="67"/>
      <c r="W281" s="67" t="s">
        <v>1086</v>
      </c>
      <c r="X281" s="67" t="s">
        <v>1463</v>
      </c>
      <c r="Y281" s="67"/>
      <c r="Z281" s="124" t="s">
        <v>1041</v>
      </c>
      <c r="AA281" s="124" t="s">
        <v>1169</v>
      </c>
      <c r="AB281" s="285" t="s">
        <v>1173</v>
      </c>
      <c r="AC281" s="375"/>
    </row>
    <row r="282" spans="1:29" ht="38.25" hidden="1">
      <c r="A282" s="67">
        <v>299</v>
      </c>
      <c r="B282" s="69">
        <v>45104</v>
      </c>
      <c r="C282" s="67" t="s">
        <v>76</v>
      </c>
      <c r="D282" s="67" t="s">
        <v>1365</v>
      </c>
      <c r="E282" s="68" t="s">
        <v>1470</v>
      </c>
      <c r="F282" s="67">
        <v>3</v>
      </c>
      <c r="G282" s="67" t="s">
        <v>283</v>
      </c>
      <c r="H282" s="69">
        <v>45107</v>
      </c>
      <c r="I282" s="67" t="s">
        <v>73</v>
      </c>
      <c r="J282" s="69" t="s">
        <v>1223</v>
      </c>
      <c r="K282" s="67" t="s">
        <v>1326</v>
      </c>
      <c r="L282" s="67" t="s">
        <v>811</v>
      </c>
      <c r="M282" s="67" t="s">
        <v>694</v>
      </c>
      <c r="N282" s="67" t="s">
        <v>1457</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1458</v>
      </c>
      <c r="X282" s="67" t="s">
        <v>1459</v>
      </c>
      <c r="Y282" s="67"/>
      <c r="Z282" s="124" t="s">
        <v>1042</v>
      </c>
      <c r="AA282" s="124" t="s">
        <v>1171</v>
      </c>
      <c r="AB282" s="285" t="s">
        <v>1175</v>
      </c>
      <c r="AC282" s="375"/>
    </row>
    <row r="283" spans="1:29" ht="51" hidden="1">
      <c r="A283" s="67">
        <v>269</v>
      </c>
      <c r="B283" s="69">
        <v>45099</v>
      </c>
      <c r="C283" s="67" t="s">
        <v>76</v>
      </c>
      <c r="D283" s="67" t="s">
        <v>1250</v>
      </c>
      <c r="E283" s="68" t="s">
        <v>1469</v>
      </c>
      <c r="F283" s="67">
        <v>3</v>
      </c>
      <c r="G283" s="67" t="s">
        <v>32</v>
      </c>
      <c r="H283" s="69">
        <v>45107</v>
      </c>
      <c r="I283" s="67" t="s">
        <v>1086</v>
      </c>
      <c r="J283" s="69" t="s">
        <v>33</v>
      </c>
      <c r="K283" s="67">
        <f>IFERROR(VLOOKUP(J283,Jueces!$A$1:$B$11,2,FALSE),"")</f>
        <v>4</v>
      </c>
      <c r="L283" s="67" t="s">
        <v>1453</v>
      </c>
      <c r="M283" s="67" t="s">
        <v>1467</v>
      </c>
      <c r="N283" s="67" t="s">
        <v>1468</v>
      </c>
      <c r="O283" s="67" t="str">
        <f t="shared" ca="1" si="18"/>
        <v>SI</v>
      </c>
      <c r="P283" s="67" t="str">
        <f t="shared" si="19"/>
        <v>DIANOSOL</v>
      </c>
      <c r="Q283" s="67" t="s">
        <v>151</v>
      </c>
      <c r="R283" s="7" t="str">
        <f>VLOOKUP($Q283,Resultados!$A$1:$B$49,2,FALSE)</f>
        <v>Prisión Preventiva</v>
      </c>
      <c r="S283" s="67" t="s">
        <v>1465</v>
      </c>
      <c r="T283" s="77" t="str">
        <f t="shared" si="17"/>
        <v>NO</v>
      </c>
      <c r="U283" s="77"/>
      <c r="V283" s="67"/>
      <c r="W283" s="67" t="s">
        <v>1466</v>
      </c>
      <c r="X283" s="67"/>
      <c r="Y283" s="67"/>
      <c r="Z283" s="124" t="s">
        <v>743</v>
      </c>
      <c r="AA283" s="124" t="s">
        <v>1169</v>
      </c>
      <c r="AB283" s="285" t="s">
        <v>1177</v>
      </c>
      <c r="AC283" s="375"/>
    </row>
    <row r="284" spans="1:29" ht="114.75" hidden="1">
      <c r="A284" s="67">
        <v>300</v>
      </c>
      <c r="B284" s="69">
        <v>45104</v>
      </c>
      <c r="C284" s="67" t="s">
        <v>75</v>
      </c>
      <c r="D284" s="67" t="s">
        <v>1368</v>
      </c>
      <c r="E284" s="68" t="s">
        <v>1369</v>
      </c>
      <c r="F284" s="67">
        <v>3</v>
      </c>
      <c r="G284" s="67" t="s">
        <v>43</v>
      </c>
      <c r="H284" s="69">
        <v>45107</v>
      </c>
      <c r="I284" s="74" t="s">
        <v>75</v>
      </c>
      <c r="J284" s="69" t="s">
        <v>35</v>
      </c>
      <c r="K284" s="67">
        <f>IFERROR(VLOOKUP(J284,Jueces!$A$1:$B$11,2,FALSE),"")</f>
        <v>3</v>
      </c>
      <c r="L284" s="67" t="s">
        <v>812</v>
      </c>
      <c r="M284" s="67" t="s">
        <v>1386</v>
      </c>
      <c r="N284" s="67" t="s">
        <v>1475</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1244</v>
      </c>
      <c r="X284" s="67"/>
      <c r="Y284" s="67"/>
      <c r="Z284" s="124" t="s">
        <v>743</v>
      </c>
      <c r="AA284" s="124" t="s">
        <v>1169</v>
      </c>
      <c r="AB284" s="285" t="s">
        <v>1176</v>
      </c>
      <c r="AC284" s="375"/>
    </row>
    <row r="285" spans="1:29" ht="38.25" hidden="1">
      <c r="A285" s="67">
        <v>282</v>
      </c>
      <c r="B285" s="69">
        <v>45100</v>
      </c>
      <c r="C285" s="74">
        <v>0.35902777777777778</v>
      </c>
      <c r="D285" s="67" t="s">
        <v>1318</v>
      </c>
      <c r="E285" s="68" t="s">
        <v>1513</v>
      </c>
      <c r="F285" s="67">
        <v>3</v>
      </c>
      <c r="G285" s="67" t="s">
        <v>1443</v>
      </c>
      <c r="H285" s="69">
        <v>45110</v>
      </c>
      <c r="I285" s="74" t="s">
        <v>73</v>
      </c>
      <c r="J285" s="69" t="s">
        <v>1221</v>
      </c>
      <c r="K285" s="67">
        <f>IFERROR(VLOOKUP(J285,Jueces!$A$1:$B$11,2,FALSE),"")</f>
        <v>7</v>
      </c>
      <c r="L285" s="67" t="s">
        <v>812</v>
      </c>
      <c r="M285" s="67" t="s">
        <v>693</v>
      </c>
      <c r="N285" s="67" t="s">
        <v>1505</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1506</v>
      </c>
      <c r="Y285" s="67"/>
      <c r="Z285" s="124" t="s">
        <v>770</v>
      </c>
      <c r="AA285" s="124" t="s">
        <v>1169</v>
      </c>
      <c r="AB285" s="124" t="s">
        <v>1174</v>
      </c>
      <c r="AC285" s="375"/>
    </row>
    <row r="286" spans="1:29" ht="38.25" hidden="1">
      <c r="A286" s="67">
        <v>283</v>
      </c>
      <c r="B286" s="69">
        <v>45100</v>
      </c>
      <c r="C286" s="74">
        <v>0.42638888888888887</v>
      </c>
      <c r="D286" s="67" t="s">
        <v>1312</v>
      </c>
      <c r="E286" s="68" t="s">
        <v>1514</v>
      </c>
      <c r="F286" s="67">
        <v>2</v>
      </c>
      <c r="G286" s="67" t="s">
        <v>568</v>
      </c>
      <c r="H286" s="69">
        <v>45110</v>
      </c>
      <c r="I286" s="67" t="s">
        <v>73</v>
      </c>
      <c r="J286" s="69" t="s">
        <v>78</v>
      </c>
      <c r="K286" s="67">
        <f>IFERROR(VLOOKUP(J286,Jueces!$A$1:$B$11,2,FALSE),"")</f>
        <v>8</v>
      </c>
      <c r="L286" s="67" t="s">
        <v>811</v>
      </c>
      <c r="M286" s="67" t="s">
        <v>1498</v>
      </c>
      <c r="N286" s="67" t="s">
        <v>899</v>
      </c>
      <c r="O286" s="67" t="str">
        <f t="shared" ca="1" si="18"/>
        <v>SI</v>
      </c>
      <c r="P286" s="67" t="str">
        <f t="shared" si="19"/>
        <v>DIANOSOL</v>
      </c>
      <c r="Q286" s="67" t="s">
        <v>899</v>
      </c>
      <c r="R286" s="7" t="str">
        <f>VLOOKUP($Q286,Resultados!$A$1:$B$49,2,FALSE)</f>
        <v>Libertad</v>
      </c>
      <c r="S286" s="67" t="s">
        <v>1297</v>
      </c>
      <c r="T286" s="77" t="str">
        <f t="shared" si="17"/>
        <v>NO</v>
      </c>
      <c r="U286" s="77"/>
      <c r="V286" s="67"/>
      <c r="W286" s="67" t="s">
        <v>1497</v>
      </c>
      <c r="X286" s="67" t="s">
        <v>1507</v>
      </c>
      <c r="Y286" s="67"/>
      <c r="Z286" s="124" t="s">
        <v>1041</v>
      </c>
      <c r="AA286" s="124" t="s">
        <v>1171</v>
      </c>
      <c r="AB286" s="124" t="s">
        <v>1173</v>
      </c>
      <c r="AC286" s="375"/>
    </row>
    <row r="287" spans="1:29" ht="76.5" hidden="1">
      <c r="A287" s="67">
        <v>284</v>
      </c>
      <c r="B287" s="69">
        <v>45100</v>
      </c>
      <c r="C287" s="74">
        <v>0.43958333333333338</v>
      </c>
      <c r="D287" s="67" t="s">
        <v>1314</v>
      </c>
      <c r="E287" s="68" t="s">
        <v>1515</v>
      </c>
      <c r="F287" s="67">
        <v>2</v>
      </c>
      <c r="G287" s="67" t="s">
        <v>29</v>
      </c>
      <c r="H287" s="69">
        <v>45110</v>
      </c>
      <c r="I287" s="67" t="s">
        <v>73</v>
      </c>
      <c r="J287" s="69" t="s">
        <v>35</v>
      </c>
      <c r="K287" s="67">
        <f>IFERROR(VLOOKUP(J287,Jueces!$A$1:$B$11,2,FALSE),"")</f>
        <v>3</v>
      </c>
      <c r="L287" s="67" t="s">
        <v>326</v>
      </c>
      <c r="M287" s="67" t="s">
        <v>1179</v>
      </c>
      <c r="N287" s="67" t="s">
        <v>1495</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1496</v>
      </c>
      <c r="Y287" s="67"/>
      <c r="Z287" s="124" t="s">
        <v>1042</v>
      </c>
      <c r="AA287" s="124" t="s">
        <v>743</v>
      </c>
      <c r="AB287" s="124" t="s">
        <v>1175</v>
      </c>
      <c r="AC287" s="375"/>
    </row>
    <row r="288" spans="1:29" ht="51" hidden="1">
      <c r="A288" s="67">
        <v>315</v>
      </c>
      <c r="B288" s="69">
        <v>45105</v>
      </c>
      <c r="C288" s="74">
        <v>0.5395833333333333</v>
      </c>
      <c r="D288" s="67" t="s">
        <v>1410</v>
      </c>
      <c r="E288" s="68" t="s">
        <v>1516</v>
      </c>
      <c r="F288" s="67">
        <v>2</v>
      </c>
      <c r="G288" s="67" t="s">
        <v>32</v>
      </c>
      <c r="H288" s="69">
        <v>45110</v>
      </c>
      <c r="I288" s="69" t="s">
        <v>73</v>
      </c>
      <c r="J288" s="69" t="s">
        <v>1220</v>
      </c>
      <c r="K288" s="67">
        <f>IFERROR(VLOOKUP(J288,Jueces!$A$1:$B$11,2,FALSE),"")</f>
        <v>1</v>
      </c>
      <c r="L288" s="67" t="s">
        <v>791</v>
      </c>
      <c r="M288" s="67" t="s">
        <v>1434</v>
      </c>
      <c r="N288" s="67" t="s">
        <v>510</v>
      </c>
      <c r="O288" s="67" t="str">
        <f t="shared" ca="1" si="18"/>
        <v>SI</v>
      </c>
      <c r="P288" s="67" t="str">
        <f t="shared" si="19"/>
        <v>DIANOSOL</v>
      </c>
      <c r="Q288" s="67" t="s">
        <v>899</v>
      </c>
      <c r="R288" s="7" t="str">
        <f>VLOOKUP($Q288,Resultados!$A$1:$B$49,2,FALSE)</f>
        <v>Libertad</v>
      </c>
      <c r="S288" s="67" t="s">
        <v>1499</v>
      </c>
      <c r="T288" s="77" t="str">
        <f t="shared" si="17"/>
        <v>NO</v>
      </c>
      <c r="U288" s="77"/>
      <c r="V288" s="67"/>
      <c r="W288" s="67" t="s">
        <v>1130</v>
      </c>
      <c r="X288" s="67" t="s">
        <v>1508</v>
      </c>
      <c r="Y288" s="67"/>
      <c r="Z288" s="124" t="s">
        <v>748</v>
      </c>
      <c r="AA288" s="124" t="s">
        <v>1169</v>
      </c>
      <c r="AB288" s="124" t="s">
        <v>1177</v>
      </c>
      <c r="AC288" s="375"/>
    </row>
    <row r="289" spans="1:29" ht="38.25" hidden="1">
      <c r="A289" s="67">
        <v>268</v>
      </c>
      <c r="B289" s="69">
        <v>45099</v>
      </c>
      <c r="C289" s="74" t="s">
        <v>76</v>
      </c>
      <c r="D289" s="67" t="s">
        <v>1262</v>
      </c>
      <c r="E289" s="68" t="s">
        <v>1517</v>
      </c>
      <c r="F289" s="67">
        <v>2</v>
      </c>
      <c r="G289" s="67" t="s">
        <v>1443</v>
      </c>
      <c r="H289" s="69">
        <v>45110</v>
      </c>
      <c r="I289" s="67" t="s">
        <v>1086</v>
      </c>
      <c r="J289" s="69" t="s">
        <v>1221</v>
      </c>
      <c r="K289" s="67">
        <f>IFERROR(VLOOKUP(J289,Jueces!$A$1:$B$11,2,FALSE),"")</f>
        <v>7</v>
      </c>
      <c r="L289" s="67" t="s">
        <v>813</v>
      </c>
      <c r="M289" s="67" t="s">
        <v>1290</v>
      </c>
      <c r="N289" s="67" t="s">
        <v>1503</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1504</v>
      </c>
      <c r="Y289" s="67"/>
      <c r="Z289" s="124" t="s">
        <v>743</v>
      </c>
      <c r="AA289" s="124" t="s">
        <v>1169</v>
      </c>
      <c r="AB289" s="124" t="s">
        <v>1176</v>
      </c>
      <c r="AC289" s="375"/>
    </row>
    <row r="290" spans="1:29" ht="89.25" hidden="1">
      <c r="A290" s="7">
        <v>289</v>
      </c>
      <c r="B290" s="19">
        <v>45100</v>
      </c>
      <c r="C290" s="15">
        <v>0.4770833333333333</v>
      </c>
      <c r="D290" s="7" t="s">
        <v>1320</v>
      </c>
      <c r="E290" s="41" t="s">
        <v>1518</v>
      </c>
      <c r="F290" s="7">
        <v>3</v>
      </c>
      <c r="G290" s="7" t="s">
        <v>43</v>
      </c>
      <c r="H290" s="19">
        <v>45110</v>
      </c>
      <c r="I290" s="7" t="s">
        <v>1086</v>
      </c>
      <c r="J290" s="69" t="s">
        <v>1220</v>
      </c>
      <c r="K290" s="67">
        <f>IFERROR(VLOOKUP(J290,Jueces!$A$1:$B$11,2,FALSE),"")</f>
        <v>1</v>
      </c>
      <c r="L290" s="7" t="s">
        <v>812</v>
      </c>
      <c r="M290" s="7" t="s">
        <v>693</v>
      </c>
      <c r="N290" s="7" t="s">
        <v>1511</v>
      </c>
      <c r="O290" s="7" t="str">
        <f t="shared" ca="1" si="18"/>
        <v>SI</v>
      </c>
      <c r="P290" s="7" t="str">
        <f t="shared" si="19"/>
        <v>DIANOSOL</v>
      </c>
      <c r="Q290" s="7" t="s">
        <v>1512</v>
      </c>
      <c r="R290" s="7" t="str">
        <f>VLOOKUP($Q290,Resultados!$A$1:$B$49,2,FALSE)</f>
        <v>Juicio Abreviado</v>
      </c>
      <c r="S290" s="7" t="s">
        <v>1509</v>
      </c>
      <c r="T290" s="72" t="str">
        <f t="shared" si="17"/>
        <v>NO</v>
      </c>
      <c r="U290" s="72"/>
      <c r="V290" s="7"/>
      <c r="W290" s="7" t="s">
        <v>1510</v>
      </c>
      <c r="X290" s="7"/>
      <c r="Y290" s="7"/>
      <c r="Z290" s="285" t="s">
        <v>770</v>
      </c>
      <c r="AA290" s="124" t="s">
        <v>1171</v>
      </c>
      <c r="AB290" s="285" t="s">
        <v>1174</v>
      </c>
      <c r="AC290" s="375"/>
    </row>
    <row r="291" spans="1:29" ht="38.25" hidden="1">
      <c r="A291" s="112">
        <v>294</v>
      </c>
      <c r="B291" s="267">
        <v>45103</v>
      </c>
      <c r="C291" s="273">
        <v>0.45416666666666666</v>
      </c>
      <c r="D291" s="112" t="s">
        <v>1343</v>
      </c>
      <c r="E291" s="113" t="s">
        <v>1519</v>
      </c>
      <c r="F291" s="112">
        <v>2</v>
      </c>
      <c r="G291" s="67" t="s">
        <v>1442</v>
      </c>
      <c r="H291" s="267">
        <v>45110</v>
      </c>
      <c r="I291" s="112" t="s">
        <v>1086</v>
      </c>
      <c r="J291" s="69" t="s">
        <v>78</v>
      </c>
      <c r="K291" s="67">
        <f>IFERROR(VLOOKUP(J291,Jueces!$A$1:$B$11,2,FALSE),"")</f>
        <v>8</v>
      </c>
      <c r="L291" s="67" t="s">
        <v>1502</v>
      </c>
      <c r="M291" s="67" t="s">
        <v>1179</v>
      </c>
      <c r="N291" s="112" t="s">
        <v>1500</v>
      </c>
      <c r="O291" s="67" t="str">
        <f t="shared" ca="1" si="18"/>
        <v>SI</v>
      </c>
      <c r="P291" s="67" t="str">
        <f t="shared" si="19"/>
        <v>DIANOSOL</v>
      </c>
      <c r="Q291" s="112" t="s">
        <v>905</v>
      </c>
      <c r="R291" s="7" t="str">
        <f>VLOOKUP($Q291,Resultados!$A$1:$B$49,2,FALSE)</f>
        <v>Juicio Abreviado</v>
      </c>
      <c r="S291" s="273">
        <v>0.3923611111111111</v>
      </c>
      <c r="T291" s="77" t="str">
        <f t="shared" si="17"/>
        <v>SI</v>
      </c>
      <c r="U291" s="114"/>
      <c r="V291" s="112"/>
      <c r="W291" s="273">
        <v>0.40208333333333335</v>
      </c>
      <c r="X291" s="112" t="s">
        <v>1501</v>
      </c>
      <c r="Y291" s="112"/>
      <c r="Z291" s="285" t="s">
        <v>1041</v>
      </c>
      <c r="AA291" s="124" t="s">
        <v>743</v>
      </c>
      <c r="AB291" s="124" t="s">
        <v>1173</v>
      </c>
      <c r="AC291" s="375"/>
    </row>
    <row r="292" spans="1:29" ht="38.25" hidden="1">
      <c r="A292" s="67">
        <v>286</v>
      </c>
      <c r="B292" s="69">
        <v>45100</v>
      </c>
      <c r="C292" s="74">
        <v>0.39583333333333331</v>
      </c>
      <c r="D292" s="67" t="s">
        <v>1315</v>
      </c>
      <c r="E292" s="68" t="s">
        <v>1546</v>
      </c>
      <c r="F292" s="67">
        <v>3</v>
      </c>
      <c r="G292" s="67" t="s">
        <v>32</v>
      </c>
      <c r="H292" s="69">
        <v>45111</v>
      </c>
      <c r="I292" s="67" t="s">
        <v>73</v>
      </c>
      <c r="J292" s="69" t="s">
        <v>1221</v>
      </c>
      <c r="K292" s="67">
        <f>IFERROR(VLOOKUP(J292,Jueces!$A$1:$B$11,2,FALSE),"")</f>
        <v>7</v>
      </c>
      <c r="L292" s="67" t="s">
        <v>807</v>
      </c>
      <c r="M292" s="67" t="s">
        <v>1527</v>
      </c>
      <c r="N292" s="67" t="s">
        <v>1528</v>
      </c>
      <c r="O292" s="67" t="str">
        <f t="shared" ca="1" si="18"/>
        <v>SI</v>
      </c>
      <c r="P292" s="67" t="str">
        <f t="shared" si="19"/>
        <v>DIANOSOL</v>
      </c>
      <c r="Q292" s="67" t="s">
        <v>151</v>
      </c>
      <c r="R292" s="7" t="str">
        <f>VLOOKUP($Q292,Resultados!$A$1:$B$49,2,FALSE)</f>
        <v>Prisión Preventiva</v>
      </c>
      <c r="S292" s="67" t="s">
        <v>1427</v>
      </c>
      <c r="T292" s="77" t="str">
        <f t="shared" si="17"/>
        <v>NO</v>
      </c>
      <c r="U292" s="77"/>
      <c r="V292" s="67"/>
      <c r="W292" s="67" t="s">
        <v>1008</v>
      </c>
      <c r="X292" s="67" t="s">
        <v>1529</v>
      </c>
      <c r="Y292" s="67"/>
      <c r="Z292" s="124" t="s">
        <v>1042</v>
      </c>
      <c r="AA292" s="124" t="s">
        <v>1169</v>
      </c>
      <c r="AB292" s="124" t="s">
        <v>1175</v>
      </c>
      <c r="AC292" s="375"/>
    </row>
    <row r="293" spans="1:29" ht="63.75" hidden="1">
      <c r="A293" s="67">
        <v>290</v>
      </c>
      <c r="B293" s="69">
        <v>45100</v>
      </c>
      <c r="C293" s="74">
        <v>0.5083333333333333</v>
      </c>
      <c r="D293" s="67" t="s">
        <v>1327</v>
      </c>
      <c r="E293" s="68" t="s">
        <v>1545</v>
      </c>
      <c r="F293" s="67">
        <v>1</v>
      </c>
      <c r="G293" s="67" t="s">
        <v>1441</v>
      </c>
      <c r="H293" s="69">
        <v>45111</v>
      </c>
      <c r="I293" s="67" t="s">
        <v>73</v>
      </c>
      <c r="J293" s="69" t="s">
        <v>35</v>
      </c>
      <c r="K293" s="67">
        <f>IFERROR(VLOOKUP(J293,Jueces!$A$1:$B$11,2,FALSE),"")</f>
        <v>3</v>
      </c>
      <c r="L293" s="67" t="s">
        <v>405</v>
      </c>
      <c r="M293" s="67" t="s">
        <v>1087</v>
      </c>
      <c r="N293" s="67" t="s">
        <v>1530</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1531</v>
      </c>
      <c r="Y293" s="67"/>
      <c r="Z293" s="124" t="s">
        <v>748</v>
      </c>
      <c r="AA293" s="124" t="s">
        <v>1171</v>
      </c>
      <c r="AB293" s="124" t="s">
        <v>1173</v>
      </c>
      <c r="AC293" s="375"/>
    </row>
    <row r="294" spans="1:29" ht="38.25" hidden="1">
      <c r="A294" s="67">
        <v>298</v>
      </c>
      <c r="B294" s="69">
        <v>45104</v>
      </c>
      <c r="C294" s="74" t="s">
        <v>76</v>
      </c>
      <c r="D294" s="67" t="s">
        <v>1411</v>
      </c>
      <c r="E294" s="68" t="s">
        <v>1544</v>
      </c>
      <c r="F294" s="67">
        <v>2</v>
      </c>
      <c r="G294" s="67" t="s">
        <v>1442</v>
      </c>
      <c r="H294" s="69">
        <v>45111</v>
      </c>
      <c r="I294" s="67" t="s">
        <v>73</v>
      </c>
      <c r="J294" s="69" t="s">
        <v>1220</v>
      </c>
      <c r="K294" s="67">
        <f>IFERROR(VLOOKUP(J294,Jueces!$A$1:$B$11,2,FALSE),"")</f>
        <v>1</v>
      </c>
      <c r="L294" s="67" t="s">
        <v>185</v>
      </c>
      <c r="M294" s="67" t="s">
        <v>1179</v>
      </c>
      <c r="N294" s="67" t="s">
        <v>1533</v>
      </c>
      <c r="O294" s="67" t="str">
        <f t="shared" ca="1" si="18"/>
        <v>SI</v>
      </c>
      <c r="P294" s="67" t="str">
        <f t="shared" si="19"/>
        <v>DIANOSOL</v>
      </c>
      <c r="Q294" s="67" t="s">
        <v>904</v>
      </c>
      <c r="R294" s="7" t="str">
        <f>VLOOKUP($Q294,Resultados!$A$1:$B$49,2,FALSE)</f>
        <v>Juicio Abreviado</v>
      </c>
      <c r="S294" s="67" t="s">
        <v>1532</v>
      </c>
      <c r="T294" s="77" t="str">
        <f t="shared" si="17"/>
        <v>SI</v>
      </c>
      <c r="U294" s="77"/>
      <c r="V294" s="67"/>
      <c r="W294" s="67" t="s">
        <v>686</v>
      </c>
      <c r="X294" s="67"/>
      <c r="Y294" s="67"/>
      <c r="Z294" s="124" t="s">
        <v>743</v>
      </c>
      <c r="AA294" s="124" t="s">
        <v>1169</v>
      </c>
      <c r="AB294" s="124" t="s">
        <v>1176</v>
      </c>
      <c r="AC294" s="375"/>
    </row>
    <row r="295" spans="1:29" ht="38.25" hidden="1">
      <c r="A295" s="67">
        <v>304</v>
      </c>
      <c r="B295" s="69">
        <v>45104</v>
      </c>
      <c r="C295" s="67" t="s">
        <v>77</v>
      </c>
      <c r="D295" s="67" t="s">
        <v>1385</v>
      </c>
      <c r="E295" s="68" t="s">
        <v>1543</v>
      </c>
      <c r="F295" s="67">
        <v>2</v>
      </c>
      <c r="G295" s="67" t="s">
        <v>29</v>
      </c>
      <c r="H295" s="69">
        <v>45111</v>
      </c>
      <c r="I295" s="69" t="s">
        <v>73</v>
      </c>
      <c r="J295" s="69" t="s">
        <v>78</v>
      </c>
      <c r="K295" s="67">
        <f>IFERROR(VLOOKUP(J295,Jueces!$A$1:$B$11,2,FALSE),"")</f>
        <v>8</v>
      </c>
      <c r="L295" s="67" t="s">
        <v>812</v>
      </c>
      <c r="M295" s="67" t="s">
        <v>783</v>
      </c>
      <c r="N295" s="67" t="s">
        <v>1534</v>
      </c>
      <c r="O295" s="67" t="str">
        <f t="shared" ca="1" si="18"/>
        <v>SI</v>
      </c>
      <c r="P295" s="67" t="str">
        <f t="shared" si="19"/>
        <v>DIANOSOL</v>
      </c>
      <c r="Q295" s="67" t="s">
        <v>905</v>
      </c>
      <c r="R295" s="7" t="str">
        <f>VLOOKUP($Q295,Resultados!$A$1:$B$49,2,FALSE)</f>
        <v>Juicio Abreviado</v>
      </c>
      <c r="S295" s="67" t="s">
        <v>1237</v>
      </c>
      <c r="T295" s="77" t="str">
        <f t="shared" si="17"/>
        <v>NO</v>
      </c>
      <c r="U295" s="77"/>
      <c r="V295" s="67"/>
      <c r="W295" s="67" t="s">
        <v>1231</v>
      </c>
      <c r="X295" s="67" t="s">
        <v>1535</v>
      </c>
      <c r="Y295" s="67"/>
      <c r="Z295" s="285" t="s">
        <v>770</v>
      </c>
      <c r="AA295" s="124" t="s">
        <v>1171</v>
      </c>
      <c r="AB295" s="285" t="s">
        <v>1174</v>
      </c>
      <c r="AC295" s="375"/>
    </row>
    <row r="296" spans="1:29" ht="38.25" hidden="1">
      <c r="A296" s="67">
        <v>293</v>
      </c>
      <c r="B296" s="69">
        <v>45103</v>
      </c>
      <c r="C296" s="74">
        <v>0.42569444444444443</v>
      </c>
      <c r="D296" s="67" t="s">
        <v>1342</v>
      </c>
      <c r="E296" s="68" t="s">
        <v>1542</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1536</v>
      </c>
      <c r="X296" s="67" t="s">
        <v>1537</v>
      </c>
      <c r="Y296" s="67"/>
      <c r="Z296" s="285" t="s">
        <v>1041</v>
      </c>
      <c r="AA296" s="124" t="s">
        <v>743</v>
      </c>
      <c r="AB296" s="124" t="s">
        <v>1173</v>
      </c>
      <c r="AC296" s="375"/>
    </row>
    <row r="297" spans="1:29" ht="63.75" hidden="1">
      <c r="A297" s="67">
        <v>296</v>
      </c>
      <c r="B297" s="69">
        <v>45103</v>
      </c>
      <c r="C297" s="74">
        <v>0.47013888888888888</v>
      </c>
      <c r="D297" s="67" t="s">
        <v>1345</v>
      </c>
      <c r="E297" s="68" t="s">
        <v>1541</v>
      </c>
      <c r="F297" s="67">
        <v>2</v>
      </c>
      <c r="G297" s="67" t="s">
        <v>1443</v>
      </c>
      <c r="H297" s="69">
        <v>45111</v>
      </c>
      <c r="I297" s="67" t="s">
        <v>1086</v>
      </c>
      <c r="J297" s="69" t="s">
        <v>1222</v>
      </c>
      <c r="K297" s="67" t="s">
        <v>1520</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1396</v>
      </c>
      <c r="X297" s="67"/>
      <c r="Y297" s="67"/>
      <c r="Z297" s="124" t="s">
        <v>1042</v>
      </c>
      <c r="AA297" s="124" t="s">
        <v>743</v>
      </c>
      <c r="AB297" s="124" t="s">
        <v>1175</v>
      </c>
      <c r="AC297" s="375"/>
    </row>
    <row r="298" spans="1:29" ht="102" hidden="1">
      <c r="A298" s="67">
        <v>305</v>
      </c>
      <c r="B298" s="69">
        <v>45104</v>
      </c>
      <c r="C298" s="74">
        <v>0.45833333333333331</v>
      </c>
      <c r="D298" s="67" t="s">
        <v>1383</v>
      </c>
      <c r="E298" s="68" t="s">
        <v>1540</v>
      </c>
      <c r="F298" s="67">
        <v>2</v>
      </c>
      <c r="G298" s="67" t="s">
        <v>43</v>
      </c>
      <c r="H298" s="69">
        <v>45111</v>
      </c>
      <c r="I298" s="67" t="s">
        <v>1086</v>
      </c>
      <c r="J298" s="69" t="s">
        <v>1221</v>
      </c>
      <c r="K298" s="67">
        <f>IFERROR(VLOOKUP(J298,Jueces!$A$1:$B$11,2,FALSE),"")</f>
        <v>7</v>
      </c>
      <c r="L298" s="67" t="s">
        <v>1502</v>
      </c>
      <c r="M298" s="67" t="s">
        <v>1179</v>
      </c>
      <c r="N298" s="67" t="s">
        <v>235</v>
      </c>
      <c r="O298" s="67" t="str">
        <f t="shared" ca="1" si="18"/>
        <v>SI</v>
      </c>
      <c r="P298" s="67" t="str">
        <f t="shared" si="19"/>
        <v>DIANOSOL</v>
      </c>
      <c r="Q298" s="67" t="s">
        <v>151</v>
      </c>
      <c r="R298" s="7" t="str">
        <f>VLOOKUP($Q298,Resultados!$A$1:$B$49,2,FALSE)</f>
        <v>Prisión Preventiva</v>
      </c>
      <c r="S298" s="67" t="s">
        <v>1538</v>
      </c>
      <c r="T298" s="77" t="str">
        <f t="shared" ref="T298:T361" si="20">IF(G298=$J$1,"SI","NO")</f>
        <v>NO</v>
      </c>
      <c r="U298" s="77"/>
      <c r="V298" s="67"/>
      <c r="W298" s="67" t="s">
        <v>1465</v>
      </c>
      <c r="X298" s="67" t="s">
        <v>1539</v>
      </c>
      <c r="Y298" s="67"/>
      <c r="Z298" s="124" t="s">
        <v>748</v>
      </c>
      <c r="AA298" s="124" t="s">
        <v>1169</v>
      </c>
      <c r="AB298" s="124" t="s">
        <v>1177</v>
      </c>
      <c r="AC298" s="375"/>
    </row>
    <row r="299" spans="1:29" ht="38.25" hidden="1">
      <c r="A299" s="67">
        <v>278</v>
      </c>
      <c r="B299" s="69">
        <v>45099</v>
      </c>
      <c r="C299" s="74">
        <v>0.52430555555555558</v>
      </c>
      <c r="D299" s="67" t="s">
        <v>1283</v>
      </c>
      <c r="E299" s="68" t="s">
        <v>1586</v>
      </c>
      <c r="F299" s="67">
        <v>2</v>
      </c>
      <c r="G299" s="67" t="s">
        <v>568</v>
      </c>
      <c r="H299" s="69">
        <v>45112</v>
      </c>
      <c r="I299" s="67" t="s">
        <v>73</v>
      </c>
      <c r="J299" s="69" t="s">
        <v>35</v>
      </c>
      <c r="K299" s="67">
        <f>IFERROR(VLOOKUP(J299,Jueces!$A$1:$B$11,2,FALSE),"")</f>
        <v>3</v>
      </c>
      <c r="L299" s="67" t="s">
        <v>688</v>
      </c>
      <c r="M299" s="67" t="s">
        <v>1179</v>
      </c>
      <c r="N299" s="67" t="s">
        <v>235</v>
      </c>
      <c r="O299" s="67" t="str">
        <f t="shared" ca="1" si="18"/>
        <v>SI</v>
      </c>
      <c r="P299" s="67" t="str">
        <f t="shared" si="19"/>
        <v>DIANOSOL</v>
      </c>
      <c r="Q299" s="67" t="s">
        <v>151</v>
      </c>
      <c r="R299" s="7" t="str">
        <f>VLOOKUP($Q299,Resultados!$A$1:$B$49,2,FALSE)</f>
        <v>Prisión Preventiva</v>
      </c>
      <c r="S299" s="67" t="s">
        <v>1584</v>
      </c>
      <c r="T299" s="77" t="str">
        <f t="shared" si="20"/>
        <v>NO</v>
      </c>
      <c r="U299" s="77"/>
      <c r="V299" s="67"/>
      <c r="W299" s="67" t="s">
        <v>1497</v>
      </c>
      <c r="X299" s="67" t="s">
        <v>1585</v>
      </c>
      <c r="Y299" s="67"/>
      <c r="Z299" s="124" t="s">
        <v>743</v>
      </c>
      <c r="AA299" s="124" t="s">
        <v>1171</v>
      </c>
      <c r="AB299" s="124" t="s">
        <v>1176</v>
      </c>
      <c r="AC299" s="375"/>
    </row>
    <row r="300" spans="1:29" ht="51" hidden="1">
      <c r="A300" s="67">
        <v>291</v>
      </c>
      <c r="B300" s="69">
        <v>45103</v>
      </c>
      <c r="C300" s="74">
        <v>0.39444444444444443</v>
      </c>
      <c r="D300" s="67" t="s">
        <v>1339</v>
      </c>
      <c r="E300" s="68" t="s">
        <v>1590</v>
      </c>
      <c r="F300" s="67">
        <v>3</v>
      </c>
      <c r="G300" s="67" t="s">
        <v>1443</v>
      </c>
      <c r="H300" s="69">
        <v>45112</v>
      </c>
      <c r="I300" s="67" t="s">
        <v>73</v>
      </c>
      <c r="J300" s="69" t="s">
        <v>1221</v>
      </c>
      <c r="K300" s="67">
        <f>IFERROR(VLOOKUP(J300,Jueces!$A$1:$B$11,2,FALSE),"")</f>
        <v>7</v>
      </c>
      <c r="L300" s="67" t="s">
        <v>812</v>
      </c>
      <c r="M300" s="67" t="s">
        <v>1579</v>
      </c>
      <c r="N300" s="67" t="s">
        <v>1580</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1578</v>
      </c>
      <c r="X300" s="67" t="s">
        <v>1581</v>
      </c>
      <c r="Y300" s="67"/>
      <c r="Z300" s="285" t="s">
        <v>770</v>
      </c>
      <c r="AA300" s="124" t="s">
        <v>1169</v>
      </c>
      <c r="AB300" s="285" t="s">
        <v>1173</v>
      </c>
      <c r="AC300" s="375"/>
    </row>
    <row r="301" spans="1:29" ht="51" hidden="1">
      <c r="A301" s="67">
        <v>297</v>
      </c>
      <c r="B301" s="69">
        <v>45103</v>
      </c>
      <c r="C301" s="74">
        <v>0.55277777777777781</v>
      </c>
      <c r="D301" s="67" t="s">
        <v>1348</v>
      </c>
      <c r="E301" s="68" t="s">
        <v>1591</v>
      </c>
      <c r="F301" s="67">
        <v>4</v>
      </c>
      <c r="G301" s="67" t="s">
        <v>29</v>
      </c>
      <c r="H301" s="69">
        <v>45112</v>
      </c>
      <c r="I301" s="67" t="s">
        <v>73</v>
      </c>
      <c r="J301" s="69" t="s">
        <v>1222</v>
      </c>
      <c r="K301" s="67" t="s">
        <v>1436</v>
      </c>
      <c r="L301" s="67" t="s">
        <v>814</v>
      </c>
      <c r="M301" s="67" t="s">
        <v>1350</v>
      </c>
      <c r="N301" s="67" t="s">
        <v>1588</v>
      </c>
      <c r="O301" s="67" t="str">
        <f t="shared" ca="1" si="18"/>
        <v>SI</v>
      </c>
      <c r="P301" s="67" t="str">
        <f t="shared" si="19"/>
        <v>DIANOSOL</v>
      </c>
      <c r="Q301" s="67" t="s">
        <v>151</v>
      </c>
      <c r="R301" s="7" t="str">
        <f>VLOOKUP($Q301,Resultados!$A$1:$B$49,2,FALSE)</f>
        <v>Prisión Preventiva</v>
      </c>
      <c r="S301" s="67" t="s">
        <v>1587</v>
      </c>
      <c r="T301" s="77" t="str">
        <f t="shared" si="20"/>
        <v>NO</v>
      </c>
      <c r="U301" s="77"/>
      <c r="V301" s="67"/>
      <c r="W301" s="67" t="s">
        <v>1497</v>
      </c>
      <c r="X301" s="67" t="s">
        <v>1589</v>
      </c>
      <c r="Y301" s="67"/>
      <c r="Z301" s="285" t="s">
        <v>1041</v>
      </c>
      <c r="AA301" s="124" t="s">
        <v>1171</v>
      </c>
      <c r="AB301" s="124" t="s">
        <v>1175</v>
      </c>
      <c r="AC301" s="375"/>
    </row>
    <row r="302" spans="1:29" ht="38.25" hidden="1">
      <c r="A302" s="67">
        <v>281</v>
      </c>
      <c r="B302" s="69">
        <v>45100</v>
      </c>
      <c r="C302" s="74">
        <v>0.35138888888888892</v>
      </c>
      <c r="D302" s="67" t="s">
        <v>1319</v>
      </c>
      <c r="E302" s="68" t="s">
        <v>1574</v>
      </c>
      <c r="F302" s="67">
        <v>3</v>
      </c>
      <c r="G302" s="67" t="s">
        <v>1442</v>
      </c>
      <c r="H302" s="69">
        <v>45112</v>
      </c>
      <c r="I302" s="67" t="s">
        <v>1086</v>
      </c>
      <c r="J302" s="69" t="s">
        <v>1220</v>
      </c>
      <c r="K302" s="67">
        <f>IFERROR(VLOOKUP(J302,Jueces!$A$1:$B$11,2,FALSE),"")</f>
        <v>1</v>
      </c>
      <c r="L302" s="67" t="s">
        <v>797</v>
      </c>
      <c r="M302" s="67" t="s">
        <v>1571</v>
      </c>
      <c r="N302" s="67" t="s">
        <v>1572</v>
      </c>
      <c r="O302" s="67" t="str">
        <f t="shared" ca="1" si="18"/>
        <v>SI</v>
      </c>
      <c r="P302" s="67" t="str">
        <f t="shared" si="19"/>
        <v>DIANOSOL</v>
      </c>
      <c r="Q302" s="67" t="s">
        <v>902</v>
      </c>
      <c r="R302" s="7" t="str">
        <f>VLOOKUP($Q302,Resultados!$A$1:$B$49,2,FALSE)</f>
        <v>Libertad</v>
      </c>
      <c r="S302" s="67" t="s">
        <v>1193</v>
      </c>
      <c r="T302" s="77" t="str">
        <f t="shared" si="20"/>
        <v>SI</v>
      </c>
      <c r="U302" s="77"/>
      <c r="V302" s="67"/>
      <c r="W302" s="67" t="s">
        <v>1570</v>
      </c>
      <c r="X302" s="67" t="s">
        <v>1573</v>
      </c>
      <c r="Y302" s="67"/>
      <c r="Z302" s="124" t="s">
        <v>1042</v>
      </c>
      <c r="AA302" s="124" t="s">
        <v>743</v>
      </c>
      <c r="AB302" s="124" t="s">
        <v>1177</v>
      </c>
      <c r="AC302" s="375"/>
    </row>
    <row r="303" spans="1:29" ht="38.25" hidden="1">
      <c r="A303" s="67">
        <v>307</v>
      </c>
      <c r="B303" s="69">
        <v>45104</v>
      </c>
      <c r="C303" s="74">
        <v>0.53125</v>
      </c>
      <c r="D303" s="67" t="s">
        <v>1113</v>
      </c>
      <c r="E303" s="68" t="s">
        <v>1576</v>
      </c>
      <c r="F303" s="67">
        <v>2</v>
      </c>
      <c r="G303" s="67" t="s">
        <v>32</v>
      </c>
      <c r="H303" s="69">
        <v>45112</v>
      </c>
      <c r="I303" s="69" t="s">
        <v>1086</v>
      </c>
      <c r="J303" s="69" t="s">
        <v>78</v>
      </c>
      <c r="K303" s="67">
        <f>IFERROR(VLOOKUP(J303,Jueces!$A$1:$B$11,2,FALSE),"")</f>
        <v>8</v>
      </c>
      <c r="L303" s="67" t="s">
        <v>809</v>
      </c>
      <c r="M303" s="67" t="s">
        <v>713</v>
      </c>
      <c r="N303" s="67" t="s">
        <v>1577</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1132</v>
      </c>
      <c r="X303" s="67" t="s">
        <v>1575</v>
      </c>
      <c r="Y303" s="67"/>
      <c r="Z303" s="124" t="s">
        <v>748</v>
      </c>
      <c r="AA303" s="124" t="s">
        <v>1171</v>
      </c>
      <c r="AB303" s="124" t="s">
        <v>1176</v>
      </c>
      <c r="AC303" s="375"/>
    </row>
    <row r="304" spans="1:29" ht="89.25" hidden="1">
      <c r="A304" s="67">
        <v>288</v>
      </c>
      <c r="B304" s="69">
        <v>45100</v>
      </c>
      <c r="C304" s="74">
        <v>0.38541666666666669</v>
      </c>
      <c r="D304" s="67" t="s">
        <v>1317</v>
      </c>
      <c r="E304" s="68" t="s">
        <v>1615</v>
      </c>
      <c r="F304" s="67">
        <v>2</v>
      </c>
      <c r="G304" s="67" t="s">
        <v>29</v>
      </c>
      <c r="H304" s="69">
        <v>45113</v>
      </c>
      <c r="I304" s="67" t="s">
        <v>73</v>
      </c>
      <c r="J304" s="69" t="s">
        <v>1222</v>
      </c>
      <c r="K304" s="67" t="s">
        <v>1346</v>
      </c>
      <c r="L304" s="67" t="s">
        <v>688</v>
      </c>
      <c r="M304" s="67" t="s">
        <v>1648</v>
      </c>
      <c r="N304" s="67" t="s">
        <v>1610</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1609</v>
      </c>
      <c r="X304" s="67" t="s">
        <v>1506</v>
      </c>
      <c r="Y304" s="67"/>
      <c r="Z304" s="124" t="s">
        <v>743</v>
      </c>
      <c r="AA304" s="124" t="s">
        <v>1169</v>
      </c>
      <c r="AB304" s="124" t="s">
        <v>1173</v>
      </c>
      <c r="AC304" s="375"/>
    </row>
    <row r="305" spans="1:29" ht="89.25" hidden="1">
      <c r="A305" s="67">
        <v>292</v>
      </c>
      <c r="B305" s="69">
        <v>45103</v>
      </c>
      <c r="C305" s="74">
        <v>0.39652777777777781</v>
      </c>
      <c r="D305" s="67" t="s">
        <v>1340</v>
      </c>
      <c r="E305" s="68" t="s">
        <v>1617</v>
      </c>
      <c r="F305" s="67">
        <v>3</v>
      </c>
      <c r="G305" s="67" t="s">
        <v>283</v>
      </c>
      <c r="H305" s="69">
        <v>45113</v>
      </c>
      <c r="I305" s="67" t="s">
        <v>73</v>
      </c>
      <c r="J305" s="69" t="s">
        <v>35</v>
      </c>
      <c r="K305" s="67">
        <f>IFERROR(VLOOKUP(J305,Jueces!$A$1:$B$11,2,FALSE),"")</f>
        <v>3</v>
      </c>
      <c r="L305" s="67" t="s">
        <v>813</v>
      </c>
      <c r="M305" s="67" t="s">
        <v>693</v>
      </c>
      <c r="N305" s="67" t="s">
        <v>1614</v>
      </c>
      <c r="O305" s="67" t="str">
        <f t="shared" ca="1" si="18"/>
        <v>SI</v>
      </c>
      <c r="P305" s="67" t="str">
        <f t="shared" si="19"/>
        <v>DIANOSOL</v>
      </c>
      <c r="Q305" s="67" t="s">
        <v>905</v>
      </c>
      <c r="R305" s="7" t="str">
        <f>VLOOKUP($Q305,Resultados!$A$1:$B$49,2,FALSE)</f>
        <v>Juicio Abreviado</v>
      </c>
      <c r="S305" s="67" t="s">
        <v>1612</v>
      </c>
      <c r="T305" s="77" t="str">
        <f t="shared" si="20"/>
        <v>NO</v>
      </c>
      <c r="U305" s="77"/>
      <c r="V305" s="67"/>
      <c r="W305" s="67" t="s">
        <v>1138</v>
      </c>
      <c r="X305" s="67" t="s">
        <v>1613</v>
      </c>
      <c r="Y305" s="67"/>
      <c r="Z305" s="285" t="s">
        <v>770</v>
      </c>
      <c r="AA305" s="124" t="s">
        <v>1171</v>
      </c>
      <c r="AB305" s="285" t="s">
        <v>1175</v>
      </c>
      <c r="AC305" s="375"/>
    </row>
    <row r="306" spans="1:29" ht="38.25" hidden="1">
      <c r="A306" s="67">
        <v>311</v>
      </c>
      <c r="B306" s="69">
        <v>45105</v>
      </c>
      <c r="C306" s="74">
        <v>0.46666666666666662</v>
      </c>
      <c r="D306" s="67" t="s">
        <v>1412</v>
      </c>
      <c r="E306" s="68" t="s">
        <v>1616</v>
      </c>
      <c r="F306" s="67">
        <v>2</v>
      </c>
      <c r="G306" s="67" t="s">
        <v>43</v>
      </c>
      <c r="H306" s="69">
        <v>45113</v>
      </c>
      <c r="I306" s="69" t="s">
        <v>73</v>
      </c>
      <c r="J306" s="69" t="s">
        <v>1221</v>
      </c>
      <c r="K306" s="67">
        <f>IFERROR(VLOOKUP(J306,Jueces!$A$1:$B$11,2,FALSE),"")</f>
        <v>7</v>
      </c>
      <c r="L306" s="67" t="s">
        <v>807</v>
      </c>
      <c r="M306" s="67" t="s">
        <v>782</v>
      </c>
      <c r="N306" s="67" t="s">
        <v>1611</v>
      </c>
      <c r="O306" s="67" t="str">
        <f t="shared" ca="1" si="18"/>
        <v>SI</v>
      </c>
      <c r="P306" s="67" t="str">
        <f t="shared" si="19"/>
        <v>DIANOSOL</v>
      </c>
      <c r="Q306" s="67" t="s">
        <v>909</v>
      </c>
      <c r="R306" s="7" t="str">
        <f>VLOOKUP($Q306,Resultados!$A$1:$B$49,2,FALSE)</f>
        <v>Suspensión de juicio a prueba</v>
      </c>
      <c r="S306" s="67" t="s">
        <v>1129</v>
      </c>
      <c r="T306" s="77" t="str">
        <f t="shared" si="20"/>
        <v>NO</v>
      </c>
      <c r="U306" s="77"/>
      <c r="V306" s="67"/>
      <c r="W306" s="67" t="s">
        <v>1238</v>
      </c>
      <c r="X306" s="67" t="s">
        <v>1506</v>
      </c>
      <c r="Y306" s="67"/>
      <c r="Z306" s="285" t="s">
        <v>1041</v>
      </c>
      <c r="AA306" s="124" t="s">
        <v>743</v>
      </c>
      <c r="AB306" s="124" t="s">
        <v>1177</v>
      </c>
      <c r="AC306" s="375"/>
    </row>
    <row r="307" spans="1:29" ht="76.5" hidden="1">
      <c r="A307" s="67">
        <v>318</v>
      </c>
      <c r="B307" s="69">
        <v>45106</v>
      </c>
      <c r="C307" s="74">
        <v>0.34097222222222223</v>
      </c>
      <c r="D307" s="67" t="s">
        <v>1419</v>
      </c>
      <c r="E307" s="68" t="s">
        <v>1618</v>
      </c>
      <c r="F307" s="67">
        <v>3</v>
      </c>
      <c r="G307" s="67" t="s">
        <v>1443</v>
      </c>
      <c r="H307" s="69">
        <v>45113</v>
      </c>
      <c r="I307" s="69" t="s">
        <v>73</v>
      </c>
      <c r="J307" s="69" t="s">
        <v>78</v>
      </c>
      <c r="K307" s="67">
        <f>IFERROR(VLOOKUP(J307,Jueces!$A$1:$B$11,2,FALSE),"")</f>
        <v>8</v>
      </c>
      <c r="L307" s="67" t="s">
        <v>810</v>
      </c>
      <c r="M307" s="67" t="s">
        <v>692</v>
      </c>
      <c r="N307" s="67" t="s">
        <v>1619</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1499</v>
      </c>
      <c r="X307" s="67" t="s">
        <v>1620</v>
      </c>
      <c r="Y307" s="67"/>
      <c r="Z307" s="124" t="s">
        <v>1042</v>
      </c>
      <c r="AA307" s="124" t="s">
        <v>1169</v>
      </c>
      <c r="AB307" s="124" t="s">
        <v>1176</v>
      </c>
      <c r="AC307" s="375"/>
    </row>
    <row r="308" spans="1:29" ht="89.25" hidden="1">
      <c r="A308" s="67">
        <v>295</v>
      </c>
      <c r="B308" s="69">
        <v>45103</v>
      </c>
      <c r="C308" s="74">
        <v>0.45416666666666666</v>
      </c>
      <c r="D308" s="67" t="s">
        <v>1344</v>
      </c>
      <c r="E308" s="68" t="s">
        <v>1605</v>
      </c>
      <c r="F308" s="67">
        <v>2</v>
      </c>
      <c r="G308" s="67" t="s">
        <v>568</v>
      </c>
      <c r="H308" s="69">
        <v>45113</v>
      </c>
      <c r="I308" s="67" t="s">
        <v>1086</v>
      </c>
      <c r="J308" s="69" t="s">
        <v>35</v>
      </c>
      <c r="K308" s="67">
        <f>IFERROR(VLOOKUP(J308,Jueces!$A$1:$B$11,2,FALSE),"")</f>
        <v>3</v>
      </c>
      <c r="L308" s="67" t="s">
        <v>313</v>
      </c>
      <c r="M308" s="67" t="s">
        <v>1347</v>
      </c>
      <c r="N308" s="67" t="s">
        <v>1603</v>
      </c>
      <c r="O308" s="67" t="str">
        <f t="shared" ca="1" si="18"/>
        <v>SI</v>
      </c>
      <c r="P308" s="67" t="str">
        <f t="shared" si="19"/>
        <v>DIANOSOL</v>
      </c>
      <c r="Q308" s="67" t="s">
        <v>899</v>
      </c>
      <c r="R308" s="7" t="str">
        <f>VLOOKUP($Q308,Resultados!$A$1:$B$49,2,FALSE)</f>
        <v>Libertad</v>
      </c>
      <c r="S308" s="67" t="s">
        <v>1193</v>
      </c>
      <c r="T308" s="77" t="str">
        <f t="shared" si="20"/>
        <v>NO</v>
      </c>
      <c r="U308" s="77"/>
      <c r="V308" s="67"/>
      <c r="W308" s="67" t="s">
        <v>1276</v>
      </c>
      <c r="X308" s="67" t="s">
        <v>1604</v>
      </c>
      <c r="Y308" s="67"/>
      <c r="Z308" s="124" t="s">
        <v>748</v>
      </c>
      <c r="AA308" s="124" t="s">
        <v>1171</v>
      </c>
      <c r="AB308" s="124" t="s">
        <v>1174</v>
      </c>
      <c r="AC308" s="375"/>
    </row>
    <row r="309" spans="1:29" ht="38.25" hidden="1">
      <c r="A309" s="67">
        <v>306</v>
      </c>
      <c r="B309" s="69">
        <v>45104</v>
      </c>
      <c r="C309" s="67" t="s">
        <v>77</v>
      </c>
      <c r="D309" s="67" t="s">
        <v>1384</v>
      </c>
      <c r="E309" s="68" t="s">
        <v>1606</v>
      </c>
      <c r="F309" s="67">
        <v>2</v>
      </c>
      <c r="G309" s="67" t="s">
        <v>1441</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1396</v>
      </c>
      <c r="T309" s="77" t="str">
        <f t="shared" si="20"/>
        <v>NO</v>
      </c>
      <c r="U309" s="77"/>
      <c r="V309" s="67"/>
      <c r="W309" s="67" t="s">
        <v>1592</v>
      </c>
      <c r="X309" s="67"/>
      <c r="Y309" s="67"/>
      <c r="Z309" s="124" t="s">
        <v>743</v>
      </c>
      <c r="AA309" s="124" t="s">
        <v>743</v>
      </c>
      <c r="AB309" s="124" t="s">
        <v>1173</v>
      </c>
      <c r="AC309" s="375"/>
    </row>
    <row r="310" spans="1:29" ht="51" hidden="1">
      <c r="A310" s="67">
        <v>314</v>
      </c>
      <c r="B310" s="69">
        <v>45105</v>
      </c>
      <c r="C310" s="74">
        <v>0.50486111111111109</v>
      </c>
      <c r="D310" s="67" t="s">
        <v>1409</v>
      </c>
      <c r="E310" s="68" t="s">
        <v>1607</v>
      </c>
      <c r="F310" s="67">
        <v>2</v>
      </c>
      <c r="G310" s="67" t="s">
        <v>32</v>
      </c>
      <c r="H310" s="69">
        <v>45113</v>
      </c>
      <c r="I310" s="69" t="s">
        <v>1086</v>
      </c>
      <c r="J310" s="69" t="s">
        <v>1220</v>
      </c>
      <c r="K310" s="67">
        <f>IFERROR(VLOOKUP(J310,Jueces!$A$1:$B$11,2,FALSE),"")</f>
        <v>1</v>
      </c>
      <c r="L310" s="67" t="s">
        <v>793</v>
      </c>
      <c r="M310" s="67" t="s">
        <v>1290</v>
      </c>
      <c r="N310" s="67" t="s">
        <v>1608</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1311</v>
      </c>
      <c r="Y310" s="67"/>
      <c r="Z310" s="285" t="s">
        <v>770</v>
      </c>
      <c r="AA310" s="124" t="s">
        <v>1171</v>
      </c>
      <c r="AB310" s="285" t="s">
        <v>1175</v>
      </c>
      <c r="AC310" s="375"/>
    </row>
    <row r="311" spans="1:29" ht="51" hidden="1">
      <c r="A311" s="67">
        <v>321</v>
      </c>
      <c r="B311" s="69">
        <v>45106</v>
      </c>
      <c r="C311" s="74">
        <v>0.39513888888888887</v>
      </c>
      <c r="D311" s="67" t="s">
        <v>1433</v>
      </c>
      <c r="E311" s="68" t="s">
        <v>1602</v>
      </c>
      <c r="F311" s="67">
        <v>3</v>
      </c>
      <c r="G311" s="67" t="s">
        <v>1442</v>
      </c>
      <c r="H311" s="69">
        <v>45113</v>
      </c>
      <c r="I311" s="69" t="s">
        <v>1086</v>
      </c>
      <c r="J311" s="69" t="s">
        <v>1221</v>
      </c>
      <c r="K311" s="67">
        <f>IFERROR(VLOOKUP(J311,Jueces!$A$1:$B$11,2,FALSE),"")</f>
        <v>7</v>
      </c>
      <c r="L311" s="67" t="s">
        <v>789</v>
      </c>
      <c r="M311" s="67" t="s">
        <v>694</v>
      </c>
      <c r="N311" s="124" t="s">
        <v>1601</v>
      </c>
      <c r="O311" s="67" t="str">
        <f t="shared" ca="1" si="18"/>
        <v>SI</v>
      </c>
      <c r="P311" s="67" t="str">
        <f t="shared" si="19"/>
        <v>DIANOSOL</v>
      </c>
      <c r="Q311" s="67" t="s">
        <v>902</v>
      </c>
      <c r="R311" s="7" t="str">
        <f>VLOOKUP($Q311,Resultados!$A$1:$B$49,2,FALSE)</f>
        <v>Libertad</v>
      </c>
      <c r="S311" s="67" t="s">
        <v>1132</v>
      </c>
      <c r="T311" s="77" t="str">
        <f t="shared" si="20"/>
        <v>SI</v>
      </c>
      <c r="U311" s="77"/>
      <c r="V311" s="67"/>
      <c r="W311" s="67" t="s">
        <v>1600</v>
      </c>
      <c r="X311" s="67" t="s">
        <v>1311</v>
      </c>
      <c r="Y311" s="67"/>
      <c r="Z311" s="285" t="s">
        <v>1041</v>
      </c>
      <c r="AA311" s="124" t="s">
        <v>1169</v>
      </c>
      <c r="AB311" s="124" t="s">
        <v>1177</v>
      </c>
      <c r="AC311" s="375"/>
    </row>
    <row r="312" spans="1:29" ht="51" hidden="1">
      <c r="A312" s="67">
        <v>285</v>
      </c>
      <c r="B312" s="69">
        <v>45100</v>
      </c>
      <c r="C312" s="74">
        <v>0.42569444444444443</v>
      </c>
      <c r="D312" s="67" t="s">
        <v>1313</v>
      </c>
      <c r="E312" s="68" t="s">
        <v>1664</v>
      </c>
      <c r="F312" s="67">
        <v>2</v>
      </c>
      <c r="G312" s="67" t="s">
        <v>1441</v>
      </c>
      <c r="H312" s="69">
        <v>45114</v>
      </c>
      <c r="I312" s="67" t="s">
        <v>73</v>
      </c>
      <c r="J312" s="69" t="s">
        <v>1220</v>
      </c>
      <c r="K312" s="67">
        <v>2</v>
      </c>
      <c r="L312" s="67" t="s">
        <v>791</v>
      </c>
      <c r="M312" s="67" t="s">
        <v>692</v>
      </c>
      <c r="N312" s="67" t="s">
        <v>1675</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1660</v>
      </c>
      <c r="Y312" s="67"/>
      <c r="Z312" s="285" t="s">
        <v>359</v>
      </c>
      <c r="AA312" s="124" t="s">
        <v>743</v>
      </c>
      <c r="AB312" s="124" t="s">
        <v>1176</v>
      </c>
      <c r="AC312" s="375"/>
    </row>
    <row r="313" spans="1:29" ht="25.5" hidden="1">
      <c r="A313" s="67">
        <v>302</v>
      </c>
      <c r="B313" s="69">
        <v>45104</v>
      </c>
      <c r="C313" s="67" t="s">
        <v>75</v>
      </c>
      <c r="D313" s="67" t="s">
        <v>1370</v>
      </c>
      <c r="E313" s="68" t="s">
        <v>1665</v>
      </c>
      <c r="F313" s="67">
        <v>3</v>
      </c>
      <c r="G313" s="67" t="s">
        <v>43</v>
      </c>
      <c r="H313" s="69">
        <v>45114</v>
      </c>
      <c r="I313" s="67" t="s">
        <v>73</v>
      </c>
      <c r="J313" s="69" t="s">
        <v>1222</v>
      </c>
      <c r="K313" s="67" t="s">
        <v>1346</v>
      </c>
      <c r="L313" s="67" t="s">
        <v>799</v>
      </c>
      <c r="M313" s="67" t="s">
        <v>693</v>
      </c>
      <c r="N313" s="67" t="s">
        <v>1649</v>
      </c>
      <c r="O313" s="67" t="str">
        <f t="shared" ca="1" si="18"/>
        <v>SI</v>
      </c>
      <c r="P313" s="67" t="str">
        <f t="shared" si="19"/>
        <v>DIANOSOL</v>
      </c>
      <c r="Q313" s="67" t="s">
        <v>151</v>
      </c>
      <c r="R313" s="7" t="str">
        <f>VLOOKUP($Q313,Resultados!$A$1:$B$49,2,FALSE)</f>
        <v>Prisión Preventiva</v>
      </c>
      <c r="S313" s="67" t="s">
        <v>1650</v>
      </c>
      <c r="T313" s="77" t="str">
        <f t="shared" si="20"/>
        <v>NO</v>
      </c>
      <c r="U313" s="77"/>
      <c r="V313" s="67"/>
      <c r="W313" s="67" t="s">
        <v>1341</v>
      </c>
      <c r="X313" s="67"/>
      <c r="Y313" s="67"/>
      <c r="Z313" s="124" t="s">
        <v>743</v>
      </c>
      <c r="AA313" s="124" t="s">
        <v>743</v>
      </c>
      <c r="AB313" s="124" t="s">
        <v>1174</v>
      </c>
      <c r="AC313" s="375"/>
    </row>
    <row r="314" spans="1:29" ht="38.25" hidden="1">
      <c r="A314" s="67">
        <v>308</v>
      </c>
      <c r="B314" s="69">
        <v>45104</v>
      </c>
      <c r="C314" s="74">
        <v>0.54652777777777783</v>
      </c>
      <c r="D314" s="67" t="s">
        <v>1413</v>
      </c>
      <c r="E314" s="68" t="s">
        <v>1666</v>
      </c>
      <c r="F314" s="67">
        <v>2</v>
      </c>
      <c r="G314" s="67" t="s">
        <v>568</v>
      </c>
      <c r="H314" s="69">
        <v>45114</v>
      </c>
      <c r="I314" s="69" t="s">
        <v>73</v>
      </c>
      <c r="J314" s="69" t="s">
        <v>35</v>
      </c>
      <c r="K314" s="67">
        <f>IFERROR(VLOOKUP(J314,Jueces!$A$1:$B$11,2,FALSE),"")</f>
        <v>3</v>
      </c>
      <c r="L314" s="67" t="s">
        <v>797</v>
      </c>
      <c r="M314" s="67" t="s">
        <v>1179</v>
      </c>
      <c r="N314" s="67" t="s">
        <v>1651</v>
      </c>
      <c r="O314" s="67" t="str">
        <f t="shared" ca="1" si="18"/>
        <v>SI</v>
      </c>
      <c r="P314" s="67" t="str">
        <f t="shared" si="19"/>
        <v>DIANOSOL</v>
      </c>
      <c r="Q314" s="67" t="s">
        <v>913</v>
      </c>
      <c r="R314" s="7" t="str">
        <f>VLOOKUP($Q314,Resultados!$A$1:$B$49,2,FALSE)</f>
        <v>Prision domiciliaria</v>
      </c>
      <c r="S314" s="67" t="s">
        <v>1333</v>
      </c>
      <c r="T314" s="77" t="str">
        <f t="shared" si="20"/>
        <v>NO</v>
      </c>
      <c r="U314" s="77"/>
      <c r="V314" s="67"/>
      <c r="W314" s="67" t="s">
        <v>1231</v>
      </c>
      <c r="X314" s="67"/>
      <c r="Y314" s="67"/>
      <c r="Z314" s="124" t="s">
        <v>770</v>
      </c>
      <c r="AA314" s="124" t="s">
        <v>1169</v>
      </c>
      <c r="AB314" s="124" t="s">
        <v>1173</v>
      </c>
      <c r="AC314" s="375"/>
    </row>
    <row r="315" spans="1:29" ht="76.5" hidden="1">
      <c r="A315" s="67">
        <v>317</v>
      </c>
      <c r="B315" s="69">
        <v>45106</v>
      </c>
      <c r="C315" s="67" t="s">
        <v>73</v>
      </c>
      <c r="D315" s="67" t="s">
        <v>1415</v>
      </c>
      <c r="E315" s="68" t="s">
        <v>1667</v>
      </c>
      <c r="F315" s="67">
        <v>3</v>
      </c>
      <c r="G315" s="67" t="s">
        <v>283</v>
      </c>
      <c r="H315" s="69">
        <v>45114</v>
      </c>
      <c r="I315" s="69" t="s">
        <v>73</v>
      </c>
      <c r="J315" s="69" t="s">
        <v>1221</v>
      </c>
      <c r="K315" s="67">
        <f>IFERROR(VLOOKUP(J315,Jueces!$A$1:$B$11,2,FALSE),"")</f>
        <v>7</v>
      </c>
      <c r="L315" s="67" t="s">
        <v>1306</v>
      </c>
      <c r="M315" s="67" t="s">
        <v>1416</v>
      </c>
      <c r="N315" s="67" t="s">
        <v>1652</v>
      </c>
      <c r="O315" s="67" t="str">
        <f t="shared" ca="1" si="18"/>
        <v>SI</v>
      </c>
      <c r="P315" s="67" t="str">
        <f t="shared" si="19"/>
        <v>DIANOSOL</v>
      </c>
      <c r="Q315" s="67" t="s">
        <v>905</v>
      </c>
      <c r="R315" s="7" t="str">
        <f>VLOOKUP($Q315,Resultados!$A$1:$B$49,2,FALSE)</f>
        <v>Juicio Abreviado</v>
      </c>
      <c r="S315" s="67" t="s">
        <v>1235</v>
      </c>
      <c r="T315" s="77" t="str">
        <f t="shared" si="20"/>
        <v>NO</v>
      </c>
      <c r="U315" s="77"/>
      <c r="V315" s="67"/>
      <c r="W315" s="67" t="s">
        <v>1458</v>
      </c>
      <c r="X315" s="7"/>
      <c r="Y315" s="67"/>
      <c r="Z315" s="285" t="s">
        <v>1041</v>
      </c>
      <c r="AA315" s="124" t="s">
        <v>743</v>
      </c>
      <c r="AB315" s="285" t="s">
        <v>1175</v>
      </c>
      <c r="AC315" s="375"/>
    </row>
    <row r="316" spans="1:29" ht="51" hidden="1">
      <c r="A316" s="67">
        <v>320</v>
      </c>
      <c r="B316" s="69">
        <v>45106</v>
      </c>
      <c r="C316" s="74">
        <v>0.39374999999999999</v>
      </c>
      <c r="D316" s="67" t="s">
        <v>1476</v>
      </c>
      <c r="E316" s="68" t="s">
        <v>1669</v>
      </c>
      <c r="F316" s="67">
        <v>2</v>
      </c>
      <c r="G316" s="67" t="s">
        <v>1443</v>
      </c>
      <c r="H316" s="69">
        <v>45114</v>
      </c>
      <c r="I316" s="69" t="s">
        <v>73</v>
      </c>
      <c r="J316" s="69" t="s">
        <v>78</v>
      </c>
      <c r="K316" s="67">
        <f>IFERROR(VLOOKUP(J316,Jueces!$A$1:$B$11,2,FALSE),"")</f>
        <v>8</v>
      </c>
      <c r="L316" s="67" t="s">
        <v>1656</v>
      </c>
      <c r="M316" s="67" t="s">
        <v>1438</v>
      </c>
      <c r="N316" s="67" t="s">
        <v>1654</v>
      </c>
      <c r="O316" s="67" t="str">
        <f t="shared" ca="1" si="18"/>
        <v>SI</v>
      </c>
      <c r="P316" s="67" t="str">
        <f t="shared" si="19"/>
        <v>DIANOSOL</v>
      </c>
      <c r="Q316" s="67" t="s">
        <v>151</v>
      </c>
      <c r="R316" s="7" t="str">
        <f>VLOOKUP($Q316,Resultados!$A$1:$B$49,2,FALSE)</f>
        <v>Prisión Preventiva</v>
      </c>
      <c r="S316" s="67" t="s">
        <v>1292</v>
      </c>
      <c r="T316" s="77" t="str">
        <f t="shared" si="20"/>
        <v>NO</v>
      </c>
      <c r="U316" s="77"/>
      <c r="V316" s="67"/>
      <c r="W316" s="67" t="s">
        <v>1009</v>
      </c>
      <c r="X316" s="156" t="s">
        <v>1657</v>
      </c>
      <c r="Y316" s="67"/>
      <c r="Z316" s="124" t="s">
        <v>1042</v>
      </c>
      <c r="AA316" s="124" t="s">
        <v>1171</v>
      </c>
      <c r="AB316" s="124" t="s">
        <v>1177</v>
      </c>
      <c r="AC316" s="375"/>
    </row>
    <row r="317" spans="1:29" ht="25.5" hidden="1">
      <c r="A317" s="67">
        <v>301</v>
      </c>
      <c r="B317" s="69">
        <v>45104</v>
      </c>
      <c r="C317" s="67" t="s">
        <v>75</v>
      </c>
      <c r="D317" s="67" t="s">
        <v>1366</v>
      </c>
      <c r="E317" s="68" t="s">
        <v>1668</v>
      </c>
      <c r="F317" s="67">
        <v>3</v>
      </c>
      <c r="G317" s="67" t="s">
        <v>32</v>
      </c>
      <c r="H317" s="69">
        <v>45114</v>
      </c>
      <c r="I317" s="67" t="s">
        <v>1086</v>
      </c>
      <c r="J317" s="69" t="s">
        <v>1220</v>
      </c>
      <c r="K317" s="67">
        <f>IFERROR(VLOOKUP(J317,Jueces!$A$1:$B$11,2,FALSE),"")</f>
        <v>1</v>
      </c>
      <c r="L317" s="67" t="s">
        <v>284</v>
      </c>
      <c r="M317" s="67" t="s">
        <v>693</v>
      </c>
      <c r="N317" s="67" t="s">
        <v>1933</v>
      </c>
      <c r="O317" s="67" t="str">
        <f t="shared" ca="1" si="18"/>
        <v>SI</v>
      </c>
      <c r="P317" s="67" t="str">
        <f t="shared" si="19"/>
        <v>DIANOSOL</v>
      </c>
      <c r="Q317" s="67" t="s">
        <v>905</v>
      </c>
      <c r="R317" s="7" t="str">
        <f>VLOOKUP($Q317,Resultados!$A$1:$B$49,2,FALSE)</f>
        <v>Juicio Abreviado</v>
      </c>
      <c r="S317" s="67" t="s">
        <v>1450</v>
      </c>
      <c r="T317" s="77" t="str">
        <f t="shared" si="20"/>
        <v>NO</v>
      </c>
      <c r="U317" s="77"/>
      <c r="V317" s="67"/>
      <c r="W317" s="67" t="s">
        <v>1445</v>
      </c>
      <c r="X317" s="67" t="s">
        <v>1390</v>
      </c>
      <c r="Y317" s="67"/>
      <c r="Z317" s="124" t="s">
        <v>743</v>
      </c>
      <c r="AA317" s="124" t="s">
        <v>1169</v>
      </c>
      <c r="AB317" s="124" t="s">
        <v>1176</v>
      </c>
      <c r="AC317" s="375"/>
    </row>
    <row r="318" spans="1:29" ht="51" hidden="1">
      <c r="A318" s="67">
        <v>309</v>
      </c>
      <c r="B318" s="69">
        <v>45105</v>
      </c>
      <c r="C318" s="74">
        <v>0.46319444444444446</v>
      </c>
      <c r="D318" s="67" t="s">
        <v>1401</v>
      </c>
      <c r="E318" s="68" t="s">
        <v>1670</v>
      </c>
      <c r="F318" s="67">
        <v>2</v>
      </c>
      <c r="G318" s="67" t="s">
        <v>1441</v>
      </c>
      <c r="H318" s="69">
        <v>45114</v>
      </c>
      <c r="I318" s="69" t="s">
        <v>1086</v>
      </c>
      <c r="J318" s="69" t="s">
        <v>35</v>
      </c>
      <c r="K318" s="67">
        <f>IFERROR(VLOOKUP(J318,Jueces!$A$1:$B$11,2,FALSE),"")</f>
        <v>3</v>
      </c>
      <c r="L318" s="67" t="s">
        <v>813</v>
      </c>
      <c r="M318" s="67" t="s">
        <v>692</v>
      </c>
      <c r="N318" s="67" t="s">
        <v>1655</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1299</v>
      </c>
      <c r="X318" s="67" t="s">
        <v>1653</v>
      </c>
      <c r="Y318" s="67"/>
      <c r="Z318" s="124" t="s">
        <v>1042</v>
      </c>
      <c r="AA318" s="124" t="s">
        <v>1171</v>
      </c>
      <c r="AB318" s="124" t="s">
        <v>1174</v>
      </c>
      <c r="AC318" s="375"/>
    </row>
    <row r="319" spans="1:29" ht="89.25" hidden="1">
      <c r="A319" s="67">
        <v>310</v>
      </c>
      <c r="B319" s="69">
        <v>45105</v>
      </c>
      <c r="C319" s="74">
        <v>0.46597222222222223</v>
      </c>
      <c r="D319" s="67" t="s">
        <v>1430</v>
      </c>
      <c r="E319" s="68" t="s">
        <v>1671</v>
      </c>
      <c r="F319" s="67">
        <v>1</v>
      </c>
      <c r="G319" s="67" t="s">
        <v>1442</v>
      </c>
      <c r="H319" s="69">
        <v>45114</v>
      </c>
      <c r="I319" s="69" t="s">
        <v>1086</v>
      </c>
      <c r="J319" s="69" t="s">
        <v>78</v>
      </c>
      <c r="K319" s="67">
        <f>IFERROR(VLOOKUP(J319,Jueces!$A$1:$B$11,2,FALSE),"")</f>
        <v>8</v>
      </c>
      <c r="L319" s="67" t="s">
        <v>812</v>
      </c>
      <c r="M319" s="67" t="s">
        <v>712</v>
      </c>
      <c r="N319" s="67" t="s">
        <v>1658</v>
      </c>
      <c r="O319" s="67" t="str">
        <f t="shared" ca="1" si="18"/>
        <v>SI</v>
      </c>
      <c r="P319" s="67" t="str">
        <f t="shared" si="19"/>
        <v>DIANOSOL</v>
      </c>
      <c r="Q319" s="67" t="s">
        <v>905</v>
      </c>
      <c r="R319" s="7" t="str">
        <f>VLOOKUP($Q319,Resultados!$A$1:$B$49,2,FALSE)</f>
        <v>Juicio Abreviado</v>
      </c>
      <c r="S319" s="67" t="s">
        <v>1450</v>
      </c>
      <c r="T319" s="77" t="str">
        <f t="shared" si="20"/>
        <v>SI</v>
      </c>
      <c r="U319" s="77"/>
      <c r="V319" s="67"/>
      <c r="W319" s="67" t="s">
        <v>1445</v>
      </c>
      <c r="X319" s="67" t="s">
        <v>1659</v>
      </c>
      <c r="Y319" s="67"/>
      <c r="Z319" s="124" t="s">
        <v>770</v>
      </c>
      <c r="AA319" s="124" t="s">
        <v>743</v>
      </c>
      <c r="AB319" s="124" t="s">
        <v>1173</v>
      </c>
      <c r="AC319" s="375"/>
    </row>
    <row r="320" spans="1:29" ht="76.5" hidden="1">
      <c r="A320" s="67">
        <v>327</v>
      </c>
      <c r="B320" s="69">
        <v>45107</v>
      </c>
      <c r="C320" s="74">
        <v>0.46180555555555558</v>
      </c>
      <c r="D320" s="67" t="s">
        <v>1478</v>
      </c>
      <c r="E320" s="68" t="s">
        <v>1705</v>
      </c>
      <c r="F320" s="67">
        <v>3</v>
      </c>
      <c r="G320" s="67" t="s">
        <v>1442</v>
      </c>
      <c r="H320" s="69">
        <v>45117</v>
      </c>
      <c r="I320" s="69" t="s">
        <v>76</v>
      </c>
      <c r="J320" s="69" t="s">
        <v>1492</v>
      </c>
      <c r="K320" s="67" t="s">
        <v>1346</v>
      </c>
      <c r="L320" s="67" t="s">
        <v>812</v>
      </c>
      <c r="M320" s="67" t="s">
        <v>692</v>
      </c>
      <c r="N320" s="67" t="s">
        <v>1727</v>
      </c>
      <c r="O320" s="83" t="str">
        <f t="shared" ca="1" si="18"/>
        <v>SI</v>
      </c>
      <c r="P320" s="83" t="str">
        <f t="shared" si="19"/>
        <v>DIANOSOL</v>
      </c>
      <c r="Q320" s="67" t="s">
        <v>1512</v>
      </c>
      <c r="R320" s="7" t="str">
        <f>VLOOKUP($Q320,Resultados!$A$1:$B$49,2,FALSE)</f>
        <v>Juicio Abreviado</v>
      </c>
      <c r="S320" s="74">
        <v>0.40277777777777773</v>
      </c>
      <c r="T320" s="86" t="str">
        <f t="shared" si="20"/>
        <v>SI</v>
      </c>
      <c r="U320" s="86"/>
      <c r="V320" s="83"/>
      <c r="W320" s="74">
        <v>0.4201388888888889</v>
      </c>
      <c r="X320" s="67" t="s">
        <v>1728</v>
      </c>
      <c r="Y320" s="67"/>
      <c r="Z320" s="285" t="s">
        <v>1042</v>
      </c>
      <c r="AA320" s="77"/>
      <c r="AB320" s="285"/>
      <c r="AC320" s="375"/>
    </row>
    <row r="321" spans="1:29" ht="51" hidden="1">
      <c r="A321" s="67">
        <v>328</v>
      </c>
      <c r="B321" s="69">
        <v>45107</v>
      </c>
      <c r="C321" s="74">
        <v>0.46875</v>
      </c>
      <c r="D321" s="67" t="s">
        <v>1479</v>
      </c>
      <c r="E321" s="68" t="s">
        <v>1706</v>
      </c>
      <c r="F321" s="67">
        <v>3</v>
      </c>
      <c r="G321" s="67" t="s">
        <v>29</v>
      </c>
      <c r="H321" s="69">
        <v>45117</v>
      </c>
      <c r="I321" s="69" t="s">
        <v>76</v>
      </c>
      <c r="J321" s="69" t="s">
        <v>1625</v>
      </c>
      <c r="K321" s="67" t="s">
        <v>1491</v>
      </c>
      <c r="L321" s="67" t="s">
        <v>806</v>
      </c>
      <c r="M321" s="67" t="s">
        <v>694</v>
      </c>
      <c r="N321" s="67" t="s">
        <v>1740</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1133</v>
      </c>
      <c r="X321" s="67" t="s">
        <v>1741</v>
      </c>
      <c r="Y321" s="67"/>
      <c r="Z321" s="124" t="s">
        <v>748</v>
      </c>
      <c r="AA321" s="77"/>
      <c r="AB321" s="124"/>
      <c r="AC321" s="375"/>
    </row>
    <row r="322" spans="1:29" ht="51" hidden="1">
      <c r="A322" s="67">
        <v>322</v>
      </c>
      <c r="B322" s="69">
        <v>45106</v>
      </c>
      <c r="C322" s="67" t="s">
        <v>1439</v>
      </c>
      <c r="D322" s="67" t="s">
        <v>1440</v>
      </c>
      <c r="E322" s="68" t="s">
        <v>1707</v>
      </c>
      <c r="F322" s="67">
        <v>2</v>
      </c>
      <c r="G322" s="67" t="s">
        <v>43</v>
      </c>
      <c r="H322" s="69">
        <v>45117</v>
      </c>
      <c r="I322" s="69" t="s">
        <v>1450</v>
      </c>
      <c r="J322" s="69" t="s">
        <v>1625</v>
      </c>
      <c r="K322" s="67" t="s">
        <v>1491</v>
      </c>
      <c r="L322" s="67" t="s">
        <v>793</v>
      </c>
      <c r="M322" s="67" t="s">
        <v>1447</v>
      </c>
      <c r="N322" s="67" t="s">
        <v>510</v>
      </c>
      <c r="O322" s="67" t="str">
        <f t="shared" ca="1" si="18"/>
        <v>SI</v>
      </c>
      <c r="P322" s="67" t="str">
        <f t="shared" si="19"/>
        <v>DIANOSOL</v>
      </c>
      <c r="Q322" s="67" t="s">
        <v>899</v>
      </c>
      <c r="R322" s="7" t="str">
        <f>VLOOKUP($Q322,Resultados!$A$1:$B$49,2,FALSE)</f>
        <v>Libertad</v>
      </c>
      <c r="S322" s="67" t="s">
        <v>1450</v>
      </c>
      <c r="T322" s="77" t="str">
        <f t="shared" si="20"/>
        <v>NO</v>
      </c>
      <c r="U322" s="77"/>
      <c r="V322" s="67"/>
      <c r="W322" s="67" t="s">
        <v>1739</v>
      </c>
      <c r="X322" s="156" t="s">
        <v>1311</v>
      </c>
      <c r="Y322" s="67"/>
      <c r="Z322" s="124" t="s">
        <v>1042</v>
      </c>
      <c r="AA322" s="77"/>
      <c r="AB322" s="77"/>
      <c r="AC322" s="375"/>
    </row>
    <row r="323" spans="1:29" ht="76.5" hidden="1">
      <c r="A323" s="67">
        <v>331</v>
      </c>
      <c r="B323" s="69">
        <v>45110</v>
      </c>
      <c r="C323" s="74">
        <v>0.34097222222222223</v>
      </c>
      <c r="D323" s="67" t="s">
        <v>1480</v>
      </c>
      <c r="E323" s="68" t="s">
        <v>1708</v>
      </c>
      <c r="F323" s="67">
        <v>3</v>
      </c>
      <c r="G323" s="67" t="s">
        <v>568</v>
      </c>
      <c r="H323" s="69">
        <v>45117</v>
      </c>
      <c r="I323" s="69" t="s">
        <v>1450</v>
      </c>
      <c r="J323" s="69" t="s">
        <v>1492</v>
      </c>
      <c r="K323" s="67" t="s">
        <v>1346</v>
      </c>
      <c r="L323" s="67" t="s">
        <v>806</v>
      </c>
      <c r="M323" s="67" t="s">
        <v>694</v>
      </c>
      <c r="N323" s="67" t="s">
        <v>1729</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1718</v>
      </c>
      <c r="T323" s="77" t="str">
        <f t="shared" si="20"/>
        <v>NO</v>
      </c>
      <c r="U323" s="77"/>
      <c r="V323" s="67"/>
      <c r="W323" s="74">
        <v>0.5</v>
      </c>
      <c r="X323" s="67"/>
      <c r="Y323" s="67"/>
      <c r="Z323" s="124" t="s">
        <v>748</v>
      </c>
      <c r="AA323" s="77"/>
      <c r="AB323" s="77"/>
      <c r="AC323" s="375"/>
    </row>
    <row r="324" spans="1:29" ht="38.25" hidden="1">
      <c r="A324" s="67">
        <v>313</v>
      </c>
      <c r="B324" s="69">
        <v>45105</v>
      </c>
      <c r="C324" s="74">
        <v>0.47222222222222227</v>
      </c>
      <c r="D324" s="67" t="s">
        <v>1408</v>
      </c>
      <c r="E324" s="68" t="s">
        <v>1709</v>
      </c>
      <c r="F324" s="67">
        <v>3</v>
      </c>
      <c r="G324" s="67" t="s">
        <v>1441</v>
      </c>
      <c r="H324" s="69">
        <v>45117</v>
      </c>
      <c r="I324" s="69" t="s">
        <v>547</v>
      </c>
      <c r="J324" s="69" t="s">
        <v>1492</v>
      </c>
      <c r="K324" s="67" t="s">
        <v>1346</v>
      </c>
      <c r="L324" s="67" t="s">
        <v>813</v>
      </c>
      <c r="M324" s="67" t="s">
        <v>693</v>
      </c>
      <c r="N324" s="67" t="s">
        <v>1719</v>
      </c>
      <c r="O324" s="67" t="str">
        <f t="shared" ca="1" si="21"/>
        <v>SI</v>
      </c>
      <c r="P324" s="67" t="str">
        <f t="shared" si="22"/>
        <v>DIANOSOL</v>
      </c>
      <c r="Q324" s="67" t="s">
        <v>151</v>
      </c>
      <c r="R324" s="7" t="str">
        <f>VLOOKUP($Q324,Resultados!$A$1:$B$49,2,FALSE)</f>
        <v>Prisión Preventiva</v>
      </c>
      <c r="S324" s="67" t="s">
        <v>1717</v>
      </c>
      <c r="T324" s="77" t="str">
        <f t="shared" si="20"/>
        <v>NO</v>
      </c>
      <c r="U324" s="77"/>
      <c r="V324" s="67"/>
      <c r="W324" s="67" t="s">
        <v>1241</v>
      </c>
      <c r="X324" s="67" t="s">
        <v>1720</v>
      </c>
      <c r="Y324" s="67"/>
      <c r="Z324" s="124" t="s">
        <v>743</v>
      </c>
      <c r="AA324" s="77"/>
      <c r="AB324" s="77"/>
      <c r="AC324" s="375"/>
    </row>
    <row r="325" spans="1:29" ht="63.75" hidden="1">
      <c r="A325" s="67">
        <v>324</v>
      </c>
      <c r="B325" s="69">
        <v>45107</v>
      </c>
      <c r="C325" s="74">
        <v>0.33333333333333331</v>
      </c>
      <c r="D325" s="67" t="s">
        <v>1448</v>
      </c>
      <c r="E325" s="68" t="s">
        <v>1710</v>
      </c>
      <c r="F325" s="67">
        <v>1</v>
      </c>
      <c r="G325" s="67" t="s">
        <v>32</v>
      </c>
      <c r="H325" s="69">
        <v>45117</v>
      </c>
      <c r="I325" s="69" t="s">
        <v>547</v>
      </c>
      <c r="J325" s="69" t="s">
        <v>35</v>
      </c>
      <c r="K325" s="67">
        <f>IFERROR(VLOOKUP(J325,Jueces!$A$1:$B$11,2,FALSE),"")</f>
        <v>3</v>
      </c>
      <c r="L325" s="67" t="s">
        <v>811</v>
      </c>
      <c r="M325" s="67" t="s">
        <v>1087</v>
      </c>
      <c r="N325" s="67" t="s">
        <v>1714</v>
      </c>
      <c r="O325" s="67" t="str">
        <f t="shared" ca="1" si="21"/>
        <v>SI</v>
      </c>
      <c r="P325" s="67" t="str">
        <f t="shared" si="22"/>
        <v>DIANOSOL</v>
      </c>
      <c r="Q325" s="67" t="s">
        <v>904</v>
      </c>
      <c r="R325" s="7" t="str">
        <f>VLOOKUP($Q325,Resultados!$A$1:$B$49,2,FALSE)</f>
        <v>Juicio Abreviado</v>
      </c>
      <c r="S325" s="67" t="s">
        <v>1241</v>
      </c>
      <c r="T325" s="77" t="str">
        <f t="shared" si="20"/>
        <v>NO</v>
      </c>
      <c r="U325" s="77"/>
      <c r="V325" s="67"/>
      <c r="W325" s="67" t="s">
        <v>1715</v>
      </c>
      <c r="X325" s="67" t="s">
        <v>1716</v>
      </c>
      <c r="Y325" s="67"/>
      <c r="Z325" s="124" t="s">
        <v>1042</v>
      </c>
      <c r="AA325" s="77"/>
      <c r="AB325" s="77"/>
      <c r="AC325" s="375"/>
    </row>
    <row r="326" spans="1:29" ht="51" hidden="1">
      <c r="A326" s="67">
        <v>316</v>
      </c>
      <c r="B326" s="69">
        <v>45106</v>
      </c>
      <c r="C326" s="67" t="s">
        <v>73</v>
      </c>
      <c r="D326" s="67" t="s">
        <v>1418</v>
      </c>
      <c r="E326" s="68" t="s">
        <v>1417</v>
      </c>
      <c r="F326" s="67">
        <v>3</v>
      </c>
      <c r="G326" s="67" t="s">
        <v>1442</v>
      </c>
      <c r="H326" s="69">
        <v>45118</v>
      </c>
      <c r="I326" s="69" t="s">
        <v>76</v>
      </c>
      <c r="J326" s="69" t="s">
        <v>35</v>
      </c>
      <c r="K326" s="67">
        <f>IFERROR(VLOOKUP(J326,Jueces!$A$1:$B$11,2,FALSE),"")</f>
        <v>3</v>
      </c>
      <c r="L326" s="67" t="s">
        <v>813</v>
      </c>
      <c r="M326" s="67" t="s">
        <v>697</v>
      </c>
      <c r="N326" s="67" t="s">
        <v>1756</v>
      </c>
      <c r="O326" s="67" t="str">
        <f t="shared" ca="1" si="21"/>
        <v>SI</v>
      </c>
      <c r="P326" s="67" t="str">
        <f t="shared" si="22"/>
        <v>DIANOSOL</v>
      </c>
      <c r="Q326" s="67" t="s">
        <v>151</v>
      </c>
      <c r="R326" s="7" t="str">
        <f>VLOOKUP($Q326,Resultados!$A$1:$B$49,2,FALSE)</f>
        <v>Prisión Preventiva</v>
      </c>
      <c r="S326" s="74">
        <v>0.39166666666666666</v>
      </c>
      <c r="T326" s="77" t="str">
        <f t="shared" si="20"/>
        <v>SI</v>
      </c>
      <c r="U326" s="77"/>
      <c r="V326" s="67"/>
      <c r="W326" s="67" t="s">
        <v>1600</v>
      </c>
      <c r="X326" s="67" t="s">
        <v>1757</v>
      </c>
      <c r="Y326" s="67"/>
      <c r="Z326" s="124" t="s">
        <v>748</v>
      </c>
      <c r="AA326" s="77"/>
      <c r="AB326" s="77"/>
      <c r="AC326" s="375"/>
    </row>
    <row r="327" spans="1:29" ht="51" hidden="1">
      <c r="A327" s="67">
        <v>319</v>
      </c>
      <c r="B327" s="69">
        <v>45106</v>
      </c>
      <c r="C327" s="74">
        <v>0.33611111111111108</v>
      </c>
      <c r="D327" s="67" t="s">
        <v>1420</v>
      </c>
      <c r="E327" s="68" t="s">
        <v>1421</v>
      </c>
      <c r="F327" s="67">
        <v>3</v>
      </c>
      <c r="G327" s="67" t="s">
        <v>29</v>
      </c>
      <c r="H327" s="69">
        <v>45118</v>
      </c>
      <c r="I327" s="69" t="s">
        <v>76</v>
      </c>
      <c r="J327" s="69" t="s">
        <v>31</v>
      </c>
      <c r="K327" s="67">
        <f>IFERROR(VLOOKUP(J327,Jueces!$A$1:$B$11,2,FALSE),"")</f>
        <v>2</v>
      </c>
      <c r="L327" s="67" t="s">
        <v>807</v>
      </c>
      <c r="M327" s="67" t="s">
        <v>693</v>
      </c>
      <c r="N327" s="67" t="s">
        <v>1758</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1230</v>
      </c>
      <c r="X327" s="67"/>
      <c r="Y327" s="67"/>
      <c r="Z327" s="124" t="s">
        <v>743</v>
      </c>
      <c r="AA327" s="77"/>
      <c r="AB327" s="77"/>
      <c r="AC327" s="375"/>
    </row>
    <row r="328" spans="1:29" ht="63.75" hidden="1">
      <c r="A328" s="67">
        <v>330</v>
      </c>
      <c r="B328" s="69">
        <v>45110</v>
      </c>
      <c r="C328" s="74">
        <v>0.33333333333333331</v>
      </c>
      <c r="D328" s="67" t="s">
        <v>1482</v>
      </c>
      <c r="E328" s="68" t="s">
        <v>1483</v>
      </c>
      <c r="F328" s="67">
        <v>3</v>
      </c>
      <c r="G328" s="67" t="s">
        <v>32</v>
      </c>
      <c r="H328" s="69">
        <v>45118</v>
      </c>
      <c r="I328" s="69" t="s">
        <v>76</v>
      </c>
      <c r="J328" s="69" t="s">
        <v>1625</v>
      </c>
      <c r="K328" s="67" t="s">
        <v>1491</v>
      </c>
      <c r="L328" s="67" t="s">
        <v>789</v>
      </c>
      <c r="M328" s="67" t="s">
        <v>694</v>
      </c>
      <c r="N328" s="67" t="s">
        <v>1759</v>
      </c>
      <c r="O328" s="67" t="str">
        <f t="shared" ca="1" si="21"/>
        <v>SI</v>
      </c>
      <c r="P328" s="67" t="str">
        <f t="shared" si="22"/>
        <v>DIANOSOL</v>
      </c>
      <c r="Q328" s="67" t="s">
        <v>904</v>
      </c>
      <c r="R328" s="7" t="str">
        <f>VLOOKUP($Q328,Resultados!$A$1:$B$49,2,FALSE)</f>
        <v>Juicio Abreviado</v>
      </c>
      <c r="S328" s="67" t="s">
        <v>1760</v>
      </c>
      <c r="T328" s="77" t="str">
        <f t="shared" si="20"/>
        <v>NO</v>
      </c>
      <c r="U328" s="77"/>
      <c r="V328" s="67"/>
      <c r="W328" s="67" t="s">
        <v>1189</v>
      </c>
      <c r="X328" s="67" t="s">
        <v>1761</v>
      </c>
      <c r="Y328" s="67"/>
      <c r="Z328" s="124" t="s">
        <v>1042</v>
      </c>
      <c r="AA328" s="77"/>
      <c r="AB328" s="77"/>
      <c r="AC328" s="375"/>
    </row>
    <row r="329" spans="1:29" ht="191.25" hidden="1">
      <c r="A329" s="67">
        <v>312</v>
      </c>
      <c r="B329" s="69">
        <v>45105</v>
      </c>
      <c r="C329" s="74">
        <v>0.47013888888888888</v>
      </c>
      <c r="D329" s="67" t="s">
        <v>1407</v>
      </c>
      <c r="E329" s="68" t="s">
        <v>1880</v>
      </c>
      <c r="F329" s="67">
        <v>3</v>
      </c>
      <c r="G329" s="67" t="s">
        <v>283</v>
      </c>
      <c r="H329" s="69">
        <v>45118</v>
      </c>
      <c r="I329" s="69" t="s">
        <v>1450</v>
      </c>
      <c r="J329" s="69" t="s">
        <v>35</v>
      </c>
      <c r="K329" s="67">
        <f>IFERROR(VLOOKUP(J329,Jueces!$A$1:$B$11,2,FALSE),"")</f>
        <v>3</v>
      </c>
      <c r="L329" s="67" t="s">
        <v>813</v>
      </c>
      <c r="M329" s="67" t="s">
        <v>693</v>
      </c>
      <c r="N329" s="67" t="s">
        <v>1790</v>
      </c>
      <c r="O329" s="67" t="str">
        <f t="shared" ca="1" si="21"/>
        <v>SI</v>
      </c>
      <c r="P329" s="67" t="str">
        <f t="shared" si="22"/>
        <v>DIANOSOL</v>
      </c>
      <c r="Q329" s="67" t="s">
        <v>1512</v>
      </c>
      <c r="R329" s="7" t="str">
        <f>VLOOKUP($Q329,Resultados!$A$1:$B$49,2,FALSE)</f>
        <v>Juicio Abreviado</v>
      </c>
      <c r="S329" s="67" t="s">
        <v>1788</v>
      </c>
      <c r="T329" s="77" t="str">
        <f t="shared" si="20"/>
        <v>NO</v>
      </c>
      <c r="U329" s="77"/>
      <c r="V329" s="67"/>
      <c r="W329" s="67" t="s">
        <v>1789</v>
      </c>
      <c r="X329" s="176" t="s">
        <v>1791</v>
      </c>
      <c r="Y329" s="67"/>
      <c r="Z329" s="124" t="s">
        <v>743</v>
      </c>
      <c r="AA329" s="77"/>
      <c r="AB329" s="77"/>
      <c r="AC329" s="375"/>
    </row>
    <row r="330" spans="1:29" ht="38.25" hidden="1">
      <c r="A330" s="67">
        <v>323</v>
      </c>
      <c r="B330" s="69">
        <v>45107</v>
      </c>
      <c r="C330" s="74">
        <v>0.33333333333333331</v>
      </c>
      <c r="D330" s="67" t="s">
        <v>1456</v>
      </c>
      <c r="E330" s="68" t="s">
        <v>1455</v>
      </c>
      <c r="F330" s="67">
        <v>3</v>
      </c>
      <c r="G330" s="67" t="s">
        <v>568</v>
      </c>
      <c r="H330" s="69">
        <v>45118</v>
      </c>
      <c r="I330" s="69" t="s">
        <v>1450</v>
      </c>
      <c r="J330" s="69" t="s">
        <v>35</v>
      </c>
      <c r="K330" s="67">
        <f>IFERROR(VLOOKUP(J330,Jueces!$A$1:$B$11,2,FALSE),"")</f>
        <v>3</v>
      </c>
      <c r="L330" s="67" t="s">
        <v>807</v>
      </c>
      <c r="M330" s="67" t="s">
        <v>694</v>
      </c>
      <c r="N330" s="67" t="s">
        <v>1753</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1241</v>
      </c>
      <c r="X330" s="67" t="s">
        <v>1755</v>
      </c>
      <c r="Y330" s="67"/>
      <c r="Z330" s="124" t="s">
        <v>748</v>
      </c>
      <c r="AA330" s="77"/>
      <c r="AB330" s="77"/>
      <c r="AC330" s="375"/>
    </row>
    <row r="331" spans="1:29" ht="102" hidden="1">
      <c r="A331" s="67">
        <v>325</v>
      </c>
      <c r="B331" s="69">
        <v>45107</v>
      </c>
      <c r="C331" s="74">
        <v>0.33333333333333331</v>
      </c>
      <c r="D331" s="67" t="s">
        <v>1449</v>
      </c>
      <c r="E331" s="68" t="s">
        <v>1452</v>
      </c>
      <c r="F331" s="67">
        <v>2</v>
      </c>
      <c r="G331" s="67" t="s">
        <v>1441</v>
      </c>
      <c r="H331" s="69">
        <v>45118</v>
      </c>
      <c r="I331" s="69" t="s">
        <v>1450</v>
      </c>
      <c r="J331" s="69" t="s">
        <v>31</v>
      </c>
      <c r="K331" s="67">
        <f>IFERROR(VLOOKUP(J331,Jueces!$A$1:$B$11,2,FALSE),"")</f>
        <v>2</v>
      </c>
      <c r="L331" s="67" t="s">
        <v>801</v>
      </c>
      <c r="M331" s="67" t="s">
        <v>692</v>
      </c>
      <c r="N331" s="67" t="s">
        <v>1823</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4" t="s">
        <v>743</v>
      </c>
      <c r="AA331" s="77"/>
      <c r="AB331" s="77"/>
      <c r="AC331" s="375"/>
    </row>
    <row r="332" spans="1:29" ht="38.25" hidden="1">
      <c r="A332" s="67">
        <v>326</v>
      </c>
      <c r="B332" s="69">
        <v>45107</v>
      </c>
      <c r="C332" s="74">
        <v>0.43333333333333335</v>
      </c>
      <c r="D332" s="67" t="s">
        <v>1451</v>
      </c>
      <c r="E332" s="68" t="s">
        <v>1477</v>
      </c>
      <c r="F332" s="67">
        <v>3</v>
      </c>
      <c r="G332" s="67" t="s">
        <v>43</v>
      </c>
      <c r="H332" s="69">
        <v>45118</v>
      </c>
      <c r="I332" s="69" t="s">
        <v>1450</v>
      </c>
      <c r="J332" s="69" t="s">
        <v>1492</v>
      </c>
      <c r="K332" s="67" t="s">
        <v>1346</v>
      </c>
      <c r="L332" s="67" t="s">
        <v>801</v>
      </c>
      <c r="M332" s="67" t="s">
        <v>1386</v>
      </c>
      <c r="N332" s="67" t="s">
        <v>1753</v>
      </c>
      <c r="O332" s="67" t="str">
        <f t="shared" ca="1" si="21"/>
        <v>SI</v>
      </c>
      <c r="P332" s="67" t="str">
        <f t="shared" si="22"/>
        <v>DIANOSOL</v>
      </c>
      <c r="Q332" s="67" t="s">
        <v>151</v>
      </c>
      <c r="R332" s="7" t="str">
        <f>VLOOKUP($Q332,Resultados!$A$1:$B$49,2,FALSE)</f>
        <v>Prisión Preventiva</v>
      </c>
      <c r="S332" s="67" t="s">
        <v>1241</v>
      </c>
      <c r="T332" s="77" t="str">
        <f t="shared" si="20"/>
        <v>NO</v>
      </c>
      <c r="U332" s="77"/>
      <c r="V332" s="67"/>
      <c r="W332" s="67" t="s">
        <v>1754</v>
      </c>
      <c r="X332" s="67"/>
      <c r="Y332" s="67"/>
      <c r="Z332" s="124" t="s">
        <v>1042</v>
      </c>
      <c r="AA332" s="77"/>
      <c r="AB332" s="77"/>
      <c r="AC332" s="375"/>
    </row>
    <row r="333" spans="1:29" ht="127.5" hidden="1">
      <c r="A333" s="67">
        <v>361</v>
      </c>
      <c r="B333" s="69">
        <v>45114</v>
      </c>
      <c r="C333" s="67" t="s">
        <v>1677</v>
      </c>
      <c r="D333" s="67" t="s">
        <v>1678</v>
      </c>
      <c r="E333" s="41" t="s">
        <v>1676</v>
      </c>
      <c r="F333" s="67">
        <v>3</v>
      </c>
      <c r="G333" s="67" t="s">
        <v>1663</v>
      </c>
      <c r="H333" s="69">
        <v>45118</v>
      </c>
      <c r="I333" s="69" t="s">
        <v>1562</v>
      </c>
      <c r="J333" s="69" t="s">
        <v>1625</v>
      </c>
      <c r="K333" s="67" t="s">
        <v>1491</v>
      </c>
      <c r="L333" s="67" t="s">
        <v>789</v>
      </c>
      <c r="M333" s="67" t="s">
        <v>1694</v>
      </c>
      <c r="N333" s="67" t="s">
        <v>1838</v>
      </c>
      <c r="O333" s="83" t="s">
        <v>1801</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1745</v>
      </c>
      <c r="Y333" s="67"/>
      <c r="Z333" s="77"/>
      <c r="AA333" s="77"/>
      <c r="AB333" s="77"/>
      <c r="AC333" s="375"/>
    </row>
    <row r="334" spans="1:29" ht="63.75" hidden="1">
      <c r="A334" s="67">
        <v>329</v>
      </c>
      <c r="B334" s="69">
        <v>45110</v>
      </c>
      <c r="C334" s="74">
        <v>0.33333333333333331</v>
      </c>
      <c r="D334" s="67" t="s">
        <v>1481</v>
      </c>
      <c r="E334" s="68" t="s">
        <v>1488</v>
      </c>
      <c r="F334" s="67">
        <v>3</v>
      </c>
      <c r="G334" s="67" t="s">
        <v>283</v>
      </c>
      <c r="H334" s="69">
        <v>45118</v>
      </c>
      <c r="I334" s="69" t="s">
        <v>989</v>
      </c>
      <c r="J334" s="69" t="s">
        <v>1625</v>
      </c>
      <c r="K334" s="67" t="s">
        <v>1491</v>
      </c>
      <c r="L334" s="67" t="s">
        <v>797</v>
      </c>
      <c r="M334" s="67" t="s">
        <v>693</v>
      </c>
      <c r="N334" s="67" t="s">
        <v>1787</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1786</v>
      </c>
      <c r="X334" s="67"/>
      <c r="Y334" s="67"/>
      <c r="Z334" s="124" t="s">
        <v>748</v>
      </c>
      <c r="AA334" s="77"/>
      <c r="AB334" s="77"/>
      <c r="AC334" s="375"/>
    </row>
    <row r="335" spans="1:29" ht="51" hidden="1">
      <c r="A335" s="67">
        <v>337</v>
      </c>
      <c r="B335" s="69">
        <v>45111</v>
      </c>
      <c r="C335" s="74" t="s">
        <v>1746</v>
      </c>
      <c r="D335" s="67" t="s">
        <v>1552</v>
      </c>
      <c r="E335" s="68" t="s">
        <v>1524</v>
      </c>
      <c r="F335" s="67">
        <v>4</v>
      </c>
      <c r="G335" s="67" t="s">
        <v>1442</v>
      </c>
      <c r="H335" s="69">
        <v>45119</v>
      </c>
      <c r="I335" s="69" t="s">
        <v>76</v>
      </c>
      <c r="J335" s="69" t="s">
        <v>31</v>
      </c>
      <c r="K335" s="67">
        <f>IFERROR(VLOOKUP(J335,Jueces!$A$1:$B$11,2,FALSE),"")</f>
        <v>2</v>
      </c>
      <c r="L335" s="67" t="s">
        <v>807</v>
      </c>
      <c r="M335" s="67" t="s">
        <v>695</v>
      </c>
      <c r="N335" s="67" t="s">
        <v>1785</v>
      </c>
      <c r="O335" s="67" t="str">
        <f t="shared" ca="1" si="23"/>
        <v>SI</v>
      </c>
      <c r="P335" s="67" t="str">
        <f t="shared" si="22"/>
        <v>DIANOSOL</v>
      </c>
      <c r="Q335" s="67" t="s">
        <v>899</v>
      </c>
      <c r="R335" s="67" t="str">
        <f>VLOOKUP($Q335,Resultados!$A$1:$B$49,2,FALSE)</f>
        <v>Libertad</v>
      </c>
      <c r="S335" s="67" t="s">
        <v>1004</v>
      </c>
      <c r="T335" s="77" t="str">
        <f t="shared" si="20"/>
        <v>SI</v>
      </c>
      <c r="U335" s="77"/>
      <c r="V335" s="67"/>
      <c r="W335" s="67" t="s">
        <v>1243</v>
      </c>
      <c r="X335" s="67"/>
      <c r="Y335" s="67"/>
      <c r="Z335" s="124" t="s">
        <v>743</v>
      </c>
      <c r="AA335" s="77"/>
      <c r="AB335" s="124" t="s">
        <v>1748</v>
      </c>
      <c r="AC335" s="375"/>
    </row>
    <row r="336" spans="1:29" ht="63.75" hidden="1">
      <c r="A336" s="67">
        <v>338</v>
      </c>
      <c r="B336" s="69">
        <v>45111</v>
      </c>
      <c r="C336" s="74" t="s">
        <v>1396</v>
      </c>
      <c r="D336" s="67" t="s">
        <v>1551</v>
      </c>
      <c r="E336" s="68" t="s">
        <v>1792</v>
      </c>
      <c r="F336" s="67">
        <v>3</v>
      </c>
      <c r="G336" s="67" t="s">
        <v>1441</v>
      </c>
      <c r="H336" s="69">
        <v>45119</v>
      </c>
      <c r="I336" s="69" t="s">
        <v>76</v>
      </c>
      <c r="J336" s="69" t="s">
        <v>1492</v>
      </c>
      <c r="K336" s="67" t="s">
        <v>1346</v>
      </c>
      <c r="L336" s="67" t="s">
        <v>812</v>
      </c>
      <c r="M336" s="67" t="s">
        <v>694</v>
      </c>
      <c r="N336" s="67" t="s">
        <v>1765</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1766</v>
      </c>
      <c r="Y336" s="67"/>
      <c r="Z336" s="124" t="s">
        <v>1042</v>
      </c>
      <c r="AA336" s="77"/>
      <c r="AB336" s="124" t="s">
        <v>1749</v>
      </c>
      <c r="AC336" s="375"/>
    </row>
    <row r="337" spans="1:29" ht="63.75" hidden="1">
      <c r="A337" s="67">
        <v>340</v>
      </c>
      <c r="B337" s="69">
        <v>45111</v>
      </c>
      <c r="C337" s="74">
        <v>0.41736111111111113</v>
      </c>
      <c r="D337" s="67" t="s">
        <v>1548</v>
      </c>
      <c r="E337" s="68" t="s">
        <v>1525</v>
      </c>
      <c r="F337" s="67">
        <v>3</v>
      </c>
      <c r="G337" s="67" t="s">
        <v>283</v>
      </c>
      <c r="H337" s="69">
        <v>45119</v>
      </c>
      <c r="I337" s="69" t="s">
        <v>1450</v>
      </c>
      <c r="J337" s="69" t="s">
        <v>35</v>
      </c>
      <c r="K337" s="67">
        <f>IFERROR(VLOOKUP(J337,Jueces!$A$1:$B$11,2,FALSE),"")</f>
        <v>3</v>
      </c>
      <c r="L337" s="67" t="s">
        <v>807</v>
      </c>
      <c r="M337" s="67" t="s">
        <v>694</v>
      </c>
      <c r="N337" s="67" t="s">
        <v>1784</v>
      </c>
      <c r="O337" s="67" t="str">
        <f t="shared" ca="1" si="23"/>
        <v>SI</v>
      </c>
      <c r="P337" s="67" t="str">
        <f t="shared" si="22"/>
        <v>DIANOSOL</v>
      </c>
      <c r="Q337" s="67" t="s">
        <v>905</v>
      </c>
      <c r="R337" s="67" t="str">
        <f>VLOOKUP($Q337,Resultados!$A$1:$B$49,2,FALSE)</f>
        <v>Juicio Abreviado</v>
      </c>
      <c r="S337" s="67" t="s">
        <v>1450</v>
      </c>
      <c r="T337" s="77" t="str">
        <f t="shared" si="20"/>
        <v>NO</v>
      </c>
      <c r="U337" s="77"/>
      <c r="V337" s="67"/>
      <c r="W337" s="67" t="s">
        <v>1783</v>
      </c>
      <c r="X337" s="67"/>
      <c r="Y337" s="67"/>
      <c r="Z337" s="124" t="s">
        <v>748</v>
      </c>
      <c r="AA337" s="77"/>
      <c r="AB337" s="124" t="s">
        <v>1750</v>
      </c>
      <c r="AC337" s="375"/>
    </row>
    <row r="338" spans="1:29" ht="38.25" hidden="1">
      <c r="A338" s="67">
        <v>336</v>
      </c>
      <c r="B338" s="69">
        <v>45111</v>
      </c>
      <c r="C338" s="74" t="s">
        <v>1243</v>
      </c>
      <c r="D338" s="67" t="s">
        <v>1523</v>
      </c>
      <c r="E338" s="68" t="s">
        <v>1521</v>
      </c>
      <c r="F338" s="67">
        <v>4</v>
      </c>
      <c r="G338" s="67" t="s">
        <v>568</v>
      </c>
      <c r="H338" s="69">
        <v>45119</v>
      </c>
      <c r="I338" s="69" t="s">
        <v>547</v>
      </c>
      <c r="J338" s="69" t="s">
        <v>35</v>
      </c>
      <c r="K338" s="67">
        <f>IFERROR(VLOOKUP(J338,Jueces!$A$1:$B$11,2,FALSE),"")</f>
        <v>3</v>
      </c>
      <c r="L338" s="67" t="s">
        <v>1522</v>
      </c>
      <c r="M338" s="67" t="s">
        <v>1434</v>
      </c>
      <c r="N338" s="67" t="s">
        <v>1780</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4" t="s">
        <v>743</v>
      </c>
      <c r="AA338" s="77"/>
      <c r="AB338" s="124" t="s">
        <v>1177</v>
      </c>
      <c r="AC338" s="375"/>
    </row>
    <row r="339" spans="1:29" ht="76.5" hidden="1">
      <c r="A339" s="67">
        <v>341</v>
      </c>
      <c r="B339" s="69">
        <v>45111</v>
      </c>
      <c r="C339" s="74" t="s">
        <v>1458</v>
      </c>
      <c r="D339" s="67" t="s">
        <v>1549</v>
      </c>
      <c r="E339" s="68" t="s">
        <v>1793</v>
      </c>
      <c r="F339" s="67">
        <v>2</v>
      </c>
      <c r="G339" s="67" t="s">
        <v>43</v>
      </c>
      <c r="H339" s="69">
        <v>45119</v>
      </c>
      <c r="I339" s="69" t="s">
        <v>547</v>
      </c>
      <c r="J339" s="69" t="s">
        <v>1625</v>
      </c>
      <c r="K339" s="67" t="s">
        <v>1491</v>
      </c>
      <c r="L339" s="67" t="s">
        <v>798</v>
      </c>
      <c r="M339" s="67" t="s">
        <v>1179</v>
      </c>
      <c r="N339" s="67" t="s">
        <v>1778</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1779</v>
      </c>
      <c r="Y339" s="67"/>
      <c r="Z339" s="124" t="s">
        <v>1042</v>
      </c>
      <c r="AA339" s="77"/>
      <c r="AB339" s="124" t="s">
        <v>1751</v>
      </c>
      <c r="AC339" s="375"/>
    </row>
    <row r="340" spans="1:29" ht="63.75" hidden="1">
      <c r="A340" s="67">
        <v>342</v>
      </c>
      <c r="B340" s="69">
        <v>45111</v>
      </c>
      <c r="C340" s="74" t="s">
        <v>1279</v>
      </c>
      <c r="D340" s="67" t="s">
        <v>1557</v>
      </c>
      <c r="E340" s="68" t="s">
        <v>1556</v>
      </c>
      <c r="F340" s="67">
        <v>4</v>
      </c>
      <c r="G340" s="67" t="s">
        <v>29</v>
      </c>
      <c r="H340" s="69">
        <v>45119</v>
      </c>
      <c r="I340" s="69" t="s">
        <v>547</v>
      </c>
      <c r="J340" s="69" t="s">
        <v>1492</v>
      </c>
      <c r="K340" s="67" t="s">
        <v>1346</v>
      </c>
      <c r="L340" s="67" t="s">
        <v>813</v>
      </c>
      <c r="M340" s="67" t="s">
        <v>694</v>
      </c>
      <c r="N340" s="67" t="s">
        <v>1782</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1781</v>
      </c>
      <c r="X340" s="67"/>
      <c r="Y340" s="67"/>
      <c r="Z340" s="124" t="s">
        <v>748</v>
      </c>
      <c r="AA340" s="77"/>
      <c r="AB340" s="77"/>
      <c r="AC340" s="375"/>
    </row>
    <row r="341" spans="1:29" ht="63.75" hidden="1">
      <c r="A341" s="67">
        <v>344</v>
      </c>
      <c r="B341" s="69">
        <v>45111</v>
      </c>
      <c r="C341" s="74">
        <v>0.53263888888888888</v>
      </c>
      <c r="D341" s="67" t="s">
        <v>1559</v>
      </c>
      <c r="E341" s="68" t="s">
        <v>1773</v>
      </c>
      <c r="F341" s="67">
        <v>3</v>
      </c>
      <c r="G341" s="67" t="s">
        <v>43</v>
      </c>
      <c r="H341" s="69">
        <v>45119</v>
      </c>
      <c r="I341" s="69" t="s">
        <v>1562</v>
      </c>
      <c r="J341" s="69" t="s">
        <v>1625</v>
      </c>
      <c r="K341" s="67" t="s">
        <v>1491</v>
      </c>
      <c r="L341" s="67" t="s">
        <v>806</v>
      </c>
      <c r="M341" s="67" t="s">
        <v>694</v>
      </c>
      <c r="N341" s="67" t="s">
        <v>1776</v>
      </c>
      <c r="O341" s="67" t="str">
        <f t="shared" ca="1" si="23"/>
        <v>SI</v>
      </c>
      <c r="P341" s="67" t="str">
        <f t="shared" si="22"/>
        <v>DIANOSOL</v>
      </c>
      <c r="Q341" s="67" t="s">
        <v>904</v>
      </c>
      <c r="R341" s="67" t="str">
        <f>VLOOKUP($Q341,Resultados!$A$1:$B$49,2,FALSE)</f>
        <v>Juicio Abreviado</v>
      </c>
      <c r="S341" s="67" t="s">
        <v>1774</v>
      </c>
      <c r="T341" s="77" t="str">
        <f t="shared" si="20"/>
        <v>NO</v>
      </c>
      <c r="U341" s="77"/>
      <c r="V341" s="67"/>
      <c r="W341" s="67" t="s">
        <v>1775</v>
      </c>
      <c r="X341" s="67" t="s">
        <v>1777</v>
      </c>
      <c r="Y341" s="67"/>
      <c r="Z341" s="124" t="s">
        <v>743</v>
      </c>
      <c r="AA341" s="77"/>
      <c r="AB341" s="77"/>
      <c r="AC341" s="375"/>
    </row>
    <row r="342" spans="1:29" ht="38.25" hidden="1">
      <c r="A342" s="67">
        <v>334</v>
      </c>
      <c r="B342" s="69">
        <v>45111</v>
      </c>
      <c r="C342" s="74" t="s">
        <v>1084</v>
      </c>
      <c r="D342" s="67" t="s">
        <v>1554</v>
      </c>
      <c r="E342" s="68" t="s">
        <v>1794</v>
      </c>
      <c r="F342" s="67">
        <v>4</v>
      </c>
      <c r="G342" s="67" t="s">
        <v>32</v>
      </c>
      <c r="H342" s="69">
        <v>45120</v>
      </c>
      <c r="I342" s="69" t="s">
        <v>76</v>
      </c>
      <c r="J342" s="69" t="s">
        <v>1625</v>
      </c>
      <c r="K342" s="67" t="s">
        <v>1491</v>
      </c>
      <c r="L342" s="67" t="s">
        <v>814</v>
      </c>
      <c r="M342" s="67" t="s">
        <v>1558</v>
      </c>
      <c r="N342" s="67" t="s">
        <v>899</v>
      </c>
      <c r="O342" s="67" t="str">
        <f t="shared" ca="1" si="23"/>
        <v>SI</v>
      </c>
      <c r="P342" s="67" t="str">
        <f t="shared" si="22"/>
        <v>DIANOSOL</v>
      </c>
      <c r="Q342" s="67" t="s">
        <v>899</v>
      </c>
      <c r="R342" s="67" t="str">
        <f>VLOOKUP($Q342,Resultados!$A$1:$B$49,2,FALSE)</f>
        <v>Libertad</v>
      </c>
      <c r="S342" s="67" t="s">
        <v>1802</v>
      </c>
      <c r="T342" s="77" t="str">
        <f t="shared" si="20"/>
        <v>NO</v>
      </c>
      <c r="U342" s="77"/>
      <c r="V342" s="67"/>
      <c r="W342" s="67" t="s">
        <v>1245</v>
      </c>
      <c r="X342" s="67" t="s">
        <v>1803</v>
      </c>
      <c r="Y342" s="67"/>
      <c r="Z342" s="124" t="s">
        <v>1042</v>
      </c>
      <c r="AA342" s="77"/>
      <c r="AB342" s="77"/>
      <c r="AC342" s="375"/>
    </row>
    <row r="343" spans="1:29" ht="25.5" hidden="1">
      <c r="A343" s="67">
        <v>339</v>
      </c>
      <c r="B343" s="69">
        <v>45111</v>
      </c>
      <c r="C343" s="74" t="s">
        <v>1509</v>
      </c>
      <c r="D343" s="67" t="s">
        <v>1550</v>
      </c>
      <c r="E343" s="68" t="s">
        <v>1795</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1132</v>
      </c>
      <c r="T343" s="77" t="str">
        <f t="shared" si="20"/>
        <v>NO</v>
      </c>
      <c r="U343" s="77"/>
      <c r="V343" s="67"/>
      <c r="W343" s="67" t="s">
        <v>1807</v>
      </c>
      <c r="X343" s="67"/>
      <c r="Y343" s="67"/>
      <c r="Z343" s="124" t="s">
        <v>748</v>
      </c>
      <c r="AA343" s="77"/>
      <c r="AB343" s="77"/>
      <c r="AC343" s="375"/>
    </row>
    <row r="344" spans="1:29" ht="38.25" hidden="1">
      <c r="A344" s="67">
        <v>347</v>
      </c>
      <c r="B344" s="69">
        <v>45112</v>
      </c>
      <c r="C344" s="67" t="s">
        <v>1566</v>
      </c>
      <c r="D344" s="67" t="s">
        <v>1565</v>
      </c>
      <c r="E344" s="68" t="s">
        <v>1796</v>
      </c>
      <c r="F344" s="67">
        <v>4</v>
      </c>
      <c r="G344" s="67" t="s">
        <v>43</v>
      </c>
      <c r="H344" s="69">
        <v>45120</v>
      </c>
      <c r="I344" s="69" t="s">
        <v>76</v>
      </c>
      <c r="J344" s="69" t="s">
        <v>1492</v>
      </c>
      <c r="K344" s="67" t="s">
        <v>1346</v>
      </c>
      <c r="L344" s="67" t="s">
        <v>809</v>
      </c>
      <c r="M344" s="67" t="s">
        <v>695</v>
      </c>
      <c r="N344" s="67" t="s">
        <v>621</v>
      </c>
      <c r="O344" s="67" t="str">
        <f t="shared" ca="1" si="23"/>
        <v>SI</v>
      </c>
      <c r="P344" s="67" t="str">
        <f t="shared" si="22"/>
        <v>DIANOSOL</v>
      </c>
      <c r="Q344" s="67" t="s">
        <v>151</v>
      </c>
      <c r="R344" s="67" t="str">
        <f>VLOOKUP($Q344,Resultados!$A$1:$B$49,2,FALSE)</f>
        <v>Prisión Preventiva</v>
      </c>
      <c r="S344" s="67" t="s">
        <v>1299</v>
      </c>
      <c r="T344" s="77" t="str">
        <f t="shared" si="20"/>
        <v>NO</v>
      </c>
      <c r="U344" s="77"/>
      <c r="V344" s="67"/>
      <c r="W344" s="67" t="s">
        <v>1450</v>
      </c>
      <c r="X344" s="67"/>
      <c r="Y344" s="67"/>
      <c r="Z344" s="124" t="s">
        <v>743</v>
      </c>
      <c r="AA344" s="77"/>
      <c r="AB344" s="77"/>
      <c r="AC344" s="375"/>
    </row>
    <row r="345" spans="1:29" ht="38.25" hidden="1">
      <c r="A345" s="67">
        <v>333</v>
      </c>
      <c r="B345" s="69">
        <v>45111</v>
      </c>
      <c r="C345" s="74" t="s">
        <v>1009</v>
      </c>
      <c r="D345" s="67" t="s">
        <v>1555</v>
      </c>
      <c r="E345" s="68" t="s">
        <v>1797</v>
      </c>
      <c r="F345" s="67">
        <v>4</v>
      </c>
      <c r="G345" s="67" t="s">
        <v>29</v>
      </c>
      <c r="H345" s="69">
        <v>45120</v>
      </c>
      <c r="I345" s="69" t="s">
        <v>1450</v>
      </c>
      <c r="J345" s="69" t="s">
        <v>1492</v>
      </c>
      <c r="K345" s="67" t="s">
        <v>1346</v>
      </c>
      <c r="L345" s="67" t="s">
        <v>813</v>
      </c>
      <c r="M345" s="67" t="s">
        <v>695</v>
      </c>
      <c r="N345" s="67" t="s">
        <v>621</v>
      </c>
      <c r="O345" s="67" t="str">
        <f t="shared" ca="1" si="23"/>
        <v>SI</v>
      </c>
      <c r="P345" s="67" t="str">
        <f t="shared" si="22"/>
        <v>DIANOSOL</v>
      </c>
      <c r="Q345" s="67" t="s">
        <v>151</v>
      </c>
      <c r="R345" s="67" t="str">
        <f>VLOOKUP($Q345,Resultados!$A$1:$B$49,2,FALSE)</f>
        <v>Prisión Preventiva</v>
      </c>
      <c r="S345" s="67" t="s">
        <v>1276</v>
      </c>
      <c r="T345" s="77" t="str">
        <f t="shared" si="20"/>
        <v>NO</v>
      </c>
      <c r="U345" s="77"/>
      <c r="V345" s="67"/>
      <c r="W345" s="67" t="s">
        <v>1806</v>
      </c>
      <c r="X345" s="67"/>
      <c r="Y345" s="67"/>
      <c r="Z345" s="124" t="s">
        <v>1042</v>
      </c>
      <c r="AA345" s="77"/>
      <c r="AB345" s="77"/>
      <c r="AC345" s="375"/>
    </row>
    <row r="346" spans="1:29" ht="38.25" hidden="1">
      <c r="A346" s="67">
        <v>335</v>
      </c>
      <c r="B346" s="69">
        <v>45111</v>
      </c>
      <c r="C346" s="74" t="s">
        <v>1747</v>
      </c>
      <c r="D346" s="67" t="s">
        <v>1553</v>
      </c>
      <c r="E346" s="68" t="s">
        <v>1798</v>
      </c>
      <c r="F346" s="67">
        <v>3</v>
      </c>
      <c r="G346" s="67" t="s">
        <v>32</v>
      </c>
      <c r="H346" s="69">
        <v>45120</v>
      </c>
      <c r="I346" s="69" t="s">
        <v>1450</v>
      </c>
      <c r="J346" s="69" t="s">
        <v>31</v>
      </c>
      <c r="K346" s="67">
        <f>IFERROR(VLOOKUP(J346,Jueces!$A$1:$B$11,2,FALSE),"")</f>
        <v>2</v>
      </c>
      <c r="L346" s="67" t="s">
        <v>810</v>
      </c>
      <c r="M346" s="67" t="s">
        <v>694</v>
      </c>
      <c r="N346" s="67" t="s">
        <v>1804</v>
      </c>
      <c r="O346" s="67" t="str">
        <f t="shared" ca="1" si="23"/>
        <v>SI</v>
      </c>
      <c r="P346" s="67" t="str">
        <f t="shared" si="22"/>
        <v>DIANOSOL</v>
      </c>
      <c r="Q346" s="67" t="s">
        <v>151</v>
      </c>
      <c r="R346" s="67" t="str">
        <f>VLOOKUP($Q346,Resultados!$A$1:$B$49,2,FALSE)</f>
        <v>Prisión Preventiva</v>
      </c>
      <c r="S346" s="67" t="s">
        <v>1739</v>
      </c>
      <c r="T346" s="77" t="str">
        <f t="shared" si="20"/>
        <v>NO</v>
      </c>
      <c r="U346" s="77"/>
      <c r="V346" s="67"/>
      <c r="W346" s="67" t="s">
        <v>1805</v>
      </c>
      <c r="X346" s="67"/>
      <c r="Y346" s="67"/>
      <c r="Z346" s="124" t="s">
        <v>748</v>
      </c>
      <c r="AA346" s="77"/>
      <c r="AB346" s="77"/>
      <c r="AC346" s="375"/>
    </row>
    <row r="347" spans="1:29" ht="38.25" hidden="1">
      <c r="A347" s="67">
        <v>345</v>
      </c>
      <c r="B347" s="69">
        <v>45112</v>
      </c>
      <c r="C347" s="67" t="s">
        <v>73</v>
      </c>
      <c r="D347" s="67" t="s">
        <v>1561</v>
      </c>
      <c r="E347" s="68" t="s">
        <v>1799</v>
      </c>
      <c r="F347" s="67">
        <v>4</v>
      </c>
      <c r="G347" s="67" t="s">
        <v>1442</v>
      </c>
      <c r="H347" s="69">
        <v>45120</v>
      </c>
      <c r="I347" s="69" t="s">
        <v>547</v>
      </c>
      <c r="J347" s="69" t="s">
        <v>1625</v>
      </c>
      <c r="K347" s="67" t="str">
        <f>IFERROR(VLOOKUP(J347,Jueces!$A$1:$B$13,2,FALSE),"")</f>
        <v>JUI 5</v>
      </c>
      <c r="L347" s="67" t="s">
        <v>806</v>
      </c>
      <c r="M347" s="67" t="s">
        <v>695</v>
      </c>
      <c r="N347" s="67" t="s">
        <v>1826</v>
      </c>
      <c r="O347" s="67" t="str">
        <f t="shared" ca="1" si="23"/>
        <v>SI</v>
      </c>
      <c r="P347" s="67" t="str">
        <f t="shared" si="22"/>
        <v>DIANOSOL</v>
      </c>
      <c r="Q347" s="67" t="s">
        <v>904</v>
      </c>
      <c r="R347" s="67" t="str">
        <f>VLOOKUP($Q347,Resultados!$A$1:$B$49,2,FALSE)</f>
        <v>Juicio Abreviado</v>
      </c>
      <c r="S347" s="74">
        <v>0.50347222222222221</v>
      </c>
      <c r="T347" s="77" t="str">
        <f t="shared" si="20"/>
        <v>SI</v>
      </c>
      <c r="U347" s="77"/>
      <c r="V347" s="67"/>
      <c r="W347" s="74">
        <v>0.50902777777777775</v>
      </c>
      <c r="X347" s="67" t="s">
        <v>1827</v>
      </c>
      <c r="Y347" s="67"/>
      <c r="Z347" s="124" t="s">
        <v>743</v>
      </c>
      <c r="AA347" s="77"/>
      <c r="AB347" s="77"/>
      <c r="AC347" s="375"/>
    </row>
    <row r="348" spans="1:29" ht="102" hidden="1">
      <c r="A348" s="67">
        <v>346</v>
      </c>
      <c r="B348" s="69">
        <v>45112</v>
      </c>
      <c r="C348" s="67" t="s">
        <v>1564</v>
      </c>
      <c r="D348" s="67" t="s">
        <v>1563</v>
      </c>
      <c r="E348" s="68" t="s">
        <v>1800</v>
      </c>
      <c r="F348" s="67">
        <v>3</v>
      </c>
      <c r="G348" s="67" t="s">
        <v>283</v>
      </c>
      <c r="H348" s="69">
        <v>45120</v>
      </c>
      <c r="I348" s="69" t="s">
        <v>547</v>
      </c>
      <c r="J348" s="69" t="s">
        <v>31</v>
      </c>
      <c r="K348" s="67">
        <f>IFERROR(VLOOKUP(J348,Jueces!$A$1:$B$13,2,FALSE),"")</f>
        <v>2</v>
      </c>
      <c r="L348" s="67" t="s">
        <v>789</v>
      </c>
      <c r="M348" s="67" t="s">
        <v>1829</v>
      </c>
      <c r="N348" s="67" t="s">
        <v>1825</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1830</v>
      </c>
      <c r="Y348" s="67"/>
      <c r="Z348" s="124" t="s">
        <v>1042</v>
      </c>
      <c r="AA348" s="77"/>
      <c r="AB348" s="77"/>
      <c r="AC348" s="375"/>
    </row>
    <row r="349" spans="1:29" ht="127.5" hidden="1">
      <c r="A349" s="67">
        <v>332</v>
      </c>
      <c r="B349" s="69">
        <v>45110</v>
      </c>
      <c r="C349" s="74" t="s">
        <v>1189</v>
      </c>
      <c r="D349" s="67" t="s">
        <v>1486</v>
      </c>
      <c r="E349" s="68" t="s">
        <v>1487</v>
      </c>
      <c r="F349" s="67">
        <v>3</v>
      </c>
      <c r="G349" s="67" t="s">
        <v>43</v>
      </c>
      <c r="H349" s="69">
        <v>45121</v>
      </c>
      <c r="I349" s="69" t="s">
        <v>76</v>
      </c>
      <c r="J349" s="69" t="s">
        <v>1625</v>
      </c>
      <c r="K349" s="67" t="s">
        <v>1491</v>
      </c>
      <c r="L349" s="67" t="s">
        <v>813</v>
      </c>
      <c r="M349" s="67" t="s">
        <v>693</v>
      </c>
      <c r="N349" s="67" t="s">
        <v>1837</v>
      </c>
      <c r="O349" s="67" t="str">
        <f t="shared" ca="1" si="23"/>
        <v>SI</v>
      </c>
      <c r="P349" s="67" t="str">
        <f t="shared" si="22"/>
        <v>DIANOSOL</v>
      </c>
      <c r="Q349" s="67" t="s">
        <v>1512</v>
      </c>
      <c r="R349" s="67" t="str">
        <f>VLOOKUP($Q349,Resultados!$A$1:$B$49,2,FALSE)</f>
        <v>Juicio Abreviado</v>
      </c>
      <c r="S349" s="74">
        <v>0.41041666666666665</v>
      </c>
      <c r="T349" s="77" t="str">
        <f t="shared" si="20"/>
        <v>NO</v>
      </c>
      <c r="U349" s="77"/>
      <c r="V349" s="67"/>
      <c r="W349" s="74">
        <v>0.42569444444444443</v>
      </c>
      <c r="X349" s="156"/>
      <c r="Y349" s="67"/>
      <c r="Z349" s="124" t="s">
        <v>748</v>
      </c>
      <c r="AA349" s="77"/>
      <c r="AB349" s="77"/>
      <c r="AC349" s="375"/>
    </row>
    <row r="350" spans="1:29" ht="89.25" hidden="1">
      <c r="A350" s="67">
        <v>343</v>
      </c>
      <c r="B350" s="69">
        <v>45111</v>
      </c>
      <c r="C350" s="74" t="s">
        <v>1125</v>
      </c>
      <c r="D350" s="67" t="s">
        <v>1560</v>
      </c>
      <c r="E350" s="68" t="s">
        <v>1526</v>
      </c>
      <c r="F350" s="67">
        <v>4</v>
      </c>
      <c r="G350" s="67" t="s">
        <v>1441</v>
      </c>
      <c r="H350" s="69">
        <v>45121</v>
      </c>
      <c r="I350" s="69" t="s">
        <v>76</v>
      </c>
      <c r="J350" s="69" t="s">
        <v>35</v>
      </c>
      <c r="K350" s="67">
        <f>IFERROR(VLOOKUP(J350,Jueces!$A$1:$B$13,2,FALSE),"")</f>
        <v>3</v>
      </c>
      <c r="L350" s="67" t="s">
        <v>508</v>
      </c>
      <c r="M350" s="67" t="s">
        <v>1824</v>
      </c>
      <c r="N350" s="67" t="s">
        <v>1831</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3" t="s">
        <v>1832</v>
      </c>
      <c r="Y350" s="67"/>
      <c r="Z350" s="124" t="s">
        <v>743</v>
      </c>
      <c r="AA350" s="77"/>
      <c r="AB350" s="77"/>
      <c r="AC350" s="375"/>
    </row>
    <row r="351" spans="1:29" ht="51" hidden="1">
      <c r="A351" s="67">
        <v>348</v>
      </c>
      <c r="B351" s="69">
        <v>45112</v>
      </c>
      <c r="C351" s="67" t="s">
        <v>1237</v>
      </c>
      <c r="D351" s="67" t="s">
        <v>1569</v>
      </c>
      <c r="E351" s="68" t="s">
        <v>1582</v>
      </c>
      <c r="F351" s="67">
        <v>4</v>
      </c>
      <c r="G351" s="67" t="s">
        <v>32</v>
      </c>
      <c r="H351" s="69">
        <v>45121</v>
      </c>
      <c r="I351" s="69" t="s">
        <v>76</v>
      </c>
      <c r="J351" s="69" t="s">
        <v>31</v>
      </c>
      <c r="K351" s="67">
        <f>IFERROR(VLOOKUP(J351,Jueces!$A$1:$B$13,2,FALSE),"")</f>
        <v>2</v>
      </c>
      <c r="L351" s="67" t="s">
        <v>809</v>
      </c>
      <c r="M351" s="67" t="s">
        <v>695</v>
      </c>
      <c r="N351" s="67" t="s">
        <v>1828</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4" t="s">
        <v>1042</v>
      </c>
      <c r="AA351" s="77"/>
      <c r="AB351" s="77"/>
      <c r="AC351" s="375"/>
    </row>
    <row r="352" spans="1:29" ht="76.5" hidden="1">
      <c r="A352" s="67">
        <v>358</v>
      </c>
      <c r="B352" s="69">
        <v>45113</v>
      </c>
      <c r="C352" s="67" t="s">
        <v>1642</v>
      </c>
      <c r="D352" s="67" t="s">
        <v>1641</v>
      </c>
      <c r="E352" s="68" t="s">
        <v>1646</v>
      </c>
      <c r="F352" s="67">
        <v>3</v>
      </c>
      <c r="G352" s="67" t="s">
        <v>283</v>
      </c>
      <c r="H352" s="69">
        <v>45121</v>
      </c>
      <c r="I352" s="69" t="s">
        <v>76</v>
      </c>
      <c r="J352" s="69" t="s">
        <v>1492</v>
      </c>
      <c r="K352" s="67" t="s">
        <v>1346</v>
      </c>
      <c r="L352" s="67" t="s">
        <v>793</v>
      </c>
      <c r="M352" s="67" t="s">
        <v>1647</v>
      </c>
      <c r="N352" s="67" t="s">
        <v>1833</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4" t="s">
        <v>748</v>
      </c>
      <c r="AA352" s="77"/>
      <c r="AB352" s="77"/>
      <c r="AC352" s="375"/>
    </row>
    <row r="353" spans="1:29" ht="38.25" hidden="1">
      <c r="A353" s="67">
        <v>349</v>
      </c>
      <c r="B353" s="69">
        <v>45112</v>
      </c>
      <c r="C353" s="74">
        <v>0.36388888888888887</v>
      </c>
      <c r="D353" s="67" t="s">
        <v>1567</v>
      </c>
      <c r="E353" s="68" t="s">
        <v>1568</v>
      </c>
      <c r="F353" s="67">
        <v>4</v>
      </c>
      <c r="G353" s="67" t="s">
        <v>29</v>
      </c>
      <c r="H353" s="69">
        <v>45121</v>
      </c>
      <c r="I353" s="69" t="s">
        <v>1450</v>
      </c>
      <c r="J353" s="69" t="s">
        <v>1625</v>
      </c>
      <c r="K353" s="67" t="str">
        <f>IFERROR(VLOOKUP(J353,Jueces!$A$1:$B$13,2,FALSE),"")</f>
        <v>JUI 5</v>
      </c>
      <c r="L353" s="67" t="s">
        <v>807</v>
      </c>
      <c r="M353" s="67" t="s">
        <v>695</v>
      </c>
      <c r="N353" s="67" t="s">
        <v>1753</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4" t="s">
        <v>1042</v>
      </c>
      <c r="AA353" s="77"/>
      <c r="AB353" s="77"/>
      <c r="AC353" s="375"/>
    </row>
    <row r="354" spans="1:29" ht="63.75" hidden="1">
      <c r="A354" s="67">
        <v>350</v>
      </c>
      <c r="B354" s="69">
        <v>45112</v>
      </c>
      <c r="C354" s="74">
        <v>0.5625</v>
      </c>
      <c r="D354" s="67" t="s">
        <v>1598</v>
      </c>
      <c r="E354" s="68" t="s">
        <v>1599</v>
      </c>
      <c r="F354" s="67">
        <v>3</v>
      </c>
      <c r="G354" s="67" t="s">
        <v>1442</v>
      </c>
      <c r="H354" s="69">
        <v>45121</v>
      </c>
      <c r="I354" s="69" t="s">
        <v>1450</v>
      </c>
      <c r="J354" s="69" t="s">
        <v>1492</v>
      </c>
      <c r="K354" s="67" t="s">
        <v>1346</v>
      </c>
      <c r="L354" s="67" t="s">
        <v>1835</v>
      </c>
      <c r="M354" s="67" t="s">
        <v>694</v>
      </c>
      <c r="N354" s="67" t="s">
        <v>1834</v>
      </c>
      <c r="O354" s="67" t="str">
        <f t="shared" ca="1" si="23"/>
        <v>SI</v>
      </c>
      <c r="P354" s="67" t="str">
        <f t="shared" si="22"/>
        <v>DIANOSOL</v>
      </c>
      <c r="Q354" s="67" t="s">
        <v>905</v>
      </c>
      <c r="R354" s="67" t="str">
        <f>VLOOKUP($Q354,Resultados!$A$1:$B$49,2,FALSE)</f>
        <v>Juicio Abreviado</v>
      </c>
      <c r="S354" s="74">
        <v>0.4368055555555555</v>
      </c>
      <c r="T354" s="77" t="str">
        <f t="shared" si="20"/>
        <v>SI</v>
      </c>
      <c r="U354" s="77"/>
      <c r="V354" s="67"/>
      <c r="W354" s="74">
        <v>0.4513888888888889</v>
      </c>
      <c r="X354" s="67"/>
      <c r="Y354" s="67"/>
      <c r="Z354" s="124" t="s">
        <v>743</v>
      </c>
      <c r="AA354" s="77"/>
      <c r="AB354" s="77"/>
      <c r="AC354" s="375"/>
    </row>
    <row r="355" spans="1:29" ht="63.75" hidden="1">
      <c r="A355" s="67">
        <v>355</v>
      </c>
      <c r="B355" s="69">
        <v>45113</v>
      </c>
      <c r="C355" s="67" t="s">
        <v>1635</v>
      </c>
      <c r="D355" s="67" t="s">
        <v>1597</v>
      </c>
      <c r="E355" s="68" t="s">
        <v>1621</v>
      </c>
      <c r="F355" s="67">
        <v>3</v>
      </c>
      <c r="G355" s="67" t="s">
        <v>568</v>
      </c>
      <c r="H355" s="69">
        <v>45121</v>
      </c>
      <c r="I355" s="69" t="s">
        <v>547</v>
      </c>
      <c r="J355" s="69" t="s">
        <v>1492</v>
      </c>
      <c r="K355" s="67" t="s">
        <v>1346</v>
      </c>
      <c r="L355" s="67" t="s">
        <v>809</v>
      </c>
      <c r="M355" s="67" t="s">
        <v>693</v>
      </c>
      <c r="N355" s="67" t="s">
        <v>1836</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4" t="s">
        <v>748</v>
      </c>
      <c r="AA355" s="77"/>
      <c r="AB355" s="77"/>
      <c r="AC355" s="375"/>
    </row>
    <row r="356" spans="1:29" ht="51" hidden="1">
      <c r="A356" s="67">
        <v>351</v>
      </c>
      <c r="B356" s="69">
        <v>45113</v>
      </c>
      <c r="C356" s="74" t="s">
        <v>1210</v>
      </c>
      <c r="D356" s="67" t="s">
        <v>1594</v>
      </c>
      <c r="E356" s="68" t="s">
        <v>1847</v>
      </c>
      <c r="F356" s="67">
        <v>4</v>
      </c>
      <c r="G356" s="67" t="s">
        <v>283</v>
      </c>
      <c r="H356" s="69">
        <v>45124</v>
      </c>
      <c r="I356" s="69" t="s">
        <v>76</v>
      </c>
      <c r="J356" s="69" t="s">
        <v>1689</v>
      </c>
      <c r="K356" s="67" t="s">
        <v>1692</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1852</v>
      </c>
      <c r="Y356" s="67"/>
      <c r="Z356" s="124" t="s">
        <v>1042</v>
      </c>
      <c r="AA356" s="77"/>
      <c r="AB356" s="77"/>
      <c r="AC356" s="375"/>
    </row>
    <row r="357" spans="1:29" ht="63.75" hidden="1">
      <c r="A357" s="67">
        <v>357</v>
      </c>
      <c r="B357" s="69">
        <v>45113</v>
      </c>
      <c r="C357" s="67" t="s">
        <v>228</v>
      </c>
      <c r="D357" s="67" t="s">
        <v>1643</v>
      </c>
      <c r="E357" s="68" t="s">
        <v>1645</v>
      </c>
      <c r="F357" s="67">
        <v>3</v>
      </c>
      <c r="G357" s="67" t="s">
        <v>1441</v>
      </c>
      <c r="H357" s="69">
        <v>45124</v>
      </c>
      <c r="I357" s="69" t="s">
        <v>76</v>
      </c>
      <c r="J357" s="69" t="s">
        <v>1732</v>
      </c>
      <c r="K357" s="67" t="s">
        <v>1346</v>
      </c>
      <c r="L357" s="67" t="s">
        <v>810</v>
      </c>
      <c r="M357" s="67" t="s">
        <v>694</v>
      </c>
      <c r="N357" s="67" t="s">
        <v>1844</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1841</v>
      </c>
      <c r="Y357" s="67"/>
      <c r="Z357" s="124" t="s">
        <v>770</v>
      </c>
      <c r="AA357" s="77"/>
      <c r="AB357" s="77"/>
      <c r="AC357" s="375"/>
    </row>
    <row r="358" spans="1:29" ht="76.5" hidden="1">
      <c r="A358" s="67">
        <v>360</v>
      </c>
      <c r="B358" s="69">
        <v>45113</v>
      </c>
      <c r="C358" s="67" t="s">
        <v>1639</v>
      </c>
      <c r="D358" s="67" t="s">
        <v>1638</v>
      </c>
      <c r="E358" s="68" t="s">
        <v>1688</v>
      </c>
      <c r="F358" s="67">
        <v>3</v>
      </c>
      <c r="G358" s="67" t="s">
        <v>1443</v>
      </c>
      <c r="H358" s="69">
        <v>45124</v>
      </c>
      <c r="I358" s="69" t="s">
        <v>76</v>
      </c>
      <c r="J358" s="69" t="s">
        <v>31</v>
      </c>
      <c r="K358" s="67">
        <f>IFERROR(VLOOKUP(J358,Jueces!$A$1:$B$11,2,FALSE),"")</f>
        <v>2</v>
      </c>
      <c r="L358" s="67" t="s">
        <v>797</v>
      </c>
      <c r="M358" s="67" t="s">
        <v>782</v>
      </c>
      <c r="N358" s="67" t="s">
        <v>1845</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92" t="s">
        <v>1846</v>
      </c>
      <c r="Y358" s="67"/>
      <c r="Z358" s="124" t="s">
        <v>1848</v>
      </c>
      <c r="AA358" s="77"/>
      <c r="AB358" s="77"/>
      <c r="AC358" s="375"/>
    </row>
    <row r="359" spans="1:29" ht="63.75" hidden="1">
      <c r="A359" s="67">
        <v>352</v>
      </c>
      <c r="B359" s="69">
        <v>45113</v>
      </c>
      <c r="C359" s="74" t="s">
        <v>1131</v>
      </c>
      <c r="D359" s="67" t="s">
        <v>1721</v>
      </c>
      <c r="E359" s="68" t="s">
        <v>1593</v>
      </c>
      <c r="F359" s="67">
        <v>4</v>
      </c>
      <c r="G359" s="67" t="s">
        <v>1663</v>
      </c>
      <c r="H359" s="69">
        <v>45124</v>
      </c>
      <c r="I359" s="69" t="s">
        <v>1450</v>
      </c>
      <c r="J359" s="69" t="s">
        <v>1732</v>
      </c>
      <c r="K359" s="67" t="s">
        <v>1346</v>
      </c>
      <c r="L359" s="67" t="s">
        <v>813</v>
      </c>
      <c r="M359" s="67" t="s">
        <v>695</v>
      </c>
      <c r="N359" s="67" t="s">
        <v>1843</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1842</v>
      </c>
      <c r="Y359" s="67"/>
      <c r="Z359" s="124" t="s">
        <v>1042</v>
      </c>
      <c r="AA359" s="77"/>
      <c r="AB359" s="77"/>
      <c r="AC359" s="375"/>
    </row>
    <row r="360" spans="1:29" ht="51" hidden="1">
      <c r="A360" s="67">
        <v>353</v>
      </c>
      <c r="B360" s="69">
        <v>45113</v>
      </c>
      <c r="C360" s="67" t="s">
        <v>1131</v>
      </c>
      <c r="D360" s="67" t="s">
        <v>1595</v>
      </c>
      <c r="E360" s="68" t="s">
        <v>1644</v>
      </c>
      <c r="F360" s="67">
        <v>4</v>
      </c>
      <c r="G360" s="67" t="s">
        <v>1661</v>
      </c>
      <c r="H360" s="69">
        <v>45124</v>
      </c>
      <c r="I360" s="69" t="s">
        <v>547</v>
      </c>
      <c r="J360" s="69" t="s">
        <v>1625</v>
      </c>
      <c r="K360" s="67" t="s">
        <v>1491</v>
      </c>
      <c r="L360" s="67" t="s">
        <v>810</v>
      </c>
      <c r="M360" s="67" t="s">
        <v>783</v>
      </c>
      <c r="N360" s="67" t="s">
        <v>1851</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4" t="s">
        <v>770</v>
      </c>
      <c r="AA360" s="77"/>
      <c r="AB360" s="77"/>
      <c r="AC360" s="375"/>
    </row>
    <row r="361" spans="1:29" ht="63.75" hidden="1">
      <c r="A361" s="67">
        <v>367</v>
      </c>
      <c r="B361" s="69">
        <v>45114</v>
      </c>
      <c r="C361" s="67" t="s">
        <v>1696</v>
      </c>
      <c r="D361" s="67" t="s">
        <v>1695</v>
      </c>
      <c r="E361" s="68" t="s">
        <v>1704</v>
      </c>
      <c r="F361" s="67">
        <v>4</v>
      </c>
      <c r="G361" s="67" t="s">
        <v>1443</v>
      </c>
      <c r="H361" s="69">
        <v>45125</v>
      </c>
      <c r="I361" s="69" t="s">
        <v>76</v>
      </c>
      <c r="J361" s="69" t="s">
        <v>1732</v>
      </c>
      <c r="K361" s="67" t="s">
        <v>1326</v>
      </c>
      <c r="L361" s="67" t="s">
        <v>806</v>
      </c>
      <c r="M361" s="67" t="s">
        <v>695</v>
      </c>
      <c r="N361" s="67" t="s">
        <v>1861</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4" t="s">
        <v>770</v>
      </c>
      <c r="AA361" s="124"/>
      <c r="AB361" s="77"/>
      <c r="AC361" s="375"/>
    </row>
    <row r="362" spans="1:29" ht="25.5" hidden="1">
      <c r="A362" s="67">
        <v>368</v>
      </c>
      <c r="B362" s="69">
        <v>45114</v>
      </c>
      <c r="C362" s="74">
        <v>0.47291666666666665</v>
      </c>
      <c r="D362" s="67" t="s">
        <v>1697</v>
      </c>
      <c r="E362" s="68" t="s">
        <v>1712</v>
      </c>
      <c r="F362" s="67">
        <v>4</v>
      </c>
      <c r="G362" s="67" t="s">
        <v>1663</v>
      </c>
      <c r="H362" s="69">
        <v>45125</v>
      </c>
      <c r="I362" s="69" t="s">
        <v>76</v>
      </c>
      <c r="J362" s="69" t="s">
        <v>31</v>
      </c>
      <c r="K362" s="67">
        <f>IFERROR(VLOOKUP(J362,Jueces!$A$1:$B$11,2,FALSE),"")</f>
        <v>2</v>
      </c>
      <c r="L362" s="67" t="s">
        <v>812</v>
      </c>
      <c r="M362" s="67" t="s">
        <v>1862</v>
      </c>
      <c r="N362" s="67" t="s">
        <v>1857</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1863</v>
      </c>
      <c r="Y362" s="67"/>
      <c r="Z362" s="124" t="s">
        <v>770</v>
      </c>
      <c r="AA362" s="124"/>
      <c r="AB362" s="77"/>
      <c r="AC362" s="375"/>
    </row>
    <row r="363" spans="1:29" ht="76.5" hidden="1">
      <c r="A363" s="67">
        <v>370</v>
      </c>
      <c r="B363" s="69">
        <v>45114</v>
      </c>
      <c r="C363" s="74">
        <v>0.49305555555555558</v>
      </c>
      <c r="D363" s="67" t="s">
        <v>1700</v>
      </c>
      <c r="E363" s="68" t="s">
        <v>1878</v>
      </c>
      <c r="F363" s="67">
        <v>3</v>
      </c>
      <c r="G363" s="67" t="s">
        <v>1742</v>
      </c>
      <c r="H363" s="69">
        <v>45125</v>
      </c>
      <c r="I363" s="69" t="s">
        <v>76</v>
      </c>
      <c r="J363" s="69" t="s">
        <v>1625</v>
      </c>
      <c r="K363" s="67" t="s">
        <v>1491</v>
      </c>
      <c r="L363" s="67" t="s">
        <v>797</v>
      </c>
      <c r="M363" s="67" t="s">
        <v>693</v>
      </c>
      <c r="N363" s="67" t="s">
        <v>1855</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1337</v>
      </c>
      <c r="X363" s="67" t="s">
        <v>1506</v>
      </c>
      <c r="Y363" s="67"/>
      <c r="Z363" s="124" t="s">
        <v>1042</v>
      </c>
      <c r="AA363" s="124"/>
      <c r="AB363" s="77"/>
      <c r="AC363" s="375"/>
    </row>
    <row r="364" spans="1:29" ht="51" hidden="1">
      <c r="A364" s="67">
        <v>372</v>
      </c>
      <c r="B364" s="69">
        <v>45114</v>
      </c>
      <c r="C364" s="74">
        <v>0.49513888888888885</v>
      </c>
      <c r="D364" s="67" t="s">
        <v>1703</v>
      </c>
      <c r="E364" s="68" t="s">
        <v>1877</v>
      </c>
      <c r="F364" s="67">
        <v>3</v>
      </c>
      <c r="G364" s="67" t="s">
        <v>283</v>
      </c>
      <c r="H364" s="69">
        <v>45125</v>
      </c>
      <c r="I364" s="69" t="s">
        <v>1450</v>
      </c>
      <c r="J364" s="69" t="s">
        <v>1625</v>
      </c>
      <c r="K364" s="67" t="s">
        <v>1491</v>
      </c>
      <c r="L364" s="67" t="s">
        <v>802</v>
      </c>
      <c r="M364" s="67" t="s">
        <v>1711</v>
      </c>
      <c r="N364" s="67" t="s">
        <v>1856</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1858</v>
      </c>
      <c r="Y364" s="67"/>
      <c r="Z364" s="124" t="s">
        <v>1042</v>
      </c>
      <c r="AA364" s="124"/>
      <c r="AB364" s="77"/>
      <c r="AC364" s="375"/>
    </row>
    <row r="365" spans="1:29" ht="63.75" hidden="1">
      <c r="A365" s="67">
        <v>377</v>
      </c>
      <c r="B365" s="69">
        <v>45117</v>
      </c>
      <c r="C365" s="74">
        <v>0.47847222222222219</v>
      </c>
      <c r="D365" s="67" t="s">
        <v>1725</v>
      </c>
      <c r="E365" s="68" t="s">
        <v>1724</v>
      </c>
      <c r="F365" s="67">
        <v>4</v>
      </c>
      <c r="G365" s="67" t="s">
        <v>1661</v>
      </c>
      <c r="H365" s="69">
        <v>45125</v>
      </c>
      <c r="I365" s="69" t="s">
        <v>1764</v>
      </c>
      <c r="J365" s="69" t="s">
        <v>1732</v>
      </c>
      <c r="K365" s="67" t="s">
        <v>1346</v>
      </c>
      <c r="L365" s="67" t="s">
        <v>806</v>
      </c>
      <c r="M365" s="67" t="s">
        <v>695</v>
      </c>
      <c r="N365" s="67" t="s">
        <v>1859</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1860</v>
      </c>
      <c r="Y365" s="67"/>
      <c r="Z365" s="124" t="s">
        <v>1042</v>
      </c>
      <c r="AA365" s="124"/>
      <c r="AB365" s="77"/>
      <c r="AC365" s="375"/>
    </row>
    <row r="366" spans="1:29" ht="89.25" hidden="1">
      <c r="A366" s="67">
        <v>359</v>
      </c>
      <c r="B366" s="69">
        <v>45113</v>
      </c>
      <c r="C366" s="67" t="s">
        <v>1239</v>
      </c>
      <c r="D366" s="67" t="s">
        <v>1640</v>
      </c>
      <c r="E366" s="68" t="s">
        <v>1637</v>
      </c>
      <c r="F366" s="67">
        <v>6</v>
      </c>
      <c r="G366" s="67" t="s">
        <v>1441</v>
      </c>
      <c r="H366" s="69">
        <v>45126</v>
      </c>
      <c r="I366" s="69" t="s">
        <v>76</v>
      </c>
      <c r="J366" s="69" t="s">
        <v>1689</v>
      </c>
      <c r="K366" s="67" t="s">
        <v>1692</v>
      </c>
      <c r="L366" s="67" t="s">
        <v>791</v>
      </c>
      <c r="M366" s="67" t="s">
        <v>694</v>
      </c>
      <c r="N366" s="67" t="s">
        <v>1890</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4" t="s">
        <v>1872</v>
      </c>
      <c r="AA366" s="124"/>
      <c r="AB366" s="77"/>
      <c r="AC366" s="375"/>
    </row>
    <row r="367" spans="1:29" ht="127.5" hidden="1">
      <c r="A367" s="67">
        <v>373</v>
      </c>
      <c r="B367" s="69">
        <v>45114</v>
      </c>
      <c r="C367" s="74">
        <v>0.5</v>
      </c>
      <c r="D367" s="67" t="s">
        <v>1731</v>
      </c>
      <c r="E367" s="68" t="s">
        <v>1713</v>
      </c>
      <c r="F367" s="67">
        <v>2</v>
      </c>
      <c r="G367" s="67" t="s">
        <v>283</v>
      </c>
      <c r="H367" s="69">
        <v>45126</v>
      </c>
      <c r="I367" s="69" t="s">
        <v>76</v>
      </c>
      <c r="J367" s="69" t="s">
        <v>1625</v>
      </c>
      <c r="K367" s="67" t="s">
        <v>1491</v>
      </c>
      <c r="L367" s="67" t="s">
        <v>326</v>
      </c>
      <c r="M367" s="67" t="s">
        <v>695</v>
      </c>
      <c r="N367" s="67" t="s">
        <v>1879</v>
      </c>
      <c r="O367" s="67" t="str">
        <f t="shared" ca="1" si="23"/>
        <v>SI</v>
      </c>
      <c r="P367" s="67" t="str">
        <f t="shared" si="22"/>
        <v>DIANOSOL</v>
      </c>
      <c r="Q367" s="67" t="s">
        <v>1512</v>
      </c>
      <c r="R367" s="67" t="str">
        <f>VLOOKUP($Q367,Resultados!$A$1:$B$49,2,FALSE)</f>
        <v>Juicio Abreviado</v>
      </c>
      <c r="S367" s="67" t="s">
        <v>1783</v>
      </c>
      <c r="T367" s="77" t="str">
        <f t="shared" si="24"/>
        <v>NO</v>
      </c>
      <c r="U367" s="77"/>
      <c r="V367" s="67"/>
      <c r="W367" s="74">
        <v>0.44930555555555557</v>
      </c>
      <c r="X367" s="67"/>
      <c r="Y367" s="67"/>
      <c r="Z367" s="124" t="s">
        <v>1042</v>
      </c>
      <c r="AA367" s="77"/>
      <c r="AB367" s="77"/>
      <c r="AC367" s="375"/>
    </row>
    <row r="368" spans="1:29" ht="89.25" hidden="1">
      <c r="A368" s="67">
        <v>379</v>
      </c>
      <c r="B368" s="69">
        <v>45117</v>
      </c>
      <c r="C368" s="74">
        <v>0.53749999999999998</v>
      </c>
      <c r="D368" s="67" t="s">
        <v>1733</v>
      </c>
      <c r="E368" s="68" t="s">
        <v>1730</v>
      </c>
      <c r="F368" s="67">
        <v>3</v>
      </c>
      <c r="G368" s="67" t="s">
        <v>1661</v>
      </c>
      <c r="H368" s="69">
        <v>45126</v>
      </c>
      <c r="I368" s="69" t="s">
        <v>76</v>
      </c>
      <c r="J368" s="69" t="s">
        <v>1732</v>
      </c>
      <c r="K368" s="67" t="s">
        <v>1346</v>
      </c>
      <c r="L368" s="67" t="s">
        <v>798</v>
      </c>
      <c r="M368" s="67" t="s">
        <v>693</v>
      </c>
      <c r="N368" s="67" t="s">
        <v>1895</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1896</v>
      </c>
      <c r="Y368" s="67"/>
      <c r="Z368" s="124" t="s">
        <v>1871</v>
      </c>
      <c r="AA368" s="338"/>
      <c r="AB368" s="77"/>
      <c r="AC368" s="375"/>
    </row>
    <row r="369" spans="1:29" ht="51" hidden="1">
      <c r="A369" s="67">
        <v>364</v>
      </c>
      <c r="B369" s="69">
        <v>45114</v>
      </c>
      <c r="C369" s="67" t="s">
        <v>1135</v>
      </c>
      <c r="D369" s="67" t="s">
        <v>1685</v>
      </c>
      <c r="E369" s="68" t="s">
        <v>1684</v>
      </c>
      <c r="F369" s="67">
        <v>4</v>
      </c>
      <c r="G369" s="67" t="s">
        <v>1742</v>
      </c>
      <c r="H369" s="69">
        <v>45126</v>
      </c>
      <c r="I369" s="69" t="s">
        <v>1450</v>
      </c>
      <c r="J369" s="69" t="s">
        <v>31</v>
      </c>
      <c r="K369" s="67">
        <f>IFERROR(VLOOKUP(J369,Jueces!$A$1:$B$11,2,FALSE),"")</f>
        <v>2</v>
      </c>
      <c r="L369" s="67" t="s">
        <v>804</v>
      </c>
      <c r="M369" s="67" t="s">
        <v>695</v>
      </c>
      <c r="N369" s="67" t="s">
        <v>1894</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1893</v>
      </c>
      <c r="Y369" s="67"/>
      <c r="Z369" s="124" t="s">
        <v>1848</v>
      </c>
      <c r="AA369" s="77"/>
      <c r="AB369" s="77"/>
      <c r="AC369" s="375"/>
    </row>
    <row r="370" spans="1:29" ht="76.5" hidden="1">
      <c r="A370" s="67">
        <v>362</v>
      </c>
      <c r="B370" s="69">
        <v>45114</v>
      </c>
      <c r="C370" s="67" t="s">
        <v>1680</v>
      </c>
      <c r="D370" s="67" t="s">
        <v>1681</v>
      </c>
      <c r="E370" s="68" t="s">
        <v>1679</v>
      </c>
      <c r="F370" s="67">
        <v>3</v>
      </c>
      <c r="G370" s="67" t="s">
        <v>1663</v>
      </c>
      <c r="H370" s="69">
        <v>45126</v>
      </c>
      <c r="I370" s="69" t="s">
        <v>547</v>
      </c>
      <c r="J370" s="69" t="s">
        <v>1732</v>
      </c>
      <c r="K370" s="67" t="s">
        <v>1346</v>
      </c>
      <c r="L370" s="67" t="s">
        <v>1070</v>
      </c>
      <c r="M370" s="67" t="s">
        <v>694</v>
      </c>
      <c r="N370" s="67" t="s">
        <v>1892</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4" t="s">
        <v>1871</v>
      </c>
      <c r="AA370" s="77"/>
      <c r="AB370" s="77"/>
      <c r="AC370" s="375"/>
    </row>
    <row r="371" spans="1:29" ht="102" hidden="1">
      <c r="A371" s="67">
        <v>376</v>
      </c>
      <c r="B371" s="69">
        <v>45117</v>
      </c>
      <c r="C371" s="67" t="s">
        <v>1609</v>
      </c>
      <c r="D371" s="67" t="s">
        <v>1722</v>
      </c>
      <c r="E371" s="68" t="s">
        <v>1723</v>
      </c>
      <c r="F371" s="67">
        <v>3</v>
      </c>
      <c r="G371" s="67" t="s">
        <v>1443</v>
      </c>
      <c r="H371" s="69">
        <v>45126</v>
      </c>
      <c r="I371" s="69" t="s">
        <v>547</v>
      </c>
      <c r="J371" s="69" t="s">
        <v>1625</v>
      </c>
      <c r="K371" s="67" t="s">
        <v>1491</v>
      </c>
      <c r="L371" s="67" t="s">
        <v>801</v>
      </c>
      <c r="M371" s="67" t="s">
        <v>693</v>
      </c>
      <c r="N371" s="67" t="s">
        <v>1891</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4" t="s">
        <v>1042</v>
      </c>
      <c r="AA371" s="77"/>
      <c r="AB371" s="77"/>
      <c r="AC371" s="375"/>
    </row>
    <row r="372" spans="1:29" ht="51" hidden="1">
      <c r="A372" s="67">
        <v>366</v>
      </c>
      <c r="B372" s="69">
        <v>45114</v>
      </c>
      <c r="C372" s="67" t="s">
        <v>1499</v>
      </c>
      <c r="D372" s="67" t="s">
        <v>604</v>
      </c>
      <c r="E372" s="68" t="s">
        <v>1952</v>
      </c>
      <c r="F372" s="67">
        <v>4</v>
      </c>
      <c r="G372" s="67" t="s">
        <v>1661</v>
      </c>
      <c r="H372" s="69">
        <v>45127</v>
      </c>
      <c r="I372" s="69" t="s">
        <v>76</v>
      </c>
      <c r="J372" s="69" t="s">
        <v>1689</v>
      </c>
      <c r="K372" s="67" t="s">
        <v>1692</v>
      </c>
      <c r="L372" s="67" t="s">
        <v>813</v>
      </c>
      <c r="M372" s="67" t="s">
        <v>783</v>
      </c>
      <c r="N372" s="67" t="s">
        <v>1904</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1905</v>
      </c>
      <c r="Y372" s="67"/>
      <c r="Z372" s="124" t="s">
        <v>1042</v>
      </c>
      <c r="AA372" s="77"/>
      <c r="AB372" s="77"/>
      <c r="AC372" s="375"/>
    </row>
    <row r="373" spans="1:29" ht="127.5" hidden="1">
      <c r="A373" s="67">
        <v>363</v>
      </c>
      <c r="B373" s="69">
        <v>45114</v>
      </c>
      <c r="C373" s="67" t="s">
        <v>1683</v>
      </c>
      <c r="D373" s="67" t="s">
        <v>1682</v>
      </c>
      <c r="E373" s="68" t="s">
        <v>1951</v>
      </c>
      <c r="F373" s="67">
        <v>3</v>
      </c>
      <c r="G373" s="67" t="s">
        <v>1443</v>
      </c>
      <c r="H373" s="69">
        <v>45127</v>
      </c>
      <c r="I373" s="69" t="s">
        <v>547</v>
      </c>
      <c r="J373" s="69" t="s">
        <v>31</v>
      </c>
      <c r="K373" s="67">
        <f>IFERROR(VLOOKUP(J373,Jueces!$A$1:$B$11,2,FALSE),"")</f>
        <v>2</v>
      </c>
      <c r="L373" s="67" t="s">
        <v>789</v>
      </c>
      <c r="M373" s="67" t="s">
        <v>694</v>
      </c>
      <c r="N373" s="67" t="s">
        <v>1899</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1900</v>
      </c>
      <c r="Y373" s="67"/>
      <c r="Z373" s="124" t="s">
        <v>770</v>
      </c>
      <c r="AA373" s="77"/>
      <c r="AB373" s="77"/>
      <c r="AC373" s="375"/>
    </row>
    <row r="374" spans="1:29" ht="51" hidden="1">
      <c r="A374" s="67">
        <v>365</v>
      </c>
      <c r="B374" s="69">
        <v>45114</v>
      </c>
      <c r="C374" s="67" t="s">
        <v>1124</v>
      </c>
      <c r="D374" s="67" t="s">
        <v>1687</v>
      </c>
      <c r="E374" s="68" t="s">
        <v>1686</v>
      </c>
      <c r="F374" s="67">
        <v>4</v>
      </c>
      <c r="G374" s="67" t="s">
        <v>1663</v>
      </c>
      <c r="H374" s="69">
        <v>45127</v>
      </c>
      <c r="I374" s="69" t="s">
        <v>547</v>
      </c>
      <c r="J374" s="69" t="s">
        <v>1732</v>
      </c>
      <c r="K374" s="67" t="s">
        <v>1346</v>
      </c>
      <c r="L374" s="67" t="s">
        <v>813</v>
      </c>
      <c r="M374" s="67" t="s">
        <v>695</v>
      </c>
      <c r="N374" s="67" t="s">
        <v>1901</v>
      </c>
      <c r="O374" s="67" t="str">
        <f t="shared" ca="1" si="23"/>
        <v>SI</v>
      </c>
      <c r="P374" s="67" t="str">
        <f t="shared" si="22"/>
        <v>DIANOSOL</v>
      </c>
      <c r="Q374" s="67" t="s">
        <v>1902</v>
      </c>
      <c r="R374" s="67" t="str">
        <f>VLOOKUP($Q374,Resultados!$A$1:$B$49,2,FALSE)</f>
        <v>Sobreseimiento</v>
      </c>
      <c r="S374" s="74">
        <v>0.4375</v>
      </c>
      <c r="T374" s="77" t="str">
        <f t="shared" si="24"/>
        <v>NO</v>
      </c>
      <c r="U374" s="77"/>
      <c r="V374" s="67"/>
      <c r="W374" s="74">
        <v>0.5</v>
      </c>
      <c r="X374" s="176" t="s">
        <v>1903</v>
      </c>
      <c r="Y374" s="67"/>
      <c r="Z374" s="124" t="s">
        <v>1042</v>
      </c>
      <c r="AA374" s="77"/>
      <c r="AB374" s="77"/>
      <c r="AC374" s="375"/>
    </row>
    <row r="375" spans="1:29" ht="76.5" hidden="1">
      <c r="A375" s="67">
        <v>378</v>
      </c>
      <c r="B375" s="69">
        <v>45117</v>
      </c>
      <c r="C375" s="67" t="s">
        <v>1738</v>
      </c>
      <c r="D375" s="67" t="s">
        <v>1726</v>
      </c>
      <c r="E375" s="68" t="s">
        <v>1911</v>
      </c>
      <c r="F375" s="67">
        <v>4</v>
      </c>
      <c r="G375" s="67" t="s">
        <v>1441</v>
      </c>
      <c r="H375" s="69">
        <v>45127</v>
      </c>
      <c r="I375" s="69" t="s">
        <v>1562</v>
      </c>
      <c r="J375" s="69" t="s">
        <v>1625</v>
      </c>
      <c r="K375" s="67" t="s">
        <v>1491</v>
      </c>
      <c r="L375" s="67" t="s">
        <v>807</v>
      </c>
      <c r="M375" s="67" t="s">
        <v>695</v>
      </c>
      <c r="N375" s="67" t="s">
        <v>1897</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6" t="s">
        <v>1898</v>
      </c>
      <c r="Y375" s="67"/>
      <c r="Z375" s="124" t="s">
        <v>770</v>
      </c>
      <c r="AA375" s="77"/>
      <c r="AB375" s="77"/>
      <c r="AC375" s="375"/>
    </row>
    <row r="376" spans="1:29" ht="25.5" hidden="1">
      <c r="A376" s="67">
        <v>380</v>
      </c>
      <c r="B376" s="69">
        <v>45117</v>
      </c>
      <c r="C376" s="67" t="s">
        <v>1737</v>
      </c>
      <c r="D376" s="67" t="s">
        <v>1736</v>
      </c>
      <c r="E376" s="68" t="s">
        <v>1950</v>
      </c>
      <c r="F376" s="67">
        <v>4</v>
      </c>
      <c r="G376" s="67" t="s">
        <v>1443</v>
      </c>
      <c r="H376" s="69">
        <v>45128</v>
      </c>
      <c r="I376" s="69" t="s">
        <v>76</v>
      </c>
      <c r="J376" s="69" t="s">
        <v>1732</v>
      </c>
      <c r="K376" s="67" t="s">
        <v>1346</v>
      </c>
      <c r="L376" s="67" t="s">
        <v>797</v>
      </c>
      <c r="M376" s="67" t="s">
        <v>1179</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1337</v>
      </c>
      <c r="X376" s="67" t="s">
        <v>1913</v>
      </c>
      <c r="Y376" s="67"/>
      <c r="Z376" s="124" t="s">
        <v>770</v>
      </c>
      <c r="AA376" s="77"/>
      <c r="AB376" s="77"/>
      <c r="AC376" s="375"/>
    </row>
    <row r="377" spans="1:29" ht="51" hidden="1">
      <c r="A377" s="67">
        <v>374</v>
      </c>
      <c r="B377" s="69">
        <v>45114</v>
      </c>
      <c r="C377" s="74">
        <v>0.5</v>
      </c>
      <c r="D377" s="67" t="s">
        <v>1735</v>
      </c>
      <c r="E377" s="68" t="s">
        <v>1949</v>
      </c>
      <c r="F377" s="67">
        <v>3</v>
      </c>
      <c r="G377" s="67" t="s">
        <v>283</v>
      </c>
      <c r="H377" s="69">
        <v>45128</v>
      </c>
      <c r="I377" s="69" t="s">
        <v>1450</v>
      </c>
      <c r="J377" s="69" t="s">
        <v>1689</v>
      </c>
      <c r="K377" s="67" t="s">
        <v>1692</v>
      </c>
      <c r="L377" s="67" t="s">
        <v>800</v>
      </c>
      <c r="M377" s="67" t="s">
        <v>694</v>
      </c>
      <c r="N377" s="67" t="s">
        <v>621</v>
      </c>
      <c r="O377" s="67" t="str">
        <f t="shared" ca="1" si="23"/>
        <v>SI</v>
      </c>
      <c r="P377" s="67" t="str">
        <f t="shared" si="22"/>
        <v>DIANOSOL</v>
      </c>
      <c r="Q377" s="67" t="s">
        <v>151</v>
      </c>
      <c r="R377" s="67" t="str">
        <f>VLOOKUP($Q377,Resultados!$A$1:$B$49,2,FALSE)</f>
        <v>Prisión Preventiva</v>
      </c>
      <c r="S377" s="67" t="s">
        <v>1914</v>
      </c>
      <c r="T377" s="77" t="str">
        <f t="shared" si="24"/>
        <v>NO</v>
      </c>
      <c r="U377" s="77"/>
      <c r="V377" s="67"/>
      <c r="W377" s="67" t="s">
        <v>1240</v>
      </c>
      <c r="X377" s="67" t="s">
        <v>1915</v>
      </c>
      <c r="Y377" s="67"/>
      <c r="Z377" s="124" t="s">
        <v>1042</v>
      </c>
      <c r="AA377" s="77"/>
      <c r="AB377" s="77"/>
      <c r="AC377" s="375"/>
    </row>
    <row r="378" spans="1:29" ht="38.25" hidden="1">
      <c r="A378" s="67">
        <v>382</v>
      </c>
      <c r="B378" s="69">
        <v>45118</v>
      </c>
      <c r="C378" s="74">
        <v>0.53680555555555554</v>
      </c>
      <c r="D378" s="67" t="s">
        <v>1762</v>
      </c>
      <c r="E378" s="68" t="s">
        <v>1948</v>
      </c>
      <c r="F378" s="67">
        <v>4</v>
      </c>
      <c r="G378" s="67" t="s">
        <v>1663</v>
      </c>
      <c r="H378" s="69">
        <v>45128</v>
      </c>
      <c r="I378" s="69" t="s">
        <v>1450</v>
      </c>
      <c r="J378" s="69" t="s">
        <v>1732</v>
      </c>
      <c r="K378" s="67" t="s">
        <v>1346</v>
      </c>
      <c r="L378" s="67" t="s">
        <v>1070</v>
      </c>
      <c r="M378" s="67" t="s">
        <v>1763</v>
      </c>
      <c r="N378" s="67" t="s">
        <v>621</v>
      </c>
      <c r="O378" s="67" t="str">
        <f t="shared" ca="1" si="23"/>
        <v>SI</v>
      </c>
      <c r="P378" s="67" t="str">
        <f t="shared" si="22"/>
        <v>DIANOSOL</v>
      </c>
      <c r="Q378" s="67" t="s">
        <v>151</v>
      </c>
      <c r="R378" s="67" t="str">
        <f>VLOOKUP($Q378,Resultados!$A$1:$B$49,2,FALSE)</f>
        <v>Prisión Preventiva</v>
      </c>
      <c r="S378" s="67" t="s">
        <v>1916</v>
      </c>
      <c r="T378" s="77" t="str">
        <f t="shared" si="24"/>
        <v>NO</v>
      </c>
      <c r="U378" s="77"/>
      <c r="V378" s="67"/>
      <c r="W378" s="67" t="s">
        <v>1917</v>
      </c>
      <c r="X378" s="67" t="s">
        <v>1918</v>
      </c>
      <c r="Y378" s="67"/>
      <c r="Z378" s="124" t="s">
        <v>770</v>
      </c>
      <c r="AA378" s="77"/>
      <c r="AB378" s="77"/>
      <c r="AC378" s="375"/>
    </row>
    <row r="379" spans="1:29" ht="51" hidden="1">
      <c r="A379" s="67">
        <v>356</v>
      </c>
      <c r="B379" s="69">
        <v>45113</v>
      </c>
      <c r="C379" s="67" t="s">
        <v>1639</v>
      </c>
      <c r="D379" s="67" t="s">
        <v>1636</v>
      </c>
      <c r="E379" s="68" t="s">
        <v>1947</v>
      </c>
      <c r="F379" s="67">
        <v>4</v>
      </c>
      <c r="G379" s="67" t="s">
        <v>1742</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1715</v>
      </c>
      <c r="X379" s="67" t="s">
        <v>1755</v>
      </c>
      <c r="Y379" s="67"/>
      <c r="Z379" s="124" t="s">
        <v>1919</v>
      </c>
      <c r="AA379" s="77"/>
      <c r="AB379" s="77"/>
      <c r="AC379" s="375"/>
    </row>
    <row r="380" spans="1:29" ht="114.75" hidden="1">
      <c r="A380" s="67">
        <v>375</v>
      </c>
      <c r="B380" s="69">
        <v>45114</v>
      </c>
      <c r="C380" s="74">
        <v>0.5</v>
      </c>
      <c r="D380" s="67" t="s">
        <v>1734</v>
      </c>
      <c r="E380" s="68" t="s">
        <v>1946</v>
      </c>
      <c r="F380" s="67">
        <v>4</v>
      </c>
      <c r="G380" s="67" t="s">
        <v>283</v>
      </c>
      <c r="H380" s="69">
        <v>45128</v>
      </c>
      <c r="I380" s="69" t="s">
        <v>547</v>
      </c>
      <c r="J380" s="69" t="s">
        <v>1732</v>
      </c>
      <c r="K380" s="67" t="s">
        <v>1346</v>
      </c>
      <c r="L380" s="67" t="s">
        <v>326</v>
      </c>
      <c r="M380" s="67" t="s">
        <v>695</v>
      </c>
      <c r="N380" s="67" t="s">
        <v>1920</v>
      </c>
      <c r="O380" s="67" t="str">
        <f t="shared" ca="1" si="23"/>
        <v>SI</v>
      </c>
      <c r="P380" s="67" t="str">
        <f t="shared" si="22"/>
        <v>DIANOSOL</v>
      </c>
      <c r="Q380" s="67" t="s">
        <v>950</v>
      </c>
      <c r="R380" s="67" t="str">
        <f>VLOOKUP($Q380,Resultados!$A$1:$B$49,2,FALSE)</f>
        <v>Prision domiciliaria</v>
      </c>
      <c r="S380" s="74" t="s">
        <v>1562</v>
      </c>
      <c r="T380" s="77" t="str">
        <f t="shared" si="24"/>
        <v>NO</v>
      </c>
      <c r="U380" s="77"/>
      <c r="V380" s="67"/>
      <c r="W380" s="74" t="s">
        <v>989</v>
      </c>
      <c r="X380" s="67" t="s">
        <v>1925</v>
      </c>
      <c r="Y380" s="67"/>
      <c r="Z380" s="124" t="s">
        <v>770</v>
      </c>
      <c r="AA380" s="77"/>
      <c r="AB380" s="77"/>
      <c r="AC380" s="375"/>
    </row>
    <row r="381" spans="1:29" ht="38.25" hidden="1">
      <c r="A381" s="67">
        <v>381</v>
      </c>
      <c r="B381" s="69">
        <v>45118</v>
      </c>
      <c r="C381" s="67" t="s">
        <v>1696</v>
      </c>
      <c r="D381" s="67" t="s">
        <v>1752</v>
      </c>
      <c r="E381" s="68" t="s">
        <v>1945</v>
      </c>
      <c r="F381" s="67">
        <v>4</v>
      </c>
      <c r="G381" s="67" t="s">
        <v>1661</v>
      </c>
      <c r="H381" s="69">
        <v>45128</v>
      </c>
      <c r="I381" s="69" t="s">
        <v>1562</v>
      </c>
      <c r="J381" s="69" t="s">
        <v>1625</v>
      </c>
      <c r="K381" s="67" t="s">
        <v>1491</v>
      </c>
      <c r="L381" s="67" t="s">
        <v>802</v>
      </c>
      <c r="M381" s="67"/>
      <c r="N381" s="67" t="s">
        <v>1912</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75"/>
    </row>
    <row r="382" spans="1:29" ht="38.25" hidden="1">
      <c r="A382" s="67">
        <v>354</v>
      </c>
      <c r="B382" s="69">
        <v>45113</v>
      </c>
      <c r="C382" s="74">
        <v>0.3972222222222222</v>
      </c>
      <c r="D382" s="67" t="s">
        <v>1596</v>
      </c>
      <c r="E382" s="68" t="s">
        <v>1944</v>
      </c>
      <c r="F382" s="67">
        <v>4</v>
      </c>
      <c r="G382" s="67" t="s">
        <v>1441</v>
      </c>
      <c r="H382" s="69">
        <v>45128</v>
      </c>
      <c r="I382" s="69" t="s">
        <v>228</v>
      </c>
      <c r="J382" s="69" t="s">
        <v>1625</v>
      </c>
      <c r="K382" s="67" t="s">
        <v>1491</v>
      </c>
      <c r="L382" s="67" t="s">
        <v>804</v>
      </c>
      <c r="M382" s="67" t="s">
        <v>695</v>
      </c>
      <c r="N382" s="67" t="s">
        <v>1923</v>
      </c>
      <c r="O382" s="67" t="str">
        <f t="shared" ca="1" si="23"/>
        <v>SI</v>
      </c>
      <c r="P382" s="67" t="str">
        <f t="shared" si="22"/>
        <v>DIANOSOL</v>
      </c>
      <c r="Q382" s="67" t="s">
        <v>151</v>
      </c>
      <c r="R382" s="67" t="str">
        <f>VLOOKUP($Q382,Resultados!$A$1:$B$49,2,FALSE)</f>
        <v>Prisión Preventiva</v>
      </c>
      <c r="S382" s="67" t="s">
        <v>1921</v>
      </c>
      <c r="T382" s="77" t="str">
        <f t="shared" si="24"/>
        <v>NO</v>
      </c>
      <c r="U382" s="77"/>
      <c r="V382" s="67"/>
      <c r="W382" s="67" t="s">
        <v>1922</v>
      </c>
      <c r="X382" s="67" t="s">
        <v>1924</v>
      </c>
      <c r="Y382" s="67"/>
      <c r="Z382" s="124" t="s">
        <v>1042</v>
      </c>
      <c r="AA382" s="77"/>
      <c r="AB382" s="77"/>
      <c r="AC382" s="375"/>
    </row>
    <row r="383" spans="1:29" ht="38.25" hidden="1">
      <c r="A383" s="67">
        <v>385</v>
      </c>
      <c r="B383" s="69">
        <v>45119</v>
      </c>
      <c r="C383" s="67" t="s">
        <v>1772</v>
      </c>
      <c r="D383" s="67" t="s">
        <v>1770</v>
      </c>
      <c r="E383" s="68" t="s">
        <v>1771</v>
      </c>
      <c r="F383" s="67">
        <v>3</v>
      </c>
      <c r="G383" s="67" t="s">
        <v>32</v>
      </c>
      <c r="H383" s="69">
        <v>45132</v>
      </c>
      <c r="I383" s="69" t="s">
        <v>73</v>
      </c>
      <c r="J383" s="69" t="s">
        <v>35</v>
      </c>
      <c r="K383" s="67">
        <f>IFERROR(VLOOKUP(J383,Jueces!$A$1:$B$11,2,FALSE),"")</f>
        <v>3</v>
      </c>
      <c r="L383" s="67" t="s">
        <v>813</v>
      </c>
      <c r="M383" s="67" t="s">
        <v>694</v>
      </c>
      <c r="N383" s="67" t="s">
        <v>1953</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1956</v>
      </c>
      <c r="Y383" s="67"/>
      <c r="Z383" s="124" t="s">
        <v>1042</v>
      </c>
      <c r="AA383" s="124" t="s">
        <v>1171</v>
      </c>
      <c r="AB383" s="124" t="s">
        <v>1175</v>
      </c>
      <c r="AC383" s="375"/>
    </row>
    <row r="384" spans="1:29" ht="38.25" hidden="1">
      <c r="A384" s="67">
        <v>388</v>
      </c>
      <c r="B384" s="69">
        <v>45120</v>
      </c>
      <c r="C384" s="74">
        <v>0.54166666666666663</v>
      </c>
      <c r="D384" s="67" t="s">
        <v>1808</v>
      </c>
      <c r="E384" s="68" t="s">
        <v>1822</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1955</v>
      </c>
      <c r="Y384" s="67"/>
      <c r="Z384" s="124" t="s">
        <v>743</v>
      </c>
      <c r="AA384" s="124" t="s">
        <v>1169</v>
      </c>
      <c r="AB384" s="124" t="s">
        <v>1176</v>
      </c>
      <c r="AC384" s="375"/>
    </row>
    <row r="385" spans="1:29" ht="38.25" hidden="1">
      <c r="A385" s="67">
        <v>400</v>
      </c>
      <c r="B385" s="69">
        <v>45125</v>
      </c>
      <c r="C385" s="74">
        <v>0.51111111111111118</v>
      </c>
      <c r="D385" s="67" t="s">
        <v>1866</v>
      </c>
      <c r="E385" s="68" t="s">
        <v>1865</v>
      </c>
      <c r="F385" s="67">
        <v>5</v>
      </c>
      <c r="G385" s="67" t="s">
        <v>43</v>
      </c>
      <c r="H385" s="69">
        <v>45132</v>
      </c>
      <c r="I385" s="69" t="s">
        <v>73</v>
      </c>
      <c r="J385" s="69" t="s">
        <v>1222</v>
      </c>
      <c r="K385" s="67" t="s">
        <v>1346</v>
      </c>
      <c r="L385" s="67" t="s">
        <v>812</v>
      </c>
      <c r="M385" s="67" t="s">
        <v>1876</v>
      </c>
      <c r="N385" s="67" t="s">
        <v>1649</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4" t="s">
        <v>770</v>
      </c>
      <c r="AA385" s="124" t="s">
        <v>1171</v>
      </c>
      <c r="AB385" s="285" t="s">
        <v>1174</v>
      </c>
      <c r="AC385" s="375"/>
    </row>
    <row r="386" spans="1:29" ht="39.950000000000003" hidden="1" customHeight="1">
      <c r="A386" s="67">
        <v>390</v>
      </c>
      <c r="B386" s="69">
        <v>45120</v>
      </c>
      <c r="C386" s="74">
        <v>0.54166666666666663</v>
      </c>
      <c r="D386" s="67" t="s">
        <v>1814</v>
      </c>
      <c r="E386" s="68" t="s">
        <v>1821</v>
      </c>
      <c r="F386" s="67">
        <v>4</v>
      </c>
      <c r="G386" s="67" t="s">
        <v>1443</v>
      </c>
      <c r="H386" s="69">
        <v>45132</v>
      </c>
      <c r="I386" s="69" t="s">
        <v>1086</v>
      </c>
      <c r="J386" s="69" t="s">
        <v>1225</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1957</v>
      </c>
      <c r="Y386" s="67"/>
      <c r="Z386" s="124" t="s">
        <v>1042</v>
      </c>
      <c r="AA386" s="124" t="s">
        <v>1169</v>
      </c>
      <c r="AB386" s="124" t="s">
        <v>1173</v>
      </c>
      <c r="AC386" s="375"/>
    </row>
    <row r="387" spans="1:29" ht="39.950000000000003" hidden="1" customHeight="1">
      <c r="A387" s="67">
        <v>393</v>
      </c>
      <c r="B387" s="69">
        <v>45120</v>
      </c>
      <c r="C387" s="74">
        <v>0.375</v>
      </c>
      <c r="D387" s="67" t="s">
        <v>1818</v>
      </c>
      <c r="E387" s="68" t="s">
        <v>1875</v>
      </c>
      <c r="F387" s="67">
        <v>4</v>
      </c>
      <c r="G387" s="67" t="s">
        <v>32</v>
      </c>
      <c r="H387" s="69">
        <v>45132</v>
      </c>
      <c r="I387" s="69" t="s">
        <v>1086</v>
      </c>
      <c r="J387" s="69" t="s">
        <v>33</v>
      </c>
      <c r="K387" s="67">
        <f>IFERROR(VLOOKUP(J387,Jueces!$A$1:$B$11,2,FALSE),"")</f>
        <v>4</v>
      </c>
      <c r="L387" s="67" t="s">
        <v>1070</v>
      </c>
      <c r="M387" s="67" t="s">
        <v>1854</v>
      </c>
      <c r="N387" s="67" t="s">
        <v>1935</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1954</v>
      </c>
      <c r="Y387" s="67"/>
      <c r="Z387" s="124" t="s">
        <v>1041</v>
      </c>
      <c r="AA387" s="124" t="s">
        <v>743</v>
      </c>
      <c r="AB387" s="124" t="s">
        <v>1177</v>
      </c>
      <c r="AC387" s="375"/>
    </row>
    <row r="388" spans="1:29" ht="39.950000000000003" hidden="1" customHeight="1">
      <c r="A388" s="67">
        <v>395</v>
      </c>
      <c r="B388" s="69" t="s">
        <v>1810</v>
      </c>
      <c r="C388" s="74">
        <v>0.40069444444444446</v>
      </c>
      <c r="D388" s="67" t="s">
        <v>1812</v>
      </c>
      <c r="E388" s="68" t="s">
        <v>1811</v>
      </c>
      <c r="F388" s="67">
        <v>4</v>
      </c>
      <c r="G388" s="67" t="s">
        <v>568</v>
      </c>
      <c r="H388" s="69">
        <v>45132</v>
      </c>
      <c r="I388" s="69" t="s">
        <v>1086</v>
      </c>
      <c r="J388" s="69" t="s">
        <v>1221</v>
      </c>
      <c r="K388" s="67">
        <f>IFERROR(VLOOKUP(J388,Jueces!$A$1:$B$11,2,FALSE),"")</f>
        <v>7</v>
      </c>
      <c r="L388" s="67" t="s">
        <v>791</v>
      </c>
      <c r="M388" s="67" t="s">
        <v>1839</v>
      </c>
      <c r="N388" s="67" t="s">
        <v>1977</v>
      </c>
      <c r="O388" s="67" t="str">
        <f t="shared" ca="1" si="23"/>
        <v>SI</v>
      </c>
      <c r="P388" s="67" t="str">
        <f t="shared" si="25"/>
        <v>DIANOSOL</v>
      </c>
      <c r="Q388" s="67" t="s">
        <v>151</v>
      </c>
      <c r="R388" s="67" t="str">
        <f>VLOOKUP($Q388,Resultados!$A$1:$B$49,2,FALSE)</f>
        <v>Prisión Preventiva</v>
      </c>
      <c r="S388" s="67" t="s">
        <v>1976</v>
      </c>
      <c r="T388" s="77" t="str">
        <f t="shared" si="24"/>
        <v>NO</v>
      </c>
      <c r="U388" s="77"/>
      <c r="V388" s="67"/>
      <c r="W388" s="74">
        <v>0.40486111111111112</v>
      </c>
      <c r="X388" s="67"/>
      <c r="Y388" s="67"/>
      <c r="Z388" s="124" t="s">
        <v>748</v>
      </c>
      <c r="AA388" s="124" t="s">
        <v>1171</v>
      </c>
      <c r="AB388" s="124" t="s">
        <v>1175</v>
      </c>
      <c r="AC388" s="375"/>
    </row>
    <row r="389" spans="1:29" ht="39.950000000000003" hidden="1" customHeight="1">
      <c r="A389" s="67">
        <v>384</v>
      </c>
      <c r="B389" s="69">
        <v>45119</v>
      </c>
      <c r="C389" s="74">
        <v>0.50138888888888888</v>
      </c>
      <c r="D389" s="67" t="s">
        <v>1768</v>
      </c>
      <c r="E389" s="68" t="s">
        <v>1769</v>
      </c>
      <c r="F389" s="67">
        <v>4</v>
      </c>
      <c r="G389" s="67" t="s">
        <v>43</v>
      </c>
      <c r="H389" s="69">
        <v>45133</v>
      </c>
      <c r="I389" s="69" t="s">
        <v>73</v>
      </c>
      <c r="J389" s="69" t="s">
        <v>31</v>
      </c>
      <c r="K389" s="67">
        <f>IFERROR(VLOOKUP(J389,Jueces!$A$1:$B$11,2,FALSE),"")</f>
        <v>2</v>
      </c>
      <c r="L389" s="67" t="s">
        <v>1973</v>
      </c>
      <c r="M389" s="67" t="s">
        <v>1839</v>
      </c>
      <c r="N389" s="67" t="s">
        <v>1974</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1975</v>
      </c>
      <c r="Y389" s="67"/>
      <c r="Z389" s="124" t="s">
        <v>743</v>
      </c>
      <c r="AA389" s="124" t="s">
        <v>743</v>
      </c>
      <c r="AB389" s="124" t="s">
        <v>1177</v>
      </c>
      <c r="AC389" s="375"/>
    </row>
    <row r="390" spans="1:29" ht="39.950000000000003" hidden="1" customHeight="1">
      <c r="A390" s="67">
        <v>398</v>
      </c>
      <c r="B390" s="69">
        <v>45125</v>
      </c>
      <c r="C390" s="74">
        <v>0.50902777777777775</v>
      </c>
      <c r="D390" s="67" t="s">
        <v>1869</v>
      </c>
      <c r="E390" s="68" t="s">
        <v>1864</v>
      </c>
      <c r="F390" s="67">
        <v>2</v>
      </c>
      <c r="G390" s="67" t="s">
        <v>1442</v>
      </c>
      <c r="H390" s="69">
        <v>45133</v>
      </c>
      <c r="I390" s="69" t="s">
        <v>73</v>
      </c>
      <c r="J390" s="69" t="s">
        <v>1224</v>
      </c>
      <c r="K390" s="67" t="s">
        <v>1346</v>
      </c>
      <c r="L390" s="67" t="s">
        <v>813</v>
      </c>
      <c r="M390" s="67" t="s">
        <v>695</v>
      </c>
      <c r="N390" s="67" t="s">
        <v>1967</v>
      </c>
      <c r="O390" s="67" t="str">
        <f t="shared" ca="1" si="23"/>
        <v>SI</v>
      </c>
      <c r="P390" s="67" t="str">
        <f t="shared" si="25"/>
        <v>DIANOSOL</v>
      </c>
      <c r="Q390" s="67" t="s">
        <v>905</v>
      </c>
      <c r="R390" s="67" t="str">
        <f>VLOOKUP($Q390,Resultados!$A$1:$B$49,2,FALSE)</f>
        <v>Juicio Abreviado</v>
      </c>
      <c r="S390" s="67" t="s">
        <v>1018</v>
      </c>
      <c r="T390" s="77" t="str">
        <f t="shared" si="24"/>
        <v>SI</v>
      </c>
      <c r="U390" s="77"/>
      <c r="V390" s="67"/>
      <c r="W390" s="67" t="s">
        <v>1004</v>
      </c>
      <c r="X390" s="67" t="s">
        <v>1968</v>
      </c>
      <c r="Y390" s="67"/>
      <c r="Z390" s="124" t="s">
        <v>1042</v>
      </c>
      <c r="AA390" s="124" t="s">
        <v>743</v>
      </c>
      <c r="AB390" s="124" t="s">
        <v>1173</v>
      </c>
      <c r="AC390" s="375"/>
    </row>
    <row r="391" spans="1:29" ht="39.950000000000003" hidden="1" customHeight="1">
      <c r="A391" s="67">
        <v>403</v>
      </c>
      <c r="B391" s="69">
        <v>45126</v>
      </c>
      <c r="C391" s="74">
        <v>0.50555555555555554</v>
      </c>
      <c r="D391" s="67" t="s">
        <v>1881</v>
      </c>
      <c r="E391" s="68" t="s">
        <v>1885</v>
      </c>
      <c r="F391" s="67">
        <v>5</v>
      </c>
      <c r="G391" s="67" t="s">
        <v>568</v>
      </c>
      <c r="H391" s="69">
        <v>45133</v>
      </c>
      <c r="I391" s="69" t="s">
        <v>73</v>
      </c>
      <c r="J391" s="69" t="s">
        <v>78</v>
      </c>
      <c r="K391" s="67">
        <f>IFERROR(VLOOKUP(J391,Jueces!$A$1:$B$11,2,FALSE),"")</f>
        <v>8</v>
      </c>
      <c r="L391" s="67" t="s">
        <v>800</v>
      </c>
      <c r="M391" s="67" t="s">
        <v>1876</v>
      </c>
      <c r="N391" s="67" t="s">
        <v>1969</v>
      </c>
      <c r="O391" s="67" t="str">
        <f t="shared" ca="1" si="23"/>
        <v>SI</v>
      </c>
      <c r="P391" s="67" t="str">
        <f t="shared" si="25"/>
        <v>DIANOSOL</v>
      </c>
      <c r="Q391" s="67" t="s">
        <v>151</v>
      </c>
      <c r="R391" s="67" t="str">
        <f>VLOOKUP($Q391,Resultados!$A$1:$B$49,2,FALSE)</f>
        <v>Prisión Preventiva</v>
      </c>
      <c r="S391" s="67" t="s">
        <v>1297</v>
      </c>
      <c r="T391" s="77" t="str">
        <f t="shared" si="24"/>
        <v>NO</v>
      </c>
      <c r="U391" s="77"/>
      <c r="V391" s="67"/>
      <c r="W391" s="74">
        <v>0.3833333333333333</v>
      </c>
      <c r="X391" s="67" t="s">
        <v>1506</v>
      </c>
      <c r="Y391" s="67"/>
      <c r="Z391" s="124" t="s">
        <v>1041</v>
      </c>
      <c r="AA391" s="124" t="s">
        <v>1171</v>
      </c>
      <c r="AB391" s="124" t="s">
        <v>1174</v>
      </c>
      <c r="AC391" s="375"/>
    </row>
    <row r="392" spans="1:29" ht="39.950000000000003" hidden="1" customHeight="1">
      <c r="A392" s="67">
        <v>402</v>
      </c>
      <c r="B392" s="69">
        <v>45126</v>
      </c>
      <c r="C392" s="74">
        <v>0.33333333333333331</v>
      </c>
      <c r="D392" s="67" t="s">
        <v>1874</v>
      </c>
      <c r="E392" s="68" t="s">
        <v>1978</v>
      </c>
      <c r="F392" s="67">
        <v>5</v>
      </c>
      <c r="G392" s="67" t="s">
        <v>1443</v>
      </c>
      <c r="H392" s="69">
        <v>45133</v>
      </c>
      <c r="I392" s="69" t="s">
        <v>1086</v>
      </c>
      <c r="J392" s="69" t="s">
        <v>31</v>
      </c>
      <c r="K392" s="67" t="s">
        <v>1926</v>
      </c>
      <c r="L392" s="67" t="s">
        <v>789</v>
      </c>
      <c r="M392" s="67" t="s">
        <v>1876</v>
      </c>
      <c r="N392" s="67" t="s">
        <v>1982</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1983</v>
      </c>
      <c r="Y392" s="67"/>
      <c r="Z392" s="124" t="s">
        <v>748</v>
      </c>
      <c r="AA392" s="124" t="s">
        <v>1171</v>
      </c>
      <c r="AB392" s="124" t="s">
        <v>1175</v>
      </c>
      <c r="AC392" s="375"/>
    </row>
    <row r="393" spans="1:29" ht="51" hidden="1">
      <c r="A393" s="67">
        <v>392</v>
      </c>
      <c r="B393" s="69">
        <v>45120</v>
      </c>
      <c r="C393" s="74">
        <v>0.375</v>
      </c>
      <c r="D393" s="67" t="s">
        <v>1817</v>
      </c>
      <c r="E393" s="68" t="s">
        <v>1809</v>
      </c>
      <c r="F393" s="67">
        <v>4</v>
      </c>
      <c r="G393" s="67" t="s">
        <v>283</v>
      </c>
      <c r="H393" s="69">
        <v>45133</v>
      </c>
      <c r="I393" s="69" t="s">
        <v>1210</v>
      </c>
      <c r="J393" s="69" t="s">
        <v>33</v>
      </c>
      <c r="K393" s="67">
        <f>IFERROR(VLOOKUP(J393,Jueces!$A$1:$B$11,2,FALSE),"")</f>
        <v>4</v>
      </c>
      <c r="L393" s="67" t="s">
        <v>812</v>
      </c>
      <c r="M393" s="67" t="s">
        <v>1970</v>
      </c>
      <c r="N393" s="67" t="s">
        <v>1971</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1972</v>
      </c>
      <c r="Y393" s="67"/>
      <c r="Z393" s="124" t="s">
        <v>1041</v>
      </c>
      <c r="AA393" s="124" t="s">
        <v>743</v>
      </c>
      <c r="AB393" s="124" t="s">
        <v>1174</v>
      </c>
      <c r="AC393" s="375"/>
    </row>
    <row r="394" spans="1:29" ht="39.950000000000003" hidden="1" customHeight="1">
      <c r="A394" s="67">
        <v>408</v>
      </c>
      <c r="B394" s="69">
        <v>45126</v>
      </c>
      <c r="C394" s="67" t="s">
        <v>1639</v>
      </c>
      <c r="D394" s="67" t="s">
        <v>1888</v>
      </c>
      <c r="E394" s="68" t="s">
        <v>1889</v>
      </c>
      <c r="F394" s="67">
        <v>4</v>
      </c>
      <c r="G394" s="67" t="s">
        <v>1441</v>
      </c>
      <c r="H394" s="69">
        <v>45133</v>
      </c>
      <c r="I394" s="69" t="s">
        <v>1210</v>
      </c>
      <c r="J394" s="69" t="s">
        <v>1221</v>
      </c>
      <c r="K394" s="67">
        <f>IFERROR(VLOOKUP(J394,Jueces!$A$1:$B$11,2,FALSE),"")</f>
        <v>7</v>
      </c>
      <c r="L394" s="67" t="s">
        <v>801</v>
      </c>
      <c r="M394" s="67" t="s">
        <v>695</v>
      </c>
      <c r="N394" s="67" t="s">
        <v>1984</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1985</v>
      </c>
      <c r="Y394" s="67"/>
      <c r="Z394" s="124" t="s">
        <v>743</v>
      </c>
      <c r="AA394" s="124" t="s">
        <v>743</v>
      </c>
      <c r="AB394" s="124" t="s">
        <v>1177</v>
      </c>
      <c r="AC394" s="375"/>
    </row>
    <row r="395" spans="1:29" ht="39.950000000000003" hidden="1" customHeight="1">
      <c r="A395" s="67">
        <v>397</v>
      </c>
      <c r="B395" s="69">
        <v>45125</v>
      </c>
      <c r="C395" s="74">
        <v>0.39166666666666666</v>
      </c>
      <c r="D395" s="67" t="s">
        <v>1853</v>
      </c>
      <c r="E395" s="68" t="s">
        <v>2012</v>
      </c>
      <c r="F395" s="67">
        <v>3</v>
      </c>
      <c r="G395" s="67" t="s">
        <v>1443</v>
      </c>
      <c r="H395" s="69">
        <v>45134</v>
      </c>
      <c r="I395" s="69" t="s">
        <v>73</v>
      </c>
      <c r="J395" s="69" t="s">
        <v>78</v>
      </c>
      <c r="K395" s="67">
        <f>IFERROR(VLOOKUP(J395,Jueces!$A$1:$B$11,2,FALSE),"")</f>
        <v>8</v>
      </c>
      <c r="L395" s="67" t="s">
        <v>791</v>
      </c>
      <c r="M395" s="67" t="s">
        <v>694</v>
      </c>
      <c r="N395" s="67" t="s">
        <v>2022</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1506</v>
      </c>
      <c r="Y395" s="67"/>
      <c r="Z395" s="124" t="s">
        <v>1042</v>
      </c>
      <c r="AA395" s="124" t="s">
        <v>1169</v>
      </c>
      <c r="AB395" s="124" t="s">
        <v>1173</v>
      </c>
      <c r="AC395" s="375"/>
    </row>
    <row r="396" spans="1:29" ht="51" hidden="1">
      <c r="A396" s="67">
        <v>405</v>
      </c>
      <c r="B396" s="69">
        <v>45126</v>
      </c>
      <c r="C396" s="74">
        <v>0.53333333333333333</v>
      </c>
      <c r="D396" s="67" t="s">
        <v>1883</v>
      </c>
      <c r="E396" s="68" t="s">
        <v>2016</v>
      </c>
      <c r="F396" s="67">
        <v>4</v>
      </c>
      <c r="G396" s="67" t="s">
        <v>1441</v>
      </c>
      <c r="H396" s="69">
        <v>45134</v>
      </c>
      <c r="I396" s="69" t="s">
        <v>73</v>
      </c>
      <c r="J396" s="69" t="s">
        <v>31</v>
      </c>
      <c r="K396" s="67">
        <f>IFERROR(VLOOKUP(J396,Jueces!$A$1:$B$11,2,FALSE),"")</f>
        <v>2</v>
      </c>
      <c r="L396" s="67" t="s">
        <v>789</v>
      </c>
      <c r="M396" s="67" t="s">
        <v>695</v>
      </c>
      <c r="N396" s="67" t="s">
        <v>2000</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4" t="s">
        <v>748</v>
      </c>
      <c r="AA396" s="124" t="s">
        <v>1171</v>
      </c>
      <c r="AB396" s="124" t="s">
        <v>1175</v>
      </c>
      <c r="AC396" s="375"/>
    </row>
    <row r="397" spans="1:29" ht="39.950000000000003" hidden="1" customHeight="1">
      <c r="A397" s="67">
        <v>406</v>
      </c>
      <c r="B397" s="69">
        <v>45126</v>
      </c>
      <c r="C397" s="74">
        <v>0.42569444444444443</v>
      </c>
      <c r="D397" s="67" t="s">
        <v>1884</v>
      </c>
      <c r="E397" s="68" t="s">
        <v>2013</v>
      </c>
      <c r="F397" s="67">
        <v>5</v>
      </c>
      <c r="G397" s="67" t="s">
        <v>1442</v>
      </c>
      <c r="H397" s="69">
        <v>45134</v>
      </c>
      <c r="I397" s="69" t="s">
        <v>73</v>
      </c>
      <c r="J397" s="69" t="s">
        <v>35</v>
      </c>
      <c r="K397" s="67">
        <f>IFERROR(VLOOKUP(J397,Jueces!$A$1:$B$11,2,FALSE),"")</f>
        <v>3</v>
      </c>
      <c r="L397" s="67" t="s">
        <v>812</v>
      </c>
      <c r="M397" s="67" t="s">
        <v>1876</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SI</v>
      </c>
      <c r="U397" s="77"/>
      <c r="V397" s="67"/>
      <c r="W397" s="74">
        <v>0.3611111111111111</v>
      </c>
      <c r="X397" s="67"/>
      <c r="Y397" s="67"/>
      <c r="Z397" s="124" t="s">
        <v>743</v>
      </c>
      <c r="AA397" s="124" t="s">
        <v>743</v>
      </c>
      <c r="AB397" s="124" t="s">
        <v>1177</v>
      </c>
      <c r="AC397" s="375"/>
    </row>
    <row r="398" spans="1:29" ht="39.950000000000003" hidden="1" customHeight="1">
      <c r="A398" s="67">
        <v>407</v>
      </c>
      <c r="B398" s="69">
        <v>45126</v>
      </c>
      <c r="C398" s="74">
        <v>0.50347222222222221</v>
      </c>
      <c r="D398" s="67" t="s">
        <v>1886</v>
      </c>
      <c r="E398" s="68" t="s">
        <v>2014</v>
      </c>
      <c r="F398" s="67">
        <v>7</v>
      </c>
      <c r="G398" s="67" t="s">
        <v>32</v>
      </c>
      <c r="H398" s="69">
        <v>45134</v>
      </c>
      <c r="I398" s="69" t="s">
        <v>73</v>
      </c>
      <c r="J398" s="69" t="s">
        <v>33</v>
      </c>
      <c r="K398" s="67">
        <f>IFERROR(VLOOKUP(J398,Jueces!$A$1:$B$11,2,FALSE),"")</f>
        <v>4</v>
      </c>
      <c r="L398" s="67" t="s">
        <v>813</v>
      </c>
      <c r="M398" s="67" t="s">
        <v>1887</v>
      </c>
      <c r="N398" s="67" t="s">
        <v>1753</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4" t="s">
        <v>770</v>
      </c>
      <c r="AA398" s="124" t="s">
        <v>1169</v>
      </c>
      <c r="AB398" s="124" t="s">
        <v>1176</v>
      </c>
      <c r="AC398" s="375"/>
    </row>
    <row r="399" spans="1:29" ht="39.950000000000003" hidden="1" customHeight="1">
      <c r="A399" s="67">
        <v>416</v>
      </c>
      <c r="B399" s="69">
        <v>45128</v>
      </c>
      <c r="C399" s="74">
        <v>0.33333333333333331</v>
      </c>
      <c r="D399" s="67" t="s">
        <v>1930</v>
      </c>
      <c r="E399" s="68" t="s">
        <v>2015</v>
      </c>
      <c r="F399" s="67">
        <v>4</v>
      </c>
      <c r="G399" s="67" t="s">
        <v>29</v>
      </c>
      <c r="H399" s="69">
        <v>45134</v>
      </c>
      <c r="I399" s="69" t="s">
        <v>1086</v>
      </c>
      <c r="J399" s="69" t="s">
        <v>1223</v>
      </c>
      <c r="K399" s="67" t="s">
        <v>1926</v>
      </c>
      <c r="L399" s="67" t="s">
        <v>2002</v>
      </c>
      <c r="M399" s="67" t="s">
        <v>2001</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4" t="s">
        <v>1041</v>
      </c>
      <c r="AA399" s="124" t="s">
        <v>1169</v>
      </c>
      <c r="AB399" s="124" t="s">
        <v>1174</v>
      </c>
      <c r="AC399" s="375"/>
    </row>
    <row r="400" spans="1:29" ht="39.950000000000003" hidden="1" customHeight="1">
      <c r="A400" s="67">
        <v>383</v>
      </c>
      <c r="B400" s="69">
        <v>45119</v>
      </c>
      <c r="C400" s="74">
        <v>0.4770833333333333</v>
      </c>
      <c r="D400" s="67" t="s">
        <v>1767</v>
      </c>
      <c r="E400" s="68" t="s">
        <v>2017</v>
      </c>
      <c r="F400" s="67">
        <v>3</v>
      </c>
      <c r="G400" s="67" t="s">
        <v>1441</v>
      </c>
      <c r="H400" s="69">
        <v>45135</v>
      </c>
      <c r="I400" s="69" t="s">
        <v>73</v>
      </c>
      <c r="J400" s="69" t="s">
        <v>1224</v>
      </c>
      <c r="K400" s="67" t="s">
        <v>1346</v>
      </c>
      <c r="L400" s="67" t="s">
        <v>803</v>
      </c>
      <c r="M400" s="67" t="s">
        <v>2032</v>
      </c>
      <c r="N400" s="67" t="s">
        <v>2028</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2027</v>
      </c>
      <c r="Y400" s="67"/>
      <c r="Z400" s="124" t="s">
        <v>1042</v>
      </c>
      <c r="AA400" s="124" t="s">
        <v>1171</v>
      </c>
      <c r="AB400" s="124" t="s">
        <v>1173</v>
      </c>
      <c r="AC400" s="375"/>
    </row>
    <row r="401" spans="1:29" ht="39.950000000000003" hidden="1" customHeight="1">
      <c r="A401" s="67">
        <v>404</v>
      </c>
      <c r="B401" s="69">
        <v>45126</v>
      </c>
      <c r="C401" s="74">
        <v>0.52638888888888891</v>
      </c>
      <c r="D401" s="67" t="s">
        <v>1882</v>
      </c>
      <c r="E401" s="68" t="s">
        <v>2018</v>
      </c>
      <c r="F401" s="67">
        <v>2</v>
      </c>
      <c r="G401" s="67" t="s">
        <v>283</v>
      </c>
      <c r="H401" s="69">
        <v>45135</v>
      </c>
      <c r="I401" s="69" t="s">
        <v>73</v>
      </c>
      <c r="J401" s="69" t="s">
        <v>31</v>
      </c>
      <c r="K401" s="67">
        <f>IFERROR(VLOOKUP(J401,Jueces!$A$1:$B$11,2,FALSE),"")</f>
        <v>2</v>
      </c>
      <c r="L401" s="67" t="s">
        <v>813</v>
      </c>
      <c r="M401" s="67" t="s">
        <v>1839</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2026</v>
      </c>
      <c r="Y401" s="67"/>
      <c r="Z401" s="124" t="s">
        <v>748</v>
      </c>
      <c r="AA401" s="124" t="s">
        <v>743</v>
      </c>
      <c r="AB401" s="124" t="s">
        <v>1175</v>
      </c>
      <c r="AC401" s="375"/>
    </row>
    <row r="402" spans="1:29" ht="39.950000000000003" hidden="1" customHeight="1">
      <c r="A402" s="67">
        <v>414</v>
      </c>
      <c r="B402" s="69">
        <v>45128</v>
      </c>
      <c r="C402" s="74">
        <v>0.4465277777777778</v>
      </c>
      <c r="D402" s="67" t="s">
        <v>1928</v>
      </c>
      <c r="E402" s="68" t="s">
        <v>2019</v>
      </c>
      <c r="F402" s="67">
        <v>5</v>
      </c>
      <c r="G402" s="67" t="s">
        <v>43</v>
      </c>
      <c r="H402" s="69">
        <v>45135</v>
      </c>
      <c r="I402" s="69" t="s">
        <v>73</v>
      </c>
      <c r="J402" s="69" t="s">
        <v>1225</v>
      </c>
      <c r="K402" s="67">
        <f>IFERROR(VLOOKUP(J402,Jueces!$A$1:$B$11,2,FALSE),"")</f>
        <v>6</v>
      </c>
      <c r="L402" s="67" t="s">
        <v>789</v>
      </c>
      <c r="M402" s="67" t="s">
        <v>1876</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4" t="s">
        <v>743</v>
      </c>
      <c r="AA402" s="124" t="s">
        <v>1169</v>
      </c>
      <c r="AB402" s="124" t="s">
        <v>1177</v>
      </c>
      <c r="AC402" s="375"/>
    </row>
    <row r="403" spans="1:29" ht="153" hidden="1">
      <c r="A403" s="67">
        <v>401</v>
      </c>
      <c r="B403" s="69">
        <v>45125</v>
      </c>
      <c r="C403" s="74">
        <v>0.52708333333333335</v>
      </c>
      <c r="D403" s="67" t="s">
        <v>1873</v>
      </c>
      <c r="E403" s="68" t="s">
        <v>2020</v>
      </c>
      <c r="F403" s="67">
        <v>4</v>
      </c>
      <c r="G403" s="67" t="s">
        <v>1443</v>
      </c>
      <c r="H403" s="69">
        <v>45135</v>
      </c>
      <c r="I403" s="69" t="s">
        <v>1086</v>
      </c>
      <c r="J403" s="69" t="s">
        <v>1223</v>
      </c>
      <c r="K403" s="67" t="s">
        <v>1491</v>
      </c>
      <c r="L403" s="67" t="s">
        <v>813</v>
      </c>
      <c r="M403" s="67" t="s">
        <v>695</v>
      </c>
      <c r="N403" s="67" t="s">
        <v>2031</v>
      </c>
      <c r="O403" s="67" t="str">
        <f t="shared" ca="1" si="26"/>
        <v>SI</v>
      </c>
      <c r="P403" s="67" t="str">
        <f t="shared" si="25"/>
        <v>DIANOSOL</v>
      </c>
      <c r="Q403" s="67" t="s">
        <v>904</v>
      </c>
      <c r="R403" s="67" t="str">
        <f>VLOOKUP($Q403,Resultados!$A$1:$B$49,2,FALSE)</f>
        <v>Juicio Abreviado</v>
      </c>
      <c r="S403" s="67" t="s">
        <v>1609</v>
      </c>
      <c r="T403" s="77" t="str">
        <f t="shared" si="24"/>
        <v>NO</v>
      </c>
      <c r="U403" s="77"/>
      <c r="V403" s="67"/>
      <c r="W403" s="67" t="s">
        <v>1337</v>
      </c>
      <c r="X403" s="67" t="s">
        <v>1506</v>
      </c>
      <c r="Y403" s="67"/>
      <c r="Z403" s="124" t="s">
        <v>770</v>
      </c>
      <c r="AA403" s="124" t="s">
        <v>1169</v>
      </c>
      <c r="AB403" s="124" t="s">
        <v>1173</v>
      </c>
      <c r="AC403" s="375"/>
    </row>
    <row r="404" spans="1:29" ht="38.25" hidden="1">
      <c r="A404" s="67">
        <v>410</v>
      </c>
      <c r="B404" s="69">
        <v>45127</v>
      </c>
      <c r="C404" s="74">
        <v>0.54166666666666663</v>
      </c>
      <c r="D404" s="67" t="s">
        <v>1907</v>
      </c>
      <c r="E404" s="68" t="s">
        <v>2074</v>
      </c>
      <c r="F404" s="67">
        <v>4</v>
      </c>
      <c r="G404" s="67" t="s">
        <v>1442</v>
      </c>
      <c r="H404" s="69">
        <v>45135</v>
      </c>
      <c r="I404" s="69" t="s">
        <v>1086</v>
      </c>
      <c r="J404" s="69" t="s">
        <v>1220</v>
      </c>
      <c r="K404" s="67" t="s">
        <v>1926</v>
      </c>
      <c r="L404" s="67" t="s">
        <v>812</v>
      </c>
      <c r="M404" s="67" t="s">
        <v>2023</v>
      </c>
      <c r="N404" s="67" t="s">
        <v>2024</v>
      </c>
      <c r="O404" s="67" t="str">
        <f t="shared" ca="1" si="26"/>
        <v>SI</v>
      </c>
      <c r="P404" s="67" t="str">
        <f t="shared" si="25"/>
        <v>DIANOSOL</v>
      </c>
      <c r="Q404" s="67" t="s">
        <v>1512</v>
      </c>
      <c r="R404" s="67" t="str">
        <f>VLOOKUP($Q404,Resultados!$A$1:$B$49,2,FALSE)</f>
        <v>Juicio Abreviado</v>
      </c>
      <c r="S404" s="74">
        <v>0.38125000000000003</v>
      </c>
      <c r="T404" s="77" t="str">
        <f t="shared" si="24"/>
        <v>SI</v>
      </c>
      <c r="U404" s="77"/>
      <c r="V404" s="67"/>
      <c r="W404" s="74">
        <v>0.3923611111111111</v>
      </c>
      <c r="X404" s="67" t="s">
        <v>2025</v>
      </c>
      <c r="Y404" s="67"/>
      <c r="Z404" s="124" t="s">
        <v>1041</v>
      </c>
      <c r="AA404" s="124" t="s">
        <v>743</v>
      </c>
      <c r="AB404" s="124" t="s">
        <v>1174</v>
      </c>
      <c r="AC404" s="375"/>
    </row>
    <row r="405" spans="1:29" ht="89.25" hidden="1">
      <c r="A405" s="67">
        <v>412</v>
      </c>
      <c r="B405" s="69">
        <v>45127</v>
      </c>
      <c r="C405" s="74">
        <v>0.47500000000000003</v>
      </c>
      <c r="D405" s="67" t="s">
        <v>1909</v>
      </c>
      <c r="E405" s="68" t="s">
        <v>2073</v>
      </c>
      <c r="F405" s="67">
        <v>3</v>
      </c>
      <c r="G405" s="67" t="s">
        <v>568</v>
      </c>
      <c r="H405" s="69">
        <v>45135</v>
      </c>
      <c r="I405" s="69" t="s">
        <v>1086</v>
      </c>
      <c r="J405" s="69" t="s">
        <v>1221</v>
      </c>
      <c r="K405" s="67">
        <f>IFERROR(VLOOKUP(J405,Jueces!$A$1:$B$11,2,FALSE),"")</f>
        <v>7</v>
      </c>
      <c r="L405" s="67" t="s">
        <v>508</v>
      </c>
      <c r="M405" s="67" t="s">
        <v>1839</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4" t="s">
        <v>1042</v>
      </c>
      <c r="AA405" s="124" t="s">
        <v>1171</v>
      </c>
      <c r="AB405" s="124" t="s">
        <v>1176</v>
      </c>
      <c r="AC405" s="375"/>
    </row>
    <row r="406" spans="1:29" ht="39.950000000000003" hidden="1" customHeight="1">
      <c r="A406" s="67">
        <v>369</v>
      </c>
      <c r="B406" s="69">
        <v>45114</v>
      </c>
      <c r="C406" s="74">
        <v>0.47638888888888892</v>
      </c>
      <c r="D406" s="67" t="s">
        <v>1698</v>
      </c>
      <c r="E406" s="68" t="s">
        <v>1699</v>
      </c>
      <c r="F406" s="67">
        <v>4</v>
      </c>
      <c r="G406" s="67" t="s">
        <v>1441</v>
      </c>
      <c r="H406" s="69">
        <v>45138</v>
      </c>
      <c r="I406" s="69" t="s">
        <v>73</v>
      </c>
      <c r="J406" s="69" t="s">
        <v>31</v>
      </c>
      <c r="K406" s="67">
        <f>IFERROR(VLOOKUP(J406,Jueces!$A$1:$B$11,2,FALSE),"")</f>
        <v>2</v>
      </c>
      <c r="L406" s="67" t="s">
        <v>803</v>
      </c>
      <c r="M406" s="67" t="s">
        <v>695</v>
      </c>
      <c r="N406" s="67" t="s">
        <v>2041</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92" t="s">
        <v>2063</v>
      </c>
      <c r="Y406" s="67"/>
      <c r="Z406" s="124" t="s">
        <v>748</v>
      </c>
      <c r="AA406" s="124" t="s">
        <v>1171</v>
      </c>
      <c r="AB406" s="124" t="s">
        <v>1175</v>
      </c>
      <c r="AC406" s="375"/>
    </row>
    <row r="407" spans="1:29" ht="39.950000000000003" hidden="1" customHeight="1">
      <c r="A407" s="67">
        <v>396</v>
      </c>
      <c r="B407" s="69">
        <v>45124</v>
      </c>
      <c r="C407" s="74">
        <v>0.53194444444444444</v>
      </c>
      <c r="D407" s="67" t="s">
        <v>1850</v>
      </c>
      <c r="E407" s="68" t="s">
        <v>1849</v>
      </c>
      <c r="F407" s="67">
        <v>3</v>
      </c>
      <c r="G407" s="67" t="s">
        <v>32</v>
      </c>
      <c r="H407" s="69">
        <v>45138</v>
      </c>
      <c r="I407" s="69" t="s">
        <v>73</v>
      </c>
      <c r="J407" s="69" t="s">
        <v>1223</v>
      </c>
      <c r="K407" s="67" t="s">
        <v>1346</v>
      </c>
      <c r="L407" s="67" t="s">
        <v>798</v>
      </c>
      <c r="M407" s="67" t="s">
        <v>2049</v>
      </c>
      <c r="N407" s="67" t="s">
        <v>2050</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2051</v>
      </c>
      <c r="Y407" s="67"/>
      <c r="Z407" s="124" t="s">
        <v>743</v>
      </c>
      <c r="AA407" s="124" t="s">
        <v>743</v>
      </c>
      <c r="AB407" s="124" t="s">
        <v>1173</v>
      </c>
      <c r="AC407" s="375"/>
    </row>
    <row r="408" spans="1:29" ht="39.950000000000003" hidden="1" customHeight="1">
      <c r="A408" s="67">
        <v>411</v>
      </c>
      <c r="B408" s="69">
        <v>45127</v>
      </c>
      <c r="C408" s="74">
        <v>0.52916666666666667</v>
      </c>
      <c r="D408" s="67" t="s">
        <v>1908</v>
      </c>
      <c r="E408" s="68" t="s">
        <v>1931</v>
      </c>
      <c r="F408" s="67">
        <v>5</v>
      </c>
      <c r="G408" s="67" t="s">
        <v>283</v>
      </c>
      <c r="H408" s="69">
        <v>45138</v>
      </c>
      <c r="I408" s="69" t="s">
        <v>73</v>
      </c>
      <c r="J408" s="69" t="s">
        <v>35</v>
      </c>
      <c r="K408" s="67">
        <f>IFERROR(VLOOKUP(J408,Jueces!$A$1:$B$11,2,FALSE),"")</f>
        <v>3</v>
      </c>
      <c r="L408" s="67" t="s">
        <v>809</v>
      </c>
      <c r="M408" s="67" t="s">
        <v>1876</v>
      </c>
      <c r="N408" s="67" t="s">
        <v>2064</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1292</v>
      </c>
      <c r="X408" s="176" t="s">
        <v>2065</v>
      </c>
      <c r="Y408" s="67"/>
      <c r="Z408" s="124" t="s">
        <v>1041</v>
      </c>
      <c r="AA408" s="124" t="s">
        <v>1171</v>
      </c>
      <c r="AB408" s="124" t="s">
        <v>1174</v>
      </c>
      <c r="AC408" s="375"/>
    </row>
    <row r="409" spans="1:29" ht="51" hidden="1">
      <c r="A409" s="67">
        <v>415</v>
      </c>
      <c r="B409" s="69">
        <v>45128</v>
      </c>
      <c r="C409" s="74">
        <v>0.33333333333333331</v>
      </c>
      <c r="D409" s="67" t="s">
        <v>1929</v>
      </c>
      <c r="E409" s="68" t="s">
        <v>2075</v>
      </c>
      <c r="F409" s="67">
        <v>4</v>
      </c>
      <c r="G409" s="67" t="s">
        <v>29</v>
      </c>
      <c r="H409" s="69">
        <v>45138</v>
      </c>
      <c r="I409" s="69" t="s">
        <v>73</v>
      </c>
      <c r="J409" s="69" t="s">
        <v>78</v>
      </c>
      <c r="K409" s="67">
        <f>IFERROR(VLOOKUP(J409,Jueces!$A$1:$B$11,2,FALSE),"")</f>
        <v>8</v>
      </c>
      <c r="L409" s="67" t="s">
        <v>793</v>
      </c>
      <c r="M409" s="67" t="s">
        <v>1839</v>
      </c>
      <c r="N409" s="67" t="s">
        <v>2062</v>
      </c>
      <c r="O409" s="67" t="str">
        <f t="shared" ca="1" si="26"/>
        <v>SI</v>
      </c>
      <c r="P409" s="67" t="str">
        <f t="shared" si="25"/>
        <v>DIANOSOL</v>
      </c>
      <c r="Q409" s="67" t="s">
        <v>905</v>
      </c>
      <c r="R409" s="67" t="str">
        <f>VLOOKUP($Q409,Resultados!$A$1:$B$49,2,FALSE)</f>
        <v>Juicio Abreviado</v>
      </c>
      <c r="S409" s="67" t="s">
        <v>2061</v>
      </c>
      <c r="T409" s="77" t="str">
        <f t="shared" si="24"/>
        <v>NO</v>
      </c>
      <c r="U409" s="77"/>
      <c r="V409" s="67"/>
      <c r="W409" s="67" t="s">
        <v>1279</v>
      </c>
      <c r="X409" s="156"/>
      <c r="Y409" s="67"/>
      <c r="Z409" s="124" t="s">
        <v>1042</v>
      </c>
      <c r="AA409" s="124" t="s">
        <v>1169</v>
      </c>
      <c r="AB409" s="124" t="s">
        <v>1176</v>
      </c>
      <c r="AC409" s="375"/>
    </row>
    <row r="410" spans="1:29" ht="51" hidden="1">
      <c r="A410" s="67">
        <v>409</v>
      </c>
      <c r="B410" s="69">
        <v>45127</v>
      </c>
      <c r="C410" s="74">
        <v>0.4604166666666667</v>
      </c>
      <c r="D410" s="67" t="s">
        <v>1910</v>
      </c>
      <c r="E410" s="68" t="s">
        <v>1906</v>
      </c>
      <c r="F410" s="67">
        <v>2</v>
      </c>
      <c r="G410" s="67" t="s">
        <v>43</v>
      </c>
      <c r="H410" s="69">
        <v>45138</v>
      </c>
      <c r="I410" s="69" t="s">
        <v>1086</v>
      </c>
      <c r="J410" s="69" t="s">
        <v>1221</v>
      </c>
      <c r="K410" s="67">
        <f>IFERROR(VLOOKUP(J410,Jueces!$A$1:$B$11,2,FALSE),"")</f>
        <v>7</v>
      </c>
      <c r="L410" s="67" t="s">
        <v>801</v>
      </c>
      <c r="M410" s="201" t="s">
        <v>695</v>
      </c>
      <c r="N410" s="67" t="s">
        <v>1753</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4" t="s">
        <v>748</v>
      </c>
      <c r="AA410" s="124" t="s">
        <v>1169</v>
      </c>
      <c r="AB410" s="124" t="s">
        <v>1175</v>
      </c>
      <c r="AC410" s="375"/>
    </row>
    <row r="411" spans="1:29" ht="39.950000000000003" hidden="1" customHeight="1">
      <c r="A411" s="67">
        <v>419</v>
      </c>
      <c r="B411" s="69">
        <v>45131</v>
      </c>
      <c r="C411" s="74">
        <v>0.51736111111111105</v>
      </c>
      <c r="D411" s="67" t="s">
        <v>1937</v>
      </c>
      <c r="E411" s="68" t="s">
        <v>1938</v>
      </c>
      <c r="F411" s="67">
        <v>5</v>
      </c>
      <c r="G411" s="67" t="s">
        <v>1442</v>
      </c>
      <c r="H411" s="69">
        <v>45138</v>
      </c>
      <c r="I411" s="69" t="s">
        <v>1086</v>
      </c>
      <c r="J411" s="69" t="s">
        <v>1224</v>
      </c>
      <c r="K411" s="67" t="s">
        <v>1326</v>
      </c>
      <c r="L411" s="67" t="s">
        <v>791</v>
      </c>
      <c r="M411" s="67" t="s">
        <v>1876</v>
      </c>
      <c r="N411" s="67" t="s">
        <v>2042</v>
      </c>
      <c r="O411" s="67" t="str">
        <f t="shared" ca="1" si="26"/>
        <v>SI</v>
      </c>
      <c r="P411" s="67" t="str">
        <f t="shared" si="25"/>
        <v>DIANOSOL</v>
      </c>
      <c r="Q411" s="67" t="s">
        <v>904</v>
      </c>
      <c r="R411" s="67" t="str">
        <f>VLOOKUP($Q411,Resultados!$A$1:$B$49,2,FALSE)</f>
        <v>Juicio Abreviado</v>
      </c>
      <c r="S411" s="67" t="s">
        <v>1135</v>
      </c>
      <c r="T411" s="77" t="str">
        <f t="shared" si="24"/>
        <v>SI</v>
      </c>
      <c r="U411" s="77"/>
      <c r="V411" s="67"/>
      <c r="W411" s="67" t="s">
        <v>1747</v>
      </c>
      <c r="X411" s="67"/>
      <c r="Y411" s="67"/>
      <c r="Z411" s="124" t="s">
        <v>743</v>
      </c>
      <c r="AA411" s="124" t="s">
        <v>1171</v>
      </c>
      <c r="AB411" s="124" t="s">
        <v>1177</v>
      </c>
      <c r="AC411" s="375"/>
    </row>
    <row r="412" spans="1:29" ht="39.950000000000003" hidden="1" customHeight="1">
      <c r="A412" s="67">
        <v>420</v>
      </c>
      <c r="B412" s="69">
        <v>45131</v>
      </c>
      <c r="C412" s="74">
        <v>0.53402777777777777</v>
      </c>
      <c r="D412" s="67" t="s">
        <v>1941</v>
      </c>
      <c r="E412" s="68" t="s">
        <v>2072</v>
      </c>
      <c r="F412" s="67">
        <v>4</v>
      </c>
      <c r="G412" s="67" t="s">
        <v>568</v>
      </c>
      <c r="H412" s="69">
        <v>45138</v>
      </c>
      <c r="I412" s="69" t="s">
        <v>1086</v>
      </c>
      <c r="J412" s="69" t="s">
        <v>35</v>
      </c>
      <c r="K412" s="67" t="s">
        <v>1520</v>
      </c>
      <c r="L412" s="67" t="s">
        <v>793</v>
      </c>
      <c r="M412" s="67" t="s">
        <v>1839</v>
      </c>
      <c r="N412" s="67" t="s">
        <v>2059</v>
      </c>
      <c r="O412" s="67" t="str">
        <f t="shared" ca="1" si="26"/>
        <v>SI</v>
      </c>
      <c r="P412" s="67" t="str">
        <f t="shared" si="25"/>
        <v>DIANOSOL</v>
      </c>
      <c r="Q412" s="67" t="s">
        <v>899</v>
      </c>
      <c r="R412" s="67" t="str">
        <f>VLOOKUP($Q412,Resultados!$A$1:$B$49,2,FALSE)</f>
        <v>Libertad</v>
      </c>
      <c r="S412" s="67" t="s">
        <v>1243</v>
      </c>
      <c r="T412" s="77" t="str">
        <f t="shared" si="24"/>
        <v>NO</v>
      </c>
      <c r="U412" s="77"/>
      <c r="V412" s="67"/>
      <c r="W412" s="67" t="s">
        <v>2058</v>
      </c>
      <c r="X412" s="67" t="s">
        <v>2060</v>
      </c>
      <c r="Y412" s="67"/>
      <c r="Z412" s="124" t="s">
        <v>770</v>
      </c>
      <c r="AA412" s="124" t="s">
        <v>743</v>
      </c>
      <c r="AB412" s="124" t="s">
        <v>1176</v>
      </c>
      <c r="AC412" s="375"/>
    </row>
    <row r="413" spans="1:29" ht="38.25" hidden="1">
      <c r="A413" s="67">
        <v>391</v>
      </c>
      <c r="B413" s="69">
        <v>45119</v>
      </c>
      <c r="C413" s="74">
        <v>0.52013888888888882</v>
      </c>
      <c r="D413" s="67" t="s">
        <v>1819</v>
      </c>
      <c r="E413" s="68" t="s">
        <v>2133</v>
      </c>
      <c r="F413" s="67">
        <v>4</v>
      </c>
      <c r="G413" s="67" t="s">
        <v>43</v>
      </c>
      <c r="H413" s="69">
        <v>45139</v>
      </c>
      <c r="I413" s="69" t="s">
        <v>73</v>
      </c>
      <c r="J413" s="69" t="s">
        <v>1220</v>
      </c>
      <c r="K413" s="67">
        <f>IFERROR(VLOOKUP(J413,Jueces!$A$1:$B$11,2,FALSE),"")</f>
        <v>1</v>
      </c>
      <c r="L413" s="67" t="s">
        <v>804</v>
      </c>
      <c r="M413" s="67" t="s">
        <v>1970</v>
      </c>
      <c r="N413" s="67" t="s">
        <v>1870</v>
      </c>
      <c r="O413" s="67" t="str">
        <f t="shared" ca="1" si="26"/>
        <v>SI</v>
      </c>
      <c r="P413" s="67" t="str">
        <f t="shared" si="25"/>
        <v>DIANOSOL</v>
      </c>
      <c r="Q413" s="67" t="s">
        <v>151</v>
      </c>
      <c r="R413" s="67" t="str">
        <f>VLOOKUP($Q413,Resultados!$A$1:$B$49,2,FALSE)</f>
        <v>Prisión Preventiva</v>
      </c>
      <c r="S413" s="74" t="s">
        <v>1375</v>
      </c>
      <c r="T413" s="77" t="str">
        <f t="shared" si="24"/>
        <v>NO</v>
      </c>
      <c r="U413" s="77"/>
      <c r="V413" s="67"/>
      <c r="W413" s="67" t="s">
        <v>2077</v>
      </c>
      <c r="X413" s="67" t="s">
        <v>2078</v>
      </c>
      <c r="Y413" s="67"/>
      <c r="Z413" s="124" t="s">
        <v>1041</v>
      </c>
      <c r="AA413" s="124" t="s">
        <v>1169</v>
      </c>
      <c r="AB413" s="124" t="s">
        <v>1173</v>
      </c>
      <c r="AC413" s="375"/>
    </row>
    <row r="414" spans="1:29" ht="25.5" hidden="1">
      <c r="A414" s="67">
        <v>413</v>
      </c>
      <c r="B414" s="69">
        <v>45128</v>
      </c>
      <c r="C414" s="74">
        <v>0.33333333333333331</v>
      </c>
      <c r="D414" s="67" t="s">
        <v>1927</v>
      </c>
      <c r="E414" s="68" t="s">
        <v>2132</v>
      </c>
      <c r="F414" s="67">
        <v>4</v>
      </c>
      <c r="G414" s="67" t="s">
        <v>1442</v>
      </c>
      <c r="H414" s="69">
        <v>45139</v>
      </c>
      <c r="I414" s="69" t="s">
        <v>73</v>
      </c>
      <c r="J414" s="69" t="s">
        <v>31</v>
      </c>
      <c r="K414" s="67">
        <f>IFERROR(VLOOKUP(J414,Jueces!$A$1:$B$11,2,FALSE),"")</f>
        <v>2</v>
      </c>
      <c r="L414" s="67" t="s">
        <v>1702</v>
      </c>
      <c r="M414" s="67" t="s">
        <v>695</v>
      </c>
      <c r="N414" s="67" t="s">
        <v>2076</v>
      </c>
      <c r="O414" s="67" t="str">
        <f t="shared" ca="1" si="26"/>
        <v>SI</v>
      </c>
      <c r="P414" s="67" t="str">
        <f t="shared" si="25"/>
        <v>DIANOSOL</v>
      </c>
      <c r="Q414" s="67" t="s">
        <v>911</v>
      </c>
      <c r="R414" s="67" t="s">
        <v>949</v>
      </c>
      <c r="S414" s="67"/>
      <c r="T414" s="77" t="str">
        <f t="shared" si="24"/>
        <v>SI</v>
      </c>
      <c r="U414" s="77"/>
      <c r="V414" s="67"/>
      <c r="W414" s="67"/>
      <c r="X414" s="67"/>
      <c r="Y414" s="67"/>
      <c r="Z414" s="124" t="s">
        <v>1042</v>
      </c>
      <c r="AA414" s="124" t="s">
        <v>1171</v>
      </c>
      <c r="AB414" s="124" t="s">
        <v>1175</v>
      </c>
      <c r="AC414" s="375"/>
    </row>
    <row r="415" spans="1:29" ht="51" hidden="1">
      <c r="A415" s="67">
        <v>386</v>
      </c>
      <c r="B415" s="69">
        <v>45120</v>
      </c>
      <c r="C415" s="74">
        <v>0.5</v>
      </c>
      <c r="D415" s="67" t="s">
        <v>1816</v>
      </c>
      <c r="E415" s="68" t="s">
        <v>2131</v>
      </c>
      <c r="F415" s="67">
        <v>4</v>
      </c>
      <c r="G415" s="67" t="s">
        <v>1443</v>
      </c>
      <c r="H415" s="69">
        <v>45139</v>
      </c>
      <c r="I415" s="69" t="s">
        <v>1086</v>
      </c>
      <c r="J415" s="69" t="s">
        <v>33</v>
      </c>
      <c r="K415" s="67">
        <f>IFERROR(VLOOKUP(J415,Jueces!$A$1:$B$11,2,FALSE),"")</f>
        <v>4</v>
      </c>
      <c r="L415" s="67" t="s">
        <v>802</v>
      </c>
      <c r="M415" s="67" t="s">
        <v>1839</v>
      </c>
      <c r="N415" s="67" t="s">
        <v>2084</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4" t="s">
        <v>748</v>
      </c>
      <c r="AA415" s="124" t="s">
        <v>1169</v>
      </c>
      <c r="AB415" s="124" t="s">
        <v>1176</v>
      </c>
      <c r="AC415" s="375"/>
    </row>
    <row r="416" spans="1:29" ht="38.25" hidden="1">
      <c r="A416" s="67">
        <v>389</v>
      </c>
      <c r="B416" s="69">
        <v>45120</v>
      </c>
      <c r="C416" s="74">
        <v>0.54166666666666663</v>
      </c>
      <c r="D416" s="67" t="s">
        <v>1813</v>
      </c>
      <c r="E416" s="68" t="s">
        <v>2130</v>
      </c>
      <c r="F416" s="67">
        <v>4</v>
      </c>
      <c r="G416" s="67" t="s">
        <v>29</v>
      </c>
      <c r="H416" s="69">
        <v>45139</v>
      </c>
      <c r="I416" s="69" t="s">
        <v>1086</v>
      </c>
      <c r="J416" s="69" t="s">
        <v>1224</v>
      </c>
      <c r="K416" s="67" t="s">
        <v>1326</v>
      </c>
      <c r="L416" s="67" t="s">
        <v>811</v>
      </c>
      <c r="M416" s="67" t="s">
        <v>695</v>
      </c>
      <c r="N416" s="67" t="s">
        <v>2082</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2083</v>
      </c>
      <c r="Y416" s="67"/>
      <c r="Z416" s="124" t="s">
        <v>743</v>
      </c>
      <c r="AA416" s="124" t="s">
        <v>743</v>
      </c>
      <c r="AB416" s="124" t="s">
        <v>1173</v>
      </c>
      <c r="AC416" s="375"/>
    </row>
    <row r="417" spans="1:29" ht="63.75" hidden="1">
      <c r="A417" s="67">
        <v>421</v>
      </c>
      <c r="B417" s="69">
        <v>45132</v>
      </c>
      <c r="C417" s="74">
        <v>0.52083333333333337</v>
      </c>
      <c r="D417" s="67" t="s">
        <v>1963</v>
      </c>
      <c r="E417" s="68" t="s">
        <v>2129</v>
      </c>
      <c r="F417" s="67">
        <v>4</v>
      </c>
      <c r="G417" s="67" t="s">
        <v>32</v>
      </c>
      <c r="H417" s="69">
        <v>45139</v>
      </c>
      <c r="I417" s="69" t="s">
        <v>1450</v>
      </c>
      <c r="J417" s="69" t="s">
        <v>1224</v>
      </c>
      <c r="K417" s="67" t="s">
        <v>1326</v>
      </c>
      <c r="L417" s="67" t="s">
        <v>811</v>
      </c>
      <c r="M417" s="67" t="s">
        <v>1839</v>
      </c>
      <c r="N417" s="67" t="s">
        <v>2097</v>
      </c>
      <c r="O417" s="67" t="str">
        <f t="shared" ca="1" si="26"/>
        <v>SI</v>
      </c>
      <c r="P417" s="67" t="str">
        <f t="shared" si="25"/>
        <v>DIANOSOL</v>
      </c>
      <c r="Q417" s="67" t="s">
        <v>1512</v>
      </c>
      <c r="R417" s="67" t="str">
        <f>VLOOKUP($Q417,Resultados!$A$1:$B$49,2,FALSE)</f>
        <v>Juicio Abreviado</v>
      </c>
      <c r="S417" s="74">
        <v>0.4284722222222222</v>
      </c>
      <c r="T417" s="77" t="str">
        <f t="shared" si="24"/>
        <v>NO</v>
      </c>
      <c r="U417" s="77"/>
      <c r="V417" s="67"/>
      <c r="W417" s="74">
        <v>0.44236111111111115</v>
      </c>
      <c r="X417" s="67"/>
      <c r="Y417" s="67"/>
      <c r="Z417" s="124" t="s">
        <v>770</v>
      </c>
      <c r="AA417" s="124" t="s">
        <v>1169</v>
      </c>
      <c r="AB417" s="124" t="s">
        <v>1175</v>
      </c>
      <c r="AC417" s="375"/>
    </row>
    <row r="418" spans="1:29" ht="39.950000000000003" hidden="1" customHeight="1">
      <c r="A418" s="67">
        <v>422</v>
      </c>
      <c r="B418" s="69">
        <v>45131</v>
      </c>
      <c r="C418" s="74">
        <v>0.53749999999999998</v>
      </c>
      <c r="D418" s="67" t="s">
        <v>1940</v>
      </c>
      <c r="E418" s="68" t="s">
        <v>2128</v>
      </c>
      <c r="F418" s="67">
        <v>4</v>
      </c>
      <c r="G418" s="67" t="s">
        <v>568</v>
      </c>
      <c r="H418" s="69">
        <v>45140</v>
      </c>
      <c r="I418" s="69" t="s">
        <v>73</v>
      </c>
      <c r="J418" s="69" t="s">
        <v>1220</v>
      </c>
      <c r="K418" s="67">
        <f>IFERROR(VLOOKUP(J418,Jueces!$A$1:$B$11,2,FALSE),"")</f>
        <v>1</v>
      </c>
      <c r="L418" s="67" t="s">
        <v>789</v>
      </c>
      <c r="M418" s="67" t="s">
        <v>2122</v>
      </c>
      <c r="N418" s="67" t="s">
        <v>2121</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2123</v>
      </c>
      <c r="Y418" s="67"/>
      <c r="Z418" s="124" t="s">
        <v>1042</v>
      </c>
      <c r="AA418" s="124" t="s">
        <v>1169</v>
      </c>
      <c r="AB418" s="124" t="s">
        <v>1173</v>
      </c>
      <c r="AC418" s="375"/>
    </row>
    <row r="419" spans="1:29" ht="39.950000000000003" hidden="1" customHeight="1">
      <c r="A419" s="67">
        <v>423</v>
      </c>
      <c r="B419" s="69">
        <v>45132</v>
      </c>
      <c r="C419" s="74">
        <v>0.40763888888888888</v>
      </c>
      <c r="D419" s="67" t="s">
        <v>1960</v>
      </c>
      <c r="E419" s="68" t="s">
        <v>2127</v>
      </c>
      <c r="F419" s="67">
        <v>4</v>
      </c>
      <c r="G419" s="67" t="s">
        <v>29</v>
      </c>
      <c r="H419" s="69">
        <v>45140</v>
      </c>
      <c r="I419" s="69" t="s">
        <v>73</v>
      </c>
      <c r="J419" s="69" t="s">
        <v>33</v>
      </c>
      <c r="K419" s="67">
        <f>IFERROR(VLOOKUP(J419,Jueces!$A$1:$B$11,2,FALSE),"")</f>
        <v>4</v>
      </c>
      <c r="L419" s="67" t="s">
        <v>813</v>
      </c>
      <c r="M419" s="67" t="s">
        <v>695</v>
      </c>
      <c r="N419" s="67" t="s">
        <v>2117</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4" t="s">
        <v>748</v>
      </c>
      <c r="AA419" s="124" t="s">
        <v>1171</v>
      </c>
      <c r="AB419" s="124" t="s">
        <v>1175</v>
      </c>
      <c r="AC419" s="375"/>
    </row>
    <row r="420" spans="1:29" ht="39.950000000000003" hidden="1" customHeight="1">
      <c r="A420" s="67">
        <v>424</v>
      </c>
      <c r="B420" s="69">
        <v>45131</v>
      </c>
      <c r="C420" s="74">
        <v>0.52013888888888882</v>
      </c>
      <c r="D420" s="67" t="s">
        <v>1942</v>
      </c>
      <c r="E420" s="68" t="s">
        <v>1980</v>
      </c>
      <c r="F420" s="67">
        <v>4</v>
      </c>
      <c r="G420" s="67" t="s">
        <v>32</v>
      </c>
      <c r="H420" s="69">
        <v>45140</v>
      </c>
      <c r="I420" s="69" t="s">
        <v>73</v>
      </c>
      <c r="J420" s="69" t="s">
        <v>1222</v>
      </c>
      <c r="K420" s="67" t="s">
        <v>1520</v>
      </c>
      <c r="L420" s="67" t="s">
        <v>811</v>
      </c>
      <c r="M420" s="67" t="s">
        <v>1839</v>
      </c>
      <c r="N420" s="67" t="s">
        <v>2118</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4" t="s">
        <v>743</v>
      </c>
      <c r="AA420" s="124" t="s">
        <v>743</v>
      </c>
      <c r="AB420" s="124" t="s">
        <v>1176</v>
      </c>
      <c r="AC420" s="375"/>
    </row>
    <row r="421" spans="1:29" ht="39.950000000000003" hidden="1" customHeight="1">
      <c r="A421" s="67">
        <v>429</v>
      </c>
      <c r="B421" s="69">
        <v>45132</v>
      </c>
      <c r="C421" s="74">
        <v>0.51041666666666663</v>
      </c>
      <c r="D421" s="67" t="s">
        <v>1964</v>
      </c>
      <c r="E421" s="68" t="s">
        <v>1965</v>
      </c>
      <c r="F421" s="67">
        <v>5</v>
      </c>
      <c r="G421" s="67" t="s">
        <v>1443</v>
      </c>
      <c r="H421" s="69">
        <v>45140</v>
      </c>
      <c r="I421" s="69" t="s">
        <v>73</v>
      </c>
      <c r="J421" s="69" t="s">
        <v>78</v>
      </c>
      <c r="K421" s="67">
        <f>IFERROR(VLOOKUP(J421,Jueces!$A$1:$B$11,2,FALSE),"")</f>
        <v>8</v>
      </c>
      <c r="L421" s="67" t="s">
        <v>1522</v>
      </c>
      <c r="M421" s="67" t="s">
        <v>1966</v>
      </c>
      <c r="N421" s="67" t="s">
        <v>2119</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4" t="s">
        <v>770</v>
      </c>
      <c r="AA421" s="124" t="s">
        <v>743</v>
      </c>
      <c r="AB421" s="124" t="s">
        <v>1177</v>
      </c>
      <c r="AC421" s="375"/>
    </row>
    <row r="422" spans="1:29" ht="39.950000000000003" hidden="1" customHeight="1">
      <c r="A422" s="67">
        <v>427</v>
      </c>
      <c r="B422" s="69">
        <v>45132</v>
      </c>
      <c r="C422" s="74">
        <v>0.33333333333333331</v>
      </c>
      <c r="D422" s="67" t="s">
        <v>1959</v>
      </c>
      <c r="E422" s="68" t="s">
        <v>2040</v>
      </c>
      <c r="F422" s="67">
        <v>4</v>
      </c>
      <c r="G422" s="67" t="s">
        <v>1442</v>
      </c>
      <c r="H422" s="69">
        <v>45140</v>
      </c>
      <c r="I422" s="69" t="s">
        <v>1086</v>
      </c>
      <c r="J422" s="69" t="s">
        <v>33</v>
      </c>
      <c r="K422" s="67">
        <f>IFERROR(VLOOKUP(J422,Jueces!$A$1:$B$11,2,FALSE),"")</f>
        <v>4</v>
      </c>
      <c r="L422" s="67" t="s">
        <v>806</v>
      </c>
      <c r="M422" s="67" t="s">
        <v>2036</v>
      </c>
      <c r="N422" s="67" t="s">
        <v>2116</v>
      </c>
      <c r="O422" s="67" t="str">
        <f t="shared" ca="1" si="26"/>
        <v>SI</v>
      </c>
      <c r="P422" s="67" t="str">
        <f t="shared" si="25"/>
        <v>DIANOSOL</v>
      </c>
      <c r="Q422" s="67" t="s">
        <v>913</v>
      </c>
      <c r="R422" s="67" t="str">
        <f>VLOOKUP($Q422,Resultados!$A$1:$B$49,2,FALSE)</f>
        <v>Prision domiciliaria</v>
      </c>
      <c r="S422" s="74">
        <v>0.39166666666666666</v>
      </c>
      <c r="T422" s="77" t="str">
        <f t="shared" si="24"/>
        <v>SI</v>
      </c>
      <c r="U422" s="77"/>
      <c r="V422" s="67"/>
      <c r="W422" s="74">
        <v>0.42430555555555555</v>
      </c>
      <c r="X422" s="67"/>
      <c r="Y422" s="67"/>
      <c r="Z422" s="124" t="s">
        <v>1042</v>
      </c>
      <c r="AA422" s="124" t="s">
        <v>1169</v>
      </c>
      <c r="AB422" s="124" t="s">
        <v>1175</v>
      </c>
      <c r="AC422" s="375"/>
    </row>
    <row r="423" spans="1:29" ht="39.950000000000003" hidden="1" customHeight="1">
      <c r="A423" s="67">
        <v>432</v>
      </c>
      <c r="B423" s="69">
        <v>45132</v>
      </c>
      <c r="C423" s="74">
        <v>0.33333333333333331</v>
      </c>
      <c r="D423" s="67" t="s">
        <v>1752</v>
      </c>
      <c r="E423" s="68" t="s">
        <v>1990</v>
      </c>
      <c r="F423" s="67">
        <v>4</v>
      </c>
      <c r="G423" s="67" t="s">
        <v>283</v>
      </c>
      <c r="H423" s="69">
        <v>45140</v>
      </c>
      <c r="I423" s="69" t="s">
        <v>1086</v>
      </c>
      <c r="J423" s="69" t="s">
        <v>1223</v>
      </c>
      <c r="K423" s="67" t="s">
        <v>1346</v>
      </c>
      <c r="L423" s="67" t="s">
        <v>2111</v>
      </c>
      <c r="M423" s="67" t="s">
        <v>1991</v>
      </c>
      <c r="N423" s="67" t="s">
        <v>2120</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2110</v>
      </c>
      <c r="Y423" s="67"/>
      <c r="Z423" s="124" t="s">
        <v>1041</v>
      </c>
      <c r="AA423" s="124" t="s">
        <v>1171</v>
      </c>
      <c r="AB423" s="124" t="s">
        <v>1173</v>
      </c>
      <c r="AC423" s="375"/>
    </row>
    <row r="424" spans="1:29" ht="39.950000000000003" hidden="1" customHeight="1">
      <c r="A424" s="67">
        <v>394</v>
      </c>
      <c r="B424" s="69">
        <v>45121</v>
      </c>
      <c r="C424" s="74">
        <v>0.33333333333333331</v>
      </c>
      <c r="D424" s="67" t="s">
        <v>1840</v>
      </c>
      <c r="E424" s="68" t="s">
        <v>1979</v>
      </c>
      <c r="F424" s="67">
        <v>4</v>
      </c>
      <c r="G424" s="67" t="s">
        <v>32</v>
      </c>
      <c r="H424" s="69">
        <v>45141</v>
      </c>
      <c r="I424" s="69" t="s">
        <v>73</v>
      </c>
      <c r="J424" s="69" t="s">
        <v>1223</v>
      </c>
      <c r="K424" s="67" t="s">
        <v>1326</v>
      </c>
      <c r="L424" s="67" t="s">
        <v>812</v>
      </c>
      <c r="M424" s="67" t="s">
        <v>1839</v>
      </c>
      <c r="N424" s="67" t="s">
        <v>1753</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4" t="s">
        <v>748</v>
      </c>
      <c r="AA424" s="124" t="s">
        <v>743</v>
      </c>
      <c r="AB424" s="124" t="s">
        <v>1175</v>
      </c>
      <c r="AC424" s="375"/>
    </row>
    <row r="425" spans="1:29" ht="39.950000000000003" hidden="1" customHeight="1">
      <c r="A425" s="67">
        <v>399</v>
      </c>
      <c r="B425" s="69">
        <v>45125</v>
      </c>
      <c r="C425" s="67" t="s">
        <v>1868</v>
      </c>
      <c r="D425" s="67" t="s">
        <v>1867</v>
      </c>
      <c r="E425" s="68" t="s">
        <v>2144</v>
      </c>
      <c r="F425" s="67">
        <v>2</v>
      </c>
      <c r="G425" s="67" t="s">
        <v>1443</v>
      </c>
      <c r="H425" s="69">
        <v>45141</v>
      </c>
      <c r="I425" s="69" t="s">
        <v>73</v>
      </c>
      <c r="J425" s="69" t="s">
        <v>33</v>
      </c>
      <c r="K425" s="67">
        <f>IFERROR(VLOOKUP(J425,Jueces!$A$1:$B$11,2,FALSE),"")</f>
        <v>4</v>
      </c>
      <c r="L425" s="67" t="s">
        <v>804</v>
      </c>
      <c r="M425" s="67" t="s">
        <v>695</v>
      </c>
      <c r="N425" s="214" t="s">
        <v>2141</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4" t="s">
        <v>770</v>
      </c>
      <c r="AA425" s="124" t="s">
        <v>743</v>
      </c>
      <c r="AB425" s="124" t="s">
        <v>1176</v>
      </c>
      <c r="AC425" s="375"/>
    </row>
    <row r="426" spans="1:29" ht="39.950000000000003" hidden="1" customHeight="1">
      <c r="A426" s="67">
        <v>435</v>
      </c>
      <c r="B426" s="69">
        <v>45134</v>
      </c>
      <c r="C426" s="74">
        <v>0.50694444444444442</v>
      </c>
      <c r="D426" s="67" t="s">
        <v>2009</v>
      </c>
      <c r="E426" s="68" t="s">
        <v>2010</v>
      </c>
      <c r="F426" s="67">
        <v>5</v>
      </c>
      <c r="G426" s="67" t="s">
        <v>1442</v>
      </c>
      <c r="H426" s="69">
        <v>45141</v>
      </c>
      <c r="I426" s="69" t="s">
        <v>73</v>
      </c>
      <c r="J426" s="69" t="s">
        <v>1220</v>
      </c>
      <c r="K426" s="67" t="s">
        <v>1926</v>
      </c>
      <c r="L426" s="67" t="s">
        <v>813</v>
      </c>
      <c r="M426" s="67" t="s">
        <v>1966</v>
      </c>
      <c r="N426" s="67" t="s">
        <v>2135</v>
      </c>
      <c r="O426" s="67" t="str">
        <f t="shared" ca="1" si="26"/>
        <v>SI</v>
      </c>
      <c r="P426" s="67" t="str">
        <f t="shared" si="25"/>
        <v>DIANOSOL</v>
      </c>
      <c r="Q426" s="67" t="s">
        <v>904</v>
      </c>
      <c r="R426" s="67" t="str">
        <f>VLOOKUP($Q426,Resultados!$A$1:$B$49,2,FALSE)</f>
        <v>Juicio Abreviado</v>
      </c>
      <c r="S426" s="67"/>
      <c r="T426" s="77" t="str">
        <f t="shared" ref="T426:T471" si="27">IF(G426=$J$1,"SI","NO")</f>
        <v>SI</v>
      </c>
      <c r="U426" s="77"/>
      <c r="V426" s="67"/>
      <c r="W426" s="67"/>
      <c r="X426" s="67"/>
      <c r="Y426" s="67"/>
      <c r="Z426" s="124" t="s">
        <v>1042</v>
      </c>
      <c r="AA426" s="124" t="s">
        <v>1171</v>
      </c>
      <c r="AB426" s="124" t="s">
        <v>1174</v>
      </c>
      <c r="AC426" s="375"/>
    </row>
    <row r="427" spans="1:29" ht="39.950000000000003" hidden="1" customHeight="1">
      <c r="A427" s="67">
        <v>425</v>
      </c>
      <c r="B427" s="69">
        <v>45132</v>
      </c>
      <c r="C427" s="74">
        <v>0.33333333333333331</v>
      </c>
      <c r="D427" s="67" t="s">
        <v>1958</v>
      </c>
      <c r="E427" s="68" t="s">
        <v>1981</v>
      </c>
      <c r="F427" s="67">
        <v>4</v>
      </c>
      <c r="G427" s="67" t="s">
        <v>283</v>
      </c>
      <c r="H427" s="69">
        <v>45141</v>
      </c>
      <c r="I427" s="69" t="s">
        <v>1086</v>
      </c>
      <c r="J427" s="69" t="s">
        <v>35</v>
      </c>
      <c r="K427" s="67">
        <f>IFERROR(VLOOKUP(J427,Jueces!$A$1:$B$11,2,FALSE),"")</f>
        <v>3</v>
      </c>
      <c r="L427" s="67" t="s">
        <v>807</v>
      </c>
      <c r="M427" s="67" t="s">
        <v>1839</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4" t="s">
        <v>748</v>
      </c>
      <c r="AA427" s="124" t="s">
        <v>743</v>
      </c>
      <c r="AB427" s="124" t="s">
        <v>1173</v>
      </c>
      <c r="AC427" s="375"/>
    </row>
    <row r="428" spans="1:29" ht="39.950000000000003" hidden="1" customHeight="1">
      <c r="A428" s="67">
        <v>439</v>
      </c>
      <c r="B428" s="69">
        <v>45135</v>
      </c>
      <c r="C428" s="74">
        <v>0.49861111111111112</v>
      </c>
      <c r="D428" s="67" t="s">
        <v>2039</v>
      </c>
      <c r="E428" s="68" t="s">
        <v>2086</v>
      </c>
      <c r="F428" s="67">
        <v>5</v>
      </c>
      <c r="G428" s="67" t="s">
        <v>43</v>
      </c>
      <c r="H428" s="69">
        <v>45141</v>
      </c>
      <c r="I428" s="69" t="s">
        <v>1086</v>
      </c>
      <c r="J428" s="69" t="s">
        <v>1221</v>
      </c>
      <c r="K428" s="67">
        <f>IFERROR(VLOOKUP(J428,Jueces!$A$1:$B$11,2,FALSE),"")</f>
        <v>7</v>
      </c>
      <c r="L428" s="67" t="s">
        <v>789</v>
      </c>
      <c r="M428" s="67" t="s">
        <v>1966</v>
      </c>
      <c r="N428" s="67" t="s">
        <v>1753</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4" t="s">
        <v>770</v>
      </c>
      <c r="AA428" s="124" t="s">
        <v>1169</v>
      </c>
      <c r="AB428" s="124" t="s">
        <v>1175</v>
      </c>
      <c r="AC428" s="375"/>
    </row>
    <row r="429" spans="1:29" ht="39.950000000000003" hidden="1" customHeight="1">
      <c r="A429" s="67">
        <v>438</v>
      </c>
      <c r="B429" s="69">
        <v>45135</v>
      </c>
      <c r="C429" s="74">
        <v>0.41736111111111113</v>
      </c>
      <c r="D429" s="67" t="s">
        <v>2029</v>
      </c>
      <c r="E429" s="68" t="s">
        <v>2030</v>
      </c>
      <c r="F429" s="67">
        <v>5</v>
      </c>
      <c r="G429" s="67" t="s">
        <v>1443</v>
      </c>
      <c r="H429" s="69">
        <v>45141</v>
      </c>
      <c r="I429" s="69" t="s">
        <v>1450</v>
      </c>
      <c r="J429" s="69" t="s">
        <v>31</v>
      </c>
      <c r="K429" s="67" t="s">
        <v>1926</v>
      </c>
      <c r="L429" s="67" t="s">
        <v>569</v>
      </c>
      <c r="M429" s="67" t="s">
        <v>1693</v>
      </c>
      <c r="N429" s="67" t="s">
        <v>2142</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4" t="s">
        <v>1041</v>
      </c>
      <c r="AA429" s="124" t="s">
        <v>1171</v>
      </c>
      <c r="AB429" s="124" t="s">
        <v>1177</v>
      </c>
      <c r="AC429" s="375"/>
    </row>
    <row r="430" spans="1:29" ht="39.950000000000003" hidden="1" customHeight="1">
      <c r="A430" s="67">
        <v>426</v>
      </c>
      <c r="B430" s="69">
        <v>45132</v>
      </c>
      <c r="C430" s="74">
        <v>0.44513888888888892</v>
      </c>
      <c r="D430" s="67" t="s">
        <v>1961</v>
      </c>
      <c r="E430" s="68" t="s">
        <v>2145</v>
      </c>
      <c r="F430" s="67">
        <v>4</v>
      </c>
      <c r="G430" s="67" t="s">
        <v>32</v>
      </c>
      <c r="H430" s="69">
        <v>45142</v>
      </c>
      <c r="I430" s="69" t="s">
        <v>73</v>
      </c>
      <c r="J430" s="69" t="s">
        <v>1223</v>
      </c>
      <c r="K430" s="67" t="s">
        <v>1346</v>
      </c>
      <c r="L430" s="67" t="s">
        <v>802</v>
      </c>
      <c r="M430" s="67" t="s">
        <v>1839</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4" t="s">
        <v>2152</v>
      </c>
      <c r="AA430" s="124" t="s">
        <v>1169</v>
      </c>
      <c r="AB430" s="124" t="s">
        <v>1174</v>
      </c>
      <c r="AC430" s="375"/>
    </row>
    <row r="431" spans="1:29" ht="39.950000000000003" hidden="1" customHeight="1">
      <c r="A431" s="67">
        <v>434</v>
      </c>
      <c r="B431" s="69">
        <v>45134</v>
      </c>
      <c r="C431" s="74">
        <v>0.3611111111111111</v>
      </c>
      <c r="D431" s="67" t="s">
        <v>1997</v>
      </c>
      <c r="E431" s="68" t="s">
        <v>2146</v>
      </c>
      <c r="F431" s="67">
        <v>1</v>
      </c>
      <c r="G431" s="67" t="s">
        <v>29</v>
      </c>
      <c r="H431" s="69">
        <v>45142</v>
      </c>
      <c r="I431" s="69" t="s">
        <v>73</v>
      </c>
      <c r="J431" s="69" t="s">
        <v>1221</v>
      </c>
      <c r="K431" s="67">
        <f>IFERROR(VLOOKUP(J431,Jueces!$A$1:$B$11,2,FALSE),"")</f>
        <v>7</v>
      </c>
      <c r="L431" s="67" t="s">
        <v>582</v>
      </c>
      <c r="M431" s="67" t="s">
        <v>767</v>
      </c>
      <c r="N431" s="67" t="s">
        <v>2154</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2155</v>
      </c>
      <c r="Y431" s="67"/>
      <c r="Z431" s="124" t="s">
        <v>748</v>
      </c>
      <c r="AA431" s="124" t="s">
        <v>1169</v>
      </c>
      <c r="AB431" s="124" t="s">
        <v>1176</v>
      </c>
      <c r="AC431" s="375"/>
    </row>
    <row r="432" spans="1:29" ht="39.950000000000003" hidden="1" customHeight="1">
      <c r="A432" s="67">
        <v>436</v>
      </c>
      <c r="B432" s="69">
        <v>45135</v>
      </c>
      <c r="C432" s="74">
        <v>0.35416666666666669</v>
      </c>
      <c r="D432" s="67" t="s">
        <v>2033</v>
      </c>
      <c r="E432" s="68" t="s">
        <v>2147</v>
      </c>
      <c r="F432" s="67">
        <v>5</v>
      </c>
      <c r="G432" s="67" t="s">
        <v>1442</v>
      </c>
      <c r="H432" s="69">
        <v>45142</v>
      </c>
      <c r="I432" s="69" t="s">
        <v>73</v>
      </c>
      <c r="J432" s="69" t="s">
        <v>1222</v>
      </c>
      <c r="K432" s="67" t="s">
        <v>1326</v>
      </c>
      <c r="L432" s="67" t="s">
        <v>812</v>
      </c>
      <c r="M432" s="67" t="s">
        <v>1966</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SI</v>
      </c>
      <c r="U432" s="77"/>
      <c r="V432" s="67"/>
      <c r="W432" s="74">
        <v>0.375</v>
      </c>
      <c r="X432" s="67" t="s">
        <v>2156</v>
      </c>
      <c r="Y432" s="67"/>
      <c r="Z432" s="124" t="s">
        <v>770</v>
      </c>
      <c r="AA432" s="124" t="s">
        <v>743</v>
      </c>
      <c r="AB432" s="124" t="s">
        <v>1173</v>
      </c>
      <c r="AC432" s="375"/>
    </row>
    <row r="433" spans="1:29" ht="39.950000000000003" hidden="1" customHeight="1">
      <c r="A433" s="67">
        <v>437</v>
      </c>
      <c r="B433" s="69">
        <v>45135</v>
      </c>
      <c r="C433" s="74">
        <v>0.35416666666666669</v>
      </c>
      <c r="D433" s="67" t="s">
        <v>2052</v>
      </c>
      <c r="E433" s="68" t="s">
        <v>2148</v>
      </c>
      <c r="F433" s="67">
        <v>5</v>
      </c>
      <c r="G433" s="67" t="s">
        <v>43</v>
      </c>
      <c r="H433" s="69">
        <v>45142</v>
      </c>
      <c r="I433" s="69" t="s">
        <v>73</v>
      </c>
      <c r="J433" s="69" t="s">
        <v>35</v>
      </c>
      <c r="K433" s="67" t="s">
        <v>1520</v>
      </c>
      <c r="L433" s="67" t="s">
        <v>797</v>
      </c>
      <c r="M433" s="67" t="s">
        <v>1994</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2157</v>
      </c>
      <c r="Y433" s="67"/>
      <c r="Z433" s="124" t="s">
        <v>1041</v>
      </c>
      <c r="AA433" s="124" t="s">
        <v>743</v>
      </c>
      <c r="AB433" s="124" t="s">
        <v>1175</v>
      </c>
      <c r="AC433" s="375"/>
    </row>
    <row r="434" spans="1:29" ht="38.25" hidden="1">
      <c r="A434" s="67">
        <v>430</v>
      </c>
      <c r="B434" s="69">
        <v>45133</v>
      </c>
      <c r="C434" s="74">
        <v>0.50624999999999998</v>
      </c>
      <c r="D434" s="67" t="s">
        <v>1988</v>
      </c>
      <c r="E434" s="68" t="s">
        <v>2149</v>
      </c>
      <c r="F434" s="67">
        <v>4</v>
      </c>
      <c r="G434" s="67" t="s">
        <v>1443</v>
      </c>
      <c r="H434" s="69">
        <v>45142</v>
      </c>
      <c r="I434" s="69" t="s">
        <v>1086</v>
      </c>
      <c r="J434" s="69" t="s">
        <v>1223</v>
      </c>
      <c r="K434" s="67" t="s">
        <v>1926</v>
      </c>
      <c r="L434" s="67" t="s">
        <v>1453</v>
      </c>
      <c r="M434" s="67" t="s">
        <v>2004</v>
      </c>
      <c r="N434" s="67" t="s">
        <v>2035</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2153</v>
      </c>
      <c r="Y434" s="67"/>
      <c r="Z434" s="124" t="s">
        <v>748</v>
      </c>
      <c r="AA434" s="124" t="s">
        <v>1169</v>
      </c>
      <c r="AB434" s="124" t="s">
        <v>1177</v>
      </c>
      <c r="AC434" s="375"/>
    </row>
    <row r="435" spans="1:29" ht="39.950000000000003" hidden="1" customHeight="1">
      <c r="A435" s="67">
        <v>433</v>
      </c>
      <c r="B435" s="69">
        <v>45134</v>
      </c>
      <c r="C435" s="74">
        <v>0.33333333333333331</v>
      </c>
      <c r="D435" s="67" t="s">
        <v>2003</v>
      </c>
      <c r="E435" s="68" t="s">
        <v>2150</v>
      </c>
      <c r="F435" s="67">
        <v>4</v>
      </c>
      <c r="G435" s="67" t="s">
        <v>1441</v>
      </c>
      <c r="H435" s="69">
        <v>45142</v>
      </c>
      <c r="I435" s="69" t="s">
        <v>1086</v>
      </c>
      <c r="J435" s="69" t="s">
        <v>78</v>
      </c>
      <c r="K435" s="67">
        <f>IFERROR(VLOOKUP(J435,Jueces!$A$1:$B$11,2,FALSE),"")</f>
        <v>8</v>
      </c>
      <c r="L435" s="67" t="s">
        <v>797</v>
      </c>
      <c r="M435" s="67" t="s">
        <v>1970</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2026</v>
      </c>
      <c r="Y435" s="67"/>
      <c r="Z435" s="124" t="s">
        <v>770</v>
      </c>
      <c r="AA435" s="124" t="s">
        <v>1171</v>
      </c>
      <c r="AB435" s="124" t="s">
        <v>1174</v>
      </c>
      <c r="AC435" s="375"/>
    </row>
    <row r="436" spans="1:29" ht="39.950000000000003" hidden="1" customHeight="1">
      <c r="A436" s="67">
        <v>431</v>
      </c>
      <c r="B436" s="69">
        <v>45133</v>
      </c>
      <c r="C436" s="74">
        <v>0.51388888888888895</v>
      </c>
      <c r="D436" s="67" t="s">
        <v>1989</v>
      </c>
      <c r="E436" s="68" t="s">
        <v>2151</v>
      </c>
      <c r="F436" s="67">
        <v>4</v>
      </c>
      <c r="G436" s="67" t="s">
        <v>568</v>
      </c>
      <c r="H436" s="69">
        <v>45142</v>
      </c>
      <c r="I436" s="69" t="s">
        <v>2021</v>
      </c>
      <c r="J436" s="69" t="s">
        <v>33</v>
      </c>
      <c r="K436" s="67">
        <f>IFERROR(VLOOKUP(J436,Jueces!$A$1:$B$11,2,FALSE),"")</f>
        <v>4</v>
      </c>
      <c r="L436" s="67" t="s">
        <v>797</v>
      </c>
      <c r="M436" s="67" t="s">
        <v>1839</v>
      </c>
      <c r="N436" s="67" t="s">
        <v>1902</v>
      </c>
      <c r="O436" s="67" t="str">
        <f t="shared" ca="1" si="26"/>
        <v>SI</v>
      </c>
      <c r="P436" s="67" t="str">
        <f t="shared" si="25"/>
        <v>DIANOSOL</v>
      </c>
      <c r="Q436" s="67" t="s">
        <v>1902</v>
      </c>
      <c r="R436" s="67" t="str">
        <f>VLOOKUP($Q436,Resultados!$A$1:$B$49,2,FALSE)</f>
        <v>Sobreseimiento</v>
      </c>
      <c r="S436" s="74">
        <v>0.53749999999999998</v>
      </c>
      <c r="T436" s="77" t="str">
        <f t="shared" si="27"/>
        <v>NO</v>
      </c>
      <c r="U436" s="77"/>
      <c r="V436" s="67"/>
      <c r="W436" s="74">
        <v>0.54513888888888895</v>
      </c>
      <c r="X436" s="67"/>
      <c r="Y436" s="67"/>
      <c r="Z436" s="124" t="s">
        <v>1041</v>
      </c>
      <c r="AA436" s="124" t="s">
        <v>743</v>
      </c>
      <c r="AB436" s="124" t="s">
        <v>1176</v>
      </c>
      <c r="AC436" s="375"/>
    </row>
    <row r="437" spans="1:29" ht="139.5" hidden="1" customHeight="1">
      <c r="A437" s="7">
        <v>428</v>
      </c>
      <c r="B437" s="19">
        <v>45132</v>
      </c>
      <c r="C437" s="15">
        <v>0.4916666666666667</v>
      </c>
      <c r="D437" s="7" t="s">
        <v>1996</v>
      </c>
      <c r="E437" s="41" t="s">
        <v>1962</v>
      </c>
      <c r="F437" s="7">
        <v>2</v>
      </c>
      <c r="G437" s="7" t="s">
        <v>29</v>
      </c>
      <c r="H437" s="19">
        <v>45145</v>
      </c>
      <c r="I437" s="19" t="s">
        <v>73</v>
      </c>
      <c r="J437" s="19" t="s">
        <v>33</v>
      </c>
      <c r="K437" s="7">
        <v>4</v>
      </c>
      <c r="L437" s="7" t="s">
        <v>1070</v>
      </c>
      <c r="M437" s="7" t="s">
        <v>1986</v>
      </c>
      <c r="N437" s="7" t="s">
        <v>2167</v>
      </c>
      <c r="O437" s="156" t="str">
        <f t="shared" ca="1" si="26"/>
        <v>SI</v>
      </c>
      <c r="P437" s="156" t="str">
        <f t="shared" si="25"/>
        <v>DIANOSOL</v>
      </c>
      <c r="Q437" s="7" t="s">
        <v>151</v>
      </c>
      <c r="R437" s="7" t="str">
        <f>VLOOKUP($Q437,Resultados!$A$1:$B$49,2,FALSE)</f>
        <v>Prisión Preventiva</v>
      </c>
      <c r="S437" s="15">
        <v>0.3444444444444445</v>
      </c>
      <c r="T437" s="258" t="str">
        <f t="shared" si="27"/>
        <v>NO</v>
      </c>
      <c r="U437" s="258"/>
      <c r="V437" s="156"/>
      <c r="W437" s="15">
        <v>0.3576388888888889</v>
      </c>
      <c r="X437" s="7" t="s">
        <v>2169</v>
      </c>
      <c r="Y437" s="7"/>
      <c r="Z437" s="124" t="s">
        <v>1042</v>
      </c>
      <c r="AA437" s="285" t="s">
        <v>1171</v>
      </c>
      <c r="AB437" s="124" t="s">
        <v>1173</v>
      </c>
      <c r="AC437" s="375"/>
    </row>
    <row r="438" spans="1:29" ht="39.950000000000003" hidden="1" customHeight="1">
      <c r="A438" s="67">
        <v>440</v>
      </c>
      <c r="B438" s="69">
        <v>45135</v>
      </c>
      <c r="C438" s="74">
        <v>0.48888888888888887</v>
      </c>
      <c r="D438" s="67" t="s">
        <v>2037</v>
      </c>
      <c r="E438" s="68" t="s">
        <v>2038</v>
      </c>
      <c r="F438" s="67">
        <v>5</v>
      </c>
      <c r="G438" s="67" t="s">
        <v>43</v>
      </c>
      <c r="H438" s="69">
        <v>45145</v>
      </c>
      <c r="I438" s="69" t="s">
        <v>73</v>
      </c>
      <c r="J438" s="69" t="s">
        <v>1220</v>
      </c>
      <c r="K438" s="67">
        <f>IFERROR(VLOOKUP(J438,Jueces!$A$1:$B$11,2,FALSE),"")</f>
        <v>1</v>
      </c>
      <c r="L438" s="67" t="s">
        <v>813</v>
      </c>
      <c r="M438" s="67" t="s">
        <v>1966</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4" t="s">
        <v>748</v>
      </c>
      <c r="AA438" s="124" t="s">
        <v>743</v>
      </c>
      <c r="AB438" s="124" t="s">
        <v>1175</v>
      </c>
      <c r="AC438" s="375"/>
    </row>
    <row r="439" spans="1:29" ht="39.950000000000003" hidden="1" customHeight="1">
      <c r="A439" s="67">
        <v>441</v>
      </c>
      <c r="B439" s="69">
        <v>45138</v>
      </c>
      <c r="C439" s="74">
        <v>0.33333333333333331</v>
      </c>
      <c r="D439" s="67" t="s">
        <v>2053</v>
      </c>
      <c r="E439" s="68" t="s">
        <v>2054</v>
      </c>
      <c r="F439" s="67">
        <v>5</v>
      </c>
      <c r="G439" s="67" t="s">
        <v>568</v>
      </c>
      <c r="H439" s="69">
        <v>45145</v>
      </c>
      <c r="I439" s="69" t="s">
        <v>73</v>
      </c>
      <c r="J439" s="69" t="s">
        <v>1222</v>
      </c>
      <c r="K439" s="67" t="s">
        <v>1326</v>
      </c>
      <c r="L439" s="67" t="s">
        <v>812</v>
      </c>
      <c r="M439" s="67" t="s">
        <v>1876</v>
      </c>
      <c r="N439" s="67" t="s">
        <v>2166</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2168</v>
      </c>
      <c r="Y439" s="67"/>
      <c r="Z439" s="124" t="s">
        <v>743</v>
      </c>
      <c r="AA439" s="124" t="s">
        <v>1169</v>
      </c>
      <c r="AB439" s="124" t="s">
        <v>1177</v>
      </c>
      <c r="AC439" s="375"/>
    </row>
    <row r="440" spans="1:29" ht="39.950000000000003" hidden="1" customHeight="1">
      <c r="A440" s="67">
        <v>445</v>
      </c>
      <c r="B440" s="69">
        <v>45139</v>
      </c>
      <c r="C440" s="74">
        <v>0.39097222222222222</v>
      </c>
      <c r="D440" s="67" t="s">
        <v>2079</v>
      </c>
      <c r="E440" s="68" t="s">
        <v>2080</v>
      </c>
      <c r="F440" s="67">
        <v>5</v>
      </c>
      <c r="G440" s="67" t="s">
        <v>283</v>
      </c>
      <c r="H440" s="69">
        <v>45145</v>
      </c>
      <c r="I440" s="69" t="s">
        <v>73</v>
      </c>
      <c r="J440" s="69" t="s">
        <v>31</v>
      </c>
      <c r="K440" s="67">
        <f>IFERROR(VLOOKUP(J440,Jueces!$A$1:$B$11,2,FALSE),"")</f>
        <v>2</v>
      </c>
      <c r="L440" s="67" t="s">
        <v>807</v>
      </c>
      <c r="M440" s="67" t="s">
        <v>2081</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2172</v>
      </c>
      <c r="Y440" s="7"/>
      <c r="Z440" s="124" t="s">
        <v>770</v>
      </c>
      <c r="AA440" s="285" t="s">
        <v>1171</v>
      </c>
      <c r="AB440" s="124" t="s">
        <v>1176</v>
      </c>
      <c r="AC440" s="375"/>
    </row>
    <row r="441" spans="1:29" ht="39.950000000000003" hidden="1" customHeight="1">
      <c r="A441" s="67">
        <v>446</v>
      </c>
      <c r="B441" s="69">
        <v>45139</v>
      </c>
      <c r="C441" s="74">
        <v>0.43472222222222223</v>
      </c>
      <c r="D441" s="67" t="s">
        <v>2085</v>
      </c>
      <c r="E441" s="68" t="s">
        <v>2102</v>
      </c>
      <c r="F441" s="67">
        <v>5</v>
      </c>
      <c r="G441" s="67" t="s">
        <v>1441</v>
      </c>
      <c r="H441" s="69">
        <v>45145</v>
      </c>
      <c r="I441" s="69" t="s">
        <v>73</v>
      </c>
      <c r="J441" s="69" t="s">
        <v>78</v>
      </c>
      <c r="K441" s="67">
        <f>IFERROR(VLOOKUP(J441,Jueces!$A$1:$B$11,2,FALSE),"")</f>
        <v>8</v>
      </c>
      <c r="L441" s="67" t="s">
        <v>798</v>
      </c>
      <c r="M441" s="67" t="s">
        <v>2098</v>
      </c>
      <c r="N441" s="67" t="s">
        <v>2170</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2171</v>
      </c>
      <c r="Y441" s="156"/>
      <c r="Z441" s="124" t="s">
        <v>1041</v>
      </c>
      <c r="AA441" s="124" t="s">
        <v>1169</v>
      </c>
      <c r="AB441" s="124" t="s">
        <v>1173</v>
      </c>
      <c r="AC441" s="375"/>
    </row>
    <row r="442" spans="1:29" ht="25.5" hidden="1">
      <c r="A442" s="67">
        <v>443</v>
      </c>
      <c r="B442" s="69">
        <v>45138</v>
      </c>
      <c r="C442" s="74">
        <v>0.53055555555555556</v>
      </c>
      <c r="D442" s="67" t="s">
        <v>2068</v>
      </c>
      <c r="E442" s="68" t="s">
        <v>2069</v>
      </c>
      <c r="F442" s="67">
        <v>2</v>
      </c>
      <c r="G442" s="67" t="s">
        <v>32</v>
      </c>
      <c r="H442" s="69">
        <v>45145</v>
      </c>
      <c r="I442" s="69" t="s">
        <v>1086</v>
      </c>
      <c r="J442" s="69" t="s">
        <v>35</v>
      </c>
      <c r="K442" s="67">
        <v>1</v>
      </c>
      <c r="L442" s="67" t="s">
        <v>807</v>
      </c>
      <c r="M442" s="67" t="s">
        <v>1966</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4" t="s">
        <v>1042</v>
      </c>
      <c r="AA442" s="124" t="s">
        <v>743</v>
      </c>
      <c r="AB442" s="124" t="s">
        <v>1174</v>
      </c>
      <c r="AC442" s="375"/>
    </row>
    <row r="443" spans="1:29" ht="39.950000000000003" hidden="1" customHeight="1">
      <c r="A443" s="67">
        <v>371</v>
      </c>
      <c r="B443" s="69">
        <v>45114</v>
      </c>
      <c r="C443" s="74">
        <v>0.49444444444444446</v>
      </c>
      <c r="D443" s="67" t="s">
        <v>1701</v>
      </c>
      <c r="E443" s="68" t="s">
        <v>2195</v>
      </c>
      <c r="F443" s="67">
        <v>3</v>
      </c>
      <c r="G443" s="67" t="s">
        <v>1441</v>
      </c>
      <c r="H443" s="69">
        <v>45145</v>
      </c>
      <c r="I443" s="69" t="s">
        <v>2021</v>
      </c>
      <c r="J443" s="69" t="s">
        <v>35</v>
      </c>
      <c r="K443" s="67" t="s">
        <v>1520</v>
      </c>
      <c r="L443" s="67" t="s">
        <v>1702</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2184</v>
      </c>
      <c r="Y443" s="67"/>
      <c r="Z443" s="124" t="s">
        <v>748</v>
      </c>
      <c r="AA443" s="124" t="s">
        <v>1171</v>
      </c>
      <c r="AB443" s="124" t="s">
        <v>1175</v>
      </c>
      <c r="AC443" s="375"/>
    </row>
    <row r="444" spans="1:29" ht="39.950000000000003" hidden="1" customHeight="1">
      <c r="A444" s="67">
        <v>444</v>
      </c>
      <c r="B444" s="69">
        <v>45138</v>
      </c>
      <c r="C444" s="74">
        <v>0.47152777777777777</v>
      </c>
      <c r="D444" s="67" t="s">
        <v>2071</v>
      </c>
      <c r="E444" s="68" t="s">
        <v>2070</v>
      </c>
      <c r="F444" s="67">
        <v>5</v>
      </c>
      <c r="G444" s="67" t="s">
        <v>32</v>
      </c>
      <c r="H444" s="69">
        <v>45146</v>
      </c>
      <c r="I444" s="69" t="s">
        <v>73</v>
      </c>
      <c r="J444" s="69" t="s">
        <v>1223</v>
      </c>
      <c r="K444" s="67" t="s">
        <v>1326</v>
      </c>
      <c r="L444" s="67" t="s">
        <v>811</v>
      </c>
      <c r="M444" s="67" t="s">
        <v>1876</v>
      </c>
      <c r="N444" s="67" t="s">
        <v>2196</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2157</v>
      </c>
      <c r="Y444" s="67"/>
      <c r="Z444" s="124" t="s">
        <v>743</v>
      </c>
      <c r="AA444" s="124" t="s">
        <v>743</v>
      </c>
      <c r="AB444" s="124" t="s">
        <v>1177</v>
      </c>
      <c r="AC444" s="375"/>
    </row>
    <row r="445" spans="1:29" ht="39.950000000000003" hidden="1" customHeight="1">
      <c r="A445" s="67">
        <v>448</v>
      </c>
      <c r="B445" s="69">
        <v>45139</v>
      </c>
      <c r="C445" s="74">
        <v>0.49861111111111112</v>
      </c>
      <c r="D445" s="67" t="s">
        <v>2100</v>
      </c>
      <c r="E445" s="68" t="s">
        <v>2101</v>
      </c>
      <c r="F445" s="67">
        <v>5</v>
      </c>
      <c r="G445" s="67" t="s">
        <v>43</v>
      </c>
      <c r="H445" s="69">
        <v>45146</v>
      </c>
      <c r="I445" s="69" t="s">
        <v>73</v>
      </c>
      <c r="J445" s="69" t="s">
        <v>1220</v>
      </c>
      <c r="K445" s="67" t="s">
        <v>1520</v>
      </c>
      <c r="L445" s="67" t="s">
        <v>809</v>
      </c>
      <c r="M445" s="67" t="s">
        <v>1966</v>
      </c>
      <c r="N445" s="67" t="s">
        <v>2199</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4" t="s">
        <v>770</v>
      </c>
      <c r="AA445" s="124" t="s">
        <v>1171</v>
      </c>
      <c r="AB445" s="124" t="s">
        <v>1176</v>
      </c>
      <c r="AC445" s="375"/>
    </row>
    <row r="446" spans="1:29" ht="39.950000000000003" hidden="1" customHeight="1">
      <c r="A446" s="67">
        <v>449</v>
      </c>
      <c r="B446" s="69">
        <v>45139</v>
      </c>
      <c r="C446" s="74">
        <v>0.50347222222222221</v>
      </c>
      <c r="D446" s="67" t="s">
        <v>2107</v>
      </c>
      <c r="E446" s="68" t="s">
        <v>2103</v>
      </c>
      <c r="F446" s="67">
        <v>7</v>
      </c>
      <c r="G446" s="67" t="s">
        <v>1442</v>
      </c>
      <c r="H446" s="69">
        <v>45146</v>
      </c>
      <c r="I446" s="69" t="s">
        <v>73</v>
      </c>
      <c r="J446" s="69" t="s">
        <v>78</v>
      </c>
      <c r="K446" s="67">
        <f>IFERROR(VLOOKUP(J446,Jueces!$A$1:$B$11,2,FALSE),"")</f>
        <v>8</v>
      </c>
      <c r="L446" s="67" t="s">
        <v>1306</v>
      </c>
      <c r="M446" s="67" t="s">
        <v>2104</v>
      </c>
      <c r="N446" s="67" t="s">
        <v>2197</v>
      </c>
      <c r="O446" s="67" t="str">
        <f t="shared" ca="1" si="26"/>
        <v>SI</v>
      </c>
      <c r="P446" s="67" t="str">
        <f t="shared" si="25"/>
        <v>DIANOSOL</v>
      </c>
      <c r="Q446" s="67" t="s">
        <v>904</v>
      </c>
      <c r="R446" s="67" t="str">
        <f>VLOOKUP($Q446,Resultados!$A$1:$B$49,2,FALSE)</f>
        <v>Juicio Abreviado</v>
      </c>
      <c r="S446" s="74">
        <v>0.36319444444444443</v>
      </c>
      <c r="T446" s="77" t="str">
        <f t="shared" si="27"/>
        <v>SI</v>
      </c>
      <c r="U446" s="77"/>
      <c r="V446" s="67"/>
      <c r="W446" s="74">
        <v>0.38055555555555554</v>
      </c>
      <c r="X446" s="67" t="s">
        <v>2198</v>
      </c>
      <c r="Y446" s="67"/>
      <c r="Z446" s="124" t="s">
        <v>1041</v>
      </c>
      <c r="AA446" s="124" t="s">
        <v>1169</v>
      </c>
      <c r="AB446" s="124" t="s">
        <v>1173</v>
      </c>
      <c r="AC446" s="375"/>
    </row>
    <row r="447" spans="1:29" ht="39.950000000000003" hidden="1" customHeight="1">
      <c r="A447" s="67">
        <v>450</v>
      </c>
      <c r="B447" s="69">
        <v>45139</v>
      </c>
      <c r="C447" s="74">
        <v>0.51180555555555551</v>
      </c>
      <c r="D447" s="67" t="s">
        <v>2105</v>
      </c>
      <c r="E447" s="68" t="s">
        <v>2106</v>
      </c>
      <c r="F447" s="67">
        <v>5</v>
      </c>
      <c r="G447" s="67" t="s">
        <v>1443</v>
      </c>
      <c r="H447" s="69">
        <v>45146</v>
      </c>
      <c r="I447" s="69" t="s">
        <v>73</v>
      </c>
      <c r="J447" s="69" t="s">
        <v>1221</v>
      </c>
      <c r="K447" s="67">
        <f>IFERROR(VLOOKUP(J447,Jueces!$A$1:$B$11,2,FALSE),"")</f>
        <v>7</v>
      </c>
      <c r="L447" s="67" t="s">
        <v>813</v>
      </c>
      <c r="M447" s="67" t="s">
        <v>2126</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2205</v>
      </c>
      <c r="Y447" s="67"/>
      <c r="Z447" s="124" t="s">
        <v>1042</v>
      </c>
      <c r="AA447" s="124" t="s">
        <v>743</v>
      </c>
      <c r="AB447" s="124" t="s">
        <v>1174</v>
      </c>
      <c r="AC447" s="375"/>
    </row>
    <row r="448" spans="1:29" ht="39.950000000000003" hidden="1" customHeight="1">
      <c r="A448" s="67">
        <v>458</v>
      </c>
      <c r="B448" s="69">
        <v>45141</v>
      </c>
      <c r="C448" s="67" t="s">
        <v>1562</v>
      </c>
      <c r="D448" s="67" t="s">
        <v>2066</v>
      </c>
      <c r="E448" s="68" t="s">
        <v>2138</v>
      </c>
      <c r="F448" s="67">
        <v>4</v>
      </c>
      <c r="G448" s="67" t="s">
        <v>568</v>
      </c>
      <c r="H448" s="69">
        <v>45146</v>
      </c>
      <c r="I448" s="69" t="s">
        <v>73</v>
      </c>
      <c r="J448" s="69" t="s">
        <v>33</v>
      </c>
      <c r="K448" s="67">
        <f>IFERROR(VLOOKUP(J448,Jueces!$A$1:$B$11,2,FALSE),"")</f>
        <v>4</v>
      </c>
      <c r="L448" s="67" t="s">
        <v>802</v>
      </c>
      <c r="M448" s="67" t="s">
        <v>1839</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4" t="s">
        <v>748</v>
      </c>
      <c r="AA448" s="124" t="s">
        <v>1169</v>
      </c>
      <c r="AB448" s="124" t="s">
        <v>1175</v>
      </c>
      <c r="AC448" s="375"/>
    </row>
    <row r="449" spans="1:29" ht="39.950000000000003" hidden="1" customHeight="1">
      <c r="A449" s="67">
        <v>418</v>
      </c>
      <c r="B449" s="69">
        <v>45131</v>
      </c>
      <c r="C449" s="74">
        <v>0.50208333333333333</v>
      </c>
      <c r="D449" s="67" t="s">
        <v>1936</v>
      </c>
      <c r="E449" s="68" t="s">
        <v>2223</v>
      </c>
      <c r="F449" s="67">
        <v>4</v>
      </c>
      <c r="G449" s="67" t="s">
        <v>1441</v>
      </c>
      <c r="H449" s="69">
        <v>45146</v>
      </c>
      <c r="I449" s="69" t="s">
        <v>1086</v>
      </c>
      <c r="J449" s="69" t="s">
        <v>1221</v>
      </c>
      <c r="K449" s="67">
        <f>IFERROR(VLOOKUP(J449,Jueces!$A$1:$B$11,2,FALSE),"")</f>
        <v>7</v>
      </c>
      <c r="L449" s="67" t="s">
        <v>796</v>
      </c>
      <c r="M449" s="67" t="s">
        <v>1998</v>
      </c>
      <c r="N449" s="67" t="s">
        <v>2206</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2207</v>
      </c>
      <c r="Y449" s="67"/>
      <c r="Z449" s="124" t="s">
        <v>743</v>
      </c>
      <c r="AA449" s="124" t="s">
        <v>1169</v>
      </c>
      <c r="AB449" s="124" t="s">
        <v>1177</v>
      </c>
      <c r="AC449" s="375"/>
    </row>
    <row r="450" spans="1:29" ht="39.950000000000003" hidden="1" customHeight="1">
      <c r="A450" s="67">
        <v>387</v>
      </c>
      <c r="B450" s="69">
        <v>45120</v>
      </c>
      <c r="C450" s="74">
        <v>0.5</v>
      </c>
      <c r="D450" s="67" t="s">
        <v>1815</v>
      </c>
      <c r="E450" s="68" t="s">
        <v>1820</v>
      </c>
      <c r="F450" s="67">
        <v>4</v>
      </c>
      <c r="G450" s="67" t="s">
        <v>283</v>
      </c>
      <c r="H450" s="69">
        <v>45147</v>
      </c>
      <c r="I450" s="69" t="s">
        <v>73</v>
      </c>
      <c r="J450" s="69" t="s">
        <v>33</v>
      </c>
      <c r="K450" s="67">
        <v>4</v>
      </c>
      <c r="L450" s="67" t="s">
        <v>803</v>
      </c>
      <c r="M450" s="67" t="s">
        <v>1839</v>
      </c>
      <c r="N450" s="67" t="s">
        <v>2245</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4" t="s">
        <v>770</v>
      </c>
      <c r="AA450" s="124" t="s">
        <v>1171</v>
      </c>
      <c r="AB450" s="124" t="s">
        <v>1176</v>
      </c>
      <c r="AC450" s="375"/>
    </row>
    <row r="451" spans="1:29" ht="39.950000000000003" hidden="1" customHeight="1">
      <c r="A451" s="67">
        <v>442</v>
      </c>
      <c r="B451" s="69">
        <v>45138</v>
      </c>
      <c r="C451" s="74">
        <v>0.40486111111111112</v>
      </c>
      <c r="D451" s="217" t="s">
        <v>2055</v>
      </c>
      <c r="E451" s="68" t="s">
        <v>2099</v>
      </c>
      <c r="F451" s="67">
        <v>1</v>
      </c>
      <c r="G451" s="67" t="s">
        <v>43</v>
      </c>
      <c r="H451" s="69">
        <v>45147</v>
      </c>
      <c r="I451" s="69" t="s">
        <v>73</v>
      </c>
      <c r="J451" s="69" t="s">
        <v>1220</v>
      </c>
      <c r="K451" s="67">
        <f>IFERROR(VLOOKUP(J451,Jueces!$A$1:$B$11,2,FALSE),"")</f>
        <v>1</v>
      </c>
      <c r="L451" s="67" t="s">
        <v>791</v>
      </c>
      <c r="M451" s="67" t="s">
        <v>694</v>
      </c>
      <c r="N451" s="67" t="s">
        <v>2243</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4" t="s">
        <v>1041</v>
      </c>
      <c r="AA451" s="124" t="s">
        <v>743</v>
      </c>
      <c r="AB451" s="124" t="s">
        <v>1174</v>
      </c>
      <c r="AC451" s="375"/>
    </row>
    <row r="452" spans="1:29" ht="39.950000000000003" hidden="1" customHeight="1">
      <c r="A452" s="67">
        <v>451</v>
      </c>
      <c r="B452" s="69">
        <v>45140</v>
      </c>
      <c r="C452" s="74">
        <v>0.35416666666666669</v>
      </c>
      <c r="D452" s="67" t="s">
        <v>2114</v>
      </c>
      <c r="E452" s="68" t="s">
        <v>2310</v>
      </c>
      <c r="F452" s="67">
        <v>5</v>
      </c>
      <c r="G452" s="67" t="s">
        <v>32</v>
      </c>
      <c r="H452" s="69">
        <v>45147</v>
      </c>
      <c r="I452" s="69" t="s">
        <v>73</v>
      </c>
      <c r="J452" s="69" t="s">
        <v>35</v>
      </c>
      <c r="K452" s="67">
        <v>3</v>
      </c>
      <c r="L452" s="67" t="s">
        <v>809</v>
      </c>
      <c r="M452" s="67" t="s">
        <v>1966</v>
      </c>
      <c r="N452" s="67" t="s">
        <v>2421</v>
      </c>
      <c r="O452" s="67" t="str">
        <f t="shared" ca="1" si="26"/>
        <v>SI</v>
      </c>
      <c r="P452" s="67" t="str">
        <f t="shared" si="28"/>
        <v>DIANOSOL</v>
      </c>
      <c r="Q452" s="67" t="s">
        <v>911</v>
      </c>
      <c r="R452" s="67" t="str">
        <f>VLOOKUP($Q452,Resultados!$A$1:$B$49,2,FALSE)</f>
        <v>Suspendida</v>
      </c>
      <c r="S452" s="67" t="s">
        <v>2422</v>
      </c>
      <c r="T452" s="77" t="str">
        <f t="shared" si="27"/>
        <v>NO</v>
      </c>
      <c r="U452" s="77"/>
      <c r="V452" s="67"/>
      <c r="W452" s="67" t="s">
        <v>1391</v>
      </c>
      <c r="X452" s="176" t="s">
        <v>2423</v>
      </c>
      <c r="Y452" s="67"/>
      <c r="Z452" s="124" t="s">
        <v>1042</v>
      </c>
      <c r="AA452" s="124" t="s">
        <v>1169</v>
      </c>
      <c r="AB452" s="124" t="s">
        <v>1173</v>
      </c>
      <c r="AC452" s="375"/>
    </row>
    <row r="453" spans="1:29" ht="39.950000000000003" hidden="1" customHeight="1">
      <c r="A453" s="67">
        <v>455</v>
      </c>
      <c r="B453" s="69">
        <v>45141</v>
      </c>
      <c r="C453" s="74">
        <v>0.33333333333333331</v>
      </c>
      <c r="D453" s="67" t="s">
        <v>1109</v>
      </c>
      <c r="E453" s="68" t="s">
        <v>2134</v>
      </c>
      <c r="F453" s="67">
        <v>2</v>
      </c>
      <c r="G453" s="67" t="s">
        <v>1443</v>
      </c>
      <c r="H453" s="69">
        <v>45147</v>
      </c>
      <c r="I453" s="69" t="s">
        <v>73</v>
      </c>
      <c r="J453" s="69" t="s">
        <v>31</v>
      </c>
      <c r="K453" s="67">
        <v>8</v>
      </c>
      <c r="L453" s="67" t="s">
        <v>811</v>
      </c>
      <c r="M453" s="67" t="s">
        <v>711</v>
      </c>
      <c r="N453" s="67" t="s">
        <v>2247</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1130</v>
      </c>
      <c r="X453" s="67"/>
      <c r="Y453" s="67"/>
      <c r="Z453" s="124" t="s">
        <v>748</v>
      </c>
      <c r="AA453" s="124" t="s">
        <v>1171</v>
      </c>
      <c r="AB453" s="124" t="s">
        <v>1175</v>
      </c>
      <c r="AC453" s="375"/>
    </row>
    <row r="454" spans="1:29" ht="39.950000000000003" hidden="1" customHeight="1">
      <c r="A454" s="67">
        <v>453</v>
      </c>
      <c r="B454" s="69">
        <v>45140</v>
      </c>
      <c r="C454" s="74">
        <v>0.52222222222222225</v>
      </c>
      <c r="D454" s="67" t="s">
        <v>2124</v>
      </c>
      <c r="E454" s="68" t="s">
        <v>2125</v>
      </c>
      <c r="F454" s="67">
        <v>5</v>
      </c>
      <c r="G454" s="67" t="s">
        <v>1442</v>
      </c>
      <c r="H454" s="69">
        <v>45147</v>
      </c>
      <c r="I454" s="69" t="s">
        <v>1086</v>
      </c>
      <c r="J454" s="69" t="s">
        <v>1224</v>
      </c>
      <c r="K454" s="67" t="s">
        <v>1346</v>
      </c>
      <c r="L454" s="67" t="s">
        <v>807</v>
      </c>
      <c r="M454" s="67" t="s">
        <v>2143</v>
      </c>
      <c r="N454" s="67" t="s">
        <v>2241</v>
      </c>
      <c r="O454" s="67" t="str">
        <f t="shared" ca="1" si="26"/>
        <v>SI</v>
      </c>
      <c r="P454" s="67" t="str">
        <f t="shared" si="28"/>
        <v>DIANOSOL</v>
      </c>
      <c r="Q454" s="67" t="s">
        <v>904</v>
      </c>
      <c r="R454" s="67" t="str">
        <f>VLOOKUP($Q454,Resultados!$A$1:$B$49,2,FALSE)</f>
        <v>Juicio Abreviado</v>
      </c>
      <c r="S454" s="74">
        <v>0.3840277777777778</v>
      </c>
      <c r="T454" s="77" t="str">
        <f t="shared" si="27"/>
        <v>SI</v>
      </c>
      <c r="U454" s="77"/>
      <c r="V454" s="67"/>
      <c r="W454" s="74">
        <v>0.3979166666666667</v>
      </c>
      <c r="X454" s="67" t="s">
        <v>2242</v>
      </c>
      <c r="Y454" s="67"/>
      <c r="Z454" s="124" t="s">
        <v>743</v>
      </c>
      <c r="AA454" s="124" t="s">
        <v>1171</v>
      </c>
      <c r="AB454" s="124" t="s">
        <v>1177</v>
      </c>
      <c r="AC454" s="375"/>
    </row>
    <row r="455" spans="1:29" ht="39.950000000000003" hidden="1" customHeight="1">
      <c r="A455" s="67">
        <v>456</v>
      </c>
      <c r="B455" s="69">
        <v>45141</v>
      </c>
      <c r="C455" s="74">
        <v>0.44375000000000003</v>
      </c>
      <c r="D455" s="67" t="s">
        <v>2136</v>
      </c>
      <c r="E455" s="68" t="s">
        <v>2137</v>
      </c>
      <c r="F455" s="67">
        <v>6</v>
      </c>
      <c r="G455" s="67" t="s">
        <v>29</v>
      </c>
      <c r="H455" s="69">
        <v>45147</v>
      </c>
      <c r="I455" s="69" t="s">
        <v>1210</v>
      </c>
      <c r="J455" s="69" t="s">
        <v>1224</v>
      </c>
      <c r="K455" s="67">
        <v>2</v>
      </c>
      <c r="L455" s="67" t="s">
        <v>807</v>
      </c>
      <c r="M455" s="67" t="s">
        <v>2126</v>
      </c>
      <c r="N455" s="67" t="s">
        <v>2244</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4" t="s">
        <v>770</v>
      </c>
      <c r="AA455" s="124" t="s">
        <v>1169</v>
      </c>
      <c r="AB455" s="124" t="s">
        <v>1176</v>
      </c>
      <c r="AC455" s="375"/>
    </row>
    <row r="456" spans="1:29" ht="25.5" hidden="1">
      <c r="A456" s="67">
        <v>452</v>
      </c>
      <c r="B456" s="69">
        <v>45140</v>
      </c>
      <c r="C456" s="74">
        <v>0.34861111111111115</v>
      </c>
      <c r="D456" s="67" t="s">
        <v>2115</v>
      </c>
      <c r="E456" s="68" t="s">
        <v>2248</v>
      </c>
      <c r="F456" s="67">
        <v>5</v>
      </c>
      <c r="G456" s="67" t="s">
        <v>1443</v>
      </c>
      <c r="H456" s="69">
        <v>45148</v>
      </c>
      <c r="I456" s="69" t="s">
        <v>73</v>
      </c>
      <c r="J456" s="69" t="s">
        <v>31</v>
      </c>
      <c r="K456" s="67">
        <f>IFERROR(VLOOKUP(J456,Jueces!$A$1:$B$11,2,FALSE),"")</f>
        <v>2</v>
      </c>
      <c r="L456" s="67" t="s">
        <v>809</v>
      </c>
      <c r="M456" s="67" t="s">
        <v>2255</v>
      </c>
      <c r="N456" s="67" t="s">
        <v>2253</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2254</v>
      </c>
      <c r="Y456" s="67"/>
      <c r="Z456" s="124" t="s">
        <v>1041</v>
      </c>
      <c r="AA456" s="124" t="s">
        <v>1169</v>
      </c>
      <c r="AB456" s="124" t="s">
        <v>1174</v>
      </c>
      <c r="AC456" s="375"/>
    </row>
    <row r="457" spans="1:29" ht="39.950000000000003" hidden="1" customHeight="1">
      <c r="A457" s="67">
        <v>457</v>
      </c>
      <c r="B457" s="69">
        <v>45142</v>
      </c>
      <c r="C457" s="74">
        <v>0.4284722222222222</v>
      </c>
      <c r="D457" s="67" t="s">
        <v>2158</v>
      </c>
      <c r="E457" s="68" t="s">
        <v>2249</v>
      </c>
      <c r="F457" s="67">
        <v>7</v>
      </c>
      <c r="G457" s="67" t="s">
        <v>1441</v>
      </c>
      <c r="H457" s="69">
        <v>45148</v>
      </c>
      <c r="I457" s="69" t="s">
        <v>73</v>
      </c>
      <c r="J457" s="69" t="s">
        <v>35</v>
      </c>
      <c r="K457" s="67">
        <f>IFERROR(VLOOKUP(J457,Jueces!$A$1:$B$11,2,FALSE),"")</f>
        <v>3</v>
      </c>
      <c r="L457" s="67" t="s">
        <v>807</v>
      </c>
      <c r="M457" s="67" t="s">
        <v>2049</v>
      </c>
      <c r="N457" s="67" t="s">
        <v>2262</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1538</v>
      </c>
      <c r="X457" s="67"/>
      <c r="Y457" s="67"/>
      <c r="Z457" s="124" t="s">
        <v>748</v>
      </c>
      <c r="AA457" s="124" t="s">
        <v>1171</v>
      </c>
      <c r="AB457" s="124" t="s">
        <v>1175</v>
      </c>
      <c r="AC457" s="375"/>
    </row>
    <row r="458" spans="1:29" ht="39.950000000000003" hidden="1" customHeight="1">
      <c r="A458" s="67">
        <v>467</v>
      </c>
      <c r="B458" s="69">
        <v>45145</v>
      </c>
      <c r="C458" s="74">
        <v>0.41805555555555557</v>
      </c>
      <c r="D458" s="67" t="s">
        <v>2179</v>
      </c>
      <c r="E458" s="68" t="s">
        <v>2250</v>
      </c>
      <c r="F458" s="67">
        <v>5</v>
      </c>
      <c r="G458" s="67" t="s">
        <v>29</v>
      </c>
      <c r="H458" s="69">
        <v>45148</v>
      </c>
      <c r="I458" s="69" t="s">
        <v>73</v>
      </c>
      <c r="J458" s="69" t="s">
        <v>1222</v>
      </c>
      <c r="K458" s="67" t="s">
        <v>2183</v>
      </c>
      <c r="L458" s="67" t="s">
        <v>812</v>
      </c>
      <c r="M458" s="67" t="s">
        <v>1966</v>
      </c>
      <c r="N458" s="67" t="s">
        <v>2256</v>
      </c>
      <c r="O458" s="67" t="str">
        <f t="shared" ca="1" si="26"/>
        <v>SI</v>
      </c>
      <c r="P458" s="67" t="str">
        <f t="shared" si="28"/>
        <v>DIANOSOL</v>
      </c>
      <c r="Q458" s="67" t="s">
        <v>909</v>
      </c>
      <c r="R458" s="67" t="str">
        <f>VLOOKUP($Q458,Resultados!$A$1:$B$49,2,FALSE)</f>
        <v>Suspensión de juicio a prueba</v>
      </c>
      <c r="S458" s="67" t="s">
        <v>2257</v>
      </c>
      <c r="T458" s="77" t="str">
        <f t="shared" si="27"/>
        <v>NO</v>
      </c>
      <c r="U458" s="77"/>
      <c r="V458" s="67"/>
      <c r="W458" s="67" t="s">
        <v>1587</v>
      </c>
      <c r="X458" s="67" t="s">
        <v>2156</v>
      </c>
      <c r="Y458" s="67"/>
      <c r="Z458" s="124" t="s">
        <v>743</v>
      </c>
      <c r="AA458" s="124" t="s">
        <v>1169</v>
      </c>
      <c r="AB458" s="124" t="s">
        <v>1177</v>
      </c>
      <c r="AC458" s="375"/>
    </row>
    <row r="459" spans="1:29" ht="39.950000000000003" hidden="1" customHeight="1">
      <c r="A459" s="67">
        <v>465</v>
      </c>
      <c r="B459" s="69">
        <v>45145</v>
      </c>
      <c r="C459" s="74">
        <v>0.50069444444444444</v>
      </c>
      <c r="D459" s="67" t="s">
        <v>2175</v>
      </c>
      <c r="E459" s="68" t="s">
        <v>2251</v>
      </c>
      <c r="F459" s="67">
        <v>5</v>
      </c>
      <c r="G459" s="67" t="s">
        <v>1442</v>
      </c>
      <c r="H459" s="69">
        <v>45148</v>
      </c>
      <c r="I459" s="74" t="s">
        <v>1086</v>
      </c>
      <c r="J459" s="69" t="s">
        <v>1220</v>
      </c>
      <c r="K459" s="67">
        <f>IFERROR(VLOOKUP(J459,Jueces!$A$1:$B$11,2,FALSE),"")</f>
        <v>1</v>
      </c>
      <c r="L459" s="67" t="s">
        <v>813</v>
      </c>
      <c r="M459" s="67" t="s">
        <v>2261</v>
      </c>
      <c r="N459" s="67" t="s">
        <v>1753</v>
      </c>
      <c r="O459" s="67" t="str">
        <f t="shared" ca="1" si="26"/>
        <v>SI</v>
      </c>
      <c r="P459" s="67" t="str">
        <f t="shared" si="28"/>
        <v>DIANOSOL</v>
      </c>
      <c r="Q459" s="67" t="s">
        <v>151</v>
      </c>
      <c r="R459" s="67" t="str">
        <f>VLOOKUP($Q459,Resultados!$A$1:$B$49,2,FALSE)</f>
        <v>Prisión Preventiva</v>
      </c>
      <c r="S459" s="74">
        <v>0.39861111111111108</v>
      </c>
      <c r="T459" s="77" t="str">
        <f t="shared" si="27"/>
        <v>SI</v>
      </c>
      <c r="U459" s="77"/>
      <c r="V459" s="67"/>
      <c r="W459" s="74">
        <v>0.40763888888888888</v>
      </c>
      <c r="X459" s="67"/>
      <c r="Y459" s="67"/>
      <c r="Z459" s="124" t="s">
        <v>770</v>
      </c>
      <c r="AA459" s="124" t="s">
        <v>1171</v>
      </c>
      <c r="AB459" s="124" t="s">
        <v>1176</v>
      </c>
      <c r="AC459" s="375"/>
    </row>
    <row r="460" spans="1:29" ht="39.950000000000003" hidden="1" customHeight="1">
      <c r="A460" s="67">
        <v>447</v>
      </c>
      <c r="B460" s="69">
        <v>45139</v>
      </c>
      <c r="C460" s="74">
        <v>0.43888888888888888</v>
      </c>
      <c r="D460" s="67" t="s">
        <v>2087</v>
      </c>
      <c r="E460" s="68" t="s">
        <v>2088</v>
      </c>
      <c r="F460" s="67">
        <v>4</v>
      </c>
      <c r="G460" s="67" t="s">
        <v>568</v>
      </c>
      <c r="H460" s="69">
        <v>45149</v>
      </c>
      <c r="I460" s="69" t="s">
        <v>73</v>
      </c>
      <c r="J460" s="69" t="s">
        <v>35</v>
      </c>
      <c r="K460" s="67">
        <f>IFERROR(VLOOKUP(J460,Jueces!$A$1:$B$11,2,FALSE),"")</f>
        <v>3</v>
      </c>
      <c r="L460" s="67" t="s">
        <v>801</v>
      </c>
      <c r="M460" s="67" t="s">
        <v>1876</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4" t="s">
        <v>1041</v>
      </c>
      <c r="AA460" s="124" t="s">
        <v>1169</v>
      </c>
      <c r="AB460" s="124" t="s">
        <v>1175</v>
      </c>
      <c r="AC460" s="375"/>
    </row>
    <row r="461" spans="1:29" ht="39.950000000000003" hidden="1" customHeight="1">
      <c r="A461" s="67">
        <v>459</v>
      </c>
      <c r="B461" s="69">
        <v>45142</v>
      </c>
      <c r="C461" s="74">
        <v>0.53611111111111109</v>
      </c>
      <c r="D461" s="67" t="s">
        <v>2159</v>
      </c>
      <c r="E461" s="68" t="s">
        <v>2240</v>
      </c>
      <c r="F461" s="67">
        <v>4</v>
      </c>
      <c r="G461" s="67" t="s">
        <v>32</v>
      </c>
      <c r="H461" s="69">
        <v>45149</v>
      </c>
      <c r="I461" s="69" t="s">
        <v>73</v>
      </c>
      <c r="J461" s="69" t="s">
        <v>1220</v>
      </c>
      <c r="K461" s="67">
        <f>IFERROR(VLOOKUP(J461,Jueces!$A$1:$B$11,2,FALSE),"")</f>
        <v>1</v>
      </c>
      <c r="L461" s="67" t="s">
        <v>789</v>
      </c>
      <c r="M461" s="67" t="s">
        <v>1839</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4" t="s">
        <v>1042</v>
      </c>
      <c r="AA461" s="124" t="s">
        <v>1171</v>
      </c>
      <c r="AB461" s="124" t="s">
        <v>1177</v>
      </c>
      <c r="AC461" s="375"/>
    </row>
    <row r="462" spans="1:29" ht="39.950000000000003" hidden="1" customHeight="1">
      <c r="A462" s="67">
        <v>462</v>
      </c>
      <c r="B462" s="69">
        <v>45145</v>
      </c>
      <c r="C462" s="74">
        <v>0.38055555555555554</v>
      </c>
      <c r="D462" s="67" t="s">
        <v>2163</v>
      </c>
      <c r="E462" s="68" t="s">
        <v>2189</v>
      </c>
      <c r="F462" s="67">
        <v>6</v>
      </c>
      <c r="G462" s="67" t="s">
        <v>29</v>
      </c>
      <c r="H462" s="69">
        <v>45149</v>
      </c>
      <c r="I462" s="69" t="s">
        <v>73</v>
      </c>
      <c r="J462" s="69" t="s">
        <v>31</v>
      </c>
      <c r="K462" s="67">
        <f>IFERROR(VLOOKUP(J462,Jueces!$A$1:$B$11,2,FALSE),"")</f>
        <v>2</v>
      </c>
      <c r="L462" s="67" t="s">
        <v>812</v>
      </c>
      <c r="M462" s="67" t="s">
        <v>2126</v>
      </c>
      <c r="N462" s="67" t="s">
        <v>2271</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4" t="s">
        <v>748</v>
      </c>
      <c r="AA462" s="124" t="s">
        <v>743</v>
      </c>
      <c r="AB462" s="124" t="s">
        <v>1176</v>
      </c>
      <c r="AC462" s="375"/>
    </row>
    <row r="463" spans="1:29" ht="39.950000000000003" hidden="1" customHeight="1">
      <c r="A463" s="67">
        <v>464</v>
      </c>
      <c r="B463" s="69">
        <v>45145</v>
      </c>
      <c r="C463" s="74">
        <v>0.48472222222222222</v>
      </c>
      <c r="D463" s="67" t="s">
        <v>2173</v>
      </c>
      <c r="E463" s="68" t="s">
        <v>2174</v>
      </c>
      <c r="F463" s="67">
        <v>5</v>
      </c>
      <c r="G463" s="67" t="s">
        <v>43</v>
      </c>
      <c r="H463" s="69">
        <v>45149</v>
      </c>
      <c r="I463" s="69" t="s">
        <v>73</v>
      </c>
      <c r="J463" s="69" t="s">
        <v>1221</v>
      </c>
      <c r="K463" s="67">
        <f>IFERROR(VLOOKUP(J463,Jueces!$A$1:$B$11,2,FALSE),"")</f>
        <v>7</v>
      </c>
      <c r="L463" s="67" t="s">
        <v>811</v>
      </c>
      <c r="M463" s="67" t="s">
        <v>1966</v>
      </c>
      <c r="N463" s="67" t="s">
        <v>2273</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4" t="s">
        <v>743</v>
      </c>
      <c r="AA463" s="124" t="s">
        <v>743</v>
      </c>
      <c r="AB463" s="124" t="s">
        <v>1173</v>
      </c>
      <c r="AC463" s="375"/>
    </row>
    <row r="464" spans="1:29" ht="39.950000000000003" hidden="1" customHeight="1">
      <c r="A464" s="67">
        <v>479</v>
      </c>
      <c r="B464" s="69">
        <v>45146</v>
      </c>
      <c r="C464" s="74">
        <v>0.45277777777777778</v>
      </c>
      <c r="D464" s="67" t="s">
        <v>2209</v>
      </c>
      <c r="E464" s="68" t="s">
        <v>2210</v>
      </c>
      <c r="F464" s="67">
        <v>6</v>
      </c>
      <c r="G464" s="67" t="s">
        <v>1443</v>
      </c>
      <c r="H464" s="69">
        <v>45149</v>
      </c>
      <c r="I464" s="74" t="s">
        <v>73</v>
      </c>
      <c r="J464" s="69" t="s">
        <v>1223</v>
      </c>
      <c r="K464" s="67" t="s">
        <v>2267</v>
      </c>
      <c r="L464" s="67" t="s">
        <v>508</v>
      </c>
      <c r="M464" s="67" t="s">
        <v>2126</v>
      </c>
      <c r="N464" s="67" t="s">
        <v>2274</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4" t="s">
        <v>770</v>
      </c>
      <c r="AA464" s="124" t="s">
        <v>1169</v>
      </c>
      <c r="AB464" s="124" t="s">
        <v>1174</v>
      </c>
      <c r="AC464" s="375"/>
    </row>
    <row r="465" spans="1:29" ht="63.75" hidden="1">
      <c r="A465" s="67">
        <v>463</v>
      </c>
      <c r="B465" s="69">
        <v>45145</v>
      </c>
      <c r="C465" s="74">
        <v>0.37847222222222227</v>
      </c>
      <c r="D465" s="67" t="s">
        <v>2164</v>
      </c>
      <c r="E465" s="68" t="s">
        <v>2252</v>
      </c>
      <c r="F465" s="67">
        <v>6</v>
      </c>
      <c r="G465" s="67" t="s">
        <v>283</v>
      </c>
      <c r="H465" s="69">
        <v>45149</v>
      </c>
      <c r="I465" s="69" t="s">
        <v>1086</v>
      </c>
      <c r="J465" s="69" t="s">
        <v>1223</v>
      </c>
      <c r="K465" s="67" t="s">
        <v>1520</v>
      </c>
      <c r="L465" s="67" t="s">
        <v>788</v>
      </c>
      <c r="M465" s="67" t="s">
        <v>2126</v>
      </c>
      <c r="N465" s="67" t="s">
        <v>2275</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4" t="s">
        <v>1041</v>
      </c>
      <c r="AA465" s="124" t="s">
        <v>1169</v>
      </c>
      <c r="AB465" s="124" t="s">
        <v>1174</v>
      </c>
      <c r="AC465" s="375"/>
    </row>
    <row r="466" spans="1:29" ht="39.950000000000003" hidden="1" customHeight="1">
      <c r="A466" s="67">
        <v>466</v>
      </c>
      <c r="B466" s="69">
        <v>45145</v>
      </c>
      <c r="C466" s="67" t="s">
        <v>2176</v>
      </c>
      <c r="D466" s="67" t="s">
        <v>2177</v>
      </c>
      <c r="E466" s="68" t="s">
        <v>2178</v>
      </c>
      <c r="F466" s="67">
        <v>5</v>
      </c>
      <c r="G466" s="67" t="s">
        <v>1441</v>
      </c>
      <c r="H466" s="69">
        <v>45149</v>
      </c>
      <c r="I466" s="69" t="s">
        <v>1086</v>
      </c>
      <c r="J466" s="69" t="s">
        <v>33</v>
      </c>
      <c r="K466" s="67">
        <f>IFERROR(VLOOKUP(J466,Jueces!$A$1:$B$11,2,FALSE),"")</f>
        <v>4</v>
      </c>
      <c r="L466" s="67" t="s">
        <v>811</v>
      </c>
      <c r="M466" s="67" t="s">
        <v>1966</v>
      </c>
      <c r="N466" s="67" t="s">
        <v>2272</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4" t="s">
        <v>1042</v>
      </c>
      <c r="AA466" s="124" t="s">
        <v>1171</v>
      </c>
      <c r="AB466" s="124" t="s">
        <v>1173</v>
      </c>
      <c r="AC466" s="375"/>
    </row>
    <row r="467" spans="1:29" ht="39.950000000000003" hidden="1" customHeight="1">
      <c r="A467" s="67">
        <v>461</v>
      </c>
      <c r="B467" s="69">
        <v>45145</v>
      </c>
      <c r="C467" s="74">
        <v>0.37708333333333338</v>
      </c>
      <c r="D467" s="67" t="s">
        <v>2161</v>
      </c>
      <c r="E467" s="68" t="s">
        <v>2162</v>
      </c>
      <c r="F467" s="67">
        <v>6</v>
      </c>
      <c r="G467" s="67" t="s">
        <v>1441</v>
      </c>
      <c r="H467" s="69">
        <v>45152</v>
      </c>
      <c r="I467" s="69" t="s">
        <v>73</v>
      </c>
      <c r="J467" s="69" t="s">
        <v>35</v>
      </c>
      <c r="K467" s="67">
        <f>IFERROR(VLOOKUP(J467,Jueces!$A$1:$B$11,2,FALSE),"")</f>
        <v>3</v>
      </c>
      <c r="L467" s="67" t="s">
        <v>811</v>
      </c>
      <c r="M467" s="67" t="s">
        <v>2126</v>
      </c>
      <c r="N467" s="67" t="s">
        <v>2294</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4" t="s">
        <v>748</v>
      </c>
      <c r="AA467" s="124" t="s">
        <v>743</v>
      </c>
      <c r="AB467" s="124" t="s">
        <v>1175</v>
      </c>
      <c r="AC467" s="375"/>
    </row>
    <row r="468" spans="1:29" ht="39.950000000000003" hidden="1" customHeight="1">
      <c r="A468" s="67">
        <v>468</v>
      </c>
      <c r="B468" s="69">
        <v>45145</v>
      </c>
      <c r="C468" s="74">
        <v>0.51111111111111118</v>
      </c>
      <c r="D468" s="67" t="s">
        <v>2181</v>
      </c>
      <c r="E468" s="68" t="s">
        <v>2182</v>
      </c>
      <c r="F468" s="67">
        <v>5</v>
      </c>
      <c r="G468" s="67" t="s">
        <v>1443</v>
      </c>
      <c r="H468" s="69">
        <v>45152</v>
      </c>
      <c r="I468" s="69" t="s">
        <v>73</v>
      </c>
      <c r="J468" s="69" t="s">
        <v>78</v>
      </c>
      <c r="K468" s="67">
        <v>8</v>
      </c>
      <c r="L468" s="67" t="s">
        <v>1702</v>
      </c>
      <c r="M468" s="67" t="s">
        <v>1028</v>
      </c>
      <c r="N468" s="67" t="s">
        <v>2230</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2296</v>
      </c>
      <c r="Y468" s="67"/>
      <c r="Z468" s="124" t="s">
        <v>743</v>
      </c>
      <c r="AA468" s="124" t="s">
        <v>743</v>
      </c>
      <c r="AB468" s="124" t="s">
        <v>1177</v>
      </c>
      <c r="AC468" s="375"/>
    </row>
    <row r="469" spans="1:29" ht="39.950000000000003" hidden="1" customHeight="1">
      <c r="A469" s="67">
        <v>476</v>
      </c>
      <c r="B469" s="69">
        <v>45146</v>
      </c>
      <c r="C469" s="74">
        <v>0.33333333333333331</v>
      </c>
      <c r="D469" s="67" t="s">
        <v>2201</v>
      </c>
      <c r="E469" s="68" t="s">
        <v>2221</v>
      </c>
      <c r="F469" s="67">
        <v>6</v>
      </c>
      <c r="G469" s="67" t="s">
        <v>32</v>
      </c>
      <c r="H469" s="69">
        <v>45152</v>
      </c>
      <c r="I469" s="69" t="s">
        <v>73</v>
      </c>
      <c r="J469" s="69" t="s">
        <v>1222</v>
      </c>
      <c r="K469" s="67">
        <v>5</v>
      </c>
      <c r="L469" s="67" t="s">
        <v>809</v>
      </c>
      <c r="M469" s="67" t="s">
        <v>2220</v>
      </c>
      <c r="N469" s="67" t="s">
        <v>2321</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2295</v>
      </c>
      <c r="Y469" s="67"/>
      <c r="Z469" s="124" t="s">
        <v>770</v>
      </c>
      <c r="AA469" s="124" t="s">
        <v>1169</v>
      </c>
      <c r="AB469" s="124" t="s">
        <v>1176</v>
      </c>
      <c r="AC469" s="375"/>
    </row>
    <row r="470" spans="1:29" ht="39.950000000000003" hidden="1" customHeight="1">
      <c r="A470" s="67">
        <v>417</v>
      </c>
      <c r="B470" s="69">
        <v>45131</v>
      </c>
      <c r="C470" s="74">
        <v>0.40625</v>
      </c>
      <c r="D470" s="67" t="s">
        <v>1932</v>
      </c>
      <c r="E470" s="68" t="s">
        <v>2165</v>
      </c>
      <c r="F470" s="67">
        <v>4</v>
      </c>
      <c r="G470" s="67" t="s">
        <v>568</v>
      </c>
      <c r="H470" s="69">
        <v>45152</v>
      </c>
      <c r="I470" s="69" t="s">
        <v>1086</v>
      </c>
      <c r="J470" s="69" t="s">
        <v>33</v>
      </c>
      <c r="K470" s="67">
        <f>IFERROR(VLOOKUP(J470,Jueces!$A$1:$B$11,2,FALSE),"")</f>
        <v>4</v>
      </c>
      <c r="L470" s="67" t="s">
        <v>811</v>
      </c>
      <c r="M470" s="67" t="s">
        <v>1839</v>
      </c>
      <c r="N470" s="67" t="s">
        <v>2333</v>
      </c>
      <c r="O470" s="67" t="str">
        <f t="shared" ca="1" si="29"/>
        <v>SI</v>
      </c>
      <c r="P470" s="67" t="str">
        <f t="shared" si="28"/>
        <v>DIANOSOL</v>
      </c>
      <c r="Q470" s="67" t="s">
        <v>1512</v>
      </c>
      <c r="R470" s="67" t="str">
        <f>VLOOKUP($Q470,Resultados!$A$1:$B$49,2,FALSE)</f>
        <v>Juicio Abreviado</v>
      </c>
      <c r="S470" s="74">
        <v>0.39999999999999997</v>
      </c>
      <c r="T470" s="77" t="str">
        <f t="shared" si="27"/>
        <v>NO</v>
      </c>
      <c r="U470" s="77"/>
      <c r="V470" s="67"/>
      <c r="W470" s="74">
        <v>0.41319444444444442</v>
      </c>
      <c r="X470" s="67" t="s">
        <v>2297</v>
      </c>
      <c r="Y470" s="67"/>
      <c r="Z470" s="124" t="s">
        <v>1041</v>
      </c>
      <c r="AA470" s="124" t="s">
        <v>1171</v>
      </c>
      <c r="AB470" s="124" t="s">
        <v>1174</v>
      </c>
      <c r="AC470" s="375"/>
    </row>
    <row r="471" spans="1:29" ht="39.950000000000003" hidden="1" customHeight="1">
      <c r="A471" s="67">
        <v>469</v>
      </c>
      <c r="B471" s="69">
        <v>45145</v>
      </c>
      <c r="C471" s="74">
        <v>0.50624999999999998</v>
      </c>
      <c r="D471" s="67" t="s">
        <v>2186</v>
      </c>
      <c r="E471" s="68" t="s">
        <v>2185</v>
      </c>
      <c r="F471" s="67">
        <v>5</v>
      </c>
      <c r="G471" s="67" t="s">
        <v>43</v>
      </c>
      <c r="H471" s="69">
        <v>45152</v>
      </c>
      <c r="I471" s="69" t="s">
        <v>1086</v>
      </c>
      <c r="J471" s="69" t="s">
        <v>1224</v>
      </c>
      <c r="K471" s="67">
        <v>2</v>
      </c>
      <c r="L471" s="67" t="s">
        <v>2091</v>
      </c>
      <c r="M471" s="67" t="s">
        <v>783</v>
      </c>
      <c r="N471" s="67" t="s">
        <v>2334</v>
      </c>
      <c r="O471" s="67" t="str">
        <f t="shared" ca="1" si="29"/>
        <v>SI</v>
      </c>
      <c r="P471" s="67" t="str">
        <f t="shared" si="28"/>
        <v>DIANOSOL</v>
      </c>
      <c r="Q471" s="67" t="s">
        <v>1512</v>
      </c>
      <c r="R471" s="67" t="str">
        <f>VLOOKUP($Q471,Resultados!$A$1:$B$49,2,FALSE)</f>
        <v>Juicio Abreviado</v>
      </c>
      <c r="S471" s="67"/>
      <c r="T471" s="77" t="str">
        <f t="shared" si="27"/>
        <v>NO</v>
      </c>
      <c r="U471" s="77"/>
      <c r="V471" s="67"/>
      <c r="W471" s="67"/>
      <c r="X471" s="67" t="s">
        <v>2298</v>
      </c>
      <c r="Y471" s="67"/>
      <c r="Z471" s="124" t="s">
        <v>1042</v>
      </c>
      <c r="AA471" s="124" t="s">
        <v>743</v>
      </c>
      <c r="AB471" s="124" t="s">
        <v>1173</v>
      </c>
      <c r="AC471" s="375"/>
    </row>
    <row r="472" spans="1:29" ht="39.950000000000003" hidden="1" customHeight="1">
      <c r="A472" s="67">
        <v>472</v>
      </c>
      <c r="B472" s="69">
        <v>45145</v>
      </c>
      <c r="C472" s="74">
        <v>0.52777777777777779</v>
      </c>
      <c r="D472" s="67" t="s">
        <v>2193</v>
      </c>
      <c r="E472" s="68" t="s">
        <v>2194</v>
      </c>
      <c r="F472" s="67">
        <v>6</v>
      </c>
      <c r="G472" s="67" t="s">
        <v>1442</v>
      </c>
      <c r="H472" s="69">
        <v>45152</v>
      </c>
      <c r="I472" s="69" t="s">
        <v>1086</v>
      </c>
      <c r="J472" s="69" t="s">
        <v>1223</v>
      </c>
      <c r="K472" s="67" t="s">
        <v>1926</v>
      </c>
      <c r="L472" s="67" t="s">
        <v>2091</v>
      </c>
      <c r="M472" s="67" t="s">
        <v>2126</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4" t="s">
        <v>748</v>
      </c>
      <c r="AA472" s="124" t="s">
        <v>1169</v>
      </c>
      <c r="AB472" s="124" t="s">
        <v>1175</v>
      </c>
      <c r="AC472" s="375"/>
    </row>
    <row r="473" spans="1:29" ht="39.950000000000003" hidden="1" customHeight="1">
      <c r="A473" s="67">
        <v>470</v>
      </c>
      <c r="B473" s="69">
        <v>45145</v>
      </c>
      <c r="C473" s="74">
        <v>0.44305555555555554</v>
      </c>
      <c r="D473" s="67" t="s">
        <v>2187</v>
      </c>
      <c r="E473" s="68" t="s">
        <v>2188</v>
      </c>
      <c r="F473" s="67">
        <v>4</v>
      </c>
      <c r="G473" s="67" t="s">
        <v>29</v>
      </c>
      <c r="H473" s="69">
        <v>45153</v>
      </c>
      <c r="I473" s="69" t="s">
        <v>73</v>
      </c>
      <c r="J473" s="69" t="s">
        <v>31</v>
      </c>
      <c r="K473" s="67">
        <f>IFERROR(VLOOKUP(J473,Jueces!$A$1:$B$11,2,FALSE),"")</f>
        <v>2</v>
      </c>
      <c r="L473" s="67" t="s">
        <v>798</v>
      </c>
      <c r="M473" s="67" t="s">
        <v>695</v>
      </c>
      <c r="N473" s="67" t="s">
        <v>2311</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2313</v>
      </c>
      <c r="Y473" s="67"/>
      <c r="Z473" s="124" t="s">
        <v>743</v>
      </c>
      <c r="AA473" s="124" t="s">
        <v>1171</v>
      </c>
      <c r="AB473" s="124" t="s">
        <v>1177</v>
      </c>
      <c r="AC473" s="375"/>
    </row>
    <row r="474" spans="1:29" ht="39.950000000000003" hidden="1" customHeight="1">
      <c r="A474" s="67">
        <v>474</v>
      </c>
      <c r="B474" s="69">
        <v>45146</v>
      </c>
      <c r="C474" s="74">
        <v>0.3354166666666667</v>
      </c>
      <c r="D474" s="67" t="s">
        <v>2219</v>
      </c>
      <c r="E474" s="68" t="s">
        <v>2200</v>
      </c>
      <c r="F474" s="67">
        <v>6</v>
      </c>
      <c r="G474" s="67" t="s">
        <v>283</v>
      </c>
      <c r="H474" s="69">
        <v>45153</v>
      </c>
      <c r="I474" s="69" t="s">
        <v>73</v>
      </c>
      <c r="J474" s="69" t="s">
        <v>1221</v>
      </c>
      <c r="K474" s="67" t="s">
        <v>2305</v>
      </c>
      <c r="L474" s="67" t="s">
        <v>1070</v>
      </c>
      <c r="M474" s="67" t="s">
        <v>2126</v>
      </c>
      <c r="N474" s="67" t="s">
        <v>2332</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2312</v>
      </c>
      <c r="Y474" s="67"/>
      <c r="Z474" s="124" t="s">
        <v>1041</v>
      </c>
      <c r="AA474" s="124" t="s">
        <v>1169</v>
      </c>
      <c r="AB474" s="124" t="s">
        <v>1174</v>
      </c>
      <c r="AC474" s="375"/>
    </row>
    <row r="475" spans="1:29" ht="39.950000000000003" hidden="1" customHeight="1">
      <c r="A475" s="67">
        <v>480</v>
      </c>
      <c r="B475" s="69">
        <v>45146</v>
      </c>
      <c r="C475" s="67" t="s">
        <v>2211</v>
      </c>
      <c r="D475" s="67" t="s">
        <v>2212</v>
      </c>
      <c r="E475" s="68" t="s">
        <v>2213</v>
      </c>
      <c r="F475" s="67">
        <v>2</v>
      </c>
      <c r="G475" s="67" t="s">
        <v>43</v>
      </c>
      <c r="H475" s="69">
        <v>45153</v>
      </c>
      <c r="I475" s="69" t="s">
        <v>73</v>
      </c>
      <c r="J475" s="69" t="s">
        <v>1222</v>
      </c>
      <c r="K475" s="67" t="s">
        <v>1926</v>
      </c>
      <c r="L475" s="67" t="s">
        <v>809</v>
      </c>
      <c r="M475" s="67" t="s">
        <v>1966</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4" t="s">
        <v>1042</v>
      </c>
      <c r="AA475" s="124" t="s">
        <v>1171</v>
      </c>
      <c r="AB475" s="124" t="s">
        <v>1173</v>
      </c>
      <c r="AC475" s="375"/>
    </row>
    <row r="476" spans="1:29" ht="39.950000000000003" hidden="1" customHeight="1">
      <c r="A476" s="67">
        <v>483</v>
      </c>
      <c r="B476" s="69">
        <v>45147</v>
      </c>
      <c r="C476" s="74">
        <v>0.33333333333333331</v>
      </c>
      <c r="D476" s="67" t="s">
        <v>2227</v>
      </c>
      <c r="E476" s="68" t="s">
        <v>2224</v>
      </c>
      <c r="F476" s="67">
        <v>5</v>
      </c>
      <c r="G476" s="67" t="s">
        <v>568</v>
      </c>
      <c r="H476" s="69">
        <v>45153</v>
      </c>
      <c r="I476" s="69" t="s">
        <v>73</v>
      </c>
      <c r="J476" s="69" t="s">
        <v>35</v>
      </c>
      <c r="K476" s="67">
        <f>IFERROR(VLOOKUP(J476,Jueces!$A$1:$B$11,2,FALSE),"")</f>
        <v>3</v>
      </c>
      <c r="L476" s="67" t="s">
        <v>806</v>
      </c>
      <c r="M476" s="67" t="s">
        <v>1876</v>
      </c>
      <c r="N476" s="67" t="s">
        <v>2331</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2319</v>
      </c>
      <c r="Y476" s="67"/>
      <c r="Z476" s="124" t="s">
        <v>748</v>
      </c>
      <c r="AA476" s="124" t="s">
        <v>743</v>
      </c>
      <c r="AB476" s="124" t="s">
        <v>1175</v>
      </c>
      <c r="AC476" s="375"/>
    </row>
    <row r="477" spans="1:29" ht="39.950000000000003" hidden="1" customHeight="1">
      <c r="A477" s="67">
        <v>481</v>
      </c>
      <c r="B477" s="69">
        <v>45146</v>
      </c>
      <c r="C477" s="74">
        <v>0.51458333333333328</v>
      </c>
      <c r="D477" s="67" t="s">
        <v>2214</v>
      </c>
      <c r="E477" s="68" t="s">
        <v>2215</v>
      </c>
      <c r="F477" s="67">
        <v>6</v>
      </c>
      <c r="G477" s="67" t="s">
        <v>32</v>
      </c>
      <c r="H477" s="69">
        <v>45153</v>
      </c>
      <c r="I477" s="69" t="s">
        <v>547</v>
      </c>
      <c r="J477" s="69" t="s">
        <v>1220</v>
      </c>
      <c r="K477" s="67">
        <f>IFERROR(VLOOKUP(J477,Jueces!$A$1:$B$11,2,FALSE),"")</f>
        <v>1</v>
      </c>
      <c r="L477" s="67" t="s">
        <v>809</v>
      </c>
      <c r="M477" s="67" t="s">
        <v>2126</v>
      </c>
      <c r="N477" s="67" t="s">
        <v>2320</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4" t="s">
        <v>770</v>
      </c>
      <c r="AA477" s="124" t="s">
        <v>1169</v>
      </c>
      <c r="AB477" s="124" t="s">
        <v>1176</v>
      </c>
      <c r="AC477" s="375"/>
    </row>
    <row r="478" spans="1:29" ht="51" hidden="1">
      <c r="A478" s="67">
        <v>460</v>
      </c>
      <c r="B478" s="69">
        <v>45145</v>
      </c>
      <c r="C478" s="74">
        <v>0.375</v>
      </c>
      <c r="D478" s="67" t="s">
        <v>2160</v>
      </c>
      <c r="E478" s="68" t="s">
        <v>2218</v>
      </c>
      <c r="F478" s="67">
        <v>6</v>
      </c>
      <c r="G478" s="67" t="s">
        <v>29</v>
      </c>
      <c r="H478" s="69">
        <v>45154</v>
      </c>
      <c r="I478" s="69" t="s">
        <v>73</v>
      </c>
      <c r="J478" s="69" t="s">
        <v>1220</v>
      </c>
      <c r="K478" s="67">
        <f>IFERROR(VLOOKUP(J478,Jueces!$A$1:$B$11,2,FALSE),"")</f>
        <v>1</v>
      </c>
      <c r="L478" s="67" t="s">
        <v>812</v>
      </c>
      <c r="M478" s="67" t="s">
        <v>2126</v>
      </c>
      <c r="N478" s="67" t="s">
        <v>2341</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1458</v>
      </c>
      <c r="X478" s="67" t="s">
        <v>2342</v>
      </c>
      <c r="Y478" s="67"/>
      <c r="Z478" s="124" t="s">
        <v>1041</v>
      </c>
      <c r="AA478" s="124" t="s">
        <v>1171</v>
      </c>
      <c r="AB478" s="124" t="s">
        <v>1174</v>
      </c>
      <c r="AC478" s="375"/>
    </row>
    <row r="479" spans="1:29" ht="63.75" hidden="1">
      <c r="A479" s="67">
        <v>484</v>
      </c>
      <c r="B479" s="69">
        <v>45147</v>
      </c>
      <c r="C479" s="74">
        <v>0.33333333333333331</v>
      </c>
      <c r="D479" s="67" t="s">
        <v>2228</v>
      </c>
      <c r="E479" s="68" t="s">
        <v>2225</v>
      </c>
      <c r="F479" s="67">
        <v>5</v>
      </c>
      <c r="G479" s="67" t="s">
        <v>1442</v>
      </c>
      <c r="H479" s="69">
        <v>45154</v>
      </c>
      <c r="I479" s="69" t="s">
        <v>73</v>
      </c>
      <c r="J479" s="69" t="s">
        <v>78</v>
      </c>
      <c r="K479" s="67">
        <f>IFERROR(VLOOKUP(J479,Jueces!$A$1:$B$11,2,FALSE),"")</f>
        <v>8</v>
      </c>
      <c r="L479" s="67" t="s">
        <v>813</v>
      </c>
      <c r="M479" s="67" t="s">
        <v>1966</v>
      </c>
      <c r="N479" s="67" t="s">
        <v>2335</v>
      </c>
      <c r="O479" s="67" t="str">
        <f t="shared" ca="1" si="29"/>
        <v>SI</v>
      </c>
      <c r="P479" s="67" t="str">
        <f t="shared" si="28"/>
        <v>DIANOSOL</v>
      </c>
      <c r="Q479" s="67" t="s">
        <v>904</v>
      </c>
      <c r="R479" s="67" t="str">
        <f>VLOOKUP($Q479,Resultados!$A$1:$B$49,2,FALSE)</f>
        <v>Juicio Abreviado</v>
      </c>
      <c r="S479" s="74">
        <v>0.3756944444444445</v>
      </c>
      <c r="T479" s="77" t="str">
        <f t="shared" si="30"/>
        <v>SI</v>
      </c>
      <c r="U479" s="77"/>
      <c r="V479" s="67"/>
      <c r="W479" s="74">
        <v>0.38541666666666669</v>
      </c>
      <c r="X479" s="7" t="s">
        <v>2336</v>
      </c>
      <c r="Y479" s="67"/>
      <c r="Z479" s="124" t="s">
        <v>1042</v>
      </c>
      <c r="AA479" s="124" t="s">
        <v>743</v>
      </c>
      <c r="AB479" s="124" t="s">
        <v>1173</v>
      </c>
      <c r="AC479" s="375"/>
    </row>
    <row r="480" spans="1:29" ht="39.950000000000003" hidden="1" customHeight="1">
      <c r="A480" s="67">
        <v>489</v>
      </c>
      <c r="B480" s="69">
        <v>45147</v>
      </c>
      <c r="C480" s="74">
        <v>0.47013888888888888</v>
      </c>
      <c r="D480" s="67" t="s">
        <v>2237</v>
      </c>
      <c r="E480" s="68" t="s">
        <v>2362</v>
      </c>
      <c r="F480" s="67">
        <v>6</v>
      </c>
      <c r="G480" s="67" t="s">
        <v>283</v>
      </c>
      <c r="H480" s="69">
        <v>45154</v>
      </c>
      <c r="I480" s="69" t="s">
        <v>73</v>
      </c>
      <c r="J480" s="69" t="s">
        <v>31</v>
      </c>
      <c r="K480" s="67">
        <f>IFERROR(VLOOKUP(J480,Jueces!$A$1:$B$11,2,FALSE),"")</f>
        <v>2</v>
      </c>
      <c r="L480" s="67" t="s">
        <v>1414</v>
      </c>
      <c r="M480" s="67" t="s">
        <v>2220</v>
      </c>
      <c r="N480" s="67" t="s">
        <v>2337</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6" t="s">
        <v>2338</v>
      </c>
      <c r="Y480" s="67"/>
      <c r="Z480" s="124" t="s">
        <v>748</v>
      </c>
      <c r="AA480" s="124" t="s">
        <v>743</v>
      </c>
      <c r="AB480" s="124" t="s">
        <v>1175</v>
      </c>
      <c r="AC480" s="375"/>
    </row>
    <row r="481" spans="1:29" ht="38.25" hidden="1">
      <c r="A481" s="67">
        <v>475</v>
      </c>
      <c r="B481" s="69">
        <v>45146</v>
      </c>
      <c r="C481" s="74">
        <v>0.3347222222222222</v>
      </c>
      <c r="D481" s="67" t="s">
        <v>2235</v>
      </c>
      <c r="E481" s="68" t="s">
        <v>2217</v>
      </c>
      <c r="F481" s="67">
        <v>6</v>
      </c>
      <c r="G481" s="67" t="s">
        <v>32</v>
      </c>
      <c r="H481" s="69">
        <v>45154</v>
      </c>
      <c r="I481" s="69" t="s">
        <v>1086</v>
      </c>
      <c r="J481" s="69" t="s">
        <v>1222</v>
      </c>
      <c r="K481" s="67" t="s">
        <v>1346</v>
      </c>
      <c r="L481" s="67" t="s">
        <v>812</v>
      </c>
      <c r="M481" s="67" t="s">
        <v>2126</v>
      </c>
      <c r="N481" s="67" t="s">
        <v>2339</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2340</v>
      </c>
      <c r="Y481" s="67"/>
      <c r="Z481" s="124" t="s">
        <v>743</v>
      </c>
      <c r="AA481" s="124" t="s">
        <v>1169</v>
      </c>
      <c r="AB481" s="124" t="s">
        <v>1176</v>
      </c>
      <c r="AC481" s="375"/>
    </row>
    <row r="482" spans="1:29" ht="39.950000000000003" hidden="1" customHeight="1">
      <c r="A482" s="67">
        <v>477</v>
      </c>
      <c r="B482" s="69">
        <v>45146</v>
      </c>
      <c r="C482" s="74">
        <v>0.4145833333333333</v>
      </c>
      <c r="D482" s="67" t="s">
        <v>2202</v>
      </c>
      <c r="E482" s="68" t="s">
        <v>2203</v>
      </c>
      <c r="F482" s="67">
        <v>2</v>
      </c>
      <c r="G482" s="67" t="s">
        <v>568</v>
      </c>
      <c r="H482" s="69">
        <v>45154</v>
      </c>
      <c r="I482" s="69" t="s">
        <v>1086</v>
      </c>
      <c r="J482" s="69" t="s">
        <v>33</v>
      </c>
      <c r="K482" s="67">
        <f>IFERROR(VLOOKUP(J482,Jueces!$A$1:$B$11,2,FALSE),"")</f>
        <v>4</v>
      </c>
      <c r="L482" s="67" t="s">
        <v>803</v>
      </c>
      <c r="M482" s="67" t="s">
        <v>2266</v>
      </c>
      <c r="N482" s="67" t="s">
        <v>2346</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4" t="s">
        <v>770</v>
      </c>
      <c r="AA482" s="124" t="s">
        <v>1171</v>
      </c>
      <c r="AB482" s="124" t="s">
        <v>1174</v>
      </c>
      <c r="AC482" s="375"/>
    </row>
    <row r="483" spans="1:29" ht="38.25" hidden="1">
      <c r="A483" s="67">
        <v>490</v>
      </c>
      <c r="B483" s="69">
        <v>45148</v>
      </c>
      <c r="C483" s="74">
        <v>0.38125000000000003</v>
      </c>
      <c r="D483" s="67" t="s">
        <v>2264</v>
      </c>
      <c r="E483" s="68" t="s">
        <v>2363</v>
      </c>
      <c r="F483" s="67">
        <v>6</v>
      </c>
      <c r="G483" s="67" t="s">
        <v>1441</v>
      </c>
      <c r="H483" s="69">
        <v>45154</v>
      </c>
      <c r="I483" s="69" t="s">
        <v>1086</v>
      </c>
      <c r="J483" s="69" t="s">
        <v>1224</v>
      </c>
      <c r="K483" s="67" t="s">
        <v>1926</v>
      </c>
      <c r="L483" s="67" t="s">
        <v>813</v>
      </c>
      <c r="M483" s="67" t="s">
        <v>2220</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2345</v>
      </c>
      <c r="Y483" s="67"/>
      <c r="Z483" s="124" t="s">
        <v>1041</v>
      </c>
      <c r="AA483" s="124" t="s">
        <v>743</v>
      </c>
      <c r="AB483" s="124" t="s">
        <v>1173</v>
      </c>
      <c r="AC483" s="375"/>
    </row>
    <row r="484" spans="1:29" ht="39.950000000000003" hidden="1" customHeight="1">
      <c r="A484" s="67">
        <v>454</v>
      </c>
      <c r="B484" s="69">
        <v>45140</v>
      </c>
      <c r="C484" s="74">
        <v>0.41041666666666665</v>
      </c>
      <c r="D484" s="67" t="s">
        <v>2112</v>
      </c>
      <c r="E484" s="68" t="s">
        <v>2139</v>
      </c>
      <c r="F484" s="67">
        <v>1</v>
      </c>
      <c r="G484" s="67" t="s">
        <v>1441</v>
      </c>
      <c r="H484" s="69">
        <v>45154</v>
      </c>
      <c r="I484" s="69" t="s">
        <v>547</v>
      </c>
      <c r="J484" s="69" t="s">
        <v>1220</v>
      </c>
      <c r="K484" s="67">
        <f>IFERROR(VLOOKUP(J484,Jueces!$A$1:$B$11,2,FALSE),"")</f>
        <v>1</v>
      </c>
      <c r="L484" s="67" t="s">
        <v>192</v>
      </c>
      <c r="M484" s="67" t="s">
        <v>1286</v>
      </c>
      <c r="N484" s="67" t="s">
        <v>2350</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2260</v>
      </c>
      <c r="Y484" s="67"/>
      <c r="Z484" s="124" t="s">
        <v>1042</v>
      </c>
      <c r="AA484" s="124" t="s">
        <v>743</v>
      </c>
      <c r="AB484" s="124" t="s">
        <v>1175</v>
      </c>
      <c r="AC484" s="375"/>
    </row>
    <row r="485" spans="1:29" ht="39.950000000000003" hidden="1" customHeight="1">
      <c r="A485" s="67">
        <v>482</v>
      </c>
      <c r="B485" s="69">
        <v>45146</v>
      </c>
      <c r="C485" s="74">
        <v>0.5229166666666667</v>
      </c>
      <c r="D485" s="67" t="s">
        <v>2216</v>
      </c>
      <c r="E485" s="68" t="s">
        <v>2377</v>
      </c>
      <c r="F485" s="67">
        <v>6</v>
      </c>
      <c r="G485" s="67" t="s">
        <v>283</v>
      </c>
      <c r="H485" s="69">
        <v>45155</v>
      </c>
      <c r="I485" s="69" t="s">
        <v>73</v>
      </c>
      <c r="J485" s="69" t="s">
        <v>78</v>
      </c>
      <c r="K485" s="67">
        <v>8</v>
      </c>
      <c r="L485" s="67" t="s">
        <v>802</v>
      </c>
      <c r="M485" s="67" t="s">
        <v>2126</v>
      </c>
      <c r="N485" s="67" t="s">
        <v>2366</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4" t="s">
        <v>748</v>
      </c>
      <c r="AA485" s="124" t="s">
        <v>1171</v>
      </c>
      <c r="AB485" s="124" t="s">
        <v>1173</v>
      </c>
      <c r="AC485" s="375"/>
    </row>
    <row r="486" spans="1:29" ht="39.950000000000003" hidden="1" customHeight="1">
      <c r="A486" s="67">
        <v>492</v>
      </c>
      <c r="B486" s="69">
        <v>45148</v>
      </c>
      <c r="C486" s="74">
        <v>0.40416666666666662</v>
      </c>
      <c r="D486" s="67" t="s">
        <v>2258</v>
      </c>
      <c r="E486" s="68" t="s">
        <v>2378</v>
      </c>
      <c r="F486" s="67">
        <v>5</v>
      </c>
      <c r="G486" s="67" t="s">
        <v>1441</v>
      </c>
      <c r="H486" s="69">
        <v>45155</v>
      </c>
      <c r="I486" s="69" t="s">
        <v>73</v>
      </c>
      <c r="J486" s="69" t="s">
        <v>33</v>
      </c>
      <c r="K486" s="67">
        <f>IFERROR(VLOOKUP(J486,Jueces!$A$1:$B$11,2,FALSE),"")</f>
        <v>4</v>
      </c>
      <c r="L486" s="67" t="s">
        <v>812</v>
      </c>
      <c r="M486" s="67" t="s">
        <v>1966</v>
      </c>
      <c r="N486" s="67" t="s">
        <v>2364</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2365</v>
      </c>
      <c r="Y486" s="67"/>
      <c r="Z486" s="124" t="s">
        <v>743</v>
      </c>
      <c r="AA486" s="124" t="s">
        <v>2368</v>
      </c>
      <c r="AB486" s="124" t="s">
        <v>1176</v>
      </c>
      <c r="AC486" s="375"/>
    </row>
    <row r="487" spans="1:29" ht="39.950000000000003" hidden="1" customHeight="1">
      <c r="A487" s="67">
        <v>494</v>
      </c>
      <c r="B487" s="69">
        <v>45145</v>
      </c>
      <c r="C487" s="74">
        <v>0.41388888888888892</v>
      </c>
      <c r="D487" s="67" t="s">
        <v>2265</v>
      </c>
      <c r="E487" s="68" t="s">
        <v>2379</v>
      </c>
      <c r="F487" s="67">
        <v>1</v>
      </c>
      <c r="G487" s="67" t="s">
        <v>29</v>
      </c>
      <c r="H487" s="69">
        <v>45155</v>
      </c>
      <c r="I487" s="69" t="s">
        <v>73</v>
      </c>
      <c r="J487" s="69" t="s">
        <v>1223</v>
      </c>
      <c r="K487" s="67" t="s">
        <v>1346</v>
      </c>
      <c r="L487" s="67" t="s">
        <v>813</v>
      </c>
      <c r="M487" s="67" t="s">
        <v>767</v>
      </c>
      <c r="N487" s="67" t="s">
        <v>2376</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4" t="s">
        <v>770</v>
      </c>
      <c r="AA487" s="124" t="s">
        <v>743</v>
      </c>
      <c r="AB487" s="124" t="s">
        <v>1174</v>
      </c>
      <c r="AC487" s="375"/>
    </row>
    <row r="488" spans="1:29" ht="38.25" hidden="1">
      <c r="A488" s="67">
        <v>486</v>
      </c>
      <c r="B488" s="69">
        <v>45147</v>
      </c>
      <c r="C488" s="74">
        <v>0.33333333333333331</v>
      </c>
      <c r="D488" s="67" t="s">
        <v>2229</v>
      </c>
      <c r="E488" s="68" t="s">
        <v>2380</v>
      </c>
      <c r="F488" s="67">
        <v>5</v>
      </c>
      <c r="G488" s="67" t="s">
        <v>43</v>
      </c>
      <c r="H488" s="69">
        <v>45155</v>
      </c>
      <c r="I488" s="69" t="s">
        <v>1086</v>
      </c>
      <c r="J488" s="69" t="s">
        <v>31</v>
      </c>
      <c r="K488" s="67">
        <f>IFERROR(VLOOKUP(J488,Jueces!$A$1:$B$11,2,FALSE),"")</f>
        <v>2</v>
      </c>
      <c r="L488" s="67" t="s">
        <v>812</v>
      </c>
      <c r="M488" s="67" t="s">
        <v>700</v>
      </c>
      <c r="N488" s="67" t="s">
        <v>2375</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4" t="s">
        <v>1041</v>
      </c>
      <c r="AA488" s="124" t="s">
        <v>1169</v>
      </c>
      <c r="AB488" s="124" t="s">
        <v>1173</v>
      </c>
      <c r="AC488" s="375"/>
    </row>
    <row r="489" spans="1:29" ht="39.950000000000003" hidden="1" customHeight="1">
      <c r="A489" s="7">
        <v>491</v>
      </c>
      <c r="B489" s="19">
        <v>45148</v>
      </c>
      <c r="C489" s="7" t="s">
        <v>1578</v>
      </c>
      <c r="D489" s="7" t="s">
        <v>2263</v>
      </c>
      <c r="E489" s="41" t="s">
        <v>2381</v>
      </c>
      <c r="F489" s="7">
        <v>5</v>
      </c>
      <c r="G489" s="7" t="s">
        <v>1443</v>
      </c>
      <c r="H489" s="19">
        <v>45155</v>
      </c>
      <c r="I489" s="19" t="s">
        <v>1086</v>
      </c>
      <c r="J489" s="19" t="s">
        <v>1220</v>
      </c>
      <c r="K489" s="7">
        <f>IFERROR(VLOOKUP(J489,Jueces!$A$1:$B$11,2,FALSE),"")</f>
        <v>1</v>
      </c>
      <c r="L489" s="7" t="s">
        <v>811</v>
      </c>
      <c r="M489" s="7" t="s">
        <v>2373</v>
      </c>
      <c r="N489" s="7" t="s">
        <v>2372</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2374</v>
      </c>
      <c r="Y489" s="7"/>
      <c r="Z489" s="124" t="s">
        <v>1042</v>
      </c>
      <c r="AA489" s="124" t="s">
        <v>1171</v>
      </c>
      <c r="AB489" s="124" t="s">
        <v>1175</v>
      </c>
      <c r="AC489" s="375"/>
    </row>
    <row r="490" spans="1:29" ht="39.950000000000003" hidden="1" customHeight="1">
      <c r="A490" s="67">
        <v>478</v>
      </c>
      <c r="B490" s="69">
        <v>45146</v>
      </c>
      <c r="C490" s="74">
        <v>0.41805555555555557</v>
      </c>
      <c r="D490" s="67" t="s">
        <v>2204</v>
      </c>
      <c r="E490" s="68" t="s">
        <v>2394</v>
      </c>
      <c r="F490" s="67">
        <v>8</v>
      </c>
      <c r="G490" s="67" t="s">
        <v>1442</v>
      </c>
      <c r="H490" s="69">
        <v>45156</v>
      </c>
      <c r="I490" s="69" t="s">
        <v>73</v>
      </c>
      <c r="J490" s="69" t="s">
        <v>35</v>
      </c>
      <c r="K490" s="67">
        <f>IFERROR(VLOOKUP(J490,Jueces!$A$1:$B$11,2,FALSE),"")</f>
        <v>3</v>
      </c>
      <c r="L490" s="67" t="s">
        <v>1070</v>
      </c>
      <c r="M490" s="67" t="s">
        <v>2231</v>
      </c>
      <c r="N490" s="67" t="s">
        <v>2277</v>
      </c>
      <c r="O490" s="67" t="str">
        <f t="shared" ca="1" si="29"/>
        <v>SI</v>
      </c>
      <c r="P490" s="67" t="str">
        <f t="shared" si="28"/>
        <v>DIANOSOL</v>
      </c>
      <c r="Q490" s="67" t="s">
        <v>151</v>
      </c>
      <c r="R490" s="67" t="str">
        <f>VLOOKUP($Q490,Resultados!$A$1:$B$49,2,FALSE)</f>
        <v>Prisión Preventiva</v>
      </c>
      <c r="S490" s="67" t="s">
        <v>1134</v>
      </c>
      <c r="T490" s="77" t="str">
        <f t="shared" si="30"/>
        <v>SI</v>
      </c>
      <c r="U490" s="77"/>
      <c r="V490" s="67"/>
      <c r="W490" s="67" t="s">
        <v>1497</v>
      </c>
      <c r="X490" s="67" t="s">
        <v>2156</v>
      </c>
      <c r="Y490" s="67"/>
      <c r="Z490" s="124" t="s">
        <v>748</v>
      </c>
      <c r="AA490" s="124" t="s">
        <v>1169</v>
      </c>
      <c r="AB490" s="124" t="s">
        <v>1176</v>
      </c>
      <c r="AC490" s="375"/>
    </row>
    <row r="491" spans="1:29" ht="39.950000000000003" hidden="1" customHeight="1">
      <c r="A491" s="67">
        <v>485</v>
      </c>
      <c r="B491" s="69">
        <v>45147</v>
      </c>
      <c r="C491" s="74">
        <v>0.33333333333333331</v>
      </c>
      <c r="D491" s="67" t="s">
        <v>2246</v>
      </c>
      <c r="E491" s="68" t="s">
        <v>2226</v>
      </c>
      <c r="F491" s="67">
        <v>5</v>
      </c>
      <c r="G491" s="67" t="s">
        <v>568</v>
      </c>
      <c r="H491" s="69">
        <v>45156</v>
      </c>
      <c r="I491" s="69" t="s">
        <v>73</v>
      </c>
      <c r="J491" s="69" t="s">
        <v>78</v>
      </c>
      <c r="K491" s="67">
        <f>IFERROR(VLOOKUP(J491,Jueces!$A$1:$B$11,2,FALSE),"")</f>
        <v>8</v>
      </c>
      <c r="L491" s="67" t="s">
        <v>508</v>
      </c>
      <c r="M491" s="67" t="s">
        <v>2373</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1236</v>
      </c>
      <c r="X491" s="67" t="s">
        <v>2383</v>
      </c>
      <c r="Y491" s="67"/>
      <c r="Z491" s="124" t="s">
        <v>743</v>
      </c>
      <c r="AA491" s="124" t="s">
        <v>1171</v>
      </c>
      <c r="AB491" s="124" t="s">
        <v>1174</v>
      </c>
      <c r="AC491" s="375"/>
    </row>
    <row r="492" spans="1:29" ht="39.950000000000003" hidden="1" customHeight="1">
      <c r="A492" s="67">
        <v>487</v>
      </c>
      <c r="B492" s="69">
        <v>45147</v>
      </c>
      <c r="C492" s="74">
        <v>0.39930555555555558</v>
      </c>
      <c r="D492" s="67" t="s">
        <v>2232</v>
      </c>
      <c r="E492" s="68" t="s">
        <v>2233</v>
      </c>
      <c r="F492" s="67">
        <v>5</v>
      </c>
      <c r="G492" s="67" t="s">
        <v>1441</v>
      </c>
      <c r="H492" s="69">
        <v>45156</v>
      </c>
      <c r="I492" s="69" t="s">
        <v>73</v>
      </c>
      <c r="J492" s="69" t="s">
        <v>31</v>
      </c>
      <c r="K492" s="67">
        <f>IFERROR(VLOOKUP(J492,Jueces!$A$1:$B$11,2,FALSE),"")</f>
        <v>2</v>
      </c>
      <c r="L492" s="67" t="s">
        <v>2095</v>
      </c>
      <c r="M492" s="67" t="s">
        <v>1571</v>
      </c>
      <c r="N492" s="67" t="s">
        <v>2330</v>
      </c>
      <c r="O492" s="67" t="str">
        <f t="shared" ca="1" si="29"/>
        <v>SI</v>
      </c>
      <c r="P492" s="67" t="str">
        <f t="shared" si="28"/>
        <v>DIANOSOL</v>
      </c>
      <c r="Q492" s="67" t="s">
        <v>151</v>
      </c>
      <c r="R492" s="67" t="str">
        <f>VLOOKUP($Q492,Resultados!$A$1:$B$49,2,FALSE)</f>
        <v>Prisión Preventiva</v>
      </c>
      <c r="S492" s="67" t="s">
        <v>1292</v>
      </c>
      <c r="T492" s="77" t="str">
        <f t="shared" si="30"/>
        <v>NO</v>
      </c>
      <c r="U492" s="77"/>
      <c r="V492" s="67"/>
      <c r="W492" s="67" t="s">
        <v>1609</v>
      </c>
      <c r="X492" s="67" t="s">
        <v>2387</v>
      </c>
      <c r="Y492" s="67"/>
      <c r="Z492" s="124" t="s">
        <v>770</v>
      </c>
      <c r="AA492" s="124" t="s">
        <v>1171</v>
      </c>
      <c r="AB492" s="124" t="s">
        <v>1173</v>
      </c>
      <c r="AC492" s="375"/>
    </row>
    <row r="493" spans="1:29" ht="39.950000000000003" hidden="1" customHeight="1">
      <c r="A493" s="67">
        <v>495</v>
      </c>
      <c r="B493" s="69">
        <v>45148</v>
      </c>
      <c r="C493" s="74">
        <v>0.48402777777777778</v>
      </c>
      <c r="D493" s="67" t="s">
        <v>2268</v>
      </c>
      <c r="E493" s="68" t="s">
        <v>2270</v>
      </c>
      <c r="F493" s="67">
        <v>5</v>
      </c>
      <c r="G493" s="67" t="s">
        <v>43</v>
      </c>
      <c r="H493" s="69">
        <v>45156</v>
      </c>
      <c r="I493" s="69" t="s">
        <v>73</v>
      </c>
      <c r="J493" s="69" t="s">
        <v>33</v>
      </c>
      <c r="K493" s="67">
        <f>IFERROR(VLOOKUP(J493,Jueces!$A$1:$B$11,2,FALSE),"")</f>
        <v>4</v>
      </c>
      <c r="L493" s="67" t="s">
        <v>812</v>
      </c>
      <c r="M493" s="67" t="s">
        <v>2269</v>
      </c>
      <c r="N493" s="67" t="s">
        <v>2385</v>
      </c>
      <c r="O493" s="67" t="str">
        <f t="shared" ca="1" si="29"/>
        <v>SI</v>
      </c>
      <c r="P493" s="67" t="str">
        <f t="shared" si="28"/>
        <v>DIANOSOL</v>
      </c>
      <c r="Q493" s="67" t="s">
        <v>899</v>
      </c>
      <c r="R493" s="67" t="str">
        <f>VLOOKUP($Q493,Resultados!$A$1:$B$49,2,FALSE)</f>
        <v>Libertad</v>
      </c>
      <c r="S493" s="67" t="s">
        <v>1296</v>
      </c>
      <c r="T493" s="77" t="str">
        <f t="shared" si="30"/>
        <v>NO</v>
      </c>
      <c r="U493" s="77"/>
      <c r="V493" s="67"/>
      <c r="W493" s="67" t="s">
        <v>1243</v>
      </c>
      <c r="X493" s="67" t="s">
        <v>2384</v>
      </c>
      <c r="Y493" s="67"/>
      <c r="Z493" s="124" t="s">
        <v>1041</v>
      </c>
      <c r="AA493" s="124" t="s">
        <v>743</v>
      </c>
      <c r="AB493" s="124" t="s">
        <v>1176</v>
      </c>
      <c r="AC493" s="375"/>
    </row>
    <row r="494" spans="1:29" ht="39.950000000000003" hidden="1" customHeight="1">
      <c r="A494" s="67">
        <v>497</v>
      </c>
      <c r="B494" s="69">
        <v>45152</v>
      </c>
      <c r="C494" s="74">
        <v>0.33333333333333331</v>
      </c>
      <c r="D494" s="67" t="s">
        <v>2281</v>
      </c>
      <c r="E494" s="68" t="s">
        <v>2299</v>
      </c>
      <c r="F494" s="67">
        <v>6</v>
      </c>
      <c r="G494" s="67" t="s">
        <v>29</v>
      </c>
      <c r="H494" s="69">
        <v>45156</v>
      </c>
      <c r="I494" s="69" t="s">
        <v>73</v>
      </c>
      <c r="J494" s="69" t="s">
        <v>1223</v>
      </c>
      <c r="K494" s="67" t="s">
        <v>1346</v>
      </c>
      <c r="L494" s="67" t="s">
        <v>806</v>
      </c>
      <c r="M494" s="67" t="s">
        <v>2388</v>
      </c>
      <c r="N494" s="67" t="s">
        <v>2393</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1124</v>
      </c>
      <c r="X494" s="67"/>
      <c r="Y494" s="67"/>
      <c r="Z494" s="124" t="s">
        <v>1042</v>
      </c>
      <c r="AA494" s="124" t="s">
        <v>743</v>
      </c>
      <c r="AB494" s="124" t="s">
        <v>1174</v>
      </c>
      <c r="AC494" s="375"/>
    </row>
    <row r="495" spans="1:29" ht="38.25" hidden="1">
      <c r="A495" s="67">
        <v>488</v>
      </c>
      <c r="B495" s="69">
        <v>45147</v>
      </c>
      <c r="C495" s="74">
        <v>0.4375</v>
      </c>
      <c r="D495" s="67" t="s">
        <v>2234</v>
      </c>
      <c r="E495" s="68" t="s">
        <v>2236</v>
      </c>
      <c r="F495" s="67">
        <v>5</v>
      </c>
      <c r="G495" s="67" t="s">
        <v>1443</v>
      </c>
      <c r="H495" s="69">
        <v>45156</v>
      </c>
      <c r="I495" s="69" t="s">
        <v>1086</v>
      </c>
      <c r="J495" s="69" t="s">
        <v>1222</v>
      </c>
      <c r="K495" s="67">
        <v>3</v>
      </c>
      <c r="L495" s="67" t="s">
        <v>793</v>
      </c>
      <c r="M495" s="67" t="s">
        <v>1876</v>
      </c>
      <c r="N495" s="67" t="s">
        <v>2276</v>
      </c>
      <c r="O495" s="67" t="str">
        <f t="shared" ca="1" si="29"/>
        <v>SI</v>
      </c>
      <c r="P495" s="67" t="str">
        <f t="shared" si="28"/>
        <v>DIANOSOL</v>
      </c>
      <c r="Q495" s="67" t="s">
        <v>151</v>
      </c>
      <c r="R495" s="67" t="str">
        <f>VLOOKUP($Q495,Resultados!$A$1:$B$49,2,FALSE)</f>
        <v>Prisión Preventiva</v>
      </c>
      <c r="S495" s="67" t="s">
        <v>1193</v>
      </c>
      <c r="T495" s="77" t="str">
        <f t="shared" si="30"/>
        <v>NO</v>
      </c>
      <c r="U495" s="77"/>
      <c r="V495" s="67"/>
      <c r="W495" s="67" t="s">
        <v>2386</v>
      </c>
      <c r="X495" s="156"/>
      <c r="Y495" s="67"/>
      <c r="Z495" s="124" t="s">
        <v>748</v>
      </c>
      <c r="AA495" s="124" t="s">
        <v>743</v>
      </c>
      <c r="AB495" s="124" t="s">
        <v>1173</v>
      </c>
      <c r="AC495" s="375"/>
    </row>
    <row r="496" spans="1:29" ht="63.75" hidden="1">
      <c r="A496" s="67">
        <v>496</v>
      </c>
      <c r="B496" s="69">
        <v>45149</v>
      </c>
      <c r="C496" s="67" t="s">
        <v>2278</v>
      </c>
      <c r="D496" s="67" t="s">
        <v>2279</v>
      </c>
      <c r="E496" s="68" t="s">
        <v>2280</v>
      </c>
      <c r="F496" s="67">
        <v>6</v>
      </c>
      <c r="G496" s="67" t="s">
        <v>32</v>
      </c>
      <c r="H496" s="69">
        <v>45156</v>
      </c>
      <c r="I496" s="69" t="s">
        <v>1086</v>
      </c>
      <c r="J496" s="69" t="s">
        <v>1220</v>
      </c>
      <c r="K496" s="67">
        <f>IFERROR(VLOOKUP(J496,Jueces!$A$1:$B$11,2,FALSE),"")</f>
        <v>1</v>
      </c>
      <c r="L496" s="67" t="s">
        <v>812</v>
      </c>
      <c r="M496" s="67" t="s">
        <v>2388</v>
      </c>
      <c r="N496" s="67" t="s">
        <v>2389</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5" t="s">
        <v>2390</v>
      </c>
      <c r="Y496" s="67"/>
      <c r="Z496" s="124" t="s">
        <v>743</v>
      </c>
      <c r="AA496" s="124" t="s">
        <v>1169</v>
      </c>
      <c r="AB496" s="124" t="s">
        <v>1176</v>
      </c>
      <c r="AC496" s="375"/>
    </row>
    <row r="497" spans="1:29" ht="39.950000000000003" hidden="1" customHeight="1">
      <c r="A497" s="67">
        <v>513</v>
      </c>
      <c r="B497" s="69">
        <v>45153</v>
      </c>
      <c r="C497" s="74">
        <v>0.48749999999999999</v>
      </c>
      <c r="D497" s="67" t="s">
        <v>2326</v>
      </c>
      <c r="E497" s="68" t="s">
        <v>2324</v>
      </c>
      <c r="F497" s="67">
        <v>5</v>
      </c>
      <c r="G497" s="67" t="s">
        <v>283</v>
      </c>
      <c r="H497" s="69">
        <v>45156</v>
      </c>
      <c r="I497" s="69" t="s">
        <v>1086</v>
      </c>
      <c r="J497" s="69" t="s">
        <v>1224</v>
      </c>
      <c r="K497" s="67" t="s">
        <v>1520</v>
      </c>
      <c r="L497" s="67" t="s">
        <v>2091</v>
      </c>
      <c r="M497" s="67" t="s">
        <v>2373</v>
      </c>
      <c r="N497" s="67" t="s">
        <v>2391</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5" t="s">
        <v>2392</v>
      </c>
      <c r="Y497" s="67"/>
      <c r="Z497" s="124" t="s">
        <v>770</v>
      </c>
      <c r="AA497" s="124" t="s">
        <v>1171</v>
      </c>
      <c r="AB497" s="124" t="s">
        <v>1174</v>
      </c>
      <c r="AC497" s="375"/>
    </row>
    <row r="498" spans="1:29" ht="39.950000000000003" hidden="1" customHeight="1">
      <c r="A498" s="67">
        <v>473</v>
      </c>
      <c r="B498" s="69">
        <v>45146</v>
      </c>
      <c r="C498" s="74">
        <v>0.33333333333333331</v>
      </c>
      <c r="D498" s="67" t="s">
        <v>2192</v>
      </c>
      <c r="E498" s="68" t="s">
        <v>2222</v>
      </c>
      <c r="F498" s="67">
        <v>6</v>
      </c>
      <c r="G498" s="67" t="s">
        <v>1442</v>
      </c>
      <c r="H498" s="69">
        <v>45160</v>
      </c>
      <c r="I498" s="69" t="s">
        <v>73</v>
      </c>
      <c r="J498" s="69" t="s">
        <v>31</v>
      </c>
      <c r="K498" s="67" t="s">
        <v>2344</v>
      </c>
      <c r="L498" s="67" t="s">
        <v>809</v>
      </c>
      <c r="M498" s="67" t="s">
        <v>2126</v>
      </c>
      <c r="N498" s="67" t="s">
        <v>2409</v>
      </c>
      <c r="O498" s="67" t="str">
        <f t="shared" ca="1" si="29"/>
        <v>SI</v>
      </c>
      <c r="P498" s="67" t="str">
        <f t="shared" si="28"/>
        <v>DIANOSOL</v>
      </c>
      <c r="Q498" s="67" t="s">
        <v>151</v>
      </c>
      <c r="R498" s="67" t="str">
        <f>VLOOKUP($Q498,Resultados!$A$1:$B$49,2,FALSE)</f>
        <v>Prisión Preventiva</v>
      </c>
      <c r="S498" s="74">
        <v>0.36527777777777781</v>
      </c>
      <c r="T498" s="77" t="str">
        <f t="shared" si="30"/>
        <v>SI</v>
      </c>
      <c r="U498" s="77"/>
      <c r="V498" s="67"/>
      <c r="W498" s="74">
        <v>0.38194444444444442</v>
      </c>
      <c r="X498" s="259" t="s">
        <v>2410</v>
      </c>
      <c r="Y498" s="67"/>
      <c r="Z498" s="124" t="s">
        <v>1041</v>
      </c>
      <c r="AA498" s="124" t="s">
        <v>743</v>
      </c>
      <c r="AB498" s="124" t="s">
        <v>1173</v>
      </c>
      <c r="AC498" s="375"/>
    </row>
    <row r="499" spans="1:29" ht="39.950000000000003" hidden="1" customHeight="1">
      <c r="A499" s="67">
        <v>500</v>
      </c>
      <c r="B499" s="69">
        <v>45149</v>
      </c>
      <c r="C499" s="74">
        <v>0.3347222222222222</v>
      </c>
      <c r="D499" s="67" t="s">
        <v>2286</v>
      </c>
      <c r="E499" s="68" t="s">
        <v>2288</v>
      </c>
      <c r="F499" s="67">
        <v>4</v>
      </c>
      <c r="G499" s="67" t="s">
        <v>283</v>
      </c>
      <c r="H499" s="69">
        <v>45160</v>
      </c>
      <c r="I499" s="69" t="s">
        <v>73</v>
      </c>
      <c r="J499" s="69" t="s">
        <v>35</v>
      </c>
      <c r="K499" s="67">
        <f>IFERROR(VLOOKUP(J499,Jueces!$A$1:$B$11,2,FALSE),"")</f>
        <v>3</v>
      </c>
      <c r="L499" s="67" t="s">
        <v>814</v>
      </c>
      <c r="M499" s="67" t="s">
        <v>2287</v>
      </c>
      <c r="N499" s="67" t="s">
        <v>2406</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2407</v>
      </c>
      <c r="Y499" s="67"/>
      <c r="Z499" s="124" t="s">
        <v>1042</v>
      </c>
      <c r="AA499" s="124" t="s">
        <v>1169</v>
      </c>
      <c r="AB499" s="124" t="s">
        <v>1175</v>
      </c>
      <c r="AC499" s="375"/>
    </row>
    <row r="500" spans="1:29" ht="39.950000000000003" hidden="1" customHeight="1">
      <c r="A500" s="67">
        <v>508</v>
      </c>
      <c r="B500" s="69">
        <v>45153</v>
      </c>
      <c r="C500" s="74">
        <v>0.33333333333333331</v>
      </c>
      <c r="D500" s="67" t="s">
        <v>2308</v>
      </c>
      <c r="E500" s="68" t="s">
        <v>2314</v>
      </c>
      <c r="F500" s="67">
        <v>4</v>
      </c>
      <c r="G500" s="67" t="s">
        <v>568</v>
      </c>
      <c r="H500" s="69">
        <v>45160</v>
      </c>
      <c r="I500" s="69" t="s">
        <v>73</v>
      </c>
      <c r="J500" s="69" t="s">
        <v>33</v>
      </c>
      <c r="K500" s="67">
        <f>IFERROR(VLOOKUP(J500,Jueces!$A$1:$B$11,2,FALSE),"")</f>
        <v>4</v>
      </c>
      <c r="L500" s="67" t="s">
        <v>800</v>
      </c>
      <c r="M500" s="67" t="s">
        <v>2220</v>
      </c>
      <c r="N500" s="67" t="s">
        <v>2412</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6"/>
      <c r="Y500" s="67"/>
      <c r="Z500" s="124" t="s">
        <v>743</v>
      </c>
      <c r="AA500" s="124" t="s">
        <v>1171</v>
      </c>
      <c r="AB500" s="124" t="s">
        <v>1177</v>
      </c>
      <c r="AC500" s="375"/>
    </row>
    <row r="501" spans="1:29" ht="39.950000000000003" hidden="1" customHeight="1">
      <c r="A501" s="67">
        <v>498</v>
      </c>
      <c r="B501" s="69">
        <v>45152</v>
      </c>
      <c r="C501" s="74">
        <v>0.33333333333333331</v>
      </c>
      <c r="D501" s="67" t="s">
        <v>2282</v>
      </c>
      <c r="E501" s="68" t="s">
        <v>2329</v>
      </c>
      <c r="F501" s="67">
        <v>6</v>
      </c>
      <c r="G501" s="67" t="s">
        <v>1441</v>
      </c>
      <c r="H501" s="69">
        <v>45160</v>
      </c>
      <c r="I501" s="69" t="s">
        <v>749</v>
      </c>
      <c r="J501" s="69" t="s">
        <v>1222</v>
      </c>
      <c r="K501" s="67" t="s">
        <v>2395</v>
      </c>
      <c r="L501" s="67" t="s">
        <v>791</v>
      </c>
      <c r="M501" s="67" t="s">
        <v>2306</v>
      </c>
      <c r="N501" s="67" t="s">
        <v>2262</v>
      </c>
      <c r="O501" s="67" t="str">
        <f t="shared" ca="1" si="29"/>
        <v>SI</v>
      </c>
      <c r="P501" s="67" t="str">
        <f t="shared" si="28"/>
        <v>DIANOSOL</v>
      </c>
      <c r="Q501" s="67" t="s">
        <v>899</v>
      </c>
      <c r="R501" s="67" t="str">
        <f>VLOOKUP($Q501,Resultados!$A$1:$B$49,2,FALSE)</f>
        <v>Libertad</v>
      </c>
      <c r="S501" s="67" t="s">
        <v>1246</v>
      </c>
      <c r="T501" s="77" t="str">
        <f t="shared" si="30"/>
        <v>NO</v>
      </c>
      <c r="U501" s="77"/>
      <c r="V501" s="67"/>
      <c r="W501" s="67" t="s">
        <v>1292</v>
      </c>
      <c r="X501" s="229" t="s">
        <v>2413</v>
      </c>
      <c r="Y501" s="67"/>
      <c r="Z501" s="124" t="s">
        <v>770</v>
      </c>
      <c r="AA501" s="124" t="s">
        <v>1169</v>
      </c>
      <c r="AB501" s="124" t="s">
        <v>1174</v>
      </c>
      <c r="AC501" s="375"/>
    </row>
    <row r="502" spans="1:29" ht="39.950000000000003" hidden="1" customHeight="1">
      <c r="A502" s="67">
        <v>506</v>
      </c>
      <c r="B502" s="69">
        <v>45152</v>
      </c>
      <c r="C502" s="74">
        <v>0.4604166666666667</v>
      </c>
      <c r="D502" s="67" t="s">
        <v>2304</v>
      </c>
      <c r="E502" s="68" t="s">
        <v>2309</v>
      </c>
      <c r="F502" s="67">
        <v>5</v>
      </c>
      <c r="G502" s="67" t="s">
        <v>29</v>
      </c>
      <c r="H502" s="69">
        <v>45160</v>
      </c>
      <c r="I502" s="69" t="s">
        <v>1086</v>
      </c>
      <c r="J502" s="69" t="s">
        <v>1220</v>
      </c>
      <c r="K502" s="67">
        <f>IFERROR(VLOOKUP(J502,Jueces!$A$1:$B$11,2,FALSE),"")</f>
        <v>1</v>
      </c>
      <c r="L502" s="67" t="s">
        <v>811</v>
      </c>
      <c r="M502" s="67" t="s">
        <v>2126</v>
      </c>
      <c r="N502" s="67" t="s">
        <v>2399</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9" t="s">
        <v>2411</v>
      </c>
      <c r="Y502" s="67"/>
      <c r="Z502" s="124" t="s">
        <v>1041</v>
      </c>
      <c r="AA502" s="124" t="s">
        <v>743</v>
      </c>
      <c r="AB502" s="124" t="s">
        <v>1173</v>
      </c>
      <c r="AC502" s="375"/>
    </row>
    <row r="503" spans="1:29" ht="39.950000000000003" hidden="1" customHeight="1">
      <c r="A503" s="67">
        <v>499</v>
      </c>
      <c r="B503" s="69">
        <v>45152</v>
      </c>
      <c r="C503" s="74">
        <v>0.33333333333333331</v>
      </c>
      <c r="D503" s="67" t="s">
        <v>2283</v>
      </c>
      <c r="E503" s="68" t="s">
        <v>2414</v>
      </c>
      <c r="F503" s="67">
        <v>4</v>
      </c>
      <c r="G503" s="67" t="s">
        <v>283</v>
      </c>
      <c r="H503" s="69">
        <v>45161</v>
      </c>
      <c r="I503" s="69" t="s">
        <v>73</v>
      </c>
      <c r="J503" s="69" t="s">
        <v>1223</v>
      </c>
      <c r="K503" s="67" t="s">
        <v>1326</v>
      </c>
      <c r="L503" s="67" t="s">
        <v>807</v>
      </c>
      <c r="M503" s="67" t="s">
        <v>2285</v>
      </c>
      <c r="N503" s="67" t="s">
        <v>2427</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30" t="s">
        <v>2428</v>
      </c>
      <c r="Y503" s="67"/>
      <c r="Z503" s="124" t="s">
        <v>1042</v>
      </c>
      <c r="AA503" s="124" t="s">
        <v>1169</v>
      </c>
      <c r="AB503" s="124" t="s">
        <v>1175</v>
      </c>
      <c r="AC503" s="375"/>
    </row>
    <row r="504" spans="1:29" ht="39.950000000000003" hidden="1" customHeight="1">
      <c r="A504" s="67">
        <v>504</v>
      </c>
      <c r="B504" s="69">
        <v>45152</v>
      </c>
      <c r="C504" s="74">
        <v>0.43958333333333338</v>
      </c>
      <c r="D504" s="67" t="s">
        <v>2302</v>
      </c>
      <c r="E504" s="68" t="s">
        <v>2415</v>
      </c>
      <c r="F504" s="67">
        <v>7</v>
      </c>
      <c r="G504" s="67" t="s">
        <v>1443</v>
      </c>
      <c r="H504" s="69">
        <v>45161</v>
      </c>
      <c r="I504" s="69" t="s">
        <v>73</v>
      </c>
      <c r="J504" s="69" t="s">
        <v>1222</v>
      </c>
      <c r="K504" s="67" t="s">
        <v>1346</v>
      </c>
      <c r="L504" s="68" t="s">
        <v>192</v>
      </c>
      <c r="M504" s="67" t="s">
        <v>2126</v>
      </c>
      <c r="N504" s="392" t="s">
        <v>2429</v>
      </c>
      <c r="O504" s="67" t="str">
        <f t="shared" ca="1" si="29"/>
        <v>SI</v>
      </c>
      <c r="P504" s="68" t="str">
        <f t="shared" si="28"/>
        <v>DIANOSOL</v>
      </c>
      <c r="Q504" s="67" t="s">
        <v>909</v>
      </c>
      <c r="R504" s="67" t="str">
        <f>VLOOKUP($Q504,Resultados!$A$1:$B$49,2,FALSE)</f>
        <v>Suspensión de juicio a prueba</v>
      </c>
      <c r="S504" s="74">
        <v>0.35694444444444445</v>
      </c>
      <c r="T504" s="231" t="str">
        <f t="shared" si="30"/>
        <v>NO</v>
      </c>
      <c r="U504" s="68"/>
      <c r="V504" s="68"/>
      <c r="W504" s="74">
        <v>0.36944444444444446</v>
      </c>
      <c r="X504" s="392" t="s">
        <v>2430</v>
      </c>
      <c r="Y504" s="68"/>
      <c r="Z504" s="339" t="s">
        <v>748</v>
      </c>
      <c r="AA504" s="124" t="s">
        <v>1171</v>
      </c>
      <c r="AB504" s="124" t="s">
        <v>1177</v>
      </c>
      <c r="AC504" s="375"/>
    </row>
    <row r="505" spans="1:29" ht="39.950000000000003" hidden="1" customHeight="1">
      <c r="A505" s="67">
        <v>509</v>
      </c>
      <c r="B505" s="69">
        <v>45154</v>
      </c>
      <c r="C505" s="74">
        <v>0.33333333333333331</v>
      </c>
      <c r="D505" s="67" t="s">
        <v>2316</v>
      </c>
      <c r="E505" s="68" t="s">
        <v>2416</v>
      </c>
      <c r="F505" s="67">
        <v>5</v>
      </c>
      <c r="G505" s="67" t="s">
        <v>568</v>
      </c>
      <c r="H505" s="69">
        <v>45161</v>
      </c>
      <c r="I505" s="69" t="s">
        <v>73</v>
      </c>
      <c r="J505" s="69" t="s">
        <v>1220</v>
      </c>
      <c r="K505" s="67" t="s">
        <v>1520</v>
      </c>
      <c r="L505" s="67" t="s">
        <v>2432</v>
      </c>
      <c r="M505" s="7" t="s">
        <v>2431</v>
      </c>
      <c r="N505" s="67" t="s">
        <v>1608</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30" t="s">
        <v>2433</v>
      </c>
      <c r="Y505" s="67"/>
      <c r="Z505" s="124" t="s">
        <v>743</v>
      </c>
      <c r="AA505" s="124" t="s">
        <v>1169</v>
      </c>
      <c r="AB505" s="124" t="s">
        <v>1173</v>
      </c>
      <c r="AC505" s="375"/>
    </row>
    <row r="506" spans="1:29" ht="39.950000000000003" hidden="1" customHeight="1">
      <c r="A506" s="67">
        <v>512</v>
      </c>
      <c r="B506" s="69">
        <v>45153</v>
      </c>
      <c r="C506" s="74">
        <v>0.47291666666666665</v>
      </c>
      <c r="D506" s="67" t="s">
        <v>2323</v>
      </c>
      <c r="E506" s="68" t="s">
        <v>2417</v>
      </c>
      <c r="F506" s="67">
        <v>6</v>
      </c>
      <c r="G506" s="67" t="s">
        <v>43</v>
      </c>
      <c r="H506" s="69">
        <v>45161</v>
      </c>
      <c r="I506" s="69" t="s">
        <v>73</v>
      </c>
      <c r="J506" s="69" t="s">
        <v>1224</v>
      </c>
      <c r="K506" s="67" t="s">
        <v>2395</v>
      </c>
      <c r="L506" s="67" t="s">
        <v>829</v>
      </c>
      <c r="M506" s="7" t="s">
        <v>2220</v>
      </c>
      <c r="N506" s="67" t="s">
        <v>2439</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4" t="s">
        <v>770</v>
      </c>
      <c r="AA506" s="124" t="s">
        <v>743</v>
      </c>
      <c r="AB506" s="124" t="s">
        <v>1174</v>
      </c>
      <c r="AC506" s="375"/>
    </row>
    <row r="507" spans="1:29" ht="39.950000000000003" hidden="1" customHeight="1">
      <c r="A507" s="67">
        <v>493</v>
      </c>
      <c r="B507" s="69">
        <v>45148</v>
      </c>
      <c r="C507" s="74">
        <v>0.40069444444444446</v>
      </c>
      <c r="D507" s="67" t="s">
        <v>2259</v>
      </c>
      <c r="E507" s="68" t="s">
        <v>2418</v>
      </c>
      <c r="F507" s="67">
        <v>5</v>
      </c>
      <c r="G507" s="67" t="s">
        <v>1442</v>
      </c>
      <c r="H507" s="69">
        <v>45161</v>
      </c>
      <c r="I507" s="69" t="s">
        <v>1086</v>
      </c>
      <c r="J507" s="69" t="s">
        <v>31</v>
      </c>
      <c r="K507" s="67" t="s">
        <v>1346</v>
      </c>
      <c r="L507" s="67" t="s">
        <v>813</v>
      </c>
      <c r="M507" s="7" t="s">
        <v>2126</v>
      </c>
      <c r="N507" s="7" t="s">
        <v>2436</v>
      </c>
      <c r="O507" s="67" t="str">
        <f t="shared" ca="1" si="29"/>
        <v>SI</v>
      </c>
      <c r="P507" s="67" t="str">
        <f t="shared" si="28"/>
        <v>DIANOSOL</v>
      </c>
      <c r="Q507" s="67" t="s">
        <v>904</v>
      </c>
      <c r="R507" s="67" t="str">
        <f>VLOOKUP($Q507,Resultados!$A$1:$B$49,2,FALSE)</f>
        <v>Juicio Abreviado</v>
      </c>
      <c r="S507" s="74">
        <v>0.4201388888888889</v>
      </c>
      <c r="T507" s="77" t="str">
        <f t="shared" si="31"/>
        <v>SI</v>
      </c>
      <c r="U507" s="77"/>
      <c r="V507" s="67"/>
      <c r="W507" s="74">
        <v>0.4375</v>
      </c>
      <c r="X507" s="230" t="s">
        <v>2437</v>
      </c>
      <c r="Y507" s="67"/>
      <c r="Z507" s="124" t="s">
        <v>1041</v>
      </c>
      <c r="AA507" s="124" t="s">
        <v>743</v>
      </c>
      <c r="AB507" s="124" t="s">
        <v>1173</v>
      </c>
      <c r="AC507" s="375"/>
    </row>
    <row r="508" spans="1:29" ht="39.950000000000003" hidden="1" customHeight="1">
      <c r="A508" s="67">
        <v>522</v>
      </c>
      <c r="B508" s="69">
        <v>45154</v>
      </c>
      <c r="C508" s="74">
        <v>0.43402777777777773</v>
      </c>
      <c r="D508" s="67" t="s">
        <v>2361</v>
      </c>
      <c r="E508" s="68" t="s">
        <v>2419</v>
      </c>
      <c r="F508" s="67">
        <v>5</v>
      </c>
      <c r="G508" s="67" t="s">
        <v>32</v>
      </c>
      <c r="H508" s="69">
        <v>45161</v>
      </c>
      <c r="I508" s="69" t="s">
        <v>1086</v>
      </c>
      <c r="J508" s="69" t="s">
        <v>33</v>
      </c>
      <c r="K508" s="67">
        <f>IFERROR(VLOOKUP(J508,Jueces!$A$1:$B$11,2,FALSE),"")</f>
        <v>4</v>
      </c>
      <c r="L508" s="67" t="s">
        <v>801</v>
      </c>
      <c r="M508" s="7" t="s">
        <v>1966</v>
      </c>
      <c r="N508" s="392" t="s">
        <v>2434</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30" t="s">
        <v>2435</v>
      </c>
      <c r="Y508" s="67"/>
      <c r="Z508" s="124" t="s">
        <v>1042</v>
      </c>
      <c r="AA508" s="124" t="s">
        <v>1171</v>
      </c>
      <c r="AB508" s="124" t="s">
        <v>1175</v>
      </c>
      <c r="AC508" s="375"/>
    </row>
    <row r="509" spans="1:29" ht="63.75" hidden="1">
      <c r="A509" s="67">
        <v>507</v>
      </c>
      <c r="B509" s="69">
        <v>45152</v>
      </c>
      <c r="C509" s="74">
        <v>0.51111111111111118</v>
      </c>
      <c r="D509" s="67" t="s">
        <v>2307</v>
      </c>
      <c r="E509" s="68" t="s">
        <v>2420</v>
      </c>
      <c r="F509" s="67">
        <v>6</v>
      </c>
      <c r="G509" s="67" t="s">
        <v>29</v>
      </c>
      <c r="H509" s="69">
        <v>45161</v>
      </c>
      <c r="I509" s="69" t="s">
        <v>77</v>
      </c>
      <c r="J509" s="69" t="s">
        <v>31</v>
      </c>
      <c r="K509" s="67" t="s">
        <v>1491</v>
      </c>
      <c r="L509" s="67" t="s">
        <v>811</v>
      </c>
      <c r="M509" s="7" t="s">
        <v>2126</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4" t="s">
        <v>2447</v>
      </c>
      <c r="Y509" s="67"/>
      <c r="Z509" s="124" t="s">
        <v>748</v>
      </c>
      <c r="AA509" s="124" t="s">
        <v>1171</v>
      </c>
      <c r="AB509" s="124" t="s">
        <v>1177</v>
      </c>
      <c r="AC509" s="375"/>
    </row>
    <row r="510" spans="1:29" ht="63.75" hidden="1">
      <c r="A510" s="67">
        <v>501</v>
      </c>
      <c r="B510" s="69">
        <v>45152</v>
      </c>
      <c r="C510" s="74">
        <v>0.39097222222222222</v>
      </c>
      <c r="D510" s="67" t="s">
        <v>2284</v>
      </c>
      <c r="E510" s="68" t="s">
        <v>2454</v>
      </c>
      <c r="F510" s="67">
        <v>7</v>
      </c>
      <c r="G510" s="67" t="s">
        <v>1443</v>
      </c>
      <c r="H510" s="69">
        <v>45162</v>
      </c>
      <c r="I510" s="69" t="s">
        <v>73</v>
      </c>
      <c r="J510" s="69" t="s">
        <v>1222</v>
      </c>
      <c r="K510" s="67" t="s">
        <v>1346</v>
      </c>
      <c r="L510" s="67" t="s">
        <v>2095</v>
      </c>
      <c r="M510" s="67" t="s">
        <v>2325</v>
      </c>
      <c r="N510" s="67" t="s">
        <v>2489</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2457</v>
      </c>
      <c r="Y510" s="67"/>
      <c r="Z510" s="124" t="s">
        <v>743</v>
      </c>
      <c r="AA510" s="124" t="s">
        <v>1169</v>
      </c>
      <c r="AB510" s="124" t="s">
        <v>1176</v>
      </c>
      <c r="AC510" s="375"/>
    </row>
    <row r="511" spans="1:29" ht="89.25" hidden="1">
      <c r="A511" s="67">
        <v>503</v>
      </c>
      <c r="B511" s="69">
        <v>45152</v>
      </c>
      <c r="C511" s="74">
        <v>0.49583333333333335</v>
      </c>
      <c r="D511" s="67" t="s">
        <v>2301</v>
      </c>
      <c r="E511" s="68" t="s">
        <v>2448</v>
      </c>
      <c r="F511" s="67">
        <v>8</v>
      </c>
      <c r="G511" s="67" t="s">
        <v>43</v>
      </c>
      <c r="H511" s="69">
        <v>45162</v>
      </c>
      <c r="I511" s="69" t="s">
        <v>73</v>
      </c>
      <c r="J511" s="69" t="s">
        <v>33</v>
      </c>
      <c r="K511" s="67">
        <f>IFERROR(VLOOKUP(J511,Jueces!$A$1:$B$11,2,FALSE),"")</f>
        <v>4</v>
      </c>
      <c r="L511" s="67" t="s">
        <v>1070</v>
      </c>
      <c r="M511" s="67" t="s">
        <v>2315</v>
      </c>
      <c r="N511" s="67" t="s">
        <v>2458</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4" t="s">
        <v>770</v>
      </c>
      <c r="AA511" s="124" t="s">
        <v>743</v>
      </c>
      <c r="AB511" s="124" t="s">
        <v>1174</v>
      </c>
      <c r="AC511" s="375"/>
    </row>
    <row r="512" spans="1:29" ht="102" hidden="1">
      <c r="A512" s="67">
        <v>510</v>
      </c>
      <c r="B512" s="69">
        <v>45153</v>
      </c>
      <c r="C512" s="74">
        <v>0.48402777777777778</v>
      </c>
      <c r="D512" s="67" t="s">
        <v>2317</v>
      </c>
      <c r="E512" s="68" t="s">
        <v>2470</v>
      </c>
      <c r="F512" s="67">
        <v>5</v>
      </c>
      <c r="G512" s="67" t="s">
        <v>29</v>
      </c>
      <c r="H512" s="69">
        <v>45162</v>
      </c>
      <c r="I512" s="69" t="s">
        <v>73</v>
      </c>
      <c r="J512" s="69" t="s">
        <v>78</v>
      </c>
      <c r="K512" s="67">
        <f>IFERROR(VLOOKUP(J512,Jueces!$A$1:$B$11,2,FALSE),"")</f>
        <v>8</v>
      </c>
      <c r="L512" s="67" t="s">
        <v>796</v>
      </c>
      <c r="M512" s="67" t="s">
        <v>2318</v>
      </c>
      <c r="N512" s="67" t="s">
        <v>2453</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4" t="s">
        <v>2450</v>
      </c>
      <c r="AA512" s="124" t="s">
        <v>743</v>
      </c>
      <c r="AB512" s="124" t="s">
        <v>1173</v>
      </c>
      <c r="AC512" s="375"/>
    </row>
    <row r="513" spans="1:29" ht="63.75" hidden="1">
      <c r="A513" s="67">
        <v>511</v>
      </c>
      <c r="B513" s="69">
        <v>45153</v>
      </c>
      <c r="C513" s="74">
        <v>0.47013888888888888</v>
      </c>
      <c r="D513" s="67" t="s">
        <v>2322</v>
      </c>
      <c r="E513" s="68" t="s">
        <v>2343</v>
      </c>
      <c r="F513" s="67">
        <v>6</v>
      </c>
      <c r="G513" s="67" t="s">
        <v>1442</v>
      </c>
      <c r="H513" s="69">
        <v>45162</v>
      </c>
      <c r="I513" s="69" t="s">
        <v>73</v>
      </c>
      <c r="J513" s="69" t="s">
        <v>1223</v>
      </c>
      <c r="K513" s="67" t="s">
        <v>1926</v>
      </c>
      <c r="L513" s="67" t="s">
        <v>806</v>
      </c>
      <c r="M513" s="67" t="s">
        <v>725</v>
      </c>
      <c r="N513" s="67" t="s">
        <v>2455</v>
      </c>
      <c r="O513" s="67" t="str">
        <f t="shared" ca="1" si="29"/>
        <v>SI</v>
      </c>
      <c r="P513" s="67" t="str">
        <f t="shared" si="28"/>
        <v>DIANOSOL</v>
      </c>
      <c r="Q513" s="67" t="s">
        <v>904</v>
      </c>
      <c r="R513" s="67" t="str">
        <f>VLOOKUP($Q513,Resultados!$A$1:$B$49,2,FALSE)</f>
        <v>Juicio Abreviado</v>
      </c>
      <c r="S513" s="74">
        <v>0.38263888888888892</v>
      </c>
      <c r="T513" s="77" t="str">
        <f t="shared" si="31"/>
        <v>SI</v>
      </c>
      <c r="U513" s="77"/>
      <c r="V513" s="67"/>
      <c r="W513" s="74">
        <v>0.39374999999999999</v>
      </c>
      <c r="X513" s="67"/>
      <c r="Y513" s="67"/>
      <c r="Z513" s="124" t="s">
        <v>748</v>
      </c>
      <c r="AA513" s="124" t="s">
        <v>1171</v>
      </c>
      <c r="AB513" s="124" t="s">
        <v>1176</v>
      </c>
      <c r="AC513" s="375"/>
    </row>
    <row r="514" spans="1:29" ht="51" hidden="1">
      <c r="A514" s="67">
        <v>514</v>
      </c>
      <c r="B514" s="69">
        <v>45153</v>
      </c>
      <c r="C514" s="74">
        <v>0.49722222222222223</v>
      </c>
      <c r="D514" s="67" t="s">
        <v>2327</v>
      </c>
      <c r="E514" s="68" t="s">
        <v>2354</v>
      </c>
      <c r="F514" s="67">
        <v>5</v>
      </c>
      <c r="G514" s="67" t="s">
        <v>1441</v>
      </c>
      <c r="H514" s="69">
        <v>45162</v>
      </c>
      <c r="I514" s="69" t="s">
        <v>73</v>
      </c>
      <c r="J514" s="69" t="s">
        <v>1223</v>
      </c>
      <c r="K514" s="67" t="s">
        <v>1926</v>
      </c>
      <c r="L514" s="67" t="s">
        <v>812</v>
      </c>
      <c r="M514" s="67" t="s">
        <v>1966</v>
      </c>
      <c r="N514" s="67" t="s">
        <v>2463</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2696</v>
      </c>
      <c r="Y514" s="67"/>
      <c r="Z514" s="124" t="s">
        <v>1041</v>
      </c>
      <c r="AA514" s="124" t="s">
        <v>1171</v>
      </c>
      <c r="AB514" s="124" t="s">
        <v>1175</v>
      </c>
      <c r="AC514" s="375"/>
    </row>
    <row r="515" spans="1:29" ht="51" hidden="1">
      <c r="A515" s="67">
        <v>518</v>
      </c>
      <c r="B515" s="69">
        <v>45154</v>
      </c>
      <c r="C515" s="74">
        <v>0.48819444444444443</v>
      </c>
      <c r="D515" s="67" t="s">
        <v>2351</v>
      </c>
      <c r="E515" s="68" t="s">
        <v>2352</v>
      </c>
      <c r="F515" s="67">
        <v>6</v>
      </c>
      <c r="G515" s="67" t="s">
        <v>568</v>
      </c>
      <c r="H515" s="69">
        <v>45162</v>
      </c>
      <c r="I515" s="69" t="s">
        <v>73</v>
      </c>
      <c r="J515" s="69" t="s">
        <v>1220</v>
      </c>
      <c r="K515" s="67" t="s">
        <v>1520</v>
      </c>
      <c r="L515" s="67" t="s">
        <v>829</v>
      </c>
      <c r="M515" s="67" t="s">
        <v>2126</v>
      </c>
      <c r="N515" s="67" t="s">
        <v>2472</v>
      </c>
      <c r="O515" s="67" t="str">
        <f t="shared" ca="1" si="29"/>
        <v>SI</v>
      </c>
      <c r="P515" s="67" t="str">
        <f t="shared" ref="P515:P578" si="32">IF($P$1=H515,"DIASOL", "DIANOSOL")</f>
        <v>DIANOSOL</v>
      </c>
      <c r="Q515" s="67" t="s">
        <v>1512</v>
      </c>
      <c r="R515" s="67" t="str">
        <f>VLOOKUP($Q515,Resultados!$A$1:$B$49,2,FALSE)</f>
        <v>Juicio Abreviado</v>
      </c>
      <c r="S515" s="67"/>
      <c r="T515" s="77" t="str">
        <f t="shared" si="31"/>
        <v>NO</v>
      </c>
      <c r="U515" s="77"/>
      <c r="V515" s="67"/>
      <c r="W515" s="67"/>
      <c r="X515" s="67"/>
      <c r="Y515" s="67"/>
      <c r="Z515" s="124" t="s">
        <v>1042</v>
      </c>
      <c r="AA515" s="124" t="s">
        <v>1169</v>
      </c>
      <c r="AB515" s="124" t="s">
        <v>1177</v>
      </c>
      <c r="AC515" s="375"/>
    </row>
    <row r="516" spans="1:29" ht="39.950000000000003" hidden="1" customHeight="1">
      <c r="A516" s="67">
        <v>517</v>
      </c>
      <c r="B516" s="69">
        <v>45154</v>
      </c>
      <c r="C516" s="74">
        <v>0.4694444444444445</v>
      </c>
      <c r="D516" s="67" t="s">
        <v>2349</v>
      </c>
      <c r="E516" s="68" t="s">
        <v>2360</v>
      </c>
      <c r="F516" s="67">
        <v>5</v>
      </c>
      <c r="G516" s="67" t="s">
        <v>283</v>
      </c>
      <c r="H516" s="69">
        <v>45162</v>
      </c>
      <c r="I516" s="69" t="s">
        <v>1086</v>
      </c>
      <c r="J516" s="69" t="s">
        <v>1224</v>
      </c>
      <c r="K516" s="67" t="s">
        <v>1520</v>
      </c>
      <c r="L516" s="67" t="s">
        <v>2091</v>
      </c>
      <c r="M516" s="67" t="s">
        <v>2126</v>
      </c>
      <c r="N516" s="67" t="s">
        <v>2455</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2456</v>
      </c>
      <c r="Y516" s="67"/>
      <c r="Z516" s="124" t="s">
        <v>743</v>
      </c>
      <c r="AA516" s="124" t="s">
        <v>743</v>
      </c>
      <c r="AB516" s="124" t="s">
        <v>1174</v>
      </c>
      <c r="AC516" s="375"/>
    </row>
    <row r="517" spans="1:29" ht="39.950000000000003" hidden="1" customHeight="1">
      <c r="A517" s="67">
        <v>505</v>
      </c>
      <c r="B517" s="69">
        <v>45152</v>
      </c>
      <c r="C517" s="74">
        <v>0.44791666666666669</v>
      </c>
      <c r="D517" s="67" t="s">
        <v>2303</v>
      </c>
      <c r="E517" s="68" t="s">
        <v>2398</v>
      </c>
      <c r="F517" s="67">
        <v>6</v>
      </c>
      <c r="G517" s="67" t="s">
        <v>1443</v>
      </c>
      <c r="H517" s="69">
        <v>45163</v>
      </c>
      <c r="I517" s="69" t="s">
        <v>73</v>
      </c>
      <c r="J517" s="69" t="s">
        <v>1223</v>
      </c>
      <c r="K517" s="67" t="s">
        <v>1926</v>
      </c>
      <c r="L517" s="67" t="s">
        <v>1070</v>
      </c>
      <c r="M517" s="67" t="s">
        <v>1416</v>
      </c>
      <c r="N517" s="67" t="s">
        <v>2481</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2482</v>
      </c>
      <c r="Y517" s="67"/>
      <c r="Z517" s="124" t="s">
        <v>770</v>
      </c>
      <c r="AA517" s="124" t="s">
        <v>743</v>
      </c>
      <c r="AB517" s="124" t="s">
        <v>1173</v>
      </c>
      <c r="AC517" s="375"/>
    </row>
    <row r="518" spans="1:29" ht="39.950000000000003" hidden="1" customHeight="1">
      <c r="A518" s="67">
        <v>520</v>
      </c>
      <c r="B518" s="69">
        <v>45154</v>
      </c>
      <c r="C518" s="74">
        <v>0.53125</v>
      </c>
      <c r="D518" s="67" t="s">
        <v>2357</v>
      </c>
      <c r="E518" s="68" t="s">
        <v>2473</v>
      </c>
      <c r="F518" s="67">
        <v>6</v>
      </c>
      <c r="G518" s="67" t="s">
        <v>568</v>
      </c>
      <c r="H518" s="69">
        <v>45163</v>
      </c>
      <c r="I518" s="69" t="s">
        <v>73</v>
      </c>
      <c r="J518" s="69" t="s">
        <v>1220</v>
      </c>
      <c r="K518" s="67" t="s">
        <v>1520</v>
      </c>
      <c r="L518" s="67" t="s">
        <v>812</v>
      </c>
      <c r="M518" s="67" t="s">
        <v>725</v>
      </c>
      <c r="N518" s="67" t="s">
        <v>2483</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2484</v>
      </c>
      <c r="Y518" s="67"/>
      <c r="Z518" s="124" t="s">
        <v>1041</v>
      </c>
      <c r="AA518" s="124" t="s">
        <v>1169</v>
      </c>
      <c r="AB518" s="124" t="s">
        <v>1175</v>
      </c>
      <c r="AC518" s="375"/>
    </row>
    <row r="519" spans="1:29" ht="39.950000000000003" hidden="1" customHeight="1">
      <c r="A519" s="67">
        <v>524</v>
      </c>
      <c r="B519" s="69">
        <v>45155</v>
      </c>
      <c r="C519" s="74">
        <v>0.4680555555555555</v>
      </c>
      <c r="D519" s="67" t="s">
        <v>2369</v>
      </c>
      <c r="E519" s="68" t="s">
        <v>2474</v>
      </c>
      <c r="F519" s="67">
        <v>6</v>
      </c>
      <c r="G519" s="67" t="s">
        <v>43</v>
      </c>
      <c r="H519" s="69">
        <v>45163</v>
      </c>
      <c r="I519" s="69" t="s">
        <v>73</v>
      </c>
      <c r="J519" s="69" t="s">
        <v>1222</v>
      </c>
      <c r="K519" s="67" t="s">
        <v>1346</v>
      </c>
      <c r="L519" s="67" t="s">
        <v>798</v>
      </c>
      <c r="M519" s="67" t="s">
        <v>2126</v>
      </c>
      <c r="N519" s="67" t="s">
        <v>2479</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4" t="s">
        <v>1042</v>
      </c>
      <c r="AA519" s="124" t="s">
        <v>1169</v>
      </c>
      <c r="AB519" s="124" t="s">
        <v>1176</v>
      </c>
      <c r="AC519" s="375"/>
    </row>
    <row r="520" spans="1:29" ht="39.950000000000003" hidden="1" customHeight="1">
      <c r="A520" s="67">
        <v>527</v>
      </c>
      <c r="B520" s="69">
        <v>45156</v>
      </c>
      <c r="C520" s="74">
        <v>0.48055555555555557</v>
      </c>
      <c r="D520" s="67" t="s">
        <v>2397</v>
      </c>
      <c r="E520" s="68" t="s">
        <v>2475</v>
      </c>
      <c r="F520" s="67">
        <v>6</v>
      </c>
      <c r="G520" s="67" t="s">
        <v>32</v>
      </c>
      <c r="H520" s="69">
        <v>45163</v>
      </c>
      <c r="I520" s="69" t="s">
        <v>73</v>
      </c>
      <c r="J520" s="69" t="s">
        <v>78</v>
      </c>
      <c r="K520" s="67" t="s">
        <v>1491</v>
      </c>
      <c r="L520" s="67" t="s">
        <v>811</v>
      </c>
      <c r="M520" s="67" t="s">
        <v>2220</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4" t="s">
        <v>748</v>
      </c>
      <c r="AA520" s="124" t="s">
        <v>743</v>
      </c>
      <c r="AB520" s="124" t="s">
        <v>1174</v>
      </c>
      <c r="AC520" s="375"/>
    </row>
    <row r="521" spans="1:29" ht="39.950000000000003" hidden="1" customHeight="1">
      <c r="A521" s="67">
        <v>523</v>
      </c>
      <c r="B521" s="69">
        <v>45155</v>
      </c>
      <c r="C521" s="74">
        <v>0.34236111111111112</v>
      </c>
      <c r="D521" s="67" t="s">
        <v>2367</v>
      </c>
      <c r="E521" s="68" t="s">
        <v>2476</v>
      </c>
      <c r="F521" s="67">
        <v>4</v>
      </c>
      <c r="G521" s="67" t="s">
        <v>29</v>
      </c>
      <c r="H521" s="69">
        <v>45163</v>
      </c>
      <c r="I521" s="69" t="s">
        <v>1086</v>
      </c>
      <c r="J521" s="69" t="s">
        <v>1224</v>
      </c>
      <c r="K521" s="67" t="s">
        <v>1326</v>
      </c>
      <c r="L521" s="67" t="s">
        <v>796</v>
      </c>
      <c r="M521" s="67" t="s">
        <v>2371</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4" t="s">
        <v>743</v>
      </c>
      <c r="AA521" s="124" t="s">
        <v>1171</v>
      </c>
      <c r="AB521" s="124" t="s">
        <v>1177</v>
      </c>
      <c r="AC521" s="375"/>
    </row>
    <row r="522" spans="1:29" ht="39.950000000000003" hidden="1" customHeight="1">
      <c r="A522" s="67">
        <v>525</v>
      </c>
      <c r="B522" s="69">
        <v>45155</v>
      </c>
      <c r="C522" s="74">
        <v>0.47500000000000003</v>
      </c>
      <c r="D522" s="67" t="s">
        <v>2370</v>
      </c>
      <c r="E522" s="68" t="s">
        <v>2477</v>
      </c>
      <c r="F522" s="67">
        <v>5</v>
      </c>
      <c r="G522" s="67" t="s">
        <v>1442</v>
      </c>
      <c r="H522" s="69">
        <v>45163</v>
      </c>
      <c r="I522" s="69" t="s">
        <v>1086</v>
      </c>
      <c r="J522" s="69" t="s">
        <v>33</v>
      </c>
      <c r="K522" s="67" t="s">
        <v>1520</v>
      </c>
      <c r="L522" s="67" t="s">
        <v>798</v>
      </c>
      <c r="M522" s="67" t="s">
        <v>1966</v>
      </c>
      <c r="N522" s="67" t="s">
        <v>2480</v>
      </c>
      <c r="O522" s="67" t="str">
        <f t="shared" ca="1" si="29"/>
        <v>SI</v>
      </c>
      <c r="P522" s="67" t="str">
        <f t="shared" si="32"/>
        <v>DIANOSOL</v>
      </c>
      <c r="Q522" s="67" t="s">
        <v>151</v>
      </c>
      <c r="R522" s="67" t="str">
        <f>VLOOKUP($Q522,Resultados!$A$1:$B$49,2,FALSE)</f>
        <v>Prisión Preventiva</v>
      </c>
      <c r="S522" s="74">
        <v>0.38125000000000003</v>
      </c>
      <c r="T522" s="77" t="str">
        <f t="shared" si="31"/>
        <v>SI</v>
      </c>
      <c r="U522" s="77"/>
      <c r="V522" s="67"/>
      <c r="W522" s="74">
        <v>0.39861111111111108</v>
      </c>
      <c r="X522" s="67"/>
      <c r="Y522" s="67"/>
      <c r="Z522" s="124" t="s">
        <v>770</v>
      </c>
      <c r="AA522" s="124" t="s">
        <v>1171</v>
      </c>
      <c r="AB522" s="124" t="s">
        <v>1173</v>
      </c>
      <c r="AC522" s="375"/>
    </row>
    <row r="523" spans="1:29" ht="39.950000000000003" hidden="1" customHeight="1">
      <c r="A523" s="67">
        <v>502</v>
      </c>
      <c r="B523" s="69">
        <v>45152</v>
      </c>
      <c r="C523" s="74">
        <v>0.45347222222222222</v>
      </c>
      <c r="D523" s="67" t="s">
        <v>2300</v>
      </c>
      <c r="E523" s="68" t="s">
        <v>2502</v>
      </c>
      <c r="F523" s="67">
        <v>7</v>
      </c>
      <c r="G523" s="67" t="s">
        <v>32</v>
      </c>
      <c r="H523" s="69">
        <v>45167</v>
      </c>
      <c r="I523" s="69" t="s">
        <v>73</v>
      </c>
      <c r="J523" s="69" t="s">
        <v>1224</v>
      </c>
      <c r="K523" s="67" t="s">
        <v>1326</v>
      </c>
      <c r="L523" s="67" t="s">
        <v>796</v>
      </c>
      <c r="M523" s="67"/>
      <c r="N523" s="67" t="s">
        <v>2582</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4" t="s">
        <v>1041</v>
      </c>
      <c r="AA523" s="124" t="s">
        <v>743</v>
      </c>
      <c r="AB523" s="124" t="s">
        <v>1175</v>
      </c>
      <c r="AC523" s="375"/>
    </row>
    <row r="524" spans="1:29" ht="39.950000000000003" hidden="1" customHeight="1">
      <c r="A524" s="67">
        <v>515</v>
      </c>
      <c r="B524" s="69">
        <v>45153</v>
      </c>
      <c r="C524" s="74">
        <v>0.51458333333333328</v>
      </c>
      <c r="D524" s="67" t="s">
        <v>2328</v>
      </c>
      <c r="E524" s="68" t="s">
        <v>2505</v>
      </c>
      <c r="F524" s="67">
        <v>6</v>
      </c>
      <c r="G524" s="67" t="s">
        <v>43</v>
      </c>
      <c r="H524" s="69">
        <v>45167</v>
      </c>
      <c r="I524" s="69" t="s">
        <v>73</v>
      </c>
      <c r="J524" s="69" t="s">
        <v>31</v>
      </c>
      <c r="K524" s="67">
        <f>IFERROR(VLOOKUP(J524,Jueces!$A$1:$B$11,2,FALSE),"")</f>
        <v>2</v>
      </c>
      <c r="L524" s="67" t="s">
        <v>812</v>
      </c>
      <c r="M524" s="67" t="s">
        <v>2220</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6"/>
      <c r="Y524" s="67"/>
      <c r="Z524" s="124" t="s">
        <v>1042</v>
      </c>
      <c r="AA524" s="124" t="s">
        <v>1169</v>
      </c>
      <c r="AB524" s="124" t="s">
        <v>1177</v>
      </c>
      <c r="AC524" s="375"/>
    </row>
    <row r="525" spans="1:29" ht="39.950000000000003" hidden="1" customHeight="1">
      <c r="A525" s="67">
        <v>516</v>
      </c>
      <c r="B525" s="69">
        <v>45154</v>
      </c>
      <c r="C525" s="67" t="s">
        <v>2347</v>
      </c>
      <c r="D525" s="67" t="s">
        <v>2348</v>
      </c>
      <c r="E525" s="68" t="s">
        <v>2504</v>
      </c>
      <c r="F525" s="67">
        <v>5</v>
      </c>
      <c r="G525" s="67" t="s">
        <v>29</v>
      </c>
      <c r="H525" s="69">
        <v>45167</v>
      </c>
      <c r="I525" s="69" t="s">
        <v>73</v>
      </c>
      <c r="J525" s="69" t="s">
        <v>1223</v>
      </c>
      <c r="K525" s="67" t="s">
        <v>1346</v>
      </c>
      <c r="L525" s="67" t="s">
        <v>569</v>
      </c>
      <c r="M525" s="67"/>
      <c r="N525" s="67" t="s">
        <v>2551</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9" t="s">
        <v>2550</v>
      </c>
      <c r="Y525" s="67"/>
      <c r="Z525" s="124" t="s">
        <v>748</v>
      </c>
      <c r="AA525" s="124"/>
      <c r="AB525" s="124" t="s">
        <v>1176</v>
      </c>
      <c r="AC525" s="375"/>
    </row>
    <row r="526" spans="1:29" ht="39.950000000000003" hidden="1" customHeight="1">
      <c r="A526" s="67">
        <v>519</v>
      </c>
      <c r="B526" s="69">
        <v>45154</v>
      </c>
      <c r="C526" s="74">
        <v>0.50069444444444444</v>
      </c>
      <c r="D526" s="67" t="s">
        <v>2353</v>
      </c>
      <c r="E526" s="68" t="s">
        <v>2503</v>
      </c>
      <c r="F526" s="67">
        <v>5</v>
      </c>
      <c r="G526" s="67" t="s">
        <v>1441</v>
      </c>
      <c r="H526" s="69">
        <v>45167</v>
      </c>
      <c r="I526" s="69" t="s">
        <v>73</v>
      </c>
      <c r="J526" s="69" t="s">
        <v>1222</v>
      </c>
      <c r="K526" s="67" t="s">
        <v>1926</v>
      </c>
      <c r="L526" s="67" t="s">
        <v>791</v>
      </c>
      <c r="M526" s="67" t="s">
        <v>2126</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2516</v>
      </c>
      <c r="Y526" s="67"/>
      <c r="Z526" s="124" t="s">
        <v>743</v>
      </c>
      <c r="AA526" s="124" t="s">
        <v>1169</v>
      </c>
      <c r="AB526" s="124" t="s">
        <v>1174</v>
      </c>
      <c r="AC526" s="375"/>
    </row>
    <row r="527" spans="1:29" ht="39.950000000000003" hidden="1" customHeight="1">
      <c r="A527" s="67">
        <v>531</v>
      </c>
      <c r="B527" s="69">
        <v>45160</v>
      </c>
      <c r="C527" s="74">
        <v>0.47430555555555554</v>
      </c>
      <c r="D527" s="67" t="s">
        <v>2404</v>
      </c>
      <c r="E527" s="68" t="s">
        <v>2506</v>
      </c>
      <c r="F527" s="67">
        <v>6</v>
      </c>
      <c r="G527" s="67" t="s">
        <v>568</v>
      </c>
      <c r="H527" s="69">
        <v>45167</v>
      </c>
      <c r="I527" s="69" t="s">
        <v>73</v>
      </c>
      <c r="J527" s="69" t="s">
        <v>78</v>
      </c>
      <c r="K527" s="67">
        <f>IFERROR(VLOOKUP(J527,Jueces!$A$1:$B$11,2,FALSE),"")</f>
        <v>8</v>
      </c>
      <c r="L527" s="67" t="s">
        <v>811</v>
      </c>
      <c r="M527" s="67" t="s">
        <v>725</v>
      </c>
      <c r="N527" s="67" t="s">
        <v>2517</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4" t="s">
        <v>770</v>
      </c>
      <c r="AA527" s="124" t="s">
        <v>743</v>
      </c>
      <c r="AB527" s="124" t="s">
        <v>1173</v>
      </c>
      <c r="AC527" s="375"/>
    </row>
    <row r="528" spans="1:29" ht="39.950000000000003" hidden="1" customHeight="1">
      <c r="A528" s="67">
        <v>530</v>
      </c>
      <c r="B528" s="69">
        <v>45160</v>
      </c>
      <c r="C528" s="74">
        <v>0.47083333333333338</v>
      </c>
      <c r="D528" s="67" t="s">
        <v>2402</v>
      </c>
      <c r="E528" s="68" t="s">
        <v>2508</v>
      </c>
      <c r="F528" s="67">
        <v>6</v>
      </c>
      <c r="G528" s="67" t="s">
        <v>283</v>
      </c>
      <c r="H528" s="69">
        <v>45167</v>
      </c>
      <c r="I528" s="69" t="s">
        <v>1086</v>
      </c>
      <c r="J528" s="69" t="s">
        <v>1223</v>
      </c>
      <c r="K528" s="67" t="s">
        <v>2424</v>
      </c>
      <c r="L528" s="67" t="s">
        <v>798</v>
      </c>
      <c r="M528" s="67" t="s">
        <v>2126</v>
      </c>
      <c r="N528" s="67" t="s">
        <v>2515</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6"/>
      <c r="Y528" s="67"/>
      <c r="Z528" s="124" t="s">
        <v>1041</v>
      </c>
      <c r="AA528" s="124" t="s">
        <v>1171</v>
      </c>
      <c r="AB528" s="124" t="s">
        <v>1175</v>
      </c>
      <c r="AC528" s="375"/>
    </row>
    <row r="529" spans="1:29" ht="39.950000000000003" hidden="1" customHeight="1">
      <c r="A529" s="67">
        <v>521</v>
      </c>
      <c r="B529" s="69">
        <v>45154</v>
      </c>
      <c r="C529" s="74">
        <v>0.53194444444444444</v>
      </c>
      <c r="D529" s="67" t="s">
        <v>2358</v>
      </c>
      <c r="E529" s="68" t="s">
        <v>2359</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4" t="s">
        <v>2540</v>
      </c>
      <c r="Y529" s="67"/>
      <c r="Z529" s="124" t="s">
        <v>748</v>
      </c>
      <c r="AA529" s="124" t="s">
        <v>743</v>
      </c>
      <c r="AB529" s="124" t="s">
        <v>1174</v>
      </c>
      <c r="AC529" s="375"/>
    </row>
    <row r="530" spans="1:29" ht="39.950000000000003" hidden="1" customHeight="1">
      <c r="A530" s="67">
        <v>526</v>
      </c>
      <c r="B530" s="69">
        <v>45156</v>
      </c>
      <c r="C530" s="74">
        <v>0.47569444444444442</v>
      </c>
      <c r="D530" s="67" t="s">
        <v>2396</v>
      </c>
      <c r="E530" s="68" t="s">
        <v>2471</v>
      </c>
      <c r="F530" s="67">
        <v>6</v>
      </c>
      <c r="G530" s="67" t="s">
        <v>1442</v>
      </c>
      <c r="H530" s="69">
        <v>45168</v>
      </c>
      <c r="I530" s="69" t="s">
        <v>73</v>
      </c>
      <c r="J530" s="69" t="s">
        <v>33</v>
      </c>
      <c r="K530" s="67">
        <f>IFERROR(VLOOKUP(J530,Jueces!$A$1:$B$11,2,FALSE),"")</f>
        <v>4</v>
      </c>
      <c r="L530" s="67" t="s">
        <v>791</v>
      </c>
      <c r="M530" s="67" t="s">
        <v>2220</v>
      </c>
      <c r="N530" s="259" t="s">
        <v>2541</v>
      </c>
      <c r="O530" s="67" t="str">
        <f t="shared" ca="1" si="33"/>
        <v>SI</v>
      </c>
      <c r="P530" s="67" t="str">
        <f t="shared" si="32"/>
        <v>DIANOSOL</v>
      </c>
      <c r="Q530" s="67" t="s">
        <v>905</v>
      </c>
      <c r="R530" s="67" t="str">
        <f>VLOOKUP($Q530,Resultados!$A$1:$B$49,2,FALSE)</f>
        <v>Juicio Abreviado</v>
      </c>
      <c r="S530" s="74">
        <v>0.3527777777777778</v>
      </c>
      <c r="T530" s="77" t="str">
        <f t="shared" si="31"/>
        <v>SI</v>
      </c>
      <c r="U530" s="77"/>
      <c r="V530" s="67"/>
      <c r="W530" s="74">
        <v>0.36805555555555558</v>
      </c>
      <c r="X530" s="156"/>
      <c r="Y530" s="67"/>
      <c r="Z530" s="124" t="s">
        <v>743</v>
      </c>
      <c r="AA530" s="124" t="s">
        <v>1171</v>
      </c>
      <c r="AB530" s="124" t="s">
        <v>1173</v>
      </c>
      <c r="AC530" s="375"/>
    </row>
    <row r="531" spans="1:29" ht="39.950000000000003" hidden="1" customHeight="1">
      <c r="A531" s="67">
        <v>471</v>
      </c>
      <c r="B531" s="69">
        <v>45145</v>
      </c>
      <c r="C531" s="74">
        <v>0.53749999999999998</v>
      </c>
      <c r="D531" s="67" t="s">
        <v>2190</v>
      </c>
      <c r="E531" s="68" t="s">
        <v>2191</v>
      </c>
      <c r="F531" s="67">
        <v>5</v>
      </c>
      <c r="G531" s="67" t="s">
        <v>1443</v>
      </c>
      <c r="H531" s="69">
        <v>45168</v>
      </c>
      <c r="I531" s="69" t="s">
        <v>1086</v>
      </c>
      <c r="J531" s="69" t="s">
        <v>1224</v>
      </c>
      <c r="K531" s="67" t="s">
        <v>1926</v>
      </c>
      <c r="L531" s="67" t="s">
        <v>796</v>
      </c>
      <c r="M531" s="67" t="s">
        <v>2208</v>
      </c>
      <c r="N531" s="67" t="s">
        <v>2539</v>
      </c>
      <c r="O531" s="67" t="str">
        <f t="shared" ca="1" si="33"/>
        <v>SI</v>
      </c>
      <c r="P531" s="67" t="str">
        <f t="shared" si="32"/>
        <v>DIANOSOL</v>
      </c>
      <c r="Q531" s="67" t="s">
        <v>909</v>
      </c>
      <c r="R531" s="67" t="str">
        <f>VLOOKUP($Q531,Resultados!$A$1:$B$49,2,FALSE)</f>
        <v>Suspensión de juicio a prueba</v>
      </c>
      <c r="S531" s="74">
        <v>0.375</v>
      </c>
      <c r="T531" s="77"/>
      <c r="U531" s="77"/>
      <c r="V531" s="67"/>
      <c r="W531" s="67" t="s">
        <v>1229</v>
      </c>
      <c r="X531" s="234" t="s">
        <v>2538</v>
      </c>
      <c r="Y531" s="67"/>
      <c r="Z531" s="124" t="s">
        <v>770</v>
      </c>
      <c r="AA531" s="124" t="s">
        <v>1169</v>
      </c>
      <c r="AB531" s="124" t="s">
        <v>1175</v>
      </c>
      <c r="AC531" s="375"/>
    </row>
    <row r="532" spans="1:29" ht="39.950000000000003" hidden="1" customHeight="1">
      <c r="A532" s="67">
        <v>535</v>
      </c>
      <c r="B532" s="69">
        <v>45161</v>
      </c>
      <c r="C532" s="67" t="s">
        <v>73</v>
      </c>
      <c r="D532" s="67" t="s">
        <v>2425</v>
      </c>
      <c r="E532" s="68" t="s">
        <v>2488</v>
      </c>
      <c r="F532" s="67">
        <v>7</v>
      </c>
      <c r="G532" s="67" t="s">
        <v>43</v>
      </c>
      <c r="H532" s="69">
        <v>45168</v>
      </c>
      <c r="I532" s="69" t="s">
        <v>1086</v>
      </c>
      <c r="J532" s="69" t="s">
        <v>35</v>
      </c>
      <c r="K532" s="67" t="s">
        <v>1520</v>
      </c>
      <c r="L532" s="67" t="s">
        <v>813</v>
      </c>
      <c r="M532" s="67" t="s">
        <v>723</v>
      </c>
      <c r="N532" s="67" t="s">
        <v>1857</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2523</v>
      </c>
      <c r="Y532" s="67"/>
      <c r="Z532" s="124" t="s">
        <v>1042</v>
      </c>
      <c r="AA532" s="124" t="s">
        <v>1171</v>
      </c>
      <c r="AB532" s="124" t="s">
        <v>1174</v>
      </c>
      <c r="AC532" s="375"/>
    </row>
    <row r="533" spans="1:29" ht="39.950000000000003" hidden="1" customHeight="1">
      <c r="A533" s="67">
        <v>536</v>
      </c>
      <c r="B533" s="69">
        <v>45161</v>
      </c>
      <c r="C533" s="74">
        <v>0.33333333333333331</v>
      </c>
      <c r="D533" s="67" t="s">
        <v>2426</v>
      </c>
      <c r="E533" s="68" t="s">
        <v>2461</v>
      </c>
      <c r="F533" s="67">
        <v>7</v>
      </c>
      <c r="G533" s="67" t="s">
        <v>1441</v>
      </c>
      <c r="H533" s="69">
        <v>45168</v>
      </c>
      <c r="I533" s="69" t="s">
        <v>1086</v>
      </c>
      <c r="J533" s="69" t="s">
        <v>1220</v>
      </c>
      <c r="K533" s="67">
        <f>IFERROR(VLOOKUP(J533,Jueces!$A$1:$B$11,2,FALSE),"")</f>
        <v>1</v>
      </c>
      <c r="L533" s="67" t="s">
        <v>802</v>
      </c>
      <c r="M533" s="67" t="s">
        <v>725</v>
      </c>
      <c r="N533" s="67" t="s">
        <v>2542</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4" t="s">
        <v>1041</v>
      </c>
      <c r="AA533" s="124" t="s">
        <v>743</v>
      </c>
      <c r="AB533" s="124" t="s">
        <v>1177</v>
      </c>
      <c r="AC533" s="375"/>
    </row>
    <row r="534" spans="1:29" ht="39.950000000000003" hidden="1" customHeight="1">
      <c r="A534" s="67">
        <v>529</v>
      </c>
      <c r="B534" s="69">
        <v>45156</v>
      </c>
      <c r="C534" s="74">
        <v>0.53263888888888888</v>
      </c>
      <c r="D534" s="67" t="s">
        <v>2401</v>
      </c>
      <c r="E534" s="68" t="s">
        <v>2543</v>
      </c>
      <c r="F534" s="67">
        <v>6</v>
      </c>
      <c r="G534" s="67" t="s">
        <v>283</v>
      </c>
      <c r="H534" s="69">
        <v>45169</v>
      </c>
      <c r="I534" s="69" t="s">
        <v>73</v>
      </c>
      <c r="J534" s="69" t="s">
        <v>31</v>
      </c>
      <c r="K534" s="67" t="s">
        <v>1346</v>
      </c>
      <c r="L534" s="67" t="s">
        <v>810</v>
      </c>
      <c r="M534" s="67" t="s">
        <v>725</v>
      </c>
      <c r="N534" s="67" t="s">
        <v>2570</v>
      </c>
      <c r="O534" s="67" t="str">
        <f t="shared" ca="1" si="33"/>
        <v>SI</v>
      </c>
      <c r="P534" s="67" t="str">
        <f t="shared" si="32"/>
        <v>DIANOSOL</v>
      </c>
      <c r="Q534" s="67" t="s">
        <v>899</v>
      </c>
      <c r="R534" s="67" t="str">
        <f>VLOOKUP($Q534,Resultados!$A$1:$B$49,2,FALSE)</f>
        <v>Libertad</v>
      </c>
      <c r="S534" s="67" t="s">
        <v>1917</v>
      </c>
      <c r="T534" s="77" t="str">
        <f t="shared" si="34"/>
        <v>NO</v>
      </c>
      <c r="U534" s="77"/>
      <c r="V534" s="67"/>
      <c r="W534" s="67" t="s">
        <v>2568</v>
      </c>
      <c r="X534" s="67"/>
      <c r="Y534" s="67"/>
      <c r="Z534" s="124" t="s">
        <v>748</v>
      </c>
      <c r="AA534" s="124" t="s">
        <v>743</v>
      </c>
      <c r="AB534" s="124" t="s">
        <v>1173</v>
      </c>
      <c r="AC534" s="375"/>
    </row>
    <row r="535" spans="1:29" ht="39.950000000000003" hidden="1" customHeight="1">
      <c r="A535" s="67">
        <v>542</v>
      </c>
      <c r="B535" s="69">
        <v>45161</v>
      </c>
      <c r="C535" s="74">
        <v>0.50902777777777775</v>
      </c>
      <c r="D535" s="67" t="s">
        <v>2449</v>
      </c>
      <c r="E535" s="68" t="s">
        <v>2544</v>
      </c>
      <c r="F535" s="67">
        <v>7</v>
      </c>
      <c r="G535" s="67" t="s">
        <v>1442</v>
      </c>
      <c r="H535" s="69">
        <v>45169</v>
      </c>
      <c r="I535" s="69" t="s">
        <v>73</v>
      </c>
      <c r="J535" s="69" t="s">
        <v>35</v>
      </c>
      <c r="K535" s="67" t="s">
        <v>1520</v>
      </c>
      <c r="L535" s="67" t="s">
        <v>2089</v>
      </c>
      <c r="M535" s="67" t="s">
        <v>783</v>
      </c>
      <c r="N535" s="67" t="s">
        <v>2557</v>
      </c>
      <c r="O535" s="67" t="str">
        <f t="shared" ca="1" si="33"/>
        <v>SI</v>
      </c>
      <c r="P535" s="67" t="str">
        <f t="shared" si="32"/>
        <v>DIANOSOL</v>
      </c>
      <c r="Q535" s="67" t="s">
        <v>151</v>
      </c>
      <c r="R535" s="67" t="str">
        <f>VLOOKUP($Q535,Resultados!$A$1:$B$49,2,FALSE)</f>
        <v>Prisión Preventiva</v>
      </c>
      <c r="S535" s="67" t="s">
        <v>2556</v>
      </c>
      <c r="T535" s="77" t="str">
        <f t="shared" si="34"/>
        <v>SI</v>
      </c>
      <c r="U535" s="77"/>
      <c r="V535" s="67"/>
      <c r="W535" s="74">
        <v>0.35694444444444445</v>
      </c>
      <c r="X535" s="156"/>
      <c r="Y535" s="67"/>
      <c r="Z535" s="124" t="s">
        <v>743</v>
      </c>
      <c r="AA535" s="124" t="s">
        <v>1169</v>
      </c>
      <c r="AB535" s="124" t="s">
        <v>1175</v>
      </c>
      <c r="AC535" s="375"/>
    </row>
    <row r="536" spans="1:29" ht="39.950000000000003" hidden="1" customHeight="1">
      <c r="A536" s="67">
        <v>545</v>
      </c>
      <c r="B536" s="69">
        <v>45162</v>
      </c>
      <c r="C536" s="74">
        <v>0.45208333333333334</v>
      </c>
      <c r="D536" s="67" t="s">
        <v>2464</v>
      </c>
      <c r="E536" s="68" t="s">
        <v>2545</v>
      </c>
      <c r="F536" s="67">
        <v>7</v>
      </c>
      <c r="G536" s="67" t="s">
        <v>43</v>
      </c>
      <c r="H536" s="69">
        <v>45169</v>
      </c>
      <c r="I536" s="69" t="s">
        <v>73</v>
      </c>
      <c r="J536" s="69" t="s">
        <v>78</v>
      </c>
      <c r="K536" s="67">
        <f>IFERROR(VLOOKUP(J536,Jueces!$A$1:$B$11,2,FALSE),"")</f>
        <v>8</v>
      </c>
      <c r="L536" s="67" t="s">
        <v>811</v>
      </c>
      <c r="M536" s="67" t="s">
        <v>723</v>
      </c>
      <c r="N536" s="156"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4" t="s">
        <v>2558</v>
      </c>
      <c r="Y536" s="67"/>
      <c r="Z536" s="124" t="s">
        <v>770</v>
      </c>
      <c r="AA536" s="124" t="s">
        <v>743</v>
      </c>
      <c r="AB536" s="124" t="s">
        <v>1174</v>
      </c>
      <c r="AC536" s="375"/>
    </row>
    <row r="537" spans="1:29" ht="76.5" hidden="1">
      <c r="A537" s="67">
        <v>537</v>
      </c>
      <c r="B537" s="69">
        <v>45161</v>
      </c>
      <c r="C537" s="74">
        <v>0.45277777777777778</v>
      </c>
      <c r="D537" s="67" t="s">
        <v>2438</v>
      </c>
      <c r="E537" s="68" t="s">
        <v>2546</v>
      </c>
      <c r="F537" s="67">
        <v>7</v>
      </c>
      <c r="G537" s="67" t="s">
        <v>1441</v>
      </c>
      <c r="H537" s="69">
        <v>45169</v>
      </c>
      <c r="I537" s="69" t="s">
        <v>1086</v>
      </c>
      <c r="J537" s="69" t="s">
        <v>1225</v>
      </c>
      <c r="K537" s="67">
        <f>IFERROR(VLOOKUP(J537,Jueces!$A$1:$B$11,2,FALSE),"")</f>
        <v>6</v>
      </c>
      <c r="L537" s="67" t="s">
        <v>812</v>
      </c>
      <c r="M537" s="67" t="s">
        <v>725</v>
      </c>
      <c r="N537" s="234" t="s">
        <v>2562</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4" t="s">
        <v>1041</v>
      </c>
      <c r="AA537" s="124" t="s">
        <v>1171</v>
      </c>
      <c r="AB537" s="124" t="s">
        <v>1173</v>
      </c>
      <c r="AC537" s="375"/>
    </row>
    <row r="538" spans="1:29" ht="39.950000000000003" hidden="1" customHeight="1">
      <c r="A538" s="67">
        <v>544</v>
      </c>
      <c r="B538" s="69">
        <v>45161</v>
      </c>
      <c r="C538" s="74">
        <v>0.52500000000000002</v>
      </c>
      <c r="D538" s="67" t="s">
        <v>2452</v>
      </c>
      <c r="E538" s="68" t="s">
        <v>2547</v>
      </c>
      <c r="F538" s="67">
        <v>6</v>
      </c>
      <c r="G538" s="67" t="s">
        <v>32</v>
      </c>
      <c r="H538" s="69">
        <v>45169</v>
      </c>
      <c r="I538" s="69" t="s">
        <v>1086</v>
      </c>
      <c r="J538" s="69" t="s">
        <v>1224</v>
      </c>
      <c r="K538" s="67" t="s">
        <v>2344</v>
      </c>
      <c r="L538" s="67" t="s">
        <v>789</v>
      </c>
      <c r="M538" s="67" t="s">
        <v>725</v>
      </c>
      <c r="N538" s="67" t="s">
        <v>2564</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4" t="s">
        <v>1042</v>
      </c>
      <c r="AA538" s="124" t="s">
        <v>1169</v>
      </c>
      <c r="AB538" s="124" t="s">
        <v>1175</v>
      </c>
      <c r="AC538" s="375"/>
    </row>
    <row r="539" spans="1:29" ht="114.75" hidden="1">
      <c r="A539" s="67">
        <v>546</v>
      </c>
      <c r="B539" s="69">
        <v>45162</v>
      </c>
      <c r="C539" s="74">
        <v>0.33333333333333331</v>
      </c>
      <c r="D539" s="67" t="s">
        <v>2465</v>
      </c>
      <c r="E539" s="68" t="s">
        <v>2548</v>
      </c>
      <c r="F539" s="67">
        <v>7</v>
      </c>
      <c r="G539" s="67" t="s">
        <v>29</v>
      </c>
      <c r="H539" s="69">
        <v>45169</v>
      </c>
      <c r="I539" s="69" t="s">
        <v>1086</v>
      </c>
      <c r="J539" s="69" t="s">
        <v>1222</v>
      </c>
      <c r="K539" s="67" t="s">
        <v>1926</v>
      </c>
      <c r="L539" s="67" t="s">
        <v>809</v>
      </c>
      <c r="M539" s="67" t="s">
        <v>723</v>
      </c>
      <c r="N539" s="156" t="s">
        <v>2560</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2561</v>
      </c>
      <c r="Y539" s="67"/>
      <c r="Z539" s="124" t="s">
        <v>748</v>
      </c>
      <c r="AA539" s="124" t="s">
        <v>743</v>
      </c>
      <c r="AB539" s="124" t="s">
        <v>1174</v>
      </c>
      <c r="AC539" s="375"/>
    </row>
    <row r="540" spans="1:29" ht="39.950000000000003" hidden="1" customHeight="1">
      <c r="A540" s="67">
        <v>548</v>
      </c>
      <c r="B540" s="69">
        <v>45162</v>
      </c>
      <c r="C540" s="74">
        <v>0.45833333333333331</v>
      </c>
      <c r="D540" s="67" t="s">
        <v>2467</v>
      </c>
      <c r="E540" s="68" t="s">
        <v>2549</v>
      </c>
      <c r="F540" s="67">
        <v>7</v>
      </c>
      <c r="G540" s="67" t="s">
        <v>568</v>
      </c>
      <c r="H540" s="69">
        <v>45169</v>
      </c>
      <c r="I540" s="69" t="s">
        <v>989</v>
      </c>
      <c r="J540" s="69" t="s">
        <v>31</v>
      </c>
      <c r="K540" s="67" t="s">
        <v>1926</v>
      </c>
      <c r="L540" s="67" t="s">
        <v>811</v>
      </c>
      <c r="M540" s="67" t="s">
        <v>725</v>
      </c>
      <c r="N540" s="234" t="s">
        <v>2563</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4" t="s">
        <v>743</v>
      </c>
      <c r="AA540" s="124" t="s">
        <v>1171</v>
      </c>
      <c r="AB540" s="124" t="s">
        <v>1176</v>
      </c>
      <c r="AC540" s="375"/>
    </row>
    <row r="541" spans="1:29" ht="39.950000000000003" hidden="1" customHeight="1">
      <c r="A541" s="67">
        <v>534</v>
      </c>
      <c r="B541" s="69">
        <v>45160</v>
      </c>
      <c r="C541" s="74">
        <v>0.4284722222222222</v>
      </c>
      <c r="D541" s="67" t="s">
        <v>2403</v>
      </c>
      <c r="E541" s="68" t="s">
        <v>2462</v>
      </c>
      <c r="F541" s="67">
        <v>7</v>
      </c>
      <c r="G541" s="67" t="s">
        <v>1441</v>
      </c>
      <c r="H541" s="69">
        <v>45170</v>
      </c>
      <c r="I541" s="69" t="s">
        <v>73</v>
      </c>
      <c r="J541" s="69" t="s">
        <v>31</v>
      </c>
      <c r="K541" s="67">
        <f>IFERROR(VLOOKUP(J541,Jueces!$A$1:$B$11,2,FALSE),"")</f>
        <v>2</v>
      </c>
      <c r="L541" s="67" t="s">
        <v>812</v>
      </c>
      <c r="M541" s="67" t="s">
        <v>2569</v>
      </c>
      <c r="N541" s="67" t="s">
        <v>2570</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2571</v>
      </c>
      <c r="Y541" s="67"/>
      <c r="Z541" s="124" t="s">
        <v>1041</v>
      </c>
      <c r="AA541" s="124" t="s">
        <v>1169</v>
      </c>
      <c r="AB541" s="124" t="s">
        <v>1174</v>
      </c>
      <c r="AC541" s="375"/>
    </row>
    <row r="542" spans="1:29" ht="39.950000000000003" hidden="1" customHeight="1">
      <c r="A542" s="67">
        <v>552</v>
      </c>
      <c r="B542" s="69">
        <v>45163</v>
      </c>
      <c r="C542" s="74">
        <v>0.41319444444444442</v>
      </c>
      <c r="D542" s="67" t="s">
        <v>2490</v>
      </c>
      <c r="E542" s="68" t="s">
        <v>2491</v>
      </c>
      <c r="F542" s="67">
        <v>6</v>
      </c>
      <c r="G542" s="67" t="s">
        <v>1443</v>
      </c>
      <c r="H542" s="69">
        <v>45170</v>
      </c>
      <c r="I542" s="69" t="s">
        <v>73</v>
      </c>
      <c r="J542" s="69" t="s">
        <v>1221</v>
      </c>
      <c r="K542" s="67" t="s">
        <v>1346</v>
      </c>
      <c r="L542" s="67" t="s">
        <v>806</v>
      </c>
      <c r="M542" s="67" t="s">
        <v>2220</v>
      </c>
      <c r="N542" s="67" t="s">
        <v>2580</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2572</v>
      </c>
      <c r="Y542" s="67"/>
      <c r="Z542" s="124" t="s">
        <v>1042</v>
      </c>
      <c r="AA542" s="124" t="s">
        <v>1171</v>
      </c>
      <c r="AB542" s="124" t="s">
        <v>1173</v>
      </c>
      <c r="AC542" s="375"/>
    </row>
    <row r="543" spans="1:29" ht="39.950000000000003" hidden="1" customHeight="1">
      <c r="A543" s="67">
        <v>554</v>
      </c>
      <c r="B543" s="69">
        <v>45163</v>
      </c>
      <c r="C543" s="74">
        <v>0.34722222222222227</v>
      </c>
      <c r="D543" s="67" t="s">
        <v>2493</v>
      </c>
      <c r="E543" s="68" t="s">
        <v>2494</v>
      </c>
      <c r="F543" s="67">
        <v>6</v>
      </c>
      <c r="G543" s="67" t="s">
        <v>568</v>
      </c>
      <c r="H543" s="69">
        <v>45170</v>
      </c>
      <c r="I543" s="69" t="s">
        <v>73</v>
      </c>
      <c r="J543" s="69" t="s">
        <v>35</v>
      </c>
      <c r="K543" s="67">
        <f>IFERROR(VLOOKUP(J543,Jueces!$A$1:$B$11,2,FALSE),"")</f>
        <v>3</v>
      </c>
      <c r="L543" s="67" t="s">
        <v>798</v>
      </c>
      <c r="M543" s="67" t="s">
        <v>696</v>
      </c>
      <c r="N543" s="67" t="s">
        <v>2581</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4" t="s">
        <v>748</v>
      </c>
      <c r="AA543" s="124" t="s">
        <v>1169</v>
      </c>
      <c r="AB543" s="124" t="s">
        <v>1175</v>
      </c>
      <c r="AC543" s="375"/>
    </row>
    <row r="544" spans="1:29" ht="39.950000000000003" hidden="1" customHeight="1">
      <c r="A544" s="67">
        <v>539</v>
      </c>
      <c r="B544" s="69">
        <v>45161</v>
      </c>
      <c r="C544" s="74">
        <v>0.47500000000000003</v>
      </c>
      <c r="D544" s="67" t="s">
        <v>2442</v>
      </c>
      <c r="E544" s="68" t="s">
        <v>2460</v>
      </c>
      <c r="F544" s="67">
        <v>7</v>
      </c>
      <c r="G544" s="67" t="s">
        <v>283</v>
      </c>
      <c r="H544" s="69">
        <v>45170</v>
      </c>
      <c r="I544" s="69" t="s">
        <v>749</v>
      </c>
      <c r="J544" s="69" t="s">
        <v>1225</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4" t="s">
        <v>743</v>
      </c>
      <c r="AA544" s="124" t="s">
        <v>743</v>
      </c>
      <c r="AB544" s="124" t="s">
        <v>1177</v>
      </c>
      <c r="AC544" s="375"/>
    </row>
    <row r="545" spans="1:29" ht="39.950000000000003" hidden="1" customHeight="1">
      <c r="A545" s="67">
        <v>532</v>
      </c>
      <c r="B545" s="69">
        <v>45160</v>
      </c>
      <c r="C545" s="74">
        <v>0.48055555555555557</v>
      </c>
      <c r="D545" s="67" t="s">
        <v>2405</v>
      </c>
      <c r="E545" s="68" t="s">
        <v>2459</v>
      </c>
      <c r="F545" s="67">
        <v>7</v>
      </c>
      <c r="G545" s="67" t="s">
        <v>43</v>
      </c>
      <c r="H545" s="69">
        <v>45170</v>
      </c>
      <c r="I545" s="69" t="s">
        <v>1086</v>
      </c>
      <c r="J545" s="69" t="s">
        <v>1222</v>
      </c>
      <c r="K545" s="67" t="s">
        <v>1520</v>
      </c>
      <c r="L545" s="67" t="s">
        <v>791</v>
      </c>
      <c r="M545" s="67" t="s">
        <v>2569</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4" t="s">
        <v>1041</v>
      </c>
      <c r="AA545" s="124" t="s">
        <v>1171</v>
      </c>
      <c r="AB545" s="124" t="s">
        <v>1176</v>
      </c>
      <c r="AC545" s="375"/>
    </row>
    <row r="546" spans="1:29" ht="39.950000000000003" hidden="1" customHeight="1">
      <c r="A546" s="67">
        <v>541</v>
      </c>
      <c r="B546" s="69">
        <v>45161</v>
      </c>
      <c r="C546" s="74">
        <v>0.50347222222222221</v>
      </c>
      <c r="D546" s="67" t="s">
        <v>2446</v>
      </c>
      <c r="E546" s="68" t="s">
        <v>2487</v>
      </c>
      <c r="F546" s="67">
        <v>7</v>
      </c>
      <c r="G546" s="67" t="s">
        <v>1442</v>
      </c>
      <c r="H546" s="69">
        <v>45170</v>
      </c>
      <c r="I546" s="69" t="s">
        <v>1086</v>
      </c>
      <c r="J546" s="69" t="s">
        <v>1224</v>
      </c>
      <c r="K546" s="67" t="s">
        <v>1926</v>
      </c>
      <c r="L546" s="67" t="s">
        <v>809</v>
      </c>
      <c r="M546" s="67" t="s">
        <v>723</v>
      </c>
      <c r="N546" s="67" t="s">
        <v>2587</v>
      </c>
      <c r="O546" s="67" t="str">
        <f t="shared" ca="1" si="33"/>
        <v>SI</v>
      </c>
      <c r="P546" s="67" t="str">
        <f t="shared" si="32"/>
        <v>DIANOSOL</v>
      </c>
      <c r="Q546" s="67" t="s">
        <v>904</v>
      </c>
      <c r="R546" s="67" t="str">
        <f>VLOOKUP($Q546,Resultados!$A$1:$B$49,2,FALSE)</f>
        <v>Juicio Abreviado</v>
      </c>
      <c r="S546" s="74">
        <v>0.38680555555555557</v>
      </c>
      <c r="T546" s="77" t="str">
        <f t="shared" si="34"/>
        <v>SI</v>
      </c>
      <c r="U546" s="77"/>
      <c r="V546" s="67"/>
      <c r="W546" s="74">
        <v>0.39444444444444443</v>
      </c>
      <c r="X546" s="67"/>
      <c r="Y546" s="67"/>
      <c r="Z546" s="124" t="s">
        <v>1042</v>
      </c>
      <c r="AA546" s="124" t="s">
        <v>1169</v>
      </c>
      <c r="AB546" s="124" t="s">
        <v>1174</v>
      </c>
      <c r="AC546" s="375"/>
    </row>
    <row r="547" spans="1:29" ht="39.950000000000003" hidden="1" customHeight="1">
      <c r="A547" s="67">
        <v>559</v>
      </c>
      <c r="B547" s="69">
        <v>45163</v>
      </c>
      <c r="C547" s="74">
        <v>0.48402777777777778</v>
      </c>
      <c r="D547" s="67" t="s">
        <v>2500</v>
      </c>
      <c r="E547" s="68" t="s">
        <v>2501</v>
      </c>
      <c r="F547" s="67">
        <v>5</v>
      </c>
      <c r="G547" s="67" t="s">
        <v>32</v>
      </c>
      <c r="H547" s="69">
        <v>45170</v>
      </c>
      <c r="I547" s="69" t="s">
        <v>1086</v>
      </c>
      <c r="J547" s="69" t="s">
        <v>35</v>
      </c>
      <c r="K547" s="67">
        <v>4</v>
      </c>
      <c r="L547" s="67" t="s">
        <v>830</v>
      </c>
      <c r="M547" s="67" t="s">
        <v>1876</v>
      </c>
      <c r="N547" s="67" t="s">
        <v>2590</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4" t="s">
        <v>748</v>
      </c>
      <c r="AA547" s="124" t="s">
        <v>1171</v>
      </c>
      <c r="AB547" s="124" t="s">
        <v>1173</v>
      </c>
      <c r="AC547" s="375"/>
    </row>
    <row r="548" spans="1:29" ht="39.950000000000003" hidden="1" customHeight="1">
      <c r="A548" s="67">
        <v>549</v>
      </c>
      <c r="B548" s="69">
        <v>45162</v>
      </c>
      <c r="C548" s="74">
        <v>0.49513888888888885</v>
      </c>
      <c r="D548" s="67" t="s">
        <v>2468</v>
      </c>
      <c r="E548" s="68" t="s">
        <v>2619</v>
      </c>
      <c r="F548" s="67">
        <v>7</v>
      </c>
      <c r="G548" s="67" t="s">
        <v>568</v>
      </c>
      <c r="H548" s="69">
        <v>45173</v>
      </c>
      <c r="I548" s="69" t="s">
        <v>73</v>
      </c>
      <c r="J548" s="69" t="s">
        <v>35</v>
      </c>
      <c r="K548" s="67">
        <f>IFERROR(VLOOKUP(J548,Jueces!$A$1:$B$11,2,FALSE),"")</f>
        <v>3</v>
      </c>
      <c r="L548" s="67" t="s">
        <v>809</v>
      </c>
      <c r="M548" s="67" t="s">
        <v>723</v>
      </c>
      <c r="N548" s="67" t="s">
        <v>2591</v>
      </c>
      <c r="O548" s="67" t="str">
        <f t="shared" ca="1" si="33"/>
        <v>SI</v>
      </c>
      <c r="P548" s="67" t="str">
        <f t="shared" si="32"/>
        <v>DIANOSOL</v>
      </c>
      <c r="Q548" s="67" t="s">
        <v>904</v>
      </c>
      <c r="R548" s="67" t="str">
        <f>VLOOKUP($Q548,Resultados!$A$1:$B$49,2,FALSE)</f>
        <v>Juicio Abreviado</v>
      </c>
      <c r="S548" s="74" t="s">
        <v>2592</v>
      </c>
      <c r="T548" s="77" t="str">
        <f t="shared" si="34"/>
        <v>NO</v>
      </c>
      <c r="U548" s="77"/>
      <c r="V548" s="67"/>
      <c r="W548" s="67" t="s">
        <v>1134</v>
      </c>
      <c r="X548" s="67"/>
      <c r="Y548" s="67"/>
      <c r="Z548" s="124" t="s">
        <v>770</v>
      </c>
      <c r="AA548" s="124" t="s">
        <v>1171</v>
      </c>
      <c r="AB548" s="124" t="s">
        <v>1177</v>
      </c>
      <c r="AC548" s="375"/>
    </row>
    <row r="549" spans="1:29" ht="39.950000000000003" hidden="1" customHeight="1">
      <c r="A549" s="67">
        <v>561</v>
      </c>
      <c r="B549" s="69">
        <v>45167</v>
      </c>
      <c r="C549" s="74">
        <v>0.4055555555555555</v>
      </c>
      <c r="D549" s="67" t="s">
        <v>2511</v>
      </c>
      <c r="E549" s="68" t="s">
        <v>2620</v>
      </c>
      <c r="F549" s="67">
        <v>7</v>
      </c>
      <c r="G549" s="67" t="s">
        <v>1442</v>
      </c>
      <c r="H549" s="69">
        <v>45173</v>
      </c>
      <c r="I549" s="69" t="s">
        <v>73</v>
      </c>
      <c r="J549" s="69" t="s">
        <v>1221</v>
      </c>
      <c r="K549" s="67">
        <f>IFERROR(VLOOKUP(J549,Jueces!$A$1:$B$11,2,FALSE),"")</f>
        <v>7</v>
      </c>
      <c r="L549" s="67" t="s">
        <v>569</v>
      </c>
      <c r="M549" s="67" t="s">
        <v>782</v>
      </c>
      <c r="N549" s="67" t="s">
        <v>2593</v>
      </c>
      <c r="O549" s="67" t="str">
        <f t="shared" ca="1" si="33"/>
        <v>SI</v>
      </c>
      <c r="P549" s="67" t="str">
        <f t="shared" si="32"/>
        <v>DIANOSOL</v>
      </c>
      <c r="Q549" s="67" t="s">
        <v>904</v>
      </c>
      <c r="R549" s="67" t="str">
        <f>VLOOKUP($Q549,Resultados!$A$1:$B$49,2,FALSE)</f>
        <v>Juicio Abreviado</v>
      </c>
      <c r="S549" s="67" t="s">
        <v>2422</v>
      </c>
      <c r="T549" s="77" t="str">
        <f t="shared" si="34"/>
        <v>SI</v>
      </c>
      <c r="U549" s="77"/>
      <c r="V549" s="67"/>
      <c r="W549" s="67" t="s">
        <v>1292</v>
      </c>
      <c r="X549" s="67" t="s">
        <v>2572</v>
      </c>
      <c r="Y549" s="67"/>
      <c r="Z549" s="124" t="s">
        <v>1041</v>
      </c>
      <c r="AA549" s="124" t="s">
        <v>743</v>
      </c>
      <c r="AB549" s="124" t="s">
        <v>1176</v>
      </c>
      <c r="AC549" s="375"/>
    </row>
    <row r="550" spans="1:29" ht="39.950000000000003" hidden="1" customHeight="1">
      <c r="A550" s="67">
        <v>564</v>
      </c>
      <c r="B550" s="69">
        <v>45167</v>
      </c>
      <c r="C550" s="74">
        <v>0.4909722222222222</v>
      </c>
      <c r="D550" s="67" t="s">
        <v>1383</v>
      </c>
      <c r="E550" s="68" t="s">
        <v>2621</v>
      </c>
      <c r="F550" s="67">
        <v>2</v>
      </c>
      <c r="G550" s="67" t="s">
        <v>43</v>
      </c>
      <c r="H550" s="69">
        <v>45173</v>
      </c>
      <c r="I550" s="69" t="s">
        <v>73</v>
      </c>
      <c r="J550" s="69" t="s">
        <v>1220</v>
      </c>
      <c r="K550" s="67" t="s">
        <v>1926</v>
      </c>
      <c r="L550" s="67" t="s">
        <v>791</v>
      </c>
      <c r="M550" s="67" t="s">
        <v>712</v>
      </c>
      <c r="N550" s="67" t="s">
        <v>2535</v>
      </c>
      <c r="O550" s="67" t="str">
        <f t="shared" ca="1" si="33"/>
        <v>SI</v>
      </c>
      <c r="P550" s="67" t="str">
        <f t="shared" si="32"/>
        <v>DIANOSOL</v>
      </c>
      <c r="Q550" s="67" t="s">
        <v>899</v>
      </c>
      <c r="R550" s="67" t="str">
        <f>VLOOKUP($Q550,Resultados!$A$1:$B$49,2,FALSE)</f>
        <v>Libertad</v>
      </c>
      <c r="S550" s="67" t="s">
        <v>2061</v>
      </c>
      <c r="T550" s="77" t="str">
        <f t="shared" si="34"/>
        <v>NO</v>
      </c>
      <c r="U550" s="77"/>
      <c r="V550" s="67"/>
      <c r="W550" s="67" t="s">
        <v>1746</v>
      </c>
      <c r="X550" s="67" t="s">
        <v>2572</v>
      </c>
      <c r="Y550" s="67"/>
      <c r="Z550" s="124" t="s">
        <v>1042</v>
      </c>
      <c r="AA550" s="124" t="s">
        <v>743</v>
      </c>
      <c r="AB550" s="124" t="s">
        <v>1174</v>
      </c>
      <c r="AC550" s="375"/>
    </row>
    <row r="551" spans="1:29" ht="39.950000000000003" hidden="1" customHeight="1">
      <c r="A551" s="67">
        <v>550</v>
      </c>
      <c r="B551" s="69">
        <v>45162</v>
      </c>
      <c r="C551" s="74">
        <v>0.4861111111111111</v>
      </c>
      <c r="D551" s="67" t="s">
        <v>2469</v>
      </c>
      <c r="E551" s="68" t="s">
        <v>2622</v>
      </c>
      <c r="F551" s="67">
        <v>7</v>
      </c>
      <c r="G551" s="67" t="s">
        <v>32</v>
      </c>
      <c r="H551" s="69">
        <v>45173</v>
      </c>
      <c r="I551" s="69" t="s">
        <v>1086</v>
      </c>
      <c r="J551" s="69" t="s">
        <v>1224</v>
      </c>
      <c r="K551" s="67" t="s">
        <v>1520</v>
      </c>
      <c r="L551" s="67" t="s">
        <v>801</v>
      </c>
      <c r="M551" s="67" t="s">
        <v>723</v>
      </c>
      <c r="N551" s="67" t="s">
        <v>2594</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4" t="s">
        <v>748</v>
      </c>
      <c r="AA551" s="124" t="s">
        <v>1169</v>
      </c>
      <c r="AB551" s="124" t="s">
        <v>1173</v>
      </c>
      <c r="AC551" s="375"/>
    </row>
    <row r="552" spans="1:29" ht="39.950000000000003" hidden="1" customHeight="1">
      <c r="A552" s="67">
        <v>566</v>
      </c>
      <c r="B552" s="69">
        <v>45167</v>
      </c>
      <c r="C552" s="67" t="s">
        <v>2519</v>
      </c>
      <c r="D552" s="67" t="s">
        <v>2520</v>
      </c>
      <c r="E552" s="68" t="s">
        <v>2623</v>
      </c>
      <c r="F552" s="67">
        <v>6</v>
      </c>
      <c r="G552" s="67" t="s">
        <v>283</v>
      </c>
      <c r="H552" s="69">
        <v>45173</v>
      </c>
      <c r="I552" s="69" t="s">
        <v>1086</v>
      </c>
      <c r="J552" s="69" t="s">
        <v>1222</v>
      </c>
      <c r="K552" s="67" t="s">
        <v>1926</v>
      </c>
      <c r="L552" s="67" t="s">
        <v>2089</v>
      </c>
      <c r="M552" s="67" t="s">
        <v>2388</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1243</v>
      </c>
      <c r="X552" s="67"/>
      <c r="Y552" s="67"/>
      <c r="Z552" s="124" t="s">
        <v>743</v>
      </c>
      <c r="AA552" s="124" t="s">
        <v>1171</v>
      </c>
      <c r="AB552" s="124" t="s">
        <v>1175</v>
      </c>
      <c r="AC552" s="375"/>
    </row>
    <row r="553" spans="1:29" ht="39.950000000000003" hidden="1" customHeight="1">
      <c r="A553" s="67">
        <v>547</v>
      </c>
      <c r="B553" s="69">
        <v>45162</v>
      </c>
      <c r="C553" s="74">
        <v>0.45833333333333331</v>
      </c>
      <c r="D553" s="67" t="s">
        <v>2466</v>
      </c>
      <c r="E553" s="68" t="s">
        <v>2606</v>
      </c>
      <c r="F553" s="67">
        <v>7</v>
      </c>
      <c r="G553" s="67" t="s">
        <v>32</v>
      </c>
      <c r="H553" s="69">
        <v>45174</v>
      </c>
      <c r="I553" s="69" t="s">
        <v>73</v>
      </c>
      <c r="J553" s="69" t="s">
        <v>33</v>
      </c>
      <c r="K553" s="67">
        <f>IFERROR(VLOOKUP(J553,Jueces!$A$1:$B$11,2,FALSE),"")</f>
        <v>4</v>
      </c>
      <c r="L553" s="67" t="s">
        <v>789</v>
      </c>
      <c r="M553" s="67" t="s">
        <v>723</v>
      </c>
      <c r="N553" s="67" t="s">
        <v>2679</v>
      </c>
      <c r="O553" s="67" t="str">
        <f t="shared" ca="1" si="33"/>
        <v>SI</v>
      </c>
      <c r="P553" s="67" t="str">
        <f t="shared" si="32"/>
        <v>DIANOSOL</v>
      </c>
      <c r="Q553" s="67" t="s">
        <v>899</v>
      </c>
      <c r="R553" s="67" t="str">
        <f>VLOOKUP($Q553,Resultados!$A$1:$B$49,2,FALSE)</f>
        <v>Libertad</v>
      </c>
      <c r="S553" s="67" t="s">
        <v>2680</v>
      </c>
      <c r="T553" s="77" t="str">
        <f t="shared" si="34"/>
        <v>NO</v>
      </c>
      <c r="U553" s="77"/>
      <c r="V553" s="67"/>
      <c r="W553" s="67" t="s">
        <v>1786</v>
      </c>
      <c r="X553" s="67"/>
      <c r="Y553" s="67"/>
      <c r="Z553" s="124" t="s">
        <v>770</v>
      </c>
      <c r="AA553" s="124" t="s">
        <v>743</v>
      </c>
      <c r="AB553" s="124" t="s">
        <v>1177</v>
      </c>
      <c r="AC553" s="375"/>
    </row>
    <row r="554" spans="1:29" ht="39.950000000000003" hidden="1" customHeight="1">
      <c r="A554" s="67">
        <v>555</v>
      </c>
      <c r="B554" s="69">
        <v>45163</v>
      </c>
      <c r="C554" s="74">
        <v>0.33333333333333331</v>
      </c>
      <c r="D554" s="67" t="s">
        <v>2495</v>
      </c>
      <c r="E554" s="68" t="s">
        <v>2628</v>
      </c>
      <c r="F554" s="67">
        <v>6</v>
      </c>
      <c r="G554" s="67" t="s">
        <v>1442</v>
      </c>
      <c r="H554" s="69">
        <v>45174</v>
      </c>
      <c r="I554" s="69" t="s">
        <v>73</v>
      </c>
      <c r="J554" s="69" t="s">
        <v>35</v>
      </c>
      <c r="K554" s="67">
        <f>IFERROR(VLOOKUP(J554,Jueces!$A$1:$B$11,2,FALSE),"")</f>
        <v>3</v>
      </c>
      <c r="L554" s="67" t="s">
        <v>793</v>
      </c>
      <c r="M554" s="67" t="s">
        <v>2220</v>
      </c>
      <c r="N554" s="67" t="s">
        <v>2607</v>
      </c>
      <c r="O554" s="67" t="str">
        <f t="shared" ca="1" si="33"/>
        <v>SI</v>
      </c>
      <c r="P554" s="67" t="str">
        <f t="shared" si="32"/>
        <v>DIANOSOL</v>
      </c>
      <c r="Q554" s="67" t="s">
        <v>904</v>
      </c>
      <c r="R554" s="67" t="str">
        <f>VLOOKUP($Q554,Resultados!$A$1:$B$49,2,FALSE)</f>
        <v>Juicio Abreviado</v>
      </c>
      <c r="S554" s="67" t="s">
        <v>1123</v>
      </c>
      <c r="T554" s="77" t="str">
        <f t="shared" si="34"/>
        <v>SI</v>
      </c>
      <c r="U554" s="77"/>
      <c r="V554" s="67"/>
      <c r="W554" s="74">
        <v>0.37291666666666662</v>
      </c>
      <c r="X554" s="67" t="s">
        <v>2608</v>
      </c>
      <c r="Y554" s="67"/>
      <c r="Z554" s="124" t="s">
        <v>1041</v>
      </c>
      <c r="AA554" s="124" t="s">
        <v>1171</v>
      </c>
      <c r="AB554" s="124" t="s">
        <v>1176</v>
      </c>
      <c r="AC554" s="375"/>
    </row>
    <row r="555" spans="1:29" ht="39.950000000000003" hidden="1" customHeight="1">
      <c r="A555" s="67">
        <v>558</v>
      </c>
      <c r="B555" s="69">
        <v>45163</v>
      </c>
      <c r="C555" s="74">
        <v>0.4861111111111111</v>
      </c>
      <c r="D555" s="67" t="s">
        <v>2498</v>
      </c>
      <c r="E555" s="68" t="s">
        <v>2624</v>
      </c>
      <c r="F555" s="67">
        <v>7</v>
      </c>
      <c r="G555" s="67" t="s">
        <v>29</v>
      </c>
      <c r="H555" s="69">
        <v>45174</v>
      </c>
      <c r="I555" s="69" t="s">
        <v>73</v>
      </c>
      <c r="J555" s="69" t="s">
        <v>1221</v>
      </c>
      <c r="K555" s="67">
        <f>IFERROR(VLOOKUP(J555,Jueces!$A$1:$B$11,2,FALSE),"")</f>
        <v>7</v>
      </c>
      <c r="L555" s="67" t="s">
        <v>569</v>
      </c>
      <c r="M555" s="67" t="s">
        <v>782</v>
      </c>
      <c r="N555" s="67" t="s">
        <v>2499</v>
      </c>
      <c r="O555" s="67" t="str">
        <f t="shared" ca="1" si="33"/>
        <v>SI</v>
      </c>
      <c r="P555" s="67" t="str">
        <f t="shared" si="32"/>
        <v>DIANOSOL</v>
      </c>
      <c r="Q555" s="67" t="s">
        <v>151</v>
      </c>
      <c r="R555" s="67" t="str">
        <f>VLOOKUP($Q555,Resultados!$A$1:$B$49,2,FALSE)</f>
        <v>Prisión Preventiva</v>
      </c>
      <c r="S555" s="67" t="s">
        <v>1235</v>
      </c>
      <c r="T555" s="77" t="str">
        <f t="shared" si="34"/>
        <v>NO</v>
      </c>
      <c r="U555" s="77"/>
      <c r="V555" s="67"/>
      <c r="W555" s="67" t="s">
        <v>1065</v>
      </c>
      <c r="X555" s="67" t="s">
        <v>2383</v>
      </c>
      <c r="Y555" s="67"/>
      <c r="Z555" s="124" t="s">
        <v>1042</v>
      </c>
      <c r="AA555" s="124" t="s">
        <v>1169</v>
      </c>
      <c r="AB555" s="124" t="s">
        <v>1174</v>
      </c>
      <c r="AC555" s="375"/>
    </row>
    <row r="556" spans="1:29" ht="39.950000000000003" hidden="1" customHeight="1">
      <c r="A556" s="67">
        <v>567</v>
      </c>
      <c r="B556" s="69">
        <v>45167</v>
      </c>
      <c r="C556" s="67" t="s">
        <v>989</v>
      </c>
      <c r="D556" s="67" t="s">
        <v>2521</v>
      </c>
      <c r="E556" s="68" t="s">
        <v>2625</v>
      </c>
      <c r="F556" s="67">
        <v>5</v>
      </c>
      <c r="G556" s="67" t="s">
        <v>568</v>
      </c>
      <c r="H556" s="69">
        <v>45174</v>
      </c>
      <c r="I556" s="69" t="s">
        <v>73</v>
      </c>
      <c r="J556" s="69" t="s">
        <v>1222</v>
      </c>
      <c r="K556" s="67" t="s">
        <v>1520</v>
      </c>
      <c r="L556" s="67" t="s">
        <v>569</v>
      </c>
      <c r="M556" s="67" t="s">
        <v>2126</v>
      </c>
      <c r="N556" s="67" t="s">
        <v>2522</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1238</v>
      </c>
      <c r="X556" s="67"/>
      <c r="Y556" s="67"/>
      <c r="Z556" s="124" t="s">
        <v>748</v>
      </c>
      <c r="AA556" s="124" t="s">
        <v>1169</v>
      </c>
      <c r="AB556" s="124" t="s">
        <v>1173</v>
      </c>
      <c r="AC556" s="375"/>
    </row>
    <row r="557" spans="1:29" ht="39.950000000000003" hidden="1" customHeight="1">
      <c r="A557" s="67">
        <v>551</v>
      </c>
      <c r="B557" s="69">
        <v>45168</v>
      </c>
      <c r="C557" s="74">
        <v>0.4597222222222222</v>
      </c>
      <c r="D557" s="67" t="s">
        <v>2478</v>
      </c>
      <c r="E557" s="68" t="s">
        <v>2626</v>
      </c>
      <c r="F557" s="67">
        <v>7</v>
      </c>
      <c r="G557" s="67" t="s">
        <v>1441</v>
      </c>
      <c r="H557" s="69">
        <v>45174</v>
      </c>
      <c r="I557" s="69" t="s">
        <v>1086</v>
      </c>
      <c r="J557" s="69" t="s">
        <v>1222</v>
      </c>
      <c r="K557" s="67" t="s">
        <v>1520</v>
      </c>
      <c r="L557" s="67" t="s">
        <v>800</v>
      </c>
      <c r="M557" s="67" t="s">
        <v>725</v>
      </c>
      <c r="N557" s="67" t="s">
        <v>577</v>
      </c>
      <c r="O557" s="67" t="str">
        <f t="shared" ca="1" si="33"/>
        <v>SI</v>
      </c>
      <c r="P557" s="67" t="str">
        <f t="shared" si="32"/>
        <v>DIANOSOL</v>
      </c>
      <c r="Q557" s="67" t="s">
        <v>151</v>
      </c>
      <c r="R557" s="67" t="str">
        <f>VLOOKUP($Q557,Resultados!$A$1:$B$49,2,FALSE)</f>
        <v>Prisión Preventiva</v>
      </c>
      <c r="S557" s="67" t="s">
        <v>2618</v>
      </c>
      <c r="T557" s="77" t="str">
        <f t="shared" si="34"/>
        <v>NO</v>
      </c>
      <c r="U557" s="77"/>
      <c r="V557" s="67"/>
      <c r="W557" s="67" t="s">
        <v>1372</v>
      </c>
      <c r="X557" s="67"/>
      <c r="Y557" s="67"/>
      <c r="Z557" s="124" t="s">
        <v>743</v>
      </c>
      <c r="AA557" s="124" t="s">
        <v>1169</v>
      </c>
      <c r="AB557" s="124" t="s">
        <v>1175</v>
      </c>
      <c r="AC557" s="375"/>
    </row>
    <row r="558" spans="1:29" ht="173.25" hidden="1" customHeight="1">
      <c r="A558" s="67">
        <v>557</v>
      </c>
      <c r="B558" s="69">
        <v>45163</v>
      </c>
      <c r="C558" s="74">
        <v>0.49444444444444446</v>
      </c>
      <c r="D558" s="67" t="s">
        <v>2497</v>
      </c>
      <c r="E558" s="68" t="s">
        <v>2627</v>
      </c>
      <c r="F558" s="67">
        <v>7</v>
      </c>
      <c r="G558" s="67" t="s">
        <v>1443</v>
      </c>
      <c r="H558" s="69">
        <v>45174</v>
      </c>
      <c r="I558" s="69" t="s">
        <v>1086</v>
      </c>
      <c r="J558" s="69" t="s">
        <v>1225</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1231</v>
      </c>
      <c r="T558" s="77" t="str">
        <f t="shared" si="34"/>
        <v>NO</v>
      </c>
      <c r="U558" s="77"/>
      <c r="V558" s="67"/>
      <c r="W558" s="67" t="s">
        <v>1009</v>
      </c>
      <c r="X558" s="67"/>
      <c r="Y558" s="67"/>
      <c r="Z558" s="124" t="s">
        <v>770</v>
      </c>
      <c r="AA558" s="124" t="s">
        <v>743</v>
      </c>
      <c r="AB558" s="124" t="s">
        <v>1177</v>
      </c>
      <c r="AC558" s="375"/>
    </row>
    <row r="559" spans="1:29" ht="65.25" hidden="1" customHeight="1">
      <c r="A559" s="67">
        <v>528</v>
      </c>
      <c r="B559" s="69">
        <v>45156</v>
      </c>
      <c r="C559" s="74">
        <v>0.52569444444444446</v>
      </c>
      <c r="D559" s="67" t="s">
        <v>2400</v>
      </c>
      <c r="E559" s="68" t="s">
        <v>2629</v>
      </c>
      <c r="F559" s="67">
        <v>6</v>
      </c>
      <c r="G559" s="67" t="s">
        <v>29</v>
      </c>
      <c r="H559" s="69">
        <v>45175</v>
      </c>
      <c r="I559" s="69" t="s">
        <v>73</v>
      </c>
      <c r="J559" s="69" t="s">
        <v>35</v>
      </c>
      <c r="K559" s="67">
        <f>IFERROR(VLOOKUP(J559,Jueces!$A$1:$B$11,2,FALSE),"")</f>
        <v>3</v>
      </c>
      <c r="L559" s="67" t="s">
        <v>1149</v>
      </c>
      <c r="M559" s="67" t="s">
        <v>2486</v>
      </c>
      <c r="N559" s="67" t="s">
        <v>2485</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1189</v>
      </c>
      <c r="X559" s="67" t="s">
        <v>2638</v>
      </c>
      <c r="Y559" s="67"/>
      <c r="Z559" s="124" t="s">
        <v>1041</v>
      </c>
      <c r="AA559" s="124" t="s">
        <v>743</v>
      </c>
      <c r="AB559" s="124" t="s">
        <v>1173</v>
      </c>
      <c r="AC559" s="375"/>
    </row>
    <row r="560" spans="1:29" ht="39.950000000000003" hidden="1" customHeight="1">
      <c r="A560" s="67">
        <v>553</v>
      </c>
      <c r="B560" s="69">
        <v>45163</v>
      </c>
      <c r="C560" s="74">
        <v>0.39166666666666666</v>
      </c>
      <c r="D560" s="67" t="s">
        <v>2492</v>
      </c>
      <c r="E560" s="68" t="s">
        <v>2631</v>
      </c>
      <c r="F560" s="67">
        <v>4</v>
      </c>
      <c r="G560" s="67" t="s">
        <v>1441</v>
      </c>
      <c r="H560" s="69">
        <v>45175</v>
      </c>
      <c r="I560" s="69" t="s">
        <v>73</v>
      </c>
      <c r="J560" s="69" t="s">
        <v>1221</v>
      </c>
      <c r="K560" s="67">
        <f>IFERROR(VLOOKUP(J560,Jueces!$A$1:$B$11,2,FALSE),"")</f>
        <v>7</v>
      </c>
      <c r="L560" s="67" t="s">
        <v>569</v>
      </c>
      <c r="M560" s="67" t="s">
        <v>2220</v>
      </c>
      <c r="N560" s="67" t="s">
        <v>2653</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2654</v>
      </c>
      <c r="Y560" s="67"/>
      <c r="Z560" s="124" t="s">
        <v>1042</v>
      </c>
      <c r="AA560" s="124" t="s">
        <v>743</v>
      </c>
      <c r="AB560" s="124" t="s">
        <v>1175</v>
      </c>
      <c r="AC560" s="375"/>
    </row>
    <row r="561" spans="1:29" ht="39.950000000000003" hidden="1" customHeight="1">
      <c r="A561" s="67">
        <v>562</v>
      </c>
      <c r="B561" s="69">
        <v>45167</v>
      </c>
      <c r="C561" s="74">
        <v>0.43472222222222223</v>
      </c>
      <c r="D561" s="67" t="s">
        <v>2512</v>
      </c>
      <c r="E561" s="68" t="s">
        <v>2630</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1429</v>
      </c>
      <c r="T561" s="77" t="str">
        <f t="shared" si="34"/>
        <v>NO</v>
      </c>
      <c r="U561" s="77"/>
      <c r="V561" s="67"/>
      <c r="W561" s="67" t="s">
        <v>1497</v>
      </c>
      <c r="X561" s="67"/>
      <c r="Y561" s="67"/>
      <c r="Z561" s="124" t="s">
        <v>748</v>
      </c>
      <c r="AA561" s="124" t="s">
        <v>1171</v>
      </c>
      <c r="AB561" s="124" t="s">
        <v>1176</v>
      </c>
      <c r="AC561" s="375"/>
    </row>
    <row r="562" spans="1:29" ht="39.950000000000003" hidden="1" customHeight="1">
      <c r="A562" s="67">
        <v>560</v>
      </c>
      <c r="B562" s="69">
        <v>45167</v>
      </c>
      <c r="C562" s="74">
        <v>0.37986111111111115</v>
      </c>
      <c r="D562" s="67" t="s">
        <v>2510</v>
      </c>
      <c r="E562" s="68" t="s">
        <v>2632</v>
      </c>
      <c r="F562" s="67">
        <v>7</v>
      </c>
      <c r="G562" s="67" t="s">
        <v>283</v>
      </c>
      <c r="H562" s="69">
        <v>45175</v>
      </c>
      <c r="I562" s="69" t="s">
        <v>1086</v>
      </c>
      <c r="J562" s="69" t="s">
        <v>1222</v>
      </c>
      <c r="K562" s="67" t="s">
        <v>1926</v>
      </c>
      <c r="L562" s="67" t="s">
        <v>789</v>
      </c>
      <c r="M562" s="67" t="s">
        <v>723</v>
      </c>
      <c r="N562" s="67" t="s">
        <v>2637</v>
      </c>
      <c r="O562" s="67" t="str">
        <f t="shared" ca="1" si="33"/>
        <v>SI</v>
      </c>
      <c r="P562" s="67" t="str">
        <f t="shared" si="32"/>
        <v>DIANOSOL</v>
      </c>
      <c r="Q562" s="67" t="s">
        <v>905</v>
      </c>
      <c r="R562" s="67" t="str">
        <f>VLOOKUP($Q562,Resultados!$A$1:$B$49,2,FALSE)</f>
        <v>Juicio Abreviado</v>
      </c>
      <c r="S562" s="67" t="s">
        <v>1238</v>
      </c>
      <c r="T562" s="77" t="str">
        <f t="shared" si="34"/>
        <v>NO</v>
      </c>
      <c r="U562" s="77"/>
      <c r="V562" s="67"/>
      <c r="W562" s="67" t="s">
        <v>1009</v>
      </c>
      <c r="X562" s="67"/>
      <c r="Y562" s="67"/>
      <c r="Z562" s="124" t="s">
        <v>743</v>
      </c>
      <c r="AA562" s="124" t="s">
        <v>1169</v>
      </c>
      <c r="AB562" s="124" t="s">
        <v>1174</v>
      </c>
      <c r="AC562" s="375"/>
    </row>
    <row r="563" spans="1:29" ht="39.950000000000003" hidden="1" customHeight="1">
      <c r="A563" s="67">
        <v>563</v>
      </c>
      <c r="B563" s="69">
        <v>45167</v>
      </c>
      <c r="C563" s="74">
        <v>0.43263888888888885</v>
      </c>
      <c r="D563" s="67" t="s">
        <v>2513</v>
      </c>
      <c r="E563" s="68" t="s">
        <v>2633</v>
      </c>
      <c r="F563" s="67">
        <v>6</v>
      </c>
      <c r="G563" s="67" t="s">
        <v>1442</v>
      </c>
      <c r="H563" s="69">
        <v>45175</v>
      </c>
      <c r="I563" s="69" t="s">
        <v>1086</v>
      </c>
      <c r="J563" s="69" t="s">
        <v>1221</v>
      </c>
      <c r="K563" s="67">
        <f>IFERROR(VLOOKUP(J563,Jueces!$A$1:$B$11,2,FALSE),"")</f>
        <v>7</v>
      </c>
      <c r="L563" s="67" t="s">
        <v>807</v>
      </c>
      <c r="M563" s="67" t="s">
        <v>725</v>
      </c>
      <c r="N563" s="67" t="s">
        <v>2646</v>
      </c>
      <c r="O563" s="67" t="str">
        <f t="shared" ca="1" si="33"/>
        <v>SI</v>
      </c>
      <c r="P563" s="67" t="str">
        <f t="shared" si="32"/>
        <v>DIANOSOL</v>
      </c>
      <c r="Q563" s="67" t="s">
        <v>904</v>
      </c>
      <c r="R563" s="67" t="str">
        <f>VLOOKUP($Q563,Resultados!$A$1:$B$49,2,FALSE)</f>
        <v>Juicio Abreviado</v>
      </c>
      <c r="S563" s="67" t="s">
        <v>1372</v>
      </c>
      <c r="T563" s="77" t="str">
        <f t="shared" si="34"/>
        <v>SI</v>
      </c>
      <c r="U563" s="77"/>
      <c r="V563" s="67"/>
      <c r="W563" s="67" t="s">
        <v>2645</v>
      </c>
      <c r="X563" s="67"/>
      <c r="Y563" s="67"/>
      <c r="Z563" s="124" t="s">
        <v>770</v>
      </c>
      <c r="AA563" s="124" t="s">
        <v>1169</v>
      </c>
      <c r="AB563" s="124" t="s">
        <v>1173</v>
      </c>
      <c r="AC563" s="375"/>
    </row>
    <row r="564" spans="1:29" ht="39.950000000000003" hidden="1" customHeight="1">
      <c r="A564" s="67">
        <v>543</v>
      </c>
      <c r="B564" s="69">
        <v>45161</v>
      </c>
      <c r="C564" s="74">
        <v>0.52500000000000002</v>
      </c>
      <c r="D564" s="67" t="s">
        <v>2451</v>
      </c>
      <c r="E564" s="68" t="s">
        <v>2655</v>
      </c>
      <c r="F564" s="67">
        <v>7</v>
      </c>
      <c r="G564" s="67" t="s">
        <v>43</v>
      </c>
      <c r="H564" s="69">
        <v>45176</v>
      </c>
      <c r="I564" s="69" t="s">
        <v>73</v>
      </c>
      <c r="J564" s="69" t="s">
        <v>31</v>
      </c>
      <c r="K564" s="67">
        <f>IFERROR(VLOOKUP(J564,Jueces!$A$1:$B$11,2,FALSE),"")</f>
        <v>2</v>
      </c>
      <c r="L564" s="272" t="s">
        <v>2432</v>
      </c>
      <c r="M564" s="67" t="s">
        <v>723</v>
      </c>
      <c r="N564" s="67" t="s">
        <v>1753</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5" t="s">
        <v>2664</v>
      </c>
      <c r="Y564" s="67"/>
      <c r="Z564" s="124" t="s">
        <v>1041</v>
      </c>
      <c r="AA564" s="124" t="s">
        <v>1171</v>
      </c>
      <c r="AB564" s="124" t="s">
        <v>1175</v>
      </c>
      <c r="AC564" s="375"/>
    </row>
    <row r="565" spans="1:29" ht="39.950000000000003" hidden="1" customHeight="1">
      <c r="A565" s="67">
        <v>574</v>
      </c>
      <c r="B565" s="69">
        <v>45168</v>
      </c>
      <c r="C565" s="74">
        <v>0.36319444444444443</v>
      </c>
      <c r="D565" s="67" t="s">
        <v>2534</v>
      </c>
      <c r="E565" s="68" t="s">
        <v>2656</v>
      </c>
      <c r="F565" s="67">
        <v>6</v>
      </c>
      <c r="G565" s="67" t="s">
        <v>568</v>
      </c>
      <c r="H565" s="69">
        <v>45176</v>
      </c>
      <c r="I565" s="69" t="s">
        <v>73</v>
      </c>
      <c r="J565" s="69" t="s">
        <v>1222</v>
      </c>
      <c r="K565" s="67" t="s">
        <v>1326</v>
      </c>
      <c r="L565" s="67" t="s">
        <v>814</v>
      </c>
      <c r="M565" s="67" t="s">
        <v>725</v>
      </c>
      <c r="N565" s="67" t="s">
        <v>2673</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4" t="s">
        <v>2674</v>
      </c>
      <c r="Y565" s="67"/>
      <c r="Z565" s="124" t="s">
        <v>1042</v>
      </c>
      <c r="AA565" s="285" t="s">
        <v>1169</v>
      </c>
      <c r="AB565" s="124" t="s">
        <v>1173</v>
      </c>
      <c r="AC565" s="375"/>
    </row>
    <row r="566" spans="1:29" ht="39.950000000000003" hidden="1" customHeight="1">
      <c r="A566" s="67">
        <v>576</v>
      </c>
      <c r="B566" s="69">
        <v>45169</v>
      </c>
      <c r="C566" s="74">
        <v>0.33333333333333331</v>
      </c>
      <c r="D566" s="67" t="s">
        <v>2554</v>
      </c>
      <c r="E566" s="68" t="s">
        <v>2657</v>
      </c>
      <c r="F566" s="67">
        <v>7</v>
      </c>
      <c r="G566" s="67" t="s">
        <v>283</v>
      </c>
      <c r="H566" s="69">
        <v>45176</v>
      </c>
      <c r="I566" s="69" t="s">
        <v>73</v>
      </c>
      <c r="J566" s="69" t="s">
        <v>33</v>
      </c>
      <c r="K566" s="67">
        <f>IFERROR(VLOOKUP(J566,Jueces!$A$1:$B$11,2,FALSE),"")</f>
        <v>4</v>
      </c>
      <c r="L566" s="67" t="s">
        <v>806</v>
      </c>
      <c r="M566" s="67" t="s">
        <v>767</v>
      </c>
      <c r="N566" s="67" t="s">
        <v>2671</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4" t="s">
        <v>2672</v>
      </c>
      <c r="Y566" s="67"/>
      <c r="Z566" s="124" t="s">
        <v>748</v>
      </c>
      <c r="AA566" s="124" t="s">
        <v>743</v>
      </c>
      <c r="AB566" s="124" t="s">
        <v>1175</v>
      </c>
      <c r="AC566" s="375"/>
    </row>
    <row r="567" spans="1:29" ht="39.950000000000003" hidden="1" customHeight="1">
      <c r="A567" s="7">
        <v>556</v>
      </c>
      <c r="B567" s="19">
        <v>45162</v>
      </c>
      <c r="C567" s="15">
        <v>0.52916666666666667</v>
      </c>
      <c r="D567" s="7" t="s">
        <v>2496</v>
      </c>
      <c r="E567" s="41" t="s">
        <v>2661</v>
      </c>
      <c r="F567" s="7">
        <v>4</v>
      </c>
      <c r="G567" s="7" t="s">
        <v>1442</v>
      </c>
      <c r="H567" s="19">
        <v>45176</v>
      </c>
      <c r="I567" s="19" t="s">
        <v>1086</v>
      </c>
      <c r="J567" s="19" t="s">
        <v>1220</v>
      </c>
      <c r="K567" s="7" t="s">
        <v>1926</v>
      </c>
      <c r="L567" s="7" t="s">
        <v>798</v>
      </c>
      <c r="M567" s="7" t="s">
        <v>695</v>
      </c>
      <c r="N567" s="7" t="s">
        <v>2670</v>
      </c>
      <c r="O567" s="7" t="str">
        <f t="shared" ca="1" si="33"/>
        <v>SI</v>
      </c>
      <c r="P567" s="7" t="str">
        <f t="shared" si="32"/>
        <v>DIANOSOL</v>
      </c>
      <c r="Q567" s="7" t="s">
        <v>151</v>
      </c>
      <c r="R567" s="7" t="str">
        <f>VLOOKUP($Q567,Resultados!$A$1:$B$49,2,FALSE)</f>
        <v>Prisión Preventiva</v>
      </c>
      <c r="S567" s="15">
        <v>0.37916666666666665</v>
      </c>
      <c r="T567" s="72" t="str">
        <f t="shared" si="35"/>
        <v>SI</v>
      </c>
      <c r="U567" s="72"/>
      <c r="V567" s="7"/>
      <c r="W567" s="15">
        <v>0.40416666666666662</v>
      </c>
      <c r="X567" s="7"/>
      <c r="Y567" s="7"/>
      <c r="Z567" s="285" t="s">
        <v>743</v>
      </c>
      <c r="AA567" s="285" t="s">
        <v>743</v>
      </c>
      <c r="AB567" s="285" t="s">
        <v>1176</v>
      </c>
      <c r="AC567" s="375"/>
    </row>
    <row r="568" spans="1:29" ht="38.25" hidden="1">
      <c r="A568" s="268">
        <v>565</v>
      </c>
      <c r="B568" s="271">
        <v>45168</v>
      </c>
      <c r="C568" s="390">
        <v>0.4597222222222222</v>
      </c>
      <c r="D568" s="268" t="s">
        <v>2518</v>
      </c>
      <c r="E568" s="269" t="s">
        <v>2658</v>
      </c>
      <c r="F568" s="268">
        <v>6</v>
      </c>
      <c r="G568" s="268" t="s">
        <v>1443</v>
      </c>
      <c r="H568" s="271">
        <v>45176</v>
      </c>
      <c r="I568" s="271" t="s">
        <v>1086</v>
      </c>
      <c r="J568" s="271" t="s">
        <v>1221</v>
      </c>
      <c r="K568" s="268">
        <f>IFERROR(VLOOKUP(J568,Jueces!$A$1:$B$11,2,FALSE),"")</f>
        <v>7</v>
      </c>
      <c r="L568" s="7" t="s">
        <v>800</v>
      </c>
      <c r="M568" s="7" t="s">
        <v>725</v>
      </c>
      <c r="N568" s="268" t="s">
        <v>2669</v>
      </c>
      <c r="O568" s="7" t="str">
        <f t="shared" ca="1" si="33"/>
        <v>SI</v>
      </c>
      <c r="P568" s="7" t="str">
        <f t="shared" si="32"/>
        <v>DIANOSOL</v>
      </c>
      <c r="Q568" s="268" t="s">
        <v>905</v>
      </c>
      <c r="R568" s="7" t="str">
        <f>VLOOKUP($Q568,Resultados!$A$1:$B$49,2,FALSE)</f>
        <v>Juicio Abreviado</v>
      </c>
      <c r="S568" s="390">
        <v>0.39444444444444443</v>
      </c>
      <c r="T568" s="72" t="str">
        <f t="shared" si="35"/>
        <v>NO</v>
      </c>
      <c r="U568" s="270"/>
      <c r="V568" s="268"/>
      <c r="W568" s="390">
        <v>0.4152777777777778</v>
      </c>
      <c r="X568" s="268" t="s">
        <v>1506</v>
      </c>
      <c r="Y568" s="268"/>
      <c r="Z568" s="340" t="s">
        <v>770</v>
      </c>
      <c r="AA568" s="124" t="s">
        <v>1169</v>
      </c>
      <c r="AB568" s="340" t="s">
        <v>1174</v>
      </c>
      <c r="AC568" s="375"/>
    </row>
    <row r="569" spans="1:29" ht="38.25" hidden="1">
      <c r="A569" s="112">
        <v>577</v>
      </c>
      <c r="B569" s="267">
        <v>45169</v>
      </c>
      <c r="C569" s="273">
        <v>0.33333333333333331</v>
      </c>
      <c r="D569" s="112" t="s">
        <v>2555</v>
      </c>
      <c r="E569" s="113" t="s">
        <v>2659</v>
      </c>
      <c r="F569" s="112">
        <v>7</v>
      </c>
      <c r="G569" s="112" t="s">
        <v>32</v>
      </c>
      <c r="H569" s="267">
        <v>45176</v>
      </c>
      <c r="I569" s="267" t="s">
        <v>1086</v>
      </c>
      <c r="J569" s="267" t="s">
        <v>35</v>
      </c>
      <c r="K569" s="112" t="s">
        <v>1491</v>
      </c>
      <c r="L569" s="67" t="s">
        <v>809</v>
      </c>
      <c r="M569" s="67" t="s">
        <v>767</v>
      </c>
      <c r="N569" s="112" t="s">
        <v>2662</v>
      </c>
      <c r="O569" s="67" t="str">
        <f t="shared" ca="1" si="33"/>
        <v>SI</v>
      </c>
      <c r="P569" s="67" t="str">
        <f t="shared" si="32"/>
        <v>DIANOSOL</v>
      </c>
      <c r="Q569" s="112" t="s">
        <v>904</v>
      </c>
      <c r="R569" s="67" t="str">
        <f>VLOOKUP($Q569,Resultados!$A$1:$B$49,2,FALSE)</f>
        <v>Juicio Abreviado</v>
      </c>
      <c r="S569" s="273">
        <v>0.37916666666666665</v>
      </c>
      <c r="T569" s="77" t="str">
        <f t="shared" si="35"/>
        <v>NO</v>
      </c>
      <c r="U569" s="114"/>
      <c r="V569" s="112"/>
      <c r="W569" s="273">
        <v>0.38611111111111113</v>
      </c>
      <c r="X569" s="235" t="s">
        <v>2663</v>
      </c>
      <c r="Y569" s="112"/>
      <c r="Z569" s="341" t="s">
        <v>1041</v>
      </c>
      <c r="AA569" s="341" t="s">
        <v>1169</v>
      </c>
      <c r="AB569" s="341" t="s">
        <v>1176</v>
      </c>
      <c r="AC569" s="375"/>
    </row>
    <row r="570" spans="1:29" ht="39.950000000000003" hidden="1" customHeight="1">
      <c r="A570" s="67">
        <v>580</v>
      </c>
      <c r="B570" s="69">
        <v>45169</v>
      </c>
      <c r="C570" s="74">
        <v>0.52500000000000002</v>
      </c>
      <c r="D570" s="67" t="s">
        <v>2567</v>
      </c>
      <c r="E570" s="68" t="s">
        <v>2660</v>
      </c>
      <c r="F570" s="67">
        <v>7</v>
      </c>
      <c r="G570" s="69" t="s">
        <v>29</v>
      </c>
      <c r="H570" s="69">
        <v>45176</v>
      </c>
      <c r="I570" s="69" t="s">
        <v>547</v>
      </c>
      <c r="J570" s="67" t="s">
        <v>33</v>
      </c>
      <c r="K570" s="67" t="s">
        <v>2589</v>
      </c>
      <c r="L570" s="67" t="s">
        <v>811</v>
      </c>
      <c r="M570" s="67" t="s">
        <v>725</v>
      </c>
      <c r="N570" s="67" t="s">
        <v>2678</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4" t="s">
        <v>1042</v>
      </c>
      <c r="AA570" s="124" t="s">
        <v>743</v>
      </c>
      <c r="AB570" s="124" t="s">
        <v>1174</v>
      </c>
      <c r="AC570" s="375"/>
    </row>
    <row r="571" spans="1:29" ht="39.950000000000003" hidden="1" customHeight="1">
      <c r="A571" s="67">
        <v>538</v>
      </c>
      <c r="B571" s="69">
        <v>45161</v>
      </c>
      <c r="C571" s="74">
        <v>0.45347222222222222</v>
      </c>
      <c r="D571" s="67" t="s">
        <v>2440</v>
      </c>
      <c r="E571" s="68" t="s">
        <v>2441</v>
      </c>
      <c r="F571" s="67">
        <v>5</v>
      </c>
      <c r="G571" s="67" t="s">
        <v>43</v>
      </c>
      <c r="H571" s="69">
        <v>45177</v>
      </c>
      <c r="I571" s="69" t="s">
        <v>73</v>
      </c>
      <c r="J571" s="69" t="s">
        <v>33</v>
      </c>
      <c r="K571" s="67">
        <f>IFERROR(VLOOKUP(J571,Jueces!$A$1:$B$11,2,FALSE),"")</f>
        <v>4</v>
      </c>
      <c r="L571" s="67" t="s">
        <v>2095</v>
      </c>
      <c r="M571" s="67" t="s">
        <v>697</v>
      </c>
      <c r="N571" s="67" t="s">
        <v>2681</v>
      </c>
      <c r="O571" s="67" t="str">
        <f t="shared" ca="1" si="33"/>
        <v>SI</v>
      </c>
      <c r="P571" s="67" t="str">
        <f t="shared" si="32"/>
        <v>DIANOSOL</v>
      </c>
      <c r="Q571" s="67" t="s">
        <v>899</v>
      </c>
      <c r="R571" s="67" t="str">
        <f>VLOOKUP($Q571,Resultados!$A$1:$B$49,2,FALSE)</f>
        <v>Libertad</v>
      </c>
      <c r="S571" s="67" t="s">
        <v>2682</v>
      </c>
      <c r="T571" s="77" t="str">
        <f t="shared" si="35"/>
        <v>NO</v>
      </c>
      <c r="U571" s="77"/>
      <c r="V571" s="67"/>
      <c r="W571" s="67" t="s">
        <v>1499</v>
      </c>
      <c r="X571" s="67" t="s">
        <v>2383</v>
      </c>
      <c r="Y571" s="67"/>
      <c r="Z571" s="124" t="s">
        <v>1041</v>
      </c>
      <c r="AA571" s="124" t="s">
        <v>1171</v>
      </c>
      <c r="AB571" s="124" t="s">
        <v>1173</v>
      </c>
      <c r="AC571" s="375"/>
    </row>
    <row r="572" spans="1:29" ht="39.950000000000003" hidden="1" customHeight="1">
      <c r="A572" s="67">
        <v>571</v>
      </c>
      <c r="B572" s="69">
        <v>45168</v>
      </c>
      <c r="C572" s="74">
        <v>0.33333333333333331</v>
      </c>
      <c r="D572" s="67" t="s">
        <v>2529</v>
      </c>
      <c r="E572" s="68" t="s">
        <v>2553</v>
      </c>
      <c r="F572" s="67">
        <v>7</v>
      </c>
      <c r="G572" s="67" t="s">
        <v>29</v>
      </c>
      <c r="H572" s="69">
        <v>45177</v>
      </c>
      <c r="I572" s="69" t="s">
        <v>73</v>
      </c>
      <c r="J572" s="69" t="s">
        <v>1221</v>
      </c>
      <c r="K572" s="67">
        <f>IFERROR(VLOOKUP(J572,Jueces!$A$1:$B$11,2,FALSE),"")</f>
        <v>7</v>
      </c>
      <c r="L572" s="67" t="s">
        <v>806</v>
      </c>
      <c r="M572" s="67" t="s">
        <v>723</v>
      </c>
      <c r="N572" s="67" t="s">
        <v>2683</v>
      </c>
      <c r="O572" s="67" t="str">
        <f t="shared" ca="1" si="33"/>
        <v>SI</v>
      </c>
      <c r="P572" s="67" t="str">
        <f t="shared" si="32"/>
        <v>DIANOSOL</v>
      </c>
      <c r="Q572" s="67" t="s">
        <v>904</v>
      </c>
      <c r="R572" s="67" t="str">
        <f>VLOOKUP($Q572,Resultados!$A$1:$B$49,2,FALSE)</f>
        <v>Juicio Abreviado</v>
      </c>
      <c r="S572" s="67" t="s">
        <v>1532</v>
      </c>
      <c r="T572" s="77" t="str">
        <f t="shared" si="35"/>
        <v>NO</v>
      </c>
      <c r="U572" s="77"/>
      <c r="V572" s="67"/>
      <c r="W572" s="67" t="s">
        <v>679</v>
      </c>
      <c r="X572" s="67" t="s">
        <v>2684</v>
      </c>
      <c r="Y572" s="67"/>
      <c r="Z572" s="124" t="s">
        <v>1042</v>
      </c>
      <c r="AA572" s="124" t="s">
        <v>743</v>
      </c>
      <c r="AB572" s="124" t="s">
        <v>1175</v>
      </c>
      <c r="AC572" s="375"/>
    </row>
    <row r="573" spans="1:29" ht="39.950000000000003" hidden="1" customHeight="1">
      <c r="A573" s="67">
        <v>573</v>
      </c>
      <c r="B573" s="69">
        <v>45168</v>
      </c>
      <c r="C573" s="74">
        <v>0.36736111111111108</v>
      </c>
      <c r="D573" s="67" t="s">
        <v>2532</v>
      </c>
      <c r="E573" s="68" t="s">
        <v>2533</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1429</v>
      </c>
      <c r="T573" s="77" t="str">
        <f t="shared" si="35"/>
        <v>NO</v>
      </c>
      <c r="U573" s="77"/>
      <c r="V573" s="67"/>
      <c r="W573" s="67" t="s">
        <v>2685</v>
      </c>
      <c r="X573" s="67"/>
      <c r="Y573" s="67"/>
      <c r="Z573" s="124" t="s">
        <v>743</v>
      </c>
      <c r="AA573" s="124" t="s">
        <v>1169</v>
      </c>
      <c r="AB573" s="124" t="s">
        <v>1176</v>
      </c>
      <c r="AC573" s="375"/>
    </row>
    <row r="574" spans="1:29" ht="39.950000000000003" hidden="1" customHeight="1">
      <c r="A574" s="67">
        <v>570</v>
      </c>
      <c r="B574" s="69">
        <v>45168</v>
      </c>
      <c r="C574" s="74">
        <v>0.33333333333333331</v>
      </c>
      <c r="D574" s="67" t="s">
        <v>2527</v>
      </c>
      <c r="E574" s="68" t="s">
        <v>2528</v>
      </c>
      <c r="F574" s="67">
        <v>7</v>
      </c>
      <c r="G574" s="67" t="s">
        <v>283</v>
      </c>
      <c r="H574" s="69">
        <v>45177</v>
      </c>
      <c r="I574" s="69" t="s">
        <v>1210</v>
      </c>
      <c r="J574" s="69" t="s">
        <v>1221</v>
      </c>
      <c r="K574" s="67">
        <f>IFERROR(VLOOKUP(J574,Jueces!$A$1:$B$11,2,FALSE),"")</f>
        <v>7</v>
      </c>
      <c r="L574" s="67" t="s">
        <v>809</v>
      </c>
      <c r="M574" s="67" t="s">
        <v>723</v>
      </c>
      <c r="N574" s="67" t="s">
        <v>2587</v>
      </c>
      <c r="O574" s="67" t="str">
        <f t="shared" ca="1" si="33"/>
        <v>SI</v>
      </c>
      <c r="P574" s="67" t="str">
        <f t="shared" si="32"/>
        <v>DIANOSOL</v>
      </c>
      <c r="Q574" s="67" t="s">
        <v>904</v>
      </c>
      <c r="R574" s="67" t="str">
        <f>VLOOKUP($Q574,Resultados!$A$1:$B$49,2,FALSE)</f>
        <v>Juicio Abreviado</v>
      </c>
      <c r="S574" s="67" t="s">
        <v>1337</v>
      </c>
      <c r="T574" s="77" t="str">
        <f t="shared" si="35"/>
        <v>NO</v>
      </c>
      <c r="U574" s="77"/>
      <c r="V574" s="67"/>
      <c r="W574" s="67" t="s">
        <v>2686</v>
      </c>
      <c r="X574" s="67" t="s">
        <v>2572</v>
      </c>
      <c r="Y574" s="67"/>
      <c r="Z574" s="124" t="s">
        <v>770</v>
      </c>
      <c r="AA574" s="124" t="s">
        <v>1169</v>
      </c>
      <c r="AB574" s="124" t="s">
        <v>1173</v>
      </c>
      <c r="AC574" s="375"/>
    </row>
    <row r="575" spans="1:29" ht="39.950000000000003" hidden="1" customHeight="1">
      <c r="A575" s="67">
        <v>533</v>
      </c>
      <c r="B575" s="69">
        <v>45160</v>
      </c>
      <c r="C575" s="74">
        <v>0.50763888888888886</v>
      </c>
      <c r="D575" s="67" t="s">
        <v>2408</v>
      </c>
      <c r="E575" s="68" t="s">
        <v>2507</v>
      </c>
      <c r="F575" s="67">
        <v>6</v>
      </c>
      <c r="G575" s="67" t="s">
        <v>1443</v>
      </c>
      <c r="H575" s="69">
        <v>45180</v>
      </c>
      <c r="I575" s="69" t="s">
        <v>73</v>
      </c>
      <c r="J575" s="69" t="s">
        <v>33</v>
      </c>
      <c r="K575" s="7">
        <f>IFERROR(VLOOKUP(J575,Jueces!$A$1:$B$11,2,FALSE),"")</f>
        <v>4</v>
      </c>
      <c r="L575" s="67" t="s">
        <v>796</v>
      </c>
      <c r="M575" s="67" t="s">
        <v>783</v>
      </c>
      <c r="N575" s="67" t="s">
        <v>2706</v>
      </c>
      <c r="O575" s="67" t="str">
        <f t="shared" ca="1" si="33"/>
        <v>SI</v>
      </c>
      <c r="P575" s="67" t="str">
        <f t="shared" si="32"/>
        <v>DIANOSOL</v>
      </c>
      <c r="Q575" s="67" t="s">
        <v>151</v>
      </c>
      <c r="R575" s="67" t="str">
        <f>VLOOKUP($Q575,Resultados!$A$1:$B$49,2,FALSE)</f>
        <v>Prisión Preventiva</v>
      </c>
      <c r="S575" s="67" t="s">
        <v>1391</v>
      </c>
      <c r="T575" s="77" t="str">
        <f t="shared" si="35"/>
        <v>NO</v>
      </c>
      <c r="U575" s="77"/>
      <c r="V575" s="67"/>
      <c r="W575" s="67" t="s">
        <v>1015</v>
      </c>
      <c r="X575" s="67"/>
      <c r="Y575" s="67"/>
      <c r="Z575" s="124" t="s">
        <v>748</v>
      </c>
      <c r="AA575" s="124" t="s">
        <v>743</v>
      </c>
      <c r="AB575" s="124" t="s">
        <v>1175</v>
      </c>
      <c r="AC575" s="375"/>
    </row>
    <row r="576" spans="1:29" ht="106.5" hidden="1" customHeight="1">
      <c r="A576" s="67">
        <v>540</v>
      </c>
      <c r="B576" s="69">
        <v>45161</v>
      </c>
      <c r="C576" s="74">
        <v>0.48680555555555555</v>
      </c>
      <c r="D576" s="67" t="s">
        <v>2444</v>
      </c>
      <c r="E576" s="68" t="s">
        <v>2445</v>
      </c>
      <c r="F576" s="67">
        <v>7</v>
      </c>
      <c r="G576" s="67" t="s">
        <v>29</v>
      </c>
      <c r="H576" s="69">
        <v>45180</v>
      </c>
      <c r="I576" s="69" t="s">
        <v>73</v>
      </c>
      <c r="J576" s="69" t="s">
        <v>31</v>
      </c>
      <c r="K576" s="67">
        <f>IFERROR(VLOOKUP(J576,Jueces!$A$1:$B$11,2,FALSE),"")</f>
        <v>2</v>
      </c>
      <c r="L576" s="67" t="s">
        <v>2095</v>
      </c>
      <c r="M576" s="67" t="s">
        <v>723</v>
      </c>
      <c r="N576" s="67" t="s">
        <v>577</v>
      </c>
      <c r="O576" s="67" t="str">
        <f t="shared" ca="1" si="33"/>
        <v>SI</v>
      </c>
      <c r="P576" s="67" t="str">
        <f t="shared" si="32"/>
        <v>DIANOSOL</v>
      </c>
      <c r="Q576" s="67" t="s">
        <v>151</v>
      </c>
      <c r="R576" s="67" t="str">
        <f>VLOOKUP($Q576,Resultados!$A$1:$B$49,2,FALSE)</f>
        <v>Prisión Preventiva</v>
      </c>
      <c r="S576" s="67" t="s">
        <v>1237</v>
      </c>
      <c r="T576" s="77" t="str">
        <f t="shared" si="35"/>
        <v>NO</v>
      </c>
      <c r="U576" s="77"/>
      <c r="V576" s="67"/>
      <c r="W576" s="67" t="s">
        <v>1234</v>
      </c>
      <c r="X576" s="67"/>
      <c r="Y576" s="67"/>
      <c r="Z576" s="124" t="s">
        <v>743</v>
      </c>
      <c r="AA576" s="124" t="s">
        <v>1171</v>
      </c>
      <c r="AB576" s="124" t="s">
        <v>1177</v>
      </c>
      <c r="AC576" s="375"/>
    </row>
    <row r="577" spans="1:29" ht="39.950000000000003" hidden="1" customHeight="1">
      <c r="A577" s="67">
        <v>568</v>
      </c>
      <c r="B577" s="69">
        <v>45168</v>
      </c>
      <c r="C577" s="74">
        <v>0.33333333333333331</v>
      </c>
      <c r="D577" s="67" t="s">
        <v>2524</v>
      </c>
      <c r="E577" s="68" t="s">
        <v>2525</v>
      </c>
      <c r="F577" s="67">
        <v>7</v>
      </c>
      <c r="G577" s="67" t="s">
        <v>1441</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1612</v>
      </c>
      <c r="T577" s="77" t="str">
        <f t="shared" si="35"/>
        <v>NO</v>
      </c>
      <c r="U577" s="77"/>
      <c r="V577" s="67"/>
      <c r="W577" s="67" t="s">
        <v>2711</v>
      </c>
      <c r="X577" s="67"/>
      <c r="Y577" s="67"/>
      <c r="Z577" s="124" t="s">
        <v>770</v>
      </c>
      <c r="AA577" s="124" t="s">
        <v>743</v>
      </c>
      <c r="AB577" s="124" t="s">
        <v>1176</v>
      </c>
      <c r="AC577" s="375"/>
    </row>
    <row r="578" spans="1:29" ht="39.950000000000003" hidden="1" customHeight="1">
      <c r="A578" s="67">
        <v>575</v>
      </c>
      <c r="B578" s="69">
        <v>45168</v>
      </c>
      <c r="C578" s="74">
        <v>0.4826388888888889</v>
      </c>
      <c r="D578" s="67" t="s">
        <v>2536</v>
      </c>
      <c r="E578" s="68" t="s">
        <v>2537</v>
      </c>
      <c r="F578" s="67">
        <v>1</v>
      </c>
      <c r="G578" s="67" t="s">
        <v>283</v>
      </c>
      <c r="H578" s="69">
        <v>45180</v>
      </c>
      <c r="I578" s="69" t="s">
        <v>73</v>
      </c>
      <c r="J578" s="69" t="s">
        <v>1220</v>
      </c>
      <c r="K578" s="67" t="s">
        <v>1491</v>
      </c>
      <c r="L578" s="67" t="s">
        <v>791</v>
      </c>
      <c r="M578" s="67" t="s">
        <v>725</v>
      </c>
      <c r="N578" s="67" t="s">
        <v>2709</v>
      </c>
      <c r="O578" s="67" t="str">
        <f t="shared" ca="1" si="33"/>
        <v>SI</v>
      </c>
      <c r="P578" s="67" t="str">
        <f t="shared" si="32"/>
        <v>DIANOSOL</v>
      </c>
      <c r="Q578" s="67" t="s">
        <v>905</v>
      </c>
      <c r="R578" s="67" t="str">
        <f>VLOOKUP($Q578,Resultados!$A$1:$B$49,2,FALSE)</f>
        <v>Juicio Abreviado</v>
      </c>
      <c r="S578" s="67" t="s">
        <v>2686</v>
      </c>
      <c r="T578" s="77" t="str">
        <f t="shared" si="35"/>
        <v>NO</v>
      </c>
      <c r="U578" s="77"/>
      <c r="V578" s="67"/>
      <c r="W578" s="67" t="s">
        <v>1276</v>
      </c>
      <c r="X578" s="67" t="s">
        <v>2710</v>
      </c>
      <c r="Y578" s="67"/>
      <c r="Z578" s="124" t="s">
        <v>2450</v>
      </c>
      <c r="AA578" s="124" t="s">
        <v>1171</v>
      </c>
      <c r="AB578" s="124" t="s">
        <v>1174</v>
      </c>
      <c r="AC578" s="375"/>
    </row>
    <row r="579" spans="1:29" ht="39.950000000000003" hidden="1" customHeight="1">
      <c r="A579" s="67">
        <v>585</v>
      </c>
      <c r="B579" s="69">
        <v>45170</v>
      </c>
      <c r="C579" s="74">
        <v>0.46180555555555558</v>
      </c>
      <c r="D579" s="67" t="s">
        <v>2583</v>
      </c>
      <c r="E579" s="68" t="s">
        <v>2584</v>
      </c>
      <c r="F579" s="67">
        <v>6</v>
      </c>
      <c r="G579" s="67" t="s">
        <v>1442</v>
      </c>
      <c r="H579" s="69">
        <v>45180</v>
      </c>
      <c r="I579" s="69" t="s">
        <v>73</v>
      </c>
      <c r="J579" s="69" t="s">
        <v>1221</v>
      </c>
      <c r="K579" s="67">
        <f>IFERROR(VLOOKUP(J579,Jueces!$A$1:$B$11,2,FALSE),"")</f>
        <v>7</v>
      </c>
      <c r="L579" s="67" t="s">
        <v>1306</v>
      </c>
      <c r="M579" s="67" t="s">
        <v>2126</v>
      </c>
      <c r="N579" s="67" t="s">
        <v>577</v>
      </c>
      <c r="O579" s="67" t="str">
        <f t="shared" ca="1" si="33"/>
        <v>SI</v>
      </c>
      <c r="P579" s="67" t="str">
        <f t="shared" ref="P579:P642" si="36">IF($P$1=H579,"DIASOL", "DIANOSOL")</f>
        <v>DIANOSOL</v>
      </c>
      <c r="Q579" s="67" t="s">
        <v>151</v>
      </c>
      <c r="R579" s="67" t="str">
        <f>VLOOKUP($Q579,Resultados!$A$1:$B$49,2,FALSE)</f>
        <v>Prisión Preventiva</v>
      </c>
      <c r="S579" s="67" t="s">
        <v>2708</v>
      </c>
      <c r="T579" s="77" t="str">
        <f t="shared" si="35"/>
        <v>SI</v>
      </c>
      <c r="U579" s="77"/>
      <c r="V579" s="67"/>
      <c r="W579" s="67" t="s">
        <v>1396</v>
      </c>
      <c r="X579" s="67" t="s">
        <v>2383</v>
      </c>
      <c r="Y579" s="67"/>
      <c r="Z579" s="124" t="s">
        <v>1041</v>
      </c>
      <c r="AA579" s="124" t="s">
        <v>1171</v>
      </c>
      <c r="AB579" s="124" t="s">
        <v>1173</v>
      </c>
      <c r="AC579" s="375"/>
    </row>
    <row r="580" spans="1:29" ht="39.950000000000003" hidden="1" customHeight="1">
      <c r="A580" s="67">
        <v>586</v>
      </c>
      <c r="B580" s="69">
        <v>45170</v>
      </c>
      <c r="C580" s="74">
        <v>0.49583333333333335</v>
      </c>
      <c r="D580" s="67" t="s">
        <v>2585</v>
      </c>
      <c r="E580" s="68" t="s">
        <v>2586</v>
      </c>
      <c r="F580" s="67">
        <v>6</v>
      </c>
      <c r="G580" s="67" t="s">
        <v>568</v>
      </c>
      <c r="H580" s="69">
        <v>45180</v>
      </c>
      <c r="I580" s="69" t="s">
        <v>73</v>
      </c>
      <c r="J580" s="69" t="s">
        <v>1222</v>
      </c>
      <c r="K580" s="67" t="s">
        <v>1926</v>
      </c>
      <c r="L580" s="67" t="s">
        <v>2091</v>
      </c>
      <c r="M580" s="67" t="s">
        <v>2599</v>
      </c>
      <c r="N580" s="67" t="s">
        <v>2705</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1532</v>
      </c>
      <c r="X580" s="67"/>
      <c r="Y580" s="67"/>
      <c r="Z580" s="124" t="s">
        <v>1042</v>
      </c>
      <c r="AA580" s="124" t="s">
        <v>1169</v>
      </c>
      <c r="AB580" s="124" t="s">
        <v>1175</v>
      </c>
      <c r="AC580" s="375"/>
    </row>
    <row r="581" spans="1:29" ht="39.950000000000003" hidden="1" customHeight="1">
      <c r="A581" s="67">
        <v>572</v>
      </c>
      <c r="B581" s="69">
        <v>45168</v>
      </c>
      <c r="C581" s="74">
        <v>0.37083333333333335</v>
      </c>
      <c r="D581" s="67" t="s">
        <v>2530</v>
      </c>
      <c r="E581" s="68" t="s">
        <v>2531</v>
      </c>
      <c r="F581" s="67">
        <v>7</v>
      </c>
      <c r="G581" s="67" t="s">
        <v>43</v>
      </c>
      <c r="H581" s="69">
        <v>45180</v>
      </c>
      <c r="I581" s="69" t="s">
        <v>1086</v>
      </c>
      <c r="J581" s="69" t="s">
        <v>33</v>
      </c>
      <c r="K581" s="67">
        <f>IFERROR(VLOOKUP(J581,Jueces!$A$1:$B$11,2,FALSE),"")</f>
        <v>4</v>
      </c>
      <c r="L581" s="67" t="s">
        <v>807</v>
      </c>
      <c r="M581" s="67" t="s">
        <v>767</v>
      </c>
      <c r="N581" s="67" t="s">
        <v>2707</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2618</v>
      </c>
      <c r="X581" s="67"/>
      <c r="Y581" s="67"/>
      <c r="Z581" s="124" t="s">
        <v>748</v>
      </c>
      <c r="AA581" s="124" t="s">
        <v>1169</v>
      </c>
      <c r="AB581" s="124" t="s">
        <v>1177</v>
      </c>
      <c r="AC581" s="375"/>
    </row>
    <row r="582" spans="1:29" ht="39.950000000000003" hidden="1" customHeight="1">
      <c r="A582" s="67">
        <v>587</v>
      </c>
      <c r="B582" s="69">
        <v>45173</v>
      </c>
      <c r="C582" s="67" t="s">
        <v>1445</v>
      </c>
      <c r="D582" s="67" t="s">
        <v>2595</v>
      </c>
      <c r="E582" s="68" t="s">
        <v>2728</v>
      </c>
      <c r="F582" s="67">
        <v>8</v>
      </c>
      <c r="G582" s="67" t="s">
        <v>283</v>
      </c>
      <c r="H582" s="69">
        <v>45181</v>
      </c>
      <c r="I582" s="69" t="s">
        <v>73</v>
      </c>
      <c r="J582" s="69" t="s">
        <v>1222</v>
      </c>
      <c r="K582" s="67" t="s">
        <v>1326</v>
      </c>
      <c r="L582" s="67" t="s">
        <v>809</v>
      </c>
      <c r="M582" s="67" t="s">
        <v>767</v>
      </c>
      <c r="N582" s="67" t="s">
        <v>2744</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4" t="s">
        <v>748</v>
      </c>
      <c r="AA582" s="124" t="s">
        <v>743</v>
      </c>
      <c r="AB582" s="124" t="s">
        <v>1173</v>
      </c>
      <c r="AC582" s="375"/>
    </row>
    <row r="583" spans="1:29" ht="39.950000000000003" hidden="1" customHeight="1">
      <c r="A583" s="67">
        <v>590</v>
      </c>
      <c r="B583" s="69">
        <v>45173</v>
      </c>
      <c r="C583" s="74">
        <v>0.48125000000000001</v>
      </c>
      <c r="D583" s="67" t="s">
        <v>2602</v>
      </c>
      <c r="E583" s="68" t="s">
        <v>2603</v>
      </c>
      <c r="F583" s="67">
        <v>7</v>
      </c>
      <c r="G583" s="67" t="s">
        <v>43</v>
      </c>
      <c r="H583" s="69">
        <v>45181</v>
      </c>
      <c r="I583" s="69" t="s">
        <v>73</v>
      </c>
      <c r="J583" s="69" t="s">
        <v>31</v>
      </c>
      <c r="K583" s="67">
        <f>IFERROR(VLOOKUP(J583,Jueces!$A$1:$B$11,2,FALSE),"")</f>
        <v>2</v>
      </c>
      <c r="L583" s="67" t="s">
        <v>796</v>
      </c>
      <c r="M583" s="67" t="s">
        <v>725</v>
      </c>
      <c r="N583" s="67" t="s">
        <v>2739</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4" t="s">
        <v>743</v>
      </c>
      <c r="AA583" s="124" t="s">
        <v>1171</v>
      </c>
      <c r="AB583" s="124" t="s">
        <v>1177</v>
      </c>
      <c r="AC583" s="375"/>
    </row>
    <row r="584" spans="1:29" ht="39.950000000000003" hidden="1" customHeight="1">
      <c r="A584" s="67">
        <v>591</v>
      </c>
      <c r="B584" s="69">
        <v>45173</v>
      </c>
      <c r="C584" s="74">
        <v>0.49513888888888885</v>
      </c>
      <c r="D584" s="67" t="s">
        <v>2604</v>
      </c>
      <c r="E584" s="68" t="s">
        <v>2605</v>
      </c>
      <c r="F584" s="67">
        <v>7</v>
      </c>
      <c r="G584" s="67" t="s">
        <v>1443</v>
      </c>
      <c r="H584" s="69">
        <v>45181</v>
      </c>
      <c r="I584" s="69" t="s">
        <v>73</v>
      </c>
      <c r="J584" s="69" t="s">
        <v>1221</v>
      </c>
      <c r="K584" s="67">
        <f>IFERROR(VLOOKUP(J584,Jueces!$A$1:$B$11,2,FALSE),"")</f>
        <v>7</v>
      </c>
      <c r="L584" s="67" t="s">
        <v>2738</v>
      </c>
      <c r="M584" s="67" t="s">
        <v>723</v>
      </c>
      <c r="N584" s="214" t="s">
        <v>2737</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1766</v>
      </c>
      <c r="Y584" s="67"/>
      <c r="Z584" s="124" t="s">
        <v>1041</v>
      </c>
      <c r="AA584" s="124" t="s">
        <v>743</v>
      </c>
      <c r="AB584" s="124" t="s">
        <v>1174</v>
      </c>
      <c r="AC584" s="375"/>
    </row>
    <row r="585" spans="1:29" ht="39.950000000000003" hidden="1" customHeight="1">
      <c r="A585" s="67">
        <v>589</v>
      </c>
      <c r="B585" s="69">
        <v>45173</v>
      </c>
      <c r="C585" s="74">
        <v>0.53125</v>
      </c>
      <c r="D585" s="67" t="s">
        <v>2600</v>
      </c>
      <c r="E585" s="68" t="s">
        <v>2601</v>
      </c>
      <c r="F585" s="67">
        <v>7</v>
      </c>
      <c r="G585" s="67" t="s">
        <v>568</v>
      </c>
      <c r="H585" s="69">
        <v>45181</v>
      </c>
      <c r="I585" s="69" t="s">
        <v>1086</v>
      </c>
      <c r="J585" s="69" t="s">
        <v>33</v>
      </c>
      <c r="K585" s="67">
        <f>IFERROR(VLOOKUP(J585,Jueces!$A$1:$B$11,2,FALSE),"")</f>
        <v>4</v>
      </c>
      <c r="L585" s="67" t="s">
        <v>801</v>
      </c>
      <c r="M585" s="67" t="s">
        <v>2569</v>
      </c>
      <c r="N585" s="67" t="s">
        <v>3036</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4" t="s">
        <v>1042</v>
      </c>
      <c r="AA585" s="77" t="s">
        <v>1169</v>
      </c>
      <c r="AB585" s="124" t="s">
        <v>1177</v>
      </c>
      <c r="AC585" s="375"/>
    </row>
    <row r="586" spans="1:29" ht="39.950000000000003" hidden="1" customHeight="1">
      <c r="A586" s="67">
        <v>594</v>
      </c>
      <c r="B586" s="69">
        <v>45174</v>
      </c>
      <c r="C586" s="74">
        <v>0.40625</v>
      </c>
      <c r="D586" s="67" t="s">
        <v>2610</v>
      </c>
      <c r="E586" s="68" t="s">
        <v>2611</v>
      </c>
      <c r="F586" s="67">
        <v>7</v>
      </c>
      <c r="G586" s="67" t="s">
        <v>1441</v>
      </c>
      <c r="H586" s="69">
        <v>45181</v>
      </c>
      <c r="I586" s="69" t="s">
        <v>1086</v>
      </c>
      <c r="J586" s="69" t="s">
        <v>35</v>
      </c>
      <c r="K586" s="67">
        <f>IFERROR(VLOOKUP(J586,Jueces!$A$1:$B$11,2,FALSE),"")</f>
        <v>3</v>
      </c>
      <c r="L586" s="67" t="s">
        <v>813</v>
      </c>
      <c r="M586" s="67" t="s">
        <v>723</v>
      </c>
      <c r="N586" s="67" t="s">
        <v>2749</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4" t="s">
        <v>2748</v>
      </c>
      <c r="Y586" s="67"/>
      <c r="Z586" s="124" t="s">
        <v>748</v>
      </c>
      <c r="AA586" s="124" t="s">
        <v>1171</v>
      </c>
      <c r="AB586" s="124" t="s">
        <v>1173</v>
      </c>
      <c r="AC586" s="375"/>
    </row>
    <row r="587" spans="1:29" ht="39.950000000000003" hidden="1" customHeight="1">
      <c r="A587" s="67">
        <v>579</v>
      </c>
      <c r="B587" s="69">
        <v>45169</v>
      </c>
      <c r="C587" s="74">
        <v>0.53263888888888888</v>
      </c>
      <c r="D587" s="67" t="s">
        <v>2565</v>
      </c>
      <c r="E587" s="68" t="s">
        <v>2566</v>
      </c>
      <c r="F587" s="67">
        <v>7</v>
      </c>
      <c r="G587" s="67" t="s">
        <v>1442</v>
      </c>
      <c r="H587" s="69">
        <v>45187</v>
      </c>
      <c r="I587" s="69" t="s">
        <v>73</v>
      </c>
      <c r="J587" s="69" t="s">
        <v>31</v>
      </c>
      <c r="K587" s="67">
        <f>IFERROR(VLOOKUP(J587,Jueces!$A$1:$B$11,2,FALSE),"")</f>
        <v>2</v>
      </c>
      <c r="L587" s="67" t="s">
        <v>814</v>
      </c>
      <c r="M587" s="67" t="s">
        <v>2220</v>
      </c>
      <c r="N587" s="67" t="s">
        <v>2794</v>
      </c>
      <c r="O587" s="67" t="str">
        <f t="shared" ca="1" si="33"/>
        <v>SI</v>
      </c>
      <c r="P587" s="67" t="str">
        <f t="shared" si="36"/>
        <v>DIANOSOL</v>
      </c>
      <c r="Q587" s="67" t="s">
        <v>905</v>
      </c>
      <c r="R587" s="67" t="str">
        <f>VLOOKUP($Q587,Resultados!$A$1:$B$49,2,FALSE)</f>
        <v>Juicio Abreviado</v>
      </c>
      <c r="S587" s="74">
        <v>0.48055555555555557</v>
      </c>
      <c r="T587" s="77" t="str">
        <f t="shared" si="35"/>
        <v>SI</v>
      </c>
      <c r="U587" s="77"/>
      <c r="V587" s="67"/>
      <c r="W587" s="74">
        <v>0.48819444444444443</v>
      </c>
      <c r="X587" s="67"/>
      <c r="Y587" s="67"/>
      <c r="Z587" s="124" t="s">
        <v>743</v>
      </c>
      <c r="AA587" s="124" t="s">
        <v>1169</v>
      </c>
      <c r="AB587" s="124" t="s">
        <v>1175</v>
      </c>
      <c r="AC587" s="375"/>
    </row>
    <row r="588" spans="1:29" ht="39.950000000000003" hidden="1" customHeight="1">
      <c r="A588" s="67">
        <v>588</v>
      </c>
      <c r="B588" s="69">
        <v>45173</v>
      </c>
      <c r="C588" s="67" t="s">
        <v>2596</v>
      </c>
      <c r="D588" s="67" t="s">
        <v>2597</v>
      </c>
      <c r="E588" s="68" t="s">
        <v>2598</v>
      </c>
      <c r="F588" s="67">
        <v>7</v>
      </c>
      <c r="G588" s="67" t="s">
        <v>29</v>
      </c>
      <c r="H588" s="69">
        <v>45187</v>
      </c>
      <c r="I588" s="69" t="s">
        <v>73</v>
      </c>
      <c r="J588" s="69" t="s">
        <v>33</v>
      </c>
      <c r="K588" s="67">
        <f>IFERROR(VLOOKUP(J588,Jueces!$A$1:$B$11,2,FALSE),"")</f>
        <v>4</v>
      </c>
      <c r="L588" s="67" t="s">
        <v>806</v>
      </c>
      <c r="M588" s="67" t="s">
        <v>723</v>
      </c>
      <c r="N588" s="67" t="s">
        <v>2796</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4" t="s">
        <v>748</v>
      </c>
      <c r="AA588" s="124" t="s">
        <v>743</v>
      </c>
      <c r="AB588" s="124" t="s">
        <v>1177</v>
      </c>
      <c r="AC588" s="375"/>
    </row>
    <row r="589" spans="1:29" ht="229.5" hidden="1">
      <c r="A589" s="67">
        <v>595</v>
      </c>
      <c r="B589" s="69">
        <v>45174</v>
      </c>
      <c r="C589" s="74">
        <v>0.40833333333333338</v>
      </c>
      <c r="D589" s="67" t="s">
        <v>2612</v>
      </c>
      <c r="E589" s="68" t="s">
        <v>2636</v>
      </c>
      <c r="F589" s="67">
        <v>7</v>
      </c>
      <c r="G589" s="67" t="s">
        <v>43</v>
      </c>
      <c r="H589" s="69">
        <v>45187</v>
      </c>
      <c r="I589" s="69" t="s">
        <v>73</v>
      </c>
      <c r="J589" s="69" t="s">
        <v>35</v>
      </c>
      <c r="K589" s="67">
        <f>IFERROR(VLOOKUP(J589,Jueces!$A$1:$B$11,2,FALSE),"")</f>
        <v>3</v>
      </c>
      <c r="L589" s="67" t="s">
        <v>811</v>
      </c>
      <c r="M589" s="67" t="s">
        <v>1032</v>
      </c>
      <c r="N589" s="67" t="s">
        <v>2792</v>
      </c>
      <c r="O589" s="67" t="str">
        <f t="shared" ca="1" si="33"/>
        <v>SI</v>
      </c>
      <c r="P589" s="67" t="str">
        <f t="shared" si="36"/>
        <v>DIANOSOL</v>
      </c>
      <c r="Q589" s="67" t="s">
        <v>1512</v>
      </c>
      <c r="R589" s="67" t="str">
        <f>VLOOKUP($Q589,Resultados!$A$1:$B$49,2,FALSE)</f>
        <v>Juicio Abreviado</v>
      </c>
      <c r="S589" s="74">
        <v>0.38125000000000003</v>
      </c>
      <c r="T589" s="77" t="str">
        <f t="shared" si="35"/>
        <v>NO</v>
      </c>
      <c r="U589" s="77"/>
      <c r="V589" s="67"/>
      <c r="W589" s="74">
        <v>0.54513888888888895</v>
      </c>
      <c r="X589" s="230" t="s">
        <v>2793</v>
      </c>
      <c r="Y589" s="67"/>
      <c r="Z589" s="124" t="s">
        <v>770</v>
      </c>
      <c r="AA589" s="124" t="s">
        <v>1171</v>
      </c>
      <c r="AB589" s="124" t="s">
        <v>1176</v>
      </c>
      <c r="AC589" s="375"/>
    </row>
    <row r="590" spans="1:29" ht="39.950000000000003" hidden="1" customHeight="1">
      <c r="A590" s="67">
        <v>603</v>
      </c>
      <c r="B590" s="69">
        <v>45175</v>
      </c>
      <c r="C590" s="67" t="s">
        <v>2647</v>
      </c>
      <c r="D590" s="67" t="s">
        <v>2648</v>
      </c>
      <c r="E590" s="68" t="s">
        <v>2665</v>
      </c>
      <c r="F590" s="67">
        <v>4</v>
      </c>
      <c r="G590" s="67" t="s">
        <v>1443</v>
      </c>
      <c r="H590" s="69">
        <v>45187</v>
      </c>
      <c r="I590" s="69" t="s">
        <v>73</v>
      </c>
      <c r="J590" s="69" t="s">
        <v>1223</v>
      </c>
      <c r="K590" s="67" t="s">
        <v>1346</v>
      </c>
      <c r="L590" s="67" t="s">
        <v>1835</v>
      </c>
      <c r="M590" s="67" t="s">
        <v>2666</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93" t="s">
        <v>2795</v>
      </c>
      <c r="Y590" s="67"/>
      <c r="Z590" s="124" t="s">
        <v>1041</v>
      </c>
      <c r="AA590" s="124" t="s">
        <v>743</v>
      </c>
      <c r="AB590" s="124" t="s">
        <v>1174</v>
      </c>
      <c r="AC590" s="375"/>
    </row>
    <row r="591" spans="1:29" ht="39.950000000000003" hidden="1" customHeight="1">
      <c r="A591" s="67">
        <v>569</v>
      </c>
      <c r="B591" s="69">
        <v>45168</v>
      </c>
      <c r="C591" s="74">
        <v>0.33333333333333331</v>
      </c>
      <c r="D591" s="67" t="s">
        <v>2526</v>
      </c>
      <c r="E591" s="68" t="s">
        <v>2552</v>
      </c>
      <c r="F591" s="67">
        <v>7</v>
      </c>
      <c r="G591" s="67" t="s">
        <v>568</v>
      </c>
      <c r="H591" s="69">
        <v>45188</v>
      </c>
      <c r="I591" s="69" t="s">
        <v>73</v>
      </c>
      <c r="J591" s="69" t="s">
        <v>1221</v>
      </c>
      <c r="K591" s="67">
        <v>7</v>
      </c>
      <c r="L591" s="67" t="s">
        <v>809</v>
      </c>
      <c r="M591" s="67" t="s">
        <v>723</v>
      </c>
      <c r="N591" s="67" t="s">
        <v>2812</v>
      </c>
      <c r="O591" s="67" t="str">
        <f t="shared" ca="1" si="37"/>
        <v>SI</v>
      </c>
      <c r="P591" s="67" t="str">
        <f t="shared" si="36"/>
        <v>DIANOSOL</v>
      </c>
      <c r="Q591" s="67" t="s">
        <v>904</v>
      </c>
      <c r="R591" s="67" t="str">
        <f>VLOOKUP($Q591,Resultados!$A$1:$B$49,2,FALSE)</f>
        <v>Juicio Abreviado</v>
      </c>
      <c r="S591" s="67" t="s">
        <v>2813</v>
      </c>
      <c r="T591" s="77" t="str">
        <f t="shared" si="35"/>
        <v>NO</v>
      </c>
      <c r="U591" s="77"/>
      <c r="V591" s="67"/>
      <c r="W591" s="67" t="s">
        <v>686</v>
      </c>
      <c r="X591" s="67"/>
      <c r="Y591" s="67"/>
      <c r="Z591" s="124" t="s">
        <v>1042</v>
      </c>
      <c r="AA591" s="124" t="s">
        <v>1169</v>
      </c>
      <c r="AB591" s="124" t="s">
        <v>1175</v>
      </c>
      <c r="AC591" s="375"/>
    </row>
    <row r="592" spans="1:29" ht="39.950000000000003" hidden="1" customHeight="1">
      <c r="A592" s="67">
        <v>592</v>
      </c>
      <c r="B592" s="69">
        <v>45174</v>
      </c>
      <c r="C592" s="74">
        <v>0.39999999999999997</v>
      </c>
      <c r="D592" s="67" t="s">
        <v>2609</v>
      </c>
      <c r="E592" s="68" t="s">
        <v>2634</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1134</v>
      </c>
      <c r="T592" s="77" t="str">
        <f t="shared" si="35"/>
        <v>NO</v>
      </c>
      <c r="U592" s="77"/>
      <c r="V592" s="67"/>
      <c r="W592" s="67" t="s">
        <v>2061</v>
      </c>
      <c r="X592" s="67"/>
      <c r="Y592" s="67"/>
      <c r="Z592" s="124" t="s">
        <v>748</v>
      </c>
      <c r="AA592" s="124" t="s">
        <v>1171</v>
      </c>
      <c r="AB592" s="124" t="s">
        <v>1177</v>
      </c>
      <c r="AC592" s="375"/>
    </row>
    <row r="593" spans="1:29" ht="39.950000000000003" hidden="1" customHeight="1">
      <c r="A593" s="67">
        <v>596</v>
      </c>
      <c r="B593" s="69">
        <v>45174</v>
      </c>
      <c r="C593" s="74">
        <v>0.40972222222222227</v>
      </c>
      <c r="D593" s="67" t="s">
        <v>2613</v>
      </c>
      <c r="E593" s="68" t="s">
        <v>2651</v>
      </c>
      <c r="F593" s="67">
        <v>8</v>
      </c>
      <c r="G593" s="67" t="s">
        <v>283</v>
      </c>
      <c r="H593" s="69">
        <v>45188</v>
      </c>
      <c r="I593" s="107" t="s">
        <v>73</v>
      </c>
      <c r="J593" s="69" t="s">
        <v>31</v>
      </c>
      <c r="K593" s="67">
        <f>IFERROR(VLOOKUP(J593,Jueces!$A$1:$B$11,2,FALSE),"")</f>
        <v>2</v>
      </c>
      <c r="L593" s="67" t="s">
        <v>812</v>
      </c>
      <c r="M593" s="67" t="s">
        <v>887</v>
      </c>
      <c r="N593" s="67" t="s">
        <v>2814</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1292</v>
      </c>
      <c r="X593" s="67"/>
      <c r="Y593" s="67"/>
      <c r="Z593" s="124" t="s">
        <v>743</v>
      </c>
      <c r="AA593" s="124" t="s">
        <v>743</v>
      </c>
      <c r="AB593" s="124" t="s">
        <v>1173</v>
      </c>
      <c r="AC593" s="375"/>
    </row>
    <row r="594" spans="1:29" ht="39.950000000000003" hidden="1" customHeight="1">
      <c r="A594" s="67">
        <v>584</v>
      </c>
      <c r="B594" s="69">
        <v>45170</v>
      </c>
      <c r="C594" s="74">
        <v>0.41041666666666665</v>
      </c>
      <c r="D594" s="67" t="s">
        <v>2577</v>
      </c>
      <c r="E594" s="68" t="s">
        <v>2578</v>
      </c>
      <c r="F594" s="67">
        <v>7</v>
      </c>
      <c r="G594" s="67" t="s">
        <v>1441</v>
      </c>
      <c r="H594" s="69">
        <v>45188</v>
      </c>
      <c r="I594" s="69" t="s">
        <v>1086</v>
      </c>
      <c r="J594" s="69" t="s">
        <v>1225</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1231</v>
      </c>
      <c r="T594" s="77" t="str">
        <f t="shared" si="35"/>
        <v>NO</v>
      </c>
      <c r="U594" s="77"/>
      <c r="V594" s="67"/>
      <c r="W594" s="67" t="s">
        <v>1009</v>
      </c>
      <c r="X594" s="67" t="s">
        <v>2383</v>
      </c>
      <c r="Y594" s="67"/>
      <c r="Z594" s="124" t="s">
        <v>770</v>
      </c>
      <c r="AA594" s="124" t="s">
        <v>1169</v>
      </c>
      <c r="AB594" s="124" t="s">
        <v>1174</v>
      </c>
      <c r="AC594" s="375"/>
    </row>
    <row r="595" spans="1:29" ht="39.950000000000003" hidden="1" customHeight="1">
      <c r="A595" s="67">
        <v>602</v>
      </c>
      <c r="B595" s="69">
        <v>45175</v>
      </c>
      <c r="C595" s="74">
        <v>0.33333333333333331</v>
      </c>
      <c r="D595" s="67" t="s">
        <v>2643</v>
      </c>
      <c r="E595" s="68" t="s">
        <v>2644</v>
      </c>
      <c r="F595" s="67">
        <v>7</v>
      </c>
      <c r="G595" s="67" t="s">
        <v>43</v>
      </c>
      <c r="H595" s="69">
        <v>45188</v>
      </c>
      <c r="I595" s="69" t="s">
        <v>1210</v>
      </c>
      <c r="J595" s="69" t="s">
        <v>1224</v>
      </c>
      <c r="K595" s="67" t="s">
        <v>1491</v>
      </c>
      <c r="L595" s="67" t="s">
        <v>811</v>
      </c>
      <c r="M595" s="67" t="s">
        <v>767</v>
      </c>
      <c r="N595" s="67" t="s">
        <v>2815</v>
      </c>
      <c r="O595" s="67" t="str">
        <f t="shared" ca="1" si="37"/>
        <v>SI</v>
      </c>
      <c r="P595" s="67" t="str">
        <f t="shared" si="36"/>
        <v>DIANOSOL</v>
      </c>
      <c r="Q595" s="67" t="s">
        <v>904</v>
      </c>
      <c r="R595" s="67" t="str">
        <f>VLOOKUP($Q595,Resultados!$A$1:$B$49,2,FALSE)</f>
        <v>Juicio Abreviado</v>
      </c>
      <c r="S595" s="67" t="s">
        <v>2686</v>
      </c>
      <c r="T595" s="77" t="str">
        <f t="shared" si="35"/>
        <v>NO</v>
      </c>
      <c r="U595" s="77"/>
      <c r="V595" s="67"/>
      <c r="W595" s="67" t="s">
        <v>1126</v>
      </c>
      <c r="X595" s="67"/>
      <c r="Y595" s="67"/>
      <c r="Z595" s="124" t="s">
        <v>1041</v>
      </c>
      <c r="AA595" s="124" t="s">
        <v>1171</v>
      </c>
      <c r="AB595" s="124" t="s">
        <v>1173</v>
      </c>
      <c r="AC595" s="375"/>
    </row>
    <row r="596" spans="1:29" ht="39.950000000000003" hidden="1" customHeight="1">
      <c r="A596" s="67">
        <v>604</v>
      </c>
      <c r="B596" s="69">
        <v>45175</v>
      </c>
      <c r="C596" s="74">
        <v>0.48055555555555557</v>
      </c>
      <c r="D596" s="67" t="s">
        <v>2649</v>
      </c>
      <c r="E596" s="68" t="s">
        <v>2667</v>
      </c>
      <c r="F596" s="67">
        <v>4</v>
      </c>
      <c r="G596" s="67" t="s">
        <v>2776</v>
      </c>
      <c r="H596" s="69">
        <v>45188</v>
      </c>
      <c r="I596" s="69" t="s">
        <v>77</v>
      </c>
      <c r="J596" s="69" t="s">
        <v>1223</v>
      </c>
      <c r="K596" s="67" t="s">
        <v>1520</v>
      </c>
      <c r="L596" s="67" t="s">
        <v>2091</v>
      </c>
      <c r="M596" s="67" t="s">
        <v>2668</v>
      </c>
      <c r="N596" s="67" t="s">
        <v>2823</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4" t="s">
        <v>1042</v>
      </c>
      <c r="AA596" s="124" t="s">
        <v>743</v>
      </c>
      <c r="AB596" s="124" t="s">
        <v>1175</v>
      </c>
      <c r="AC596" s="375"/>
    </row>
    <row r="597" spans="1:29" ht="39.950000000000003" hidden="1" customHeight="1">
      <c r="A597" s="67">
        <v>581</v>
      </c>
      <c r="B597" s="69">
        <v>45170</v>
      </c>
      <c r="C597" s="67" t="s">
        <v>1084</v>
      </c>
      <c r="D597" s="67" t="s">
        <v>2573</v>
      </c>
      <c r="E597" s="68" t="s">
        <v>2574</v>
      </c>
      <c r="F597" s="67">
        <v>7</v>
      </c>
      <c r="G597" s="67" t="s">
        <v>1443</v>
      </c>
      <c r="H597" s="69">
        <v>45188</v>
      </c>
      <c r="I597" s="69" t="s">
        <v>228</v>
      </c>
      <c r="J597" s="69" t="s">
        <v>1221</v>
      </c>
      <c r="K597" s="67">
        <f>IFERROR(VLOOKUP(J597,Jueces!$A$1:$B$11,2,FALSE),"")</f>
        <v>7</v>
      </c>
      <c r="L597" s="67" t="s">
        <v>812</v>
      </c>
      <c r="M597" s="67" t="s">
        <v>767</v>
      </c>
      <c r="N597" s="67" t="s">
        <v>2821</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30" t="s">
        <v>2822</v>
      </c>
      <c r="Y597" s="67"/>
      <c r="Z597" s="124" t="s">
        <v>748</v>
      </c>
      <c r="AA597" s="124" t="s">
        <v>1169</v>
      </c>
      <c r="AB597" s="124" t="s">
        <v>1177</v>
      </c>
      <c r="AC597" s="375"/>
    </row>
    <row r="598" spans="1:29" ht="39.950000000000003" hidden="1" customHeight="1">
      <c r="A598" s="67">
        <v>578</v>
      </c>
      <c r="B598" s="69">
        <v>45169</v>
      </c>
      <c r="C598" s="74">
        <v>0.35902777777777778</v>
      </c>
      <c r="D598" s="67" t="s">
        <v>2559</v>
      </c>
      <c r="E598" s="68" t="s">
        <v>2830</v>
      </c>
      <c r="F598" s="67">
        <v>6</v>
      </c>
      <c r="G598" s="67" t="s">
        <v>1443</v>
      </c>
      <c r="H598" s="69">
        <v>45189</v>
      </c>
      <c r="I598" s="69" t="s">
        <v>73</v>
      </c>
      <c r="J598" s="69" t="s">
        <v>33</v>
      </c>
      <c r="K598" s="67" t="s">
        <v>1346</v>
      </c>
      <c r="L598" s="67" t="s">
        <v>796</v>
      </c>
      <c r="M598" s="67" t="s">
        <v>725</v>
      </c>
      <c r="N598" s="67" t="s">
        <v>2861</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4" t="s">
        <v>2862</v>
      </c>
      <c r="Y598" s="67"/>
      <c r="Z598" s="124" t="s">
        <v>743</v>
      </c>
      <c r="AA598" s="124" t="s">
        <v>1169</v>
      </c>
      <c r="AB598" s="124" t="s">
        <v>1174</v>
      </c>
      <c r="AC598" s="375"/>
    </row>
    <row r="599" spans="1:29" ht="39.950000000000003" hidden="1" customHeight="1">
      <c r="A599" s="67">
        <v>601</v>
      </c>
      <c r="B599" s="69">
        <v>45175</v>
      </c>
      <c r="C599" s="74">
        <v>0.33333333333333331</v>
      </c>
      <c r="D599" s="67" t="s">
        <v>2642</v>
      </c>
      <c r="E599" s="68" t="s">
        <v>2831</v>
      </c>
      <c r="F599" s="67">
        <v>7</v>
      </c>
      <c r="G599" s="67" t="s">
        <v>568</v>
      </c>
      <c r="H599" s="69">
        <v>45189</v>
      </c>
      <c r="I599" s="69" t="s">
        <v>73</v>
      </c>
      <c r="J599" s="69" t="s">
        <v>78</v>
      </c>
      <c r="K599" s="67">
        <f>IFERROR(VLOOKUP(J599,Jueces!$A$1:$B$11,2,FALSE),"")</f>
        <v>8</v>
      </c>
      <c r="L599" s="67" t="s">
        <v>799</v>
      </c>
      <c r="M599" s="67" t="s">
        <v>723</v>
      </c>
      <c r="N599" s="67" t="s">
        <v>2866</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30" t="s">
        <v>2867</v>
      </c>
      <c r="Y599" s="67"/>
      <c r="Z599" s="124" t="s">
        <v>770</v>
      </c>
      <c r="AA599" s="124" t="s">
        <v>1169</v>
      </c>
      <c r="AB599" s="124" t="s">
        <v>1173</v>
      </c>
      <c r="AC599" s="375"/>
    </row>
    <row r="600" spans="1:29" ht="39.950000000000003" hidden="1" customHeight="1">
      <c r="A600" s="67">
        <v>606</v>
      </c>
      <c r="B600" s="69">
        <v>45175</v>
      </c>
      <c r="C600" s="74">
        <v>0.56597222222222221</v>
      </c>
      <c r="D600" s="67" t="s">
        <v>2652</v>
      </c>
      <c r="E600" s="68" t="s">
        <v>2832</v>
      </c>
      <c r="F600" s="67">
        <v>8</v>
      </c>
      <c r="G600" s="67" t="s">
        <v>2774</v>
      </c>
      <c r="H600" s="69">
        <v>45189</v>
      </c>
      <c r="I600" s="69" t="s">
        <v>73</v>
      </c>
      <c r="J600" s="69" t="s">
        <v>1223</v>
      </c>
      <c r="K600" s="67" t="s">
        <v>1326</v>
      </c>
      <c r="L600" s="67" t="s">
        <v>1414</v>
      </c>
      <c r="M600" s="67" t="s">
        <v>1031</v>
      </c>
      <c r="N600" s="67" t="s">
        <v>2865</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4" t="s">
        <v>1041</v>
      </c>
      <c r="AA600" s="124" t="s">
        <v>2800</v>
      </c>
      <c r="AB600" s="124" t="s">
        <v>1175</v>
      </c>
      <c r="AC600" s="375"/>
    </row>
    <row r="601" spans="1:29" ht="39.950000000000003" hidden="1" customHeight="1">
      <c r="A601" s="67">
        <v>617</v>
      </c>
      <c r="B601" s="69">
        <v>45177</v>
      </c>
      <c r="C601" s="74">
        <v>0.5180555555555556</v>
      </c>
      <c r="D601" s="67" t="s">
        <v>2698</v>
      </c>
      <c r="E601" s="68" t="s">
        <v>2833</v>
      </c>
      <c r="F601" s="67">
        <v>6</v>
      </c>
      <c r="G601" s="67" t="s">
        <v>1441</v>
      </c>
      <c r="H601" s="69">
        <v>45189</v>
      </c>
      <c r="I601" s="69" t="s">
        <v>73</v>
      </c>
      <c r="J601" s="69" t="s">
        <v>31</v>
      </c>
      <c r="K601" s="67">
        <f>IFERROR(VLOOKUP(J601,Jueces!$A$1:$B$11,2,FALSE),"")</f>
        <v>2</v>
      </c>
      <c r="L601" s="67" t="s">
        <v>1306</v>
      </c>
      <c r="M601" s="67" t="s">
        <v>2702</v>
      </c>
      <c r="N601" s="67" t="s">
        <v>2863</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30" t="s">
        <v>2864</v>
      </c>
      <c r="Y601" s="67"/>
      <c r="Z601" s="124" t="s">
        <v>1042</v>
      </c>
      <c r="AA601" s="124" t="s">
        <v>1169</v>
      </c>
      <c r="AB601" s="124" t="s">
        <v>1177</v>
      </c>
      <c r="AC601" s="375"/>
    </row>
    <row r="602" spans="1:29" ht="39.950000000000003" hidden="1" customHeight="1">
      <c r="A602" s="67">
        <v>605</v>
      </c>
      <c r="B602" s="69">
        <v>45175</v>
      </c>
      <c r="C602" s="74">
        <v>0.50694444444444442</v>
      </c>
      <c r="D602" s="67" t="s">
        <v>2617</v>
      </c>
      <c r="E602" s="68" t="s">
        <v>2834</v>
      </c>
      <c r="F602" s="67">
        <v>7</v>
      </c>
      <c r="G602" s="67" t="s">
        <v>283</v>
      </c>
      <c r="H602" s="69">
        <v>45189</v>
      </c>
      <c r="I602" s="69" t="s">
        <v>749</v>
      </c>
      <c r="J602" s="69" t="s">
        <v>1225</v>
      </c>
      <c r="K602" s="67">
        <f>IFERROR(VLOOKUP(J602,Jueces!$A$1:$B$11,2,FALSE),"")</f>
        <v>6</v>
      </c>
      <c r="L602" s="67" t="s">
        <v>582</v>
      </c>
      <c r="M602" s="67" t="s">
        <v>767</v>
      </c>
      <c r="N602" s="67" t="s">
        <v>1753</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30" t="s">
        <v>2860</v>
      </c>
      <c r="Y602" s="67"/>
      <c r="Z602" s="124" t="s">
        <v>748</v>
      </c>
      <c r="AA602" s="124" t="s">
        <v>2800</v>
      </c>
      <c r="AB602" s="124" t="s">
        <v>1174</v>
      </c>
      <c r="AC602" s="375"/>
    </row>
    <row r="603" spans="1:29" ht="39.950000000000003" hidden="1" customHeight="1">
      <c r="A603" s="67">
        <v>599</v>
      </c>
      <c r="B603" s="69">
        <v>45174</v>
      </c>
      <c r="C603" s="74">
        <v>0.47847222222222219</v>
      </c>
      <c r="D603" s="67" t="s">
        <v>2639</v>
      </c>
      <c r="E603" s="68" t="s">
        <v>2835</v>
      </c>
      <c r="F603" s="67">
        <v>8</v>
      </c>
      <c r="G603" s="67" t="s">
        <v>1442</v>
      </c>
      <c r="H603" s="69">
        <v>45189</v>
      </c>
      <c r="I603" s="69" t="s">
        <v>1086</v>
      </c>
      <c r="J603" s="69" t="s">
        <v>1223</v>
      </c>
      <c r="K603" s="67" t="s">
        <v>1326</v>
      </c>
      <c r="L603" s="67" t="s">
        <v>809</v>
      </c>
      <c r="M603" s="67" t="s">
        <v>767</v>
      </c>
      <c r="N603" s="67" t="s">
        <v>2857</v>
      </c>
      <c r="O603" s="67" t="str">
        <f t="shared" ca="1" si="37"/>
        <v>SI</v>
      </c>
      <c r="P603" s="67" t="str">
        <f t="shared" si="36"/>
        <v>DIANOSOL</v>
      </c>
      <c r="Q603" s="67" t="s">
        <v>904</v>
      </c>
      <c r="R603" s="67" t="str">
        <f>VLOOKUP($Q603,Resultados!$A$1:$B$49,2,FALSE)</f>
        <v>Juicio Abreviado</v>
      </c>
      <c r="S603" s="74">
        <v>0.39027777777777778</v>
      </c>
      <c r="T603" s="77" t="str">
        <f t="shared" si="38"/>
        <v>SI</v>
      </c>
      <c r="U603" s="77"/>
      <c r="V603" s="67"/>
      <c r="W603" s="74">
        <v>0.4055555555555555</v>
      </c>
      <c r="X603" s="67"/>
      <c r="Y603" s="67"/>
      <c r="Z603" s="124" t="s">
        <v>743</v>
      </c>
      <c r="AA603" s="124" t="s">
        <v>2800</v>
      </c>
      <c r="AB603" s="124" t="s">
        <v>1173</v>
      </c>
      <c r="AC603" s="375"/>
    </row>
    <row r="604" spans="1:29" ht="39.950000000000003" hidden="1" customHeight="1">
      <c r="A604" s="67">
        <v>608</v>
      </c>
      <c r="B604" s="69">
        <v>45176</v>
      </c>
      <c r="C604" s="74">
        <v>0.52638888888888891</v>
      </c>
      <c r="D604" s="67" t="s">
        <v>2731</v>
      </c>
      <c r="E604" s="68" t="s">
        <v>2836</v>
      </c>
      <c r="F604" s="67">
        <v>8</v>
      </c>
      <c r="G604" s="67" t="s">
        <v>29</v>
      </c>
      <c r="H604" s="69">
        <v>45189</v>
      </c>
      <c r="I604" s="69" t="s">
        <v>1086</v>
      </c>
      <c r="J604" s="69" t="s">
        <v>1221</v>
      </c>
      <c r="K604" s="67">
        <f>IFERROR(VLOOKUP(J604,Jueces!$A$1:$B$11,2,FALSE),"")</f>
        <v>7</v>
      </c>
      <c r="L604" s="67" t="s">
        <v>791</v>
      </c>
      <c r="M604" s="67" t="s">
        <v>887</v>
      </c>
      <c r="N604" s="67" t="s">
        <v>2858</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4" t="s">
        <v>2859</v>
      </c>
      <c r="Y604" s="67"/>
      <c r="Z604" s="124" t="s">
        <v>770</v>
      </c>
      <c r="AA604" s="124" t="s">
        <v>1169</v>
      </c>
      <c r="AB604" s="124" t="s">
        <v>1175</v>
      </c>
      <c r="AC604" s="375"/>
    </row>
    <row r="605" spans="1:29" ht="39.950000000000003" hidden="1" customHeight="1">
      <c r="A605" s="67">
        <v>613</v>
      </c>
      <c r="B605" s="69">
        <v>45177</v>
      </c>
      <c r="C605" s="74">
        <v>0.40833333333333338</v>
      </c>
      <c r="D605" s="67" t="s">
        <v>2690</v>
      </c>
      <c r="E605" s="68" t="s">
        <v>2837</v>
      </c>
      <c r="F605" s="67">
        <v>7</v>
      </c>
      <c r="G605" s="67" t="s">
        <v>43</v>
      </c>
      <c r="H605" s="69">
        <v>45189</v>
      </c>
      <c r="I605" s="69" t="s">
        <v>2021</v>
      </c>
      <c r="J605" s="69" t="s">
        <v>33</v>
      </c>
      <c r="K605" s="67" t="s">
        <v>1346</v>
      </c>
      <c r="L605" s="67" t="s">
        <v>813</v>
      </c>
      <c r="M605" s="67" t="s">
        <v>767</v>
      </c>
      <c r="N605" s="67" t="s">
        <v>2869</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4" t="s">
        <v>1041</v>
      </c>
      <c r="AA605" s="124" t="s">
        <v>2853</v>
      </c>
      <c r="AB605" s="124" t="s">
        <v>1177</v>
      </c>
      <c r="AC605" s="375"/>
    </row>
    <row r="606" spans="1:29" ht="39.950000000000003" hidden="1" customHeight="1">
      <c r="A606" s="67">
        <v>582</v>
      </c>
      <c r="B606" s="69">
        <v>45170</v>
      </c>
      <c r="C606" s="67" t="s">
        <v>73</v>
      </c>
      <c r="D606" s="67" t="s">
        <v>2575</v>
      </c>
      <c r="E606" s="68" t="s">
        <v>2576</v>
      </c>
      <c r="F606" s="67">
        <v>7</v>
      </c>
      <c r="G606" s="67" t="s">
        <v>568</v>
      </c>
      <c r="H606" s="69">
        <v>45190</v>
      </c>
      <c r="I606" s="69" t="s">
        <v>73</v>
      </c>
      <c r="J606" s="69" t="s">
        <v>1223</v>
      </c>
      <c r="K606" s="67" t="s">
        <v>1346</v>
      </c>
      <c r="L606" s="67" t="s">
        <v>802</v>
      </c>
      <c r="M606" s="67" t="s">
        <v>725</v>
      </c>
      <c r="N606" s="67" t="s">
        <v>2894</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4" t="s">
        <v>2868</v>
      </c>
      <c r="AA606" s="124" t="s">
        <v>1169</v>
      </c>
      <c r="AB606" s="124" t="s">
        <v>1174</v>
      </c>
      <c r="AC606" s="375"/>
    </row>
    <row r="607" spans="1:29" ht="39.950000000000003" hidden="1" customHeight="1">
      <c r="A607" s="67">
        <v>600</v>
      </c>
      <c r="B607" s="69">
        <v>45174</v>
      </c>
      <c r="C607" s="74">
        <v>0.51944444444444449</v>
      </c>
      <c r="D607" s="67" t="s">
        <v>2640</v>
      </c>
      <c r="E607" s="68" t="s">
        <v>2641</v>
      </c>
      <c r="F607" s="67">
        <v>7</v>
      </c>
      <c r="G607" s="67" t="s">
        <v>1441</v>
      </c>
      <c r="H607" s="69">
        <v>45190</v>
      </c>
      <c r="I607" s="69" t="s">
        <v>73</v>
      </c>
      <c r="J607" s="69" t="s">
        <v>35</v>
      </c>
      <c r="K607" s="67">
        <f>IFERROR(VLOOKUP(J607,Jueces!$A$1:$B$11,2,FALSE),"")</f>
        <v>3</v>
      </c>
      <c r="L607" s="67" t="s">
        <v>807</v>
      </c>
      <c r="M607" s="67" t="s">
        <v>723</v>
      </c>
      <c r="N607" s="67" t="s">
        <v>2895</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4" t="s">
        <v>1042</v>
      </c>
      <c r="AA607" s="124" t="s">
        <v>1169</v>
      </c>
      <c r="AB607" s="124" t="s">
        <v>1173</v>
      </c>
      <c r="AC607" s="375"/>
    </row>
    <row r="608" spans="1:29" ht="39.950000000000003" hidden="1" customHeight="1">
      <c r="A608" s="67">
        <v>611</v>
      </c>
      <c r="B608" s="69">
        <v>45177</v>
      </c>
      <c r="C608" s="74">
        <v>0.4513888888888889</v>
      </c>
      <c r="D608" s="67" t="s">
        <v>2688</v>
      </c>
      <c r="E608" s="68" t="s">
        <v>2801</v>
      </c>
      <c r="F608" s="67">
        <v>8</v>
      </c>
      <c r="G608" s="67" t="s">
        <v>2776</v>
      </c>
      <c r="H608" s="69">
        <v>45190</v>
      </c>
      <c r="I608" s="69" t="s">
        <v>73</v>
      </c>
      <c r="J608" s="69" t="s">
        <v>31</v>
      </c>
      <c r="K608" s="67">
        <f>IFERROR(VLOOKUP(J608,Jueces!$A$1:$B$11,2,FALSE),"")</f>
        <v>2</v>
      </c>
      <c r="L608" s="67" t="s">
        <v>791</v>
      </c>
      <c r="M608" s="67" t="s">
        <v>2695</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4" t="s">
        <v>748</v>
      </c>
      <c r="AA608" s="124" t="s">
        <v>2853</v>
      </c>
      <c r="AB608" s="124" t="s">
        <v>1175</v>
      </c>
      <c r="AC608" s="375"/>
    </row>
    <row r="609" spans="1:29" ht="39.950000000000003" hidden="1" customHeight="1">
      <c r="A609" s="67">
        <v>619</v>
      </c>
      <c r="B609" s="69">
        <v>45177</v>
      </c>
      <c r="C609" s="74">
        <v>0.5131944444444444</v>
      </c>
      <c r="D609" s="67" t="s">
        <v>2701</v>
      </c>
      <c r="E609" s="68" t="s">
        <v>2844</v>
      </c>
      <c r="F609" s="67">
        <v>6</v>
      </c>
      <c r="G609" s="67" t="s">
        <v>43</v>
      </c>
      <c r="H609" s="69">
        <v>45190</v>
      </c>
      <c r="I609" s="69" t="s">
        <v>73</v>
      </c>
      <c r="J609" s="69" t="s">
        <v>1221</v>
      </c>
      <c r="K609" s="67">
        <f>IFERROR(VLOOKUP(J609,Jueces!$A$1:$B$11,2,FALSE),"")</f>
        <v>7</v>
      </c>
      <c r="L609" s="67" t="s">
        <v>789</v>
      </c>
      <c r="M609" s="67" t="s">
        <v>2703</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4" t="s">
        <v>743</v>
      </c>
      <c r="AA609" s="124" t="s">
        <v>1169</v>
      </c>
      <c r="AB609" s="124" t="s">
        <v>1177</v>
      </c>
      <c r="AC609" s="375"/>
    </row>
    <row r="610" spans="1:29" ht="63.75" hidden="1">
      <c r="A610" s="7">
        <v>609</v>
      </c>
      <c r="B610" s="328">
        <v>45176</v>
      </c>
      <c r="C610" s="15">
        <v>0.52361111111111114</v>
      </c>
      <c r="D610" s="7" t="s">
        <v>2676</v>
      </c>
      <c r="E610" s="41" t="s">
        <v>2870</v>
      </c>
      <c r="F610" s="73">
        <v>8</v>
      </c>
      <c r="G610" s="67" t="s">
        <v>1442</v>
      </c>
      <c r="H610" s="69">
        <v>45190</v>
      </c>
      <c r="I610" s="69" t="s">
        <v>749</v>
      </c>
      <c r="J610" s="69" t="s">
        <v>1225</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SI</v>
      </c>
      <c r="U610" s="86"/>
      <c r="V610" s="83"/>
      <c r="W610" s="67"/>
      <c r="X610" s="67"/>
      <c r="Y610" s="67"/>
      <c r="Z610" s="124" t="s">
        <v>770</v>
      </c>
      <c r="AA610" s="124" t="s">
        <v>2853</v>
      </c>
      <c r="AB610" s="124" t="s">
        <v>1174</v>
      </c>
      <c r="AC610" s="375"/>
    </row>
    <row r="611" spans="1:29" ht="39.950000000000003" hidden="1" customHeight="1">
      <c r="A611" s="112">
        <v>607</v>
      </c>
      <c r="B611" s="267">
        <v>45180</v>
      </c>
      <c r="C611" s="273">
        <v>0.49374999999999997</v>
      </c>
      <c r="D611" s="112" t="s">
        <v>2675</v>
      </c>
      <c r="E611" s="113" t="s">
        <v>2729</v>
      </c>
      <c r="F611" s="67">
        <v>7</v>
      </c>
      <c r="G611" s="67" t="s">
        <v>1443</v>
      </c>
      <c r="H611" s="69">
        <v>45190</v>
      </c>
      <c r="I611" s="69" t="s">
        <v>1086</v>
      </c>
      <c r="J611" s="69" t="s">
        <v>33</v>
      </c>
      <c r="K611" s="67">
        <f>IFERROR(VLOOKUP(J611,Jueces!$A$1:$B$11,2,FALSE),"")</f>
        <v>4</v>
      </c>
      <c r="L611" s="67" t="s">
        <v>811</v>
      </c>
      <c r="M611" s="67" t="s">
        <v>725</v>
      </c>
      <c r="N611" s="67" t="s">
        <v>2904</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2893</v>
      </c>
      <c r="Y611" s="67"/>
      <c r="Z611" s="124" t="s">
        <v>1041</v>
      </c>
      <c r="AA611" s="124" t="s">
        <v>1169</v>
      </c>
      <c r="AB611" s="124" t="s">
        <v>1173</v>
      </c>
      <c r="AC611" s="375"/>
    </row>
    <row r="612" spans="1:29" ht="39.950000000000003" hidden="1" customHeight="1">
      <c r="A612" s="67">
        <v>612</v>
      </c>
      <c r="B612" s="69">
        <v>45177</v>
      </c>
      <c r="C612" s="74">
        <v>0.43472222222222223</v>
      </c>
      <c r="D612" s="67" t="s">
        <v>2689</v>
      </c>
      <c r="E612" s="68" t="s">
        <v>2871</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4" t="s">
        <v>2868</v>
      </c>
      <c r="AA612" s="124" t="s">
        <v>2853</v>
      </c>
      <c r="AB612" s="124" t="s">
        <v>1175</v>
      </c>
      <c r="AC612" s="375"/>
    </row>
    <row r="613" spans="1:29" ht="39.950000000000003" hidden="1" customHeight="1">
      <c r="A613" s="67">
        <v>610</v>
      </c>
      <c r="B613" s="69">
        <v>45176</v>
      </c>
      <c r="C613" s="74">
        <v>0.52222222222222225</v>
      </c>
      <c r="D613" s="67" t="s">
        <v>2677</v>
      </c>
      <c r="E613" s="68" t="s">
        <v>2694</v>
      </c>
      <c r="F613" s="67">
        <v>7</v>
      </c>
      <c r="G613" s="67" t="s">
        <v>2775</v>
      </c>
      <c r="H613" s="69">
        <v>45191</v>
      </c>
      <c r="I613" s="69" t="s">
        <v>73</v>
      </c>
      <c r="J613" s="69" t="s">
        <v>35</v>
      </c>
      <c r="K613" s="67">
        <f>IFERROR(VLOOKUP(J613,Jueces!$A$1:$B$11,2,FALSE),"")</f>
        <v>3</v>
      </c>
      <c r="L613" s="67" t="s">
        <v>793</v>
      </c>
      <c r="M613" s="67" t="s">
        <v>697</v>
      </c>
      <c r="N613" s="67" t="s">
        <v>2899</v>
      </c>
      <c r="O613" s="67" t="str">
        <f t="shared" ca="1" si="37"/>
        <v>SI</v>
      </c>
      <c r="P613" s="67" t="str">
        <f t="shared" si="36"/>
        <v>DIANOSOL</v>
      </c>
      <c r="Q613" s="67" t="s">
        <v>904</v>
      </c>
      <c r="R613" s="67" t="str">
        <f>VLOOKUP($Q613,Resultados!$A$1:$B$49,2,FALSE)</f>
        <v>Juicio Abreviado</v>
      </c>
      <c r="S613" s="67" t="s">
        <v>1134</v>
      </c>
      <c r="T613" s="77" t="str">
        <f t="shared" si="38"/>
        <v>NO</v>
      </c>
      <c r="U613" s="77"/>
      <c r="V613" s="67"/>
      <c r="W613" s="67" t="s">
        <v>1566</v>
      </c>
      <c r="X613" s="67" t="s">
        <v>2900</v>
      </c>
      <c r="Y613" s="67"/>
      <c r="Z613" s="124" t="s">
        <v>1041</v>
      </c>
      <c r="AA613" s="124" t="s">
        <v>1169</v>
      </c>
      <c r="AB613" s="124" t="s">
        <v>1177</v>
      </c>
      <c r="AC613" s="375"/>
    </row>
    <row r="614" spans="1:29" ht="39.950000000000003" hidden="1" customHeight="1">
      <c r="A614" s="67">
        <v>615</v>
      </c>
      <c r="B614" s="69">
        <v>45177</v>
      </c>
      <c r="C614" s="74">
        <v>0.37708333333333338</v>
      </c>
      <c r="D614" s="67" t="s">
        <v>2692</v>
      </c>
      <c r="E614" s="68" t="s">
        <v>2693</v>
      </c>
      <c r="F614" s="67">
        <v>7</v>
      </c>
      <c r="G614" s="67" t="s">
        <v>1443</v>
      </c>
      <c r="H614" s="69">
        <v>45191</v>
      </c>
      <c r="I614" s="69" t="s">
        <v>73</v>
      </c>
      <c r="J614" s="69" t="s">
        <v>1221</v>
      </c>
      <c r="K614" s="67">
        <f>IFERROR(VLOOKUP(J614,Jueces!$A$1:$B$11,2,FALSE),"")</f>
        <v>7</v>
      </c>
      <c r="L614" s="67" t="s">
        <v>806</v>
      </c>
      <c r="M614" s="67" t="s">
        <v>2736</v>
      </c>
      <c r="N614" s="67" t="s">
        <v>2901</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1609</v>
      </c>
      <c r="X614" s="67" t="s">
        <v>2383</v>
      </c>
      <c r="Y614" s="67"/>
      <c r="Z614" s="124" t="s">
        <v>2868</v>
      </c>
      <c r="AA614" s="124" t="s">
        <v>1169</v>
      </c>
      <c r="AB614" s="124" t="s">
        <v>1174</v>
      </c>
      <c r="AC614" s="375"/>
    </row>
    <row r="615" spans="1:29" ht="63.75" hidden="1">
      <c r="A615" s="7">
        <v>618</v>
      </c>
      <c r="B615" s="19">
        <v>45177</v>
      </c>
      <c r="C615" s="15">
        <v>0.49444444444444446</v>
      </c>
      <c r="D615" s="7" t="s">
        <v>2699</v>
      </c>
      <c r="E615" s="41" t="s">
        <v>2700</v>
      </c>
      <c r="F615" s="7">
        <v>7</v>
      </c>
      <c r="G615" s="7" t="s">
        <v>2776</v>
      </c>
      <c r="H615" s="19">
        <v>45191</v>
      </c>
      <c r="I615" s="19" t="s">
        <v>73</v>
      </c>
      <c r="J615" s="19" t="s">
        <v>78</v>
      </c>
      <c r="K615" s="7">
        <f>IFERROR(VLOOKUP(J615,Jueces!$A$1:$B$11,2,FALSE),"")</f>
        <v>8</v>
      </c>
      <c r="L615" s="7" t="s">
        <v>809</v>
      </c>
      <c r="M615" s="7" t="s">
        <v>725</v>
      </c>
      <c r="N615" s="7" t="s">
        <v>2570</v>
      </c>
      <c r="O615" s="7" t="str">
        <f t="shared" ca="1" si="37"/>
        <v>SI</v>
      </c>
      <c r="P615" s="7" t="str">
        <f t="shared" si="36"/>
        <v>DIANOSOL</v>
      </c>
      <c r="Q615" s="7" t="s">
        <v>899</v>
      </c>
      <c r="R615" s="7" t="str">
        <f>VLOOKUP($Q615,Resultados!$A$1:$B$49,2,FALSE)</f>
        <v>Libertad</v>
      </c>
      <c r="S615" s="7" t="s">
        <v>1235</v>
      </c>
      <c r="T615" s="72" t="str">
        <f t="shared" si="38"/>
        <v>NO</v>
      </c>
      <c r="U615" s="72"/>
      <c r="V615" s="7"/>
      <c r="W615" s="7" t="s">
        <v>686</v>
      </c>
      <c r="X615" s="7"/>
      <c r="Y615" s="7"/>
      <c r="Z615" s="285" t="s">
        <v>2896</v>
      </c>
      <c r="AA615" s="124" t="s">
        <v>2853</v>
      </c>
      <c r="AB615" s="285" t="s">
        <v>1173</v>
      </c>
      <c r="AC615" s="375"/>
    </row>
    <row r="616" spans="1:29" ht="39.950000000000003" hidden="1" customHeight="1">
      <c r="A616" s="67">
        <v>620</v>
      </c>
      <c r="B616" s="69">
        <v>45180</v>
      </c>
      <c r="C616" s="74">
        <v>0.49861111111111112</v>
      </c>
      <c r="D616" s="67" t="s">
        <v>2037</v>
      </c>
      <c r="E616" s="68" t="s">
        <v>2038</v>
      </c>
      <c r="F616" s="67">
        <v>5</v>
      </c>
      <c r="G616" s="67" t="s">
        <v>1442</v>
      </c>
      <c r="H616" s="69">
        <v>45191</v>
      </c>
      <c r="I616" s="69" t="s">
        <v>73</v>
      </c>
      <c r="J616" s="69" t="s">
        <v>31</v>
      </c>
      <c r="K616" s="67">
        <f>IFERROR(VLOOKUP(J616,Jueces!$A$1:$B$11,2,FALSE),"")</f>
        <v>2</v>
      </c>
      <c r="L616" s="67" t="s">
        <v>813</v>
      </c>
      <c r="M616" s="67" t="s">
        <v>1966</v>
      </c>
      <c r="N616" s="67" t="s">
        <v>2908</v>
      </c>
      <c r="O616" s="67" t="str">
        <f t="shared" ca="1" si="37"/>
        <v>SI</v>
      </c>
      <c r="P616" s="67" t="str">
        <f t="shared" si="36"/>
        <v>DIANOSOL</v>
      </c>
      <c r="Q616" s="67" t="s">
        <v>904</v>
      </c>
      <c r="R616" s="67" t="str">
        <f>VLOOKUP($Q616,Resultados!$A$1:$B$49,2,FALSE)</f>
        <v>Juicio Abreviado</v>
      </c>
      <c r="S616" s="67" t="s">
        <v>2386</v>
      </c>
      <c r="T616" s="77" t="str">
        <f t="shared" si="38"/>
        <v>SI</v>
      </c>
      <c r="U616" s="77"/>
      <c r="V616" s="67"/>
      <c r="W616" s="67" t="s">
        <v>2909</v>
      </c>
      <c r="X616" s="67" t="s">
        <v>2910</v>
      </c>
      <c r="Y616" s="67"/>
      <c r="Z616" s="124" t="s">
        <v>1042</v>
      </c>
      <c r="AA616" s="124" t="s">
        <v>2853</v>
      </c>
      <c r="AB616" s="124" t="s">
        <v>2892</v>
      </c>
      <c r="AC616" s="375"/>
    </row>
    <row r="617" spans="1:29" ht="39.950000000000003" hidden="1" customHeight="1">
      <c r="A617" s="67">
        <v>637</v>
      </c>
      <c r="B617" s="69">
        <v>45181</v>
      </c>
      <c r="C617" s="74">
        <v>0.48333333333333334</v>
      </c>
      <c r="D617" s="67" t="s">
        <v>2752</v>
      </c>
      <c r="E617" s="68" t="s">
        <v>2753</v>
      </c>
      <c r="F617" s="67">
        <v>5</v>
      </c>
      <c r="G617" s="67" t="s">
        <v>1441</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1296</v>
      </c>
      <c r="T617" s="77" t="str">
        <f t="shared" si="38"/>
        <v>NO</v>
      </c>
      <c r="U617" s="77"/>
      <c r="V617" s="67"/>
      <c r="W617" s="67" t="s">
        <v>1231</v>
      </c>
      <c r="X617" s="67" t="s">
        <v>2897</v>
      </c>
      <c r="Y617" s="67"/>
      <c r="Z617" s="124" t="s">
        <v>748</v>
      </c>
      <c r="AA617" s="124" t="s">
        <v>2853</v>
      </c>
      <c r="AB617" s="124" t="s">
        <v>1177</v>
      </c>
      <c r="AC617" s="375"/>
    </row>
    <row r="618" spans="1:29" ht="39.950000000000003" hidden="1" customHeight="1">
      <c r="A618" s="67">
        <v>597</v>
      </c>
      <c r="B618" s="69">
        <v>45174</v>
      </c>
      <c r="C618" s="74">
        <v>0.41041666666666665</v>
      </c>
      <c r="D618" s="67" t="s">
        <v>2838</v>
      </c>
      <c r="E618" s="68" t="s">
        <v>2614</v>
      </c>
      <c r="F618" s="67">
        <v>4</v>
      </c>
      <c r="G618" s="67" t="s">
        <v>283</v>
      </c>
      <c r="H618" s="69">
        <v>45191</v>
      </c>
      <c r="I618" s="69" t="s">
        <v>1086</v>
      </c>
      <c r="J618" s="69" t="s">
        <v>33</v>
      </c>
      <c r="K618" s="67">
        <f>IFERROR(VLOOKUP(J618,Jueces!$A$1:$B$11,2,FALSE),"")</f>
        <v>4</v>
      </c>
      <c r="L618" s="67" t="s">
        <v>1702</v>
      </c>
      <c r="M618" s="67" t="s">
        <v>2650</v>
      </c>
      <c r="N618" s="67" t="s">
        <v>2906</v>
      </c>
      <c r="O618" s="67" t="str">
        <f t="shared" ca="1" si="37"/>
        <v>SI</v>
      </c>
      <c r="P618" s="67" t="str">
        <f t="shared" si="36"/>
        <v>DIANOSOL</v>
      </c>
      <c r="Q618" s="67" t="s">
        <v>899</v>
      </c>
      <c r="R618" s="67" t="str">
        <f>VLOOKUP($Q618,Resultados!$A$1:$B$49,2,FALSE)</f>
        <v>Libertad</v>
      </c>
      <c r="S618" s="67" t="s">
        <v>1499</v>
      </c>
      <c r="T618" s="77" t="str">
        <f t="shared" si="38"/>
        <v>NO</v>
      </c>
      <c r="U618" s="77"/>
      <c r="V618" s="67"/>
      <c r="W618" s="67" t="s">
        <v>2905</v>
      </c>
      <c r="X618" s="67" t="s">
        <v>2907</v>
      </c>
      <c r="Y618" s="67"/>
      <c r="Z618" s="124" t="s">
        <v>743</v>
      </c>
      <c r="AA618" s="124" t="s">
        <v>1169</v>
      </c>
      <c r="AB618" s="124" t="s">
        <v>1174</v>
      </c>
      <c r="AC618" s="375"/>
    </row>
    <row r="619" spans="1:29" ht="39.950000000000003" hidden="1" customHeight="1">
      <c r="A619" s="67">
        <v>623</v>
      </c>
      <c r="B619" s="69">
        <v>45180</v>
      </c>
      <c r="C619" s="74">
        <v>0.3520833333333333</v>
      </c>
      <c r="D619" s="67" t="s">
        <v>2717</v>
      </c>
      <c r="E619" s="68" t="s">
        <v>2718</v>
      </c>
      <c r="F619" s="67">
        <v>7</v>
      </c>
      <c r="G619" s="67" t="s">
        <v>568</v>
      </c>
      <c r="H619" s="69">
        <v>45191</v>
      </c>
      <c r="I619" s="69" t="s">
        <v>1086</v>
      </c>
      <c r="J619" s="69" t="s">
        <v>31</v>
      </c>
      <c r="K619" s="67" t="s">
        <v>1346</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1396</v>
      </c>
      <c r="X619" s="67"/>
      <c r="Y619" s="67"/>
      <c r="Z619" s="124" t="s">
        <v>770</v>
      </c>
      <c r="AA619" s="124" t="s">
        <v>1169</v>
      </c>
      <c r="AB619" s="124" t="s">
        <v>1173</v>
      </c>
      <c r="AC619" s="375"/>
    </row>
    <row r="620" spans="1:29" ht="39.950000000000003" hidden="1" customHeight="1">
      <c r="A620" s="67">
        <v>616</v>
      </c>
      <c r="B620" s="69">
        <v>45177</v>
      </c>
      <c r="C620" s="74">
        <v>0.55694444444444446</v>
      </c>
      <c r="D620" s="67" t="s">
        <v>2055</v>
      </c>
      <c r="E620" s="68" t="s">
        <v>2697</v>
      </c>
      <c r="F620" s="67">
        <v>1</v>
      </c>
      <c r="G620" s="67" t="s">
        <v>43</v>
      </c>
      <c r="H620" s="69">
        <v>45194</v>
      </c>
      <c r="I620" s="69" t="s">
        <v>73</v>
      </c>
      <c r="J620" s="69" t="s">
        <v>31</v>
      </c>
      <c r="K620" s="67">
        <f>IFERROR(VLOOKUP(J620,Jueces!$A$1:$B$11,2,FALSE),"")</f>
        <v>2</v>
      </c>
      <c r="L620" s="67" t="s">
        <v>791</v>
      </c>
      <c r="M620" s="67" t="s">
        <v>2704</v>
      </c>
      <c r="N620" s="67" t="s">
        <v>2958</v>
      </c>
      <c r="O620" s="67" t="str">
        <f t="shared" ca="1" si="37"/>
        <v>SI</v>
      </c>
      <c r="P620" s="67" t="str">
        <f t="shared" si="36"/>
        <v>DIANOSOL</v>
      </c>
      <c r="Q620" s="67" t="s">
        <v>904</v>
      </c>
      <c r="R620" s="67" t="str">
        <f>VLOOKUP($Q620,Resultados!$A$1:$B$49,2,FALSE)</f>
        <v>Juicio Abreviado</v>
      </c>
      <c r="S620" s="67" t="s">
        <v>2708</v>
      </c>
      <c r="T620" s="77" t="str">
        <f t="shared" si="38"/>
        <v>NO</v>
      </c>
      <c r="U620" s="77"/>
      <c r="V620" s="67"/>
      <c r="W620" s="67" t="s">
        <v>2959</v>
      </c>
      <c r="X620" s="67" t="s">
        <v>2383</v>
      </c>
      <c r="Y620" s="67"/>
      <c r="Z620" s="124" t="s">
        <v>1041</v>
      </c>
      <c r="AA620" s="124" t="s">
        <v>1171</v>
      </c>
      <c r="AB620" s="124" t="s">
        <v>1175</v>
      </c>
      <c r="AC620" s="375"/>
    </row>
    <row r="621" spans="1:29" ht="39.950000000000003" hidden="1" customHeight="1">
      <c r="A621" s="67">
        <v>621</v>
      </c>
      <c r="B621" s="69">
        <v>45180</v>
      </c>
      <c r="C621" s="67" t="s">
        <v>2712</v>
      </c>
      <c r="D621" s="67" t="s">
        <v>2713</v>
      </c>
      <c r="E621" s="68" t="s">
        <v>2714</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1587</v>
      </c>
      <c r="T621" s="77" t="str">
        <f t="shared" si="38"/>
        <v>NO</v>
      </c>
      <c r="U621" s="77"/>
      <c r="V621" s="67"/>
      <c r="W621" s="67" t="s">
        <v>1578</v>
      </c>
      <c r="X621" s="67" t="s">
        <v>2950</v>
      </c>
      <c r="Y621" s="67"/>
      <c r="Z621" s="124" t="s">
        <v>2868</v>
      </c>
      <c r="AA621" s="124" t="s">
        <v>2853</v>
      </c>
      <c r="AB621" s="124" t="s">
        <v>1177</v>
      </c>
      <c r="AC621" s="375"/>
    </row>
    <row r="622" spans="1:29" ht="39.950000000000003" hidden="1" customHeight="1">
      <c r="A622" s="67">
        <v>625</v>
      </c>
      <c r="B622" s="69">
        <v>45180</v>
      </c>
      <c r="C622" s="74">
        <v>0.36041666666666666</v>
      </c>
      <c r="D622" s="67" t="s">
        <v>2720</v>
      </c>
      <c r="E622" s="68" t="s">
        <v>2721</v>
      </c>
      <c r="F622" s="67">
        <v>7</v>
      </c>
      <c r="G622" s="67" t="s">
        <v>1441</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1210</v>
      </c>
      <c r="X622" s="67" t="s">
        <v>2961</v>
      </c>
      <c r="Y622" s="67"/>
      <c r="Z622" s="285" t="s">
        <v>2896</v>
      </c>
      <c r="AA622" s="124" t="s">
        <v>1169</v>
      </c>
      <c r="AB622" s="124" t="s">
        <v>1174</v>
      </c>
      <c r="AC622" s="375"/>
    </row>
    <row r="623" spans="1:29" ht="39.950000000000003" hidden="1" customHeight="1">
      <c r="A623" s="67">
        <v>627</v>
      </c>
      <c r="B623" s="69">
        <v>45180</v>
      </c>
      <c r="C623" s="74">
        <v>0.4145833333333333</v>
      </c>
      <c r="D623" s="67" t="s">
        <v>2723</v>
      </c>
      <c r="E623" s="68" t="s">
        <v>2724</v>
      </c>
      <c r="F623" s="67">
        <v>5</v>
      </c>
      <c r="G623" s="67" t="s">
        <v>1443</v>
      </c>
      <c r="H623" s="69">
        <v>45194</v>
      </c>
      <c r="I623" s="69" t="s">
        <v>73</v>
      </c>
      <c r="J623" s="69" t="s">
        <v>78</v>
      </c>
      <c r="K623" s="67">
        <f>IFERROR(VLOOKUP(J623,Jueces!$A$1:$B$11,2,FALSE),"")</f>
        <v>8</v>
      </c>
      <c r="L623" s="67" t="s">
        <v>813</v>
      </c>
      <c r="M623" s="67" t="s">
        <v>783</v>
      </c>
      <c r="N623" s="67" t="s">
        <v>2962</v>
      </c>
      <c r="O623" s="67" t="str">
        <f t="shared" ca="1" si="37"/>
        <v>SI</v>
      </c>
      <c r="P623" s="67" t="str">
        <f t="shared" si="36"/>
        <v>DIANOSOL</v>
      </c>
      <c r="Q623" s="67" t="s">
        <v>909</v>
      </c>
      <c r="R623" s="67" t="str">
        <f>VLOOKUP($Q623,Resultados!$A$1:$B$49,2,FALSE)</f>
        <v>Suspensión de juicio a prueba</v>
      </c>
      <c r="S623" s="67" t="s">
        <v>1609</v>
      </c>
      <c r="T623" s="77" t="str">
        <f t="shared" si="38"/>
        <v>NO</v>
      </c>
      <c r="U623" s="77"/>
      <c r="V623" s="67"/>
      <c r="W623" s="67" t="s">
        <v>1229</v>
      </c>
      <c r="X623" s="67" t="s">
        <v>2963</v>
      </c>
      <c r="Y623" s="67"/>
      <c r="Z623" s="124" t="s">
        <v>1042</v>
      </c>
      <c r="AA623" s="124" t="s">
        <v>2853</v>
      </c>
      <c r="AB623" s="124" t="s">
        <v>1173</v>
      </c>
      <c r="AC623" s="375"/>
    </row>
    <row r="624" spans="1:29" ht="39.950000000000003" hidden="1" customHeight="1">
      <c r="A624" s="67">
        <v>630</v>
      </c>
      <c r="B624" s="69">
        <v>45180</v>
      </c>
      <c r="C624" s="74">
        <v>0.5180555555555556</v>
      </c>
      <c r="D624" s="67" t="s">
        <v>2732</v>
      </c>
      <c r="E624" s="68" t="s">
        <v>2733</v>
      </c>
      <c r="F624" s="67">
        <v>8</v>
      </c>
      <c r="G624" s="67" t="s">
        <v>2774</v>
      </c>
      <c r="H624" s="69">
        <v>45194</v>
      </c>
      <c r="I624" s="69" t="s">
        <v>73</v>
      </c>
      <c r="J624" s="69" t="s">
        <v>1221</v>
      </c>
      <c r="K624" s="214" t="s">
        <v>1926</v>
      </c>
      <c r="L624" s="67" t="s">
        <v>799</v>
      </c>
      <c r="M624" s="67" t="s">
        <v>887</v>
      </c>
      <c r="N624" s="67" t="s">
        <v>2951</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1238</v>
      </c>
      <c r="X624" s="67" t="s">
        <v>2957</v>
      </c>
      <c r="Y624" s="67"/>
      <c r="Z624" s="124" t="s">
        <v>748</v>
      </c>
      <c r="AA624" s="124" t="s">
        <v>1171</v>
      </c>
      <c r="AB624" s="124" t="s">
        <v>1175</v>
      </c>
      <c r="AC624" s="375"/>
    </row>
    <row r="625" spans="1:29" ht="39.950000000000003" hidden="1" customHeight="1">
      <c r="A625" s="67">
        <v>638</v>
      </c>
      <c r="B625" s="69">
        <v>45181</v>
      </c>
      <c r="C625" s="74">
        <v>0.45416666666666666</v>
      </c>
      <c r="D625" s="67" t="s">
        <v>2754</v>
      </c>
      <c r="E625" s="68" t="s">
        <v>2755</v>
      </c>
      <c r="F625" s="67">
        <v>8</v>
      </c>
      <c r="G625" s="67" t="s">
        <v>29</v>
      </c>
      <c r="H625" s="69">
        <v>45194</v>
      </c>
      <c r="I625" s="69" t="s">
        <v>1086</v>
      </c>
      <c r="J625" s="69" t="s">
        <v>1221</v>
      </c>
      <c r="K625" s="214" t="s">
        <v>1926</v>
      </c>
      <c r="L625" s="67" t="s">
        <v>812</v>
      </c>
      <c r="M625" s="67" t="s">
        <v>1087</v>
      </c>
      <c r="N625" s="67" t="s">
        <v>2948</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1276</v>
      </c>
      <c r="X625" s="67" t="s">
        <v>2949</v>
      </c>
      <c r="Y625" s="67"/>
      <c r="Z625" s="124" t="s">
        <v>770</v>
      </c>
      <c r="AA625" s="124" t="s">
        <v>2853</v>
      </c>
      <c r="AB625" s="124" t="s">
        <v>1174</v>
      </c>
      <c r="AC625" s="375"/>
    </row>
    <row r="626" spans="1:29" ht="39.950000000000003" hidden="1" customHeight="1">
      <c r="A626" s="67">
        <v>642</v>
      </c>
      <c r="B626" s="69">
        <v>45187</v>
      </c>
      <c r="C626" s="74">
        <v>0.37708333333333338</v>
      </c>
      <c r="D626" s="67" t="s">
        <v>2770</v>
      </c>
      <c r="E626" s="68" t="s">
        <v>2771</v>
      </c>
      <c r="F626" s="67">
        <v>7</v>
      </c>
      <c r="G626" s="67" t="s">
        <v>2789</v>
      </c>
      <c r="H626" s="69">
        <v>45194</v>
      </c>
      <c r="I626" s="69" t="s">
        <v>1086</v>
      </c>
      <c r="J626" s="69" t="s">
        <v>33</v>
      </c>
      <c r="K626" s="67">
        <f>IFERROR(VLOOKUP(J626,Jueces!$A$1:$B$11,2,FALSE),"")</f>
        <v>4</v>
      </c>
      <c r="L626" s="67" t="s">
        <v>806</v>
      </c>
      <c r="M626" s="67" t="s">
        <v>767</v>
      </c>
      <c r="N626" s="67" t="s">
        <v>2964</v>
      </c>
      <c r="O626" s="67" t="str">
        <f t="shared" ca="1" si="37"/>
        <v>SI</v>
      </c>
      <c r="P626" s="67" t="str">
        <f t="shared" si="36"/>
        <v>DIANOSOL</v>
      </c>
      <c r="Q626" s="67" t="s">
        <v>904</v>
      </c>
      <c r="R626" s="67" t="str">
        <f>VLOOKUP($Q626,Resultados!$A$1:$B$49,2,FALSE)</f>
        <v>Juicio Abreviado</v>
      </c>
      <c r="S626" s="67" t="s">
        <v>2965</v>
      </c>
      <c r="T626" s="77" t="str">
        <f t="shared" si="38"/>
        <v>NO</v>
      </c>
      <c r="U626" s="77"/>
      <c r="V626" s="67"/>
      <c r="W626" s="67" t="s">
        <v>1510</v>
      </c>
      <c r="X626" s="67"/>
      <c r="Y626" s="67"/>
      <c r="Z626" s="124" t="s">
        <v>2868</v>
      </c>
      <c r="AA626" s="124" t="s">
        <v>1169</v>
      </c>
      <c r="AB626" s="124" t="s">
        <v>1173</v>
      </c>
      <c r="AC626" s="375"/>
    </row>
    <row r="627" spans="1:29" ht="39.950000000000003" hidden="1" customHeight="1">
      <c r="A627" s="67">
        <v>644</v>
      </c>
      <c r="B627" s="69">
        <v>45187</v>
      </c>
      <c r="C627" s="74">
        <v>0.37222222222222223</v>
      </c>
      <c r="D627" s="67" t="s">
        <v>2370</v>
      </c>
      <c r="E627" s="68" t="s">
        <v>2928</v>
      </c>
      <c r="F627" s="67">
        <v>5</v>
      </c>
      <c r="G627" s="67" t="s">
        <v>2839</v>
      </c>
      <c r="H627" s="69">
        <v>45194</v>
      </c>
      <c r="I627" s="69" t="s">
        <v>1086</v>
      </c>
      <c r="J627" s="69" t="s">
        <v>31</v>
      </c>
      <c r="K627" s="67">
        <f>IFERROR(VLOOKUP(J627,Jueces!$A$1:$B$11,2,FALSE),"")</f>
        <v>2</v>
      </c>
      <c r="L627" s="67" t="s">
        <v>405</v>
      </c>
      <c r="M627" s="67" t="s">
        <v>1966</v>
      </c>
      <c r="N627" s="67" t="s">
        <v>2199</v>
      </c>
      <c r="O627" s="67" t="str">
        <f t="shared" ca="1" si="37"/>
        <v>SI</v>
      </c>
      <c r="P627" s="67" t="str">
        <f t="shared" si="36"/>
        <v>DIANOSOL</v>
      </c>
      <c r="Q627" s="67" t="s">
        <v>904</v>
      </c>
      <c r="R627" s="67" t="str">
        <f>VLOOKUP($Q627,Resultados!$A$1:$B$49,2,FALSE)</f>
        <v>Juicio Abreviado</v>
      </c>
      <c r="S627" s="67" t="s">
        <v>1807</v>
      </c>
      <c r="T627" s="77" t="str">
        <f t="shared" si="38"/>
        <v>NO</v>
      </c>
      <c r="U627" s="77"/>
      <c r="V627" s="67"/>
      <c r="W627" s="67" t="s">
        <v>1310</v>
      </c>
      <c r="X627" s="67" t="s">
        <v>2949</v>
      </c>
      <c r="Y627" s="67"/>
      <c r="Z627" s="124" t="s">
        <v>1041</v>
      </c>
      <c r="AA627" s="124" t="s">
        <v>1171</v>
      </c>
      <c r="AB627" s="124" t="s">
        <v>1175</v>
      </c>
      <c r="AC627" s="375"/>
    </row>
    <row r="628" spans="1:29" ht="39.950000000000003" hidden="1" customHeight="1">
      <c r="A628" s="67">
        <v>622</v>
      </c>
      <c r="B628" s="69">
        <v>45180</v>
      </c>
      <c r="C628" s="67" t="s">
        <v>73</v>
      </c>
      <c r="D628" s="67" t="s">
        <v>2715</v>
      </c>
      <c r="E628" s="68" t="s">
        <v>2716</v>
      </c>
      <c r="F628" s="67">
        <v>7</v>
      </c>
      <c r="G628" s="67" t="s">
        <v>1443</v>
      </c>
      <c r="H628" s="69">
        <v>45195</v>
      </c>
      <c r="I628" s="69" t="s">
        <v>73</v>
      </c>
      <c r="J628" s="69" t="s">
        <v>78</v>
      </c>
      <c r="K628" s="67">
        <f>IFERROR(VLOOKUP(J628,Jueces!$A$1:$B$11,2,FALSE),"")</f>
        <v>8</v>
      </c>
      <c r="L628" s="67" t="s">
        <v>688</v>
      </c>
      <c r="M628" s="67" t="s">
        <v>2778</v>
      </c>
      <c r="N628" s="67" t="s">
        <v>2983</v>
      </c>
      <c r="O628" s="67" t="str">
        <f t="shared" ca="1" si="37"/>
        <v>SI</v>
      </c>
      <c r="P628" s="67" t="str">
        <f t="shared" si="36"/>
        <v>DIANOSOL</v>
      </c>
      <c r="Q628" s="67" t="s">
        <v>905</v>
      </c>
      <c r="R628" s="67" t="str">
        <f>VLOOKUP($Q628,Resultados!$A$1:$B$49,2,FALSE)</f>
        <v>Juicio Abreviado</v>
      </c>
      <c r="S628" s="67" t="s">
        <v>1429</v>
      </c>
      <c r="T628" s="77" t="str">
        <f t="shared" ref="T628:T659" si="39">IF(G628=$J$1,"SI","NO")</f>
        <v>NO</v>
      </c>
      <c r="U628" s="77"/>
      <c r="V628" s="67"/>
      <c r="W628" s="67" t="s">
        <v>1234</v>
      </c>
      <c r="X628" s="67" t="s">
        <v>2383</v>
      </c>
      <c r="Y628" s="67"/>
      <c r="Z628" s="124" t="s">
        <v>2896</v>
      </c>
      <c r="AA628" s="124" t="s">
        <v>1169</v>
      </c>
      <c r="AB628" s="124" t="s">
        <v>1177</v>
      </c>
      <c r="AC628" s="375"/>
    </row>
    <row r="629" spans="1:29" ht="39.950000000000003" hidden="1" customHeight="1">
      <c r="A629" s="67">
        <v>629</v>
      </c>
      <c r="B629" s="69">
        <v>45180</v>
      </c>
      <c r="C629" s="74">
        <v>0.43472222222222223</v>
      </c>
      <c r="D629" s="67" t="s">
        <v>2727</v>
      </c>
      <c r="E629" s="68" t="s">
        <v>2918</v>
      </c>
      <c r="F629" s="67">
        <v>7</v>
      </c>
      <c r="G629" s="67" t="s">
        <v>1441</v>
      </c>
      <c r="H629" s="69">
        <v>45195</v>
      </c>
      <c r="I629" s="69" t="s">
        <v>73</v>
      </c>
      <c r="J629" s="69" t="s">
        <v>31</v>
      </c>
      <c r="K629" s="67">
        <f>IFERROR(VLOOKUP(J629,Jueces!$A$1:$B$11,2,FALSE),"")</f>
        <v>2</v>
      </c>
      <c r="L629" s="67" t="s">
        <v>789</v>
      </c>
      <c r="M629" s="67" t="s">
        <v>711</v>
      </c>
      <c r="N629" s="67" t="s">
        <v>2981</v>
      </c>
      <c r="O629" s="67" t="str">
        <f t="shared" ca="1" si="37"/>
        <v>SI</v>
      </c>
      <c r="P629" s="67" t="str">
        <f t="shared" si="36"/>
        <v>DIANOSOL</v>
      </c>
      <c r="Q629" s="67" t="s">
        <v>905</v>
      </c>
      <c r="R629" s="67" t="str">
        <f>VLOOKUP($Q629,Resultados!$A$1:$B$49,2,FALSE)</f>
        <v>Juicio Abreviado</v>
      </c>
      <c r="S629" s="67" t="s">
        <v>1292</v>
      </c>
      <c r="T629" s="77" t="str">
        <f t="shared" si="39"/>
        <v>NO</v>
      </c>
      <c r="U629" s="77"/>
      <c r="V629" s="67"/>
      <c r="W629" s="67" t="s">
        <v>1499</v>
      </c>
      <c r="X629" s="67" t="s">
        <v>2982</v>
      </c>
      <c r="Y629" s="67"/>
      <c r="Z629" s="285" t="s">
        <v>1042</v>
      </c>
      <c r="AA629" s="124" t="s">
        <v>1169</v>
      </c>
      <c r="AB629" s="124" t="s">
        <v>1174</v>
      </c>
      <c r="AC629" s="375"/>
    </row>
    <row r="630" spans="1:29" ht="39.950000000000003" hidden="1" customHeight="1">
      <c r="A630" s="67">
        <v>631</v>
      </c>
      <c r="B630" s="69">
        <v>45181</v>
      </c>
      <c r="C630" s="74">
        <v>0.35000000000000003</v>
      </c>
      <c r="D630" s="67" t="s">
        <v>2740</v>
      </c>
      <c r="E630" s="68" t="s">
        <v>2741</v>
      </c>
      <c r="F630" s="67">
        <v>7</v>
      </c>
      <c r="G630" s="67" t="s">
        <v>29</v>
      </c>
      <c r="H630" s="69">
        <v>45195</v>
      </c>
      <c r="I630" s="69" t="s">
        <v>73</v>
      </c>
      <c r="J630" s="69" t="s">
        <v>33</v>
      </c>
      <c r="K630" s="67">
        <f>IFERROR(VLOOKUP(J630,Jueces!$A$1:$B$11,2,FALSE),"")</f>
        <v>4</v>
      </c>
      <c r="L630" s="67" t="s">
        <v>807</v>
      </c>
      <c r="M630" s="67" t="s">
        <v>767</v>
      </c>
      <c r="N630" s="67" t="s">
        <v>2984</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2985</v>
      </c>
      <c r="Y630" s="67"/>
      <c r="Z630" s="124" t="s">
        <v>748</v>
      </c>
      <c r="AA630" s="124" t="s">
        <v>2853</v>
      </c>
      <c r="AB630" s="124" t="s">
        <v>1173</v>
      </c>
      <c r="AC630" s="375"/>
    </row>
    <row r="631" spans="1:29" ht="39.950000000000003" hidden="1" customHeight="1">
      <c r="A631" s="67">
        <v>632</v>
      </c>
      <c r="B631" s="69">
        <v>45181</v>
      </c>
      <c r="C631" s="74">
        <v>0.35972222222222222</v>
      </c>
      <c r="D631" s="67" t="s">
        <v>2742</v>
      </c>
      <c r="E631" s="68" t="s">
        <v>2743</v>
      </c>
      <c r="F631" s="67">
        <v>5</v>
      </c>
      <c r="G631" s="67" t="s">
        <v>43</v>
      </c>
      <c r="H631" s="69">
        <v>45195</v>
      </c>
      <c r="I631" s="69" t="s">
        <v>73</v>
      </c>
      <c r="J631" s="69" t="s">
        <v>1221</v>
      </c>
      <c r="K631" s="214" t="s">
        <v>1926</v>
      </c>
      <c r="L631" s="67" t="s">
        <v>829</v>
      </c>
      <c r="M631" s="67" t="s">
        <v>2704</v>
      </c>
      <c r="N631" s="67" t="s">
        <v>2987</v>
      </c>
      <c r="O631" s="67" t="str">
        <f t="shared" ca="1" si="37"/>
        <v>SI</v>
      </c>
      <c r="P631" s="67" t="str">
        <f t="shared" si="36"/>
        <v>DIANOSOL</v>
      </c>
      <c r="Q631" s="67" t="s">
        <v>151</v>
      </c>
      <c r="R631" s="67" t="str">
        <f>VLOOKUP($Q631,Resultados!$A$1:$B$49,2,FALSE)</f>
        <v>Prisión Preventiva</v>
      </c>
      <c r="S631" s="67" t="s">
        <v>2988</v>
      </c>
      <c r="T631" s="77" t="str">
        <f t="shared" si="39"/>
        <v>NO</v>
      </c>
      <c r="U631" s="77"/>
      <c r="V631" s="67"/>
      <c r="W631" s="67" t="s">
        <v>686</v>
      </c>
      <c r="X631" s="67" t="s">
        <v>2989</v>
      </c>
      <c r="Y631" s="67"/>
      <c r="Z631" s="124" t="s">
        <v>743</v>
      </c>
      <c r="AA631" s="124" t="s">
        <v>2853</v>
      </c>
      <c r="AB631" s="124" t="s">
        <v>1175</v>
      </c>
      <c r="AC631" s="375"/>
    </row>
    <row r="632" spans="1:29" ht="39.950000000000003" hidden="1" customHeight="1">
      <c r="A632" s="67">
        <v>652</v>
      </c>
      <c r="B632" s="69">
        <v>45188</v>
      </c>
      <c r="C632" s="74">
        <v>0.39513888888888887</v>
      </c>
      <c r="D632" s="67" t="s">
        <v>2790</v>
      </c>
      <c r="E632" s="68" t="s">
        <v>2898</v>
      </c>
      <c r="F632" s="67">
        <v>8</v>
      </c>
      <c r="G632" s="67" t="s">
        <v>1442</v>
      </c>
      <c r="H632" s="69">
        <v>45195</v>
      </c>
      <c r="I632" s="69" t="s">
        <v>73</v>
      </c>
      <c r="J632" s="69" t="s">
        <v>35</v>
      </c>
      <c r="K632" s="67">
        <f>IFERROR(VLOOKUP(J632,Jueces!$A$1:$B$11,2,FALSE),"")</f>
        <v>3</v>
      </c>
      <c r="L632" s="67" t="s">
        <v>2089</v>
      </c>
      <c r="M632" s="67" t="s">
        <v>887</v>
      </c>
      <c r="N632" s="67" t="s">
        <v>577</v>
      </c>
      <c r="O632" s="67" t="str">
        <f t="shared" ca="1" si="37"/>
        <v>SI</v>
      </c>
      <c r="P632" s="67" t="str">
        <f t="shared" si="36"/>
        <v>DIANOSOL</v>
      </c>
      <c r="Q632" s="67" t="s">
        <v>151</v>
      </c>
      <c r="R632" s="67" t="str">
        <f>VLOOKUP($Q632,Resultados!$A$1:$B$49,2,FALSE)</f>
        <v>Prisión Preventiva</v>
      </c>
      <c r="S632" s="67" t="s">
        <v>1231</v>
      </c>
      <c r="T632" s="77" t="str">
        <f t="shared" si="39"/>
        <v>SI</v>
      </c>
      <c r="U632" s="77"/>
      <c r="V632" s="67"/>
      <c r="W632" s="67" t="s">
        <v>1210</v>
      </c>
      <c r="X632" s="67"/>
      <c r="Y632" s="67"/>
      <c r="Z632" s="124" t="s">
        <v>770</v>
      </c>
      <c r="AA632" s="124" t="s">
        <v>1171</v>
      </c>
      <c r="AB632" s="124" t="s">
        <v>1177</v>
      </c>
      <c r="AC632" s="375"/>
    </row>
    <row r="633" spans="1:29" ht="39.950000000000003" hidden="1" customHeight="1">
      <c r="A633" s="67">
        <v>633</v>
      </c>
      <c r="B633" s="69">
        <v>45181</v>
      </c>
      <c r="C633" s="74">
        <v>0.42083333333333334</v>
      </c>
      <c r="D633" s="67" t="s">
        <v>2745</v>
      </c>
      <c r="E633" s="68" t="s">
        <v>2799</v>
      </c>
      <c r="F633" s="67">
        <v>8</v>
      </c>
      <c r="G633" s="67" t="s">
        <v>2776</v>
      </c>
      <c r="H633" s="69">
        <v>45195</v>
      </c>
      <c r="I633" s="69" t="s">
        <v>1086</v>
      </c>
      <c r="J633" s="69" t="s">
        <v>1221</v>
      </c>
      <c r="K633" s="214" t="s">
        <v>1926</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1445</v>
      </c>
      <c r="T633" s="77" t="str">
        <f t="shared" si="39"/>
        <v>NO</v>
      </c>
      <c r="U633" s="77"/>
      <c r="V633" s="67"/>
      <c r="W633" s="67" t="s">
        <v>1802</v>
      </c>
      <c r="X633" s="67" t="s">
        <v>2991</v>
      </c>
      <c r="Y633" s="67"/>
      <c r="Z633" s="124" t="s">
        <v>1041</v>
      </c>
      <c r="AA633" s="124" t="s">
        <v>1169</v>
      </c>
      <c r="AB633" s="124" t="s">
        <v>1174</v>
      </c>
      <c r="AC633" s="375"/>
    </row>
    <row r="634" spans="1:29" ht="39.950000000000003" hidden="1" customHeight="1">
      <c r="A634" s="67">
        <v>639</v>
      </c>
      <c r="B634" s="69">
        <v>45181</v>
      </c>
      <c r="C634" s="67" t="s">
        <v>2762</v>
      </c>
      <c r="D634" s="67" t="s">
        <v>2763</v>
      </c>
      <c r="E634" s="68" t="s">
        <v>2764</v>
      </c>
      <c r="F634" s="67">
        <v>8</v>
      </c>
      <c r="G634" s="67" t="s">
        <v>283</v>
      </c>
      <c r="H634" s="69">
        <v>45195</v>
      </c>
      <c r="I634" s="69" t="s">
        <v>1086</v>
      </c>
      <c r="J634" s="69" t="s">
        <v>33</v>
      </c>
      <c r="K634" s="67">
        <f>IFERROR(VLOOKUP(J634,Jueces!$A$1:$B$11,2,FALSE),"")</f>
        <v>4</v>
      </c>
      <c r="L634" s="67" t="s">
        <v>806</v>
      </c>
      <c r="M634" s="67" t="s">
        <v>887</v>
      </c>
      <c r="N634" s="67" t="s">
        <v>2990</v>
      </c>
      <c r="O634" s="67" t="str">
        <f t="shared" ca="1" si="37"/>
        <v>SI</v>
      </c>
      <c r="P634" s="67" t="str">
        <f t="shared" si="36"/>
        <v>DIANOSOL</v>
      </c>
      <c r="Q634" s="67" t="s">
        <v>904</v>
      </c>
      <c r="R634" s="67" t="str">
        <f>VLOOKUP($Q634,Resultados!$A$1:$B$49,2,FALSE)</f>
        <v>Juicio Abreviado</v>
      </c>
      <c r="S634" s="67" t="s">
        <v>2686</v>
      </c>
      <c r="T634" s="77" t="str">
        <f t="shared" si="39"/>
        <v>NO</v>
      </c>
      <c r="U634" s="77"/>
      <c r="V634" s="67"/>
      <c r="W634" s="67" t="s">
        <v>1802</v>
      </c>
      <c r="X634" s="67" t="s">
        <v>2985</v>
      </c>
      <c r="Y634" s="67"/>
      <c r="Z634" s="124" t="s">
        <v>2896</v>
      </c>
      <c r="AA634" s="124" t="s">
        <v>1171</v>
      </c>
      <c r="AB634" s="124" t="s">
        <v>1173</v>
      </c>
      <c r="AC634" s="375"/>
    </row>
    <row r="635" spans="1:29" ht="39.950000000000003" hidden="1" customHeight="1">
      <c r="A635" s="67">
        <v>645</v>
      </c>
      <c r="B635" s="69">
        <v>45187</v>
      </c>
      <c r="C635" s="74">
        <v>0.35972222222222222</v>
      </c>
      <c r="D635" s="67" t="s">
        <v>2779</v>
      </c>
      <c r="E635" s="68" t="s">
        <v>2780</v>
      </c>
      <c r="F635" s="67">
        <v>7</v>
      </c>
      <c r="G635" s="67" t="s">
        <v>2775</v>
      </c>
      <c r="H635" s="69">
        <v>45195</v>
      </c>
      <c r="I635" s="69" t="s">
        <v>1086</v>
      </c>
      <c r="J635" s="69" t="s">
        <v>31</v>
      </c>
      <c r="K635" s="67">
        <f>IFERROR(VLOOKUP(J635,Jueces!$A$1:$B$11,2,FALSE),"")</f>
        <v>2</v>
      </c>
      <c r="L635" s="67" t="s">
        <v>405</v>
      </c>
      <c r="M635" s="67" t="s">
        <v>725</v>
      </c>
      <c r="N635" s="67" t="s">
        <v>2986</v>
      </c>
      <c r="O635" s="67" t="str">
        <f t="shared" ca="1" si="37"/>
        <v>SI</v>
      </c>
      <c r="P635" s="67" t="str">
        <f t="shared" si="36"/>
        <v>DIANOSOL</v>
      </c>
      <c r="Q635" s="67" t="s">
        <v>905</v>
      </c>
      <c r="R635" s="67" t="str">
        <f>VLOOKUP($Q635,Resultados!$A$1:$B$49,2,FALSE)</f>
        <v>Juicio Abreviado</v>
      </c>
      <c r="S635" s="67" t="s">
        <v>1538</v>
      </c>
      <c r="T635" s="77" t="str">
        <f t="shared" si="39"/>
        <v>NO</v>
      </c>
      <c r="U635" s="77"/>
      <c r="V635" s="67"/>
      <c r="W635" s="67" t="s">
        <v>1570</v>
      </c>
      <c r="X635" s="67"/>
      <c r="Y635" s="67"/>
      <c r="Z635" s="124" t="s">
        <v>1042</v>
      </c>
      <c r="AA635" s="124" t="s">
        <v>2853</v>
      </c>
      <c r="AB635" s="124" t="s">
        <v>1175</v>
      </c>
      <c r="AC635" s="375"/>
    </row>
    <row r="636" spans="1:29" ht="39.950000000000003" hidden="1" customHeight="1">
      <c r="A636" s="67">
        <v>635</v>
      </c>
      <c r="B636" s="69">
        <v>45181</v>
      </c>
      <c r="C636" s="74">
        <v>0.38472222222222219</v>
      </c>
      <c r="D636" s="67" t="s">
        <v>2747</v>
      </c>
      <c r="E636" s="68" t="s">
        <v>2760</v>
      </c>
      <c r="F636" s="67">
        <v>7</v>
      </c>
      <c r="G636" s="67" t="s">
        <v>1441</v>
      </c>
      <c r="H636" s="69">
        <v>45196</v>
      </c>
      <c r="I636" s="69" t="s">
        <v>73</v>
      </c>
      <c r="J636" s="69" t="s">
        <v>1221</v>
      </c>
      <c r="K636" s="67" t="s">
        <v>2395</v>
      </c>
      <c r="L636" s="67" t="s">
        <v>688</v>
      </c>
      <c r="M636" s="67" t="s">
        <v>2759</v>
      </c>
      <c r="N636" s="67" t="s">
        <v>577</v>
      </c>
      <c r="O636" s="67" t="str">
        <f t="shared" ca="1" si="37"/>
        <v>SI</v>
      </c>
      <c r="P636" s="67" t="str">
        <f t="shared" si="36"/>
        <v>DIANOSOL</v>
      </c>
      <c r="Q636" s="67" t="s">
        <v>151</v>
      </c>
      <c r="R636" s="67" t="str">
        <f>VLOOKUP($Q636,Resultados!$A$1:$B$49,2,FALSE)</f>
        <v>Prisión Preventiva</v>
      </c>
      <c r="S636" s="67" t="s">
        <v>3011</v>
      </c>
      <c r="T636" s="77" t="str">
        <f t="shared" si="39"/>
        <v>NO</v>
      </c>
      <c r="U636" s="77"/>
      <c r="V636" s="67"/>
      <c r="W636" s="67" t="s">
        <v>1017</v>
      </c>
      <c r="X636" s="67"/>
      <c r="Y636" s="67"/>
      <c r="Z636" s="124" t="s">
        <v>1041</v>
      </c>
      <c r="AA636" s="124" t="s">
        <v>1171</v>
      </c>
      <c r="AB636" s="124" t="s">
        <v>1177</v>
      </c>
      <c r="AC636" s="375"/>
    </row>
    <row r="637" spans="1:29" ht="39.950000000000003" hidden="1" customHeight="1">
      <c r="A637" s="67">
        <v>647</v>
      </c>
      <c r="B637" s="69">
        <v>45187</v>
      </c>
      <c r="C637" s="74">
        <v>0.33333333333333331</v>
      </c>
      <c r="D637" s="67" t="s">
        <v>2782</v>
      </c>
      <c r="E637" s="68" t="s">
        <v>2798</v>
      </c>
      <c r="F637" s="67">
        <v>8</v>
      </c>
      <c r="G637" s="67" t="s">
        <v>2789</v>
      </c>
      <c r="H637" s="69">
        <v>45196</v>
      </c>
      <c r="I637" s="69" t="s">
        <v>73</v>
      </c>
      <c r="J637" s="69" t="s">
        <v>31</v>
      </c>
      <c r="K637" s="67">
        <f>IFERROR(VLOOKUP(J637,Jueces!$A$1:$B$11,2,FALSE),"")</f>
        <v>2</v>
      </c>
      <c r="L637" s="67" t="s">
        <v>3021</v>
      </c>
      <c r="M637" s="67" t="s">
        <v>3020</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30" t="s">
        <v>3022</v>
      </c>
      <c r="Y637" s="67"/>
      <c r="Z637" s="124" t="s">
        <v>748</v>
      </c>
      <c r="AA637" s="124" t="s">
        <v>1169</v>
      </c>
      <c r="AB637" s="124" t="s">
        <v>1174</v>
      </c>
      <c r="AC637" s="375"/>
    </row>
    <row r="638" spans="1:29" ht="39.950000000000003" hidden="1" customHeight="1">
      <c r="A638" s="67">
        <v>655</v>
      </c>
      <c r="B638" s="69">
        <v>45187</v>
      </c>
      <c r="C638" s="74">
        <v>0.48333333333333334</v>
      </c>
      <c r="D638" s="67" t="s">
        <v>2805</v>
      </c>
      <c r="E638" s="68" t="s">
        <v>2806</v>
      </c>
      <c r="F638" s="67">
        <v>7</v>
      </c>
      <c r="G638" s="67" t="s">
        <v>43</v>
      </c>
      <c r="H638" s="69">
        <v>45196</v>
      </c>
      <c r="I638" s="69" t="s">
        <v>73</v>
      </c>
      <c r="J638" s="69" t="s">
        <v>78</v>
      </c>
      <c r="K638" s="67">
        <f>IFERROR(VLOOKUP(J638,Jueces!$A$1:$B$11,2,FALSE),"")</f>
        <v>8</v>
      </c>
      <c r="L638" s="67" t="s">
        <v>807</v>
      </c>
      <c r="M638" s="67" t="s">
        <v>767</v>
      </c>
      <c r="N638" s="230" t="s">
        <v>3023</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4" t="s">
        <v>770</v>
      </c>
      <c r="AA638" s="124" t="s">
        <v>2853</v>
      </c>
      <c r="AB638" s="124" t="s">
        <v>1173</v>
      </c>
      <c r="AC638" s="375"/>
    </row>
    <row r="639" spans="1:29" ht="39.950000000000003" hidden="1" customHeight="1">
      <c r="A639" s="67">
        <v>663</v>
      </c>
      <c r="B639" s="69">
        <v>45188</v>
      </c>
      <c r="C639" s="74">
        <v>0.52569444444444446</v>
      </c>
      <c r="D639" s="67" t="s">
        <v>2826</v>
      </c>
      <c r="E639" s="68" t="s">
        <v>2827</v>
      </c>
      <c r="F639" s="67">
        <v>7</v>
      </c>
      <c r="G639" s="67" t="s">
        <v>2776</v>
      </c>
      <c r="H639" s="69">
        <v>45196</v>
      </c>
      <c r="I639" s="69" t="s">
        <v>73</v>
      </c>
      <c r="J639" s="69" t="s">
        <v>2952</v>
      </c>
      <c r="K639" s="67" t="s">
        <v>1926</v>
      </c>
      <c r="L639" s="67" t="s">
        <v>2738</v>
      </c>
      <c r="M639" s="67" t="s">
        <v>1027</v>
      </c>
      <c r="N639" s="214"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3019</v>
      </c>
      <c r="Y639" s="67"/>
      <c r="Z639" s="124" t="s">
        <v>743</v>
      </c>
      <c r="AA639" s="124" t="s">
        <v>1171</v>
      </c>
      <c r="AB639" s="124" t="s">
        <v>2980</v>
      </c>
      <c r="AC639" s="375"/>
    </row>
    <row r="640" spans="1:29" ht="39.950000000000003" hidden="1" customHeight="1">
      <c r="A640" s="67">
        <v>646</v>
      </c>
      <c r="B640" s="69">
        <v>45187</v>
      </c>
      <c r="C640" s="74">
        <v>0.34375</v>
      </c>
      <c r="D640" s="67" t="s">
        <v>2781</v>
      </c>
      <c r="E640" s="68" t="s">
        <v>2816</v>
      </c>
      <c r="F640" s="67">
        <v>8</v>
      </c>
      <c r="G640" s="67" t="s">
        <v>2774</v>
      </c>
      <c r="H640" s="69">
        <v>45196</v>
      </c>
      <c r="I640" s="69" t="s">
        <v>1086</v>
      </c>
      <c r="J640" s="69" t="s">
        <v>33</v>
      </c>
      <c r="K640" s="67">
        <f>IFERROR(VLOOKUP(J640,Jueces!$A$1:$B$11,2,FALSE),"")</f>
        <v>4</v>
      </c>
      <c r="L640" s="67" t="s">
        <v>809</v>
      </c>
      <c r="M640" s="67" t="s">
        <v>1087</v>
      </c>
      <c r="N640" s="67" t="s">
        <v>3059</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4" t="s">
        <v>3018</v>
      </c>
      <c r="Y640" s="67"/>
      <c r="Z640" s="124" t="s">
        <v>2896</v>
      </c>
      <c r="AA640" s="124" t="s">
        <v>2853</v>
      </c>
      <c r="AB640" s="124" t="s">
        <v>1177</v>
      </c>
      <c r="AC640" s="375"/>
    </row>
    <row r="641" spans="1:29" ht="39.950000000000003" hidden="1" customHeight="1">
      <c r="A641" s="67">
        <v>650</v>
      </c>
      <c r="B641" s="69">
        <v>45187</v>
      </c>
      <c r="C641" s="74">
        <v>0.43611111111111112</v>
      </c>
      <c r="D641" s="67" t="s">
        <v>2785</v>
      </c>
      <c r="E641" s="68" t="s">
        <v>2786</v>
      </c>
      <c r="F641" s="67">
        <v>7</v>
      </c>
      <c r="G641" s="67" t="s">
        <v>568</v>
      </c>
      <c r="H641" s="69">
        <v>45196</v>
      </c>
      <c r="I641" s="69" t="s">
        <v>1086</v>
      </c>
      <c r="J641" s="69" t="s">
        <v>31</v>
      </c>
      <c r="K641" s="67">
        <f>IFERROR(VLOOKUP(J641,Jueces!$A$1:$B$11,2,FALSE),"")</f>
        <v>2</v>
      </c>
      <c r="L641" s="67" t="s">
        <v>806</v>
      </c>
      <c r="M641" s="67" t="s">
        <v>2778</v>
      </c>
      <c r="N641" s="214" t="s">
        <v>3015</v>
      </c>
      <c r="O641" s="83" t="str">
        <f t="shared" ca="1" si="37"/>
        <v>SI</v>
      </c>
      <c r="P641" s="83" t="str">
        <f t="shared" si="36"/>
        <v>DIANOSOL</v>
      </c>
      <c r="Q641" s="67" t="s">
        <v>1902</v>
      </c>
      <c r="R641" s="67" t="str">
        <f>VLOOKUP($Q641,Resultados!$A$1:$B$49,2,FALSE)</f>
        <v>Sobreseimiento</v>
      </c>
      <c r="S641" s="74">
        <v>0.44444444444444442</v>
      </c>
      <c r="T641" s="86" t="str">
        <f t="shared" si="39"/>
        <v>NO</v>
      </c>
      <c r="U641" s="86"/>
      <c r="V641" s="83"/>
      <c r="W641" s="74">
        <v>0.4368055555555555</v>
      </c>
      <c r="X641" s="67"/>
      <c r="Y641" s="67"/>
      <c r="Z641" s="124" t="s">
        <v>748</v>
      </c>
      <c r="AA641" s="124" t="s">
        <v>1169</v>
      </c>
      <c r="AB641" s="124" t="s">
        <v>1174</v>
      </c>
      <c r="AC641" s="375"/>
    </row>
    <row r="642" spans="1:29" ht="39.950000000000003" hidden="1" customHeight="1">
      <c r="A642" s="67">
        <v>662</v>
      </c>
      <c r="B642" s="69">
        <v>45188</v>
      </c>
      <c r="C642" s="74">
        <v>0.53055555555555556</v>
      </c>
      <c r="D642" s="67" t="s">
        <v>2824</v>
      </c>
      <c r="E642" s="68" t="s">
        <v>2825</v>
      </c>
      <c r="F642" s="67">
        <v>7</v>
      </c>
      <c r="G642" s="67" t="s">
        <v>2775</v>
      </c>
      <c r="H642" s="69">
        <v>45196</v>
      </c>
      <c r="I642" s="69" t="s">
        <v>1086</v>
      </c>
      <c r="J642" s="69" t="s">
        <v>35</v>
      </c>
      <c r="K642" s="67">
        <f>IFERROR(VLOOKUP(J642,Jueces!$A$1:$B$11,2,FALSE),"")</f>
        <v>3</v>
      </c>
      <c r="L642" s="67" t="s">
        <v>812</v>
      </c>
      <c r="M642" s="67" t="s">
        <v>767</v>
      </c>
      <c r="N642" s="67" t="s">
        <v>3017</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3016</v>
      </c>
      <c r="Y642" s="67"/>
      <c r="Z642" s="124" t="s">
        <v>1042</v>
      </c>
      <c r="AA642" s="124" t="s">
        <v>1171</v>
      </c>
      <c r="AB642" s="124" t="s">
        <v>1173</v>
      </c>
      <c r="AC642" s="375"/>
    </row>
    <row r="643" spans="1:29" ht="87" hidden="1" customHeight="1">
      <c r="A643" s="67">
        <v>641</v>
      </c>
      <c r="B643" s="69">
        <v>45187</v>
      </c>
      <c r="C643" s="74">
        <v>0.33333333333333331</v>
      </c>
      <c r="D643" s="67" t="s">
        <v>2767</v>
      </c>
      <c r="E643" s="68" t="s">
        <v>2768</v>
      </c>
      <c r="F643" s="67">
        <v>8</v>
      </c>
      <c r="G643" s="67" t="s">
        <v>29</v>
      </c>
      <c r="H643" s="69">
        <v>45196</v>
      </c>
      <c r="I643" s="69" t="s">
        <v>989</v>
      </c>
      <c r="J643" s="69" t="s">
        <v>1221</v>
      </c>
      <c r="K643" s="67" t="s">
        <v>1926</v>
      </c>
      <c r="L643" s="67" t="s">
        <v>2091</v>
      </c>
      <c r="M643" s="67" t="s">
        <v>1087</v>
      </c>
      <c r="N643" s="325" t="s">
        <v>3033</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30" t="s">
        <v>3032</v>
      </c>
      <c r="Y643" s="67"/>
      <c r="Z643" s="124" t="s">
        <v>743</v>
      </c>
      <c r="AA643" s="124" t="s">
        <v>1171</v>
      </c>
      <c r="AB643" s="124" t="s">
        <v>2980</v>
      </c>
      <c r="AC643" s="375"/>
    </row>
    <row r="644" spans="1:29" ht="39.950000000000003" hidden="1" customHeight="1">
      <c r="A644" s="67">
        <v>649</v>
      </c>
      <c r="B644" s="69">
        <v>45187</v>
      </c>
      <c r="C644" s="74">
        <v>0.44513888888888892</v>
      </c>
      <c r="D644" s="67" t="s">
        <v>2784</v>
      </c>
      <c r="E644" s="68" t="s">
        <v>2828</v>
      </c>
      <c r="F644" s="67">
        <v>8</v>
      </c>
      <c r="G644" s="67" t="s">
        <v>2839</v>
      </c>
      <c r="H644" s="69">
        <v>45197</v>
      </c>
      <c r="I644" s="69" t="s">
        <v>73</v>
      </c>
      <c r="J644" s="69" t="s">
        <v>78</v>
      </c>
      <c r="K644" s="67">
        <f>IFERROR(VLOOKUP(J644,Jueces!$A$1:$B$11,2,FALSE),"")</f>
        <v>8</v>
      </c>
      <c r="L644" s="67" t="s">
        <v>812</v>
      </c>
      <c r="M644" s="67" t="s">
        <v>3020</v>
      </c>
      <c r="N644" s="214" t="s">
        <v>3042</v>
      </c>
      <c r="O644" s="67" t="str">
        <f t="shared" ca="1" si="37"/>
        <v>SI</v>
      </c>
      <c r="P644" s="67" t="str">
        <f t="shared" si="40"/>
        <v>DIANOSOL</v>
      </c>
      <c r="Q644" s="67" t="s">
        <v>904</v>
      </c>
      <c r="R644" s="67" t="str">
        <f>VLOOKUP($Q644,Resultados!$A$1:$B$49,2,FALSE)</f>
        <v>Juicio Abreviado</v>
      </c>
      <c r="S644" s="67" t="s">
        <v>1129</v>
      </c>
      <c r="T644" s="77" t="str">
        <f t="shared" si="39"/>
        <v>NO</v>
      </c>
      <c r="U644" s="77"/>
      <c r="V644" s="67"/>
      <c r="W644" s="67" t="s">
        <v>1378</v>
      </c>
      <c r="X644" s="67" t="s">
        <v>2985</v>
      </c>
      <c r="Y644" s="67"/>
      <c r="Z644" s="124" t="s">
        <v>743</v>
      </c>
      <c r="AA644" s="124" t="s">
        <v>1171</v>
      </c>
      <c r="AB644" s="124" t="s">
        <v>1174</v>
      </c>
      <c r="AC644" s="375"/>
    </row>
    <row r="645" spans="1:29" ht="39.950000000000003" hidden="1" customHeight="1">
      <c r="A645" s="67">
        <v>634</v>
      </c>
      <c r="B645" s="69">
        <v>45181</v>
      </c>
      <c r="C645" s="74">
        <v>0.39930555555555558</v>
      </c>
      <c r="D645" s="67" t="s">
        <v>2746</v>
      </c>
      <c r="E645" s="68" t="s">
        <v>2791</v>
      </c>
      <c r="F645" s="67">
        <v>8</v>
      </c>
      <c r="G645" s="67" t="s">
        <v>1441</v>
      </c>
      <c r="H645" s="69">
        <v>45197</v>
      </c>
      <c r="I645" s="69" t="s">
        <v>1086</v>
      </c>
      <c r="J645" s="69" t="s">
        <v>1225</v>
      </c>
      <c r="K645" s="67">
        <f>IFERROR(VLOOKUP(J645,Jueces!$A$1:$B$11,2,FALSE),"")</f>
        <v>6</v>
      </c>
      <c r="L645" s="67" t="s">
        <v>813</v>
      </c>
      <c r="M645" s="67" t="s">
        <v>1087</v>
      </c>
      <c r="N645" s="214"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3075</v>
      </c>
      <c r="Y645" s="67"/>
      <c r="Z645" s="124" t="s">
        <v>2868</v>
      </c>
      <c r="AA645" s="124" t="s">
        <v>2853</v>
      </c>
      <c r="AB645" s="124" t="s">
        <v>1175</v>
      </c>
      <c r="AC645" s="375"/>
    </row>
    <row r="646" spans="1:29" ht="39.950000000000003" hidden="1" customHeight="1">
      <c r="A646" s="67">
        <v>685</v>
      </c>
      <c r="B646" s="69">
        <v>45190</v>
      </c>
      <c r="C646" s="74">
        <v>0.52361111111111114</v>
      </c>
      <c r="D646" s="67" t="s">
        <v>2915</v>
      </c>
      <c r="E646" s="68" t="s">
        <v>2927</v>
      </c>
      <c r="F646" s="67">
        <v>1</v>
      </c>
      <c r="G646" s="67" t="s">
        <v>43</v>
      </c>
      <c r="H646" s="69">
        <v>45197</v>
      </c>
      <c r="I646" s="69" t="s">
        <v>1086</v>
      </c>
      <c r="J646" s="69" t="s">
        <v>31</v>
      </c>
      <c r="K646" s="67">
        <f>IFERROR(VLOOKUP(J646,Jueces!$A$1:$B$11,2,FALSE),"")</f>
        <v>2</v>
      </c>
      <c r="L646" s="67" t="s">
        <v>2738</v>
      </c>
      <c r="M646" s="67" t="s">
        <v>711</v>
      </c>
      <c r="N646" s="214" t="s">
        <v>3073</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3074</v>
      </c>
      <c r="Y646" s="67"/>
      <c r="Z646" s="124" t="s">
        <v>748</v>
      </c>
      <c r="AA646" s="124" t="s">
        <v>1169</v>
      </c>
      <c r="AB646" s="124" t="s">
        <v>1177</v>
      </c>
      <c r="AC646" s="375"/>
    </row>
    <row r="647" spans="1:29" ht="39.950000000000003" hidden="1" customHeight="1">
      <c r="A647" s="67">
        <v>657</v>
      </c>
      <c r="B647" s="69">
        <v>45187</v>
      </c>
      <c r="C647" s="74">
        <v>0.53888888888888886</v>
      </c>
      <c r="D647" s="67" t="s">
        <v>2808</v>
      </c>
      <c r="E647" s="68" t="s">
        <v>2809</v>
      </c>
      <c r="F647" s="67">
        <v>8</v>
      </c>
      <c r="G647" s="67" t="s">
        <v>283</v>
      </c>
      <c r="H647" s="69">
        <v>45197</v>
      </c>
      <c r="I647" s="69" t="s">
        <v>1210</v>
      </c>
      <c r="J647" s="69" t="s">
        <v>78</v>
      </c>
      <c r="K647" s="67">
        <f>IFERROR(VLOOKUP(J647,Jueces!$A$1:$B$11,2,FALSE),"")</f>
        <v>8</v>
      </c>
      <c r="L647" s="67" t="s">
        <v>813</v>
      </c>
      <c r="M647" s="67" t="s">
        <v>2935</v>
      </c>
      <c r="N647" s="67" t="s">
        <v>2737</v>
      </c>
      <c r="O647" s="83" t="str">
        <f t="shared" ca="1" si="37"/>
        <v>SI</v>
      </c>
      <c r="P647" s="83" t="str">
        <f t="shared" si="40"/>
        <v>DIANOSOL</v>
      </c>
      <c r="Q647" s="67" t="s">
        <v>904</v>
      </c>
      <c r="R647" s="67" t="str">
        <f>VLOOKUP($Q647,Resultados!$A$1:$B$49,2,FALSE)</f>
        <v>Juicio Abreviado</v>
      </c>
      <c r="S647" s="67" t="s">
        <v>1230</v>
      </c>
      <c r="T647" s="86" t="str">
        <f t="shared" si="39"/>
        <v>NO</v>
      </c>
      <c r="U647" s="86"/>
      <c r="V647" s="83"/>
      <c r="W647" s="67" t="s">
        <v>2686</v>
      </c>
      <c r="X647" s="67"/>
      <c r="Y647" s="67"/>
      <c r="Z647" s="124" t="s">
        <v>2896</v>
      </c>
      <c r="AA647" s="124" t="s">
        <v>1171</v>
      </c>
      <c r="AB647" s="124" t="s">
        <v>1174</v>
      </c>
      <c r="AC647" s="375"/>
    </row>
    <row r="648" spans="1:29" ht="39.950000000000003" hidden="1" customHeight="1">
      <c r="A648" s="67">
        <v>653</v>
      </c>
      <c r="B648" s="69">
        <v>45187</v>
      </c>
      <c r="C648" s="74">
        <v>0.49722222222222223</v>
      </c>
      <c r="D648" s="67" t="s">
        <v>2802</v>
      </c>
      <c r="E648" s="68" t="s">
        <v>2960</v>
      </c>
      <c r="F648" s="67">
        <v>8</v>
      </c>
      <c r="G648" s="67" t="s">
        <v>1443</v>
      </c>
      <c r="H648" s="69">
        <v>45197</v>
      </c>
      <c r="I648" s="69" t="s">
        <v>989</v>
      </c>
      <c r="J648" s="69" t="s">
        <v>1221</v>
      </c>
      <c r="K648" s="67">
        <f>IFERROR(VLOOKUP(J648,Jueces!$A$1:$B$11,2,FALSE),"")</f>
        <v>7</v>
      </c>
      <c r="L648" s="67" t="s">
        <v>3072</v>
      </c>
      <c r="M648" s="67" t="s">
        <v>1087</v>
      </c>
      <c r="N648" s="214"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4" t="s">
        <v>770</v>
      </c>
      <c r="AA648" s="124" t="s">
        <v>1169</v>
      </c>
      <c r="AB648" s="124" t="s">
        <v>1173</v>
      </c>
      <c r="AC648" s="375"/>
    </row>
    <row r="649" spans="1:29" ht="39.950000000000003" hidden="1" customHeight="1">
      <c r="A649" s="67">
        <v>593</v>
      </c>
      <c r="B649" s="69">
        <v>45174</v>
      </c>
      <c r="C649" s="74">
        <v>0.40347222222222223</v>
      </c>
      <c r="D649" s="67" t="s">
        <v>2761</v>
      </c>
      <c r="E649" s="68" t="s">
        <v>2635</v>
      </c>
      <c r="F649" s="67">
        <v>8</v>
      </c>
      <c r="G649" s="67" t="s">
        <v>2774</v>
      </c>
      <c r="H649" s="69">
        <v>45198</v>
      </c>
      <c r="I649" s="69" t="s">
        <v>73</v>
      </c>
      <c r="J649" s="69" t="s">
        <v>33</v>
      </c>
      <c r="K649" s="67">
        <f>IFERROR(VLOOKUP(J649,Jueces!$A$1:$B$11,2,FALSE),"")</f>
        <v>4</v>
      </c>
      <c r="L649" s="67" t="s">
        <v>813</v>
      </c>
      <c r="M649" s="67" t="s">
        <v>1032</v>
      </c>
      <c r="N649" s="67" t="s">
        <v>3082</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3083</v>
      </c>
      <c r="Y649" s="67"/>
      <c r="Z649" s="344" t="s">
        <v>1041</v>
      </c>
      <c r="AA649" s="124" t="s">
        <v>1169</v>
      </c>
      <c r="AB649" s="124" t="s">
        <v>1175</v>
      </c>
      <c r="AC649" s="375"/>
    </row>
    <row r="650" spans="1:29" ht="39.950000000000003" hidden="1" customHeight="1">
      <c r="A650" s="67">
        <v>624</v>
      </c>
      <c r="B650" s="69">
        <v>45180</v>
      </c>
      <c r="C650" s="74">
        <v>0.38611111111111113</v>
      </c>
      <c r="D650" s="67" t="s">
        <v>2719</v>
      </c>
      <c r="E650" s="68" t="s">
        <v>2734</v>
      </c>
      <c r="F650" s="67">
        <v>3</v>
      </c>
      <c r="G650" s="67" t="s">
        <v>2789</v>
      </c>
      <c r="H650" s="69">
        <v>45198</v>
      </c>
      <c r="I650" s="69" t="s">
        <v>73</v>
      </c>
      <c r="J650" s="69" t="s">
        <v>35</v>
      </c>
      <c r="K650" s="67">
        <f>IFERROR(VLOOKUP(J650,Jueces!$A$1:$B$11,2,FALSE),"")</f>
        <v>3</v>
      </c>
      <c r="L650" s="67" t="s">
        <v>802</v>
      </c>
      <c r="M650" s="67" t="s">
        <v>2735</v>
      </c>
      <c r="N650" s="67" t="s">
        <v>577</v>
      </c>
      <c r="O650" s="67" t="str">
        <f t="shared" ca="1" si="37"/>
        <v>SI</v>
      </c>
      <c r="P650" s="67" t="str">
        <f t="shared" si="40"/>
        <v>DIANOSOL</v>
      </c>
      <c r="Q650" s="67" t="s">
        <v>151</v>
      </c>
      <c r="R650" s="67" t="str">
        <f>VLOOKUP($Q650,Resultados!$A$1:$B$49,2,FALSE)</f>
        <v>Prisión Preventiva</v>
      </c>
      <c r="S650" s="67" t="s">
        <v>1587</v>
      </c>
      <c r="T650" s="77" t="str">
        <f t="shared" si="39"/>
        <v>NO</v>
      </c>
      <c r="U650" s="77"/>
      <c r="V650" s="67"/>
      <c r="W650" s="67" t="s">
        <v>1015</v>
      </c>
      <c r="X650" s="67" t="s">
        <v>2897</v>
      </c>
      <c r="Y650" s="67"/>
      <c r="Z650" s="344" t="s">
        <v>2896</v>
      </c>
      <c r="AA650" s="124" t="s">
        <v>1169</v>
      </c>
      <c r="AB650" s="124" t="s">
        <v>1177</v>
      </c>
      <c r="AC650" s="375"/>
    </row>
    <row r="651" spans="1:29" ht="76.5" hidden="1">
      <c r="A651" s="67">
        <v>659</v>
      </c>
      <c r="B651" s="69">
        <v>45188</v>
      </c>
      <c r="C651" s="74">
        <v>0.37986111111111115</v>
      </c>
      <c r="D651" s="67" t="s">
        <v>2811</v>
      </c>
      <c r="E651" s="68" t="s">
        <v>2872</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1246</v>
      </c>
      <c r="T651" s="77" t="str">
        <f t="shared" si="39"/>
        <v>NO</v>
      </c>
      <c r="U651" s="77"/>
      <c r="V651" s="67"/>
      <c r="W651" s="67" t="s">
        <v>1065</v>
      </c>
      <c r="X651" s="67"/>
      <c r="Y651" s="67"/>
      <c r="Z651" s="344" t="s">
        <v>2868</v>
      </c>
      <c r="AA651" s="124" t="s">
        <v>1171</v>
      </c>
      <c r="AB651" s="124" t="s">
        <v>1174</v>
      </c>
      <c r="AC651" s="375"/>
    </row>
    <row r="652" spans="1:29" ht="89.25" hidden="1">
      <c r="A652" s="67">
        <v>669</v>
      </c>
      <c r="B652" s="69">
        <v>45189</v>
      </c>
      <c r="C652" s="74">
        <v>0.4381944444444445</v>
      </c>
      <c r="D652" s="67" t="s">
        <v>2848</v>
      </c>
      <c r="E652" s="68" t="s">
        <v>3062</v>
      </c>
      <c r="F652" s="67">
        <v>8</v>
      </c>
      <c r="G652" s="67" t="s">
        <v>29</v>
      </c>
      <c r="H652" s="69">
        <v>45198</v>
      </c>
      <c r="I652" s="69" t="s">
        <v>73</v>
      </c>
      <c r="J652" s="69" t="s">
        <v>78</v>
      </c>
      <c r="K652" s="67">
        <f>IFERROR(VLOOKUP(J652,Jueces!$A$1:$B$11,2,FALSE),"")</f>
        <v>8</v>
      </c>
      <c r="L652" s="67" t="s">
        <v>791</v>
      </c>
      <c r="M652" s="67" t="s">
        <v>1087</v>
      </c>
      <c r="N652" s="67" t="s">
        <v>3084</v>
      </c>
      <c r="O652" s="67" t="str">
        <f t="shared" ca="1" si="37"/>
        <v>SI</v>
      </c>
      <c r="P652" s="67" t="str">
        <f t="shared" si="40"/>
        <v>DIANOSOL</v>
      </c>
      <c r="Q652" s="67" t="s">
        <v>905</v>
      </c>
      <c r="R652" s="67" t="str">
        <f>VLOOKUP($Q652,Resultados!$A$1:$B$49,2,FALSE)</f>
        <v>Juicio Abreviado</v>
      </c>
      <c r="S652" s="67" t="s">
        <v>1134</v>
      </c>
      <c r="T652" s="77" t="str">
        <f t="shared" si="39"/>
        <v>NO</v>
      </c>
      <c r="U652" s="77"/>
      <c r="V652" s="67"/>
      <c r="W652" s="67" t="s">
        <v>1086</v>
      </c>
      <c r="X652" s="67" t="s">
        <v>2572</v>
      </c>
      <c r="Y652" s="67"/>
      <c r="Z652" s="344" t="s">
        <v>1042</v>
      </c>
      <c r="AA652" s="124" t="s">
        <v>1169</v>
      </c>
      <c r="AB652" s="124" t="s">
        <v>1173</v>
      </c>
      <c r="AC652" s="375"/>
    </row>
    <row r="653" spans="1:29" ht="127.5" hidden="1">
      <c r="A653" s="67">
        <v>651</v>
      </c>
      <c r="B653" s="69">
        <v>45187</v>
      </c>
      <c r="C653" s="74">
        <v>0.43333333333333335</v>
      </c>
      <c r="D653" s="67" t="s">
        <v>2787</v>
      </c>
      <c r="E653" s="68" t="s">
        <v>2788</v>
      </c>
      <c r="F653" s="67">
        <v>8</v>
      </c>
      <c r="G653" s="67" t="s">
        <v>1443</v>
      </c>
      <c r="H653" s="69">
        <v>45198</v>
      </c>
      <c r="I653" s="69" t="s">
        <v>1086</v>
      </c>
      <c r="J653" s="69" t="s">
        <v>1225</v>
      </c>
      <c r="K653" s="67">
        <f>IFERROR(VLOOKUP(J653,Jueces!$A$1:$B$11,2,FALSE),"")</f>
        <v>6</v>
      </c>
      <c r="L653" s="67" t="s">
        <v>2095</v>
      </c>
      <c r="M653" s="67" t="s">
        <v>2829</v>
      </c>
      <c r="N653" s="67" t="s">
        <v>577</v>
      </c>
      <c r="O653" s="67" t="str">
        <f t="shared" ca="1" si="37"/>
        <v>SI</v>
      </c>
      <c r="P653" s="67" t="str">
        <f t="shared" si="40"/>
        <v>DIANOSOL</v>
      </c>
      <c r="Q653" s="67" t="s">
        <v>151</v>
      </c>
      <c r="R653" s="67" t="str">
        <f>VLOOKUP($Q653,Resultados!$A$1:$B$49,2,FALSE)</f>
        <v>Prisión Preventiva</v>
      </c>
      <c r="S653" s="67" t="s">
        <v>1497</v>
      </c>
      <c r="T653" s="77" t="str">
        <f t="shared" si="39"/>
        <v>NO</v>
      </c>
      <c r="U653" s="77"/>
      <c r="V653" s="67"/>
      <c r="W653" s="67" t="s">
        <v>1806</v>
      </c>
      <c r="X653" s="67"/>
      <c r="Y653" s="67"/>
      <c r="Z653" s="344" t="s">
        <v>770</v>
      </c>
      <c r="AA653" s="124" t="s">
        <v>2853</v>
      </c>
      <c r="AB653" s="124" t="s">
        <v>1175</v>
      </c>
      <c r="AC653" s="375"/>
    </row>
    <row r="654" spans="1:29" ht="63.75" hidden="1">
      <c r="A654" s="67">
        <v>658</v>
      </c>
      <c r="B654" s="69">
        <v>45187</v>
      </c>
      <c r="C654" s="74">
        <v>0.54513888888888895</v>
      </c>
      <c r="D654" s="67" t="s">
        <v>2810</v>
      </c>
      <c r="E654" s="68" t="s">
        <v>2891</v>
      </c>
      <c r="F654" s="67">
        <v>8</v>
      </c>
      <c r="G654" s="67" t="s">
        <v>43</v>
      </c>
      <c r="H654" s="69">
        <v>45198</v>
      </c>
      <c r="I654" s="69" t="s">
        <v>1086</v>
      </c>
      <c r="J654" s="69" t="s">
        <v>2952</v>
      </c>
      <c r="K654" s="67" t="s">
        <v>1520</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1538</v>
      </c>
      <c r="T654" s="77" t="str">
        <f t="shared" si="39"/>
        <v>NO</v>
      </c>
      <c r="U654" s="77"/>
      <c r="V654" s="67"/>
      <c r="W654" s="67" t="s">
        <v>75</v>
      </c>
      <c r="X654" s="67"/>
      <c r="Y654" s="67"/>
      <c r="Z654" s="344" t="s">
        <v>2868</v>
      </c>
      <c r="AA654" s="124" t="s">
        <v>1171</v>
      </c>
      <c r="AB654" s="124" t="s">
        <v>1177</v>
      </c>
      <c r="AC654" s="375"/>
    </row>
    <row r="655" spans="1:29" ht="51" hidden="1">
      <c r="A655" s="67">
        <v>672</v>
      </c>
      <c r="B655" s="69">
        <v>45188</v>
      </c>
      <c r="C655" s="74">
        <v>0.53819444444444442</v>
      </c>
      <c r="D655" s="67" t="s">
        <v>2852</v>
      </c>
      <c r="E655" s="68" t="s">
        <v>2854</v>
      </c>
      <c r="F655" s="67">
        <v>8</v>
      </c>
      <c r="G655" s="67" t="s">
        <v>2839</v>
      </c>
      <c r="H655" s="69">
        <v>45198</v>
      </c>
      <c r="I655" s="69" t="s">
        <v>1086</v>
      </c>
      <c r="J655" s="69" t="s">
        <v>1732</v>
      </c>
      <c r="K655" s="67" t="s">
        <v>2305</v>
      </c>
      <c r="L655" s="67" t="s">
        <v>2738</v>
      </c>
      <c r="M655" s="67" t="s">
        <v>887</v>
      </c>
      <c r="N655" s="67" t="s">
        <v>3085</v>
      </c>
      <c r="O655" s="67" t="str">
        <f t="shared" ca="1" si="41"/>
        <v>SI</v>
      </c>
      <c r="P655" s="67" t="str">
        <f t="shared" si="40"/>
        <v>DIANOSOL</v>
      </c>
      <c r="Q655" s="67" t="s">
        <v>905</v>
      </c>
      <c r="R655" s="67" t="str">
        <f>VLOOKUP($Q655,Resultados!$A$1:$B$49,2,FALSE)</f>
        <v>Juicio Abreviado</v>
      </c>
      <c r="S655" s="67" t="s">
        <v>1609</v>
      </c>
      <c r="T655" s="77" t="str">
        <f t="shared" si="39"/>
        <v>NO</v>
      </c>
      <c r="U655" s="77"/>
      <c r="V655" s="67"/>
      <c r="W655" s="67" t="s">
        <v>1337</v>
      </c>
      <c r="X655" s="67" t="s">
        <v>2254</v>
      </c>
      <c r="Y655" s="67"/>
      <c r="Z655" s="344" t="s">
        <v>1041</v>
      </c>
      <c r="AA655" s="124" t="s">
        <v>2853</v>
      </c>
      <c r="AB655" s="124" t="s">
        <v>1174</v>
      </c>
      <c r="AC655" s="375"/>
    </row>
    <row r="656" spans="1:29" ht="48" hidden="1" customHeight="1">
      <c r="A656" s="67">
        <v>660</v>
      </c>
      <c r="B656" s="69">
        <v>45188</v>
      </c>
      <c r="C656" s="74">
        <v>0.48194444444444445</v>
      </c>
      <c r="D656" s="67" t="s">
        <v>2818</v>
      </c>
      <c r="E656" s="68" t="s">
        <v>2890</v>
      </c>
      <c r="F656" s="67">
        <v>8</v>
      </c>
      <c r="G656" s="67" t="s">
        <v>1442</v>
      </c>
      <c r="H656" s="69">
        <v>45198</v>
      </c>
      <c r="I656" s="69" t="s">
        <v>989</v>
      </c>
      <c r="J656" s="69" t="s">
        <v>31</v>
      </c>
      <c r="K656" s="67">
        <f>IFERROR(VLOOKUP(J656,Jueces!$A$1:$B$11,2,FALSE),"")</f>
        <v>2</v>
      </c>
      <c r="L656" s="67" t="s">
        <v>807</v>
      </c>
      <c r="M656" s="67" t="s">
        <v>887</v>
      </c>
      <c r="N656" s="67" t="s">
        <v>3099</v>
      </c>
      <c r="O656" s="67" t="str">
        <f t="shared" ca="1" si="41"/>
        <v>SI</v>
      </c>
      <c r="P656" s="67" t="str">
        <f t="shared" si="40"/>
        <v>DIANOSOL</v>
      </c>
      <c r="Q656" s="67" t="s">
        <v>904</v>
      </c>
      <c r="R656" s="67" t="str">
        <f>VLOOKUP($Q656,Resultados!$A$1:$B$49,2,FALSE)</f>
        <v>Juicio Abreviado</v>
      </c>
      <c r="S656" s="67" t="s">
        <v>228</v>
      </c>
      <c r="T656" s="77" t="str">
        <f t="shared" si="39"/>
        <v>SI</v>
      </c>
      <c r="U656" s="77"/>
      <c r="V656" s="67"/>
      <c r="W656" s="67" t="s">
        <v>2211</v>
      </c>
      <c r="X656" s="67"/>
      <c r="Y656" s="67"/>
      <c r="Z656" s="344" t="s">
        <v>770</v>
      </c>
      <c r="AA656" s="124" t="s">
        <v>1171</v>
      </c>
      <c r="AB656" s="124" t="s">
        <v>1173</v>
      </c>
      <c r="AC656" s="375"/>
    </row>
    <row r="657" spans="1:29" ht="51" hidden="1">
      <c r="A657" s="67">
        <v>670</v>
      </c>
      <c r="B657" s="69">
        <v>45189</v>
      </c>
      <c r="C657" s="74">
        <v>0.4368055555555555</v>
      </c>
      <c r="D657" s="67" t="s">
        <v>2849</v>
      </c>
      <c r="E657" s="68" t="s">
        <v>2850</v>
      </c>
      <c r="F657" s="67">
        <v>8</v>
      </c>
      <c r="G657" s="67" t="s">
        <v>2776</v>
      </c>
      <c r="H657" s="69">
        <v>45198</v>
      </c>
      <c r="I657" s="69" t="s">
        <v>2021</v>
      </c>
      <c r="J657" s="69" t="s">
        <v>33</v>
      </c>
      <c r="K657" s="67">
        <f>IFERROR(VLOOKUP(J657,Jueces!$A$1:$B$11,2,FALSE),"")</f>
        <v>4</v>
      </c>
      <c r="L657" s="67" t="s">
        <v>800</v>
      </c>
      <c r="M657" s="67" t="s">
        <v>2992</v>
      </c>
      <c r="N657" s="67" t="s">
        <v>3097</v>
      </c>
      <c r="O657" s="67" t="str">
        <f t="shared" ca="1" si="41"/>
        <v>SI</v>
      </c>
      <c r="P657" s="67" t="str">
        <f t="shared" si="40"/>
        <v>DIANOSOL</v>
      </c>
      <c r="Q657" s="67" t="s">
        <v>151</v>
      </c>
      <c r="R657" s="67" t="str">
        <f>VLOOKUP($Q657,Resultados!$A$1:$B$49,2,FALSE)</f>
        <v>Prisión Preventiva</v>
      </c>
      <c r="S657" s="67" t="s">
        <v>3098</v>
      </c>
      <c r="T657" s="77" t="str">
        <f t="shared" si="39"/>
        <v>NO</v>
      </c>
      <c r="U657" s="77"/>
      <c r="V657" s="67"/>
      <c r="W657" s="74">
        <v>0.48194444444444445</v>
      </c>
      <c r="X657" s="67"/>
      <c r="Y657" s="67"/>
      <c r="Z657" s="344" t="s">
        <v>2868</v>
      </c>
      <c r="AA657" s="124" t="s">
        <v>2853</v>
      </c>
      <c r="AB657" s="124" t="s">
        <v>1175</v>
      </c>
      <c r="AC657" s="375"/>
    </row>
    <row r="658" spans="1:29" ht="102" hidden="1">
      <c r="A658" s="67">
        <v>628</v>
      </c>
      <c r="B658" s="69">
        <v>45180</v>
      </c>
      <c r="C658" s="74">
        <v>0.44236111111111115</v>
      </c>
      <c r="D658" s="67" t="s">
        <v>2725</v>
      </c>
      <c r="E658" s="68" t="s">
        <v>2726</v>
      </c>
      <c r="F658" s="67">
        <v>7</v>
      </c>
      <c r="G658" s="67" t="s">
        <v>2776</v>
      </c>
      <c r="H658" s="69">
        <v>45201</v>
      </c>
      <c r="I658" s="69" t="s">
        <v>73</v>
      </c>
      <c r="J658" s="69" t="s">
        <v>35</v>
      </c>
      <c r="K658" s="67">
        <f>IFERROR(VLOOKUP(J658,Jueces!$A$1:$B$11,2,FALSE),"")</f>
        <v>3</v>
      </c>
      <c r="L658" s="67" t="s">
        <v>810</v>
      </c>
      <c r="M658" s="67" t="s">
        <v>2769</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30" t="s">
        <v>3122</v>
      </c>
      <c r="Y658" s="67"/>
      <c r="Z658" s="344" t="s">
        <v>1041</v>
      </c>
      <c r="AA658" s="124" t="s">
        <v>1169</v>
      </c>
      <c r="AB658" s="124" t="s">
        <v>1177</v>
      </c>
      <c r="AC658" s="375"/>
    </row>
    <row r="659" spans="1:29" ht="63.75" hidden="1">
      <c r="A659" s="67">
        <v>668</v>
      </c>
      <c r="B659" s="69">
        <v>45189</v>
      </c>
      <c r="C659" s="74">
        <v>0.47430555555555554</v>
      </c>
      <c r="D659" s="67" t="s">
        <v>2847</v>
      </c>
      <c r="E659" s="68" t="s">
        <v>2889</v>
      </c>
      <c r="F659" s="67">
        <v>1</v>
      </c>
      <c r="G659" s="67" t="s">
        <v>2774</v>
      </c>
      <c r="H659" s="69">
        <v>45201</v>
      </c>
      <c r="I659" s="69" t="s">
        <v>73</v>
      </c>
      <c r="J659" s="69" t="s">
        <v>33</v>
      </c>
      <c r="K659" s="67">
        <f>IFERROR(VLOOKUP(J659,Jueces!$A$1:$B$11,2,FALSE),"")</f>
        <v>4</v>
      </c>
      <c r="L659" s="67" t="s">
        <v>809</v>
      </c>
      <c r="M659" s="67" t="s">
        <v>3020</v>
      </c>
      <c r="N659" s="67" t="s">
        <v>3126</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30" t="s">
        <v>3127</v>
      </c>
      <c r="Y659" s="67"/>
      <c r="Z659" s="344" t="s">
        <v>2868</v>
      </c>
      <c r="AA659" s="124" t="s">
        <v>1171</v>
      </c>
      <c r="AB659" s="124" t="s">
        <v>1174</v>
      </c>
      <c r="AC659" s="375"/>
    </row>
    <row r="660" spans="1:29" ht="39.950000000000003" hidden="1" customHeight="1">
      <c r="A660" s="67">
        <v>691</v>
      </c>
      <c r="B660" s="69">
        <v>45191</v>
      </c>
      <c r="C660" s="74">
        <v>0.48749999999999999</v>
      </c>
      <c r="D660" s="67" t="s">
        <v>2930</v>
      </c>
      <c r="E660" s="68" t="s">
        <v>3027</v>
      </c>
      <c r="F660" s="67">
        <v>5</v>
      </c>
      <c r="G660" s="67" t="s">
        <v>1443</v>
      </c>
      <c r="H660" s="69">
        <v>45201</v>
      </c>
      <c r="I660" s="69" t="s">
        <v>73</v>
      </c>
      <c r="J660" s="69" t="s">
        <v>78</v>
      </c>
      <c r="K660" s="67">
        <f>IFERROR(VLOOKUP(J660,Jueces!$A$1:$B$11,2,FALSE),"")</f>
        <v>8</v>
      </c>
      <c r="L660" s="67" t="s">
        <v>1306</v>
      </c>
      <c r="M660" s="67" t="s">
        <v>767</v>
      </c>
      <c r="N660" s="156" t="s">
        <v>2570</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3129</v>
      </c>
      <c r="Y660" s="67"/>
      <c r="Z660" s="344" t="s">
        <v>2896</v>
      </c>
      <c r="AA660" s="124" t="s">
        <v>2853</v>
      </c>
      <c r="AB660" s="124" t="s">
        <v>1175</v>
      </c>
      <c r="AC660" s="375"/>
    </row>
    <row r="661" spans="1:29" ht="39.950000000000003" hidden="1" customHeight="1">
      <c r="A661" s="67">
        <v>701</v>
      </c>
      <c r="B661" s="69">
        <v>45194</v>
      </c>
      <c r="C661" s="74">
        <v>0.47152777777777777</v>
      </c>
      <c r="D661" s="67" t="s">
        <v>2972</v>
      </c>
      <c r="E661" s="68" t="s">
        <v>3108</v>
      </c>
      <c r="F661" s="67">
        <v>7</v>
      </c>
      <c r="G661" s="67" t="s">
        <v>43</v>
      </c>
      <c r="H661" s="69">
        <v>45201</v>
      </c>
      <c r="I661" s="69" t="s">
        <v>73</v>
      </c>
      <c r="J661" s="69" t="s">
        <v>1732</v>
      </c>
      <c r="K661" s="67" t="s">
        <v>1346</v>
      </c>
      <c r="L661" s="67" t="s">
        <v>1502</v>
      </c>
      <c r="M661" s="67" t="s">
        <v>2569</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44" t="s">
        <v>748</v>
      </c>
      <c r="AA661" s="124" t="s">
        <v>1171</v>
      </c>
      <c r="AB661" s="124" t="s">
        <v>1177</v>
      </c>
      <c r="AC661" s="375"/>
    </row>
    <row r="662" spans="1:29" ht="39.950000000000003" hidden="1" customHeight="1">
      <c r="A662" s="67">
        <v>639</v>
      </c>
      <c r="B662" s="69">
        <v>45181</v>
      </c>
      <c r="C662" s="74">
        <v>0.46666666666666662</v>
      </c>
      <c r="D662" s="67" t="s">
        <v>2756</v>
      </c>
      <c r="E662" s="68" t="s">
        <v>2757</v>
      </c>
      <c r="F662" s="67">
        <v>8</v>
      </c>
      <c r="G662" s="67" t="s">
        <v>2789</v>
      </c>
      <c r="H662" s="69">
        <v>45201</v>
      </c>
      <c r="I662" s="69" t="s">
        <v>1086</v>
      </c>
      <c r="J662" s="69" t="s">
        <v>33</v>
      </c>
      <c r="K662" s="67">
        <f>IFERROR(VLOOKUP(J662,Jueces!$A$1:$B$11,2,FALSE),"")</f>
        <v>4</v>
      </c>
      <c r="L662" s="67" t="s">
        <v>800</v>
      </c>
      <c r="M662" s="67" t="s">
        <v>697</v>
      </c>
      <c r="N662" s="156" t="s">
        <v>3128</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1766</v>
      </c>
      <c r="Y662" s="67"/>
      <c r="Z662" s="344" t="s">
        <v>770</v>
      </c>
      <c r="AA662" s="124" t="s">
        <v>1169</v>
      </c>
      <c r="AB662" s="124" t="s">
        <v>1173</v>
      </c>
      <c r="AC662" s="375"/>
    </row>
    <row r="663" spans="1:29" ht="39.950000000000003" hidden="1" customHeight="1">
      <c r="A663" s="67">
        <v>677</v>
      </c>
      <c r="B663" s="69">
        <v>45190</v>
      </c>
      <c r="C663" s="74">
        <v>0.33333333333333331</v>
      </c>
      <c r="D663" s="67" t="s">
        <v>2929</v>
      </c>
      <c r="E663" s="68" t="s">
        <v>2881</v>
      </c>
      <c r="F663" s="67">
        <v>1</v>
      </c>
      <c r="G663" s="67" t="s">
        <v>2839</v>
      </c>
      <c r="H663" s="69">
        <v>45201</v>
      </c>
      <c r="I663" s="69" t="s">
        <v>1086</v>
      </c>
      <c r="J663" s="69" t="s">
        <v>35</v>
      </c>
      <c r="K663" s="67">
        <f>IFERROR(VLOOKUP(J663,Jueces!$A$1:$B$11,2,FALSE),"")</f>
        <v>3</v>
      </c>
      <c r="L663" s="67" t="s">
        <v>3123</v>
      </c>
      <c r="M663" s="67" t="s">
        <v>711</v>
      </c>
      <c r="N663" s="67" t="s">
        <v>3124</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4" t="s">
        <v>3125</v>
      </c>
      <c r="Y663" s="67"/>
      <c r="Z663" s="344" t="s">
        <v>1041</v>
      </c>
      <c r="AA663" s="67" t="s">
        <v>3063</v>
      </c>
      <c r="AB663" s="124" t="s">
        <v>1175</v>
      </c>
      <c r="AC663" s="375"/>
    </row>
    <row r="664" spans="1:29" ht="39.950000000000003" hidden="1" customHeight="1">
      <c r="A664" s="67">
        <v>636</v>
      </c>
      <c r="B664" s="69">
        <v>45181</v>
      </c>
      <c r="C664" s="74">
        <v>0.49513888888888885</v>
      </c>
      <c r="D664" s="67" t="s">
        <v>2750</v>
      </c>
      <c r="E664" s="68" t="s">
        <v>2751</v>
      </c>
      <c r="F664" s="67">
        <v>8</v>
      </c>
      <c r="G664" s="67" t="s">
        <v>2839</v>
      </c>
      <c r="H664" s="69">
        <v>45202</v>
      </c>
      <c r="I664" s="69" t="s">
        <v>73</v>
      </c>
      <c r="J664" s="69" t="s">
        <v>1221</v>
      </c>
      <c r="K664" s="67">
        <f>IFERROR(VLOOKUP(J664,Jueces!$A$1:$B$11,2,FALSE),"")</f>
        <v>7</v>
      </c>
      <c r="L664" s="67" t="s">
        <v>813</v>
      </c>
      <c r="M664" s="67" t="s">
        <v>767</v>
      </c>
      <c r="N664" s="7" t="s">
        <v>3135</v>
      </c>
      <c r="O664" s="67" t="str">
        <f t="shared" ca="1" si="41"/>
        <v>SI</v>
      </c>
      <c r="P664" s="67" t="str">
        <f t="shared" si="40"/>
        <v>DIANOSOL</v>
      </c>
      <c r="Q664" s="67" t="s">
        <v>151</v>
      </c>
      <c r="R664" s="67" t="s">
        <v>151</v>
      </c>
      <c r="S664" s="67" t="s">
        <v>3136</v>
      </c>
      <c r="T664" s="77" t="str">
        <f t="shared" si="42"/>
        <v>NO</v>
      </c>
      <c r="U664" s="77"/>
      <c r="V664" s="67"/>
      <c r="W664" s="67" t="s">
        <v>76</v>
      </c>
      <c r="X664" s="7" t="s">
        <v>3137</v>
      </c>
      <c r="Y664" s="67"/>
      <c r="Z664" s="355" t="s">
        <v>2896</v>
      </c>
      <c r="AA664" s="355" t="s">
        <v>1171</v>
      </c>
      <c r="AB664" s="344" t="s">
        <v>1174</v>
      </c>
      <c r="AC664" s="375"/>
    </row>
    <row r="665" spans="1:29" ht="39.950000000000003" hidden="1" customHeight="1">
      <c r="A665" s="67">
        <v>643</v>
      </c>
      <c r="B665" s="69">
        <v>45187</v>
      </c>
      <c r="C665" s="74">
        <v>0.33333333333333331</v>
      </c>
      <c r="D665" s="67" t="s">
        <v>2772</v>
      </c>
      <c r="E665" s="68" t="s">
        <v>2773</v>
      </c>
      <c r="F665" s="67">
        <v>8</v>
      </c>
      <c r="G665" s="67" t="s">
        <v>29</v>
      </c>
      <c r="H665" s="69">
        <v>45202</v>
      </c>
      <c r="I665" s="69" t="s">
        <v>73</v>
      </c>
      <c r="J665" s="69" t="s">
        <v>78</v>
      </c>
      <c r="K665" s="67">
        <f>IFERROR(VLOOKUP(J665,Jueces!$A$1:$B$11,2,FALSE),"")</f>
        <v>8</v>
      </c>
      <c r="L665" s="67" t="s">
        <v>244</v>
      </c>
      <c r="M665" s="67" t="s">
        <v>887</v>
      </c>
      <c r="N665" s="7" t="s">
        <v>3140</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1746</v>
      </c>
      <c r="X665" s="67" t="s">
        <v>2572</v>
      </c>
      <c r="Y665" s="67"/>
      <c r="Z665" s="355" t="s">
        <v>1042</v>
      </c>
      <c r="AA665" s="355" t="s">
        <v>2853</v>
      </c>
      <c r="AB665" s="344" t="s">
        <v>1173</v>
      </c>
      <c r="AC665" s="375"/>
    </row>
    <row r="666" spans="1:29" ht="39.950000000000003" hidden="1" customHeight="1">
      <c r="A666" s="67">
        <v>665</v>
      </c>
      <c r="B666" s="69">
        <v>45189</v>
      </c>
      <c r="C666" s="74">
        <v>0.35972222222222222</v>
      </c>
      <c r="D666" s="67" t="s">
        <v>2841</v>
      </c>
      <c r="E666" s="68" t="s">
        <v>3010</v>
      </c>
      <c r="F666" s="67">
        <v>1</v>
      </c>
      <c r="G666" s="67" t="s">
        <v>1443</v>
      </c>
      <c r="H666" s="69">
        <v>45202</v>
      </c>
      <c r="I666" s="69" t="s">
        <v>73</v>
      </c>
      <c r="J666" s="69" t="s">
        <v>2952</v>
      </c>
      <c r="K666" s="67" t="s">
        <v>1926</v>
      </c>
      <c r="L666" s="67" t="s">
        <v>807</v>
      </c>
      <c r="M666" s="67" t="s">
        <v>711</v>
      </c>
      <c r="N666" s="67" t="s">
        <v>3134</v>
      </c>
      <c r="O666" s="67" t="str">
        <f t="shared" ca="1" si="41"/>
        <v>SI</v>
      </c>
      <c r="P666" s="67" t="str">
        <f t="shared" si="40"/>
        <v>DIANOSOL</v>
      </c>
      <c r="Q666" s="67" t="s">
        <v>151</v>
      </c>
      <c r="R666" s="67" t="str">
        <f>VLOOKUP($Q666,Resultados!$A$1:$B$49,2,FALSE)</f>
        <v>Prisión Preventiva</v>
      </c>
      <c r="S666" s="67" t="s">
        <v>1134</v>
      </c>
      <c r="T666" s="77" t="str">
        <f t="shared" si="42"/>
        <v>NO</v>
      </c>
      <c r="U666" s="77"/>
      <c r="V666" s="67"/>
      <c r="W666" s="67" t="s">
        <v>1231</v>
      </c>
      <c r="X666" s="67" t="s">
        <v>2985</v>
      </c>
      <c r="Y666" s="67"/>
      <c r="Z666" s="355" t="s">
        <v>1041</v>
      </c>
      <c r="AA666" s="355" t="s">
        <v>1171</v>
      </c>
      <c r="AB666" s="344" t="s">
        <v>1174</v>
      </c>
      <c r="AC666" s="375"/>
    </row>
    <row r="667" spans="1:29" ht="39.950000000000003" hidden="1" customHeight="1">
      <c r="A667" s="67">
        <v>682</v>
      </c>
      <c r="B667" s="69"/>
      <c r="C667" s="67"/>
      <c r="D667" s="67" t="s">
        <v>2902</v>
      </c>
      <c r="E667" s="68" t="s">
        <v>2903</v>
      </c>
      <c r="F667" s="67">
        <v>1</v>
      </c>
      <c r="G667" s="67" t="s">
        <v>2775</v>
      </c>
      <c r="H667" s="69">
        <v>45202</v>
      </c>
      <c r="I667" s="69" t="s">
        <v>73</v>
      </c>
      <c r="J667" s="69" t="s">
        <v>33</v>
      </c>
      <c r="K667" s="67">
        <f>IFERROR(VLOOKUP(J667,Jueces!$A$1:$B$11,2,FALSE),"")</f>
        <v>4</v>
      </c>
      <c r="L667" s="67" t="s">
        <v>803</v>
      </c>
      <c r="M667" s="67" t="s">
        <v>1386</v>
      </c>
      <c r="N667" s="67" t="s">
        <v>3138</v>
      </c>
      <c r="O667" s="67" t="str">
        <f t="shared" ca="1" si="41"/>
        <v>SI</v>
      </c>
      <c r="P667" s="67" t="str">
        <f t="shared" si="40"/>
        <v>DIANOSOL</v>
      </c>
      <c r="Q667" s="67" t="s">
        <v>151</v>
      </c>
      <c r="R667" s="67" t="str">
        <f>VLOOKUP($Q667,Resultados!$A$1:$B$49,2,FALSE)</f>
        <v>Prisión Preventiva</v>
      </c>
      <c r="S667" s="67" t="s">
        <v>3139</v>
      </c>
      <c r="T667" s="77" t="str">
        <f t="shared" si="42"/>
        <v>NO</v>
      </c>
      <c r="U667" s="77"/>
      <c r="V667" s="67"/>
      <c r="W667" s="67" t="s">
        <v>1018</v>
      </c>
      <c r="X667" s="67"/>
      <c r="Y667" s="67"/>
      <c r="Z667" s="355" t="s">
        <v>748</v>
      </c>
      <c r="AA667" s="355" t="s">
        <v>1169</v>
      </c>
      <c r="AB667" s="344" t="s">
        <v>1175</v>
      </c>
      <c r="AC667" s="375"/>
    </row>
    <row r="668" spans="1:29" ht="39.950000000000003" hidden="1" customHeight="1">
      <c r="A668" s="67">
        <v>695</v>
      </c>
      <c r="B668" s="69">
        <v>45191</v>
      </c>
      <c r="C668" s="74">
        <v>0.54166666666666663</v>
      </c>
      <c r="D668" s="67" t="s">
        <v>2938</v>
      </c>
      <c r="E668" s="68" t="s">
        <v>2978</v>
      </c>
      <c r="F668" s="67">
        <v>8</v>
      </c>
      <c r="G668" s="67" t="s">
        <v>283</v>
      </c>
      <c r="H668" s="69">
        <v>45202</v>
      </c>
      <c r="I668" s="69" t="s">
        <v>73</v>
      </c>
      <c r="J668" s="69" t="s">
        <v>1220</v>
      </c>
      <c r="K668" s="67">
        <f>IFERROR(VLOOKUP(J668,Jueces!$A$1:$B$11,2,FALSE),"")</f>
        <v>1</v>
      </c>
      <c r="L668" s="67" t="s">
        <v>798</v>
      </c>
      <c r="M668" s="67" t="s">
        <v>1087</v>
      </c>
      <c r="N668" s="67" t="s">
        <v>3144</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1538</v>
      </c>
      <c r="X668" s="67" t="s">
        <v>3145</v>
      </c>
      <c r="Y668" s="67"/>
      <c r="Z668" s="355" t="s">
        <v>770</v>
      </c>
      <c r="AA668" s="355" t="s">
        <v>2853</v>
      </c>
      <c r="AB668" s="344" t="s">
        <v>1177</v>
      </c>
      <c r="AC668" s="375"/>
    </row>
    <row r="669" spans="1:29" ht="39.950000000000003" hidden="1" customHeight="1">
      <c r="A669" s="67">
        <v>626</v>
      </c>
      <c r="B669" s="69">
        <v>45180</v>
      </c>
      <c r="C669" s="74">
        <v>0.39027777777777778</v>
      </c>
      <c r="D669" s="67" t="s">
        <v>2722</v>
      </c>
      <c r="E669" s="68" t="s">
        <v>2817</v>
      </c>
      <c r="F669" s="67">
        <v>8</v>
      </c>
      <c r="G669" s="67" t="s">
        <v>568</v>
      </c>
      <c r="H669" s="69">
        <v>45202</v>
      </c>
      <c r="I669" s="69" t="s">
        <v>1086</v>
      </c>
      <c r="J669" s="69" t="s">
        <v>78</v>
      </c>
      <c r="K669" s="67">
        <f>IFERROR(VLOOKUP(J669,Jueces!$A$1:$B$11,2,FALSE),"")</f>
        <v>8</v>
      </c>
      <c r="L669" s="67" t="s">
        <v>791</v>
      </c>
      <c r="M669" s="67" t="s">
        <v>887</v>
      </c>
      <c r="N669" s="67" t="s">
        <v>3142</v>
      </c>
      <c r="O669" s="67" t="str">
        <f t="shared" ca="1" si="41"/>
        <v>SI</v>
      </c>
      <c r="P669" s="67" t="str">
        <f t="shared" si="40"/>
        <v>DIANOSOL</v>
      </c>
      <c r="Q669" s="67" t="s">
        <v>151</v>
      </c>
      <c r="R669" s="67" t="str">
        <f>VLOOKUP($Q669,Resultados!$A$1:$B$49,2,FALSE)</f>
        <v>Prisión Preventiva</v>
      </c>
      <c r="S669" s="67" t="s">
        <v>3143</v>
      </c>
      <c r="T669" s="77" t="str">
        <f t="shared" si="42"/>
        <v>NO</v>
      </c>
      <c r="U669" s="77"/>
      <c r="V669" s="67"/>
      <c r="W669" s="67" t="s">
        <v>1802</v>
      </c>
      <c r="X669" s="67" t="s">
        <v>2907</v>
      </c>
      <c r="Y669" s="67"/>
      <c r="Z669" s="355" t="s">
        <v>1042</v>
      </c>
      <c r="AA669" s="355" t="s">
        <v>1169</v>
      </c>
      <c r="AB669" s="344" t="s">
        <v>1177</v>
      </c>
      <c r="AC669" s="375"/>
    </row>
    <row r="670" spans="1:29" ht="39.950000000000003" hidden="1" customHeight="1">
      <c r="A670" s="67">
        <v>654</v>
      </c>
      <c r="B670" s="69">
        <v>45187</v>
      </c>
      <c r="C670" s="74">
        <v>0.50138888888888888</v>
      </c>
      <c r="D670" s="67" t="s">
        <v>2803</v>
      </c>
      <c r="E670" s="68" t="s">
        <v>3133</v>
      </c>
      <c r="F670" s="67">
        <v>8</v>
      </c>
      <c r="G670" s="67" t="s">
        <v>2774</v>
      </c>
      <c r="H670" s="69">
        <v>45202</v>
      </c>
      <c r="I670" s="69" t="s">
        <v>1086</v>
      </c>
      <c r="J670" s="69" t="s">
        <v>33</v>
      </c>
      <c r="K670" s="67">
        <f>IFERROR(VLOOKUP(J670,Jueces!$A$1:$B$11,2,FALSE),"")</f>
        <v>4</v>
      </c>
      <c r="L670" s="67" t="s">
        <v>789</v>
      </c>
      <c r="M670" s="67" t="s">
        <v>1087</v>
      </c>
      <c r="N670" s="67" t="s">
        <v>3141</v>
      </c>
      <c r="O670" s="67" t="str">
        <f t="shared" ca="1" si="41"/>
        <v>SI</v>
      </c>
      <c r="P670" s="67" t="str">
        <f t="shared" si="40"/>
        <v>DIANOSOL</v>
      </c>
      <c r="Q670" s="67" t="s">
        <v>904</v>
      </c>
      <c r="R670" s="67" t="str">
        <f>VLOOKUP($Q670,Resultados!$A$1:$B$49,2,FALSE)</f>
        <v>Juicio Abreviado</v>
      </c>
      <c r="S670" s="67" t="s">
        <v>2708</v>
      </c>
      <c r="T670" s="77" t="str">
        <f t="shared" si="42"/>
        <v>NO</v>
      </c>
      <c r="U670" s="77"/>
      <c r="V670" s="67"/>
      <c r="W670" s="67" t="s">
        <v>1243</v>
      </c>
      <c r="X670" s="67"/>
      <c r="Y670" s="67"/>
      <c r="Z670" s="355" t="s">
        <v>2868</v>
      </c>
      <c r="AA670" s="355" t="s">
        <v>1171</v>
      </c>
      <c r="AB670" s="344" t="s">
        <v>1173</v>
      </c>
      <c r="AC670" s="375"/>
    </row>
    <row r="671" spans="1:29" ht="39.950000000000003" hidden="1" customHeight="1">
      <c r="A671" s="67">
        <v>664</v>
      </c>
      <c r="B671" s="69">
        <v>45189</v>
      </c>
      <c r="C671" s="74">
        <v>0.33333333333333331</v>
      </c>
      <c r="D671" s="67" t="s">
        <v>2840</v>
      </c>
      <c r="E671" s="68" t="s">
        <v>2926</v>
      </c>
      <c r="F671" s="67">
        <v>1</v>
      </c>
      <c r="G671" s="67" t="s">
        <v>2789</v>
      </c>
      <c r="H671" s="69">
        <v>45202</v>
      </c>
      <c r="I671" s="69" t="s">
        <v>1086</v>
      </c>
      <c r="J671" s="69" t="s">
        <v>35</v>
      </c>
      <c r="K671" s="67">
        <f>IFERROR(VLOOKUP(J671,Jueces!$A$1:$B$11,2,FALSE),"")</f>
        <v>3</v>
      </c>
      <c r="L671" s="67" t="s">
        <v>813</v>
      </c>
      <c r="M671" s="67" t="s">
        <v>711</v>
      </c>
      <c r="N671" s="67" t="s">
        <v>3156</v>
      </c>
      <c r="O671" s="67" t="str">
        <f t="shared" ca="1" si="41"/>
        <v>SI</v>
      </c>
      <c r="P671" s="67" t="str">
        <f t="shared" si="40"/>
        <v>DIANOSOL</v>
      </c>
      <c r="Q671" s="67" t="s">
        <v>151</v>
      </c>
      <c r="R671" s="67" t="str">
        <f>VLOOKUP($Q671,Resultados!$A$1:$B$49,2,FALSE)</f>
        <v>Prisión Preventiva</v>
      </c>
      <c r="S671" s="67" t="s">
        <v>3157</v>
      </c>
      <c r="T671" s="77" t="str">
        <f t="shared" si="42"/>
        <v>NO</v>
      </c>
      <c r="U671" s="77"/>
      <c r="V671" s="67"/>
      <c r="W671" s="67" t="s">
        <v>3158</v>
      </c>
      <c r="X671" s="67" t="s">
        <v>3159</v>
      </c>
      <c r="Y671" s="67"/>
      <c r="Z671" s="355" t="s">
        <v>2896</v>
      </c>
      <c r="AA671" s="355" t="s">
        <v>1169</v>
      </c>
      <c r="AB671" s="344" t="s">
        <v>1175</v>
      </c>
      <c r="AC671" s="379"/>
    </row>
    <row r="672" spans="1:29" ht="39.950000000000003" hidden="1" customHeight="1">
      <c r="A672" s="67">
        <v>687</v>
      </c>
      <c r="B672" s="69">
        <v>45190</v>
      </c>
      <c r="C672" s="74">
        <v>0.45208333333333334</v>
      </c>
      <c r="D672" s="67" t="s">
        <v>2917</v>
      </c>
      <c r="E672" s="68" t="s">
        <v>2919</v>
      </c>
      <c r="F672" s="67">
        <v>8</v>
      </c>
      <c r="G672" s="67" t="s">
        <v>1441</v>
      </c>
      <c r="H672" s="69">
        <v>45202</v>
      </c>
      <c r="I672" s="69" t="s">
        <v>989</v>
      </c>
      <c r="J672" s="69" t="s">
        <v>1221</v>
      </c>
      <c r="K672" s="67" t="s">
        <v>1926</v>
      </c>
      <c r="L672" s="67" t="s">
        <v>811</v>
      </c>
      <c r="M672" s="67" t="s">
        <v>1087</v>
      </c>
      <c r="N672" s="67" t="s">
        <v>3161</v>
      </c>
      <c r="O672" s="67" t="str">
        <f t="shared" ca="1" si="41"/>
        <v>SI</v>
      </c>
      <c r="P672" s="67" t="str">
        <f t="shared" si="40"/>
        <v>DIANOSOL</v>
      </c>
      <c r="Q672" s="67" t="s">
        <v>151</v>
      </c>
      <c r="R672" s="67" t="str">
        <f>VLOOKUP($Q672,Resultados!$A$1:$B$49,2,FALSE)</f>
        <v>Prisión Preventiva</v>
      </c>
      <c r="S672" s="67" t="s">
        <v>3162</v>
      </c>
      <c r="T672" s="77" t="str">
        <f t="shared" si="42"/>
        <v>NO</v>
      </c>
      <c r="U672" s="77"/>
      <c r="V672" s="67"/>
      <c r="W672" s="67" t="s">
        <v>1040</v>
      </c>
      <c r="X672" s="67" t="s">
        <v>2985</v>
      </c>
      <c r="Y672" s="67"/>
      <c r="Z672" s="355" t="s">
        <v>743</v>
      </c>
      <c r="AA672" s="355" t="s">
        <v>2853</v>
      </c>
      <c r="AB672" s="344" t="s">
        <v>3115</v>
      </c>
      <c r="AC672" s="375"/>
    </row>
    <row r="673" spans="1:29" ht="39.950000000000003" hidden="1" customHeight="1">
      <c r="A673" s="67">
        <v>678</v>
      </c>
      <c r="B673" s="69">
        <v>45190</v>
      </c>
      <c r="C673" s="74">
        <v>0.33333333333333331</v>
      </c>
      <c r="D673" s="67" t="s">
        <v>2882</v>
      </c>
      <c r="E673" s="68" t="s">
        <v>2925</v>
      </c>
      <c r="F673" s="67">
        <v>1</v>
      </c>
      <c r="G673" s="67" t="s">
        <v>568</v>
      </c>
      <c r="H673" s="69">
        <v>45203</v>
      </c>
      <c r="I673" s="69" t="s">
        <v>73</v>
      </c>
      <c r="J673" s="69" t="s">
        <v>1221</v>
      </c>
      <c r="K673" s="67" t="s">
        <v>1926</v>
      </c>
      <c r="L673" s="67" t="s">
        <v>813</v>
      </c>
      <c r="M673" s="67" t="s">
        <v>711</v>
      </c>
      <c r="N673" s="67" t="s">
        <v>577</v>
      </c>
      <c r="O673" s="67" t="str">
        <f t="shared" ca="1" si="41"/>
        <v>SI</v>
      </c>
      <c r="P673" s="67" t="str">
        <f t="shared" si="40"/>
        <v>DIANOSOL</v>
      </c>
      <c r="Q673" s="67" t="s">
        <v>151</v>
      </c>
      <c r="R673" s="67" t="str">
        <f>VLOOKUP($Q673,Resultados!$A$1:$B$49,2,FALSE)</f>
        <v>Prisión Preventiva</v>
      </c>
      <c r="S673" s="67" t="s">
        <v>2422</v>
      </c>
      <c r="T673" s="77" t="str">
        <f t="shared" si="42"/>
        <v>NO</v>
      </c>
      <c r="U673" s="77"/>
      <c r="V673" s="67"/>
      <c r="W673" s="67" t="s">
        <v>1747</v>
      </c>
      <c r="X673" s="67" t="s">
        <v>2383</v>
      </c>
      <c r="Y673" s="67"/>
      <c r="Z673" s="355" t="s">
        <v>1042</v>
      </c>
      <c r="AA673" s="124" t="s">
        <v>1169</v>
      </c>
      <c r="AB673" s="124" t="s">
        <v>1173</v>
      </c>
      <c r="AC673" s="375"/>
    </row>
    <row r="674" spans="1:29" ht="39.950000000000003" hidden="1" customHeight="1">
      <c r="A674" s="67">
        <v>681</v>
      </c>
      <c r="B674" s="69">
        <v>45190</v>
      </c>
      <c r="C674" s="74">
        <v>0.40625</v>
      </c>
      <c r="D674" s="67" t="s">
        <v>2886</v>
      </c>
      <c r="E674" s="68" t="s">
        <v>3008</v>
      </c>
      <c r="F674" s="67">
        <v>8</v>
      </c>
      <c r="G674" s="67" t="s">
        <v>283</v>
      </c>
      <c r="H674" s="69">
        <v>45203</v>
      </c>
      <c r="I674" s="69" t="s">
        <v>73</v>
      </c>
      <c r="J674" s="69" t="s">
        <v>2955</v>
      </c>
      <c r="K674" s="67" t="s">
        <v>2305</v>
      </c>
      <c r="L674" s="67" t="s">
        <v>791</v>
      </c>
      <c r="M674" s="67" t="s">
        <v>3009</v>
      </c>
      <c r="N674" s="67" t="s">
        <v>2983</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1392</v>
      </c>
      <c r="X674" s="67" t="s">
        <v>3196</v>
      </c>
      <c r="Y674" s="67"/>
      <c r="Z674" s="355" t="s">
        <v>748</v>
      </c>
      <c r="AA674" s="124" t="s">
        <v>1171</v>
      </c>
      <c r="AB674" s="124" t="s">
        <v>1175</v>
      </c>
      <c r="AC674" s="375"/>
    </row>
    <row r="675" spans="1:29" ht="39.950000000000003" hidden="1" customHeight="1">
      <c r="A675" s="67">
        <v>686</v>
      </c>
      <c r="B675" s="69">
        <v>45191</v>
      </c>
      <c r="C675" s="74">
        <v>0.33333333333333331</v>
      </c>
      <c r="D675" s="67" t="s">
        <v>2916</v>
      </c>
      <c r="E675" s="68" t="s">
        <v>3132</v>
      </c>
      <c r="F675" s="67">
        <v>6</v>
      </c>
      <c r="G675" s="67" t="s">
        <v>43</v>
      </c>
      <c r="H675" s="69">
        <v>45203</v>
      </c>
      <c r="I675" s="69" t="s">
        <v>73</v>
      </c>
      <c r="J675" s="69" t="s">
        <v>78</v>
      </c>
      <c r="K675" s="67">
        <f>IFERROR(VLOOKUP(J675,Jueces!$A$1:$B$11,2,FALSE),"")</f>
        <v>8</v>
      </c>
      <c r="L675" s="67" t="s">
        <v>789</v>
      </c>
      <c r="M675" s="67" t="s">
        <v>887</v>
      </c>
      <c r="N675" s="67" t="s">
        <v>3195</v>
      </c>
      <c r="O675" s="67" t="str">
        <f t="shared" ca="1" si="41"/>
        <v>SI</v>
      </c>
      <c r="P675" s="67" t="str">
        <f t="shared" si="40"/>
        <v>DIANOSOL</v>
      </c>
      <c r="Q675" s="67" t="s">
        <v>904</v>
      </c>
      <c r="R675" s="67" t="str">
        <f>VLOOKUP($Q675,Resultados!$A$1:$B$49,2,FALSE)</f>
        <v>Juicio Abreviado</v>
      </c>
      <c r="S675" s="67" t="s">
        <v>1292</v>
      </c>
      <c r="T675" s="77" t="str">
        <f t="shared" si="42"/>
        <v>NO</v>
      </c>
      <c r="U675" s="77"/>
      <c r="V675" s="67"/>
      <c r="W675" s="67" t="s">
        <v>76</v>
      </c>
      <c r="X675" s="67" t="s">
        <v>2572</v>
      </c>
      <c r="Y675" s="67"/>
      <c r="Z675" s="355" t="s">
        <v>743</v>
      </c>
      <c r="AA675" s="124" t="s">
        <v>1171</v>
      </c>
      <c r="AB675" s="124" t="s">
        <v>1177</v>
      </c>
      <c r="AC675" s="375"/>
    </row>
    <row r="676" spans="1:29" ht="39.950000000000003" hidden="1" customHeight="1">
      <c r="A676" s="67">
        <v>703</v>
      </c>
      <c r="B676" s="69">
        <v>45194</v>
      </c>
      <c r="C676" s="67" t="s">
        <v>2176</v>
      </c>
      <c r="D676" s="67" t="s">
        <v>2975</v>
      </c>
      <c r="E676" s="68" t="s">
        <v>2997</v>
      </c>
      <c r="F676" s="67">
        <v>8</v>
      </c>
      <c r="G676" s="67" t="s">
        <v>2789</v>
      </c>
      <c r="H676" s="69">
        <v>45203</v>
      </c>
      <c r="I676" s="69" t="s">
        <v>73</v>
      </c>
      <c r="J676" s="69" t="s">
        <v>35</v>
      </c>
      <c r="K676" s="67">
        <f>IFERROR(VLOOKUP(J676,Jueces!$A$1:$B$11,2,FALSE),"")</f>
        <v>3</v>
      </c>
      <c r="L676" s="67" t="s">
        <v>796</v>
      </c>
      <c r="M676" s="67" t="s">
        <v>1087</v>
      </c>
      <c r="N676" s="67" t="s">
        <v>3199</v>
      </c>
      <c r="O676" s="67" t="str">
        <f t="shared" ca="1" si="41"/>
        <v>SI</v>
      </c>
      <c r="P676" s="67" t="str">
        <f t="shared" si="40"/>
        <v>DIANOSOL</v>
      </c>
      <c r="Q676" s="67" t="s">
        <v>151</v>
      </c>
      <c r="R676" s="67" t="s">
        <v>151</v>
      </c>
      <c r="S676" s="67" t="s">
        <v>3136</v>
      </c>
      <c r="T676" s="77" t="str">
        <f t="shared" si="42"/>
        <v>NO</v>
      </c>
      <c r="U676" s="77"/>
      <c r="V676" s="67"/>
      <c r="W676" s="67" t="s">
        <v>3200</v>
      </c>
      <c r="X676" s="67" t="s">
        <v>2383</v>
      </c>
      <c r="Y676" s="67"/>
      <c r="Z676" s="355" t="s">
        <v>770</v>
      </c>
      <c r="AA676" s="124" t="s">
        <v>2853</v>
      </c>
      <c r="AB676" s="124" t="s">
        <v>1174</v>
      </c>
      <c r="AC676" s="375"/>
    </row>
    <row r="677" spans="1:29" ht="39.950000000000003" hidden="1" customHeight="1">
      <c r="A677" s="67">
        <v>656</v>
      </c>
      <c r="B677" s="69">
        <v>45187</v>
      </c>
      <c r="C677" s="74">
        <v>0.52916666666666667</v>
      </c>
      <c r="D677" s="67" t="s">
        <v>2807</v>
      </c>
      <c r="E677" s="68" t="s">
        <v>2971</v>
      </c>
      <c r="F677" s="67">
        <v>8</v>
      </c>
      <c r="G677" s="67" t="s">
        <v>1441</v>
      </c>
      <c r="H677" s="69">
        <v>45203</v>
      </c>
      <c r="I677" s="69" t="s">
        <v>1086</v>
      </c>
      <c r="J677" s="69" t="s">
        <v>1220</v>
      </c>
      <c r="K677" s="67">
        <f>IFERROR(VLOOKUP(J677,Jueces!$A$1:$B$11,2,FALSE),"")</f>
        <v>1</v>
      </c>
      <c r="L677" s="67" t="s">
        <v>1070</v>
      </c>
      <c r="M677" s="67" t="s">
        <v>1087</v>
      </c>
      <c r="N677" s="67" t="s">
        <v>3195</v>
      </c>
      <c r="O677" s="67" t="str">
        <f t="shared" ca="1" si="41"/>
        <v>SI</v>
      </c>
      <c r="P677" s="67" t="str">
        <f t="shared" si="40"/>
        <v>DIANOSOL</v>
      </c>
      <c r="Q677" s="67" t="s">
        <v>904</v>
      </c>
      <c r="R677" s="67" t="str">
        <f>VLOOKUP($Q677,Resultados!$A$1:$B$49,2,FALSE)</f>
        <v>Juicio Abreviado</v>
      </c>
      <c r="S677" s="67" t="s">
        <v>2905</v>
      </c>
      <c r="T677" s="77" t="str">
        <f t="shared" si="42"/>
        <v>NO</v>
      </c>
      <c r="U677" s="77"/>
      <c r="V677" s="67"/>
      <c r="W677" s="67" t="s">
        <v>1536</v>
      </c>
      <c r="X677" s="67" t="s">
        <v>2985</v>
      </c>
      <c r="Y677" s="67"/>
      <c r="Z677" s="355" t="s">
        <v>1042</v>
      </c>
      <c r="AA677" s="124" t="s">
        <v>2853</v>
      </c>
      <c r="AB677" s="124" t="s">
        <v>1174</v>
      </c>
      <c r="AC677" s="375"/>
    </row>
    <row r="678" spans="1:29" ht="39.950000000000003" hidden="1" customHeight="1">
      <c r="A678" s="67">
        <v>674</v>
      </c>
      <c r="B678" s="69">
        <v>45189</v>
      </c>
      <c r="C678" s="74">
        <v>0.54027777777777775</v>
      </c>
      <c r="D678" s="67" t="s">
        <v>2876</v>
      </c>
      <c r="E678" s="68" t="s">
        <v>2877</v>
      </c>
      <c r="F678" s="67">
        <v>8</v>
      </c>
      <c r="G678" s="67" t="s">
        <v>2839</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1536</v>
      </c>
      <c r="T678" s="77" t="str">
        <f t="shared" si="42"/>
        <v>NO</v>
      </c>
      <c r="U678" s="77"/>
      <c r="V678" s="67"/>
      <c r="W678" s="67" t="s">
        <v>1445</v>
      </c>
      <c r="X678" s="67" t="s">
        <v>2572</v>
      </c>
      <c r="Y678" s="67"/>
      <c r="Z678" s="355" t="s">
        <v>1041</v>
      </c>
      <c r="AA678" s="124" t="s">
        <v>1169</v>
      </c>
      <c r="AB678" s="124" t="s">
        <v>1173</v>
      </c>
      <c r="AC678" s="375"/>
    </row>
    <row r="679" spans="1:29" ht="39.950000000000003" hidden="1" customHeight="1">
      <c r="A679" s="67">
        <v>696</v>
      </c>
      <c r="B679" s="69">
        <v>45191</v>
      </c>
      <c r="C679" s="74">
        <v>0.54166666666666663</v>
      </c>
      <c r="D679" s="67" t="s">
        <v>2939</v>
      </c>
      <c r="E679" s="68" t="s">
        <v>2940</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3201</v>
      </c>
      <c r="T679" s="77" t="str">
        <f t="shared" si="42"/>
        <v>NO</v>
      </c>
      <c r="U679" s="77"/>
      <c r="V679" s="67"/>
      <c r="W679" s="67" t="s">
        <v>77</v>
      </c>
      <c r="X679" s="67" t="s">
        <v>3198</v>
      </c>
      <c r="Y679" s="67"/>
      <c r="Z679" s="355" t="s">
        <v>2868</v>
      </c>
      <c r="AA679" s="124" t="s">
        <v>1171</v>
      </c>
      <c r="AB679" s="124" t="s">
        <v>1175</v>
      </c>
      <c r="AC679" s="375"/>
    </row>
    <row r="680" spans="1:29" ht="39.950000000000003" hidden="1" customHeight="1">
      <c r="A680" s="67">
        <v>698</v>
      </c>
      <c r="B680" s="69">
        <v>45191</v>
      </c>
      <c r="C680" s="74">
        <v>0.5493055555555556</v>
      </c>
      <c r="D680" s="67" t="s">
        <v>2943</v>
      </c>
      <c r="E680" s="68" t="s">
        <v>2944</v>
      </c>
      <c r="F680" s="67">
        <v>8</v>
      </c>
      <c r="G680" s="67" t="s">
        <v>2776</v>
      </c>
      <c r="H680" s="69">
        <v>45203</v>
      </c>
      <c r="I680" s="69" t="s">
        <v>1086</v>
      </c>
      <c r="J680" s="69" t="s">
        <v>2952</v>
      </c>
      <c r="K680" s="67" t="s">
        <v>1926</v>
      </c>
      <c r="L680" s="67" t="s">
        <v>2091</v>
      </c>
      <c r="M680" s="67" t="s">
        <v>3020</v>
      </c>
      <c r="N680" s="67" t="s">
        <v>3085</v>
      </c>
      <c r="O680" s="67" t="str">
        <f t="shared" ca="1" si="41"/>
        <v>SI</v>
      </c>
      <c r="P680" s="67" t="str">
        <f t="shared" si="40"/>
        <v>DIANOSOL</v>
      </c>
      <c r="Q680" s="67" t="s">
        <v>905</v>
      </c>
      <c r="R680" s="67" t="str">
        <f>VLOOKUP($Q680,Resultados!$A$1:$B$49,2,FALSE)</f>
        <v>Juicio Abreviado</v>
      </c>
      <c r="S680" s="67" t="s">
        <v>1210</v>
      </c>
      <c r="T680" s="77" t="str">
        <f t="shared" si="42"/>
        <v>NO</v>
      </c>
      <c r="U680" s="77"/>
      <c r="V680" s="67"/>
      <c r="W680" s="67" t="s">
        <v>1229</v>
      </c>
      <c r="X680" s="67" t="s">
        <v>3198</v>
      </c>
      <c r="Y680" s="67"/>
      <c r="Z680" s="355" t="s">
        <v>2896</v>
      </c>
      <c r="AA680" s="124" t="s">
        <v>1169</v>
      </c>
      <c r="AB680" s="124" t="s">
        <v>1177</v>
      </c>
      <c r="AC680" s="375"/>
    </row>
    <row r="681" spans="1:29" ht="39.950000000000003" hidden="1" customHeight="1">
      <c r="A681" s="67">
        <v>578</v>
      </c>
      <c r="B681" s="69">
        <v>45169</v>
      </c>
      <c r="C681" s="74">
        <v>0.35902777777777778</v>
      </c>
      <c r="D681" s="67" t="s">
        <v>2559</v>
      </c>
      <c r="E681" s="68" t="s">
        <v>2830</v>
      </c>
      <c r="F681" s="67">
        <v>6</v>
      </c>
      <c r="G681" s="67" t="s">
        <v>1443</v>
      </c>
      <c r="H681" s="69">
        <v>45204</v>
      </c>
      <c r="I681" s="69" t="s">
        <v>73</v>
      </c>
      <c r="J681" s="69" t="s">
        <v>33</v>
      </c>
      <c r="K681" s="67">
        <f>IFERROR(VLOOKUP(J681,Jueces!$A$1:$B$11,2,FALSE),"")</f>
        <v>4</v>
      </c>
      <c r="L681" s="67" t="s">
        <v>796</v>
      </c>
      <c r="M681" s="67" t="s">
        <v>725</v>
      </c>
      <c r="N681" s="67" t="s">
        <v>3229</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1303</v>
      </c>
      <c r="X681" s="234" t="s">
        <v>2572</v>
      </c>
      <c r="Y681" s="67"/>
      <c r="Z681" s="124" t="s">
        <v>2868</v>
      </c>
      <c r="AA681" s="124" t="s">
        <v>2853</v>
      </c>
      <c r="AB681" s="124" t="s">
        <v>1175</v>
      </c>
      <c r="AC681" s="375"/>
    </row>
    <row r="682" spans="1:29" ht="39.950000000000003" hidden="1" customHeight="1">
      <c r="A682" s="67">
        <v>648</v>
      </c>
      <c r="B682" s="69">
        <v>45187</v>
      </c>
      <c r="C682" s="74">
        <v>0.39027777777777778</v>
      </c>
      <c r="D682" s="67" t="s">
        <v>2783</v>
      </c>
      <c r="E682" s="68" t="s">
        <v>2797</v>
      </c>
      <c r="F682" s="67">
        <v>7</v>
      </c>
      <c r="G682" s="67" t="s">
        <v>568</v>
      </c>
      <c r="H682" s="69">
        <v>45204</v>
      </c>
      <c r="I682" s="69" t="s">
        <v>73</v>
      </c>
      <c r="J682" s="69" t="s">
        <v>35</v>
      </c>
      <c r="K682" s="67">
        <f>IFERROR(VLOOKUP(J682,Jueces!$A$1:$B$11,2,FALSE),"")</f>
        <v>3</v>
      </c>
      <c r="L682" s="67" t="s">
        <v>581</v>
      </c>
      <c r="M682" s="67" t="s">
        <v>783</v>
      </c>
      <c r="N682" s="67" t="s">
        <v>3226</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2708</v>
      </c>
      <c r="X682" s="67" t="s">
        <v>3232</v>
      </c>
      <c r="Y682" s="67"/>
      <c r="Z682" s="124" t="s">
        <v>2896</v>
      </c>
      <c r="AA682" s="124" t="s">
        <v>1169</v>
      </c>
      <c r="AB682" s="124" t="s">
        <v>1177</v>
      </c>
      <c r="AC682" s="375"/>
    </row>
    <row r="683" spans="1:29" ht="39.950000000000003" hidden="1" customHeight="1">
      <c r="A683" s="67">
        <v>673</v>
      </c>
      <c r="B683" s="69">
        <v>45189</v>
      </c>
      <c r="C683" s="74">
        <v>0.5395833333333333</v>
      </c>
      <c r="D683" s="67" t="s">
        <v>2874</v>
      </c>
      <c r="E683" s="68" t="s">
        <v>2875</v>
      </c>
      <c r="F683" s="67">
        <v>7</v>
      </c>
      <c r="G683" s="67" t="s">
        <v>283</v>
      </c>
      <c r="H683" s="69">
        <v>45204</v>
      </c>
      <c r="I683" s="69" t="s">
        <v>73</v>
      </c>
      <c r="J683" s="69" t="s">
        <v>78</v>
      </c>
      <c r="K683" s="67">
        <f>IFERROR(VLOOKUP(J683,Jueces!$A$1:$B$11,2,FALSE),"")</f>
        <v>8</v>
      </c>
      <c r="L683" s="67" t="s">
        <v>814</v>
      </c>
      <c r="M683" s="67" t="s">
        <v>701</v>
      </c>
      <c r="N683" s="67" t="s">
        <v>3228</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2905</v>
      </c>
      <c r="X683" s="67" t="s">
        <v>2572</v>
      </c>
      <c r="Y683" s="67"/>
      <c r="Z683" s="124" t="s">
        <v>748</v>
      </c>
      <c r="AA683" s="124" t="s">
        <v>1169</v>
      </c>
      <c r="AB683" s="124" t="s">
        <v>1174</v>
      </c>
      <c r="AC683" s="375"/>
    </row>
    <row r="684" spans="1:29" ht="39.950000000000003" hidden="1" customHeight="1">
      <c r="A684" s="67">
        <v>684</v>
      </c>
      <c r="B684" s="69">
        <v>45191</v>
      </c>
      <c r="C684" s="74">
        <v>0.34097222222222223</v>
      </c>
      <c r="D684" s="67" t="s">
        <v>2913</v>
      </c>
      <c r="E684" s="68" t="s">
        <v>2914</v>
      </c>
      <c r="F684" s="67">
        <v>8</v>
      </c>
      <c r="G684" s="67" t="s">
        <v>1441</v>
      </c>
      <c r="H684" s="69">
        <v>45204</v>
      </c>
      <c r="I684" s="69" t="s">
        <v>749</v>
      </c>
      <c r="J684" s="69" t="s">
        <v>1225</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1587</v>
      </c>
      <c r="X684" s="67"/>
      <c r="Y684" s="67"/>
      <c r="Z684" s="124" t="s">
        <v>770</v>
      </c>
      <c r="AA684" s="124" t="s">
        <v>2853</v>
      </c>
      <c r="AB684" s="124" t="s">
        <v>1173</v>
      </c>
      <c r="AC684" s="375"/>
    </row>
    <row r="685" spans="1:29" ht="39.950000000000003" hidden="1" customHeight="1">
      <c r="A685" s="67">
        <v>675</v>
      </c>
      <c r="B685" s="69">
        <v>45190</v>
      </c>
      <c r="C685" s="74">
        <v>0.33333333333333331</v>
      </c>
      <c r="D685" s="67" t="s">
        <v>2878</v>
      </c>
      <c r="E685" s="68" t="s">
        <v>3203</v>
      </c>
      <c r="F685" s="67">
        <v>8</v>
      </c>
      <c r="G685" s="67" t="s">
        <v>43</v>
      </c>
      <c r="H685" s="69">
        <v>45204</v>
      </c>
      <c r="I685" s="69" t="s">
        <v>1086</v>
      </c>
      <c r="J685" s="69" t="s">
        <v>1220</v>
      </c>
      <c r="K685" s="67">
        <f>IFERROR(VLOOKUP(J685,Jueces!$A$1:$B$11,2,FALSE),"")</f>
        <v>1</v>
      </c>
      <c r="L685" s="67" t="s">
        <v>813</v>
      </c>
      <c r="M685" s="67"/>
      <c r="N685" s="67" t="s">
        <v>3227</v>
      </c>
      <c r="O685" s="67" t="str">
        <f t="shared" ca="1" si="41"/>
        <v>SI</v>
      </c>
      <c r="P685" s="67" t="str">
        <f t="shared" si="40"/>
        <v>DIANOSOL</v>
      </c>
      <c r="Q685" s="67" t="s">
        <v>902</v>
      </c>
      <c r="R685" s="67" t="str">
        <f>VLOOKUP($Q685,Resultados!$A$1:$B$49,2,FALSE)</f>
        <v>Libertad</v>
      </c>
      <c r="S685" s="67" t="s">
        <v>1578</v>
      </c>
      <c r="T685" s="77" t="str">
        <f t="shared" si="42"/>
        <v>NO</v>
      </c>
      <c r="U685" s="77"/>
      <c r="V685" s="67"/>
      <c r="W685" s="67" t="s">
        <v>1131</v>
      </c>
      <c r="X685" s="67"/>
      <c r="Y685" s="67"/>
      <c r="Z685" s="124" t="s">
        <v>2896</v>
      </c>
      <c r="AA685" s="124" t="s">
        <v>2853</v>
      </c>
      <c r="AB685" s="124" t="s">
        <v>1175</v>
      </c>
      <c r="AC685" s="375"/>
    </row>
    <row r="686" spans="1:29" ht="39.950000000000003" hidden="1" customHeight="1">
      <c r="A686" s="67">
        <v>680</v>
      </c>
      <c r="B686" s="69">
        <v>45190</v>
      </c>
      <c r="C686" s="74">
        <v>0.38541666666666669</v>
      </c>
      <c r="D686" s="67" t="s">
        <v>2885</v>
      </c>
      <c r="E686" s="68" t="s">
        <v>2977</v>
      </c>
      <c r="F686" s="67">
        <v>8</v>
      </c>
      <c r="G686" s="67" t="s">
        <v>2776</v>
      </c>
      <c r="H686" s="69">
        <v>45204</v>
      </c>
      <c r="I686" s="69" t="s">
        <v>1086</v>
      </c>
      <c r="J686" s="69" t="s">
        <v>33</v>
      </c>
      <c r="K686" s="67">
        <f>IFERROR(VLOOKUP(J686,Jueces!$A$1:$B$11,2,FALSE),"")</f>
        <v>4</v>
      </c>
      <c r="L686" s="67" t="s">
        <v>807</v>
      </c>
      <c r="M686" s="67" t="s">
        <v>887</v>
      </c>
      <c r="N686" s="67" t="s">
        <v>3230</v>
      </c>
      <c r="O686" s="67" t="str">
        <f t="shared" ca="1" si="41"/>
        <v>SI</v>
      </c>
      <c r="P686" s="67" t="str">
        <f t="shared" si="40"/>
        <v>DIANOSOL</v>
      </c>
      <c r="Q686" s="67" t="s">
        <v>909</v>
      </c>
      <c r="R686" s="67" t="str">
        <f>VLOOKUP($Q686,Resultados!$A$1:$B$49,2,FALSE)</f>
        <v>Suspensión de juicio a prueba</v>
      </c>
      <c r="S686" s="67" t="s">
        <v>1450</v>
      </c>
      <c r="T686" s="77" t="str">
        <f t="shared" si="42"/>
        <v>NO</v>
      </c>
      <c r="U686" s="77"/>
      <c r="V686" s="67"/>
      <c r="W686" s="67" t="s">
        <v>3214</v>
      </c>
      <c r="X686" s="67" t="s">
        <v>2949</v>
      </c>
      <c r="Y686" s="67"/>
      <c r="Z686" s="124" t="s">
        <v>2868</v>
      </c>
      <c r="AA686" s="124" t="s">
        <v>1171</v>
      </c>
      <c r="AB686" s="124" t="s">
        <v>1177</v>
      </c>
      <c r="AC686" s="375"/>
    </row>
    <row r="687" spans="1:29" ht="39.950000000000003" hidden="1" customHeight="1">
      <c r="A687" s="67">
        <v>710</v>
      </c>
      <c r="B687" s="69">
        <v>45195</v>
      </c>
      <c r="C687" s="74">
        <v>0.53333333333333333</v>
      </c>
      <c r="D687" s="67" t="s">
        <v>3001</v>
      </c>
      <c r="E687" s="68" t="s">
        <v>3002</v>
      </c>
      <c r="F687" s="67">
        <v>8</v>
      </c>
      <c r="G687" s="67" t="s">
        <v>2775</v>
      </c>
      <c r="H687" s="69">
        <v>45205</v>
      </c>
      <c r="I687" s="69" t="s">
        <v>360</v>
      </c>
      <c r="J687" s="69" t="s">
        <v>2955</v>
      </c>
      <c r="K687" s="67" t="s">
        <v>1520</v>
      </c>
      <c r="L687" s="67" t="s">
        <v>807</v>
      </c>
      <c r="M687" s="67" t="s">
        <v>3035</v>
      </c>
      <c r="N687" s="67" t="s">
        <v>3240</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1333</v>
      </c>
      <c r="X687" s="67" t="s">
        <v>3241</v>
      </c>
      <c r="Y687" s="67"/>
      <c r="Z687" s="344" t="s">
        <v>1041</v>
      </c>
      <c r="AA687" s="124" t="s">
        <v>1169</v>
      </c>
      <c r="AB687" s="124" t="s">
        <v>1173</v>
      </c>
      <c r="AC687" s="375"/>
    </row>
    <row r="688" spans="1:29" ht="39.950000000000003" hidden="1" customHeight="1">
      <c r="A688" s="67">
        <v>666</v>
      </c>
      <c r="B688" s="69">
        <v>45189</v>
      </c>
      <c r="C688" s="74">
        <v>0.41041666666666665</v>
      </c>
      <c r="D688" s="67" t="s">
        <v>2842</v>
      </c>
      <c r="E688" s="68" t="s">
        <v>3212</v>
      </c>
      <c r="F688" s="67">
        <v>8</v>
      </c>
      <c r="G688" s="67" t="s">
        <v>568</v>
      </c>
      <c r="H688" s="69">
        <v>45205</v>
      </c>
      <c r="I688" s="69" t="s">
        <v>73</v>
      </c>
      <c r="J688" s="69" t="s">
        <v>33</v>
      </c>
      <c r="K688" s="67">
        <f>IFERROR(VLOOKUP(J688,Jueces!$A$1:$B$11,2,FALSE),"")</f>
        <v>4</v>
      </c>
      <c r="L688" s="67" t="s">
        <v>802</v>
      </c>
      <c r="M688" s="67" t="s">
        <v>887</v>
      </c>
      <c r="N688" s="67" t="s">
        <v>3242</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1292</v>
      </c>
      <c r="X688" s="67"/>
      <c r="Y688" s="67"/>
      <c r="Z688" s="124" t="s">
        <v>2896</v>
      </c>
      <c r="AA688" s="124" t="s">
        <v>1169</v>
      </c>
      <c r="AB688" s="344" t="s">
        <v>1174</v>
      </c>
      <c r="AC688" s="375"/>
    </row>
    <row r="689" spans="1:29" ht="39.950000000000003" hidden="1" customHeight="1">
      <c r="A689" s="67">
        <v>697</v>
      </c>
      <c r="B689" s="69">
        <v>45191</v>
      </c>
      <c r="C689" s="74">
        <v>0.54791666666666672</v>
      </c>
      <c r="D689" s="67" t="s">
        <v>2941</v>
      </c>
      <c r="E689" s="68" t="s">
        <v>2942</v>
      </c>
      <c r="F689" s="67">
        <v>3</v>
      </c>
      <c r="G689" s="67" t="s">
        <v>1442</v>
      </c>
      <c r="H689" s="69">
        <v>45205</v>
      </c>
      <c r="I689" s="69" t="s">
        <v>73</v>
      </c>
      <c r="J689" s="69" t="s">
        <v>1732</v>
      </c>
      <c r="K689" s="67" t="s">
        <v>1326</v>
      </c>
      <c r="L689" s="67" t="s">
        <v>192</v>
      </c>
      <c r="M689" s="67" t="s">
        <v>2968</v>
      </c>
      <c r="N689" s="67" t="s">
        <v>3256</v>
      </c>
      <c r="O689" s="67" t="str">
        <f t="shared" ca="1" si="41"/>
        <v>SI</v>
      </c>
      <c r="P689" s="67" t="str">
        <f t="shared" si="40"/>
        <v>DIANOSOL</v>
      </c>
      <c r="Q689" s="67" t="s">
        <v>913</v>
      </c>
      <c r="R689" s="67" t="str">
        <f>VLOOKUP($Q689,Resultados!$A$1:$B$49,2,FALSE)</f>
        <v>Prision domiciliaria</v>
      </c>
      <c r="S689" s="67" t="s">
        <v>1566</v>
      </c>
      <c r="T689" s="77" t="str">
        <f t="shared" si="42"/>
        <v>SI</v>
      </c>
      <c r="U689" s="77"/>
      <c r="V689" s="67"/>
      <c r="W689" s="67" t="s">
        <v>3257</v>
      </c>
      <c r="X689" s="67" t="s">
        <v>3258</v>
      </c>
      <c r="Y689" s="67"/>
      <c r="Z689" s="124" t="s">
        <v>770</v>
      </c>
      <c r="AA689" s="124" t="s">
        <v>3231</v>
      </c>
      <c r="AB689" s="344" t="s">
        <v>1173</v>
      </c>
      <c r="AC689" s="375"/>
    </row>
    <row r="690" spans="1:29" ht="39.950000000000003" hidden="1" customHeight="1">
      <c r="A690" s="67">
        <v>708</v>
      </c>
      <c r="B690" s="69">
        <v>45195</v>
      </c>
      <c r="C690" s="74">
        <v>0.53611111111111109</v>
      </c>
      <c r="D690" s="67" t="s">
        <v>2999</v>
      </c>
      <c r="E690" s="68" t="s">
        <v>3031</v>
      </c>
      <c r="F690" s="67">
        <v>1</v>
      </c>
      <c r="G690" s="67" t="s">
        <v>2839</v>
      </c>
      <c r="H690" s="69">
        <v>45205</v>
      </c>
      <c r="I690" s="69" t="s">
        <v>73</v>
      </c>
      <c r="J690" s="69" t="s">
        <v>2955</v>
      </c>
      <c r="K690" s="67" t="s">
        <v>1926</v>
      </c>
      <c r="L690" s="67" t="s">
        <v>812</v>
      </c>
      <c r="M690" s="67" t="s">
        <v>711</v>
      </c>
      <c r="N690" s="67" t="s">
        <v>899</v>
      </c>
      <c r="O690" s="67" t="str">
        <f t="shared" ca="1" si="41"/>
        <v>SI</v>
      </c>
      <c r="P690" s="67" t="str">
        <f t="shared" si="40"/>
        <v>DIANOSOL</v>
      </c>
      <c r="Q690" s="67" t="s">
        <v>899</v>
      </c>
      <c r="R690" s="67" t="str">
        <f>VLOOKUP($Q690,Resultados!$A$1:$B$49,2,FALSE)</f>
        <v>Libertad</v>
      </c>
      <c r="S690" s="67" t="s">
        <v>1134</v>
      </c>
      <c r="T690" s="77" t="str">
        <f t="shared" si="42"/>
        <v>NO</v>
      </c>
      <c r="U690" s="77"/>
      <c r="V690" s="67"/>
      <c r="W690" s="74">
        <v>0.39583333333333331</v>
      </c>
      <c r="X690" s="67" t="s">
        <v>3243</v>
      </c>
      <c r="Y690" s="67"/>
      <c r="Z690" s="124" t="s">
        <v>2868</v>
      </c>
      <c r="AA690" s="124" t="s">
        <v>2853</v>
      </c>
      <c r="AB690" s="344" t="s">
        <v>1175</v>
      </c>
      <c r="AC690" s="375"/>
    </row>
    <row r="691" spans="1:29" ht="39.950000000000003" hidden="1" customHeight="1">
      <c r="A691" s="67">
        <v>711</v>
      </c>
      <c r="B691" s="69">
        <v>45195</v>
      </c>
      <c r="C691" s="74">
        <v>0.54722222222222217</v>
      </c>
      <c r="D691" s="67" t="s">
        <v>3004</v>
      </c>
      <c r="E691" s="68" t="s">
        <v>3235</v>
      </c>
      <c r="F691" s="67">
        <v>8</v>
      </c>
      <c r="G691" s="67" t="s">
        <v>283</v>
      </c>
      <c r="H691" s="69">
        <v>45205</v>
      </c>
      <c r="I691" s="69" t="s">
        <v>749</v>
      </c>
      <c r="J691" s="69" t="s">
        <v>1225</v>
      </c>
      <c r="K691" s="67">
        <f>IFERROR(VLOOKUP(J691,Jueces!$A$1:$B$11,2,FALSE),"")</f>
        <v>6</v>
      </c>
      <c r="L691" s="67" t="s">
        <v>790</v>
      </c>
      <c r="M691" s="67" t="s">
        <v>767</v>
      </c>
      <c r="N691" s="67" t="s">
        <v>3249</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1450</v>
      </c>
      <c r="X691" s="67" t="s">
        <v>3250</v>
      </c>
      <c r="Y691" s="67"/>
      <c r="Z691" s="124" t="s">
        <v>1042</v>
      </c>
      <c r="AA691" s="124" t="s">
        <v>1169</v>
      </c>
      <c r="AB691" s="344" t="s">
        <v>1177</v>
      </c>
      <c r="AC691" s="375"/>
    </row>
    <row r="692" spans="1:29" ht="39.950000000000003" hidden="1" customHeight="1">
      <c r="A692" s="67">
        <v>689</v>
      </c>
      <c r="B692" s="69">
        <v>45190</v>
      </c>
      <c r="C692" s="74">
        <v>0.44097222222222227</v>
      </c>
      <c r="D692" s="67" t="s">
        <v>2922</v>
      </c>
      <c r="E692" s="68" t="s">
        <v>2969</v>
      </c>
      <c r="F692" s="67">
        <v>8</v>
      </c>
      <c r="G692" s="67" t="s">
        <v>2789</v>
      </c>
      <c r="H692" s="69">
        <v>45205</v>
      </c>
      <c r="I692" s="69" t="s">
        <v>1086</v>
      </c>
      <c r="J692" s="69" t="s">
        <v>1221</v>
      </c>
      <c r="K692" s="67" t="s">
        <v>1926</v>
      </c>
      <c r="L692" s="67" t="s">
        <v>807</v>
      </c>
      <c r="M692" s="67" t="s">
        <v>887</v>
      </c>
      <c r="N692" s="67" t="s">
        <v>899</v>
      </c>
      <c r="O692" s="67" t="str">
        <f t="shared" ca="1" si="41"/>
        <v>SI</v>
      </c>
      <c r="P692" s="67" t="str">
        <f t="shared" si="40"/>
        <v>DIANOSOL</v>
      </c>
      <c r="Q692" s="67" t="s">
        <v>899</v>
      </c>
      <c r="R692" s="67" t="str">
        <f>VLOOKUP($Q692,Resultados!$A$1:$B$49,2,FALSE)</f>
        <v>Libertad</v>
      </c>
      <c r="S692" s="67" t="s">
        <v>2386</v>
      </c>
      <c r="T692" s="77" t="str">
        <f t="shared" ref="T692:T723" si="43">IF(G692=$J$1,"SI","NO")</f>
        <v>NO</v>
      </c>
      <c r="U692" s="77"/>
      <c r="V692" s="67"/>
      <c r="W692" s="67" t="s">
        <v>1445</v>
      </c>
      <c r="X692" s="67"/>
      <c r="Y692" s="67"/>
      <c r="Z692" s="124" t="s">
        <v>2868</v>
      </c>
      <c r="AA692" s="124" t="s">
        <v>1171</v>
      </c>
      <c r="AB692" s="344" t="s">
        <v>1174</v>
      </c>
      <c r="AC692" s="375"/>
    </row>
    <row r="693" spans="1:29" ht="39.950000000000003" hidden="1" customHeight="1">
      <c r="A693" s="67">
        <v>694</v>
      </c>
      <c r="B693" s="69">
        <v>45191</v>
      </c>
      <c r="C693" s="74">
        <v>0.54375000000000007</v>
      </c>
      <c r="D693" s="67" t="s">
        <v>2936</v>
      </c>
      <c r="E693" s="68" t="s">
        <v>2937</v>
      </c>
      <c r="F693" s="67">
        <v>1</v>
      </c>
      <c r="G693" s="67" t="s">
        <v>1441</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2905</v>
      </c>
      <c r="X693" s="67"/>
      <c r="Y693" s="67"/>
      <c r="Z693" s="124" t="s">
        <v>2896</v>
      </c>
      <c r="AA693" s="124" t="s">
        <v>1169</v>
      </c>
      <c r="AB693" s="344" t="s">
        <v>1173</v>
      </c>
      <c r="AC693" s="375"/>
    </row>
    <row r="694" spans="1:29" ht="39.950000000000003" hidden="1" customHeight="1">
      <c r="A694" s="67">
        <v>724</v>
      </c>
      <c r="B694" s="69">
        <v>45196</v>
      </c>
      <c r="C694" s="74">
        <v>0.35347222222222219</v>
      </c>
      <c r="D694" s="67" t="s">
        <v>3069</v>
      </c>
      <c r="E694" s="68" t="s">
        <v>3070</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2905</v>
      </c>
      <c r="X694" s="67" t="s">
        <v>2949</v>
      </c>
      <c r="Y694" s="67"/>
      <c r="Z694" s="124" t="s">
        <v>770</v>
      </c>
      <c r="AA694" s="124" t="s">
        <v>2853</v>
      </c>
      <c r="AB694" s="344" t="s">
        <v>1175</v>
      </c>
      <c r="AC694" s="375"/>
    </row>
    <row r="695" spans="1:29" ht="39.950000000000003" hidden="1" customHeight="1">
      <c r="A695" s="67">
        <v>699</v>
      </c>
      <c r="B695" s="69">
        <v>45191</v>
      </c>
      <c r="C695" s="74">
        <v>0.55069444444444449</v>
      </c>
      <c r="D695" s="67" t="s">
        <v>2945</v>
      </c>
      <c r="E695" s="68" t="s">
        <v>3003</v>
      </c>
      <c r="F695" s="67">
        <v>8</v>
      </c>
      <c r="G695" s="67" t="s">
        <v>1443</v>
      </c>
      <c r="H695" s="69">
        <v>45205</v>
      </c>
      <c r="I695" s="69" t="s">
        <v>1210</v>
      </c>
      <c r="J695" s="69" t="s">
        <v>1220</v>
      </c>
      <c r="K695" s="67" t="s">
        <v>1926</v>
      </c>
      <c r="L695" s="67" t="s">
        <v>807</v>
      </c>
      <c r="M695" s="67" t="s">
        <v>1087</v>
      </c>
      <c r="N695" s="67" t="s">
        <v>2197</v>
      </c>
      <c r="O695" s="67" t="str">
        <f t="shared" ca="1" si="41"/>
        <v>SI</v>
      </c>
      <c r="P695" s="67" t="str">
        <f t="shared" si="40"/>
        <v>DIANOSOL</v>
      </c>
      <c r="Q695" s="67" t="s">
        <v>904</v>
      </c>
      <c r="R695" s="67" t="str">
        <f>VLOOKUP($Q695,Resultados!$A$1:$B$49,2,FALSE)</f>
        <v>Juicio Abreviado</v>
      </c>
      <c r="S695" s="67" t="s">
        <v>2278</v>
      </c>
      <c r="T695" s="77" t="str">
        <f t="shared" si="43"/>
        <v>NO</v>
      </c>
      <c r="U695" s="77"/>
      <c r="V695" s="67"/>
      <c r="W695" s="67" t="s">
        <v>3247</v>
      </c>
      <c r="X695" s="67" t="s">
        <v>3248</v>
      </c>
      <c r="Y695" s="67"/>
      <c r="Z695" s="124" t="s">
        <v>748</v>
      </c>
      <c r="AA695" s="124" t="s">
        <v>1171</v>
      </c>
      <c r="AB695" s="344" t="s">
        <v>1177</v>
      </c>
      <c r="AC695" s="375"/>
    </row>
    <row r="696" spans="1:29" ht="39.950000000000003" hidden="1" customHeight="1">
      <c r="A696" s="67">
        <v>690</v>
      </c>
      <c r="B696" s="69" t="s">
        <v>3043</v>
      </c>
      <c r="C696" s="74">
        <v>0.53333333333333333</v>
      </c>
      <c r="D696" s="67" t="s">
        <v>2923</v>
      </c>
      <c r="E696" s="68" t="s">
        <v>3007</v>
      </c>
      <c r="F696" s="67">
        <v>8</v>
      </c>
      <c r="G696" s="67" t="s">
        <v>2774</v>
      </c>
      <c r="H696" s="69">
        <v>45205</v>
      </c>
      <c r="I696" s="69" t="s">
        <v>228</v>
      </c>
      <c r="J696" s="69" t="s">
        <v>78</v>
      </c>
      <c r="K696" s="67">
        <f>IFERROR(VLOOKUP(J696,Jueces!$A$1:$B$11,2,FALSE),"")</f>
        <v>8</v>
      </c>
      <c r="L696" s="67" t="s">
        <v>801</v>
      </c>
      <c r="M696" s="67" t="s">
        <v>1286</v>
      </c>
      <c r="N696" s="67" t="s">
        <v>899</v>
      </c>
      <c r="O696" s="67" t="str">
        <f t="shared" ca="1" si="41"/>
        <v>SI</v>
      </c>
      <c r="P696" s="67" t="str">
        <f t="shared" si="40"/>
        <v>DIANOSOL</v>
      </c>
      <c r="Q696" s="67" t="s">
        <v>899</v>
      </c>
      <c r="R696" s="67" t="str">
        <f>VLOOKUP($Q696,Resultados!$A$1:$B$49,2,FALSE)</f>
        <v>Libertad</v>
      </c>
      <c r="S696" s="67" t="s">
        <v>3245</v>
      </c>
      <c r="T696" s="77" t="str">
        <f t="shared" si="43"/>
        <v>NO</v>
      </c>
      <c r="U696" s="77"/>
      <c r="V696" s="67"/>
      <c r="W696" s="67" t="s">
        <v>1241</v>
      </c>
      <c r="X696" s="67" t="s">
        <v>3246</v>
      </c>
      <c r="Y696" s="67"/>
      <c r="Z696" s="124" t="s">
        <v>748</v>
      </c>
      <c r="AA696" s="124" t="s">
        <v>2853</v>
      </c>
      <c r="AB696" s="344" t="s">
        <v>1174</v>
      </c>
      <c r="AC696" s="375"/>
    </row>
    <row r="697" spans="1:29" ht="39.950000000000003" hidden="1" customHeight="1">
      <c r="A697" s="67">
        <v>692</v>
      </c>
      <c r="B697" s="69">
        <v>45191</v>
      </c>
      <c r="C697" s="74">
        <v>0.48819444444444443</v>
      </c>
      <c r="D697" s="67" t="s">
        <v>2931</v>
      </c>
      <c r="E697" s="68" t="s">
        <v>2970</v>
      </c>
      <c r="F697" s="67">
        <v>8</v>
      </c>
      <c r="G697" s="67" t="s">
        <v>29</v>
      </c>
      <c r="H697" s="69">
        <v>45208</v>
      </c>
      <c r="I697" s="69" t="s">
        <v>73</v>
      </c>
      <c r="J697" s="69" t="s">
        <v>1221</v>
      </c>
      <c r="K697" s="67" t="s">
        <v>1926</v>
      </c>
      <c r="L697" s="67" t="s">
        <v>807</v>
      </c>
      <c r="M697" s="67" t="s">
        <v>887</v>
      </c>
      <c r="N697" s="67" t="s">
        <v>3259</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3260</v>
      </c>
      <c r="Y697" s="67"/>
      <c r="Z697" s="124" t="s">
        <v>2896</v>
      </c>
      <c r="AA697" s="124" t="s">
        <v>1169</v>
      </c>
      <c r="AB697" s="124" t="s">
        <v>1173</v>
      </c>
      <c r="AC697" s="375"/>
    </row>
    <row r="698" spans="1:29" ht="39.950000000000003" hidden="1" customHeight="1">
      <c r="A698" s="67">
        <v>700</v>
      </c>
      <c r="B698" s="69">
        <v>45191</v>
      </c>
      <c r="C698" s="74">
        <v>0.56180555555555556</v>
      </c>
      <c r="D698" s="67" t="s">
        <v>2946</v>
      </c>
      <c r="E698" s="68" t="s">
        <v>2947</v>
      </c>
      <c r="F698" s="67">
        <v>1</v>
      </c>
      <c r="G698" s="67" t="s">
        <v>43</v>
      </c>
      <c r="H698" s="69">
        <v>45208</v>
      </c>
      <c r="I698" s="69" t="s">
        <v>73</v>
      </c>
      <c r="J698" s="69" t="s">
        <v>78</v>
      </c>
      <c r="K698" s="67">
        <f>IFERROR(VLOOKUP(J698,Jueces!$A$1:$B$11,2,FALSE),"")</f>
        <v>8</v>
      </c>
      <c r="L698" s="67" t="s">
        <v>569</v>
      </c>
      <c r="M698" s="67" t="s">
        <v>711</v>
      </c>
      <c r="N698" s="67" t="s">
        <v>3264</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1609</v>
      </c>
      <c r="X698" s="67" t="s">
        <v>3265</v>
      </c>
      <c r="Y698" s="67"/>
      <c r="Z698" s="124" t="s">
        <v>2868</v>
      </c>
      <c r="AA698" s="124" t="s">
        <v>2853</v>
      </c>
      <c r="AB698" s="124" t="s">
        <v>1175</v>
      </c>
      <c r="AC698" s="375"/>
    </row>
    <row r="699" spans="1:29" ht="39.950000000000003" hidden="1" customHeight="1">
      <c r="A699" s="67">
        <v>719</v>
      </c>
      <c r="B699" s="69">
        <v>45197</v>
      </c>
      <c r="C699" s="67" t="s">
        <v>1229</v>
      </c>
      <c r="D699" s="67" t="s">
        <v>2600</v>
      </c>
      <c r="E699" s="68" t="s">
        <v>3068</v>
      </c>
      <c r="F699" s="67">
        <v>7</v>
      </c>
      <c r="G699" s="67" t="s">
        <v>2776</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3262</v>
      </c>
      <c r="X699" s="67" t="s">
        <v>3263</v>
      </c>
      <c r="Y699" s="67"/>
      <c r="Z699" s="124" t="s">
        <v>1041</v>
      </c>
      <c r="AA699" s="124" t="s">
        <v>1171</v>
      </c>
      <c r="AB699" s="124" t="s">
        <v>1177</v>
      </c>
      <c r="AC699" s="375"/>
    </row>
    <row r="700" spans="1:29" ht="39.950000000000003" hidden="1" customHeight="1">
      <c r="A700" s="67">
        <v>723</v>
      </c>
      <c r="B700" s="69">
        <v>45197</v>
      </c>
      <c r="C700" s="67" t="s">
        <v>2959</v>
      </c>
      <c r="D700" s="67" t="s">
        <v>3046</v>
      </c>
      <c r="E700" s="68" t="s">
        <v>3066</v>
      </c>
      <c r="F700" s="67">
        <v>1</v>
      </c>
      <c r="G700" s="67" t="s">
        <v>283</v>
      </c>
      <c r="H700" s="69">
        <v>45208</v>
      </c>
      <c r="I700" s="69" t="s">
        <v>73</v>
      </c>
      <c r="J700" s="69" t="s">
        <v>33</v>
      </c>
      <c r="K700" s="67">
        <f>IFERROR(VLOOKUP(J700,Jueces!$A$1:$B$11,2,FALSE),"")</f>
        <v>4</v>
      </c>
      <c r="L700" s="67" t="s">
        <v>809</v>
      </c>
      <c r="M700" s="67" t="s">
        <v>712</v>
      </c>
      <c r="N700" s="67" t="s">
        <v>3261</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1124</v>
      </c>
      <c r="X700" s="67" t="s">
        <v>2897</v>
      </c>
      <c r="Y700" s="67"/>
      <c r="Z700" s="124" t="s">
        <v>770</v>
      </c>
      <c r="AA700" s="124" t="s">
        <v>2853</v>
      </c>
      <c r="AB700" s="124" t="s">
        <v>1174</v>
      </c>
      <c r="AC700" s="375"/>
    </row>
    <row r="701" spans="1:29" ht="51" hidden="1">
      <c r="A701" s="67">
        <v>732</v>
      </c>
      <c r="B701" s="69">
        <v>45197</v>
      </c>
      <c r="C701" s="74">
        <v>0.42638888888888887</v>
      </c>
      <c r="D701" s="67" t="s">
        <v>3090</v>
      </c>
      <c r="E701" s="68" t="s">
        <v>3110</v>
      </c>
      <c r="F701" s="67">
        <v>8</v>
      </c>
      <c r="G701" s="67" t="s">
        <v>1443</v>
      </c>
      <c r="H701" s="69">
        <v>45208</v>
      </c>
      <c r="I701" s="69" t="s">
        <v>73</v>
      </c>
      <c r="J701" s="69" t="s">
        <v>1220</v>
      </c>
      <c r="K701" s="67">
        <f>IFERROR(VLOOKUP(J701,Jueces!$A$1:$B$11,2,FALSE),"")</f>
        <v>1</v>
      </c>
      <c r="L701" s="67" t="s">
        <v>829</v>
      </c>
      <c r="M701" s="67" t="s">
        <v>783</v>
      </c>
      <c r="N701" s="67" t="s">
        <v>2983</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1538</v>
      </c>
      <c r="X701" s="67" t="s">
        <v>2254</v>
      </c>
      <c r="Y701" s="67"/>
      <c r="Z701" s="124" t="s">
        <v>743</v>
      </c>
      <c r="AA701" s="124" t="s">
        <v>1169</v>
      </c>
      <c r="AB701" s="124" t="s">
        <v>1173</v>
      </c>
      <c r="AC701" s="375"/>
    </row>
    <row r="702" spans="1:29" ht="63.75" hidden="1">
      <c r="A702" s="67">
        <v>705</v>
      </c>
      <c r="B702" s="69">
        <v>45195</v>
      </c>
      <c r="C702" s="74">
        <v>0.47638888888888892</v>
      </c>
      <c r="D702" s="67" t="s">
        <v>2993</v>
      </c>
      <c r="E702" s="68" t="s">
        <v>2994</v>
      </c>
      <c r="F702" s="67">
        <v>8</v>
      </c>
      <c r="G702" s="67" t="s">
        <v>2774</v>
      </c>
      <c r="H702" s="69">
        <v>45208</v>
      </c>
      <c r="I702" s="69" t="s">
        <v>749</v>
      </c>
      <c r="J702" s="69" t="s">
        <v>1225</v>
      </c>
      <c r="K702" s="67">
        <f>IFERROR(VLOOKUP(J702,Jueces!$A$1:$B$11,2,FALSE),"")</f>
        <v>6</v>
      </c>
      <c r="L702" s="67" t="s">
        <v>2432</v>
      </c>
      <c r="M702" s="67" t="s">
        <v>3020</v>
      </c>
      <c r="N702" s="67" t="s">
        <v>577</v>
      </c>
      <c r="O702" s="67" t="str">
        <f t="shared" ca="1" si="41"/>
        <v>SI</v>
      </c>
      <c r="P702" s="67" t="str">
        <f t="shared" si="40"/>
        <v>DIANOSOL</v>
      </c>
      <c r="Q702" s="67" t="s">
        <v>151</v>
      </c>
      <c r="R702" s="67" t="str">
        <f>VLOOKUP($Q702,Resultados!$A$1:$B$49,2,FALSE)</f>
        <v>Prisión Preventiva</v>
      </c>
      <c r="S702" s="67" t="s">
        <v>1429</v>
      </c>
      <c r="T702" s="77" t="str">
        <f t="shared" si="43"/>
        <v>NO</v>
      </c>
      <c r="U702" s="77"/>
      <c r="V702" s="67"/>
      <c r="W702" s="67" t="s">
        <v>1193</v>
      </c>
      <c r="X702" s="67" t="s">
        <v>2383</v>
      </c>
      <c r="Y702" s="67"/>
      <c r="Z702" s="124" t="s">
        <v>748</v>
      </c>
      <c r="AA702" s="124" t="s">
        <v>1171</v>
      </c>
      <c r="AB702" s="124" t="s">
        <v>1175</v>
      </c>
      <c r="AC702" s="375"/>
    </row>
    <row r="703" spans="1:29" ht="38.25" hidden="1">
      <c r="A703" s="67">
        <v>640</v>
      </c>
      <c r="B703" s="69">
        <v>45181</v>
      </c>
      <c r="C703" s="67" t="s">
        <v>2765</v>
      </c>
      <c r="D703" s="67" t="s">
        <v>2766</v>
      </c>
      <c r="E703" s="68" t="s">
        <v>3037</v>
      </c>
      <c r="F703" s="67">
        <v>4</v>
      </c>
      <c r="G703" s="67" t="s">
        <v>568</v>
      </c>
      <c r="H703" s="69">
        <v>45208</v>
      </c>
      <c r="I703" s="69" t="s">
        <v>1086</v>
      </c>
      <c r="J703" s="69" t="s">
        <v>2952</v>
      </c>
      <c r="K703" s="67" t="s">
        <v>2344</v>
      </c>
      <c r="L703" s="67" t="s">
        <v>800</v>
      </c>
      <c r="M703" s="67" t="s">
        <v>700</v>
      </c>
      <c r="N703" s="67" t="s">
        <v>3266</v>
      </c>
      <c r="O703" s="67" t="str">
        <f t="shared" ca="1" si="41"/>
        <v>SI</v>
      </c>
      <c r="P703" s="67" t="str">
        <f t="shared" si="40"/>
        <v>DIANOSOL</v>
      </c>
      <c r="Q703" s="67" t="s">
        <v>904</v>
      </c>
      <c r="R703" s="67" t="str">
        <f>VLOOKUP($Q703,Resultados!$A$1:$B$49,2,FALSE)</f>
        <v>Juicio Abreviado</v>
      </c>
      <c r="S703" s="67" t="s">
        <v>1210</v>
      </c>
      <c r="T703" s="77" t="str">
        <f t="shared" si="43"/>
        <v>NO</v>
      </c>
      <c r="U703" s="77"/>
      <c r="V703" s="67"/>
      <c r="W703" s="67" t="s">
        <v>1337</v>
      </c>
      <c r="X703" s="67" t="s">
        <v>3198</v>
      </c>
      <c r="Y703" s="67"/>
      <c r="Z703" s="124" t="s">
        <v>2868</v>
      </c>
      <c r="AA703" s="124" t="s">
        <v>1169</v>
      </c>
      <c r="AB703" s="124" t="s">
        <v>1177</v>
      </c>
      <c r="AC703" s="375"/>
    </row>
    <row r="704" spans="1:29" ht="38.25" hidden="1">
      <c r="A704" s="67">
        <v>713</v>
      </c>
      <c r="B704" s="69">
        <v>45196</v>
      </c>
      <c r="C704" s="74">
        <v>0.42777777777777781</v>
      </c>
      <c r="D704" s="67" t="s">
        <v>3013</v>
      </c>
      <c r="E704" s="68" t="s">
        <v>3014</v>
      </c>
      <c r="F704" s="67">
        <v>8</v>
      </c>
      <c r="G704" s="67" t="s">
        <v>2839</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3277</v>
      </c>
      <c r="T704" s="77" t="str">
        <f t="shared" si="43"/>
        <v>NO</v>
      </c>
      <c r="U704" s="77"/>
      <c r="V704" s="67"/>
      <c r="W704" s="67" t="s">
        <v>1274</v>
      </c>
      <c r="X704" s="67" t="s">
        <v>3278</v>
      </c>
      <c r="Y704" s="67"/>
      <c r="Z704" s="124" t="s">
        <v>770</v>
      </c>
      <c r="AA704" s="124" t="s">
        <v>2853</v>
      </c>
      <c r="AB704" s="124" t="s">
        <v>1174</v>
      </c>
      <c r="AC704" s="375"/>
    </row>
    <row r="705" spans="1:29" ht="51" hidden="1">
      <c r="A705" s="67">
        <v>729</v>
      </c>
      <c r="B705" s="69">
        <v>45198</v>
      </c>
      <c r="C705" s="67" t="s">
        <v>1466</v>
      </c>
      <c r="D705" s="67" t="s">
        <v>3086</v>
      </c>
      <c r="E705" s="68" t="s">
        <v>3087</v>
      </c>
      <c r="F705" s="67">
        <v>1</v>
      </c>
      <c r="G705" s="67" t="s">
        <v>2789</v>
      </c>
      <c r="H705" s="69">
        <v>45208</v>
      </c>
      <c r="I705" s="69" t="s">
        <v>1086</v>
      </c>
      <c r="J705" s="69" t="s">
        <v>1221</v>
      </c>
      <c r="K705" s="67" t="s">
        <v>1926</v>
      </c>
      <c r="L705" s="67" t="s">
        <v>796</v>
      </c>
      <c r="M705" s="67" t="s">
        <v>711</v>
      </c>
      <c r="N705" s="67" t="s">
        <v>577</v>
      </c>
      <c r="O705" s="67" t="str">
        <f t="shared" ca="1" si="41"/>
        <v>SI</v>
      </c>
      <c r="P705" s="67" t="str">
        <f t="shared" si="40"/>
        <v>DIANOSOL</v>
      </c>
      <c r="Q705" s="67" t="s">
        <v>151</v>
      </c>
      <c r="R705" s="67" t="str">
        <f>VLOOKUP($Q705,Resultados!$A$1:$B$49,2,FALSE)</f>
        <v>Prisión Preventiva</v>
      </c>
      <c r="S705" s="67" t="s">
        <v>1310</v>
      </c>
      <c r="T705" s="77" t="str">
        <f t="shared" si="43"/>
        <v>NO</v>
      </c>
      <c r="U705" s="77"/>
      <c r="V705" s="67"/>
      <c r="W705" s="67" t="s">
        <v>1274</v>
      </c>
      <c r="X705" s="67" t="s">
        <v>3198</v>
      </c>
      <c r="Y705" s="67"/>
      <c r="Z705" s="124" t="s">
        <v>2896</v>
      </c>
      <c r="AA705" s="124" t="s">
        <v>1171</v>
      </c>
      <c r="AB705" s="124" t="s">
        <v>1173</v>
      </c>
      <c r="AC705" s="375"/>
    </row>
    <row r="706" spans="1:29" ht="89.25" hidden="1">
      <c r="A706" s="67">
        <v>756</v>
      </c>
      <c r="B706" s="69">
        <v>45202</v>
      </c>
      <c r="C706" s="74">
        <v>0.54791666666666672</v>
      </c>
      <c r="D706" s="67" t="s">
        <v>3176</v>
      </c>
      <c r="E706" s="68" t="s">
        <v>3244</v>
      </c>
      <c r="F706" s="67">
        <v>8</v>
      </c>
      <c r="G706" s="67" t="s">
        <v>2775</v>
      </c>
      <c r="H706" s="69">
        <v>45208</v>
      </c>
      <c r="I706" s="69" t="s">
        <v>1086</v>
      </c>
      <c r="J706" s="69" t="s">
        <v>2955</v>
      </c>
      <c r="K706" s="67" t="s">
        <v>2395</v>
      </c>
      <c r="L706" s="67" t="s">
        <v>798</v>
      </c>
      <c r="M706" s="67" t="s">
        <v>1031</v>
      </c>
      <c r="N706" s="67" t="s">
        <v>3279</v>
      </c>
      <c r="O706" s="67" t="str">
        <f t="shared" ca="1" si="41"/>
        <v>SI</v>
      </c>
      <c r="P706" s="67" t="str">
        <f t="shared" si="40"/>
        <v>DIANOSOL</v>
      </c>
      <c r="Q706" s="67" t="s">
        <v>905</v>
      </c>
      <c r="R706" s="67" t="str">
        <f>VLOOKUP($Q706,Resultados!$A$1:$B$49,2,FALSE)</f>
        <v>Juicio Abreviado</v>
      </c>
      <c r="S706" s="67" t="s">
        <v>3280</v>
      </c>
      <c r="T706" s="77" t="str">
        <f t="shared" si="43"/>
        <v>NO</v>
      </c>
      <c r="U706" s="77"/>
      <c r="V706" s="67"/>
      <c r="W706" s="67" t="s">
        <v>3281</v>
      </c>
      <c r="X706" s="67" t="s">
        <v>3282</v>
      </c>
      <c r="Y706" s="67"/>
      <c r="Z706" s="124" t="s">
        <v>748</v>
      </c>
      <c r="AA706" s="344" t="s">
        <v>2853</v>
      </c>
      <c r="AB706" s="124" t="s">
        <v>1175</v>
      </c>
      <c r="AC706" s="375"/>
    </row>
    <row r="707" spans="1:29" ht="63.75" hidden="1">
      <c r="A707" s="67">
        <v>667</v>
      </c>
      <c r="B707" s="69">
        <v>45189</v>
      </c>
      <c r="C707" s="74">
        <v>0.47569444444444442</v>
      </c>
      <c r="D707" s="67" t="s">
        <v>2845</v>
      </c>
      <c r="E707" s="68" t="s">
        <v>2846</v>
      </c>
      <c r="F707" s="67">
        <v>1</v>
      </c>
      <c r="G707" s="67" t="s">
        <v>2776</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3291</v>
      </c>
      <c r="T707" s="86" t="str">
        <f t="shared" si="43"/>
        <v>NO</v>
      </c>
      <c r="U707" s="86"/>
      <c r="V707" s="83"/>
      <c r="W707" s="67" t="s">
        <v>3136</v>
      </c>
      <c r="X707" s="67" t="s">
        <v>3318</v>
      </c>
      <c r="Y707" s="67"/>
      <c r="Z707" s="124" t="s">
        <v>2868</v>
      </c>
      <c r="AA707" s="124" t="s">
        <v>2853</v>
      </c>
      <c r="AB707" s="124" t="s">
        <v>1177</v>
      </c>
      <c r="AC707" s="375"/>
    </row>
    <row r="708" spans="1:29" ht="38.25" hidden="1">
      <c r="A708" s="67">
        <v>688</v>
      </c>
      <c r="B708" s="69">
        <v>45190</v>
      </c>
      <c r="C708" s="74">
        <v>0.44513888888888892</v>
      </c>
      <c r="D708" s="67" t="s">
        <v>2920</v>
      </c>
      <c r="E708" s="68" t="s">
        <v>2921</v>
      </c>
      <c r="F708" s="67">
        <v>8</v>
      </c>
      <c r="G708" s="67" t="s">
        <v>29</v>
      </c>
      <c r="H708" s="69">
        <v>45209</v>
      </c>
      <c r="I708" s="69" t="s">
        <v>73</v>
      </c>
      <c r="J708" s="69" t="s">
        <v>1221</v>
      </c>
      <c r="K708" s="67" t="s">
        <v>1926</v>
      </c>
      <c r="L708" s="67" t="s">
        <v>802</v>
      </c>
      <c r="M708" s="67" t="s">
        <v>3024</v>
      </c>
      <c r="N708" s="67" t="s">
        <v>3319</v>
      </c>
      <c r="O708" s="83" t="str">
        <f t="shared" ca="1" si="41"/>
        <v>SI</v>
      </c>
      <c r="P708" s="83" t="str">
        <f t="shared" si="44"/>
        <v>DIANOSOL</v>
      </c>
      <c r="Q708" s="67" t="s">
        <v>151</v>
      </c>
      <c r="R708" s="67" t="str">
        <f>VLOOKUP($Q708,Resultados!$A$1:$B$49,2,FALSE)</f>
        <v>Prisión Preventiva</v>
      </c>
      <c r="S708" s="67" t="s">
        <v>1296</v>
      </c>
      <c r="T708" s="86" t="str">
        <f t="shared" si="43"/>
        <v>NO</v>
      </c>
      <c r="U708" s="86"/>
      <c r="V708" s="83"/>
      <c r="W708" s="67" t="s">
        <v>1138</v>
      </c>
      <c r="X708" s="67" t="s">
        <v>3295</v>
      </c>
      <c r="Y708" s="67"/>
      <c r="Z708" s="124" t="s">
        <v>770</v>
      </c>
      <c r="AA708" s="124" t="s">
        <v>2853</v>
      </c>
      <c r="AB708" s="124" t="s">
        <v>1174</v>
      </c>
      <c r="AC708" s="375"/>
    </row>
    <row r="709" spans="1:29" ht="63.75" hidden="1">
      <c r="A709" s="67">
        <v>718</v>
      </c>
      <c r="B709" s="69">
        <v>45197</v>
      </c>
      <c r="C709" s="74">
        <v>0.33333333333333331</v>
      </c>
      <c r="D709" s="67" t="s">
        <v>3038</v>
      </c>
      <c r="E709" s="68" t="s">
        <v>3109</v>
      </c>
      <c r="F709" s="67">
        <v>1</v>
      </c>
      <c r="G709" s="67" t="s">
        <v>43</v>
      </c>
      <c r="H709" s="69">
        <v>45209</v>
      </c>
      <c r="I709" s="69" t="s">
        <v>73</v>
      </c>
      <c r="J709" s="69" t="s">
        <v>2955</v>
      </c>
      <c r="K709" s="67" t="s">
        <v>2344</v>
      </c>
      <c r="L709" s="67" t="s">
        <v>2238</v>
      </c>
      <c r="M709" s="67" t="s">
        <v>700</v>
      </c>
      <c r="N709" s="67" t="s">
        <v>3293</v>
      </c>
      <c r="O709" s="83" t="str">
        <f t="shared" ca="1" si="41"/>
        <v>SI</v>
      </c>
      <c r="P709" s="83" t="str">
        <f t="shared" si="44"/>
        <v>DIANOSOL</v>
      </c>
      <c r="Q709" s="67" t="s">
        <v>905</v>
      </c>
      <c r="R709" s="67" t="str">
        <f>VLOOKUP($Q709,Resultados!$A$1:$B$49,2,FALSE)</f>
        <v>Juicio Abreviado</v>
      </c>
      <c r="S709" s="67" t="s">
        <v>1429</v>
      </c>
      <c r="T709" s="86" t="str">
        <f t="shared" si="43"/>
        <v>NO</v>
      </c>
      <c r="U709" s="86"/>
      <c r="V709" s="83"/>
      <c r="W709" s="67" t="s">
        <v>1497</v>
      </c>
      <c r="X709" s="67" t="s">
        <v>3294</v>
      </c>
      <c r="Y709" s="67"/>
      <c r="Z709" s="124" t="s">
        <v>748</v>
      </c>
      <c r="AA709" s="124" t="s">
        <v>1171</v>
      </c>
      <c r="AB709" s="124" t="s">
        <v>1173</v>
      </c>
      <c r="AC709" s="375"/>
    </row>
    <row r="710" spans="1:29" ht="76.5" hidden="1">
      <c r="A710" s="67">
        <v>727</v>
      </c>
      <c r="B710" s="69">
        <v>45197</v>
      </c>
      <c r="C710" s="74">
        <v>0.50138888888888888</v>
      </c>
      <c r="D710" s="67" t="s">
        <v>3078</v>
      </c>
      <c r="E710" s="68" t="s">
        <v>3103</v>
      </c>
      <c r="F710" s="67">
        <v>1</v>
      </c>
      <c r="G710" s="67" t="s">
        <v>2839</v>
      </c>
      <c r="H710" s="69">
        <v>45209</v>
      </c>
      <c r="I710" s="69" t="s">
        <v>73</v>
      </c>
      <c r="J710" s="69" t="s">
        <v>1220</v>
      </c>
      <c r="K710" s="67">
        <f>IFERROR(VLOOKUP(J710,Jueces!$A$1:$B$11,2,FALSE),"")</f>
        <v>1</v>
      </c>
      <c r="L710" s="67" t="s">
        <v>2091</v>
      </c>
      <c r="M710" s="67" t="s">
        <v>712</v>
      </c>
      <c r="N710" s="67" t="s">
        <v>577</v>
      </c>
      <c r="O710" s="83" t="str">
        <f t="shared" ca="1" si="41"/>
        <v>SI</v>
      </c>
      <c r="P710" s="83" t="str">
        <f t="shared" si="44"/>
        <v>DIANOSOL</v>
      </c>
      <c r="Q710" s="67" t="s">
        <v>151</v>
      </c>
      <c r="R710" s="67" t="str">
        <f>VLOOKUP($Q710,Resultados!$A$1:$B$49,2,FALSE)</f>
        <v>Prisión Preventiva</v>
      </c>
      <c r="S710" s="67" t="s">
        <v>1231</v>
      </c>
      <c r="T710" s="86" t="str">
        <f t="shared" si="43"/>
        <v>NO</v>
      </c>
      <c r="U710" s="86"/>
      <c r="V710" s="83"/>
      <c r="W710" s="67" t="s">
        <v>1135</v>
      </c>
      <c r="X710" s="67" t="s">
        <v>3292</v>
      </c>
      <c r="Y710" s="67"/>
      <c r="Z710" s="124" t="s">
        <v>2896</v>
      </c>
      <c r="AA710" s="124" t="s">
        <v>2853</v>
      </c>
      <c r="AB710" s="124" t="s">
        <v>1175</v>
      </c>
      <c r="AC710" s="375"/>
    </row>
    <row r="711" spans="1:29" ht="51" hidden="1">
      <c r="A711" s="67">
        <v>733</v>
      </c>
      <c r="B711" s="69">
        <v>45197</v>
      </c>
      <c r="C711" s="67" t="s">
        <v>1274</v>
      </c>
      <c r="D711" s="67" t="s">
        <v>3091</v>
      </c>
      <c r="E711" s="68" t="s">
        <v>3092</v>
      </c>
      <c r="F711" s="67">
        <v>8</v>
      </c>
      <c r="G711" s="67" t="s">
        <v>283</v>
      </c>
      <c r="H711" s="69">
        <v>45209</v>
      </c>
      <c r="I711" s="69" t="s">
        <v>749</v>
      </c>
      <c r="J711" s="69" t="s">
        <v>1225</v>
      </c>
      <c r="K711" s="67">
        <f>IFERROR(VLOOKUP(J711,Jueces!$A$1:$B$11,2,FALSE),"")</f>
        <v>6</v>
      </c>
      <c r="L711" s="67" t="s">
        <v>799</v>
      </c>
      <c r="M711" s="67" t="s">
        <v>711</v>
      </c>
      <c r="N711" s="365" t="s">
        <v>577</v>
      </c>
      <c r="O711" s="83" t="str">
        <f t="shared" ca="1" si="41"/>
        <v>SI</v>
      </c>
      <c r="P711" s="83" t="str">
        <f t="shared" si="44"/>
        <v>DIANOSOL</v>
      </c>
      <c r="Q711" s="67" t="s">
        <v>151</v>
      </c>
      <c r="R711" s="67" t="str">
        <f>VLOOKUP($Q711,Resultados!$A$1:$B$49,2,FALSE)</f>
        <v>Prisión Preventiva</v>
      </c>
      <c r="S711" s="67" t="s">
        <v>1246</v>
      </c>
      <c r="T711" s="86" t="str">
        <f t="shared" si="43"/>
        <v>NO</v>
      </c>
      <c r="U711" s="86"/>
      <c r="V711" s="83"/>
      <c r="W711" s="67" t="s">
        <v>1538</v>
      </c>
      <c r="X711" s="67"/>
      <c r="Y711" s="67"/>
      <c r="Z711" s="124" t="s">
        <v>743</v>
      </c>
      <c r="AA711" s="124" t="s">
        <v>1169</v>
      </c>
      <c r="AB711" s="124" t="s">
        <v>1174</v>
      </c>
      <c r="AC711" s="375"/>
    </row>
    <row r="712" spans="1:29" ht="63.75" hidden="1">
      <c r="A712" s="67">
        <v>712</v>
      </c>
      <c r="B712" s="69">
        <v>45196</v>
      </c>
      <c r="C712" s="74">
        <v>0.34236111111111112</v>
      </c>
      <c r="D712" s="67" t="s">
        <v>3012</v>
      </c>
      <c r="E712" s="68" t="s">
        <v>3101</v>
      </c>
      <c r="F712" s="67">
        <v>1</v>
      </c>
      <c r="G712" s="67" t="s">
        <v>2789</v>
      </c>
      <c r="H712" s="69">
        <v>45209</v>
      </c>
      <c r="I712" s="69" t="s">
        <v>1086</v>
      </c>
      <c r="J712" s="69" t="s">
        <v>1221</v>
      </c>
      <c r="K712" s="67" t="s">
        <v>2344</v>
      </c>
      <c r="L712" s="67" t="s">
        <v>812</v>
      </c>
      <c r="M712" s="67" t="s">
        <v>712</v>
      </c>
      <c r="N712" s="67" t="s">
        <v>3287</v>
      </c>
      <c r="O712" s="67" t="str">
        <f t="shared" ca="1" si="41"/>
        <v>SI</v>
      </c>
      <c r="P712" s="67" t="str">
        <f t="shared" si="44"/>
        <v>DIANOSOL</v>
      </c>
      <c r="Q712" s="67" t="s">
        <v>904</v>
      </c>
      <c r="R712" s="67" t="str">
        <f>VLOOKUP($Q712,Resultados!$A$1:$B$49,2,FALSE)</f>
        <v>Juicio Abreviado</v>
      </c>
      <c r="S712" s="67" t="s">
        <v>1238</v>
      </c>
      <c r="T712" s="77" t="str">
        <f t="shared" si="43"/>
        <v>NO</v>
      </c>
      <c r="U712" s="77"/>
      <c r="V712" s="67"/>
      <c r="W712" s="67" t="s">
        <v>1746</v>
      </c>
      <c r="X712" s="67" t="s">
        <v>3288</v>
      </c>
      <c r="Y712" s="67"/>
      <c r="Z712" s="124" t="s">
        <v>748</v>
      </c>
      <c r="AA712" s="124" t="s">
        <v>1171</v>
      </c>
      <c r="AB712" s="124" t="s">
        <v>1173</v>
      </c>
      <c r="AC712" s="375"/>
    </row>
    <row r="713" spans="1:29" ht="63.75" hidden="1">
      <c r="A713" s="67">
        <v>715</v>
      </c>
      <c r="B713" s="69">
        <v>45196</v>
      </c>
      <c r="C713" s="74">
        <v>0.49791666666666662</v>
      </c>
      <c r="D713" s="67" t="s">
        <v>3028</v>
      </c>
      <c r="E713" s="68" t="s">
        <v>3267</v>
      </c>
      <c r="F713" s="67">
        <v>8</v>
      </c>
      <c r="G713" s="67" t="s">
        <v>1443</v>
      </c>
      <c r="H713" s="69">
        <v>45209</v>
      </c>
      <c r="I713" s="69" t="s">
        <v>1086</v>
      </c>
      <c r="J713" s="69" t="s">
        <v>2952</v>
      </c>
      <c r="K713" s="67" t="s">
        <v>1926</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1243</v>
      </c>
      <c r="T713" s="86" t="str">
        <f t="shared" si="43"/>
        <v>NO</v>
      </c>
      <c r="U713" s="86"/>
      <c r="V713" s="83"/>
      <c r="W713" s="67" t="s">
        <v>2909</v>
      </c>
      <c r="X713" s="67" t="s">
        <v>2572</v>
      </c>
      <c r="Y713" s="67"/>
      <c r="Z713" s="124" t="s">
        <v>770</v>
      </c>
      <c r="AA713" s="124" t="s">
        <v>1171</v>
      </c>
      <c r="AB713" s="124" t="s">
        <v>1175</v>
      </c>
      <c r="AC713" s="375"/>
    </row>
    <row r="714" spans="1:29" ht="51" hidden="1">
      <c r="A714" s="67">
        <v>721</v>
      </c>
      <c r="B714" s="69">
        <v>45197</v>
      </c>
      <c r="C714" s="67" t="s">
        <v>1570</v>
      </c>
      <c r="D714" s="67" t="s">
        <v>3045</v>
      </c>
      <c r="E714" s="68" t="s">
        <v>3130</v>
      </c>
      <c r="F714" s="67">
        <v>1</v>
      </c>
      <c r="G714" s="67" t="s">
        <v>2774</v>
      </c>
      <c r="H714" s="69">
        <v>45209</v>
      </c>
      <c r="I714" s="69" t="s">
        <v>1086</v>
      </c>
      <c r="J714" s="69" t="s">
        <v>33</v>
      </c>
      <c r="K714" s="67">
        <f>IFERROR(VLOOKUP(J714,Jueces!$A$1:$B$11,2,FALSE),"")</f>
        <v>4</v>
      </c>
      <c r="L714" s="67" t="s">
        <v>791</v>
      </c>
      <c r="M714" s="67" t="s">
        <v>711</v>
      </c>
      <c r="N714" s="67" t="s">
        <v>3296</v>
      </c>
      <c r="O714" s="83" t="str">
        <f t="shared" ca="1" si="41"/>
        <v>SI</v>
      </c>
      <c r="P714" s="83" t="str">
        <f t="shared" si="44"/>
        <v>DIANOSOL</v>
      </c>
      <c r="Q714" s="67" t="s">
        <v>904</v>
      </c>
      <c r="R714" s="67" t="str">
        <f>VLOOKUP($Q714,Resultados!$A$1:$B$49,2,FALSE)</f>
        <v>Juicio Abreviado</v>
      </c>
      <c r="S714" s="67" t="s">
        <v>1189</v>
      </c>
      <c r="T714" s="86" t="str">
        <f t="shared" si="43"/>
        <v>NO</v>
      </c>
      <c r="U714" s="86"/>
      <c r="V714" s="83"/>
      <c r="W714" s="67" t="s">
        <v>1592</v>
      </c>
      <c r="X714" s="67" t="s">
        <v>3297</v>
      </c>
      <c r="Y714" s="67"/>
      <c r="Z714" s="124" t="s">
        <v>2868</v>
      </c>
      <c r="AA714" s="124" t="s">
        <v>1169</v>
      </c>
      <c r="AB714" s="124" t="s">
        <v>1177</v>
      </c>
      <c r="AC714" s="375"/>
    </row>
    <row r="715" spans="1:29" ht="38.25" hidden="1">
      <c r="A715" s="67">
        <v>772</v>
      </c>
      <c r="B715" s="69"/>
      <c r="C715" s="67"/>
      <c r="D715" s="67" t="s">
        <v>2713</v>
      </c>
      <c r="E715" s="68" t="s">
        <v>2714</v>
      </c>
      <c r="F715" s="67">
        <v>7</v>
      </c>
      <c r="G715" s="67" t="s">
        <v>2776</v>
      </c>
      <c r="H715" s="69">
        <v>45209</v>
      </c>
      <c r="I715" s="69" t="s">
        <v>75</v>
      </c>
      <c r="J715" s="69" t="s">
        <v>33</v>
      </c>
      <c r="K715" s="67" t="s">
        <v>2305</v>
      </c>
      <c r="L715" s="67" t="s">
        <v>809</v>
      </c>
      <c r="M715" s="67" t="s">
        <v>700</v>
      </c>
      <c r="N715" s="67" t="s">
        <v>3320</v>
      </c>
      <c r="O715" s="83" t="str">
        <f t="shared" ca="1" si="41"/>
        <v>SI</v>
      </c>
      <c r="P715" s="83" t="str">
        <f t="shared" si="44"/>
        <v>DIANOSOL</v>
      </c>
      <c r="Q715" s="67" t="s">
        <v>904</v>
      </c>
      <c r="R715" s="67" t="str">
        <f>VLOOKUP($Q715,Resultados!$A$1:$B$49,2,FALSE)</f>
        <v>Juicio Abreviado</v>
      </c>
      <c r="S715" s="67" t="s">
        <v>3298</v>
      </c>
      <c r="T715" s="86" t="str">
        <f t="shared" si="43"/>
        <v>NO</v>
      </c>
      <c r="U715" s="86"/>
      <c r="V715" s="83"/>
      <c r="W715" s="67" t="s">
        <v>3299</v>
      </c>
      <c r="X715" s="67" t="s">
        <v>3300</v>
      </c>
      <c r="Y715" s="67"/>
      <c r="Z715" s="124" t="s">
        <v>2896</v>
      </c>
      <c r="AA715" s="67"/>
      <c r="AB715" s="124" t="s">
        <v>1174</v>
      </c>
      <c r="AC715" s="375"/>
    </row>
    <row r="716" spans="1:29" ht="38.25" hidden="1">
      <c r="A716" s="67">
        <v>702</v>
      </c>
      <c r="B716" s="69">
        <v>45194</v>
      </c>
      <c r="C716" s="74">
        <v>0.38472222222222219</v>
      </c>
      <c r="D716" s="67" t="s">
        <v>2973</v>
      </c>
      <c r="E716" s="68" t="s">
        <v>2974</v>
      </c>
      <c r="F716" s="67">
        <v>8</v>
      </c>
      <c r="G716" s="67" t="s">
        <v>2775</v>
      </c>
      <c r="H716" s="69">
        <v>45210</v>
      </c>
      <c r="I716" s="69" t="s">
        <v>73</v>
      </c>
      <c r="J716" s="69" t="s">
        <v>1221</v>
      </c>
      <c r="K716" s="67" t="s">
        <v>1926</v>
      </c>
      <c r="L716" s="67" t="s">
        <v>796</v>
      </c>
      <c r="M716" s="67" t="s">
        <v>3104</v>
      </c>
      <c r="N716" s="67" t="s">
        <v>3363</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1130</v>
      </c>
      <c r="X716" s="67"/>
      <c r="Y716" s="67"/>
      <c r="Z716" s="124" t="s">
        <v>2868</v>
      </c>
      <c r="AA716" s="124" t="s">
        <v>2853</v>
      </c>
      <c r="AB716" s="124" t="s">
        <v>3304</v>
      </c>
      <c r="AC716" s="375"/>
    </row>
    <row r="717" spans="1:29" ht="76.5" hidden="1">
      <c r="A717" s="67">
        <v>704</v>
      </c>
      <c r="B717" s="69">
        <v>45195</v>
      </c>
      <c r="C717" s="74">
        <v>0.4055555555555555</v>
      </c>
      <c r="D717" s="67" t="s">
        <v>2979</v>
      </c>
      <c r="E717" s="68" t="s">
        <v>3160</v>
      </c>
      <c r="F717" s="67">
        <v>1</v>
      </c>
      <c r="G717" s="67" t="s">
        <v>2774</v>
      </c>
      <c r="H717" s="69">
        <v>45210</v>
      </c>
      <c r="I717" s="69" t="s">
        <v>73</v>
      </c>
      <c r="J717" s="69" t="s">
        <v>2955</v>
      </c>
      <c r="K717" s="67" t="s">
        <v>2395</v>
      </c>
      <c r="L717" s="67" t="s">
        <v>791</v>
      </c>
      <c r="M717" s="67" t="s">
        <v>711</v>
      </c>
      <c r="N717" s="67" t="s">
        <v>1753</v>
      </c>
      <c r="O717" s="83" t="str">
        <f t="shared" ca="1" si="41"/>
        <v>SI</v>
      </c>
      <c r="P717" s="83" t="str">
        <f t="shared" si="44"/>
        <v>DIANOSOL</v>
      </c>
      <c r="Q717" s="67" t="s">
        <v>151</v>
      </c>
      <c r="R717" s="67" t="str">
        <f>VLOOKUP($Q717,Resultados!$A$1:$B$49,2,FALSE)</f>
        <v>Prisión Preventiva</v>
      </c>
      <c r="S717" s="67" t="s">
        <v>2712</v>
      </c>
      <c r="T717" s="86" t="str">
        <f t="shared" si="43"/>
        <v>NO</v>
      </c>
      <c r="U717" s="86"/>
      <c r="V717" s="83"/>
      <c r="W717" s="67" t="s">
        <v>1034</v>
      </c>
      <c r="X717" s="156"/>
      <c r="Y717" s="67"/>
      <c r="Z717" s="124" t="s">
        <v>748</v>
      </c>
      <c r="AA717" s="124" t="s">
        <v>1169</v>
      </c>
      <c r="AB717" s="124" t="s">
        <v>1173</v>
      </c>
      <c r="AC717" s="375"/>
    </row>
    <row r="718" spans="1:29" ht="63.75" hidden="1">
      <c r="A718" s="67">
        <v>714</v>
      </c>
      <c r="B718" s="69">
        <v>45196</v>
      </c>
      <c r="C718" s="74">
        <v>0.48194444444444445</v>
      </c>
      <c r="D718" s="67" t="s">
        <v>3025</v>
      </c>
      <c r="E718" s="68" t="s">
        <v>3314</v>
      </c>
      <c r="F718" s="67">
        <v>1</v>
      </c>
      <c r="G718" s="67" t="s">
        <v>568</v>
      </c>
      <c r="H718" s="69">
        <v>45210</v>
      </c>
      <c r="I718" s="69" t="s">
        <v>73</v>
      </c>
      <c r="J718" s="69" t="s">
        <v>35</v>
      </c>
      <c r="K718" s="67">
        <f>IFERROR(VLOOKUP(J718,Jueces!$A$1:$B$11,2,FALSE),"")</f>
        <v>3</v>
      </c>
      <c r="L718" s="67" t="s">
        <v>2089</v>
      </c>
      <c r="M718" s="67" t="s">
        <v>712</v>
      </c>
      <c r="N718" s="67" t="s">
        <v>3351</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1458</v>
      </c>
      <c r="X718" s="230" t="s">
        <v>3352</v>
      </c>
      <c r="Y718" s="67"/>
      <c r="Z718" s="124" t="s">
        <v>770</v>
      </c>
      <c r="AA718" s="124" t="s">
        <v>1169</v>
      </c>
      <c r="AB718" s="124" t="s">
        <v>3303</v>
      </c>
      <c r="AC718" s="375"/>
    </row>
    <row r="719" spans="1:29" ht="51" hidden="1">
      <c r="A719" s="67">
        <v>717</v>
      </c>
      <c r="B719" s="69">
        <v>45197</v>
      </c>
      <c r="C719" s="74">
        <v>0.33333333333333331</v>
      </c>
      <c r="D719" s="67" t="s">
        <v>3039</v>
      </c>
      <c r="E719" s="68" t="s">
        <v>3105</v>
      </c>
      <c r="F719" s="67">
        <v>8</v>
      </c>
      <c r="G719" s="67" t="s">
        <v>2839</v>
      </c>
      <c r="H719" s="69">
        <v>45210</v>
      </c>
      <c r="I719" s="69" t="s">
        <v>73</v>
      </c>
      <c r="J719" s="69" t="s">
        <v>1732</v>
      </c>
      <c r="K719" s="67" t="s">
        <v>1346</v>
      </c>
      <c r="L719" s="67" t="s">
        <v>809</v>
      </c>
      <c r="M719" s="67"/>
      <c r="N719" s="67" t="s">
        <v>3416</v>
      </c>
      <c r="O719" s="83" t="str">
        <f t="shared" ca="1" si="45"/>
        <v>SI</v>
      </c>
      <c r="P719" s="83" t="str">
        <f t="shared" si="44"/>
        <v>DIANOSOL</v>
      </c>
      <c r="Q719" s="67" t="s">
        <v>905</v>
      </c>
      <c r="R719" s="67" t="s">
        <v>100</v>
      </c>
      <c r="S719" s="67" t="s">
        <v>3357</v>
      </c>
      <c r="T719" s="86" t="str">
        <f t="shared" si="43"/>
        <v>NO</v>
      </c>
      <c r="U719" s="86"/>
      <c r="V719" s="83"/>
      <c r="W719" s="67" t="s">
        <v>3358</v>
      </c>
      <c r="X719" s="234"/>
      <c r="Y719" s="67"/>
      <c r="Z719" s="124" t="s">
        <v>2896</v>
      </c>
      <c r="AA719" s="124" t="s">
        <v>2853</v>
      </c>
      <c r="AB719" s="124" t="s">
        <v>1175</v>
      </c>
      <c r="AC719" s="375"/>
    </row>
    <row r="720" spans="1:29" ht="51" hidden="1">
      <c r="A720" s="67">
        <v>707</v>
      </c>
      <c r="B720" s="69">
        <v>45195</v>
      </c>
      <c r="C720" s="74">
        <v>0.5395833333333333</v>
      </c>
      <c r="D720" s="67" t="s">
        <v>2998</v>
      </c>
      <c r="E720" s="68" t="s">
        <v>3102</v>
      </c>
      <c r="F720" s="67">
        <v>1</v>
      </c>
      <c r="G720" s="67" t="s">
        <v>1442</v>
      </c>
      <c r="H720" s="69">
        <v>45210</v>
      </c>
      <c r="I720" s="69" t="s">
        <v>1086</v>
      </c>
      <c r="J720" s="69" t="s">
        <v>2952</v>
      </c>
      <c r="K720" s="67" t="s">
        <v>1926</v>
      </c>
      <c r="L720" s="67" t="s">
        <v>2238</v>
      </c>
      <c r="M720" s="67" t="s">
        <v>712</v>
      </c>
      <c r="N720" s="67" t="s">
        <v>3353</v>
      </c>
      <c r="O720" s="83" t="str">
        <f t="shared" ca="1" si="45"/>
        <v>SI</v>
      </c>
      <c r="P720" s="83" t="str">
        <f t="shared" si="44"/>
        <v>DIANOSOL</v>
      </c>
      <c r="Q720" s="67" t="s">
        <v>899</v>
      </c>
      <c r="R720" s="67" t="str">
        <f>VLOOKUP($Q720,Resultados!$A$1:$B$49,2,FALSE)</f>
        <v>Libertad</v>
      </c>
      <c r="S720" s="67" t="s">
        <v>1050</v>
      </c>
      <c r="T720" s="86" t="str">
        <f t="shared" si="43"/>
        <v>SI</v>
      </c>
      <c r="U720" s="86"/>
      <c r="V720" s="83"/>
      <c r="W720" s="67" t="s">
        <v>1276</v>
      </c>
      <c r="X720" s="67"/>
      <c r="Y720" s="67"/>
      <c r="Z720" s="124" t="s">
        <v>2868</v>
      </c>
      <c r="AA720" s="124" t="s">
        <v>1171</v>
      </c>
      <c r="AB720" s="124" t="s">
        <v>1177</v>
      </c>
      <c r="AC720" s="375"/>
    </row>
    <row r="721" spans="1:29" ht="38.25" hidden="1">
      <c r="A721" s="67">
        <v>751</v>
      </c>
      <c r="B721" s="69">
        <v>45202</v>
      </c>
      <c r="C721" s="74">
        <v>0.44861111111111113</v>
      </c>
      <c r="D721" s="67" t="s">
        <v>3169</v>
      </c>
      <c r="E721" s="68" t="s">
        <v>3209</v>
      </c>
      <c r="F721" s="67">
        <v>2</v>
      </c>
      <c r="G721" s="67" t="s">
        <v>1443</v>
      </c>
      <c r="H721" s="69">
        <v>45210</v>
      </c>
      <c r="I721" s="69" t="s">
        <v>1086</v>
      </c>
      <c r="J721" s="69" t="s">
        <v>1225</v>
      </c>
      <c r="K721" s="67">
        <f>IFERROR(VLOOKUP(J721,Jueces!$A$1:$B$11,2,FALSE),"")</f>
        <v>6</v>
      </c>
      <c r="L721" s="67" t="s">
        <v>791</v>
      </c>
      <c r="M721" s="67" t="s">
        <v>692</v>
      </c>
      <c r="N721" s="67" t="s">
        <v>3364</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1125</v>
      </c>
      <c r="X721" s="67"/>
      <c r="Y721" s="67"/>
      <c r="Z721" s="124" t="s">
        <v>748</v>
      </c>
      <c r="AA721" s="344" t="s">
        <v>1171</v>
      </c>
      <c r="AB721" s="124" t="s">
        <v>1174</v>
      </c>
      <c r="AC721" s="375"/>
    </row>
    <row r="722" spans="1:29" ht="76.5" hidden="1">
      <c r="A722" s="67">
        <v>709</v>
      </c>
      <c r="B722" s="69">
        <v>45195</v>
      </c>
      <c r="C722" s="74">
        <v>0.53194444444444444</v>
      </c>
      <c r="D722" s="67" t="s">
        <v>3000</v>
      </c>
      <c r="E722" s="68" t="s">
        <v>3113</v>
      </c>
      <c r="F722" s="67">
        <v>1</v>
      </c>
      <c r="G722" s="67" t="s">
        <v>283</v>
      </c>
      <c r="H722" s="69">
        <v>45210</v>
      </c>
      <c r="I722" s="69" t="s">
        <v>547</v>
      </c>
      <c r="J722" s="69" t="s">
        <v>33</v>
      </c>
      <c r="K722" s="67">
        <f>IFERROR(VLOOKUP(J722,Jueces!$A$1:$B$11,2,FALSE),"")</f>
        <v>4</v>
      </c>
      <c r="L722" s="67" t="s">
        <v>812</v>
      </c>
      <c r="M722" s="67" t="s">
        <v>711</v>
      </c>
      <c r="N722" s="67" t="s">
        <v>3355</v>
      </c>
      <c r="O722" s="83" t="str">
        <f t="shared" ca="1" si="45"/>
        <v>SI</v>
      </c>
      <c r="P722" s="83" t="str">
        <f t="shared" si="44"/>
        <v>DIANOSOL</v>
      </c>
      <c r="Q722" s="67" t="s">
        <v>904</v>
      </c>
      <c r="R722" s="67" t="str">
        <f>VLOOKUP($Q722,Resultados!$A$1:$B$49,2,FALSE)</f>
        <v>Juicio Abreviado</v>
      </c>
      <c r="S722" s="67" t="s">
        <v>3354</v>
      </c>
      <c r="T722" s="86" t="str">
        <f t="shared" si="43"/>
        <v>NO</v>
      </c>
      <c r="U722" s="86"/>
      <c r="V722" s="83"/>
      <c r="W722" s="67" t="s">
        <v>1639</v>
      </c>
      <c r="X722" s="274" t="s">
        <v>3356</v>
      </c>
      <c r="Y722" s="67"/>
      <c r="Z722" s="124" t="s">
        <v>2896</v>
      </c>
      <c r="AA722" s="124" t="s">
        <v>2853</v>
      </c>
      <c r="AB722" s="124" t="s">
        <v>1173</v>
      </c>
      <c r="AC722" s="375"/>
    </row>
    <row r="723" spans="1:29" ht="63.75" hidden="1">
      <c r="A723" s="67">
        <v>730</v>
      </c>
      <c r="B723" s="69">
        <v>45198</v>
      </c>
      <c r="C723" s="67" t="s">
        <v>2278</v>
      </c>
      <c r="D723" s="67" t="s">
        <v>3088</v>
      </c>
      <c r="E723" s="68" t="s">
        <v>3286</v>
      </c>
      <c r="F723" s="67">
        <v>1</v>
      </c>
      <c r="G723" s="67" t="s">
        <v>29</v>
      </c>
      <c r="H723" s="69">
        <v>45210</v>
      </c>
      <c r="I723" s="69" t="s">
        <v>1562</v>
      </c>
      <c r="J723" s="69" t="s">
        <v>1221</v>
      </c>
      <c r="K723" s="67" t="s">
        <v>1346</v>
      </c>
      <c r="L723" s="67" t="s">
        <v>2738</v>
      </c>
      <c r="M723" s="67" t="s">
        <v>711</v>
      </c>
      <c r="N723" s="67" t="s">
        <v>1753</v>
      </c>
      <c r="O723" s="83" t="str">
        <f t="shared" ca="1" si="45"/>
        <v>SI</v>
      </c>
      <c r="P723" s="83" t="str">
        <f t="shared" si="44"/>
        <v>DIANOSOL</v>
      </c>
      <c r="Q723" s="67" t="s">
        <v>151</v>
      </c>
      <c r="R723" s="67" t="str">
        <f>VLOOKUP($Q723,Resultados!$A$1:$B$49,2,FALSE)</f>
        <v>Prisión Preventiva</v>
      </c>
      <c r="S723" s="67" t="s">
        <v>1239</v>
      </c>
      <c r="T723" s="86" t="str">
        <f t="shared" si="43"/>
        <v>NO</v>
      </c>
      <c r="U723" s="86"/>
      <c r="V723" s="83"/>
      <c r="W723" s="67" t="s">
        <v>3361</v>
      </c>
      <c r="X723" s="394" t="s">
        <v>3362</v>
      </c>
      <c r="Y723" s="67"/>
      <c r="Z723" s="124" t="s">
        <v>770</v>
      </c>
      <c r="AA723" s="124" t="s">
        <v>1171</v>
      </c>
      <c r="AB723" s="124" t="s">
        <v>3303</v>
      </c>
      <c r="AC723" s="375"/>
    </row>
    <row r="724" spans="1:29" ht="63.75" hidden="1">
      <c r="A724" s="67">
        <v>736</v>
      </c>
      <c r="B724" s="69">
        <v>45197</v>
      </c>
      <c r="C724" s="67" t="s">
        <v>1465</v>
      </c>
      <c r="D724" s="67" t="s">
        <v>3107</v>
      </c>
      <c r="E724" s="68" t="s">
        <v>3114</v>
      </c>
      <c r="F724" s="67">
        <v>1</v>
      </c>
      <c r="G724" s="67" t="s">
        <v>1441</v>
      </c>
      <c r="H724" s="69">
        <v>45210</v>
      </c>
      <c r="I724" s="69" t="s">
        <v>1562</v>
      </c>
      <c r="J724" s="69" t="s">
        <v>33</v>
      </c>
      <c r="K724" s="67">
        <f>IFERROR(VLOOKUP(J724,Jueces!$A$1:$B$11,2,FALSE),"")</f>
        <v>4</v>
      </c>
      <c r="L724" s="67" t="s">
        <v>799</v>
      </c>
      <c r="M724" s="67" t="s">
        <v>1179</v>
      </c>
      <c r="N724" s="67" t="s">
        <v>3359</v>
      </c>
      <c r="O724" s="83" t="str">
        <f t="shared" ca="1" si="45"/>
        <v>SI</v>
      </c>
      <c r="P724" s="83" t="str">
        <f t="shared" si="44"/>
        <v>DIANOSOL</v>
      </c>
      <c r="Q724" s="67" t="s">
        <v>905</v>
      </c>
      <c r="R724" s="67" t="str">
        <f>VLOOKUP($Q724,Resultados!$A$1:$B$49,2,FALSE)</f>
        <v>Juicio Abreviado</v>
      </c>
      <c r="S724" s="67" t="s">
        <v>3357</v>
      </c>
      <c r="T724" s="67" t="s">
        <v>3358</v>
      </c>
      <c r="U724" s="86"/>
      <c r="V724" s="83"/>
      <c r="W724" s="67" t="s">
        <v>3358</v>
      </c>
      <c r="X724" s="230" t="s">
        <v>3360</v>
      </c>
      <c r="Y724" s="67"/>
      <c r="Z724" s="124" t="s">
        <v>743</v>
      </c>
      <c r="AA724" s="124" t="s">
        <v>1169</v>
      </c>
      <c r="AB724" s="124" t="s">
        <v>1175</v>
      </c>
      <c r="AC724" s="375"/>
    </row>
    <row r="725" spans="1:29" ht="178.5" hidden="1">
      <c r="A725" s="67">
        <v>671</v>
      </c>
      <c r="B725" s="69">
        <v>45189</v>
      </c>
      <c r="C725" s="74">
        <v>0.43472222222222223</v>
      </c>
      <c r="D725" s="67" t="s">
        <v>2851</v>
      </c>
      <c r="E725" s="68" t="s">
        <v>2888</v>
      </c>
      <c r="F725" s="67">
        <v>7</v>
      </c>
      <c r="G725" s="67" t="s">
        <v>283</v>
      </c>
      <c r="H725" s="69">
        <v>45211</v>
      </c>
      <c r="I725" s="69" t="s">
        <v>73</v>
      </c>
      <c r="J725" s="69" t="s">
        <v>35</v>
      </c>
      <c r="K725" s="67">
        <f>IFERROR(VLOOKUP(J725,Jueces!$A$1:$B$11,2,FALSE),"")</f>
        <v>3</v>
      </c>
      <c r="L725" s="67" t="s">
        <v>1070</v>
      </c>
      <c r="M725" s="67" t="s">
        <v>2887</v>
      </c>
      <c r="N725" s="67" t="s">
        <v>3413</v>
      </c>
      <c r="O725" s="67" t="str">
        <f t="shared" ca="1" si="45"/>
        <v>SI</v>
      </c>
      <c r="P725" s="67" t="str">
        <f t="shared" si="44"/>
        <v>DIANOSOL</v>
      </c>
      <c r="Q725" s="67" t="s">
        <v>151</v>
      </c>
      <c r="R725" s="67" t="s">
        <v>151</v>
      </c>
      <c r="S725" s="67" t="s">
        <v>1187</v>
      </c>
      <c r="T725" s="77" t="str">
        <f t="shared" ref="T725:T756" si="46">IF(G725=$J$1,"SI","NO")</f>
        <v>NO</v>
      </c>
      <c r="U725" s="77"/>
      <c r="V725" s="67"/>
      <c r="W725" s="67" t="s">
        <v>3414</v>
      </c>
      <c r="X725" s="67" t="s">
        <v>3415</v>
      </c>
      <c r="Y725" s="67"/>
      <c r="Z725" s="344" t="s">
        <v>770</v>
      </c>
      <c r="AA725" s="124" t="s">
        <v>2853</v>
      </c>
      <c r="AB725" s="77" t="s">
        <v>3367</v>
      </c>
      <c r="AC725" s="375"/>
    </row>
    <row r="726" spans="1:29" ht="39.950000000000003" hidden="1" customHeight="1">
      <c r="A726" s="67">
        <v>734</v>
      </c>
      <c r="B726" s="69">
        <v>45197</v>
      </c>
      <c r="C726" s="67" t="s">
        <v>1372</v>
      </c>
      <c r="D726" s="67" t="s">
        <v>3093</v>
      </c>
      <c r="E726" s="68" t="s">
        <v>3094</v>
      </c>
      <c r="F726" s="67">
        <v>8</v>
      </c>
      <c r="G726" s="67" t="s">
        <v>43</v>
      </c>
      <c r="H726" s="69">
        <v>45211</v>
      </c>
      <c r="I726" s="69" t="s">
        <v>73</v>
      </c>
      <c r="J726" s="69" t="s">
        <v>1220</v>
      </c>
      <c r="K726" s="67">
        <f>IFERROR(VLOOKUP(J726,Jueces!$A$1:$B$11,2,FALSE),"")</f>
        <v>1</v>
      </c>
      <c r="L726" s="67" t="s">
        <v>811</v>
      </c>
      <c r="M726" s="67" t="s">
        <v>1087</v>
      </c>
      <c r="N726" s="67" t="s">
        <v>3417</v>
      </c>
      <c r="O726" s="67" t="str">
        <f t="shared" ca="1" si="45"/>
        <v>SI</v>
      </c>
      <c r="P726" s="67" t="str">
        <f t="shared" si="44"/>
        <v>DIANOSOL</v>
      </c>
      <c r="Q726" s="67" t="s">
        <v>905</v>
      </c>
      <c r="R726" s="67" t="str">
        <f>VLOOKUP($Q726,Resultados!$A$1:$B$49,2,FALSE)</f>
        <v>Juicio Abreviado</v>
      </c>
      <c r="S726" s="67" t="s">
        <v>1210</v>
      </c>
      <c r="T726" s="77" t="str">
        <f t="shared" si="46"/>
        <v>NO</v>
      </c>
      <c r="U726" s="77"/>
      <c r="V726" s="67"/>
      <c r="W726" s="67" t="s">
        <v>2568</v>
      </c>
      <c r="X726" s="67" t="s">
        <v>3418</v>
      </c>
      <c r="Y726" s="67"/>
      <c r="Z726" s="344" t="s">
        <v>3365</v>
      </c>
      <c r="AA726" s="124" t="s">
        <v>1169</v>
      </c>
      <c r="AB726" s="124" t="s">
        <v>1173</v>
      </c>
      <c r="AC726" s="375"/>
    </row>
    <row r="727" spans="1:29" ht="39.950000000000003" hidden="1" customHeight="1">
      <c r="A727" s="67">
        <v>742</v>
      </c>
      <c r="B727" s="69">
        <v>45201</v>
      </c>
      <c r="C727" s="74">
        <v>0.38958333333333334</v>
      </c>
      <c r="D727" s="67" t="s">
        <v>2691</v>
      </c>
      <c r="E727" s="68" t="s">
        <v>2730</v>
      </c>
      <c r="F727" s="67">
        <v>8</v>
      </c>
      <c r="G727" s="67" t="s">
        <v>2775</v>
      </c>
      <c r="H727" s="69">
        <v>45211</v>
      </c>
      <c r="I727" s="69" t="s">
        <v>73</v>
      </c>
      <c r="J727" s="69" t="s">
        <v>1221</v>
      </c>
      <c r="K727" s="67" t="s">
        <v>2344</v>
      </c>
      <c r="L727" s="67" t="s">
        <v>789</v>
      </c>
      <c r="M727" s="67" t="s">
        <v>887</v>
      </c>
      <c r="N727" s="67" t="s">
        <v>3406</v>
      </c>
      <c r="O727" s="67" t="str">
        <f t="shared" ca="1" si="45"/>
        <v>SI</v>
      </c>
      <c r="P727" s="67" t="str">
        <f t="shared" si="44"/>
        <v>DIANOSOL</v>
      </c>
      <c r="Q727" s="67" t="s">
        <v>904</v>
      </c>
      <c r="R727" s="67" t="str">
        <f>VLOOKUP($Q727,Resultados!$A$1:$B$49,2,FALSE)</f>
        <v>Juicio Abreviado</v>
      </c>
      <c r="S727" s="74" t="s">
        <v>1129</v>
      </c>
      <c r="T727" s="77" t="str">
        <f t="shared" si="46"/>
        <v>NO</v>
      </c>
      <c r="U727" s="77"/>
      <c r="V727" s="67"/>
      <c r="W727" s="67" t="s">
        <v>1135</v>
      </c>
      <c r="X727" s="67" t="s">
        <v>2985</v>
      </c>
      <c r="Y727" s="67"/>
      <c r="Z727" s="344" t="s">
        <v>2896</v>
      </c>
      <c r="AA727" s="124" t="s">
        <v>2853</v>
      </c>
      <c r="AB727" s="124" t="s">
        <v>3303</v>
      </c>
      <c r="AC727" s="375"/>
    </row>
    <row r="728" spans="1:29" ht="39.950000000000003" hidden="1" customHeight="1">
      <c r="A728" s="67">
        <v>752</v>
      </c>
      <c r="B728" s="69">
        <v>45202</v>
      </c>
      <c r="C728" s="74">
        <v>0.47500000000000003</v>
      </c>
      <c r="D728" s="67" t="s">
        <v>3170</v>
      </c>
      <c r="E728" s="68" t="s">
        <v>3171</v>
      </c>
      <c r="F728" s="67">
        <v>1</v>
      </c>
      <c r="G728" s="67" t="s">
        <v>2789</v>
      </c>
      <c r="H728" s="69">
        <v>45211</v>
      </c>
      <c r="I728" s="69" t="s">
        <v>73</v>
      </c>
      <c r="J728" s="69" t="s">
        <v>1732</v>
      </c>
      <c r="K728" s="67" t="s">
        <v>1926</v>
      </c>
      <c r="L728" s="67" t="s">
        <v>801</v>
      </c>
      <c r="M728" s="67" t="s">
        <v>711</v>
      </c>
      <c r="N728" s="67" t="s">
        <v>3407</v>
      </c>
      <c r="O728" s="67" t="str">
        <f t="shared" ca="1" si="45"/>
        <v>SI</v>
      </c>
      <c r="P728" s="67" t="str">
        <f t="shared" si="44"/>
        <v>DIANOSOL</v>
      </c>
      <c r="Q728" s="67" t="s">
        <v>905</v>
      </c>
      <c r="R728" s="67" t="str">
        <f>VLOOKUP($Q728,Resultados!$A$1:$B$49,2,FALSE)</f>
        <v>Juicio Abreviado</v>
      </c>
      <c r="S728" s="67" t="s">
        <v>1587</v>
      </c>
      <c r="T728" s="77" t="str">
        <f t="shared" si="46"/>
        <v>NO</v>
      </c>
      <c r="U728" s="77"/>
      <c r="V728" s="67"/>
      <c r="W728" s="67" t="s">
        <v>1009</v>
      </c>
      <c r="X728" s="67" t="s">
        <v>2572</v>
      </c>
      <c r="Y728" s="67"/>
      <c r="Z728" s="344" t="s">
        <v>2868</v>
      </c>
      <c r="AA728" s="344" t="s">
        <v>1171</v>
      </c>
      <c r="AB728" s="124" t="s">
        <v>1175</v>
      </c>
      <c r="AC728" s="375"/>
    </row>
    <row r="729" spans="1:29" ht="39.950000000000003" hidden="1" customHeight="1">
      <c r="A729" s="67">
        <v>661</v>
      </c>
      <c r="B729" s="69">
        <v>45188</v>
      </c>
      <c r="C729" s="74">
        <v>0.50624999999999998</v>
      </c>
      <c r="D729" s="67" t="s">
        <v>2819</v>
      </c>
      <c r="E729" s="68" t="s">
        <v>2820</v>
      </c>
      <c r="F729" s="67">
        <v>8</v>
      </c>
      <c r="G729" s="67" t="s">
        <v>1441</v>
      </c>
      <c r="H729" s="69">
        <v>45211</v>
      </c>
      <c r="I729" s="69" t="s">
        <v>1086</v>
      </c>
      <c r="J729" s="69" t="s">
        <v>2952</v>
      </c>
      <c r="K729" s="67" t="s">
        <v>1926</v>
      </c>
      <c r="L729" s="67" t="s">
        <v>813</v>
      </c>
      <c r="M729" s="67" t="s">
        <v>1087</v>
      </c>
      <c r="N729" s="234" t="s">
        <v>3408</v>
      </c>
      <c r="O729" s="67" t="str">
        <f t="shared" ca="1" si="45"/>
        <v>SI</v>
      </c>
      <c r="P729" s="67" t="str">
        <f t="shared" si="44"/>
        <v>DIANOSOL</v>
      </c>
      <c r="Q729" s="67" t="s">
        <v>904</v>
      </c>
      <c r="R729" s="67" t="str">
        <f>VLOOKUP($Q729,Resultados!$A$1:$B$49,2,FALSE)</f>
        <v>Juicio Abreviado</v>
      </c>
      <c r="S729" s="67" t="s">
        <v>3409</v>
      </c>
      <c r="T729" s="77" t="str">
        <f t="shared" si="46"/>
        <v>NO</v>
      </c>
      <c r="U729" s="77"/>
      <c r="V729" s="67"/>
      <c r="W729" s="67" t="s">
        <v>1133</v>
      </c>
      <c r="X729" s="67" t="s">
        <v>2156</v>
      </c>
      <c r="Y729" s="67"/>
      <c r="Z729" s="344" t="s">
        <v>2868</v>
      </c>
      <c r="AA729" s="124" t="s">
        <v>1171</v>
      </c>
      <c r="AB729" s="124" t="s">
        <v>3367</v>
      </c>
      <c r="AC729" s="375"/>
    </row>
    <row r="730" spans="1:29" ht="39.950000000000003" hidden="1" customHeight="1">
      <c r="A730" s="67">
        <v>679</v>
      </c>
      <c r="B730" s="69">
        <v>45190</v>
      </c>
      <c r="C730" s="74">
        <v>0.3840277777777778</v>
      </c>
      <c r="D730" s="67" t="s">
        <v>2883</v>
      </c>
      <c r="E730" s="68" t="s">
        <v>2884</v>
      </c>
      <c r="F730" s="67">
        <v>8</v>
      </c>
      <c r="G730" s="67" t="s">
        <v>1442</v>
      </c>
      <c r="H730" s="69">
        <v>45211</v>
      </c>
      <c r="I730" s="69" t="s">
        <v>1086</v>
      </c>
      <c r="J730" s="69" t="s">
        <v>1221</v>
      </c>
      <c r="K730" s="67" t="s">
        <v>2344</v>
      </c>
      <c r="L730" s="67" t="s">
        <v>807</v>
      </c>
      <c r="M730" s="67" t="s">
        <v>887</v>
      </c>
      <c r="N730" s="234" t="s">
        <v>3410</v>
      </c>
      <c r="O730" s="67" t="str">
        <f t="shared" ca="1" si="45"/>
        <v>SI</v>
      </c>
      <c r="P730" s="67" t="str">
        <f t="shared" si="44"/>
        <v>DIANOSOL</v>
      </c>
      <c r="Q730" s="67" t="s">
        <v>904</v>
      </c>
      <c r="R730" s="67" t="str">
        <f>VLOOKUP($Q730,Resultados!$A$1:$B$49,2,FALSE)</f>
        <v>Juicio Abreviado</v>
      </c>
      <c r="S730" s="67" t="s">
        <v>1036</v>
      </c>
      <c r="T730" s="77" t="str">
        <f t="shared" si="46"/>
        <v>SI</v>
      </c>
      <c r="U730" s="77"/>
      <c r="V730" s="67"/>
      <c r="W730" s="67" t="s">
        <v>3411</v>
      </c>
      <c r="X730" s="67" t="s">
        <v>3198</v>
      </c>
      <c r="Y730" s="67"/>
      <c r="Z730" s="344" t="s">
        <v>2896</v>
      </c>
      <c r="AA730" s="124" t="s">
        <v>2853</v>
      </c>
      <c r="AB730" s="124" t="s">
        <v>1173</v>
      </c>
      <c r="AC730" s="375"/>
    </row>
    <row r="731" spans="1:29" ht="39.950000000000003" hidden="1" customHeight="1">
      <c r="A731" s="67">
        <v>720</v>
      </c>
      <c r="B731" s="69">
        <v>45197</v>
      </c>
      <c r="C731" s="67" t="s">
        <v>1450</v>
      </c>
      <c r="D731" s="67" t="s">
        <v>3044</v>
      </c>
      <c r="E731" s="68" t="s">
        <v>3111</v>
      </c>
      <c r="F731" s="67">
        <v>1</v>
      </c>
      <c r="G731" s="67" t="s">
        <v>2776</v>
      </c>
      <c r="H731" s="69">
        <v>45211</v>
      </c>
      <c r="I731" s="69" t="s">
        <v>2021</v>
      </c>
      <c r="J731" s="69" t="s">
        <v>33</v>
      </c>
      <c r="K731" s="67" t="s">
        <v>1926</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2519</v>
      </c>
      <c r="X731" s="67" t="s">
        <v>3412</v>
      </c>
      <c r="Y731" s="67"/>
      <c r="Z731" s="344" t="s">
        <v>3366</v>
      </c>
      <c r="AA731" s="124" t="s">
        <v>1169</v>
      </c>
      <c r="AB731" s="124" t="s">
        <v>1175</v>
      </c>
      <c r="AC731" s="375"/>
    </row>
    <row r="732" spans="1:29" ht="39.950000000000003" hidden="1" customHeight="1">
      <c r="A732" s="67">
        <v>731</v>
      </c>
      <c r="B732" s="69">
        <v>45198</v>
      </c>
      <c r="C732" s="67" t="s">
        <v>547</v>
      </c>
      <c r="D732" s="67" t="s">
        <v>3089</v>
      </c>
      <c r="E732" s="68" t="s">
        <v>3121</v>
      </c>
      <c r="F732" s="67">
        <v>1</v>
      </c>
      <c r="G732" s="67" t="s">
        <v>2774</v>
      </c>
      <c r="H732" s="69">
        <v>45216</v>
      </c>
      <c r="I732" s="69" t="s">
        <v>73</v>
      </c>
      <c r="J732" s="69" t="s">
        <v>1221</v>
      </c>
      <c r="K732" s="67" t="s">
        <v>2344</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1237</v>
      </c>
      <c r="X732" s="67" t="s">
        <v>2985</v>
      </c>
      <c r="Y732" s="67"/>
      <c r="Z732" s="344" t="s">
        <v>3420</v>
      </c>
      <c r="AA732" s="344" t="s">
        <v>1171</v>
      </c>
      <c r="AB732" s="344" t="s">
        <v>3367</v>
      </c>
      <c r="AC732" s="375"/>
    </row>
    <row r="733" spans="1:29" ht="39.950000000000003" hidden="1" customHeight="1">
      <c r="A733" s="67">
        <v>747</v>
      </c>
      <c r="B733" s="69">
        <v>45202</v>
      </c>
      <c r="C733" s="67" t="s">
        <v>1783</v>
      </c>
      <c r="D733" s="67" t="s">
        <v>3155</v>
      </c>
      <c r="E733" s="68" t="s">
        <v>3211</v>
      </c>
      <c r="F733" s="67">
        <v>1</v>
      </c>
      <c r="G733" s="67" t="s">
        <v>1443</v>
      </c>
      <c r="H733" s="69">
        <v>45216</v>
      </c>
      <c r="I733" s="69" t="s">
        <v>73</v>
      </c>
      <c r="J733" s="69" t="s">
        <v>2955</v>
      </c>
      <c r="K733" s="67" t="s">
        <v>1346</v>
      </c>
      <c r="L733" s="67" t="s">
        <v>793</v>
      </c>
      <c r="M733" s="67" t="s">
        <v>1087</v>
      </c>
      <c r="N733" s="67" t="s">
        <v>2983</v>
      </c>
      <c r="O733" s="67" t="str">
        <f t="shared" ca="1" si="45"/>
        <v>SI</v>
      </c>
      <c r="P733" s="67" t="str">
        <f t="shared" si="44"/>
        <v>DIANOSOL</v>
      </c>
      <c r="Q733" s="67" t="s">
        <v>905</v>
      </c>
      <c r="R733" s="67" t="str">
        <f>VLOOKUP($Q733,Resultados!$A$1:$B$49,2,FALSE)</f>
        <v>Juicio Abreviado</v>
      </c>
      <c r="S733" s="67" t="s">
        <v>1650</v>
      </c>
      <c r="T733" s="77" t="str">
        <f t="shared" si="46"/>
        <v>NO</v>
      </c>
      <c r="U733" s="77"/>
      <c r="V733" s="67"/>
      <c r="W733" s="67" t="s">
        <v>1084</v>
      </c>
      <c r="X733" s="67" t="s">
        <v>3442</v>
      </c>
      <c r="Y733" s="67"/>
      <c r="Z733" s="344" t="s">
        <v>748</v>
      </c>
      <c r="AA733" s="344" t="s">
        <v>1171</v>
      </c>
      <c r="AB733" s="344" t="s">
        <v>1177</v>
      </c>
      <c r="AC733" s="375"/>
    </row>
    <row r="734" spans="1:29" ht="39.950000000000003" hidden="1" customHeight="1">
      <c r="A734" s="67">
        <v>750</v>
      </c>
      <c r="B734" s="69">
        <v>45202</v>
      </c>
      <c r="C734" s="74">
        <v>0.45208333333333334</v>
      </c>
      <c r="D734" s="67" t="s">
        <v>3168</v>
      </c>
      <c r="E734" s="68" t="s">
        <v>3208</v>
      </c>
      <c r="F734" s="67">
        <v>2</v>
      </c>
      <c r="G734" s="67" t="s">
        <v>2775</v>
      </c>
      <c r="H734" s="69">
        <v>45216</v>
      </c>
      <c r="I734" s="69" t="s">
        <v>73</v>
      </c>
      <c r="J734" s="69" t="s">
        <v>2952</v>
      </c>
      <c r="K734" s="67" t="s">
        <v>1926</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3136</v>
      </c>
      <c r="X734" s="67"/>
      <c r="Y734" s="67"/>
      <c r="Z734" s="344" t="s">
        <v>2868</v>
      </c>
      <c r="AA734" s="344" t="s">
        <v>1169</v>
      </c>
      <c r="AB734" s="344" t="s">
        <v>1174</v>
      </c>
      <c r="AC734" s="375"/>
    </row>
    <row r="735" spans="1:29" ht="39.950000000000003" hidden="1" customHeight="1">
      <c r="A735" s="67">
        <v>744</v>
      </c>
      <c r="B735" s="69">
        <v>45201</v>
      </c>
      <c r="C735" s="67" t="s">
        <v>2762</v>
      </c>
      <c r="D735" s="67" t="s">
        <v>3148</v>
      </c>
      <c r="E735" s="68" t="s">
        <v>3149</v>
      </c>
      <c r="F735" s="67">
        <v>1</v>
      </c>
      <c r="G735" s="67" t="s">
        <v>1441</v>
      </c>
      <c r="H735" s="69">
        <v>45216</v>
      </c>
      <c r="I735" s="69" t="s">
        <v>749</v>
      </c>
      <c r="J735" s="69" t="s">
        <v>1225</v>
      </c>
      <c r="K735" s="67" t="s">
        <v>2395</v>
      </c>
      <c r="L735" s="67" t="s">
        <v>812</v>
      </c>
      <c r="M735" s="67" t="s">
        <v>712</v>
      </c>
      <c r="N735" s="67" t="s">
        <v>3440</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1392</v>
      </c>
      <c r="X735" s="67" t="s">
        <v>3441</v>
      </c>
      <c r="Y735" s="67"/>
      <c r="Z735" s="344" t="s">
        <v>2896</v>
      </c>
      <c r="AA735" s="344" t="s">
        <v>1169</v>
      </c>
      <c r="AB735" s="344" t="s">
        <v>1173</v>
      </c>
      <c r="AC735" s="375"/>
    </row>
    <row r="736" spans="1:29" ht="39.950000000000003" hidden="1" customHeight="1">
      <c r="A736" s="67">
        <v>725</v>
      </c>
      <c r="B736" s="69">
        <v>45197</v>
      </c>
      <c r="C736" s="74">
        <v>0.42222222222222222</v>
      </c>
      <c r="D736" s="67" t="s">
        <v>3077</v>
      </c>
      <c r="E736" s="68" t="s">
        <v>3443</v>
      </c>
      <c r="F736" s="67">
        <v>1</v>
      </c>
      <c r="G736" s="67" t="s">
        <v>2839</v>
      </c>
      <c r="H736" s="69">
        <v>45216</v>
      </c>
      <c r="I736" s="69" t="s">
        <v>1086</v>
      </c>
      <c r="J736" s="69" t="s">
        <v>1221</v>
      </c>
      <c r="K736" s="67" t="s">
        <v>2344</v>
      </c>
      <c r="L736" s="67" t="s">
        <v>813</v>
      </c>
      <c r="M736" s="67" t="s">
        <v>711</v>
      </c>
      <c r="N736" s="67" t="s">
        <v>3444</v>
      </c>
      <c r="O736" s="67" t="str">
        <f t="shared" ca="1" si="45"/>
        <v>SI</v>
      </c>
      <c r="P736" s="67" t="str">
        <f t="shared" si="44"/>
        <v>DIANOSOL</v>
      </c>
      <c r="Q736" s="67" t="s">
        <v>151</v>
      </c>
      <c r="R736" s="67" t="str">
        <f>VLOOKUP($Q736,Resultados!$A$1:$B$49,2,FALSE)</f>
        <v>Prisión Preventiva</v>
      </c>
      <c r="S736" s="67" t="s">
        <v>1538</v>
      </c>
      <c r="T736" s="77" t="str">
        <f t="shared" si="46"/>
        <v>NO</v>
      </c>
      <c r="U736" s="77"/>
      <c r="V736" s="67"/>
      <c r="W736" s="67" t="s">
        <v>2686</v>
      </c>
      <c r="X736" s="67" t="s">
        <v>2949</v>
      </c>
      <c r="Y736" s="67"/>
      <c r="Z736" s="344" t="s">
        <v>3420</v>
      </c>
      <c r="AA736" s="344" t="s">
        <v>2853</v>
      </c>
      <c r="AB736" s="344" t="s">
        <v>3303</v>
      </c>
      <c r="AC736" s="375"/>
    </row>
    <row r="737" spans="1:29" ht="39.950000000000003" hidden="1" customHeight="1">
      <c r="A737" s="67">
        <v>743</v>
      </c>
      <c r="B737" s="69">
        <v>45202</v>
      </c>
      <c r="C737" s="67" t="s">
        <v>73</v>
      </c>
      <c r="D737" s="67" t="s">
        <v>3146</v>
      </c>
      <c r="E737" s="68" t="s">
        <v>3147</v>
      </c>
      <c r="F737" s="67">
        <v>1</v>
      </c>
      <c r="G737" s="67" t="s">
        <v>29</v>
      </c>
      <c r="H737" s="69">
        <v>45216</v>
      </c>
      <c r="I737" s="69" t="s">
        <v>1086</v>
      </c>
      <c r="J737" s="69" t="s">
        <v>1220</v>
      </c>
      <c r="K737" s="67" t="s">
        <v>1926</v>
      </c>
      <c r="L737" s="67" t="s">
        <v>793</v>
      </c>
      <c r="M737" s="67" t="s">
        <v>712</v>
      </c>
      <c r="N737" s="67" t="s">
        <v>3445</v>
      </c>
      <c r="O737" s="67" t="str">
        <f t="shared" ca="1" si="45"/>
        <v>SI</v>
      </c>
      <c r="P737" s="67" t="str">
        <f t="shared" si="44"/>
        <v>DIANOSOL</v>
      </c>
      <c r="Q737" s="67" t="s">
        <v>151</v>
      </c>
      <c r="R737" s="67" t="str">
        <f>VLOOKUP($Q737,Resultados!$A$1:$B$49,2,FALSE)</f>
        <v>Prisión Preventiva</v>
      </c>
      <c r="S737" s="67" t="s">
        <v>1570</v>
      </c>
      <c r="T737" s="77" t="str">
        <f t="shared" si="46"/>
        <v>NO</v>
      </c>
      <c r="U737" s="77"/>
      <c r="V737" s="67"/>
      <c r="W737" s="67" t="s">
        <v>3153</v>
      </c>
      <c r="X737" s="67" t="s">
        <v>3446</v>
      </c>
      <c r="Y737" s="67"/>
      <c r="Z737" s="344" t="s">
        <v>2868</v>
      </c>
      <c r="AA737" s="344" t="s">
        <v>1171</v>
      </c>
      <c r="AB737" s="344" t="s">
        <v>1175</v>
      </c>
      <c r="AC737" s="375"/>
    </row>
    <row r="738" spans="1:29" ht="39.950000000000003" hidden="1" customHeight="1">
      <c r="A738" s="67">
        <v>765</v>
      </c>
      <c r="B738" s="69">
        <v>45205</v>
      </c>
      <c r="C738" s="74">
        <v>0.48333333333333334</v>
      </c>
      <c r="D738" s="67" t="s">
        <v>3236</v>
      </c>
      <c r="E738" s="68" t="s">
        <v>3252</v>
      </c>
      <c r="F738" s="67">
        <v>2</v>
      </c>
      <c r="G738" s="67" t="s">
        <v>1442</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1337</v>
      </c>
      <c r="T738" s="77" t="str">
        <f t="shared" si="46"/>
        <v>SI</v>
      </c>
      <c r="U738" s="77"/>
      <c r="V738" s="67"/>
      <c r="W738" s="67" t="s">
        <v>3214</v>
      </c>
      <c r="X738" s="67" t="s">
        <v>2572</v>
      </c>
      <c r="Y738" s="67"/>
      <c r="Z738" s="344" t="s">
        <v>770</v>
      </c>
      <c r="AA738" s="344" t="s">
        <v>2853</v>
      </c>
      <c r="AB738" s="344" t="s">
        <v>3367</v>
      </c>
      <c r="AC738" s="375"/>
    </row>
    <row r="739" spans="1:29" ht="39.950000000000003" hidden="1" customHeight="1">
      <c r="A739" s="67">
        <v>773</v>
      </c>
      <c r="B739" s="69">
        <v>45208</v>
      </c>
      <c r="C739" s="67" t="s">
        <v>3268</v>
      </c>
      <c r="D739" s="67" t="s">
        <v>3269</v>
      </c>
      <c r="E739" s="68" t="s">
        <v>3333</v>
      </c>
      <c r="F739" s="67">
        <v>8</v>
      </c>
      <c r="G739" s="67" t="s">
        <v>1443</v>
      </c>
      <c r="H739" s="69">
        <v>45216</v>
      </c>
      <c r="I739" s="69" t="s">
        <v>77</v>
      </c>
      <c r="J739" s="69" t="s">
        <v>1221</v>
      </c>
      <c r="K739" s="67" t="s">
        <v>1520</v>
      </c>
      <c r="L739" s="67" t="s">
        <v>790</v>
      </c>
      <c r="M739" s="67" t="s">
        <v>1416</v>
      </c>
      <c r="N739" s="67" t="s">
        <v>3447</v>
      </c>
      <c r="O739" s="67" t="str">
        <f t="shared" ca="1" si="45"/>
        <v>SI</v>
      </c>
      <c r="P739" s="67" t="str">
        <f t="shared" si="44"/>
        <v>DIANOSOL</v>
      </c>
      <c r="Q739" s="67" t="s">
        <v>905</v>
      </c>
      <c r="R739" s="67" t="str">
        <f>VLOOKUP($Q739,Resultados!$A$1:$B$49,2,FALSE)</f>
        <v>Juicio Abreviado</v>
      </c>
      <c r="S739" s="67" t="s">
        <v>3448</v>
      </c>
      <c r="T739" s="77" t="str">
        <f t="shared" si="46"/>
        <v>NO</v>
      </c>
      <c r="U739" s="77"/>
      <c r="V739" s="67"/>
      <c r="W739" s="67" t="s">
        <v>1207</v>
      </c>
      <c r="X739" s="67" t="s">
        <v>2572</v>
      </c>
      <c r="Y739" s="67"/>
      <c r="Z739" s="344" t="s">
        <v>770</v>
      </c>
      <c r="AA739" s="124" t="s">
        <v>3350</v>
      </c>
      <c r="AB739" s="124" t="s">
        <v>1177</v>
      </c>
      <c r="AC739" s="375"/>
    </row>
    <row r="740" spans="1:29" ht="39.950000000000003" hidden="1" customHeight="1">
      <c r="A740" s="67">
        <v>741</v>
      </c>
      <c r="B740" s="69">
        <v>45201</v>
      </c>
      <c r="C740" s="74">
        <v>0.49374999999999997</v>
      </c>
      <c r="D740" s="67" t="s">
        <v>3120</v>
      </c>
      <c r="E740" s="68" t="s">
        <v>3207</v>
      </c>
      <c r="F740" s="67">
        <v>1</v>
      </c>
      <c r="G740" s="67" t="s">
        <v>1441</v>
      </c>
      <c r="H740" s="69">
        <v>45217</v>
      </c>
      <c r="I740" s="69" t="s">
        <v>73</v>
      </c>
      <c r="J740" s="69" t="s">
        <v>2955</v>
      </c>
      <c r="K740" s="67" t="s">
        <v>1520</v>
      </c>
      <c r="L740" s="67" t="s">
        <v>809</v>
      </c>
      <c r="M740" s="67" t="s">
        <v>1179</v>
      </c>
      <c r="N740" s="67" t="s">
        <v>3491</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3492</v>
      </c>
      <c r="Y740" s="67"/>
      <c r="Z740" s="378" t="s">
        <v>3420</v>
      </c>
      <c r="AA740" s="378" t="s">
        <v>1169</v>
      </c>
      <c r="AB740" s="378" t="s">
        <v>1174</v>
      </c>
      <c r="AC740" s="379"/>
    </row>
    <row r="741" spans="1:29" ht="39.950000000000003" hidden="1" customHeight="1">
      <c r="A741" s="67">
        <v>762</v>
      </c>
      <c r="B741" s="69">
        <v>45204</v>
      </c>
      <c r="C741" s="74">
        <v>0.36944444444444446</v>
      </c>
      <c r="D741" s="67" t="s">
        <v>2478</v>
      </c>
      <c r="E741" s="68" t="s">
        <v>3431</v>
      </c>
      <c r="F741" s="67">
        <v>7</v>
      </c>
      <c r="G741" s="67" t="s">
        <v>283</v>
      </c>
      <c r="H741" s="69">
        <v>45217</v>
      </c>
      <c r="I741" s="69" t="s">
        <v>73</v>
      </c>
      <c r="J741" s="69" t="s">
        <v>1221</v>
      </c>
      <c r="K741" s="67" t="s">
        <v>2344</v>
      </c>
      <c r="L741" s="67" t="s">
        <v>800</v>
      </c>
      <c r="M741" s="67" t="s">
        <v>725</v>
      </c>
      <c r="N741" s="67" t="s">
        <v>3494</v>
      </c>
      <c r="O741" s="67" t="str">
        <f t="shared" ca="1" si="45"/>
        <v>SI</v>
      </c>
      <c r="P741" s="67" t="str">
        <f t="shared" si="44"/>
        <v>DIANOSOL</v>
      </c>
      <c r="Q741" s="67" t="s">
        <v>904</v>
      </c>
      <c r="R741" s="67" t="s">
        <v>100</v>
      </c>
      <c r="S741" s="67" t="s">
        <v>1065</v>
      </c>
      <c r="T741" s="77" t="str">
        <f t="shared" si="46"/>
        <v>NO</v>
      </c>
      <c r="U741" s="77"/>
      <c r="V741" s="67"/>
      <c r="W741" s="67" t="s">
        <v>1130</v>
      </c>
      <c r="X741" s="67" t="s">
        <v>2572</v>
      </c>
      <c r="Y741" s="67"/>
      <c r="Z741" s="378" t="s">
        <v>2868</v>
      </c>
      <c r="AA741" s="378" t="s">
        <v>1171</v>
      </c>
      <c r="AB741" s="378" t="s">
        <v>1173</v>
      </c>
      <c r="AC741" s="379"/>
    </row>
    <row r="742" spans="1:29" ht="39.950000000000003" hidden="1" customHeight="1">
      <c r="A742" s="67">
        <v>769</v>
      </c>
      <c r="B742" s="69">
        <v>45196</v>
      </c>
      <c r="C742" s="74">
        <v>0.4861111111111111</v>
      </c>
      <c r="D742" s="67" t="s">
        <v>3193</v>
      </c>
      <c r="E742" s="68" t="s">
        <v>3194</v>
      </c>
      <c r="F742" s="67">
        <v>8</v>
      </c>
      <c r="G742" s="67" t="s">
        <v>1443</v>
      </c>
      <c r="H742" s="69">
        <v>45217</v>
      </c>
      <c r="I742" s="69" t="s">
        <v>73</v>
      </c>
      <c r="J742" s="69" t="s">
        <v>2952</v>
      </c>
      <c r="K742" s="67" t="s">
        <v>1926</v>
      </c>
      <c r="L742" s="67" t="s">
        <v>2091</v>
      </c>
      <c r="M742" s="67" t="s">
        <v>1087</v>
      </c>
      <c r="N742" s="67" t="s">
        <v>2570</v>
      </c>
      <c r="O742" s="67" t="str">
        <f t="shared" ca="1" si="45"/>
        <v>SI</v>
      </c>
      <c r="P742" s="67" t="str">
        <f t="shared" si="44"/>
        <v>DIANOSOL</v>
      </c>
      <c r="Q742" s="67" t="s">
        <v>899</v>
      </c>
      <c r="R742" s="67" t="s">
        <v>902</v>
      </c>
      <c r="S742" s="67" t="s">
        <v>2422</v>
      </c>
      <c r="T742" s="77" t="str">
        <f t="shared" si="46"/>
        <v>NO</v>
      </c>
      <c r="U742" s="77"/>
      <c r="V742" s="67"/>
      <c r="W742" s="67" t="s">
        <v>1566</v>
      </c>
      <c r="X742" s="67" t="s">
        <v>3493</v>
      </c>
      <c r="Y742" s="67"/>
      <c r="Z742" s="378" t="s">
        <v>2896</v>
      </c>
      <c r="AA742" s="378" t="s">
        <v>2853</v>
      </c>
      <c r="AB742" s="378" t="s">
        <v>3303</v>
      </c>
      <c r="AC742" s="379"/>
    </row>
    <row r="743" spans="1:29" ht="39.950000000000003" hidden="1" customHeight="1">
      <c r="A743" s="67">
        <v>738</v>
      </c>
      <c r="B743" s="69">
        <v>45201</v>
      </c>
      <c r="C743" s="74">
        <v>0.3972222222222222</v>
      </c>
      <c r="D743" s="67" t="s">
        <v>2112</v>
      </c>
      <c r="E743" s="68" t="s">
        <v>3117</v>
      </c>
      <c r="F743" s="67">
        <v>1</v>
      </c>
      <c r="G743" s="67" t="s">
        <v>568</v>
      </c>
      <c r="H743" s="69">
        <v>45217</v>
      </c>
      <c r="I743" s="69" t="s">
        <v>1086</v>
      </c>
      <c r="J743" s="69" t="s">
        <v>1220</v>
      </c>
      <c r="K743" s="67">
        <f>IFERROR(VLOOKUP(J743,Jueces!$A$1:$B$11,2,FALSE),"")</f>
        <v>1</v>
      </c>
      <c r="L743" s="67" t="s">
        <v>192</v>
      </c>
      <c r="M743" s="67" t="s">
        <v>712</v>
      </c>
      <c r="N743" s="67" t="s">
        <v>3495</v>
      </c>
      <c r="O743" s="83" t="str">
        <f t="shared" ca="1" si="45"/>
        <v>SI</v>
      </c>
      <c r="P743" s="83" t="str">
        <f t="shared" si="44"/>
        <v>DIANOSOL</v>
      </c>
      <c r="Q743" s="67" t="s">
        <v>151</v>
      </c>
      <c r="R743" s="67" t="s">
        <v>151</v>
      </c>
      <c r="S743" s="67" t="s">
        <v>2711</v>
      </c>
      <c r="T743" s="86" t="str">
        <f t="shared" si="46"/>
        <v>NO</v>
      </c>
      <c r="U743" s="86"/>
      <c r="V743" s="83"/>
      <c r="W743" s="67" t="s">
        <v>1005</v>
      </c>
      <c r="X743" s="67" t="s">
        <v>3083</v>
      </c>
      <c r="Y743" s="67"/>
      <c r="Z743" s="378" t="s">
        <v>748</v>
      </c>
      <c r="AA743" s="378" t="s">
        <v>1169</v>
      </c>
      <c r="AB743" s="378" t="s">
        <v>1175</v>
      </c>
      <c r="AC743" s="379"/>
    </row>
    <row r="744" spans="1:29" ht="39.950000000000003" hidden="1" customHeight="1">
      <c r="A744" s="67">
        <v>764</v>
      </c>
      <c r="B744" s="69">
        <v>45204</v>
      </c>
      <c r="C744" s="74">
        <v>0.51666666666666672</v>
      </c>
      <c r="D744" s="67" t="s">
        <v>3233</v>
      </c>
      <c r="E744" s="68" t="s">
        <v>3234</v>
      </c>
      <c r="F744" s="67">
        <v>2</v>
      </c>
      <c r="G744" s="67" t="s">
        <v>2775</v>
      </c>
      <c r="H744" s="69">
        <v>45217</v>
      </c>
      <c r="I744" s="69" t="s">
        <v>1086</v>
      </c>
      <c r="J744" s="69" t="s">
        <v>1225</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1168</v>
      </c>
      <c r="X744" s="67"/>
      <c r="Y744" s="67"/>
      <c r="Z744" s="378" t="s">
        <v>770</v>
      </c>
      <c r="AA744" s="378" t="s">
        <v>1171</v>
      </c>
      <c r="AB744" s="378" t="s">
        <v>3367</v>
      </c>
      <c r="AC744" s="379"/>
    </row>
    <row r="745" spans="1:29" ht="39.950000000000003" hidden="1" customHeight="1">
      <c r="A745" s="67">
        <v>757</v>
      </c>
      <c r="B745" s="69">
        <v>45202</v>
      </c>
      <c r="C745" s="74">
        <v>0.55694444444444446</v>
      </c>
      <c r="D745" s="67" t="s">
        <v>3177</v>
      </c>
      <c r="E745" s="68" t="s">
        <v>3210</v>
      </c>
      <c r="F745" s="67">
        <v>1</v>
      </c>
      <c r="G745" s="67" t="s">
        <v>2774</v>
      </c>
      <c r="H745" s="69">
        <v>45217</v>
      </c>
      <c r="I745" s="69" t="s">
        <v>3214</v>
      </c>
      <c r="J745" s="69" t="s">
        <v>31</v>
      </c>
      <c r="K745" s="67">
        <f>IFERROR(VLOOKUP(J745,Jueces!$A$1:$B$11,2,FALSE),"")</f>
        <v>2</v>
      </c>
      <c r="L745" s="67" t="s">
        <v>806</v>
      </c>
      <c r="M745" s="67" t="s">
        <v>712</v>
      </c>
      <c r="N745" s="67" t="s">
        <v>3496</v>
      </c>
      <c r="O745" s="83" t="str">
        <f t="shared" ca="1" si="45"/>
        <v>SI</v>
      </c>
      <c r="P745" s="83" t="str">
        <f t="shared" si="44"/>
        <v>DIANOSOL</v>
      </c>
      <c r="Q745" s="67" t="s">
        <v>904</v>
      </c>
      <c r="R745" s="67" t="str">
        <f>VLOOKUP($Q745,Resultados!$A$1:$B$49,2,FALSE)</f>
        <v>Juicio Abreviado</v>
      </c>
      <c r="S745" s="67" t="s">
        <v>3497</v>
      </c>
      <c r="T745" s="86" t="str">
        <f t="shared" si="46"/>
        <v>NO</v>
      </c>
      <c r="U745" s="86"/>
      <c r="V745" s="83"/>
      <c r="W745" s="67" t="s">
        <v>3498</v>
      </c>
      <c r="X745" s="67" t="s">
        <v>3499</v>
      </c>
      <c r="Y745" s="67"/>
      <c r="Z745" s="378" t="s">
        <v>3420</v>
      </c>
      <c r="AA745" s="378" t="s">
        <v>2853</v>
      </c>
      <c r="AB745" s="378" t="s">
        <v>1177</v>
      </c>
      <c r="AC745" s="379"/>
    </row>
    <row r="746" spans="1:29" ht="39.950000000000003" hidden="1" customHeight="1">
      <c r="A746" s="67">
        <v>722</v>
      </c>
      <c r="B746" s="69">
        <v>45197</v>
      </c>
      <c r="C746" s="67" t="s">
        <v>1193</v>
      </c>
      <c r="D746" s="67" t="s">
        <v>3076</v>
      </c>
      <c r="E746" s="68" t="s">
        <v>3064</v>
      </c>
      <c r="F746" s="67">
        <v>4</v>
      </c>
      <c r="G746" s="67" t="s">
        <v>2776</v>
      </c>
      <c r="H746" s="69">
        <v>45217</v>
      </c>
      <c r="I746" s="69" t="s">
        <v>989</v>
      </c>
      <c r="J746" s="69" t="s">
        <v>33</v>
      </c>
      <c r="K746" s="67">
        <f>IFERROR(VLOOKUP(J746,Jueces!$A$1:$B$11,2,FALSE),"")</f>
        <v>4</v>
      </c>
      <c r="L746" s="67" t="s">
        <v>1070</v>
      </c>
      <c r="M746" s="67" t="s">
        <v>3065</v>
      </c>
      <c r="N746" s="67" t="s">
        <v>3502</v>
      </c>
      <c r="O746" s="83" t="str">
        <f t="shared" ca="1" si="45"/>
        <v>SI</v>
      </c>
      <c r="P746" s="83" t="str">
        <f t="shared" si="44"/>
        <v>DIANOSOL</v>
      </c>
      <c r="Q746" s="67" t="s">
        <v>151</v>
      </c>
      <c r="R746" s="67" t="s">
        <v>151</v>
      </c>
      <c r="S746" s="67" t="s">
        <v>3500</v>
      </c>
      <c r="T746" s="86" t="str">
        <f t="shared" si="46"/>
        <v>NO</v>
      </c>
      <c r="U746" s="86"/>
      <c r="V746" s="83"/>
      <c r="W746" s="67" t="s">
        <v>3501</v>
      </c>
      <c r="X746" s="67"/>
      <c r="Y746" s="67"/>
      <c r="Z746" s="378" t="s">
        <v>2868</v>
      </c>
      <c r="AA746" s="378" t="s">
        <v>1171</v>
      </c>
      <c r="AB746" s="378" t="s">
        <v>1174</v>
      </c>
      <c r="AC746" s="379"/>
    </row>
    <row r="747" spans="1:29" ht="39.950000000000003" hidden="1" customHeight="1">
      <c r="A747" s="67">
        <v>740</v>
      </c>
      <c r="B747" s="69">
        <v>45201</v>
      </c>
      <c r="C747" s="74">
        <v>0.4916666666666667</v>
      </c>
      <c r="D747" s="67" t="s">
        <v>3119</v>
      </c>
      <c r="E747" s="68" t="s">
        <v>3216</v>
      </c>
      <c r="F747" s="67">
        <v>1</v>
      </c>
      <c r="G747" s="67" t="s">
        <v>2776</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1532</v>
      </c>
      <c r="T747" s="77" t="str">
        <f t="shared" si="46"/>
        <v>NO</v>
      </c>
      <c r="U747" s="77"/>
      <c r="V747" s="67"/>
      <c r="W747" s="67" t="s">
        <v>1086</v>
      </c>
      <c r="X747" s="67" t="s">
        <v>3493</v>
      </c>
      <c r="Y747" s="67"/>
      <c r="Z747" s="124" t="s">
        <v>3489</v>
      </c>
      <c r="AA747" s="344" t="s">
        <v>1169</v>
      </c>
      <c r="AB747" s="124" t="s">
        <v>1173</v>
      </c>
      <c r="AC747" s="379"/>
    </row>
    <row r="748" spans="1:29" ht="39.950000000000003" hidden="1" customHeight="1">
      <c r="A748" s="67">
        <v>746</v>
      </c>
      <c r="B748" s="69">
        <v>45202</v>
      </c>
      <c r="C748" s="67" t="s">
        <v>3153</v>
      </c>
      <c r="D748" s="67" t="s">
        <v>3154</v>
      </c>
      <c r="E748" s="68" t="s">
        <v>3218</v>
      </c>
      <c r="F748" s="67">
        <v>1</v>
      </c>
      <c r="G748" s="67" t="s">
        <v>1441</v>
      </c>
      <c r="H748" s="69">
        <v>45218</v>
      </c>
      <c r="I748" s="69" t="s">
        <v>73</v>
      </c>
      <c r="J748" s="69" t="s">
        <v>1732</v>
      </c>
      <c r="K748" s="67" t="s">
        <v>1926</v>
      </c>
      <c r="L748" s="67" t="s">
        <v>789</v>
      </c>
      <c r="M748" s="67" t="s">
        <v>1179</v>
      </c>
      <c r="N748" s="67" t="s">
        <v>3520</v>
      </c>
      <c r="O748" s="67" t="str">
        <f t="shared" ca="1" si="45"/>
        <v>SI</v>
      </c>
      <c r="P748" s="67" t="str">
        <f t="shared" si="44"/>
        <v>DIANOSOL</v>
      </c>
      <c r="Q748" s="67" t="s">
        <v>151</v>
      </c>
      <c r="R748" s="67" t="s">
        <v>151</v>
      </c>
      <c r="S748" s="67" t="s">
        <v>1296</v>
      </c>
      <c r="T748" s="77" t="str">
        <f t="shared" si="46"/>
        <v>NO</v>
      </c>
      <c r="U748" s="77"/>
      <c r="V748" s="67"/>
      <c r="W748" s="67" t="s">
        <v>1499</v>
      </c>
      <c r="X748" s="67" t="s">
        <v>3521</v>
      </c>
      <c r="Y748" s="67"/>
      <c r="Z748" s="124" t="s">
        <v>1041</v>
      </c>
      <c r="AA748" s="344" t="s">
        <v>1171</v>
      </c>
      <c r="AB748" s="124" t="s">
        <v>3303</v>
      </c>
      <c r="AC748" s="379"/>
    </row>
    <row r="749" spans="1:29" ht="39.950000000000003" hidden="1" customHeight="1">
      <c r="A749" s="67">
        <v>778</v>
      </c>
      <c r="B749" s="69">
        <v>45205</v>
      </c>
      <c r="C749" s="67" t="s">
        <v>3284</v>
      </c>
      <c r="D749" s="67" t="s">
        <v>3285</v>
      </c>
      <c r="E749" s="68" t="s">
        <v>3465</v>
      </c>
      <c r="F749" s="67">
        <v>8</v>
      </c>
      <c r="G749" s="67" t="s">
        <v>29</v>
      </c>
      <c r="H749" s="69">
        <v>45218</v>
      </c>
      <c r="I749" s="69" t="s">
        <v>73</v>
      </c>
      <c r="J749" s="69" t="s">
        <v>2952</v>
      </c>
      <c r="K749" s="67" t="s">
        <v>2344</v>
      </c>
      <c r="L749" s="67" t="s">
        <v>789</v>
      </c>
      <c r="M749" s="67" t="s">
        <v>2122</v>
      </c>
      <c r="N749" s="67" t="s">
        <v>3195</v>
      </c>
      <c r="O749" s="67" t="str">
        <f t="shared" ca="1" si="45"/>
        <v>SI</v>
      </c>
      <c r="P749" s="67" t="str">
        <f t="shared" si="44"/>
        <v>DIANOSOL</v>
      </c>
      <c r="Q749" s="67" t="s">
        <v>904</v>
      </c>
      <c r="R749" s="67" t="str">
        <f>VLOOKUP($Q749,Resultados!$A$1:$B$49,2,FALSE)</f>
        <v>Juicio Abreviado</v>
      </c>
      <c r="S749" s="67" t="s">
        <v>1130</v>
      </c>
      <c r="T749" s="77" t="str">
        <f t="shared" si="46"/>
        <v>NO</v>
      </c>
      <c r="U749" s="77"/>
      <c r="V749" s="67"/>
      <c r="W749" s="67" t="s">
        <v>2685</v>
      </c>
      <c r="X749" s="67" t="s">
        <v>3524</v>
      </c>
      <c r="Y749" s="67"/>
      <c r="Z749" s="124" t="s">
        <v>748</v>
      </c>
      <c r="AA749" s="124" t="s">
        <v>3350</v>
      </c>
      <c r="AB749" s="124" t="s">
        <v>1175</v>
      </c>
      <c r="AC749" s="379"/>
    </row>
    <row r="750" spans="1:29" ht="39.950000000000003" hidden="1" customHeight="1">
      <c r="A750" s="67">
        <v>745</v>
      </c>
      <c r="B750" s="69">
        <v>45202</v>
      </c>
      <c r="C750" s="67" t="s">
        <v>3150</v>
      </c>
      <c r="D750" s="67" t="s">
        <v>3151</v>
      </c>
      <c r="E750" s="68" t="s">
        <v>3152</v>
      </c>
      <c r="F750" s="67">
        <v>1</v>
      </c>
      <c r="G750" s="67" t="s">
        <v>3368</v>
      </c>
      <c r="H750" s="69">
        <v>45218</v>
      </c>
      <c r="I750" s="69" t="s">
        <v>1086</v>
      </c>
      <c r="J750" s="69" t="s">
        <v>1225</v>
      </c>
      <c r="K750" s="67">
        <f>IFERROR(VLOOKUP(J750,Jueces!$A$1:$B$11,2,FALSE),"")</f>
        <v>6</v>
      </c>
      <c r="L750" s="67" t="s">
        <v>2089</v>
      </c>
      <c r="M750" s="67" t="s">
        <v>712</v>
      </c>
      <c r="N750" s="67" t="s">
        <v>577</v>
      </c>
      <c r="O750" s="67" t="str">
        <f t="shared" ca="1" si="45"/>
        <v>SI</v>
      </c>
      <c r="P750" s="67" t="str">
        <f t="shared" si="44"/>
        <v>DIANOSOL</v>
      </c>
      <c r="Q750" s="67" t="s">
        <v>151</v>
      </c>
      <c r="R750" s="67" t="str">
        <f>VLOOKUP($Q750,Resultados!$A$1:$B$49,2,FALSE)</f>
        <v>Prisión Preventiva</v>
      </c>
      <c r="S750" s="67" t="s">
        <v>1138</v>
      </c>
      <c r="T750" s="77" t="str">
        <f t="shared" si="46"/>
        <v>NO</v>
      </c>
      <c r="U750" s="77"/>
      <c r="V750" s="67"/>
      <c r="W750" s="67" t="s">
        <v>1193</v>
      </c>
      <c r="X750" s="67"/>
      <c r="Y750" s="67"/>
      <c r="Z750" s="124" t="s">
        <v>2896</v>
      </c>
      <c r="AA750" s="344" t="s">
        <v>1169</v>
      </c>
      <c r="AB750" s="124" t="s">
        <v>3367</v>
      </c>
      <c r="AC750" s="379"/>
    </row>
    <row r="751" spans="1:29" ht="39.950000000000003" hidden="1" customHeight="1">
      <c r="A751" s="67">
        <v>770</v>
      </c>
      <c r="B751" s="69">
        <v>45203</v>
      </c>
      <c r="C751" s="67" t="s">
        <v>3204</v>
      </c>
      <c r="D751" s="67" t="s">
        <v>3205</v>
      </c>
      <c r="E751" s="68" t="s">
        <v>3254</v>
      </c>
      <c r="F751" s="67">
        <v>2</v>
      </c>
      <c r="G751" s="67" t="s">
        <v>43</v>
      </c>
      <c r="H751" s="69">
        <v>45218</v>
      </c>
      <c r="I751" s="69" t="s">
        <v>1086</v>
      </c>
      <c r="J751" s="69" t="s">
        <v>1221</v>
      </c>
      <c r="K751" s="67" t="s">
        <v>1326</v>
      </c>
      <c r="L751" s="67" t="s">
        <v>809</v>
      </c>
      <c r="M751" s="67" t="s">
        <v>692</v>
      </c>
      <c r="N751" s="67" t="s">
        <v>577</v>
      </c>
      <c r="O751" s="67" t="str">
        <f t="shared" ca="1" si="45"/>
        <v>SI</v>
      </c>
      <c r="P751" s="67" t="str">
        <f t="shared" si="44"/>
        <v>DIANOSOL</v>
      </c>
      <c r="Q751" s="67" t="s">
        <v>151</v>
      </c>
      <c r="R751" s="67" t="str">
        <f>VLOOKUP($Q751,Resultados!$A$1:$B$49,2,FALSE)</f>
        <v>Prisión Preventiva</v>
      </c>
      <c r="S751" s="67" t="s">
        <v>1396</v>
      </c>
      <c r="T751" s="77" t="str">
        <f t="shared" si="46"/>
        <v>NO</v>
      </c>
      <c r="U751" s="77"/>
      <c r="V751" s="67"/>
      <c r="W751" s="67" t="s">
        <v>1132</v>
      </c>
      <c r="X751" s="67" t="s">
        <v>3523</v>
      </c>
      <c r="Y751" s="67"/>
      <c r="Z751" s="124" t="s">
        <v>3420</v>
      </c>
      <c r="AA751" s="344" t="s">
        <v>2853</v>
      </c>
      <c r="AB751" s="124" t="s">
        <v>1177</v>
      </c>
      <c r="AC751" s="379"/>
    </row>
    <row r="752" spans="1:29" ht="39.950000000000003" hidden="1" customHeight="1">
      <c r="A752" s="67">
        <v>771</v>
      </c>
      <c r="B752" s="69">
        <v>45203</v>
      </c>
      <c r="C752" s="74">
        <v>0.4777777777777778</v>
      </c>
      <c r="D752" s="67" t="s">
        <v>3206</v>
      </c>
      <c r="E752" s="68" t="s">
        <v>3463</v>
      </c>
      <c r="F752" s="67">
        <v>8</v>
      </c>
      <c r="G752" s="67" t="s">
        <v>568</v>
      </c>
      <c r="H752" s="69">
        <v>45218</v>
      </c>
      <c r="I752" s="69" t="s">
        <v>1086</v>
      </c>
      <c r="J752" s="69" t="s">
        <v>1220</v>
      </c>
      <c r="K752" s="67" t="s">
        <v>2344</v>
      </c>
      <c r="L752" s="67" t="s">
        <v>791</v>
      </c>
      <c r="M752" s="67" t="s">
        <v>1031</v>
      </c>
      <c r="N752" s="67" t="s">
        <v>2199</v>
      </c>
      <c r="O752" s="67" t="str">
        <f t="shared" ca="1" si="45"/>
        <v>SI</v>
      </c>
      <c r="P752" s="67" t="str">
        <f t="shared" si="44"/>
        <v>DIANOSOL</v>
      </c>
      <c r="Q752" s="67" t="s">
        <v>904</v>
      </c>
      <c r="R752" s="67" t="str">
        <f>VLOOKUP($Q752,Resultados!$A$1:$B$49,2,FALSE)</f>
        <v>Juicio Abreviado</v>
      </c>
      <c r="S752" s="67" t="s">
        <v>1130</v>
      </c>
      <c r="T752" s="77" t="str">
        <f t="shared" si="46"/>
        <v>NO</v>
      </c>
      <c r="U752" s="77"/>
      <c r="V752" s="67"/>
      <c r="W752" s="67" t="s">
        <v>1746</v>
      </c>
      <c r="X752" s="67" t="s">
        <v>3522</v>
      </c>
      <c r="Y752" s="67"/>
      <c r="Z752" s="124" t="s">
        <v>748</v>
      </c>
      <c r="AA752" s="344" t="s">
        <v>1171</v>
      </c>
      <c r="AB752" s="124" t="s">
        <v>1174</v>
      </c>
      <c r="AC752" s="379"/>
    </row>
    <row r="753" spans="1:29" ht="39.950000000000003" hidden="1" customHeight="1">
      <c r="A753" s="67">
        <v>768</v>
      </c>
      <c r="B753" s="69">
        <v>45203</v>
      </c>
      <c r="C753" s="74">
        <v>0.33333333333333331</v>
      </c>
      <c r="D753" s="67" t="s">
        <v>3180</v>
      </c>
      <c r="E753" s="68" t="s">
        <v>3490</v>
      </c>
      <c r="F753" s="67">
        <v>2</v>
      </c>
      <c r="G753" s="67" t="s">
        <v>283</v>
      </c>
      <c r="H753" s="69">
        <v>45218</v>
      </c>
      <c r="I753" s="69" t="s">
        <v>1210</v>
      </c>
      <c r="J753" s="69" t="s">
        <v>31</v>
      </c>
      <c r="K753" s="67">
        <f>IFERROR(VLOOKUP(J753,Jueces!$A$1:$B$11,2,FALSE),"")</f>
        <v>2</v>
      </c>
      <c r="L753" s="67" t="s">
        <v>789</v>
      </c>
      <c r="M753" s="67" t="s">
        <v>692</v>
      </c>
      <c r="N753" s="67" t="s">
        <v>3525</v>
      </c>
      <c r="O753" s="67" t="str">
        <f t="shared" ca="1" si="45"/>
        <v>SI</v>
      </c>
      <c r="P753" s="67" t="str">
        <f t="shared" si="44"/>
        <v>DIANOSOL</v>
      </c>
      <c r="Q753" s="67" t="s">
        <v>904</v>
      </c>
      <c r="R753" s="67" t="str">
        <f>VLOOKUP($Q753,Resultados!$A$1:$B$49,2,FALSE)</f>
        <v>Juicio Abreviado</v>
      </c>
      <c r="S753" s="67" t="s">
        <v>1802</v>
      </c>
      <c r="T753" s="77" t="str">
        <f t="shared" si="46"/>
        <v>NO</v>
      </c>
      <c r="U753" s="77"/>
      <c r="V753" s="67"/>
      <c r="W753" s="67" t="s">
        <v>547</v>
      </c>
      <c r="X753" s="67" t="s">
        <v>3524</v>
      </c>
      <c r="Y753" s="67"/>
      <c r="Z753" s="124" t="s">
        <v>3420</v>
      </c>
      <c r="AA753" s="344" t="s">
        <v>2853</v>
      </c>
      <c r="AB753" s="124" t="s">
        <v>1173</v>
      </c>
      <c r="AC753" s="379"/>
    </row>
    <row r="754" spans="1:29" ht="39.950000000000003" hidden="1" customHeight="1">
      <c r="A754" s="67">
        <v>735</v>
      </c>
      <c r="B754" s="69">
        <v>45197</v>
      </c>
      <c r="C754" s="67" t="s">
        <v>2058</v>
      </c>
      <c r="D754" s="67" t="s">
        <v>3095</v>
      </c>
      <c r="E754" s="68" t="s">
        <v>3096</v>
      </c>
      <c r="F754" s="67">
        <v>8</v>
      </c>
      <c r="G754" s="67" t="s">
        <v>1441</v>
      </c>
      <c r="H754" s="69">
        <v>45218</v>
      </c>
      <c r="I754" s="69" t="s">
        <v>3214</v>
      </c>
      <c r="J754" s="69" t="s">
        <v>31</v>
      </c>
      <c r="K754" s="67">
        <f>IFERROR(VLOOKUP(J754,Jueces!$A$1:$B$11,2,FALSE),"")</f>
        <v>2</v>
      </c>
      <c r="L754" s="67" t="s">
        <v>809</v>
      </c>
      <c r="M754" s="67" t="s">
        <v>1416</v>
      </c>
      <c r="N754" s="67" t="s">
        <v>3526</v>
      </c>
      <c r="O754" s="67" t="str">
        <f t="shared" ca="1" si="45"/>
        <v>SI</v>
      </c>
      <c r="P754" s="67" t="str">
        <f t="shared" si="44"/>
        <v>DIANOSOL</v>
      </c>
      <c r="Q754" s="67" t="s">
        <v>899</v>
      </c>
      <c r="R754" s="67" t="str">
        <f>VLOOKUP($Q754,Resultados!$A$1:$B$49,2,FALSE)</f>
        <v>Libertad</v>
      </c>
      <c r="S754" s="67" t="s">
        <v>3527</v>
      </c>
      <c r="T754" s="77" t="str">
        <f t="shared" si="46"/>
        <v>NO</v>
      </c>
      <c r="U754" s="77"/>
      <c r="V754" s="67"/>
      <c r="W754" s="67" t="s">
        <v>3528</v>
      </c>
      <c r="X754" s="67" t="s">
        <v>3198</v>
      </c>
      <c r="Y754" s="67"/>
      <c r="Z754" s="124" t="s">
        <v>3420</v>
      </c>
      <c r="AA754" s="124" t="s">
        <v>1169</v>
      </c>
      <c r="AB754" s="124" t="s">
        <v>3303</v>
      </c>
      <c r="AC754" s="379"/>
    </row>
    <row r="755" spans="1:29" ht="39.950000000000003" hidden="1" customHeight="1">
      <c r="A755" s="67">
        <v>737</v>
      </c>
      <c r="B755" s="69">
        <v>45201</v>
      </c>
      <c r="C755" s="67" t="s">
        <v>1538</v>
      </c>
      <c r="D755" s="67" t="s">
        <v>3116</v>
      </c>
      <c r="E755" s="68" t="s">
        <v>3217</v>
      </c>
      <c r="F755" s="67">
        <v>1</v>
      </c>
      <c r="G755" s="67" t="s">
        <v>1442</v>
      </c>
      <c r="H755" s="69">
        <v>45219</v>
      </c>
      <c r="I755" s="69" t="s">
        <v>73</v>
      </c>
      <c r="J755" s="69" t="s">
        <v>2952</v>
      </c>
      <c r="K755" s="67" t="s">
        <v>1926</v>
      </c>
      <c r="L755" s="67" t="s">
        <v>806</v>
      </c>
      <c r="M755" s="67" t="s">
        <v>711</v>
      </c>
      <c r="N755" s="67" t="s">
        <v>913</v>
      </c>
      <c r="O755" s="83" t="str">
        <f t="shared" ca="1" si="45"/>
        <v>SI</v>
      </c>
      <c r="P755" s="83" t="str">
        <f t="shared" si="44"/>
        <v>DIANOSOL</v>
      </c>
      <c r="Q755" s="67" t="s">
        <v>913</v>
      </c>
      <c r="R755" s="67" t="str">
        <f>VLOOKUP($Q755,Resultados!$A$1:$B$49,2,FALSE)</f>
        <v>Prision domiciliaria</v>
      </c>
      <c r="S755" s="67" t="s">
        <v>2061</v>
      </c>
      <c r="T755" s="86" t="str">
        <f t="shared" si="46"/>
        <v>SI</v>
      </c>
      <c r="U755" s="86"/>
      <c r="V755" s="83"/>
      <c r="W755" s="67" t="s">
        <v>1210</v>
      </c>
      <c r="X755" s="67" t="s">
        <v>3547</v>
      </c>
      <c r="Y755" s="67"/>
      <c r="Z755" s="124" t="s">
        <v>2868</v>
      </c>
      <c r="AA755" s="344" t="s">
        <v>1169</v>
      </c>
      <c r="AB755" s="124" t="s">
        <v>1177</v>
      </c>
      <c r="AC755" s="379"/>
    </row>
    <row r="756" spans="1:29" ht="39.950000000000003" hidden="1" customHeight="1">
      <c r="A756" s="67">
        <v>755</v>
      </c>
      <c r="B756" s="69">
        <v>45202</v>
      </c>
      <c r="C756" s="74">
        <v>0.54513888888888895</v>
      </c>
      <c r="D756" s="67" t="s">
        <v>3175</v>
      </c>
      <c r="E756" s="68" t="s">
        <v>3215</v>
      </c>
      <c r="F756" s="67">
        <v>8</v>
      </c>
      <c r="G756" s="67" t="s">
        <v>3368</v>
      </c>
      <c r="H756" s="69">
        <v>45219</v>
      </c>
      <c r="I756" s="69" t="s">
        <v>73</v>
      </c>
      <c r="J756" s="69" t="s">
        <v>2955</v>
      </c>
      <c r="K756" s="67" t="s">
        <v>2344</v>
      </c>
      <c r="L756" s="67" t="s">
        <v>789</v>
      </c>
      <c r="M756" s="67" t="s">
        <v>1087</v>
      </c>
      <c r="N756" s="67" t="s">
        <v>3548</v>
      </c>
      <c r="O756" s="83" t="str">
        <f t="shared" ca="1" si="45"/>
        <v>SI</v>
      </c>
      <c r="P756" s="83" t="str">
        <f t="shared" si="44"/>
        <v>DIANOSOL</v>
      </c>
      <c r="Q756" s="67" t="s">
        <v>899</v>
      </c>
      <c r="R756" s="67" t="str">
        <f>VLOOKUP($Q756,Resultados!$A$1:$B$49,2,FALSE)</f>
        <v>Libertad</v>
      </c>
      <c r="S756" s="67" t="s">
        <v>1129</v>
      </c>
      <c r="T756" s="86" t="str">
        <f t="shared" si="46"/>
        <v>NO</v>
      </c>
      <c r="U756" s="86"/>
      <c r="V756" s="83"/>
      <c r="W756" s="67" t="s">
        <v>1564</v>
      </c>
      <c r="X756" s="67" t="s">
        <v>3549</v>
      </c>
      <c r="Y756" s="67"/>
      <c r="Z756" s="124" t="s">
        <v>3420</v>
      </c>
      <c r="AA756" s="344" t="s">
        <v>2853</v>
      </c>
      <c r="AB756" s="124" t="s">
        <v>3367</v>
      </c>
      <c r="AC756" s="379"/>
    </row>
    <row r="757" spans="1:29" ht="39.950000000000003" hidden="1" customHeight="1">
      <c r="A757" s="67">
        <v>763</v>
      </c>
      <c r="B757" s="69">
        <v>45204</v>
      </c>
      <c r="C757" s="74">
        <v>0.4201388888888889</v>
      </c>
      <c r="D757" s="67" t="s">
        <v>3225</v>
      </c>
      <c r="E757" s="68" t="s">
        <v>3511</v>
      </c>
      <c r="F757" s="67">
        <v>1</v>
      </c>
      <c r="G757" s="67" t="s">
        <v>283</v>
      </c>
      <c r="H757" s="69">
        <v>45219</v>
      </c>
      <c r="I757" s="69" t="s">
        <v>73</v>
      </c>
      <c r="J757" s="69" t="s">
        <v>31</v>
      </c>
      <c r="K757" s="67">
        <f>IFERROR(VLOOKUP(J757,Jueces!$A$1:$B$11,2,FALSE),"")</f>
        <v>2</v>
      </c>
      <c r="L757" s="67" t="s">
        <v>800</v>
      </c>
      <c r="M757" s="67" t="s">
        <v>712</v>
      </c>
      <c r="N757" s="67" t="s">
        <v>3553</v>
      </c>
      <c r="O757" s="83" t="str">
        <f t="shared" ca="1" si="45"/>
        <v>SI</v>
      </c>
      <c r="P757" s="83" t="str">
        <f t="shared" si="44"/>
        <v>DIANOSOL</v>
      </c>
      <c r="Q757" s="67" t="s">
        <v>905</v>
      </c>
      <c r="R757" s="67" t="str">
        <f>VLOOKUP($Q757,Resultados!$A$1:$B$49,2,FALSE)</f>
        <v>Juicio Abreviado</v>
      </c>
      <c r="S757" s="67" t="s">
        <v>1341</v>
      </c>
      <c r="T757" s="86" t="str">
        <f t="shared" ref="T757:T788" si="47">IF(G757=$J$1,"SI","NO")</f>
        <v>NO</v>
      </c>
      <c r="U757" s="86"/>
      <c r="V757" s="83"/>
      <c r="W757" s="67" t="s">
        <v>1236</v>
      </c>
      <c r="X757" s="67" t="s">
        <v>3554</v>
      </c>
      <c r="Y757" s="67"/>
      <c r="Z757" s="124" t="s">
        <v>3489</v>
      </c>
      <c r="AA757" s="344" t="s">
        <v>1171</v>
      </c>
      <c r="AB757" s="124" t="s">
        <v>1175</v>
      </c>
      <c r="AC757" s="379"/>
    </row>
    <row r="758" spans="1:29" ht="39.950000000000003" hidden="1" customHeight="1">
      <c r="A758" s="67">
        <v>739</v>
      </c>
      <c r="B758" s="69">
        <v>45201</v>
      </c>
      <c r="C758" s="74">
        <v>0.47916666666666669</v>
      </c>
      <c r="D758" s="67" t="s">
        <v>3118</v>
      </c>
      <c r="E758" s="68" t="s">
        <v>3219</v>
      </c>
      <c r="F758" s="67">
        <v>1</v>
      </c>
      <c r="G758" s="67" t="s">
        <v>2789</v>
      </c>
      <c r="H758" s="69">
        <v>45219</v>
      </c>
      <c r="I758" s="69" t="s">
        <v>1086</v>
      </c>
      <c r="J758" s="69" t="s">
        <v>1732</v>
      </c>
      <c r="K758" s="67" t="s">
        <v>1926</v>
      </c>
      <c r="L758" s="67" t="s">
        <v>789</v>
      </c>
      <c r="M758" s="67" t="s">
        <v>3220</v>
      </c>
      <c r="N758" s="67" t="s">
        <v>3550</v>
      </c>
      <c r="O758" s="83" t="str">
        <f t="shared" ca="1" si="45"/>
        <v>SI</v>
      </c>
      <c r="P758" s="83" t="str">
        <f t="shared" si="44"/>
        <v>DIANOSOL</v>
      </c>
      <c r="Q758" s="67" t="s">
        <v>151</v>
      </c>
      <c r="R758" s="67" t="str">
        <f>VLOOKUP($Q758,Resultados!$A$1:$B$49,2,FALSE)</f>
        <v>Prisión Preventiva</v>
      </c>
      <c r="S758" s="67" t="s">
        <v>1230</v>
      </c>
      <c r="T758" s="86" t="str">
        <f t="shared" si="47"/>
        <v>NO</v>
      </c>
      <c r="U758" s="86"/>
      <c r="V758" s="83"/>
      <c r="W758" s="67" t="s">
        <v>1635</v>
      </c>
      <c r="X758" s="67" t="s">
        <v>3551</v>
      </c>
      <c r="Y758" s="67"/>
      <c r="Z758" s="124" t="s">
        <v>2868</v>
      </c>
      <c r="AA758" s="344" t="s">
        <v>1169</v>
      </c>
      <c r="AB758" s="124" t="s">
        <v>1174</v>
      </c>
      <c r="AC758" s="379"/>
    </row>
    <row r="759" spans="1:29" ht="39.950000000000003" hidden="1" customHeight="1">
      <c r="A759" s="67">
        <v>749</v>
      </c>
      <c r="B759" s="69">
        <v>45202</v>
      </c>
      <c r="C759" s="74">
        <v>0.46249999999999997</v>
      </c>
      <c r="D759" s="67" t="s">
        <v>3166</v>
      </c>
      <c r="E759" s="68" t="s">
        <v>3167</v>
      </c>
      <c r="F759" s="67">
        <v>8</v>
      </c>
      <c r="G759" s="67" t="s">
        <v>1441</v>
      </c>
      <c r="H759" s="69">
        <v>45219</v>
      </c>
      <c r="I759" s="69" t="s">
        <v>1086</v>
      </c>
      <c r="J759" s="69" t="s">
        <v>1225</v>
      </c>
      <c r="K759" s="67">
        <f>IFERROR(VLOOKUP(J759,Jueces!$A$1:$B$11,2,FALSE),"")</f>
        <v>6</v>
      </c>
      <c r="L759" s="67" t="s">
        <v>2091</v>
      </c>
      <c r="M759" s="67" t="s">
        <v>711</v>
      </c>
      <c r="N759" s="67" t="s">
        <v>3546</v>
      </c>
      <c r="O759" s="83" t="str">
        <f t="shared" ca="1" si="45"/>
        <v>SI</v>
      </c>
      <c r="P759" s="83" t="str">
        <f t="shared" si="44"/>
        <v>DIANOSOL</v>
      </c>
      <c r="Q759" s="67" t="s">
        <v>911</v>
      </c>
      <c r="R759" s="67" t="str">
        <f>VLOOKUP($Q759,Resultados!$A$1:$B$49,2,FALSE)</f>
        <v>Suspendida</v>
      </c>
      <c r="S759" s="67" t="s">
        <v>1008</v>
      </c>
      <c r="T759" s="86" t="str">
        <f t="shared" si="47"/>
        <v>NO</v>
      </c>
      <c r="U759" s="86"/>
      <c r="V759" s="83"/>
      <c r="W759" s="67" t="s">
        <v>2077</v>
      </c>
      <c r="X759" s="67"/>
      <c r="Y759" s="67"/>
      <c r="Z759" s="124" t="s">
        <v>748</v>
      </c>
      <c r="AA759" s="344" t="s">
        <v>1171</v>
      </c>
      <c r="AB759" s="124" t="s">
        <v>1173</v>
      </c>
      <c r="AC759" s="379"/>
    </row>
    <row r="760" spans="1:29" ht="39.950000000000003" hidden="1" customHeight="1">
      <c r="A760" s="67">
        <v>767</v>
      </c>
      <c r="B760" s="69">
        <v>45205</v>
      </c>
      <c r="C760" s="74">
        <v>0.4548611111111111</v>
      </c>
      <c r="D760" s="67" t="s">
        <v>3239</v>
      </c>
      <c r="E760" s="68" t="s">
        <v>3255</v>
      </c>
      <c r="F760" s="67">
        <v>1</v>
      </c>
      <c r="G760" s="67" t="s">
        <v>2775</v>
      </c>
      <c r="H760" s="69">
        <v>45219</v>
      </c>
      <c r="I760" s="69" t="s">
        <v>1086</v>
      </c>
      <c r="J760" s="69" t="s">
        <v>1220</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1231</v>
      </c>
      <c r="T760" s="86" t="str">
        <f t="shared" si="47"/>
        <v>NO</v>
      </c>
      <c r="U760" s="86"/>
      <c r="V760" s="83"/>
      <c r="W760" s="67" t="s">
        <v>2905</v>
      </c>
      <c r="X760" s="67"/>
      <c r="Y760" s="67"/>
      <c r="Z760" s="124" t="s">
        <v>2896</v>
      </c>
      <c r="AA760" s="344" t="s">
        <v>2853</v>
      </c>
      <c r="AB760" s="124" t="s">
        <v>3303</v>
      </c>
      <c r="AC760" s="379"/>
    </row>
    <row r="761" spans="1:29" ht="39.950000000000003" hidden="1" customHeight="1">
      <c r="A761" s="67">
        <v>761</v>
      </c>
      <c r="B761" s="69">
        <v>45204</v>
      </c>
      <c r="C761" s="74">
        <v>0.37291666666666662</v>
      </c>
      <c r="D761" s="376" t="s">
        <v>3223</v>
      </c>
      <c r="E761" s="68" t="s">
        <v>3224</v>
      </c>
      <c r="F761" s="67">
        <v>1</v>
      </c>
      <c r="G761" s="67" t="s">
        <v>2839</v>
      </c>
      <c r="H761" s="69">
        <v>45219</v>
      </c>
      <c r="I761" s="69" t="s">
        <v>1210</v>
      </c>
      <c r="J761" s="69" t="s">
        <v>33</v>
      </c>
      <c r="K761" s="67" t="s">
        <v>3309</v>
      </c>
      <c r="L761" s="67" t="s">
        <v>807</v>
      </c>
      <c r="M761" s="67" t="s">
        <v>712</v>
      </c>
      <c r="N761" s="67" t="s">
        <v>3555</v>
      </c>
      <c r="O761" s="83" t="str">
        <f t="shared" ca="1" si="45"/>
        <v>SI</v>
      </c>
      <c r="P761" s="83" t="str">
        <f t="shared" si="44"/>
        <v>DIANOSOL</v>
      </c>
      <c r="Q761" s="67" t="s">
        <v>911</v>
      </c>
      <c r="R761" s="67" t="str">
        <f>VLOOKUP($Q761,Resultados!$A$1:$B$49,2,FALSE)</f>
        <v>Suspendida</v>
      </c>
      <c r="S761" s="67"/>
      <c r="T761" s="86" t="str">
        <f t="shared" si="47"/>
        <v>NO</v>
      </c>
      <c r="U761" s="86"/>
      <c r="V761" s="83"/>
      <c r="W761" s="67"/>
      <c r="X761" s="67" t="s">
        <v>3556</v>
      </c>
      <c r="Y761" s="67"/>
      <c r="Z761" s="124" t="s">
        <v>3420</v>
      </c>
      <c r="AA761" s="124" t="s">
        <v>3350</v>
      </c>
      <c r="AB761" s="124" t="s">
        <v>1175</v>
      </c>
      <c r="AC761" s="379" t="s">
        <v>1801</v>
      </c>
    </row>
    <row r="762" spans="1:29" ht="39.950000000000003" hidden="1" customHeight="1">
      <c r="A762" s="67">
        <v>846</v>
      </c>
      <c r="B762" s="69"/>
      <c r="C762" s="67"/>
      <c r="D762" s="67" t="s">
        <v>3516</v>
      </c>
      <c r="E762" s="68" t="s">
        <v>3517</v>
      </c>
      <c r="F762" s="67">
        <v>2</v>
      </c>
      <c r="G762" s="67" t="s">
        <v>29</v>
      </c>
      <c r="H762" s="69">
        <v>45219</v>
      </c>
      <c r="I762" s="69" t="s">
        <v>228</v>
      </c>
      <c r="J762" s="69" t="s">
        <v>31</v>
      </c>
      <c r="K762" s="67">
        <v>2</v>
      </c>
      <c r="L762" s="67" t="s">
        <v>1306</v>
      </c>
      <c r="M762" s="67" t="s">
        <v>3518</v>
      </c>
      <c r="N762" s="67" t="s">
        <v>3552</v>
      </c>
      <c r="O762" s="83" t="str">
        <f t="shared" ca="1" si="45"/>
        <v>SI</v>
      </c>
      <c r="P762" s="83" t="str">
        <f t="shared" si="44"/>
        <v>DIANOSOL</v>
      </c>
      <c r="Q762" s="67" t="s">
        <v>905</v>
      </c>
      <c r="R762" s="67" t="str">
        <f>VLOOKUP($Q762,Resultados!$A$1:$B$49,2,FALSE)</f>
        <v>Juicio Abreviado</v>
      </c>
      <c r="S762" s="67" t="s">
        <v>3414</v>
      </c>
      <c r="T762" s="86" t="str">
        <f t="shared" si="47"/>
        <v>NO</v>
      </c>
      <c r="U762" s="86"/>
      <c r="V762" s="83"/>
      <c r="W762" s="67" t="s">
        <v>3284</v>
      </c>
      <c r="X762" s="67" t="s">
        <v>3083</v>
      </c>
      <c r="Y762" s="67"/>
      <c r="Z762" s="124" t="s">
        <v>748</v>
      </c>
      <c r="AA762" s="67"/>
      <c r="AB762" s="124" t="s">
        <v>3367</v>
      </c>
      <c r="AC762" s="379"/>
    </row>
    <row r="763" spans="1:29" ht="39.950000000000003" hidden="1" customHeight="1">
      <c r="A763" s="67">
        <v>754</v>
      </c>
      <c r="B763" s="69">
        <v>45202</v>
      </c>
      <c r="C763" s="74">
        <v>0.53194444444444444</v>
      </c>
      <c r="D763" s="67" t="s">
        <v>3173</v>
      </c>
      <c r="E763" s="68" t="s">
        <v>3174</v>
      </c>
      <c r="F763" s="67">
        <v>1</v>
      </c>
      <c r="G763" s="67" t="s">
        <v>1442</v>
      </c>
      <c r="H763" s="69">
        <v>45222</v>
      </c>
      <c r="I763" s="69" t="s">
        <v>73</v>
      </c>
      <c r="J763" s="69" t="s">
        <v>2952</v>
      </c>
      <c r="K763" s="67" t="s">
        <v>1926</v>
      </c>
      <c r="L763" s="67" t="s">
        <v>814</v>
      </c>
      <c r="M763" s="67" t="s">
        <v>711</v>
      </c>
      <c r="N763" s="67" t="s">
        <v>3583</v>
      </c>
      <c r="O763" s="67" t="str">
        <f t="shared" ca="1" si="45"/>
        <v>SI</v>
      </c>
      <c r="P763" s="67" t="str">
        <f t="shared" si="44"/>
        <v>DIANOSOL</v>
      </c>
      <c r="Q763" s="67" t="s">
        <v>151</v>
      </c>
      <c r="R763" s="67" t="str">
        <f>VLOOKUP($Q763,Resultados!$A$1:$B$49,2,FALSE)</f>
        <v>Prisión Preventiva</v>
      </c>
      <c r="S763" s="67" t="s">
        <v>1292</v>
      </c>
      <c r="T763" s="77" t="str">
        <f t="shared" si="47"/>
        <v>SI</v>
      </c>
      <c r="U763" s="77"/>
      <c r="V763" s="67"/>
      <c r="W763" s="67" t="s">
        <v>1252</v>
      </c>
      <c r="X763" s="67" t="s">
        <v>3584</v>
      </c>
      <c r="Y763" s="67"/>
      <c r="Z763" s="124" t="s">
        <v>748</v>
      </c>
      <c r="AA763" s="344" t="s">
        <v>1171</v>
      </c>
      <c r="AB763" s="124" t="s">
        <v>1177</v>
      </c>
      <c r="AC763" s="379"/>
    </row>
    <row r="764" spans="1:29" ht="39.950000000000003" hidden="1" customHeight="1">
      <c r="A764" s="67">
        <v>780</v>
      </c>
      <c r="B764" s="69">
        <v>45209</v>
      </c>
      <c r="C764" s="74">
        <v>0.40069444444444446</v>
      </c>
      <c r="D764" s="376" t="s">
        <v>3301</v>
      </c>
      <c r="E764" s="68" t="s">
        <v>3344</v>
      </c>
      <c r="F764" s="67">
        <v>1</v>
      </c>
      <c r="G764" s="67" t="s">
        <v>2839</v>
      </c>
      <c r="H764" s="69">
        <v>45222</v>
      </c>
      <c r="I764" s="69" t="s">
        <v>73</v>
      </c>
      <c r="J764" s="69" t="s">
        <v>2955</v>
      </c>
      <c r="K764" s="67" t="s">
        <v>1346</v>
      </c>
      <c r="L764" s="67" t="s">
        <v>569</v>
      </c>
      <c r="M764" s="67" t="s">
        <v>3345</v>
      </c>
      <c r="N764" s="67" t="s">
        <v>3591</v>
      </c>
      <c r="O764" s="67" t="str">
        <f t="shared" ca="1" si="45"/>
        <v>SI</v>
      </c>
      <c r="P764" s="67" t="str">
        <f t="shared" si="44"/>
        <v>DIANOSOL</v>
      </c>
      <c r="Q764" s="67" t="s">
        <v>904</v>
      </c>
      <c r="R764" s="67" t="str">
        <f>VLOOKUP($Q764,Resultados!$A$1:$B$49,2,FALSE)</f>
        <v>Juicio Abreviado</v>
      </c>
      <c r="S764" s="67" t="s">
        <v>2422</v>
      </c>
      <c r="T764" s="77" t="str">
        <f t="shared" si="47"/>
        <v>NO</v>
      </c>
      <c r="U764" s="77"/>
      <c r="V764" s="67"/>
      <c r="W764" s="67" t="s">
        <v>1138</v>
      </c>
      <c r="X764" s="67" t="s">
        <v>3592</v>
      </c>
      <c r="Y764" s="67"/>
      <c r="Z764" s="124" t="s">
        <v>3489</v>
      </c>
      <c r="AA764" s="124"/>
      <c r="AB764" s="124" t="s">
        <v>1174</v>
      </c>
      <c r="AC764" s="379" t="s">
        <v>1801</v>
      </c>
    </row>
    <row r="765" spans="1:29" ht="39.950000000000003" hidden="1" customHeight="1">
      <c r="A765" s="67">
        <v>782</v>
      </c>
      <c r="B765" s="69"/>
      <c r="C765" s="67"/>
      <c r="D765" s="67" t="s">
        <v>3307</v>
      </c>
      <c r="E765" s="68" t="s">
        <v>3308</v>
      </c>
      <c r="F765" s="67">
        <v>1</v>
      </c>
      <c r="G765" s="67" t="s">
        <v>1443</v>
      </c>
      <c r="H765" s="69">
        <v>45222</v>
      </c>
      <c r="I765" s="69" t="s">
        <v>73</v>
      </c>
      <c r="J765" s="69" t="s">
        <v>1732</v>
      </c>
      <c r="K765" s="67" t="s">
        <v>2344</v>
      </c>
      <c r="L765" s="67" t="s">
        <v>812</v>
      </c>
      <c r="M765" s="382" t="s">
        <v>2239</v>
      </c>
      <c r="N765" s="67" t="s">
        <v>3589</v>
      </c>
      <c r="O765" s="67" t="str">
        <f t="shared" ca="1" si="45"/>
        <v>SI</v>
      </c>
      <c r="P765" s="67" t="str">
        <f t="shared" si="44"/>
        <v>DIANOSOL</v>
      </c>
      <c r="Q765" s="67" t="s">
        <v>151</v>
      </c>
      <c r="R765" s="67" t="str">
        <f>VLOOKUP($Q765,Resultados!$A$1:$B$49,2,FALSE)</f>
        <v>Prisión Preventiva</v>
      </c>
      <c r="S765" s="67" t="s">
        <v>1134</v>
      </c>
      <c r="T765" s="77" t="str">
        <f t="shared" si="47"/>
        <v>NO</v>
      </c>
      <c r="U765" s="77"/>
      <c r="V765" s="67"/>
      <c r="W765" s="67" t="s">
        <v>76</v>
      </c>
      <c r="X765" s="67" t="s">
        <v>3590</v>
      </c>
      <c r="Y765" s="67"/>
      <c r="Z765" s="124" t="s">
        <v>2868</v>
      </c>
      <c r="AA765" s="344" t="s">
        <v>2853</v>
      </c>
      <c r="AB765" s="124" t="s">
        <v>1173</v>
      </c>
      <c r="AC765" s="379"/>
    </row>
    <row r="766" spans="1:29" ht="39.950000000000003" hidden="1" customHeight="1">
      <c r="A766" s="67">
        <v>774</v>
      </c>
      <c r="B766" s="69" t="s">
        <v>3272</v>
      </c>
      <c r="C766" s="67" t="s">
        <v>3270</v>
      </c>
      <c r="D766" s="67" t="s">
        <v>3271</v>
      </c>
      <c r="E766" s="68" t="s">
        <v>3340</v>
      </c>
      <c r="F766" s="67">
        <v>2</v>
      </c>
      <c r="G766" s="67" t="s">
        <v>3369</v>
      </c>
      <c r="H766" s="69">
        <v>45222</v>
      </c>
      <c r="I766" s="69" t="s">
        <v>1210</v>
      </c>
      <c r="J766" s="69" t="s">
        <v>78</v>
      </c>
      <c r="K766" s="67">
        <f>IFERROR(VLOOKUP(J766,Jueces!$A$1:$B$11,2,FALSE),"")</f>
        <v>8</v>
      </c>
      <c r="L766" s="67" t="s">
        <v>806</v>
      </c>
      <c r="M766" s="7" t="s">
        <v>692</v>
      </c>
      <c r="N766" s="67" t="s">
        <v>3585</v>
      </c>
      <c r="O766" s="67" t="str">
        <f t="shared" ca="1" si="45"/>
        <v>SI</v>
      </c>
      <c r="P766" s="67" t="str">
        <f t="shared" si="44"/>
        <v>DIANOSOL</v>
      </c>
      <c r="Q766" s="67" t="s">
        <v>904</v>
      </c>
      <c r="R766" s="67" t="str">
        <f>VLOOKUP($Q766,Resultados!$A$1:$B$49,2,FALSE)</f>
        <v>Juicio Abreviado</v>
      </c>
      <c r="S766" s="67" t="s">
        <v>3586</v>
      </c>
      <c r="T766" s="77" t="str">
        <f t="shared" si="47"/>
        <v>NO</v>
      </c>
      <c r="U766" s="77"/>
      <c r="V766" s="67"/>
      <c r="W766" s="67" t="s">
        <v>3587</v>
      </c>
      <c r="X766" s="67" t="s">
        <v>3588</v>
      </c>
      <c r="Y766" s="67"/>
      <c r="Z766" s="124" t="s">
        <v>3420</v>
      </c>
      <c r="AA766" s="124" t="s">
        <v>3432</v>
      </c>
      <c r="AB766" s="124" t="s">
        <v>3303</v>
      </c>
      <c r="AC766" s="379"/>
    </row>
    <row r="767" spans="1:29" ht="39.950000000000003" hidden="1" customHeight="1">
      <c r="A767" s="67">
        <v>776</v>
      </c>
      <c r="B767" s="69">
        <v>45209</v>
      </c>
      <c r="C767" s="74">
        <v>0.33333333333333331</v>
      </c>
      <c r="D767" s="67" t="s">
        <v>3275</v>
      </c>
      <c r="E767" s="68" t="s">
        <v>3276</v>
      </c>
      <c r="F767" s="67">
        <v>1</v>
      </c>
      <c r="G767" s="67" t="s">
        <v>3368</v>
      </c>
      <c r="H767" s="69">
        <v>45222</v>
      </c>
      <c r="I767" s="69" t="s">
        <v>3214</v>
      </c>
      <c r="J767" s="69" t="s">
        <v>33</v>
      </c>
      <c r="K767" s="67" t="s">
        <v>2344</v>
      </c>
      <c r="L767" s="67" t="s">
        <v>806</v>
      </c>
      <c r="M767" s="67" t="s">
        <v>1179</v>
      </c>
      <c r="N767" s="67" t="s">
        <v>3601</v>
      </c>
      <c r="O767" s="67" t="str">
        <f t="shared" ca="1" si="45"/>
        <v>SI</v>
      </c>
      <c r="P767" s="67" t="str">
        <f t="shared" si="44"/>
        <v>DIANOSOL</v>
      </c>
      <c r="Q767" s="67" t="s">
        <v>905</v>
      </c>
      <c r="R767" s="67" t="str">
        <f>VLOOKUP($Q767,Resultados!$A$1:$B$49,2,FALSE)</f>
        <v>Juicio Abreviado</v>
      </c>
      <c r="S767" s="67" t="s">
        <v>989</v>
      </c>
      <c r="T767" s="77" t="str">
        <f t="shared" si="47"/>
        <v>NO</v>
      </c>
      <c r="U767" s="77"/>
      <c r="V767" s="67"/>
      <c r="W767" s="67" t="s">
        <v>3600</v>
      </c>
      <c r="X767" s="230" t="s">
        <v>3602</v>
      </c>
      <c r="Y767" s="67"/>
      <c r="Z767" s="124" t="s">
        <v>748</v>
      </c>
      <c r="AA767" s="124" t="s">
        <v>1171</v>
      </c>
      <c r="AB767" s="124" t="s">
        <v>3367</v>
      </c>
      <c r="AC767" s="379"/>
    </row>
    <row r="768" spans="1:29" ht="39.950000000000003" hidden="1" customHeight="1">
      <c r="A768" s="67">
        <v>753</v>
      </c>
      <c r="B768" s="69">
        <v>45202</v>
      </c>
      <c r="C768" s="74">
        <v>0.47638888888888892</v>
      </c>
      <c r="D768" s="67" t="s">
        <v>3172</v>
      </c>
      <c r="E768" s="68" t="s">
        <v>3332</v>
      </c>
      <c r="F768" s="67">
        <v>1</v>
      </c>
      <c r="G768" s="67" t="s">
        <v>568</v>
      </c>
      <c r="H768" s="69">
        <v>45222</v>
      </c>
      <c r="I768" s="69" t="s">
        <v>989</v>
      </c>
      <c r="J768" s="69" t="s">
        <v>1221</v>
      </c>
      <c r="K768" s="67" t="s">
        <v>1926</v>
      </c>
      <c r="L768" s="67" t="s">
        <v>812</v>
      </c>
      <c r="M768" s="67" t="s">
        <v>712</v>
      </c>
      <c r="N768" s="67" t="s">
        <v>3593</v>
      </c>
      <c r="O768" s="67" t="str">
        <f t="shared" ca="1" si="45"/>
        <v>SI</v>
      </c>
      <c r="P768" s="67" t="str">
        <f t="shared" si="44"/>
        <v>DIANOSOL</v>
      </c>
      <c r="Q768" s="67" t="s">
        <v>904</v>
      </c>
      <c r="R768" s="67" t="str">
        <f>VLOOKUP($Q768,Resultados!$A$1:$B$49,2,FALSE)</f>
        <v>Juicio Abreviado</v>
      </c>
      <c r="S768" s="67" t="s">
        <v>3594</v>
      </c>
      <c r="T768" s="77" t="str">
        <f t="shared" si="47"/>
        <v>NO</v>
      </c>
      <c r="U768" s="77"/>
      <c r="V768" s="67"/>
      <c r="W768" s="67" t="s">
        <v>77</v>
      </c>
      <c r="X768" s="67" t="s">
        <v>3595</v>
      </c>
      <c r="Y768" s="67"/>
      <c r="Z768" s="124" t="s">
        <v>3489</v>
      </c>
      <c r="AA768" s="344" t="s">
        <v>1169</v>
      </c>
      <c r="AB768" s="124" t="s">
        <v>1177</v>
      </c>
      <c r="AC768" s="379"/>
    </row>
    <row r="769" spans="1:29" ht="39.950000000000003" hidden="1" customHeight="1">
      <c r="A769" s="67">
        <v>728</v>
      </c>
      <c r="B769" s="69">
        <v>45197</v>
      </c>
      <c r="C769" s="74">
        <v>0.50138888888888888</v>
      </c>
      <c r="D769" s="67" t="s">
        <v>3080</v>
      </c>
      <c r="E769" s="68" t="s">
        <v>3081</v>
      </c>
      <c r="F769" s="67">
        <v>1</v>
      </c>
      <c r="G769" s="67" t="s">
        <v>3368</v>
      </c>
      <c r="H769" s="69">
        <v>45223</v>
      </c>
      <c r="I769" s="69" t="s">
        <v>73</v>
      </c>
      <c r="J769" s="69" t="s">
        <v>31</v>
      </c>
      <c r="K769" s="67">
        <f>IFERROR(VLOOKUP(J769,Jueces!$A$1:$B$11,2,FALSE),"")</f>
        <v>2</v>
      </c>
      <c r="L769" s="67" t="s">
        <v>2095</v>
      </c>
      <c r="M769" s="67" t="s">
        <v>3253</v>
      </c>
      <c r="N769" s="67" t="s">
        <v>3625</v>
      </c>
      <c r="O769" s="67" t="str">
        <f t="shared" ca="1" si="45"/>
        <v>SI</v>
      </c>
      <c r="P769" s="67" t="str">
        <f t="shared" si="44"/>
        <v>DIANOSOL</v>
      </c>
      <c r="Q769" s="67" t="s">
        <v>151</v>
      </c>
      <c r="R769" s="67" t="str">
        <f>VLOOKUP($Q769,Resultados!$A$1:$B$49,2,FALSE)</f>
        <v>Prisión Preventiva</v>
      </c>
      <c r="S769" s="67" t="s">
        <v>3136</v>
      </c>
      <c r="T769" s="77" t="str">
        <f t="shared" si="47"/>
        <v>NO</v>
      </c>
      <c r="U769" s="77"/>
      <c r="V769" s="67"/>
      <c r="W769" s="67" t="s">
        <v>1135</v>
      </c>
      <c r="X769" s="67" t="s">
        <v>3626</v>
      </c>
      <c r="Y769" s="67"/>
      <c r="Z769" s="124" t="s">
        <v>3489</v>
      </c>
      <c r="AA769" s="344" t="s">
        <v>1169</v>
      </c>
      <c r="AB769" s="124" t="s">
        <v>1174</v>
      </c>
      <c r="AC769" s="379"/>
    </row>
    <row r="770" spans="1:29" ht="39.950000000000003" hidden="1" customHeight="1">
      <c r="A770" s="67">
        <v>748</v>
      </c>
      <c r="B770" s="69">
        <v>45202</v>
      </c>
      <c r="C770" s="74">
        <v>0.47083333333333338</v>
      </c>
      <c r="D770" s="67" t="s">
        <v>3164</v>
      </c>
      <c r="E770" s="68" t="s">
        <v>3165</v>
      </c>
      <c r="F770" s="67">
        <v>8</v>
      </c>
      <c r="G770" s="67" t="s">
        <v>3369</v>
      </c>
      <c r="H770" s="69">
        <v>45223</v>
      </c>
      <c r="I770" s="69" t="s">
        <v>73</v>
      </c>
      <c r="J770" s="69" t="s">
        <v>2952</v>
      </c>
      <c r="K770" s="67" t="s">
        <v>1346</v>
      </c>
      <c r="L770" s="67" t="s">
        <v>791</v>
      </c>
      <c r="M770" s="67" t="s">
        <v>887</v>
      </c>
      <c r="N770" s="67" t="s">
        <v>3618</v>
      </c>
      <c r="O770" s="83" t="str">
        <f t="shared" ca="1" si="45"/>
        <v>SI</v>
      </c>
      <c r="P770" s="83" t="str">
        <f t="shared" si="44"/>
        <v>DIANOSOL</v>
      </c>
      <c r="Q770" s="67" t="s">
        <v>905</v>
      </c>
      <c r="R770" s="67" t="str">
        <f>VLOOKUP($Q770,Resultados!$A$1:$B$49,2,FALSE)</f>
        <v>Juicio Abreviado</v>
      </c>
      <c r="S770" s="67" t="s">
        <v>2257</v>
      </c>
      <c r="T770" s="86" t="str">
        <f t="shared" si="47"/>
        <v>NO</v>
      </c>
      <c r="U770" s="86"/>
      <c r="V770" s="83"/>
      <c r="W770" s="67" t="s">
        <v>1499</v>
      </c>
      <c r="X770" s="67"/>
      <c r="Y770" s="67"/>
      <c r="Z770" s="124" t="s">
        <v>748</v>
      </c>
      <c r="AA770" s="344" t="s">
        <v>2853</v>
      </c>
      <c r="AB770" s="124" t="s">
        <v>1173</v>
      </c>
      <c r="AC770" s="379"/>
    </row>
    <row r="771" spans="1:29" ht="39.950000000000003" hidden="1" customHeight="1">
      <c r="A771" s="67">
        <v>781</v>
      </c>
      <c r="B771" s="69">
        <v>45208</v>
      </c>
      <c r="C771" s="67" t="s">
        <v>73</v>
      </c>
      <c r="D771" s="67" t="s">
        <v>3302</v>
      </c>
      <c r="E771" s="68" t="s">
        <v>3342</v>
      </c>
      <c r="F771" s="67">
        <v>2</v>
      </c>
      <c r="G771" s="67" t="s">
        <v>1441</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8">IF($P$1=H771,"DIASOL", "DIANOSOL")</f>
        <v>DIANOSOL</v>
      </c>
      <c r="Q771" s="67" t="s">
        <v>151</v>
      </c>
      <c r="R771" s="67" t="str">
        <f>VLOOKUP($Q771,Resultados!$A$1:$B$49,2,FALSE)</f>
        <v>Prisión Preventiva</v>
      </c>
      <c r="S771" s="67" t="s">
        <v>1034</v>
      </c>
      <c r="T771" s="86" t="str">
        <f t="shared" si="47"/>
        <v>NO</v>
      </c>
      <c r="U771" s="86"/>
      <c r="V771" s="83"/>
      <c r="W771" s="67" t="s">
        <v>1231</v>
      </c>
      <c r="X771" s="67" t="s">
        <v>2572</v>
      </c>
      <c r="Y771" s="67"/>
      <c r="Z771" s="124" t="s">
        <v>2868</v>
      </c>
      <c r="AA771" s="124" t="s">
        <v>3432</v>
      </c>
      <c r="AB771" s="124" t="s">
        <v>3303</v>
      </c>
      <c r="AC771" s="379"/>
    </row>
    <row r="772" spans="1:29" ht="39.950000000000003" hidden="1" customHeight="1">
      <c r="A772" s="67">
        <v>792</v>
      </c>
      <c r="B772" s="69">
        <v>45209</v>
      </c>
      <c r="C772" s="74">
        <v>0.38958333333333334</v>
      </c>
      <c r="D772" s="67" t="s">
        <v>3325</v>
      </c>
      <c r="E772" s="68" t="s">
        <v>3326</v>
      </c>
      <c r="F772" s="67">
        <v>1</v>
      </c>
      <c r="G772" s="67" t="s">
        <v>1442</v>
      </c>
      <c r="H772" s="69">
        <v>45223</v>
      </c>
      <c r="I772" s="69" t="s">
        <v>73</v>
      </c>
      <c r="J772" s="69" t="s">
        <v>78</v>
      </c>
      <c r="K772" s="67">
        <f>IFERROR(VLOOKUP(J772,Jueces!$A$1:$B$11,2,FALSE),"")</f>
        <v>8</v>
      </c>
      <c r="L772" s="67" t="s">
        <v>811</v>
      </c>
      <c r="M772" s="67" t="s">
        <v>712</v>
      </c>
      <c r="N772" s="67" t="s">
        <v>2587</v>
      </c>
      <c r="O772" s="83" t="str">
        <f t="shared" ca="1" si="45"/>
        <v>SI</v>
      </c>
      <c r="P772" s="83" t="str">
        <f t="shared" si="48"/>
        <v>DIANOSOL</v>
      </c>
      <c r="Q772" s="67" t="s">
        <v>904</v>
      </c>
      <c r="R772" s="67" t="str">
        <f>VLOOKUP($Q772,Resultados!$A$1:$B$49,2,FALSE)</f>
        <v>Juicio Abreviado</v>
      </c>
      <c r="S772" s="67" t="s">
        <v>1564</v>
      </c>
      <c r="T772" s="86" t="str">
        <f t="shared" si="47"/>
        <v>SI</v>
      </c>
      <c r="U772" s="86"/>
      <c r="V772" s="83"/>
      <c r="W772" s="67" t="s">
        <v>3619</v>
      </c>
      <c r="X772" s="67" t="s">
        <v>3620</v>
      </c>
      <c r="Y772" s="67"/>
      <c r="Z772" s="124" t="s">
        <v>3420</v>
      </c>
      <c r="AA772" s="344" t="s">
        <v>2853</v>
      </c>
      <c r="AB772" s="124" t="s">
        <v>2892</v>
      </c>
      <c r="AC772" s="379"/>
    </row>
    <row r="773" spans="1:29" ht="39.950000000000003" hidden="1" customHeight="1">
      <c r="A773" s="67">
        <v>779</v>
      </c>
      <c r="B773" s="69">
        <v>45209</v>
      </c>
      <c r="C773" s="67" t="s">
        <v>3289</v>
      </c>
      <c r="D773" s="67" t="s">
        <v>3290</v>
      </c>
      <c r="E773" s="68" t="s">
        <v>3331</v>
      </c>
      <c r="F773" s="67">
        <v>1</v>
      </c>
      <c r="G773" s="67" t="s">
        <v>2839</v>
      </c>
      <c r="H773" s="69">
        <v>45223</v>
      </c>
      <c r="I773" s="69" t="s">
        <v>1086</v>
      </c>
      <c r="J773" s="69" t="s">
        <v>1220</v>
      </c>
      <c r="K773" s="67">
        <f>IFERROR(VLOOKUP(J773,Jueces!$A$1:$B$11,2,FALSE),"")</f>
        <v>1</v>
      </c>
      <c r="L773" s="67" t="s">
        <v>806</v>
      </c>
      <c r="M773" s="67" t="s">
        <v>1179</v>
      </c>
      <c r="N773" s="67" t="s">
        <v>621</v>
      </c>
      <c r="O773" s="83" t="str">
        <f t="shared" ca="1" si="45"/>
        <v>SI</v>
      </c>
      <c r="P773" s="83" t="str">
        <f t="shared" si="48"/>
        <v>DIANOSOL</v>
      </c>
      <c r="Q773" s="67" t="s">
        <v>151</v>
      </c>
      <c r="R773" s="67" t="str">
        <f>VLOOKUP($Q773,Resultados!$A$1:$B$49,2,FALSE)</f>
        <v>Prisión Preventiva</v>
      </c>
      <c r="S773" s="67" t="s">
        <v>1036</v>
      </c>
      <c r="T773" s="86" t="str">
        <f t="shared" si="47"/>
        <v>NO</v>
      </c>
      <c r="U773" s="86"/>
      <c r="V773" s="83"/>
      <c r="W773" s="67" t="s">
        <v>1005</v>
      </c>
      <c r="X773" s="67" t="s">
        <v>2572</v>
      </c>
      <c r="Y773" s="67"/>
      <c r="Z773" s="124" t="s">
        <v>748</v>
      </c>
      <c r="AA773" s="124" t="s">
        <v>1171</v>
      </c>
      <c r="AB773" s="124" t="s">
        <v>3367</v>
      </c>
      <c r="AC773" s="379"/>
    </row>
    <row r="774" spans="1:29" ht="39.950000000000003" hidden="1" customHeight="1">
      <c r="A774" s="67">
        <v>796</v>
      </c>
      <c r="B774" s="69">
        <v>45210</v>
      </c>
      <c r="C774" s="74">
        <v>0.41250000000000003</v>
      </c>
      <c r="D774" s="67" t="s">
        <v>3339</v>
      </c>
      <c r="E774" s="68" t="s">
        <v>3338</v>
      </c>
      <c r="F774" s="67">
        <v>2</v>
      </c>
      <c r="G774" s="67" t="s">
        <v>568</v>
      </c>
      <c r="H774" s="69">
        <v>45223</v>
      </c>
      <c r="I774" s="69" t="s">
        <v>1086</v>
      </c>
      <c r="J774" s="69" t="s">
        <v>1221</v>
      </c>
      <c r="K774" s="67" t="s">
        <v>1926</v>
      </c>
      <c r="L774" s="67" t="s">
        <v>813</v>
      </c>
      <c r="M774" s="67" t="s">
        <v>693</v>
      </c>
      <c r="N774" s="67" t="s">
        <v>2197</v>
      </c>
      <c r="O774" s="83" t="str">
        <f t="shared" ca="1" si="45"/>
        <v>SI</v>
      </c>
      <c r="P774" s="83" t="str">
        <f t="shared" si="48"/>
        <v>DIANOSOL</v>
      </c>
      <c r="Q774" s="67" t="s">
        <v>904</v>
      </c>
      <c r="R774" s="67" t="str">
        <f>VLOOKUP($Q774,Resultados!$A$1:$B$49,2,FALSE)</f>
        <v>Juicio Abreviado</v>
      </c>
      <c r="S774" s="67" t="s">
        <v>1609</v>
      </c>
      <c r="T774" s="86" t="str">
        <f t="shared" si="47"/>
        <v>NO</v>
      </c>
      <c r="U774" s="86"/>
      <c r="V774" s="83"/>
      <c r="W774" s="67" t="s">
        <v>1003</v>
      </c>
      <c r="X774" s="67" t="s">
        <v>2572</v>
      </c>
      <c r="Y774" s="67"/>
      <c r="Z774" s="124" t="s">
        <v>3420</v>
      </c>
      <c r="AA774" s="344" t="s">
        <v>1169</v>
      </c>
      <c r="AB774" s="124" t="s">
        <v>1177</v>
      </c>
      <c r="AC774" s="379"/>
    </row>
    <row r="775" spans="1:29" ht="39.950000000000003" hidden="1" customHeight="1">
      <c r="A775" s="67">
        <v>804</v>
      </c>
      <c r="B775" s="69">
        <v>45210</v>
      </c>
      <c r="C775" s="74">
        <v>0.38472222222222219</v>
      </c>
      <c r="D775" s="67" t="s">
        <v>3387</v>
      </c>
      <c r="E775" s="68" t="s">
        <v>3388</v>
      </c>
      <c r="F775" s="67">
        <v>2</v>
      </c>
      <c r="G775" s="67" t="s">
        <v>2775</v>
      </c>
      <c r="H775" s="69">
        <v>45223</v>
      </c>
      <c r="I775" s="69" t="s">
        <v>1086</v>
      </c>
      <c r="J775" s="69" t="s">
        <v>1225</v>
      </c>
      <c r="K775" s="67">
        <f>IFERROR(VLOOKUP(J775,Jueces!$A$1:$B$11,2,FALSE),"")</f>
        <v>6</v>
      </c>
      <c r="L775" s="67" t="s">
        <v>812</v>
      </c>
      <c r="M775" s="67" t="s">
        <v>692</v>
      </c>
      <c r="N775" s="67" t="s">
        <v>621</v>
      </c>
      <c r="O775" s="83" t="str">
        <f t="shared" ca="1" si="45"/>
        <v>SI</v>
      </c>
      <c r="P775" s="83" t="str">
        <f t="shared" si="48"/>
        <v>DIANOSOL</v>
      </c>
      <c r="Q775" s="67" t="s">
        <v>151</v>
      </c>
      <c r="R775" s="67" t="str">
        <f>VLOOKUP($Q775,Resultados!$A$1:$B$49,2,FALSE)</f>
        <v>Prisión Preventiva</v>
      </c>
      <c r="S775" s="67" t="s">
        <v>2077</v>
      </c>
      <c r="T775" s="86" t="str">
        <f t="shared" si="47"/>
        <v>NO</v>
      </c>
      <c r="U775" s="86"/>
      <c r="V775" s="83"/>
      <c r="W775" s="67" t="s">
        <v>1578</v>
      </c>
      <c r="X775" s="67"/>
      <c r="Y775" s="67"/>
      <c r="Z775" s="124" t="s">
        <v>3489</v>
      </c>
      <c r="AA775" s="124" t="s">
        <v>3432</v>
      </c>
      <c r="AB775" s="124" t="s">
        <v>1174</v>
      </c>
      <c r="AC775" s="379"/>
    </row>
    <row r="776" spans="1:29" ht="39.950000000000003" hidden="1" customHeight="1">
      <c r="A776" s="67">
        <v>787</v>
      </c>
      <c r="B776" s="69">
        <v>45209</v>
      </c>
      <c r="C776" s="67" t="s">
        <v>1040</v>
      </c>
      <c r="D776" s="67" t="s">
        <v>3317</v>
      </c>
      <c r="E776" s="68" t="s">
        <v>3346</v>
      </c>
      <c r="F776" s="67">
        <v>2</v>
      </c>
      <c r="G776" s="67" t="s">
        <v>283</v>
      </c>
      <c r="H776" s="69">
        <v>45223</v>
      </c>
      <c r="I776" s="69" t="s">
        <v>1450</v>
      </c>
      <c r="J776" s="69" t="s">
        <v>31</v>
      </c>
      <c r="K776" s="67" t="s">
        <v>2305</v>
      </c>
      <c r="L776" s="67" t="s">
        <v>806</v>
      </c>
      <c r="M776" s="67" t="s">
        <v>692</v>
      </c>
      <c r="N776" s="67" t="s">
        <v>3621</v>
      </c>
      <c r="O776" s="83" t="str">
        <f t="shared" ca="1" si="45"/>
        <v>SI</v>
      </c>
      <c r="P776" s="83" t="str">
        <f t="shared" si="48"/>
        <v>DIANOSOL</v>
      </c>
      <c r="Q776" s="67" t="s">
        <v>905</v>
      </c>
      <c r="R776" s="67" t="str">
        <f>VLOOKUP($Q776,Resultados!$A$1:$B$49,2,FALSE)</f>
        <v>Juicio Abreviado</v>
      </c>
      <c r="S776" s="67" t="s">
        <v>3281</v>
      </c>
      <c r="T776" s="86" t="str">
        <f t="shared" si="47"/>
        <v>NO</v>
      </c>
      <c r="U776" s="86"/>
      <c r="V776" s="83"/>
      <c r="W776" s="67" t="s">
        <v>3622</v>
      </c>
      <c r="X776" s="67" t="s">
        <v>2572</v>
      </c>
      <c r="Y776" s="67"/>
      <c r="Z776" s="124" t="s">
        <v>2868</v>
      </c>
      <c r="AA776" s="124" t="s">
        <v>1171</v>
      </c>
      <c r="AB776" s="124" t="s">
        <v>1173</v>
      </c>
      <c r="AC776" s="379"/>
    </row>
    <row r="777" spans="1:29" ht="39.950000000000003" hidden="1" customHeight="1">
      <c r="A777" s="67">
        <v>786</v>
      </c>
      <c r="B777" s="69">
        <v>45209</v>
      </c>
      <c r="C777" s="67" t="s">
        <v>3315</v>
      </c>
      <c r="D777" s="67" t="s">
        <v>3316</v>
      </c>
      <c r="E777" s="68" t="s">
        <v>3349</v>
      </c>
      <c r="F777" s="67">
        <v>2</v>
      </c>
      <c r="G777" s="67" t="s">
        <v>1441</v>
      </c>
      <c r="H777" s="69">
        <v>45224</v>
      </c>
      <c r="I777" s="69" t="s">
        <v>73</v>
      </c>
      <c r="J777" s="69" t="s">
        <v>33</v>
      </c>
      <c r="K777" s="67">
        <f>IFERROR(VLOOKUP(J777,Jueces!$A$1:$B$11,2,FALSE),"")</f>
        <v>4</v>
      </c>
      <c r="L777" s="67" t="s">
        <v>806</v>
      </c>
      <c r="M777" s="67" t="s">
        <v>692</v>
      </c>
      <c r="N777" s="67" t="s">
        <v>3650</v>
      </c>
      <c r="O777" s="83" t="str">
        <f t="shared" ca="1" si="45"/>
        <v>SI</v>
      </c>
      <c r="P777" s="83" t="str">
        <f t="shared" si="48"/>
        <v>DIANOSOL</v>
      </c>
      <c r="Q777" s="67" t="s">
        <v>905</v>
      </c>
      <c r="R777" s="67" t="str">
        <f>VLOOKUP($Q777,Resultados!$A$1:$B$49,2,FALSE)</f>
        <v>Juicio Abreviado</v>
      </c>
      <c r="S777" s="67" t="s">
        <v>1008</v>
      </c>
      <c r="T777" s="86" t="str">
        <f t="shared" si="47"/>
        <v>NO</v>
      </c>
      <c r="U777" s="86"/>
      <c r="V777" s="83"/>
      <c r="W777" s="67" t="s">
        <v>1396</v>
      </c>
      <c r="X777" s="67" t="s">
        <v>2572</v>
      </c>
      <c r="Y777" s="67"/>
      <c r="Z777" s="124" t="s">
        <v>3420</v>
      </c>
      <c r="AA777" s="124" t="s">
        <v>1169</v>
      </c>
      <c r="AB777" s="124" t="s">
        <v>3303</v>
      </c>
      <c r="AC777" s="379"/>
    </row>
    <row r="778" spans="1:29" ht="39.950000000000003" hidden="1" customHeight="1">
      <c r="A778" s="67">
        <v>797</v>
      </c>
      <c r="B778" s="69"/>
      <c r="C778" s="67"/>
      <c r="D778" s="67" t="s">
        <v>3370</v>
      </c>
      <c r="E778" s="68" t="s">
        <v>3371</v>
      </c>
      <c r="F778" s="67">
        <v>5</v>
      </c>
      <c r="G778" s="67" t="s">
        <v>2775</v>
      </c>
      <c r="H778" s="69">
        <v>45224</v>
      </c>
      <c r="I778" s="69" t="s">
        <v>73</v>
      </c>
      <c r="J778" s="69" t="s">
        <v>31</v>
      </c>
      <c r="K778" s="67">
        <f>IFERROR(VLOOKUP(J778,Jueces!$A$1:$B$11,2,FALSE),"")</f>
        <v>2</v>
      </c>
      <c r="L778" s="67" t="s">
        <v>796</v>
      </c>
      <c r="M778" s="67" t="s">
        <v>3372</v>
      </c>
      <c r="N778" s="67" t="s">
        <v>3648</v>
      </c>
      <c r="O778" s="83" t="str">
        <f t="shared" ca="1" si="45"/>
        <v>SI</v>
      </c>
      <c r="P778" s="83" t="str">
        <f t="shared" si="48"/>
        <v>DIANOSOL</v>
      </c>
      <c r="Q778" s="67" t="s">
        <v>151</v>
      </c>
      <c r="R778" s="67" t="str">
        <f>VLOOKUP($Q778,Resultados!$A$1:$B$49,2,FALSE)</f>
        <v>Prisión Preventiva</v>
      </c>
      <c r="S778" s="67" t="s">
        <v>1009</v>
      </c>
      <c r="T778" s="86" t="str">
        <f t="shared" si="47"/>
        <v>NO</v>
      </c>
      <c r="U778" s="86"/>
      <c r="V778" s="83"/>
      <c r="W778" s="67" t="s">
        <v>1210</v>
      </c>
      <c r="X778" s="67" t="s">
        <v>3649</v>
      </c>
      <c r="Y778" s="67"/>
      <c r="Z778" s="124" t="s">
        <v>3489</v>
      </c>
      <c r="AA778" s="124" t="s">
        <v>2853</v>
      </c>
      <c r="AB778" s="124" t="s">
        <v>1175</v>
      </c>
      <c r="AC778" s="379"/>
    </row>
    <row r="779" spans="1:29" ht="39.950000000000003" hidden="1" customHeight="1">
      <c r="A779" s="67">
        <v>807</v>
      </c>
      <c r="B779" s="69">
        <v>45210</v>
      </c>
      <c r="C779" s="74">
        <v>0.3840277777777778</v>
      </c>
      <c r="D779" s="67" t="s">
        <v>3392</v>
      </c>
      <c r="E779" s="68" t="s">
        <v>3393</v>
      </c>
      <c r="F779" s="67">
        <v>1</v>
      </c>
      <c r="G779" s="67" t="s">
        <v>3368</v>
      </c>
      <c r="H779" s="69">
        <v>45224</v>
      </c>
      <c r="I779" s="69" t="s">
        <v>73</v>
      </c>
      <c r="J779" s="69" t="s">
        <v>78</v>
      </c>
      <c r="K779" s="67">
        <f>IFERROR(VLOOKUP(J779,Jueces!$A$1:$B$11,2,FALSE),"")</f>
        <v>8</v>
      </c>
      <c r="L779" s="67" t="s">
        <v>829</v>
      </c>
      <c r="M779" s="67" t="s">
        <v>1179</v>
      </c>
      <c r="N779" s="67" t="s">
        <v>3653</v>
      </c>
      <c r="O779" s="83" t="str">
        <f t="shared" ca="1" si="45"/>
        <v>SI</v>
      </c>
      <c r="P779" s="83" t="str">
        <f t="shared" si="48"/>
        <v>DIANOSOL</v>
      </c>
      <c r="Q779" s="67" t="s">
        <v>911</v>
      </c>
      <c r="R779" s="67" t="str">
        <f>VLOOKUP($Q779,Resultados!$A$1:$B$49,2,FALSE)</f>
        <v>Suspendida</v>
      </c>
      <c r="S779" s="67" t="s">
        <v>3654</v>
      </c>
      <c r="T779" s="86" t="str">
        <f t="shared" si="47"/>
        <v>NO</v>
      </c>
      <c r="U779" s="86"/>
      <c r="V779" s="83"/>
      <c r="W779" s="67" t="s">
        <v>989</v>
      </c>
      <c r="X779" s="67" t="s">
        <v>2156</v>
      </c>
      <c r="Y779" s="67"/>
      <c r="Z779" s="124" t="s">
        <v>748</v>
      </c>
      <c r="AA779" s="124" t="s">
        <v>3432</v>
      </c>
      <c r="AB779" s="124" t="s">
        <v>3367</v>
      </c>
      <c r="AC779" s="379"/>
    </row>
    <row r="780" spans="1:29" ht="39.950000000000003" hidden="1" customHeight="1">
      <c r="A780" s="67">
        <v>818</v>
      </c>
      <c r="B780" s="69">
        <v>45211</v>
      </c>
      <c r="C780" s="74">
        <v>0.54166666666666663</v>
      </c>
      <c r="D780" s="67" t="s">
        <v>3429</v>
      </c>
      <c r="E780" s="68" t="s">
        <v>3430</v>
      </c>
      <c r="F780" s="67">
        <v>1</v>
      </c>
      <c r="G780" s="67" t="s">
        <v>283</v>
      </c>
      <c r="H780" s="69">
        <v>45224</v>
      </c>
      <c r="I780" s="69" t="s">
        <v>1086</v>
      </c>
      <c r="J780" s="69" t="s">
        <v>1220</v>
      </c>
      <c r="K780" s="67">
        <f>IFERROR(VLOOKUP(J780,Jueces!$A$1:$B$11,2,FALSE),"")</f>
        <v>1</v>
      </c>
      <c r="L780" s="67" t="s">
        <v>811</v>
      </c>
      <c r="M780" s="67" t="s">
        <v>712</v>
      </c>
      <c r="N780" s="67" t="s">
        <v>3637</v>
      </c>
      <c r="O780" s="83" t="str">
        <f t="shared" ca="1" si="45"/>
        <v>SI</v>
      </c>
      <c r="P780" s="83" t="str">
        <f t="shared" si="48"/>
        <v>DIANOSOL</v>
      </c>
      <c r="Q780" s="67" t="s">
        <v>151</v>
      </c>
      <c r="R780" s="67" t="str">
        <f>VLOOKUP($Q780,Resultados!$A$1:$B$49,2,FALSE)</f>
        <v>Prisión Preventiva</v>
      </c>
      <c r="S780" s="67" t="s">
        <v>1006</v>
      </c>
      <c r="T780" s="86" t="str">
        <f t="shared" si="47"/>
        <v>NO</v>
      </c>
      <c r="U780" s="86"/>
      <c r="V780" s="83"/>
      <c r="W780" s="67" t="s">
        <v>1243</v>
      </c>
      <c r="X780" s="67" t="s">
        <v>3638</v>
      </c>
      <c r="Y780" s="67"/>
      <c r="Z780" s="124" t="s">
        <v>2868</v>
      </c>
      <c r="AA780" s="124" t="s">
        <v>3617</v>
      </c>
      <c r="AB780" s="124" t="s">
        <v>1174</v>
      </c>
      <c r="AC780" s="379"/>
    </row>
    <row r="781" spans="1:29" ht="39.950000000000003" hidden="1" customHeight="1">
      <c r="A781" s="67">
        <v>775</v>
      </c>
      <c r="B781" s="69">
        <v>45208</v>
      </c>
      <c r="C781" s="67" t="s">
        <v>3273</v>
      </c>
      <c r="D781" s="67" t="s">
        <v>3274</v>
      </c>
      <c r="E781" s="68" t="s">
        <v>3341</v>
      </c>
      <c r="F781" s="67">
        <v>2</v>
      </c>
      <c r="G781" s="67" t="s">
        <v>2839</v>
      </c>
      <c r="H781" s="69">
        <v>45224</v>
      </c>
      <c r="I781" s="69" t="s">
        <v>547</v>
      </c>
      <c r="J781" s="69" t="s">
        <v>33</v>
      </c>
      <c r="K781" s="67" t="s">
        <v>3509</v>
      </c>
      <c r="L781" s="67" t="s">
        <v>192</v>
      </c>
      <c r="M781" s="67" t="s">
        <v>3449</v>
      </c>
      <c r="N781" s="67" t="s">
        <v>3651</v>
      </c>
      <c r="O781" s="83" t="str">
        <f t="shared" ca="1" si="45"/>
        <v>SI</v>
      </c>
      <c r="P781" s="83" t="str">
        <f t="shared" si="48"/>
        <v>DIANOSOL</v>
      </c>
      <c r="Q781" s="67" t="s">
        <v>151</v>
      </c>
      <c r="R781" s="67" t="str">
        <f>VLOOKUP($Q781,Resultados!$A$1:$B$49,2,FALSE)</f>
        <v>Prisión Preventiva</v>
      </c>
      <c r="S781" s="67" t="s">
        <v>1404</v>
      </c>
      <c r="T781" s="86" t="str">
        <f t="shared" si="47"/>
        <v>NO</v>
      </c>
      <c r="U781" s="86"/>
      <c r="V781" s="83"/>
      <c r="W781" s="67" t="s">
        <v>3652</v>
      </c>
      <c r="X781" s="67"/>
      <c r="Y781" s="67"/>
      <c r="Z781" s="124" t="s">
        <v>3628</v>
      </c>
      <c r="AA781" s="124" t="s">
        <v>1171</v>
      </c>
      <c r="AB781" s="124" t="s">
        <v>1173</v>
      </c>
      <c r="AC781" s="379"/>
    </row>
    <row r="782" spans="1:29" ht="39.950000000000003" customHeight="1">
      <c r="A782" s="83">
        <v>785</v>
      </c>
      <c r="B782" s="85">
        <v>45209</v>
      </c>
      <c r="C782" s="83" t="s">
        <v>1274</v>
      </c>
      <c r="D782" s="83" t="s">
        <v>3313</v>
      </c>
      <c r="E782" s="84" t="s">
        <v>3404</v>
      </c>
      <c r="F782" s="83">
        <v>1</v>
      </c>
      <c r="G782" s="83" t="s">
        <v>283</v>
      </c>
      <c r="H782" s="85">
        <v>45225</v>
      </c>
      <c r="I782" s="85" t="s">
        <v>73</v>
      </c>
      <c r="J782" s="85" t="s">
        <v>2955</v>
      </c>
      <c r="K782" s="83" t="s">
        <v>1926</v>
      </c>
      <c r="L782" s="83" t="s">
        <v>811</v>
      </c>
      <c r="M782" s="83" t="s">
        <v>712</v>
      </c>
      <c r="N782" s="83"/>
      <c r="O782" s="83" t="str">
        <f t="shared" ref="O782:O845" ca="1" si="49">IF(H782&lt;&gt;"",IF(H782&lt;=TODAY(),"SI","NO"),"LIMBO")</f>
        <v>NO</v>
      </c>
      <c r="P782" s="83" t="str">
        <f t="shared" si="48"/>
        <v>DIASOL</v>
      </c>
      <c r="Q782" s="83" t="s">
        <v>951</v>
      </c>
      <c r="R782" s="83" t="str">
        <f>VLOOKUP($Q782,Resultados!$A$1:$B$49,2,FALSE)</f>
        <v xml:space="preserve"> _</v>
      </c>
      <c r="S782" s="83"/>
      <c r="T782" s="86" t="str">
        <f t="shared" si="47"/>
        <v>NO</v>
      </c>
      <c r="U782" s="86"/>
      <c r="V782" s="83"/>
      <c r="W782" s="83"/>
      <c r="X782" s="83"/>
      <c r="Y782" s="83"/>
      <c r="Z782" s="327" t="s">
        <v>2868</v>
      </c>
      <c r="AA782" s="327" t="s">
        <v>3433</v>
      </c>
      <c r="AB782" s="327" t="s">
        <v>3303</v>
      </c>
      <c r="AC782" s="375"/>
    </row>
    <row r="783" spans="1:29" ht="39.950000000000003" customHeight="1">
      <c r="A783" s="83">
        <v>793</v>
      </c>
      <c r="B783" s="85">
        <v>45209</v>
      </c>
      <c r="C783" s="329">
        <v>0.38819444444444445</v>
      </c>
      <c r="D783" s="83" t="s">
        <v>3327</v>
      </c>
      <c r="E783" s="84" t="s">
        <v>3328</v>
      </c>
      <c r="F783" s="83">
        <v>1</v>
      </c>
      <c r="G783" s="83" t="s">
        <v>1443</v>
      </c>
      <c r="H783" s="85">
        <v>45225</v>
      </c>
      <c r="I783" s="85" t="s">
        <v>73</v>
      </c>
      <c r="J783" s="85" t="s">
        <v>78</v>
      </c>
      <c r="K783" s="83">
        <f>IFERROR(VLOOKUP(J783,Jueces!$A$1:$B$11,2,FALSE),"")</f>
        <v>8</v>
      </c>
      <c r="L783" s="83" t="s">
        <v>801</v>
      </c>
      <c r="M783" s="83" t="s">
        <v>692</v>
      </c>
      <c r="N783" s="83"/>
      <c r="O783" s="83" t="str">
        <f t="shared" ca="1" si="49"/>
        <v>NO</v>
      </c>
      <c r="P783" s="83" t="str">
        <f t="shared" si="48"/>
        <v>DIASOL</v>
      </c>
      <c r="Q783" s="83" t="s">
        <v>951</v>
      </c>
      <c r="R783" s="83" t="str">
        <f>VLOOKUP($Q783,Resultados!$A$1:$B$49,2,FALSE)</f>
        <v xml:space="preserve"> _</v>
      </c>
      <c r="S783" s="83"/>
      <c r="T783" s="86" t="str">
        <f t="shared" si="47"/>
        <v>NO</v>
      </c>
      <c r="U783" s="86"/>
      <c r="V783" s="83"/>
      <c r="W783" s="83"/>
      <c r="X783" s="83"/>
      <c r="Y783" s="83"/>
      <c r="Z783" s="327" t="s">
        <v>748</v>
      </c>
      <c r="AA783" s="327" t="s">
        <v>1171</v>
      </c>
      <c r="AB783" s="327" t="s">
        <v>1175</v>
      </c>
      <c r="AC783" s="375"/>
    </row>
    <row r="784" spans="1:29" ht="39.950000000000003" customHeight="1">
      <c r="A784" s="83">
        <v>814</v>
      </c>
      <c r="B784" s="85"/>
      <c r="C784" s="83"/>
      <c r="D784" s="376" t="s">
        <v>2929</v>
      </c>
      <c r="E784" s="84" t="s">
        <v>2881</v>
      </c>
      <c r="F784" s="83">
        <v>1</v>
      </c>
      <c r="G784" s="83" t="s">
        <v>1441</v>
      </c>
      <c r="H784" s="85">
        <v>45225</v>
      </c>
      <c r="I784" s="85" t="s">
        <v>749</v>
      </c>
      <c r="J784" s="85" t="s">
        <v>1225</v>
      </c>
      <c r="K784" s="83">
        <f>IFERROR(VLOOKUP(J784,Jueces!$A$1:$B$11,2,FALSE),"")</f>
        <v>6</v>
      </c>
      <c r="L784" s="83" t="s">
        <v>569</v>
      </c>
      <c r="M784" s="83" t="s">
        <v>1087</v>
      </c>
      <c r="N784" s="397"/>
      <c r="O784" s="83" t="str">
        <f t="shared" ca="1" si="49"/>
        <v>NO</v>
      </c>
      <c r="P784" s="83" t="str">
        <f t="shared" si="48"/>
        <v>DIASOL</v>
      </c>
      <c r="Q784" s="83" t="s">
        <v>951</v>
      </c>
      <c r="R784" s="83" t="str">
        <f>VLOOKUP($Q784,Resultados!$A$1:$B$49,2,FALSE)</f>
        <v xml:space="preserve"> _</v>
      </c>
      <c r="S784" s="83"/>
      <c r="T784" s="86" t="str">
        <f t="shared" si="47"/>
        <v>NO</v>
      </c>
      <c r="U784" s="86"/>
      <c r="V784" s="83"/>
      <c r="W784" s="83"/>
      <c r="X784" s="83"/>
      <c r="Y784" s="83"/>
      <c r="Z784" s="327" t="s">
        <v>770</v>
      </c>
      <c r="AA784" s="327"/>
      <c r="AB784" s="327" t="s">
        <v>3367</v>
      </c>
      <c r="AC784" s="375" t="s">
        <v>1801</v>
      </c>
    </row>
    <row r="785" spans="1:29" ht="39.950000000000003" customHeight="1">
      <c r="A785" s="83">
        <v>766</v>
      </c>
      <c r="B785" s="85">
        <v>45205</v>
      </c>
      <c r="C785" s="329">
        <v>0.45347222222222222</v>
      </c>
      <c r="D785" s="83" t="s">
        <v>3237</v>
      </c>
      <c r="E785" s="84" t="s">
        <v>3238</v>
      </c>
      <c r="F785" s="83">
        <v>1</v>
      </c>
      <c r="G785" s="83" t="s">
        <v>2789</v>
      </c>
      <c r="H785" s="85">
        <v>45225</v>
      </c>
      <c r="I785" s="85" t="s">
        <v>1086</v>
      </c>
      <c r="J785" s="85" t="s">
        <v>1221</v>
      </c>
      <c r="K785" s="83" t="s">
        <v>1926</v>
      </c>
      <c r="L785" s="83" t="s">
        <v>812</v>
      </c>
      <c r="M785" s="83" t="s">
        <v>712</v>
      </c>
      <c r="N785" s="83"/>
      <c r="O785" s="83" t="str">
        <f t="shared" ca="1" si="49"/>
        <v>NO</v>
      </c>
      <c r="P785" s="83" t="str">
        <f t="shared" si="48"/>
        <v>DIASOL</v>
      </c>
      <c r="Q785" s="83" t="s">
        <v>951</v>
      </c>
      <c r="R785" s="83" t="str">
        <f>VLOOKUP($Q785,Resultados!$A$1:$B$49,2,FALSE)</f>
        <v xml:space="preserve"> _</v>
      </c>
      <c r="S785" s="83"/>
      <c r="T785" s="86" t="str">
        <f t="shared" si="47"/>
        <v>NO</v>
      </c>
      <c r="U785" s="86"/>
      <c r="V785" s="83"/>
      <c r="W785" s="83"/>
      <c r="X785" s="83"/>
      <c r="Y785" s="83"/>
      <c r="Z785" s="327" t="s">
        <v>2868</v>
      </c>
      <c r="AA785" s="327" t="s">
        <v>3432</v>
      </c>
      <c r="AB785" s="327" t="s">
        <v>1177</v>
      </c>
      <c r="AC785" s="375"/>
    </row>
    <row r="786" spans="1:29" ht="39.950000000000003" customHeight="1">
      <c r="A786" s="83">
        <v>788</v>
      </c>
      <c r="B786" s="85">
        <v>45209</v>
      </c>
      <c r="C786" s="329">
        <v>0.52361111111111114</v>
      </c>
      <c r="D786" s="83" t="s">
        <v>3321</v>
      </c>
      <c r="E786" s="84" t="s">
        <v>3347</v>
      </c>
      <c r="F786" s="83">
        <v>2</v>
      </c>
      <c r="G786" s="83" t="s">
        <v>3368</v>
      </c>
      <c r="H786" s="85">
        <v>45225</v>
      </c>
      <c r="I786" s="85" t="s">
        <v>1086</v>
      </c>
      <c r="J786" s="85" t="s">
        <v>33</v>
      </c>
      <c r="K786" s="83">
        <f>IFERROR(VLOOKUP(J786,Jueces!$A$1:$B$11,2,FALSE),"")</f>
        <v>4</v>
      </c>
      <c r="L786" s="83" t="s">
        <v>811</v>
      </c>
      <c r="M786" s="83" t="s">
        <v>692</v>
      </c>
      <c r="N786" s="83"/>
      <c r="O786" s="83" t="str">
        <f t="shared" ca="1" si="49"/>
        <v>NO</v>
      </c>
      <c r="P786" s="83" t="str">
        <f t="shared" si="48"/>
        <v>DIASOL</v>
      </c>
      <c r="Q786" s="83" t="s">
        <v>951</v>
      </c>
      <c r="R786" s="83" t="str">
        <f>VLOOKUP($Q786,Resultados!$A$1:$B$49,2,FALSE)</f>
        <v xml:space="preserve"> _</v>
      </c>
      <c r="S786" s="83"/>
      <c r="T786" s="86" t="str">
        <f t="shared" si="47"/>
        <v>NO</v>
      </c>
      <c r="U786" s="86"/>
      <c r="V786" s="83"/>
      <c r="W786" s="83"/>
      <c r="X786" s="83"/>
      <c r="Y786" s="83"/>
      <c r="Z786" s="327" t="s">
        <v>3420</v>
      </c>
      <c r="AA786" s="327" t="s">
        <v>2896</v>
      </c>
      <c r="AB786" s="327" t="s">
        <v>1174</v>
      </c>
      <c r="AC786" s="375"/>
    </row>
    <row r="787" spans="1:29" ht="39.950000000000003" customHeight="1">
      <c r="A787" s="83">
        <v>820</v>
      </c>
      <c r="B787" s="85">
        <v>45216</v>
      </c>
      <c r="C787" s="329">
        <v>0.50972222222222219</v>
      </c>
      <c r="D787" s="376" t="s">
        <v>3437</v>
      </c>
      <c r="E787" s="84" t="s">
        <v>3438</v>
      </c>
      <c r="F787" s="83">
        <v>5</v>
      </c>
      <c r="G787" s="83" t="s">
        <v>2775</v>
      </c>
      <c r="H787" s="85">
        <v>45225</v>
      </c>
      <c r="I787" s="85" t="s">
        <v>1086</v>
      </c>
      <c r="J787" s="85" t="s">
        <v>78</v>
      </c>
      <c r="K787" s="83">
        <f>IFERROR(VLOOKUP(J787,Jueces!$A$1:$B$11,2,FALSE),"")</f>
        <v>8</v>
      </c>
      <c r="L787" s="83" t="s">
        <v>582</v>
      </c>
      <c r="M787" s="83" t="s">
        <v>3439</v>
      </c>
      <c r="N787" s="83"/>
      <c r="O787" s="83" t="str">
        <f t="shared" ca="1" si="49"/>
        <v>NO</v>
      </c>
      <c r="P787" s="83" t="str">
        <f t="shared" si="48"/>
        <v>DIASOL</v>
      </c>
      <c r="Q787" s="83" t="s">
        <v>951</v>
      </c>
      <c r="R787" s="83" t="str">
        <f>VLOOKUP($Q787,Resultados!$A$1:$B$49,2,FALSE)</f>
        <v xml:space="preserve"> _</v>
      </c>
      <c r="S787" s="83"/>
      <c r="T787" s="86" t="str">
        <f t="shared" si="47"/>
        <v>NO</v>
      </c>
      <c r="U787" s="86"/>
      <c r="V787" s="83"/>
      <c r="W787" s="83"/>
      <c r="X787" s="83"/>
      <c r="Y787" s="83"/>
      <c r="Z787" s="327" t="s">
        <v>748</v>
      </c>
      <c r="AA787" s="327"/>
      <c r="AB787" s="327" t="s">
        <v>1173</v>
      </c>
      <c r="AC787" s="90" t="s">
        <v>1801</v>
      </c>
    </row>
    <row r="788" spans="1:29" ht="39.950000000000003" customHeight="1">
      <c r="A788" s="83">
        <v>800</v>
      </c>
      <c r="B788" s="85" t="s">
        <v>3376</v>
      </c>
      <c r="C788" s="329">
        <v>0.51597222222222217</v>
      </c>
      <c r="D788" s="83" t="s">
        <v>3377</v>
      </c>
      <c r="E788" s="84" t="s">
        <v>3386</v>
      </c>
      <c r="F788" s="83">
        <v>1</v>
      </c>
      <c r="G788" s="83" t="s">
        <v>1442</v>
      </c>
      <c r="H788" s="85">
        <v>45225</v>
      </c>
      <c r="I788" s="85" t="s">
        <v>228</v>
      </c>
      <c r="J788" s="85" t="s">
        <v>31</v>
      </c>
      <c r="K788" s="83">
        <f>IFERROR(VLOOKUP(J788,Jueces!$A$1:$B$11,2,FALSE),"")</f>
        <v>2</v>
      </c>
      <c r="L788" s="83" t="s">
        <v>582</v>
      </c>
      <c r="M788" s="83" t="s">
        <v>783</v>
      </c>
      <c r="N788" s="83"/>
      <c r="O788" s="83" t="str">
        <f t="shared" ca="1" si="49"/>
        <v>NO</v>
      </c>
      <c r="P788" s="83" t="str">
        <f t="shared" si="48"/>
        <v>DIASOL</v>
      </c>
      <c r="Q788" s="83" t="s">
        <v>951</v>
      </c>
      <c r="R788" s="83" t="str">
        <f>VLOOKUP($Q788,Resultados!$A$1:$B$49,2,FALSE)</f>
        <v xml:space="preserve"> _</v>
      </c>
      <c r="S788" s="83"/>
      <c r="T788" s="86" t="str">
        <f t="shared" si="47"/>
        <v>SI</v>
      </c>
      <c r="U788" s="86"/>
      <c r="V788" s="83"/>
      <c r="W788" s="83"/>
      <c r="X788" s="83"/>
      <c r="Y788" s="83"/>
      <c r="Z788" s="327" t="s">
        <v>2868</v>
      </c>
      <c r="AA788" s="327"/>
      <c r="AB788" s="327" t="s">
        <v>3303</v>
      </c>
      <c r="AC788" s="375"/>
    </row>
    <row r="789" spans="1:29" ht="39.950000000000003" hidden="1" customHeight="1">
      <c r="A789" s="83">
        <v>803</v>
      </c>
      <c r="B789" s="85">
        <v>45209</v>
      </c>
      <c r="C789" s="329">
        <v>0.4458333333333333</v>
      </c>
      <c r="D789" s="83" t="s">
        <v>3384</v>
      </c>
      <c r="E789" s="84" t="s">
        <v>3385</v>
      </c>
      <c r="F789" s="83">
        <v>1</v>
      </c>
      <c r="G789" s="83" t="s">
        <v>1443</v>
      </c>
      <c r="H789" s="85">
        <v>45226</v>
      </c>
      <c r="I789" s="85" t="s">
        <v>73</v>
      </c>
      <c r="J789" s="85" t="s">
        <v>2952</v>
      </c>
      <c r="K789" s="83" t="s">
        <v>1926</v>
      </c>
      <c r="L789" s="83" t="s">
        <v>793</v>
      </c>
      <c r="M789" s="83" t="s">
        <v>692</v>
      </c>
      <c r="N789" s="83" t="s">
        <v>3399</v>
      </c>
      <c r="O789" s="83" t="str">
        <f t="shared" ca="1" si="49"/>
        <v>NO</v>
      </c>
      <c r="P789" s="83" t="str">
        <f t="shared" si="48"/>
        <v>DIANOSOL</v>
      </c>
      <c r="Q789" s="83" t="s">
        <v>951</v>
      </c>
      <c r="R789" s="83" t="str">
        <f>VLOOKUP($Q789,Resultados!$A$1:$B$49,2,FALSE)</f>
        <v xml:space="preserve"> _</v>
      </c>
      <c r="S789" s="83"/>
      <c r="T789" s="86" t="str">
        <f t="shared" ref="T789:T820" si="50">IF(G789=$J$1,"SI","NO")</f>
        <v>NO</v>
      </c>
      <c r="U789" s="86"/>
      <c r="V789" s="83"/>
      <c r="W789" s="83"/>
      <c r="X789" s="83"/>
      <c r="Y789" s="83"/>
      <c r="Z789" s="83"/>
      <c r="AA789" s="327" t="s">
        <v>1171</v>
      </c>
      <c r="AB789" s="83"/>
      <c r="AC789" s="375"/>
    </row>
    <row r="790" spans="1:29" ht="39.950000000000003" hidden="1" customHeight="1">
      <c r="A790" s="83">
        <v>799</v>
      </c>
      <c r="B790" s="85">
        <v>45210</v>
      </c>
      <c r="C790" s="329">
        <v>0.51874999999999993</v>
      </c>
      <c r="D790" s="83" t="s">
        <v>3375</v>
      </c>
      <c r="E790" s="84" t="s">
        <v>3378</v>
      </c>
      <c r="F790" s="83">
        <v>1</v>
      </c>
      <c r="G790" s="83" t="s">
        <v>1441</v>
      </c>
      <c r="H790" s="85">
        <v>45226</v>
      </c>
      <c r="I790" s="85" t="s">
        <v>749</v>
      </c>
      <c r="J790" s="85" t="s">
        <v>1225</v>
      </c>
      <c r="K790" s="83">
        <f>IFERROR(VLOOKUP(J790,Jueces!$A$1:$B$11,2,FALSE),"")</f>
        <v>6</v>
      </c>
      <c r="L790" s="83" t="s">
        <v>582</v>
      </c>
      <c r="M790" s="83" t="s">
        <v>783</v>
      </c>
      <c r="N790" s="83"/>
      <c r="O790" s="83" t="str">
        <f t="shared" ca="1" si="49"/>
        <v>NO</v>
      </c>
      <c r="P790" s="83" t="str">
        <f t="shared" si="48"/>
        <v>DIANOSOL</v>
      </c>
      <c r="Q790" s="83" t="s">
        <v>951</v>
      </c>
      <c r="R790" s="83" t="str">
        <f>VLOOKUP($Q790,Resultados!$A$1:$B$49,2,FALSE)</f>
        <v xml:space="preserve"> _</v>
      </c>
      <c r="S790" s="83"/>
      <c r="T790" s="86" t="str">
        <f t="shared" si="50"/>
        <v>NO</v>
      </c>
      <c r="U790" s="86"/>
      <c r="V790" s="83"/>
      <c r="W790" s="83"/>
      <c r="X790" s="83"/>
      <c r="Y790" s="83"/>
      <c r="Z790" s="83"/>
      <c r="AA790" s="327"/>
      <c r="AB790" s="83"/>
      <c r="AC790" s="375"/>
    </row>
    <row r="791" spans="1:29" ht="39.950000000000003" hidden="1" customHeight="1">
      <c r="A791" s="83">
        <v>791</v>
      </c>
      <c r="B791" s="85">
        <v>45209</v>
      </c>
      <c r="C791" s="329">
        <v>0.44861111111111113</v>
      </c>
      <c r="D791" s="83" t="s">
        <v>3324</v>
      </c>
      <c r="E791" s="84" t="s">
        <v>1196</v>
      </c>
      <c r="F791" s="83">
        <v>2</v>
      </c>
      <c r="G791" s="83" t="s">
        <v>3368</v>
      </c>
      <c r="H791" s="85">
        <v>45226</v>
      </c>
      <c r="I791" s="85" t="s">
        <v>1086</v>
      </c>
      <c r="J791" s="85" t="s">
        <v>78</v>
      </c>
      <c r="K791" s="83">
        <v>8</v>
      </c>
      <c r="L791" s="83" t="s">
        <v>801</v>
      </c>
      <c r="M791" s="83" t="s">
        <v>692</v>
      </c>
      <c r="N791" s="83"/>
      <c r="O791" s="83" t="str">
        <f t="shared" ca="1" si="49"/>
        <v>NO</v>
      </c>
      <c r="P791" s="83" t="str">
        <f t="shared" si="48"/>
        <v>DIANOSOL</v>
      </c>
      <c r="Q791" s="83" t="s">
        <v>951</v>
      </c>
      <c r="R791" s="83" t="str">
        <f>VLOOKUP($Q791,Resultados!$A$1:$B$49,2,FALSE)</f>
        <v xml:space="preserve"> _</v>
      </c>
      <c r="S791" s="83"/>
      <c r="T791" s="86" t="str">
        <f t="shared" si="50"/>
        <v>NO</v>
      </c>
      <c r="U791" s="86"/>
      <c r="V791" s="83"/>
      <c r="W791" s="83"/>
      <c r="X791" s="83"/>
      <c r="Y791" s="83"/>
      <c r="Z791" s="83"/>
      <c r="AA791" s="327" t="s">
        <v>2896</v>
      </c>
      <c r="AB791" s="83"/>
      <c r="AC791" s="375"/>
    </row>
    <row r="792" spans="1:29" ht="39.950000000000003" hidden="1" customHeight="1">
      <c r="A792" s="83">
        <v>795</v>
      </c>
      <c r="B792" s="85">
        <v>45210</v>
      </c>
      <c r="C792" s="329">
        <v>0.36249999999999999</v>
      </c>
      <c r="D792" s="83" t="s">
        <v>3335</v>
      </c>
      <c r="E792" s="84" t="s">
        <v>3336</v>
      </c>
      <c r="F792" s="83">
        <v>1</v>
      </c>
      <c r="G792" s="83" t="s">
        <v>283</v>
      </c>
      <c r="H792" s="85">
        <v>45226</v>
      </c>
      <c r="I792" s="85" t="s">
        <v>1086</v>
      </c>
      <c r="J792" s="85" t="s">
        <v>1221</v>
      </c>
      <c r="K792" s="83" t="s">
        <v>1926</v>
      </c>
      <c r="L792" s="83" t="s">
        <v>508</v>
      </c>
      <c r="M792" s="83" t="s">
        <v>2056</v>
      </c>
      <c r="N792" s="83"/>
      <c r="O792" s="83" t="str">
        <f t="shared" ca="1" si="49"/>
        <v>NO</v>
      </c>
      <c r="P792" s="83" t="str">
        <f t="shared" si="48"/>
        <v>DIANOSOL</v>
      </c>
      <c r="Q792" s="83" t="s">
        <v>951</v>
      </c>
      <c r="R792" s="83" t="str">
        <f>VLOOKUP($Q792,Resultados!$A$1:$B$49,2,FALSE)</f>
        <v xml:space="preserve"> _</v>
      </c>
      <c r="S792" s="83"/>
      <c r="T792" s="86" t="str">
        <f t="shared" si="50"/>
        <v>NO</v>
      </c>
      <c r="U792" s="86"/>
      <c r="V792" s="83"/>
      <c r="W792" s="83"/>
      <c r="X792" s="83"/>
      <c r="Y792" s="83"/>
      <c r="Z792" s="83"/>
      <c r="AA792" s="327" t="s">
        <v>2853</v>
      </c>
      <c r="AB792" s="83"/>
      <c r="AC792" s="375"/>
    </row>
    <row r="793" spans="1:29" ht="39.950000000000003" hidden="1" customHeight="1">
      <c r="A793" s="83">
        <v>806</v>
      </c>
      <c r="B793" s="85">
        <v>45210</v>
      </c>
      <c r="C793" s="329">
        <v>0.38819444444444445</v>
      </c>
      <c r="D793" s="83" t="s">
        <v>3390</v>
      </c>
      <c r="E793" s="84" t="s">
        <v>3391</v>
      </c>
      <c r="F793" s="83">
        <v>1</v>
      </c>
      <c r="G793" s="83" t="s">
        <v>568</v>
      </c>
      <c r="H793" s="85">
        <v>45226</v>
      </c>
      <c r="I793" s="85" t="s">
        <v>1086</v>
      </c>
      <c r="J793" s="85" t="s">
        <v>31</v>
      </c>
      <c r="K793" s="83">
        <f>IFERROR(VLOOKUP(J793,Jueces!$A$1:$B$11,2,FALSE),"")</f>
        <v>2</v>
      </c>
      <c r="L793" s="83" t="s">
        <v>582</v>
      </c>
      <c r="M793" s="83" t="s">
        <v>712</v>
      </c>
      <c r="N793" s="83"/>
      <c r="O793" s="83" t="str">
        <f t="shared" ca="1" si="49"/>
        <v>NO</v>
      </c>
      <c r="P793" s="83" t="str">
        <f t="shared" si="48"/>
        <v>DIANOSOL</v>
      </c>
      <c r="Q793" s="83" t="s">
        <v>951</v>
      </c>
      <c r="R793" s="83" t="str">
        <f>VLOOKUP($Q793,Resultados!$A$1:$B$49,2,FALSE)</f>
        <v xml:space="preserve"> _</v>
      </c>
      <c r="S793" s="83"/>
      <c r="T793" s="86" t="str">
        <f t="shared" si="50"/>
        <v>NO</v>
      </c>
      <c r="U793" s="86"/>
      <c r="V793" s="83"/>
      <c r="W793" s="83"/>
      <c r="X793" s="83"/>
      <c r="Y793" s="83"/>
      <c r="Z793" s="83"/>
      <c r="AA793" s="327"/>
      <c r="AB793" s="83"/>
      <c r="AC793" s="375"/>
    </row>
    <row r="794" spans="1:29" ht="39.950000000000003" hidden="1" customHeight="1">
      <c r="A794" s="83">
        <v>811</v>
      </c>
      <c r="B794" s="85">
        <v>45211</v>
      </c>
      <c r="C794" s="83" t="s">
        <v>1235</v>
      </c>
      <c r="D794" s="83" t="s">
        <v>3402</v>
      </c>
      <c r="E794" s="84" t="s">
        <v>3405</v>
      </c>
      <c r="F794" s="83">
        <v>1</v>
      </c>
      <c r="G794" s="83" t="s">
        <v>1442</v>
      </c>
      <c r="H794" s="85">
        <v>45226</v>
      </c>
      <c r="I794" s="85" t="s">
        <v>1210</v>
      </c>
      <c r="J794" s="85" t="s">
        <v>33</v>
      </c>
      <c r="K794" s="83">
        <f>IFERROR(VLOOKUP(J794,Jueces!$A$1:$B$11,2,FALSE),"")</f>
        <v>4</v>
      </c>
      <c r="L794" s="83" t="s">
        <v>812</v>
      </c>
      <c r="M794" s="83" t="s">
        <v>712</v>
      </c>
      <c r="N794" s="83"/>
      <c r="O794" s="83" t="str">
        <f t="shared" ca="1" si="49"/>
        <v>NO</v>
      </c>
      <c r="P794" s="83" t="str">
        <f t="shared" si="48"/>
        <v>DIANOSOL</v>
      </c>
      <c r="Q794" s="83" t="s">
        <v>951</v>
      </c>
      <c r="R794" s="83" t="str">
        <f>VLOOKUP($Q794,Resultados!$A$1:$B$49,2,FALSE)</f>
        <v xml:space="preserve"> _</v>
      </c>
      <c r="S794" s="83"/>
      <c r="T794" s="86" t="str">
        <f t="shared" si="50"/>
        <v>SI</v>
      </c>
      <c r="U794" s="86"/>
      <c r="V794" s="83"/>
      <c r="W794" s="83"/>
      <c r="X794" s="83"/>
      <c r="Y794" s="83"/>
      <c r="Z794" s="83"/>
      <c r="AA794" s="327" t="s">
        <v>3432</v>
      </c>
      <c r="AB794" s="83"/>
      <c r="AC794" s="375"/>
    </row>
    <row r="795" spans="1:29" ht="39.950000000000003" hidden="1" customHeight="1">
      <c r="A795" s="83">
        <v>869</v>
      </c>
      <c r="B795" s="85">
        <v>45222</v>
      </c>
      <c r="C795" s="329">
        <v>0.50555555555555554</v>
      </c>
      <c r="D795" s="83" t="s">
        <v>3603</v>
      </c>
      <c r="E795" s="84" t="s">
        <v>3605</v>
      </c>
      <c r="F795" s="83">
        <v>2</v>
      </c>
      <c r="G795" s="83" t="s">
        <v>2775</v>
      </c>
      <c r="H795" s="85">
        <v>45226</v>
      </c>
      <c r="I795" s="85" t="s">
        <v>75</v>
      </c>
      <c r="J795" s="85" t="s">
        <v>31</v>
      </c>
      <c r="K795" s="83">
        <f>IFERROR(VLOOKUP(J795,Jueces!$A$1:$B$11,2,FALSE),"")</f>
        <v>2</v>
      </c>
      <c r="L795" s="83" t="s">
        <v>813</v>
      </c>
      <c r="M795" s="83" t="s">
        <v>692</v>
      </c>
      <c r="N795" s="83"/>
      <c r="O795" s="83" t="str">
        <f t="shared" ca="1" si="49"/>
        <v>NO</v>
      </c>
      <c r="P795" s="83" t="str">
        <f t="shared" si="48"/>
        <v>DIANOSOL</v>
      </c>
      <c r="Q795" s="83" t="s">
        <v>951</v>
      </c>
      <c r="R795" s="83" t="str">
        <f>VLOOKUP($Q795,Resultados!$A$1:$B$49,2,FALSE)</f>
        <v xml:space="preserve"> _</v>
      </c>
      <c r="S795" s="83"/>
      <c r="T795" s="86" t="str">
        <f t="shared" si="50"/>
        <v>NO</v>
      </c>
      <c r="U795" s="86"/>
      <c r="V795" s="83"/>
      <c r="W795" s="83"/>
      <c r="X795" s="83"/>
      <c r="Y795" s="83"/>
      <c r="Z795" s="83"/>
      <c r="AA795" s="327" t="s">
        <v>1171</v>
      </c>
      <c r="AB795" s="83"/>
      <c r="AC795" s="90"/>
    </row>
    <row r="796" spans="1:29" ht="39.950000000000003" hidden="1" customHeight="1">
      <c r="A796" s="83">
        <v>817</v>
      </c>
      <c r="B796" s="85">
        <v>45211</v>
      </c>
      <c r="C796" s="329">
        <v>0.55069444444444449</v>
      </c>
      <c r="D796" s="83" t="s">
        <v>3427</v>
      </c>
      <c r="E796" s="84" t="s">
        <v>3428</v>
      </c>
      <c r="F796" s="83">
        <v>1</v>
      </c>
      <c r="G796" s="83" t="s">
        <v>3369</v>
      </c>
      <c r="H796" s="85">
        <v>45226</v>
      </c>
      <c r="I796" s="85" t="s">
        <v>547</v>
      </c>
      <c r="J796" s="85" t="s">
        <v>1220</v>
      </c>
      <c r="K796" s="83" t="s">
        <v>1926</v>
      </c>
      <c r="L796" s="83" t="s">
        <v>812</v>
      </c>
      <c r="M796" s="83" t="s">
        <v>712</v>
      </c>
      <c r="N796" s="83"/>
      <c r="O796" s="83" t="str">
        <f t="shared" ca="1" si="49"/>
        <v>NO</v>
      </c>
      <c r="P796" s="83" t="str">
        <f t="shared" si="48"/>
        <v>DIANOSOL</v>
      </c>
      <c r="Q796" s="83" t="s">
        <v>951</v>
      </c>
      <c r="R796" s="83" t="str">
        <f>VLOOKUP($Q796,Resultados!$A$1:$B$49,2,FALSE)</f>
        <v xml:space="preserve"> _</v>
      </c>
      <c r="S796" s="83"/>
      <c r="T796" s="86" t="str">
        <f t="shared" si="50"/>
        <v>NO</v>
      </c>
      <c r="U796" s="86"/>
      <c r="V796" s="83"/>
      <c r="W796" s="83"/>
      <c r="X796" s="83"/>
      <c r="Y796" s="83"/>
      <c r="Z796" s="83"/>
      <c r="AA796" s="327" t="s">
        <v>3433</v>
      </c>
      <c r="AB796" s="83"/>
      <c r="AC796" s="375"/>
    </row>
    <row r="797" spans="1:29" ht="39.950000000000003" hidden="1" customHeight="1">
      <c r="A797" s="83">
        <v>837</v>
      </c>
      <c r="B797" s="85">
        <v>45217</v>
      </c>
      <c r="C797" s="329">
        <v>0.35000000000000003</v>
      </c>
      <c r="D797" s="83" t="s">
        <v>3481</v>
      </c>
      <c r="E797" s="84" t="s">
        <v>3482</v>
      </c>
      <c r="F797" s="83">
        <v>1</v>
      </c>
      <c r="G797" s="83" t="s">
        <v>2839</v>
      </c>
      <c r="H797" s="85">
        <v>45226</v>
      </c>
      <c r="I797" s="85" t="s">
        <v>1562</v>
      </c>
      <c r="J797" s="85" t="s">
        <v>1220</v>
      </c>
      <c r="K797" s="83" t="s">
        <v>3483</v>
      </c>
      <c r="L797" s="83" t="s">
        <v>809</v>
      </c>
      <c r="M797" s="83" t="s">
        <v>712</v>
      </c>
      <c r="N797" s="83"/>
      <c r="O797" s="83" t="str">
        <f t="shared" ca="1" si="49"/>
        <v>NO</v>
      </c>
      <c r="P797" s="83" t="str">
        <f t="shared" si="48"/>
        <v>DIANOSOL</v>
      </c>
      <c r="Q797" s="83" t="s">
        <v>951</v>
      </c>
      <c r="R797" s="83" t="str">
        <f>VLOOKUP($Q797,Resultados!$A$1:$B$49,2,FALSE)</f>
        <v xml:space="preserve"> _</v>
      </c>
      <c r="S797" s="83"/>
      <c r="T797" s="86" t="str">
        <f t="shared" si="50"/>
        <v>NO</v>
      </c>
      <c r="U797" s="86"/>
      <c r="V797" s="83"/>
      <c r="W797" s="83"/>
      <c r="X797" s="83"/>
      <c r="Y797" s="83"/>
      <c r="Z797" s="83"/>
      <c r="AA797" s="327" t="s">
        <v>2853</v>
      </c>
      <c r="AB797" s="83"/>
      <c r="AC797" s="90"/>
    </row>
    <row r="798" spans="1:29" ht="39.950000000000003" hidden="1" customHeight="1">
      <c r="A798" s="83">
        <v>790</v>
      </c>
      <c r="B798" s="85">
        <v>45209</v>
      </c>
      <c r="C798" s="329">
        <v>0.52361111111111114</v>
      </c>
      <c r="D798" s="83" t="s">
        <v>3348</v>
      </c>
      <c r="E798" s="84" t="s">
        <v>3323</v>
      </c>
      <c r="F798" s="83">
        <v>2</v>
      </c>
      <c r="G798" s="83" t="s">
        <v>3368</v>
      </c>
      <c r="H798" s="85">
        <v>45229</v>
      </c>
      <c r="I798" s="85" t="s">
        <v>73</v>
      </c>
      <c r="J798" s="85" t="s">
        <v>78</v>
      </c>
      <c r="K798" s="83">
        <f>IFERROR(VLOOKUP(J798,Jueces!$A$1:$B$11,2,FALSE),"")</f>
        <v>8</v>
      </c>
      <c r="L798" s="83" t="s">
        <v>810</v>
      </c>
      <c r="M798" s="83" t="s">
        <v>693</v>
      </c>
      <c r="N798" s="83"/>
      <c r="O798" s="83" t="str">
        <f t="shared" ca="1" si="49"/>
        <v>NO</v>
      </c>
      <c r="P798" s="83" t="str">
        <f t="shared" si="48"/>
        <v>DIANOSOL</v>
      </c>
      <c r="Q798" s="83" t="s">
        <v>951</v>
      </c>
      <c r="R798" s="83" t="str">
        <f>VLOOKUP($Q798,Resultados!$A$1:$B$49,2,FALSE)</f>
        <v xml:space="preserve"> _</v>
      </c>
      <c r="S798" s="83"/>
      <c r="T798" s="86" t="str">
        <f t="shared" si="50"/>
        <v>NO</v>
      </c>
      <c r="U798" s="86"/>
      <c r="V798" s="83"/>
      <c r="W798" s="83"/>
      <c r="X798" s="83"/>
      <c r="Y798" s="83"/>
      <c r="Z798" s="83"/>
      <c r="AA798" s="327" t="s">
        <v>3433</v>
      </c>
      <c r="AB798" s="83"/>
      <c r="AC798" s="375"/>
    </row>
    <row r="799" spans="1:29" ht="39.950000000000003" hidden="1" customHeight="1">
      <c r="A799" s="83">
        <v>801</v>
      </c>
      <c r="B799" s="85">
        <v>45241</v>
      </c>
      <c r="C799" s="329">
        <v>0.49652777777777773</v>
      </c>
      <c r="D799" s="376" t="s">
        <v>3379</v>
      </c>
      <c r="E799" s="84" t="s">
        <v>3380</v>
      </c>
      <c r="F799" s="83">
        <v>4</v>
      </c>
      <c r="G799" s="83" t="s">
        <v>283</v>
      </c>
      <c r="H799" s="85">
        <v>45229</v>
      </c>
      <c r="I799" s="85" t="s">
        <v>73</v>
      </c>
      <c r="J799" s="85" t="s">
        <v>2955</v>
      </c>
      <c r="K799" s="83" t="s">
        <v>1926</v>
      </c>
      <c r="L799" s="83" t="s">
        <v>812</v>
      </c>
      <c r="M799" s="83" t="s">
        <v>1966</v>
      </c>
      <c r="N799" s="83" t="s">
        <v>3606</v>
      </c>
      <c r="O799" s="83" t="str">
        <f t="shared" ca="1" si="49"/>
        <v>NO</v>
      </c>
      <c r="P799" s="83" t="str">
        <f t="shared" si="48"/>
        <v>DIANOSOL</v>
      </c>
      <c r="Q799" s="83" t="s">
        <v>951</v>
      </c>
      <c r="R799" s="83" t="str">
        <f>VLOOKUP($Q799,Resultados!$A$1:$B$49,2,FALSE)</f>
        <v xml:space="preserve"> _</v>
      </c>
      <c r="S799" s="83"/>
      <c r="T799" s="86" t="str">
        <f t="shared" si="50"/>
        <v>NO</v>
      </c>
      <c r="U799" s="86"/>
      <c r="V799" s="83"/>
      <c r="W799" s="83"/>
      <c r="X799" s="83"/>
      <c r="Y799" s="83"/>
      <c r="Z799" s="83"/>
      <c r="AA799" s="327" t="s">
        <v>1171</v>
      </c>
      <c r="AB799" s="83"/>
      <c r="AC799" s="375" t="s">
        <v>1801</v>
      </c>
    </row>
    <row r="800" spans="1:29" ht="39.950000000000003" hidden="1" customHeight="1">
      <c r="A800" s="83">
        <v>808</v>
      </c>
      <c r="B800" s="85">
        <v>45210</v>
      </c>
      <c r="C800" s="329">
        <v>0.37013888888888885</v>
      </c>
      <c r="D800" s="83" t="s">
        <v>3394</v>
      </c>
      <c r="E800" s="84" t="s">
        <v>3395</v>
      </c>
      <c r="F800" s="83">
        <v>1</v>
      </c>
      <c r="G800" s="83" t="s">
        <v>1443</v>
      </c>
      <c r="H800" s="85">
        <v>45229</v>
      </c>
      <c r="I800" s="85" t="s">
        <v>73</v>
      </c>
      <c r="J800" s="85" t="s">
        <v>2952</v>
      </c>
      <c r="K800" s="83" t="s">
        <v>1346</v>
      </c>
      <c r="L800" s="83" t="s">
        <v>813</v>
      </c>
      <c r="M800" s="83" t="s">
        <v>711</v>
      </c>
      <c r="N800" s="83"/>
      <c r="O800" s="83" t="str">
        <f t="shared" ca="1" si="49"/>
        <v>NO</v>
      </c>
      <c r="P800" s="83" t="str">
        <f t="shared" si="48"/>
        <v>DIANOSOL</v>
      </c>
      <c r="Q800" s="83" t="s">
        <v>951</v>
      </c>
      <c r="R800" s="83" t="str">
        <f>VLOOKUP($Q800,Resultados!$A$1:$B$49,2,FALSE)</f>
        <v xml:space="preserve"> _</v>
      </c>
      <c r="S800" s="83"/>
      <c r="T800" s="86" t="str">
        <f t="shared" si="50"/>
        <v>NO</v>
      </c>
      <c r="U800" s="86"/>
      <c r="V800" s="83"/>
      <c r="W800" s="83"/>
      <c r="X800" s="83"/>
      <c r="Y800" s="83"/>
      <c r="Z800" s="83"/>
      <c r="AA800" s="327" t="s">
        <v>2896</v>
      </c>
      <c r="AB800" s="83"/>
      <c r="AC800" s="375"/>
    </row>
    <row r="801" spans="1:29" ht="39.950000000000003" hidden="1" customHeight="1">
      <c r="A801" s="83">
        <v>851</v>
      </c>
      <c r="B801" s="85">
        <v>45219</v>
      </c>
      <c r="C801" s="329">
        <v>0.53055555555555556</v>
      </c>
      <c r="D801" s="83" t="s">
        <v>3542</v>
      </c>
      <c r="E801" s="84" t="s">
        <v>3544</v>
      </c>
      <c r="F801" s="83">
        <v>2</v>
      </c>
      <c r="G801" s="83" t="s">
        <v>1442</v>
      </c>
      <c r="H801" s="85">
        <v>45229</v>
      </c>
      <c r="I801" s="85" t="s">
        <v>73</v>
      </c>
      <c r="J801" s="85" t="s">
        <v>31</v>
      </c>
      <c r="K801" s="83">
        <f>IFERROR(VLOOKUP(J801,Jueces!$A$1:$B$11,2,FALSE),"")</f>
        <v>2</v>
      </c>
      <c r="L801" s="83" t="s">
        <v>790</v>
      </c>
      <c r="M801" s="83" t="s">
        <v>692</v>
      </c>
      <c r="N801" s="83"/>
      <c r="O801" s="83" t="str">
        <f t="shared" ca="1" si="49"/>
        <v>NO</v>
      </c>
      <c r="P801" s="83" t="str">
        <f t="shared" si="48"/>
        <v>DIANOSOL</v>
      </c>
      <c r="Q801" s="83" t="s">
        <v>951</v>
      </c>
      <c r="R801" s="83" t="str">
        <f>VLOOKUP($Q801,Resultados!$A$1:$B$49,2,FALSE)</f>
        <v xml:space="preserve"> _</v>
      </c>
      <c r="S801" s="83"/>
      <c r="T801" s="86" t="str">
        <f t="shared" si="50"/>
        <v>SI</v>
      </c>
      <c r="U801" s="86"/>
      <c r="V801" s="83"/>
      <c r="W801" s="83"/>
      <c r="X801" s="83"/>
      <c r="Y801" s="83"/>
      <c r="Z801" s="83"/>
      <c r="AA801" s="327" t="s">
        <v>3432</v>
      </c>
      <c r="AB801" s="83"/>
      <c r="AC801" s="90"/>
    </row>
    <row r="802" spans="1:29" ht="39.950000000000003" hidden="1" customHeight="1">
      <c r="A802" s="83">
        <v>794</v>
      </c>
      <c r="B802" s="85">
        <v>45209</v>
      </c>
      <c r="C802" s="329">
        <v>0.37986111111111115</v>
      </c>
      <c r="D802" s="83" t="s">
        <v>3329</v>
      </c>
      <c r="E802" s="84" t="s">
        <v>3330</v>
      </c>
      <c r="F802" s="83">
        <v>7</v>
      </c>
      <c r="G802" s="83" t="s">
        <v>1441</v>
      </c>
      <c r="H802" s="85">
        <v>45229</v>
      </c>
      <c r="I802" s="85" t="s">
        <v>749</v>
      </c>
      <c r="J802" s="85" t="s">
        <v>1225</v>
      </c>
      <c r="K802" s="83">
        <f>IFERROR(VLOOKUP(J802,Jueces!$A$1:$B$11,2,FALSE),"")</f>
        <v>6</v>
      </c>
      <c r="L802" s="83" t="s">
        <v>800</v>
      </c>
      <c r="M802" s="83" t="s">
        <v>712</v>
      </c>
      <c r="N802" s="83"/>
      <c r="O802" s="83" t="str">
        <f t="shared" ca="1" si="49"/>
        <v>NO</v>
      </c>
      <c r="P802" s="83" t="str">
        <f t="shared" si="48"/>
        <v>DIANOSOL</v>
      </c>
      <c r="Q802" s="83" t="s">
        <v>951</v>
      </c>
      <c r="R802" s="83" t="str">
        <f>VLOOKUP($Q802,Resultados!$A$1:$B$49,2,FALSE)</f>
        <v xml:space="preserve"> _</v>
      </c>
      <c r="S802" s="83"/>
      <c r="T802" s="86" t="str">
        <f t="shared" si="50"/>
        <v>NO</v>
      </c>
      <c r="U802" s="86"/>
      <c r="V802" s="83"/>
      <c r="W802" s="83"/>
      <c r="X802" s="83"/>
      <c r="Y802" s="83"/>
      <c r="Z802" s="83"/>
      <c r="AA802" s="346" t="s">
        <v>1169</v>
      </c>
      <c r="AB802" s="83"/>
      <c r="AC802" s="375"/>
    </row>
    <row r="803" spans="1:29" ht="39.950000000000003" hidden="1" customHeight="1">
      <c r="A803" s="83">
        <v>777</v>
      </c>
      <c r="B803" s="85">
        <v>45209</v>
      </c>
      <c r="C803" s="83" t="s">
        <v>73</v>
      </c>
      <c r="D803" s="83" t="s">
        <v>3283</v>
      </c>
      <c r="E803" s="84" t="s">
        <v>3334</v>
      </c>
      <c r="F803" s="83">
        <v>6</v>
      </c>
      <c r="G803" s="83" t="s">
        <v>2789</v>
      </c>
      <c r="H803" s="85">
        <v>45229</v>
      </c>
      <c r="I803" s="85" t="s">
        <v>1086</v>
      </c>
      <c r="J803" s="85" t="s">
        <v>31</v>
      </c>
      <c r="K803" s="83">
        <f>IFERROR(VLOOKUP(J803,Jueces!$A$1:$B$11,2,FALSE),"")</f>
        <v>2</v>
      </c>
      <c r="L803" s="83" t="s">
        <v>800</v>
      </c>
      <c r="M803" s="83" t="s">
        <v>712</v>
      </c>
      <c r="N803" s="83"/>
      <c r="O803" s="83" t="str">
        <f t="shared" ca="1" si="49"/>
        <v>NO</v>
      </c>
      <c r="P803" s="83" t="str">
        <f t="shared" si="48"/>
        <v>DIANOSOL</v>
      </c>
      <c r="Q803" s="83" t="s">
        <v>951</v>
      </c>
      <c r="R803" s="83" t="str">
        <f>VLOOKUP($Q803,Resultados!$A$1:$B$49,2,FALSE)</f>
        <v xml:space="preserve"> _</v>
      </c>
      <c r="S803" s="83"/>
      <c r="T803" s="86" t="str">
        <f t="shared" si="50"/>
        <v>NO</v>
      </c>
      <c r="U803" s="86"/>
      <c r="V803" s="83"/>
      <c r="W803" s="83"/>
      <c r="X803" s="83"/>
      <c r="Y803" s="83"/>
      <c r="Z803" s="83"/>
      <c r="AA803" s="327" t="s">
        <v>3350</v>
      </c>
      <c r="AB803" s="83"/>
      <c r="AC803" s="375"/>
    </row>
    <row r="804" spans="1:29" ht="39.950000000000003" hidden="1" customHeight="1">
      <c r="A804" s="83">
        <v>783</v>
      </c>
      <c r="B804" s="85">
        <v>45205</v>
      </c>
      <c r="C804" s="83" t="s">
        <v>3310</v>
      </c>
      <c r="D804" s="376" t="s">
        <v>3311</v>
      </c>
      <c r="E804" s="84" t="s">
        <v>3343</v>
      </c>
      <c r="F804" s="83">
        <v>2</v>
      </c>
      <c r="G804" s="83" t="s">
        <v>568</v>
      </c>
      <c r="H804" s="85">
        <v>45229</v>
      </c>
      <c r="I804" s="85" t="s">
        <v>1086</v>
      </c>
      <c r="J804" s="85" t="s">
        <v>1732</v>
      </c>
      <c r="K804" s="83" t="s">
        <v>1926</v>
      </c>
      <c r="L804" s="83" t="s">
        <v>807</v>
      </c>
      <c r="M804" s="83" t="s">
        <v>692</v>
      </c>
      <c r="N804" s="83" t="s">
        <v>3645</v>
      </c>
      <c r="O804" s="83" t="str">
        <f t="shared" ca="1" si="49"/>
        <v>NO</v>
      </c>
      <c r="P804" s="83" t="str">
        <f t="shared" si="48"/>
        <v>DIANOSOL</v>
      </c>
      <c r="Q804" s="83" t="s">
        <v>951</v>
      </c>
      <c r="R804" s="83" t="str">
        <f>VLOOKUP($Q804,Resultados!$A$1:$B$49,2,FALSE)</f>
        <v xml:space="preserve"> _</v>
      </c>
      <c r="S804" s="83"/>
      <c r="T804" s="86" t="str">
        <f t="shared" si="50"/>
        <v>NO</v>
      </c>
      <c r="U804" s="86"/>
      <c r="V804" s="83"/>
      <c r="W804" s="83"/>
      <c r="X804" s="83"/>
      <c r="Y804" s="83"/>
      <c r="Z804" s="327" t="s">
        <v>748</v>
      </c>
      <c r="AA804" s="327" t="s">
        <v>2896</v>
      </c>
      <c r="AB804" s="327" t="s">
        <v>1177</v>
      </c>
      <c r="AC804" s="90" t="s">
        <v>1801</v>
      </c>
    </row>
    <row r="805" spans="1:29" ht="39.950000000000003" hidden="1" customHeight="1">
      <c r="A805" s="83">
        <v>829</v>
      </c>
      <c r="B805" s="85">
        <v>45217</v>
      </c>
      <c r="C805" s="329">
        <v>0.34583333333333338</v>
      </c>
      <c r="D805" s="83" t="s">
        <v>3468</v>
      </c>
      <c r="E805" s="84" t="s">
        <v>3469</v>
      </c>
      <c r="F805" s="83">
        <v>2</v>
      </c>
      <c r="G805" s="83" t="s">
        <v>2775</v>
      </c>
      <c r="H805" s="85">
        <v>45229</v>
      </c>
      <c r="I805" s="85" t="s">
        <v>1086</v>
      </c>
      <c r="J805" s="85" t="s">
        <v>33</v>
      </c>
      <c r="K805" s="83">
        <f>IFERROR(VLOOKUP(J805,Jueces!$A$1:$B$11,2,FALSE),"")</f>
        <v>4</v>
      </c>
      <c r="L805" s="83" t="s">
        <v>791</v>
      </c>
      <c r="M805" s="83" t="s">
        <v>692</v>
      </c>
      <c r="N805" s="83"/>
      <c r="O805" s="83" t="str">
        <f t="shared" ca="1" si="49"/>
        <v>NO</v>
      </c>
      <c r="P805" s="83" t="str">
        <f t="shared" si="48"/>
        <v>DIANOSOL</v>
      </c>
      <c r="Q805" s="83" t="s">
        <v>951</v>
      </c>
      <c r="R805" s="83" t="str">
        <f>VLOOKUP($Q805,Resultados!$A$1:$B$49,2,FALSE)</f>
        <v xml:space="preserve"> _</v>
      </c>
      <c r="S805" s="83"/>
      <c r="T805" s="86" t="str">
        <f t="shared" si="50"/>
        <v>NO</v>
      </c>
      <c r="U805" s="86"/>
      <c r="V805" s="83"/>
      <c r="W805" s="83"/>
      <c r="X805" s="83"/>
      <c r="Y805" s="83"/>
      <c r="Z805" s="83"/>
      <c r="AA805" s="327" t="s">
        <v>2853</v>
      </c>
      <c r="AB805" s="83"/>
      <c r="AC805" s="90"/>
    </row>
    <row r="806" spans="1:29" ht="39.950000000000003" hidden="1" customHeight="1">
      <c r="A806" s="83">
        <v>716</v>
      </c>
      <c r="B806" s="85">
        <v>45196</v>
      </c>
      <c r="C806" s="329">
        <v>0.48819444444444443</v>
      </c>
      <c r="D806" s="83" t="s">
        <v>3029</v>
      </c>
      <c r="E806" s="84" t="s">
        <v>3131</v>
      </c>
      <c r="F806" s="83">
        <v>1</v>
      </c>
      <c r="G806" s="83" t="s">
        <v>2839</v>
      </c>
      <c r="H806" s="85">
        <v>45229</v>
      </c>
      <c r="I806" s="85" t="s">
        <v>77</v>
      </c>
      <c r="J806" s="85" t="s">
        <v>33</v>
      </c>
      <c r="K806" s="83">
        <f>IFERROR(VLOOKUP(J806,Jueces!$A$1:$B$11,2,FALSE),"")</f>
        <v>4</v>
      </c>
      <c r="L806" s="83" t="s">
        <v>811</v>
      </c>
      <c r="M806" s="83" t="s">
        <v>712</v>
      </c>
      <c r="N806" s="83" t="s">
        <v>3532</v>
      </c>
      <c r="O806" s="83" t="str">
        <f t="shared" ca="1" si="49"/>
        <v>NO</v>
      </c>
      <c r="P806" s="83" t="str">
        <f t="shared" si="48"/>
        <v>DIANOSOL</v>
      </c>
      <c r="Q806" s="83"/>
      <c r="R806" s="83" t="e">
        <f>VLOOKUP($Q806,Resultados!$A$1:$B$49,2,FALSE)</f>
        <v>#N/A</v>
      </c>
      <c r="S806" s="83"/>
      <c r="T806" s="86" t="str">
        <f t="shared" si="50"/>
        <v>NO</v>
      </c>
      <c r="U806" s="86"/>
      <c r="V806" s="83"/>
      <c r="W806" s="83"/>
      <c r="X806" s="83"/>
      <c r="Y806" s="83"/>
      <c r="Z806" s="346" t="s">
        <v>770</v>
      </c>
      <c r="AA806" s="327" t="s">
        <v>1169</v>
      </c>
      <c r="AB806" s="327" t="s">
        <v>3303</v>
      </c>
      <c r="AC806" s="90"/>
    </row>
    <row r="807" spans="1:29" ht="39.950000000000003" hidden="1" customHeight="1">
      <c r="A807" s="215">
        <v>759</v>
      </c>
      <c r="B807" s="323"/>
      <c r="C807" s="215"/>
      <c r="D807" s="376" t="s">
        <v>2902</v>
      </c>
      <c r="E807" s="216" t="s">
        <v>2903</v>
      </c>
      <c r="F807" s="215">
        <v>1</v>
      </c>
      <c r="G807" s="215" t="s">
        <v>2775</v>
      </c>
      <c r="H807" s="323">
        <v>45230</v>
      </c>
      <c r="I807" s="323" t="s">
        <v>73</v>
      </c>
      <c r="J807" s="323" t="s">
        <v>33</v>
      </c>
      <c r="K807" s="215">
        <f>IFERROR(VLOOKUP(J807,Jueces!$A$1:$B$11,2,FALSE),"")</f>
        <v>4</v>
      </c>
      <c r="L807" s="215" t="s">
        <v>803</v>
      </c>
      <c r="M807" s="215" t="s">
        <v>1386</v>
      </c>
      <c r="N807" s="215" t="s">
        <v>3179</v>
      </c>
      <c r="O807" s="215" t="str">
        <f t="shared" ca="1" si="49"/>
        <v>NO</v>
      </c>
      <c r="P807" s="215" t="str">
        <f t="shared" si="48"/>
        <v>DIANOSOL</v>
      </c>
      <c r="Q807" s="215" t="s">
        <v>951</v>
      </c>
      <c r="R807" s="215" t="str">
        <f>VLOOKUP($Q807,Resultados!$A$1:$B$49,2,FALSE)</f>
        <v xml:space="preserve"> _</v>
      </c>
      <c r="S807" s="215"/>
      <c r="T807" s="282" t="str">
        <f t="shared" si="50"/>
        <v>NO</v>
      </c>
      <c r="U807" s="282"/>
      <c r="V807" s="215"/>
      <c r="W807" s="215"/>
      <c r="X807" s="215"/>
      <c r="Y807" s="215"/>
      <c r="Z807" s="215"/>
      <c r="AA807" s="342" t="s">
        <v>1171</v>
      </c>
      <c r="AB807" s="215"/>
      <c r="AC807" s="375" t="s">
        <v>1801</v>
      </c>
    </row>
    <row r="808" spans="1:29" ht="39.950000000000003" hidden="1" customHeight="1">
      <c r="A808" s="83">
        <v>809</v>
      </c>
      <c r="B808" s="85">
        <v>45210</v>
      </c>
      <c r="C808" s="329">
        <v>0.3659722222222222</v>
      </c>
      <c r="D808" s="83" t="s">
        <v>3396</v>
      </c>
      <c r="E808" s="84" t="s">
        <v>3397</v>
      </c>
      <c r="F808" s="83">
        <v>1</v>
      </c>
      <c r="G808" s="83" t="s">
        <v>3369</v>
      </c>
      <c r="H808" s="85">
        <v>45230</v>
      </c>
      <c r="I808" s="85" t="s">
        <v>73</v>
      </c>
      <c r="J808" s="85" t="s">
        <v>2952</v>
      </c>
      <c r="K808" s="83" t="s">
        <v>1926</v>
      </c>
      <c r="L808" s="83" t="s">
        <v>810</v>
      </c>
      <c r="M808" s="83" t="s">
        <v>3398</v>
      </c>
      <c r="N808" s="83" t="s">
        <v>3636</v>
      </c>
      <c r="O808" s="83" t="str">
        <f t="shared" ca="1" si="49"/>
        <v>NO</v>
      </c>
      <c r="P808" s="83" t="str">
        <f t="shared" si="48"/>
        <v>DIANOSOL</v>
      </c>
      <c r="Q808" s="83" t="s">
        <v>951</v>
      </c>
      <c r="R808" s="83" t="str">
        <f>VLOOKUP($Q808,Resultados!$A$1:$B$49,2,FALSE)</f>
        <v xml:space="preserve"> _</v>
      </c>
      <c r="S808" s="83"/>
      <c r="T808" s="86" t="str">
        <f t="shared" si="50"/>
        <v>NO</v>
      </c>
      <c r="U808" s="86"/>
      <c r="V808" s="83"/>
      <c r="W808" s="83"/>
      <c r="X808" s="83"/>
      <c r="Y808" s="83"/>
      <c r="Z808" s="83"/>
      <c r="AA808" s="327" t="s">
        <v>2896</v>
      </c>
      <c r="AB808" s="83"/>
      <c r="AC808" s="375"/>
    </row>
    <row r="809" spans="1:29" ht="39.950000000000003" hidden="1" customHeight="1">
      <c r="A809" s="83">
        <v>815</v>
      </c>
      <c r="B809" s="85">
        <v>45211</v>
      </c>
      <c r="C809" s="329">
        <v>0.53472222222222221</v>
      </c>
      <c r="D809" s="83" t="s">
        <v>3423</v>
      </c>
      <c r="E809" s="84" t="s">
        <v>3424</v>
      </c>
      <c r="F809" s="83">
        <v>2</v>
      </c>
      <c r="G809" s="83" t="s">
        <v>2839</v>
      </c>
      <c r="H809" s="85">
        <v>45230</v>
      </c>
      <c r="I809" s="85" t="s">
        <v>73</v>
      </c>
      <c r="J809" s="85" t="s">
        <v>31</v>
      </c>
      <c r="K809" s="83">
        <v>2</v>
      </c>
      <c r="L809" s="83" t="s">
        <v>798</v>
      </c>
      <c r="M809" s="83" t="s">
        <v>711</v>
      </c>
      <c r="N809" s="83"/>
      <c r="O809" s="83" t="str">
        <f t="shared" ca="1" si="49"/>
        <v>NO</v>
      </c>
      <c r="P809" s="83" t="str">
        <f t="shared" si="48"/>
        <v>DIANOSOL</v>
      </c>
      <c r="Q809" s="83" t="s">
        <v>951</v>
      </c>
      <c r="R809" s="83" t="str">
        <f>VLOOKUP($Q809,Resultados!$A$1:$B$49,2,FALSE)</f>
        <v xml:space="preserve"> _</v>
      </c>
      <c r="S809" s="83"/>
      <c r="T809" s="86" t="str">
        <f t="shared" si="50"/>
        <v>NO</v>
      </c>
      <c r="U809" s="86"/>
      <c r="V809" s="83"/>
      <c r="W809" s="83"/>
      <c r="X809" s="83"/>
      <c r="Y809" s="83"/>
      <c r="Z809" s="83"/>
      <c r="AA809" s="327" t="s">
        <v>3433</v>
      </c>
      <c r="AB809" s="83"/>
      <c r="AC809" s="375"/>
    </row>
    <row r="810" spans="1:29" ht="39.950000000000003" hidden="1" customHeight="1">
      <c r="A810" s="83">
        <v>821</v>
      </c>
      <c r="B810" s="85">
        <v>45216</v>
      </c>
      <c r="C810" s="329">
        <v>0.40763888888888888</v>
      </c>
      <c r="D810" s="83" t="s">
        <v>3450</v>
      </c>
      <c r="E810" s="84" t="s">
        <v>3451</v>
      </c>
      <c r="F810" s="83">
        <v>2</v>
      </c>
      <c r="G810" s="83" t="s">
        <v>2789</v>
      </c>
      <c r="H810" s="85">
        <v>45230</v>
      </c>
      <c r="I810" s="85" t="s">
        <v>73</v>
      </c>
      <c r="J810" s="85" t="s">
        <v>78</v>
      </c>
      <c r="K810" s="83">
        <f>IFERROR(VLOOKUP(J810,Jueces!$A$1:$B$11,2,FALSE),"")</f>
        <v>8</v>
      </c>
      <c r="L810" s="83" t="s">
        <v>791</v>
      </c>
      <c r="M810" s="83" t="s">
        <v>692</v>
      </c>
      <c r="N810" s="83"/>
      <c r="O810" s="83" t="str">
        <f t="shared" ca="1" si="49"/>
        <v>NO</v>
      </c>
      <c r="P810" s="83" t="str">
        <f t="shared" si="48"/>
        <v>DIANOSOL</v>
      </c>
      <c r="Q810" s="83" t="s">
        <v>951</v>
      </c>
      <c r="R810" s="83" t="str">
        <f>VLOOKUP($Q810,Resultados!$A$1:$B$49,2,FALSE)</f>
        <v xml:space="preserve"> _</v>
      </c>
      <c r="S810" s="83"/>
      <c r="T810" s="86" t="str">
        <f t="shared" si="50"/>
        <v>NO</v>
      </c>
      <c r="U810" s="86"/>
      <c r="V810" s="83"/>
      <c r="W810" s="83"/>
      <c r="X810" s="83"/>
      <c r="Y810" s="83"/>
      <c r="Z810" s="83"/>
      <c r="AA810" s="327" t="s">
        <v>1171</v>
      </c>
      <c r="AB810" s="83"/>
      <c r="AC810" s="90"/>
    </row>
    <row r="811" spans="1:29" ht="39.950000000000003" hidden="1" customHeight="1">
      <c r="A811" s="83">
        <v>816</v>
      </c>
      <c r="B811" s="85">
        <v>45211</v>
      </c>
      <c r="C811" s="329">
        <v>0.5444444444444444</v>
      </c>
      <c r="D811" s="376" t="s">
        <v>3425</v>
      </c>
      <c r="E811" s="84" t="s">
        <v>3426</v>
      </c>
      <c r="F811" s="83">
        <v>1</v>
      </c>
      <c r="G811" s="83" t="s">
        <v>1441</v>
      </c>
      <c r="H811" s="85">
        <v>45230</v>
      </c>
      <c r="I811" s="85" t="s">
        <v>749</v>
      </c>
      <c r="J811" s="85" t="s">
        <v>1225</v>
      </c>
      <c r="K811" s="83">
        <f>IFERROR(VLOOKUP(J811,Jueces!$A$1:$B$11,2,FALSE),"")</f>
        <v>6</v>
      </c>
      <c r="L811" s="83" t="s">
        <v>582</v>
      </c>
      <c r="M811" s="83" t="s">
        <v>2056</v>
      </c>
      <c r="N811" s="83"/>
      <c r="O811" s="83" t="str">
        <f t="shared" ca="1" si="49"/>
        <v>NO</v>
      </c>
      <c r="P811" s="83" t="str">
        <f t="shared" si="48"/>
        <v>DIANOSOL</v>
      </c>
      <c r="Q811" s="83" t="s">
        <v>951</v>
      </c>
      <c r="R811" s="83" t="str">
        <f>VLOOKUP($Q811,Resultados!$A$1:$B$49,2,FALSE)</f>
        <v xml:space="preserve"> _</v>
      </c>
      <c r="S811" s="83"/>
      <c r="T811" s="86" t="str">
        <f t="shared" si="50"/>
        <v>NO</v>
      </c>
      <c r="U811" s="86"/>
      <c r="V811" s="83"/>
      <c r="W811" s="83"/>
      <c r="X811" s="83"/>
      <c r="Y811" s="83"/>
      <c r="Z811" s="83"/>
      <c r="AA811" s="327" t="s">
        <v>3432</v>
      </c>
      <c r="AB811" s="83"/>
      <c r="AC811" s="90" t="s">
        <v>1801</v>
      </c>
    </row>
    <row r="812" spans="1:29" ht="39.950000000000003" hidden="1" customHeight="1">
      <c r="A812" s="83">
        <v>784</v>
      </c>
      <c r="B812" s="85">
        <v>45209</v>
      </c>
      <c r="C812" s="83" t="s">
        <v>1193</v>
      </c>
      <c r="D812" s="83" t="s">
        <v>3312</v>
      </c>
      <c r="E812" s="84" t="s">
        <v>3462</v>
      </c>
      <c r="F812" s="83">
        <v>1</v>
      </c>
      <c r="G812" s="83" t="s">
        <v>1442</v>
      </c>
      <c r="H812" s="85">
        <v>45230</v>
      </c>
      <c r="I812" s="85" t="s">
        <v>1086</v>
      </c>
      <c r="J812" s="85" t="s">
        <v>78</v>
      </c>
      <c r="K812" s="83">
        <f>IFERROR(VLOOKUP(J812,Jueces!$A$1:$B$11,2,FALSE),"")</f>
        <v>8</v>
      </c>
      <c r="L812" s="83" t="s">
        <v>811</v>
      </c>
      <c r="M812" s="83" t="s">
        <v>712</v>
      </c>
      <c r="N812" s="83"/>
      <c r="O812" s="83" t="str">
        <f t="shared" ca="1" si="49"/>
        <v>NO</v>
      </c>
      <c r="P812" s="83" t="str">
        <f t="shared" si="48"/>
        <v>DIANOSOL</v>
      </c>
      <c r="Q812" s="83" t="s">
        <v>951</v>
      </c>
      <c r="R812" s="83" t="str">
        <f>VLOOKUP($Q812,Resultados!$A$1:$B$49,2,FALSE)</f>
        <v xml:space="preserve"> _</v>
      </c>
      <c r="S812" s="83"/>
      <c r="T812" s="86" t="str">
        <f t="shared" si="50"/>
        <v>SI</v>
      </c>
      <c r="U812" s="86"/>
      <c r="V812" s="83"/>
      <c r="W812" s="83"/>
      <c r="X812" s="83"/>
      <c r="Y812" s="83"/>
      <c r="Z812" s="83"/>
      <c r="AA812" s="327" t="s">
        <v>2853</v>
      </c>
      <c r="AB812" s="83"/>
      <c r="AC812" s="90"/>
    </row>
    <row r="813" spans="1:29" ht="39.950000000000003" hidden="1" customHeight="1">
      <c r="A813" s="83">
        <v>830</v>
      </c>
      <c r="B813" s="85">
        <v>45217</v>
      </c>
      <c r="C813" s="329">
        <v>0.3520833333333333</v>
      </c>
      <c r="D813" s="83" t="s">
        <v>3471</v>
      </c>
      <c r="E813" s="84" t="s">
        <v>3470</v>
      </c>
      <c r="F813" s="83">
        <v>2</v>
      </c>
      <c r="G813" s="83" t="s">
        <v>3368</v>
      </c>
      <c r="H813" s="85">
        <v>45230</v>
      </c>
      <c r="I813" s="85" t="s">
        <v>1086</v>
      </c>
      <c r="J813" s="85" t="s">
        <v>1220</v>
      </c>
      <c r="K813" s="83">
        <f>IFERROR(VLOOKUP(J813,Jueces!$A$1:$B$11,2,FALSE),"")</f>
        <v>1</v>
      </c>
      <c r="L813" s="83" t="s">
        <v>798</v>
      </c>
      <c r="M813" s="83" t="s">
        <v>692</v>
      </c>
      <c r="N813" s="83"/>
      <c r="O813" s="83" t="str">
        <f t="shared" ca="1" si="49"/>
        <v>NO</v>
      </c>
      <c r="P813" s="83" t="str">
        <f t="shared" si="48"/>
        <v>DIANOSOL</v>
      </c>
      <c r="Q813" s="83" t="s">
        <v>951</v>
      </c>
      <c r="R813" s="83" t="str">
        <f>VLOOKUP($Q813,Resultados!$A$1:$B$49,2,FALSE)</f>
        <v xml:space="preserve"> _</v>
      </c>
      <c r="S813" s="83"/>
      <c r="T813" s="86" t="str">
        <f t="shared" si="50"/>
        <v>NO</v>
      </c>
      <c r="U813" s="86"/>
      <c r="V813" s="83"/>
      <c r="W813" s="83"/>
      <c r="X813" s="83"/>
      <c r="Y813" s="83"/>
      <c r="Z813" s="83"/>
      <c r="AA813" s="327" t="s">
        <v>2896</v>
      </c>
      <c r="AB813" s="83"/>
      <c r="AC813" s="90"/>
    </row>
    <row r="814" spans="1:29" ht="39.950000000000003" hidden="1" customHeight="1">
      <c r="A814" s="83">
        <v>871</v>
      </c>
      <c r="B814" s="85">
        <v>45223</v>
      </c>
      <c r="C814" s="329">
        <v>0.33333333333333331</v>
      </c>
      <c r="D814" s="83" t="s">
        <v>3166</v>
      </c>
      <c r="E814" s="84" t="s">
        <v>3167</v>
      </c>
      <c r="F814" s="83">
        <v>8</v>
      </c>
      <c r="G814" s="83" t="s">
        <v>1441</v>
      </c>
      <c r="H814" s="85">
        <v>45230</v>
      </c>
      <c r="I814" s="85" t="s">
        <v>1086</v>
      </c>
      <c r="J814" s="85" t="s">
        <v>31</v>
      </c>
      <c r="K814" s="83">
        <v>2</v>
      </c>
      <c r="L814" s="83" t="s">
        <v>2091</v>
      </c>
      <c r="M814" s="83" t="s">
        <v>711</v>
      </c>
      <c r="N814" s="83"/>
      <c r="O814" s="83" t="str">
        <f t="shared" ca="1" si="49"/>
        <v>NO</v>
      </c>
      <c r="P814" s="83" t="str">
        <f t="shared" si="48"/>
        <v>DIANOSOL</v>
      </c>
      <c r="Q814" s="83" t="s">
        <v>951</v>
      </c>
      <c r="R814" s="83" t="str">
        <f>VLOOKUP($Q814,Resultados!$A$1:$B$49,2,FALSE)</f>
        <v xml:space="preserve"> _</v>
      </c>
      <c r="S814" s="83"/>
      <c r="T814" s="86" t="str">
        <f t="shared" si="50"/>
        <v>NO</v>
      </c>
      <c r="U814" s="86"/>
      <c r="V814" s="83"/>
      <c r="W814" s="83"/>
      <c r="X814" s="83"/>
      <c r="Y814" s="83"/>
      <c r="Z814" s="83"/>
      <c r="AA814" s="327" t="s">
        <v>2853</v>
      </c>
      <c r="AB814" s="83"/>
      <c r="AC814" s="90"/>
    </row>
    <row r="815" spans="1:29" ht="39.950000000000003" hidden="1" customHeight="1">
      <c r="A815" s="83">
        <v>845</v>
      </c>
      <c r="B815" s="85">
        <v>45218</v>
      </c>
      <c r="C815" s="329">
        <v>0.47013888888888888</v>
      </c>
      <c r="D815" s="83" t="s">
        <v>3512</v>
      </c>
      <c r="E815" s="84" t="s">
        <v>3513</v>
      </c>
      <c r="F815" s="83">
        <v>3</v>
      </c>
      <c r="G815" s="83" t="s">
        <v>568</v>
      </c>
      <c r="H815" s="85">
        <v>45230</v>
      </c>
      <c r="I815" s="85" t="s">
        <v>1210</v>
      </c>
      <c r="J815" s="85" t="s">
        <v>1220</v>
      </c>
      <c r="K815" s="83">
        <f>IFERROR(VLOOKUP(J815,Jueces!$A$1:$B$11,2,FALSE),"")</f>
        <v>1</v>
      </c>
      <c r="L815" s="83" t="s">
        <v>812</v>
      </c>
      <c r="M815" s="83" t="s">
        <v>694</v>
      </c>
      <c r="N815" s="83"/>
      <c r="O815" s="83" t="str">
        <f t="shared" ca="1" si="49"/>
        <v>NO</v>
      </c>
      <c r="P815" s="83" t="str">
        <f t="shared" si="48"/>
        <v>DIANOSOL</v>
      </c>
      <c r="Q815" s="83" t="s">
        <v>951</v>
      </c>
      <c r="R815" s="83" t="str">
        <f>VLOOKUP($Q815,Resultados!$A$1:$B$49,2,FALSE)</f>
        <v xml:space="preserve"> _</v>
      </c>
      <c r="S815" s="83"/>
      <c r="T815" s="86" t="str">
        <f t="shared" si="50"/>
        <v>NO</v>
      </c>
      <c r="U815" s="86"/>
      <c r="V815" s="83"/>
      <c r="W815" s="83"/>
      <c r="X815" s="83"/>
      <c r="Y815" s="83"/>
      <c r="Z815" s="83"/>
      <c r="AA815" s="327" t="s">
        <v>3433</v>
      </c>
      <c r="AB815" s="83"/>
      <c r="AC815" s="90"/>
    </row>
    <row r="816" spans="1:29" ht="39.950000000000003" hidden="1" customHeight="1">
      <c r="A816" s="215">
        <v>758</v>
      </c>
      <c r="B816" s="323">
        <v>45202</v>
      </c>
      <c r="C816" s="324">
        <v>0.33333333333333331</v>
      </c>
      <c r="D816" s="215" t="s">
        <v>2972</v>
      </c>
      <c r="E816" s="216" t="s">
        <v>3178</v>
      </c>
      <c r="F816" s="215">
        <v>6</v>
      </c>
      <c r="G816" s="215" t="s">
        <v>43</v>
      </c>
      <c r="H816" s="323">
        <v>45231</v>
      </c>
      <c r="I816" s="323" t="s">
        <v>73</v>
      </c>
      <c r="J816" s="323" t="s">
        <v>1732</v>
      </c>
      <c r="K816" s="215" t="s">
        <v>1926</v>
      </c>
      <c r="L816" s="215" t="s">
        <v>791</v>
      </c>
      <c r="M816" s="215" t="s">
        <v>725</v>
      </c>
      <c r="N816" s="215" t="s">
        <v>3179</v>
      </c>
      <c r="O816" s="215" t="str">
        <f t="shared" ca="1" si="49"/>
        <v>NO</v>
      </c>
      <c r="P816" s="215" t="str">
        <f t="shared" si="48"/>
        <v>DIANOSOL</v>
      </c>
      <c r="Q816" s="215" t="s">
        <v>951</v>
      </c>
      <c r="R816" s="215" t="str">
        <f>VLOOKUP($Q816,Resultados!$A$1:$B$49,2,FALSE)</f>
        <v xml:space="preserve"> _</v>
      </c>
      <c r="S816" s="215"/>
      <c r="T816" s="282" t="str">
        <f t="shared" si="50"/>
        <v>NO</v>
      </c>
      <c r="U816" s="282"/>
      <c r="V816" s="215"/>
      <c r="W816" s="215"/>
      <c r="X816" s="215"/>
      <c r="Y816" s="215"/>
      <c r="Z816" s="215"/>
      <c r="AA816" s="342" t="s">
        <v>3432</v>
      </c>
      <c r="AB816" s="215"/>
      <c r="AC816" s="375"/>
    </row>
    <row r="817" spans="1:29" ht="39.950000000000003" hidden="1" customHeight="1">
      <c r="A817" s="83">
        <v>822</v>
      </c>
      <c r="B817" s="85">
        <v>45216</v>
      </c>
      <c r="C817" s="329">
        <v>0.4069444444444445</v>
      </c>
      <c r="D817" s="83" t="s">
        <v>3452</v>
      </c>
      <c r="E817" s="84" t="s">
        <v>3453</v>
      </c>
      <c r="F817" s="83">
        <v>2</v>
      </c>
      <c r="G817" s="83" t="s">
        <v>1442</v>
      </c>
      <c r="H817" s="85">
        <v>45231</v>
      </c>
      <c r="I817" s="85" t="s">
        <v>73</v>
      </c>
      <c r="J817" s="85" t="s">
        <v>78</v>
      </c>
      <c r="K817" s="83">
        <f>IFERROR(VLOOKUP(J817,Jueces!$A$1:$B$11,2,FALSE),"")</f>
        <v>8</v>
      </c>
      <c r="L817" s="83" t="s">
        <v>806</v>
      </c>
      <c r="M817" s="83" t="s">
        <v>1290</v>
      </c>
      <c r="N817" s="83"/>
      <c r="O817" s="83" t="str">
        <f t="shared" ca="1" si="49"/>
        <v>NO</v>
      </c>
      <c r="P817" s="83" t="str">
        <f t="shared" si="48"/>
        <v>DIANOSOL</v>
      </c>
      <c r="Q817" s="83" t="s">
        <v>951</v>
      </c>
      <c r="R817" s="83" t="str">
        <f>VLOOKUP($Q817,Resultados!$A$1:$B$49,2,FALSE)</f>
        <v xml:space="preserve"> _</v>
      </c>
      <c r="S817" s="83"/>
      <c r="T817" s="86" t="str">
        <f t="shared" si="50"/>
        <v>SI</v>
      </c>
      <c r="U817" s="86"/>
      <c r="V817" s="83"/>
      <c r="W817" s="83"/>
      <c r="X817" s="83"/>
      <c r="Y817" s="83"/>
      <c r="Z817" s="83"/>
      <c r="AA817" s="327" t="s">
        <v>3432</v>
      </c>
      <c r="AB817" s="83"/>
      <c r="AC817" s="90"/>
    </row>
    <row r="818" spans="1:29" ht="39.950000000000003" hidden="1" customHeight="1">
      <c r="A818" s="83">
        <v>825</v>
      </c>
      <c r="B818" s="85">
        <v>45216</v>
      </c>
      <c r="C818" s="329">
        <v>0.40208333333333335</v>
      </c>
      <c r="D818" s="83" t="s">
        <v>3458</v>
      </c>
      <c r="E818" s="84" t="s">
        <v>3459</v>
      </c>
      <c r="F818" s="83">
        <v>1</v>
      </c>
      <c r="G818" s="83" t="s">
        <v>568</v>
      </c>
      <c r="H818" s="85">
        <v>45231</v>
      </c>
      <c r="I818" s="85" t="s">
        <v>73</v>
      </c>
      <c r="J818" s="85" t="s">
        <v>2952</v>
      </c>
      <c r="K818" s="83" t="s">
        <v>1520</v>
      </c>
      <c r="L818" s="83" t="s">
        <v>802</v>
      </c>
      <c r="M818" s="83" t="s">
        <v>711</v>
      </c>
      <c r="N818" s="83"/>
      <c r="O818" s="83" t="str">
        <f t="shared" ca="1" si="49"/>
        <v>NO</v>
      </c>
      <c r="P818" s="83" t="str">
        <f t="shared" si="48"/>
        <v>DIANOSOL</v>
      </c>
      <c r="Q818" s="83" t="s">
        <v>951</v>
      </c>
      <c r="R818" s="83" t="str">
        <f>VLOOKUP($Q818,Resultados!$A$1:$B$49,2,FALSE)</f>
        <v xml:space="preserve"> _</v>
      </c>
      <c r="S818" s="83"/>
      <c r="T818" s="86" t="str">
        <f t="shared" si="50"/>
        <v>NO</v>
      </c>
      <c r="U818" s="86"/>
      <c r="V818" s="83"/>
      <c r="W818" s="83"/>
      <c r="X818" s="83"/>
      <c r="Y818" s="83"/>
      <c r="Z818" s="83"/>
      <c r="AA818" s="327" t="s">
        <v>3433</v>
      </c>
      <c r="AB818" s="83"/>
      <c r="AC818" s="90"/>
    </row>
    <row r="819" spans="1:29" ht="39.950000000000003" hidden="1" customHeight="1">
      <c r="A819" s="83">
        <v>860</v>
      </c>
      <c r="B819" s="85">
        <v>45222</v>
      </c>
      <c r="C819" s="329">
        <v>0.42083333333333334</v>
      </c>
      <c r="D819" s="83" t="s">
        <v>3575</v>
      </c>
      <c r="E819" s="84" t="s">
        <v>3576</v>
      </c>
      <c r="F819" s="83">
        <v>2</v>
      </c>
      <c r="G819" s="83" t="s">
        <v>2789</v>
      </c>
      <c r="H819" s="85">
        <v>45231</v>
      </c>
      <c r="I819" s="85" t="s">
        <v>73</v>
      </c>
      <c r="J819" s="85" t="s">
        <v>35</v>
      </c>
      <c r="K819" s="83">
        <f>IFERROR(VLOOKUP(J819,Jueces!$A$1:$B$11,2,FALSE),"")</f>
        <v>3</v>
      </c>
      <c r="L819" s="83" t="s">
        <v>809</v>
      </c>
      <c r="M819" s="83" t="s">
        <v>693</v>
      </c>
      <c r="N819" s="83"/>
      <c r="O819" s="83" t="str">
        <f t="shared" ca="1" si="49"/>
        <v>NO</v>
      </c>
      <c r="P819" s="83" t="str">
        <f t="shared" si="48"/>
        <v>DIANOSOL</v>
      </c>
      <c r="Q819" s="83" t="s">
        <v>951</v>
      </c>
      <c r="R819" s="83" t="str">
        <f>VLOOKUP($Q819,Resultados!$A$1:$B$49,2,FALSE)</f>
        <v xml:space="preserve"> _</v>
      </c>
      <c r="S819" s="83"/>
      <c r="T819" s="86" t="str">
        <f t="shared" si="50"/>
        <v>NO</v>
      </c>
      <c r="U819" s="86"/>
      <c r="V819" s="83"/>
      <c r="W819" s="83"/>
      <c r="X819" s="83"/>
      <c r="Y819" s="83"/>
      <c r="Z819" s="83"/>
      <c r="AA819" s="327" t="s">
        <v>1171</v>
      </c>
      <c r="AB819" s="83"/>
      <c r="AC819" s="90"/>
    </row>
    <row r="820" spans="1:29" ht="39.950000000000003" hidden="1" customHeight="1">
      <c r="A820" s="83">
        <v>798</v>
      </c>
      <c r="B820" s="85">
        <v>45211</v>
      </c>
      <c r="C820" s="329">
        <v>0.33333333333333331</v>
      </c>
      <c r="D820" s="83" t="s">
        <v>3373</v>
      </c>
      <c r="E820" s="84" t="s">
        <v>3374</v>
      </c>
      <c r="F820" s="83">
        <v>1</v>
      </c>
      <c r="G820" s="83" t="s">
        <v>1441</v>
      </c>
      <c r="H820" s="85">
        <v>45231</v>
      </c>
      <c r="I820" s="85" t="s">
        <v>749</v>
      </c>
      <c r="J820" s="85" t="s">
        <v>1225</v>
      </c>
      <c r="K820" s="83">
        <f>IFERROR(VLOOKUP(J820,Jueces!$A$1:$B$11,2,FALSE),"")</f>
        <v>6</v>
      </c>
      <c r="L820" s="83" t="s">
        <v>829</v>
      </c>
      <c r="M820" s="83" t="s">
        <v>712</v>
      </c>
      <c r="N820" s="83"/>
      <c r="O820" s="83" t="str">
        <f t="shared" ca="1" si="49"/>
        <v>NO</v>
      </c>
      <c r="P820" s="83" t="str">
        <f t="shared" si="48"/>
        <v>DIANOSOL</v>
      </c>
      <c r="Q820" s="83" t="s">
        <v>951</v>
      </c>
      <c r="R820" s="83" t="str">
        <f>VLOOKUP($Q820,Resultados!$A$1:$B$49,2,FALSE)</f>
        <v xml:space="preserve"> _</v>
      </c>
      <c r="S820" s="83"/>
      <c r="T820" s="86" t="str">
        <f t="shared" si="50"/>
        <v>NO</v>
      </c>
      <c r="U820" s="86"/>
      <c r="V820" s="83"/>
      <c r="W820" s="83"/>
      <c r="X820" s="83"/>
      <c r="Y820" s="83"/>
      <c r="Z820" s="83"/>
      <c r="AA820" s="327" t="s">
        <v>2896</v>
      </c>
      <c r="AB820" s="83"/>
      <c r="AC820" s="90"/>
    </row>
    <row r="821" spans="1:29" ht="39.950000000000003" hidden="1" customHeight="1">
      <c r="A821" s="83">
        <v>824</v>
      </c>
      <c r="B821" s="85">
        <v>45216</v>
      </c>
      <c r="C821" s="329">
        <v>0.40416666666666662</v>
      </c>
      <c r="D821" s="83" t="s">
        <v>3457</v>
      </c>
      <c r="E821" s="84" t="s">
        <v>3456</v>
      </c>
      <c r="F821" s="83">
        <v>2</v>
      </c>
      <c r="G821" s="83" t="s">
        <v>2839</v>
      </c>
      <c r="H821" s="85">
        <v>45231</v>
      </c>
      <c r="I821" s="85" t="s">
        <v>1086</v>
      </c>
      <c r="J821" s="85" t="s">
        <v>2955</v>
      </c>
      <c r="K821" s="83" t="s">
        <v>1520</v>
      </c>
      <c r="L821" s="83" t="s">
        <v>809</v>
      </c>
      <c r="M821" s="83" t="s">
        <v>692</v>
      </c>
      <c r="N821" s="83"/>
      <c r="O821" s="83" t="str">
        <f t="shared" ca="1" si="49"/>
        <v>NO</v>
      </c>
      <c r="P821" s="83" t="str">
        <f t="shared" si="48"/>
        <v>DIANOSOL</v>
      </c>
      <c r="Q821" s="83" t="s">
        <v>951</v>
      </c>
      <c r="R821" s="83" t="str">
        <f>VLOOKUP($Q821,Resultados!$A$1:$B$49,2,FALSE)</f>
        <v xml:space="preserve"> _</v>
      </c>
      <c r="S821" s="83"/>
      <c r="T821" s="86" t="str">
        <f t="shared" ref="T821:T852" si="51">IF(G821=$J$1,"SI","NO")</f>
        <v>NO</v>
      </c>
      <c r="U821" s="86"/>
      <c r="V821" s="83"/>
      <c r="W821" s="83"/>
      <c r="X821" s="83"/>
      <c r="Y821" s="83"/>
      <c r="Z821" s="83"/>
      <c r="AA821" s="327" t="s">
        <v>1171</v>
      </c>
      <c r="AB821" s="83"/>
      <c r="AC821" s="90"/>
    </row>
    <row r="822" spans="1:29" ht="39.950000000000003" hidden="1" customHeight="1">
      <c r="A822" s="83">
        <v>862</v>
      </c>
      <c r="B822" s="85">
        <v>45222</v>
      </c>
      <c r="C822" s="329">
        <v>0.42152777777777778</v>
      </c>
      <c r="D822" s="83" t="s">
        <v>3579</v>
      </c>
      <c r="E822" s="84" t="s">
        <v>3580</v>
      </c>
      <c r="F822" s="83">
        <v>2</v>
      </c>
      <c r="G822" s="83" t="s">
        <v>1443</v>
      </c>
      <c r="H822" s="85">
        <v>45231</v>
      </c>
      <c r="I822" s="85" t="s">
        <v>1086</v>
      </c>
      <c r="J822" s="85" t="s">
        <v>78</v>
      </c>
      <c r="K822" s="83">
        <f>IFERROR(VLOOKUP(J822,Jueces!$A$1:$B$11,2,FALSE),"")</f>
        <v>8</v>
      </c>
      <c r="L822" s="83" t="s">
        <v>799</v>
      </c>
      <c r="M822" s="83" t="s">
        <v>693</v>
      </c>
      <c r="N822" s="83"/>
      <c r="O822" s="83" t="str">
        <f t="shared" ca="1" si="49"/>
        <v>NO</v>
      </c>
      <c r="P822" s="83" t="str">
        <f t="shared" si="48"/>
        <v>DIANOSOL</v>
      </c>
      <c r="Q822" s="83" t="s">
        <v>951</v>
      </c>
      <c r="R822" s="83" t="str">
        <f>VLOOKUP($Q822,Resultados!$A$1:$B$49,2,FALSE)</f>
        <v xml:space="preserve"> _</v>
      </c>
      <c r="S822" s="83"/>
      <c r="T822" s="86" t="str">
        <f t="shared" si="51"/>
        <v>NO</v>
      </c>
      <c r="U822" s="86"/>
      <c r="V822" s="83"/>
      <c r="W822" s="83"/>
      <c r="X822" s="83"/>
      <c r="Y822" s="83"/>
      <c r="Z822" s="83"/>
      <c r="AA822" s="327" t="s">
        <v>3433</v>
      </c>
      <c r="AB822" s="83"/>
      <c r="AC822" s="90"/>
    </row>
    <row r="823" spans="1:29" ht="39.950000000000003" hidden="1" customHeight="1">
      <c r="A823" s="83">
        <v>840</v>
      </c>
      <c r="B823" s="85">
        <v>45218</v>
      </c>
      <c r="C823" s="329">
        <v>0.34375</v>
      </c>
      <c r="D823" s="83" t="s">
        <v>3534</v>
      </c>
      <c r="E823" s="84" t="s">
        <v>3503</v>
      </c>
      <c r="F823" s="83">
        <v>2</v>
      </c>
      <c r="G823" s="83" t="s">
        <v>283</v>
      </c>
      <c r="H823" s="85">
        <v>45231</v>
      </c>
      <c r="I823" s="85" t="s">
        <v>1210</v>
      </c>
      <c r="J823" s="85" t="s">
        <v>1221</v>
      </c>
      <c r="K823" s="83" t="s">
        <v>2305</v>
      </c>
      <c r="L823" s="83" t="s">
        <v>811</v>
      </c>
      <c r="M823" s="83" t="s">
        <v>693</v>
      </c>
      <c r="N823" s="83"/>
      <c r="O823" s="83" t="str">
        <f t="shared" ca="1" si="49"/>
        <v>NO</v>
      </c>
      <c r="P823" s="83" t="str">
        <f t="shared" si="48"/>
        <v>DIANOSOL</v>
      </c>
      <c r="Q823" s="83" t="s">
        <v>951</v>
      </c>
      <c r="R823" s="83" t="str">
        <f>VLOOKUP($Q823,Resultados!$A$1:$B$49,2,FALSE)</f>
        <v xml:space="preserve"> _</v>
      </c>
      <c r="S823" s="83"/>
      <c r="T823" s="86" t="str">
        <f t="shared" si="51"/>
        <v>NO</v>
      </c>
      <c r="U823" s="86"/>
      <c r="V823" s="83"/>
      <c r="W823" s="83"/>
      <c r="X823" s="83"/>
      <c r="Y823" s="83"/>
      <c r="Z823" s="83"/>
      <c r="AA823" s="327" t="s">
        <v>2853</v>
      </c>
      <c r="AB823" s="83"/>
      <c r="AC823" s="90"/>
    </row>
    <row r="824" spans="1:29" ht="39.950000000000003" hidden="1" customHeight="1">
      <c r="A824" s="83">
        <v>836</v>
      </c>
      <c r="B824" s="85">
        <v>45217</v>
      </c>
      <c r="C824" s="329">
        <v>0.4861111111111111</v>
      </c>
      <c r="D824" s="83" t="s">
        <v>3479</v>
      </c>
      <c r="E824" s="84" t="s">
        <v>3480</v>
      </c>
      <c r="F824" s="83">
        <v>8</v>
      </c>
      <c r="G824" s="83" t="s">
        <v>2775</v>
      </c>
      <c r="H824" s="85">
        <v>45231</v>
      </c>
      <c r="I824" s="85" t="s">
        <v>3214</v>
      </c>
      <c r="J824" s="85" t="s">
        <v>1220</v>
      </c>
      <c r="K824" s="83" t="s">
        <v>1926</v>
      </c>
      <c r="L824" s="83" t="s">
        <v>790</v>
      </c>
      <c r="M824" s="83" t="s">
        <v>3504</v>
      </c>
      <c r="N824" s="83"/>
      <c r="O824" s="83" t="str">
        <f t="shared" ca="1" si="49"/>
        <v>NO</v>
      </c>
      <c r="P824" s="83" t="str">
        <f t="shared" si="48"/>
        <v>DIANOSOL</v>
      </c>
      <c r="Q824" s="83" t="s">
        <v>951</v>
      </c>
      <c r="R824" s="83" t="str">
        <f>VLOOKUP($Q824,Resultados!$A$1:$B$49,2,FALSE)</f>
        <v xml:space="preserve"> _</v>
      </c>
      <c r="S824" s="83"/>
      <c r="T824" s="86" t="str">
        <f t="shared" si="51"/>
        <v>NO</v>
      </c>
      <c r="U824" s="86"/>
      <c r="V824" s="83"/>
      <c r="W824" s="83"/>
      <c r="X824" s="83"/>
      <c r="Y824" s="83"/>
      <c r="Z824" s="83"/>
      <c r="AA824" s="327" t="s">
        <v>2896</v>
      </c>
      <c r="AB824" s="83"/>
      <c r="AC824" s="90"/>
    </row>
    <row r="825" spans="1:29" ht="39.950000000000003" hidden="1" customHeight="1">
      <c r="A825" s="83">
        <v>835</v>
      </c>
      <c r="B825" s="85">
        <v>45217</v>
      </c>
      <c r="C825" s="329">
        <v>0.48402777777777778</v>
      </c>
      <c r="D825" s="83" t="s">
        <v>3477</v>
      </c>
      <c r="E825" s="84" t="s">
        <v>3478</v>
      </c>
      <c r="F825" s="83">
        <v>1</v>
      </c>
      <c r="G825" s="83" t="s">
        <v>3369</v>
      </c>
      <c r="H825" s="85">
        <v>45231</v>
      </c>
      <c r="I825" s="85" t="s">
        <v>77</v>
      </c>
      <c r="J825" s="85" t="s">
        <v>1221</v>
      </c>
      <c r="K825" s="83" t="s">
        <v>2305</v>
      </c>
      <c r="L825" s="83" t="s">
        <v>812</v>
      </c>
      <c r="M825" s="381" t="s">
        <v>783</v>
      </c>
      <c r="N825" s="83" t="s">
        <v>3541</v>
      </c>
      <c r="O825" s="83" t="str">
        <f t="shared" ca="1" si="49"/>
        <v>NO</v>
      </c>
      <c r="P825" s="83" t="str">
        <f t="shared" si="48"/>
        <v>DIANOSOL</v>
      </c>
      <c r="Q825" s="83" t="s">
        <v>951</v>
      </c>
      <c r="R825" s="83" t="str">
        <f>VLOOKUP($Q825,Resultados!$A$1:$B$49,2,FALSE)</f>
        <v xml:space="preserve"> _</v>
      </c>
      <c r="S825" s="83"/>
      <c r="T825" s="86" t="str">
        <f t="shared" si="51"/>
        <v>NO</v>
      </c>
      <c r="U825" s="86"/>
      <c r="V825" s="83"/>
      <c r="W825" s="83"/>
      <c r="X825" s="83"/>
      <c r="Y825" s="83"/>
      <c r="Z825" s="83"/>
      <c r="AA825" s="327" t="s">
        <v>2853</v>
      </c>
      <c r="AB825" s="83"/>
      <c r="AC825" s="90"/>
    </row>
    <row r="826" spans="1:29" ht="39.950000000000003" hidden="1" customHeight="1">
      <c r="A826" s="83">
        <v>823</v>
      </c>
      <c r="B826" s="85">
        <v>45216</v>
      </c>
      <c r="C826" s="329">
        <v>0.40625</v>
      </c>
      <c r="D826" s="83" t="s">
        <v>3454</v>
      </c>
      <c r="E826" s="84" t="s">
        <v>3455</v>
      </c>
      <c r="F826" s="83">
        <v>2</v>
      </c>
      <c r="G826" s="83" t="s">
        <v>1442</v>
      </c>
      <c r="H826" s="85">
        <v>45232</v>
      </c>
      <c r="I826" s="85" t="s">
        <v>73</v>
      </c>
      <c r="J826" s="85" t="s">
        <v>2952</v>
      </c>
      <c r="K826" s="83" t="s">
        <v>1520</v>
      </c>
      <c r="L826" s="83" t="s">
        <v>810</v>
      </c>
      <c r="M826" s="83" t="s">
        <v>692</v>
      </c>
      <c r="N826" s="83"/>
      <c r="O826" s="83" t="str">
        <f t="shared" ca="1" si="49"/>
        <v>NO</v>
      </c>
      <c r="P826" s="83" t="str">
        <f t="shared" si="48"/>
        <v>DIANOSOL</v>
      </c>
      <c r="Q826" s="83" t="s">
        <v>951</v>
      </c>
      <c r="R826" s="83" t="str">
        <f>VLOOKUP($Q826,Resultados!$A$1:$B$49,2,FALSE)</f>
        <v xml:space="preserve"> _</v>
      </c>
      <c r="S826" s="83"/>
      <c r="T826" s="86" t="str">
        <f t="shared" si="51"/>
        <v>SI</v>
      </c>
      <c r="U826" s="86"/>
      <c r="V826" s="83"/>
      <c r="W826" s="83"/>
      <c r="X826" s="83"/>
      <c r="Y826" s="83"/>
      <c r="Z826" s="83"/>
      <c r="AA826" s="327" t="s">
        <v>2853</v>
      </c>
      <c r="AB826" s="83"/>
      <c r="AC826" s="90"/>
    </row>
    <row r="827" spans="1:29" ht="39.950000000000003" hidden="1" customHeight="1">
      <c r="A827" s="83">
        <v>855</v>
      </c>
      <c r="B827" s="85">
        <v>45222</v>
      </c>
      <c r="C827" s="329">
        <v>0.4236111111111111</v>
      </c>
      <c r="D827" s="83" t="s">
        <v>3562</v>
      </c>
      <c r="E827" s="84" t="s">
        <v>3563</v>
      </c>
      <c r="F827" s="83">
        <v>3</v>
      </c>
      <c r="G827" s="83" t="s">
        <v>568</v>
      </c>
      <c r="H827" s="85">
        <v>45232</v>
      </c>
      <c r="I827" s="85" t="s">
        <v>73</v>
      </c>
      <c r="J827" s="85" t="s">
        <v>35</v>
      </c>
      <c r="K827" s="83">
        <f>IFERROR(VLOOKUP(J827,Jueces!$A$1:$B$11,2,FALSE),"")</f>
        <v>3</v>
      </c>
      <c r="L827" s="83" t="s">
        <v>811</v>
      </c>
      <c r="M827" s="83" t="s">
        <v>694</v>
      </c>
      <c r="N827" s="83"/>
      <c r="O827" s="83" t="str">
        <f t="shared" ca="1" si="49"/>
        <v>NO</v>
      </c>
      <c r="P827" s="83" t="str">
        <f t="shared" si="48"/>
        <v>DIANOSOL</v>
      </c>
      <c r="Q827" s="83" t="s">
        <v>951</v>
      </c>
      <c r="R827" s="83" t="str">
        <f>VLOOKUP($Q827,Resultados!$A$1:$B$49,2,FALSE)</f>
        <v xml:space="preserve"> _</v>
      </c>
      <c r="S827" s="83"/>
      <c r="T827" s="86" t="str">
        <f t="shared" si="51"/>
        <v>NO</v>
      </c>
      <c r="U827" s="86"/>
      <c r="V827" s="83"/>
      <c r="W827" s="83"/>
      <c r="X827" s="83"/>
      <c r="Y827" s="83"/>
      <c r="Z827" s="83"/>
      <c r="AA827" s="327" t="s">
        <v>1171</v>
      </c>
      <c r="AB827" s="83"/>
      <c r="AC827" s="90"/>
    </row>
    <row r="828" spans="1:29" ht="39.950000000000003" hidden="1" customHeight="1">
      <c r="A828" s="83">
        <v>865</v>
      </c>
      <c r="B828" s="85">
        <v>45222</v>
      </c>
      <c r="C828" s="329">
        <v>0.4680555555555555</v>
      </c>
      <c r="D828" s="83" t="s">
        <v>3596</v>
      </c>
      <c r="E828" s="84" t="s">
        <v>3597</v>
      </c>
      <c r="F828" s="83">
        <v>2</v>
      </c>
      <c r="G828" s="83" t="s">
        <v>3368</v>
      </c>
      <c r="H828" s="85">
        <v>45232</v>
      </c>
      <c r="I828" s="85" t="s">
        <v>73</v>
      </c>
      <c r="J828" s="85" t="s">
        <v>1221</v>
      </c>
      <c r="K828" s="83" t="s">
        <v>1926</v>
      </c>
      <c r="L828" s="83" t="s">
        <v>802</v>
      </c>
      <c r="M828" s="83" t="s">
        <v>693</v>
      </c>
      <c r="N828" s="83"/>
      <c r="O828" s="83" t="str">
        <f t="shared" ca="1" si="49"/>
        <v>NO</v>
      </c>
      <c r="P828" s="83" t="str">
        <f t="shared" si="48"/>
        <v>DIANOSOL</v>
      </c>
      <c r="Q828" s="83" t="s">
        <v>951</v>
      </c>
      <c r="R828" s="83" t="str">
        <f>VLOOKUP($Q828,Resultados!$A$1:$B$49,2,FALSE)</f>
        <v xml:space="preserve"> _</v>
      </c>
      <c r="S828" s="83"/>
      <c r="T828" s="86" t="str">
        <f t="shared" si="51"/>
        <v>NO</v>
      </c>
      <c r="U828" s="86"/>
      <c r="V828" s="83"/>
      <c r="W828" s="83"/>
      <c r="X828" s="83"/>
      <c r="Y828" s="83"/>
      <c r="Z828" s="83"/>
      <c r="AA828" s="327" t="s">
        <v>2896</v>
      </c>
      <c r="AB828" s="83"/>
      <c r="AC828" s="90"/>
    </row>
    <row r="829" spans="1:29" ht="39.950000000000003" hidden="1" customHeight="1">
      <c r="A829" s="83">
        <v>852</v>
      </c>
      <c r="B829" s="85">
        <v>45219</v>
      </c>
      <c r="C829" s="83" t="s">
        <v>1015</v>
      </c>
      <c r="D829" s="83" t="s">
        <v>3539</v>
      </c>
      <c r="E829" s="84" t="s">
        <v>3540</v>
      </c>
      <c r="F829" s="83">
        <v>2</v>
      </c>
      <c r="G829" s="83" t="s">
        <v>1441</v>
      </c>
      <c r="H829" s="85">
        <v>45232</v>
      </c>
      <c r="I829" s="85" t="s">
        <v>1086</v>
      </c>
      <c r="J829" s="85" t="s">
        <v>31</v>
      </c>
      <c r="K829" s="83">
        <f>IFERROR(VLOOKUP(J829,Jueces!$A$1:$B$11,2,FALSE),"")</f>
        <v>2</v>
      </c>
      <c r="L829" s="83" t="s">
        <v>1702</v>
      </c>
      <c r="M829" s="83" t="s">
        <v>692</v>
      </c>
      <c r="N829" s="83" t="s">
        <v>3568</v>
      </c>
      <c r="O829" s="83" t="str">
        <f t="shared" ca="1" si="49"/>
        <v>NO</v>
      </c>
      <c r="P829" s="83" t="str">
        <f t="shared" si="48"/>
        <v>DIANOSOL</v>
      </c>
      <c r="Q829" s="83" t="s">
        <v>951</v>
      </c>
      <c r="R829" s="83" t="str">
        <f>VLOOKUP($Q829,Resultados!$A$1:$B$49,2,FALSE)</f>
        <v xml:space="preserve"> _</v>
      </c>
      <c r="S829" s="83"/>
      <c r="T829" s="86" t="str">
        <f t="shared" si="51"/>
        <v>NO</v>
      </c>
      <c r="U829" s="86"/>
      <c r="V829" s="83"/>
      <c r="W829" s="83"/>
      <c r="X829" s="83"/>
      <c r="Y829" s="83"/>
      <c r="Z829" s="83"/>
      <c r="AA829" s="327" t="s">
        <v>3433</v>
      </c>
      <c r="AB829" s="83"/>
      <c r="AC829" s="80"/>
    </row>
    <row r="830" spans="1:29" ht="39.950000000000003" hidden="1" customHeight="1">
      <c r="A830" s="83">
        <v>859</v>
      </c>
      <c r="B830" s="85">
        <v>45222</v>
      </c>
      <c r="C830" s="329">
        <v>0.42083333333333334</v>
      </c>
      <c r="D830" s="83" t="s">
        <v>3573</v>
      </c>
      <c r="E830" s="84" t="s">
        <v>3574</v>
      </c>
      <c r="F830" s="83">
        <v>2</v>
      </c>
      <c r="G830" s="83" t="s">
        <v>1443</v>
      </c>
      <c r="H830" s="85">
        <v>45232</v>
      </c>
      <c r="I830" s="85" t="s">
        <v>1086</v>
      </c>
      <c r="J830" s="85" t="s">
        <v>1225</v>
      </c>
      <c r="K830" s="83">
        <f>IFERROR(VLOOKUP(J830,Jueces!$A$1:$B$11,2,FALSE),"")</f>
        <v>6</v>
      </c>
      <c r="L830" s="83" t="s">
        <v>811</v>
      </c>
      <c r="M830" s="83" t="s">
        <v>693</v>
      </c>
      <c r="N830" s="83"/>
      <c r="O830" s="83" t="str">
        <f t="shared" ca="1" si="49"/>
        <v>NO</v>
      </c>
      <c r="P830" s="83" t="str">
        <f t="shared" si="48"/>
        <v>DIANOSOL</v>
      </c>
      <c r="Q830" s="83" t="s">
        <v>951</v>
      </c>
      <c r="R830" s="83" t="str">
        <f>VLOOKUP($Q830,Resultados!$A$1:$B$49,2,FALSE)</f>
        <v xml:space="preserve"> _</v>
      </c>
      <c r="S830" s="83"/>
      <c r="T830" s="86" t="str">
        <f t="shared" si="51"/>
        <v>NO</v>
      </c>
      <c r="U830" s="86"/>
      <c r="V830" s="83"/>
      <c r="W830" s="83"/>
      <c r="X830" s="83"/>
      <c r="Y830" s="83"/>
      <c r="Z830" s="83"/>
      <c r="AA830" s="327" t="s">
        <v>3432</v>
      </c>
      <c r="AB830" s="83"/>
      <c r="AC830" s="80"/>
    </row>
    <row r="831" spans="1:29" ht="39.950000000000003" hidden="1" customHeight="1">
      <c r="A831" s="83">
        <v>861</v>
      </c>
      <c r="B831" s="85">
        <v>45222</v>
      </c>
      <c r="C831" s="329">
        <v>0.42152777777777778</v>
      </c>
      <c r="D831" s="83" t="s">
        <v>3577</v>
      </c>
      <c r="E831" s="84" t="s">
        <v>3578</v>
      </c>
      <c r="F831" s="83">
        <v>2</v>
      </c>
      <c r="G831" s="83" t="s">
        <v>2839</v>
      </c>
      <c r="H831" s="85">
        <v>45232</v>
      </c>
      <c r="I831" s="85" t="s">
        <v>1086</v>
      </c>
      <c r="J831" s="85" t="s">
        <v>78</v>
      </c>
      <c r="K831" s="83">
        <f>IFERROR(VLOOKUP(J831,Jueces!$A$1:$B$11,2,FALSE),"")</f>
        <v>8</v>
      </c>
      <c r="L831" s="83" t="s">
        <v>791</v>
      </c>
      <c r="M831" s="83" t="s">
        <v>694</v>
      </c>
      <c r="N831" s="83"/>
      <c r="O831" s="83" t="str">
        <f t="shared" ca="1" si="49"/>
        <v>NO</v>
      </c>
      <c r="P831" s="83" t="str">
        <f t="shared" si="48"/>
        <v>DIANOSOL</v>
      </c>
      <c r="Q831" s="83" t="s">
        <v>951</v>
      </c>
      <c r="R831" s="83" t="str">
        <f>VLOOKUP($Q831,Resultados!$A$1:$B$49,2,FALSE)</f>
        <v xml:space="preserve"> _</v>
      </c>
      <c r="S831" s="83"/>
      <c r="T831" s="86" t="str">
        <f t="shared" si="51"/>
        <v>NO</v>
      </c>
      <c r="U831" s="86"/>
      <c r="V831" s="83"/>
      <c r="W831" s="83"/>
      <c r="X831" s="83"/>
      <c r="Y831" s="83"/>
      <c r="Z831" s="83"/>
      <c r="AA831" s="327" t="s">
        <v>1171</v>
      </c>
      <c r="AB831" s="83"/>
      <c r="AC831" s="80"/>
    </row>
    <row r="832" spans="1:29" ht="39.950000000000003" hidden="1" customHeight="1">
      <c r="A832" s="83">
        <v>841</v>
      </c>
      <c r="B832" s="85">
        <v>45218</v>
      </c>
      <c r="C832" s="329">
        <v>0.41597222222222219</v>
      </c>
      <c r="D832" s="83" t="s">
        <v>2307</v>
      </c>
      <c r="E832" s="84" t="s">
        <v>3505</v>
      </c>
      <c r="F832" s="83">
        <v>6</v>
      </c>
      <c r="G832" s="83" t="s">
        <v>283</v>
      </c>
      <c r="H832" s="85">
        <v>45232</v>
      </c>
      <c r="I832" s="85" t="s">
        <v>3214</v>
      </c>
      <c r="J832" s="85" t="s">
        <v>1221</v>
      </c>
      <c r="K832" s="83" t="s">
        <v>1926</v>
      </c>
      <c r="L832" s="83" t="s">
        <v>811</v>
      </c>
      <c r="M832" s="83" t="s">
        <v>2126</v>
      </c>
      <c r="N832" s="83"/>
      <c r="O832" s="83" t="str">
        <f t="shared" ca="1" si="49"/>
        <v>NO</v>
      </c>
      <c r="P832" s="83" t="str">
        <f t="shared" si="48"/>
        <v>DIANOSOL</v>
      </c>
      <c r="Q832" s="83" t="s">
        <v>951</v>
      </c>
      <c r="R832" s="83" t="str">
        <f>VLOOKUP($Q832,Resultados!$A$1:$B$49,2,FALSE)</f>
        <v xml:space="preserve"> _</v>
      </c>
      <c r="S832" s="83"/>
      <c r="T832" s="86" t="str">
        <f t="shared" si="51"/>
        <v>NO</v>
      </c>
      <c r="U832" s="86"/>
      <c r="V832" s="83"/>
      <c r="W832" s="83"/>
      <c r="X832" s="83"/>
      <c r="Y832" s="83"/>
      <c r="Z832" s="83"/>
      <c r="AA832" s="327" t="s">
        <v>2896</v>
      </c>
      <c r="AB832" s="83"/>
      <c r="AC832" s="80"/>
    </row>
    <row r="833" spans="1:29" ht="39.950000000000003" hidden="1" customHeight="1">
      <c r="A833" s="83">
        <v>834</v>
      </c>
      <c r="B833" s="85">
        <v>45217</v>
      </c>
      <c r="C833" s="329">
        <v>0.48333333333333334</v>
      </c>
      <c r="D833" s="83" t="s">
        <v>3476</v>
      </c>
      <c r="E833" s="84" t="s">
        <v>3515</v>
      </c>
      <c r="F833" s="83">
        <v>3</v>
      </c>
      <c r="G833" s="83" t="s">
        <v>2789</v>
      </c>
      <c r="H833" s="85">
        <v>45232</v>
      </c>
      <c r="I833" s="85" t="s">
        <v>989</v>
      </c>
      <c r="J833" s="85" t="s">
        <v>1220</v>
      </c>
      <c r="K833" s="83">
        <v>8</v>
      </c>
      <c r="L833" s="83" t="s">
        <v>809</v>
      </c>
      <c r="M833" s="83" t="s">
        <v>694</v>
      </c>
      <c r="N833" s="83"/>
      <c r="O833" s="83" t="str">
        <f t="shared" ca="1" si="49"/>
        <v>NO</v>
      </c>
      <c r="P833" s="83" t="str">
        <f t="shared" si="48"/>
        <v>DIANOSOL</v>
      </c>
      <c r="Q833" s="83" t="s">
        <v>951</v>
      </c>
      <c r="R833" s="83" t="str">
        <f>VLOOKUP($Q833,Resultados!$A$1:$B$49,2,FALSE)</f>
        <v xml:space="preserve"> _</v>
      </c>
      <c r="S833" s="83"/>
      <c r="T833" s="86" t="str">
        <f t="shared" si="51"/>
        <v>NO</v>
      </c>
      <c r="U833" s="86"/>
      <c r="V833" s="83"/>
      <c r="W833" s="83"/>
      <c r="X833" s="83"/>
      <c r="Y833" s="83"/>
      <c r="Z833" s="83"/>
      <c r="AA833" s="327" t="s">
        <v>3432</v>
      </c>
      <c r="AB833" s="83"/>
      <c r="AC833" s="80"/>
    </row>
    <row r="834" spans="1:29" ht="39.950000000000003" hidden="1" customHeight="1">
      <c r="A834" s="215">
        <v>760</v>
      </c>
      <c r="B834" s="323">
        <v>45206</v>
      </c>
      <c r="C834" s="324">
        <v>0.47013888888888888</v>
      </c>
      <c r="D834" s="366" t="s">
        <v>2496</v>
      </c>
      <c r="E834" s="216" t="s">
        <v>3221</v>
      </c>
      <c r="F834" s="215">
        <v>4</v>
      </c>
      <c r="G834" s="215" t="s">
        <v>568</v>
      </c>
      <c r="H834" s="323">
        <v>45233</v>
      </c>
      <c r="I834" s="323" t="s">
        <v>73</v>
      </c>
      <c r="J834" s="323" t="s">
        <v>31</v>
      </c>
      <c r="K834" s="215">
        <f>IFERROR(VLOOKUP(J834,Jueces!$A$1:$B$11,2,FALSE),"")</f>
        <v>2</v>
      </c>
      <c r="L834" s="215" t="s">
        <v>798</v>
      </c>
      <c r="M834" s="215" t="s">
        <v>695</v>
      </c>
      <c r="N834" s="368" t="s">
        <v>3419</v>
      </c>
      <c r="O834" s="215" t="str">
        <f t="shared" ca="1" si="49"/>
        <v>NO</v>
      </c>
      <c r="P834" s="215" t="str">
        <f t="shared" si="48"/>
        <v>DIANOSOL</v>
      </c>
      <c r="Q834" s="215" t="s">
        <v>951</v>
      </c>
      <c r="R834" s="215" t="str">
        <f>VLOOKUP($Q834,Resultados!$A$1:$B$49,2,FALSE)</f>
        <v xml:space="preserve"> _</v>
      </c>
      <c r="S834" s="215"/>
      <c r="T834" s="282" t="str">
        <f t="shared" si="51"/>
        <v>NO</v>
      </c>
      <c r="U834" s="282"/>
      <c r="V834" s="215"/>
      <c r="W834" s="215"/>
      <c r="X834" s="215"/>
      <c r="Y834" s="215"/>
      <c r="Z834" s="215"/>
      <c r="AA834" s="367" t="s">
        <v>1169</v>
      </c>
      <c r="AB834" s="367" t="s">
        <v>1173</v>
      </c>
      <c r="AC834" s="395"/>
    </row>
    <row r="835" spans="1:29" ht="39.950000000000003" hidden="1" customHeight="1">
      <c r="A835" s="83">
        <v>831</v>
      </c>
      <c r="B835" s="85">
        <v>45210</v>
      </c>
      <c r="C835" s="329">
        <v>0.3972222222222222</v>
      </c>
      <c r="D835" s="83" t="s">
        <v>3382</v>
      </c>
      <c r="E835" s="84" t="s">
        <v>3472</v>
      </c>
      <c r="F835" s="83">
        <v>4</v>
      </c>
      <c r="G835" s="83" t="s">
        <v>2789</v>
      </c>
      <c r="H835" s="85">
        <v>45233</v>
      </c>
      <c r="I835" s="85" t="s">
        <v>73</v>
      </c>
      <c r="J835" s="85" t="s">
        <v>1221</v>
      </c>
      <c r="K835" s="83">
        <f>IFERROR(VLOOKUP(J835,Jueces!$A$1:$B$11,2,FALSE),"")</f>
        <v>7</v>
      </c>
      <c r="L835" s="83" t="s">
        <v>814</v>
      </c>
      <c r="M835" s="83" t="s">
        <v>3473</v>
      </c>
      <c r="N835" s="83"/>
      <c r="O835" s="83" t="str">
        <f t="shared" ca="1" si="49"/>
        <v>NO</v>
      </c>
      <c r="P835" s="83" t="str">
        <f t="shared" ref="P835:P877" si="52">IF($P$1=H835,"DIASOL", "DIANOSOL")</f>
        <v>DIANOSOL</v>
      </c>
      <c r="Q835" s="83" t="s">
        <v>951</v>
      </c>
      <c r="R835" s="83" t="str">
        <f>VLOOKUP($Q835,Resultados!$A$1:$B$49,2,FALSE)</f>
        <v xml:space="preserve"> _</v>
      </c>
      <c r="S835" s="83"/>
      <c r="T835" s="86" t="str">
        <f t="shared" si="51"/>
        <v>NO</v>
      </c>
      <c r="U835" s="86"/>
      <c r="V835" s="83"/>
      <c r="W835" s="83"/>
      <c r="X835" s="83"/>
      <c r="Y835" s="83"/>
      <c r="Z835" s="83"/>
      <c r="AA835" s="327" t="s">
        <v>2896</v>
      </c>
      <c r="AB835" s="83"/>
      <c r="AC835" s="80"/>
    </row>
    <row r="836" spans="1:29" ht="39.950000000000003" hidden="1" customHeight="1">
      <c r="A836" s="83">
        <v>853</v>
      </c>
      <c r="B836" s="85">
        <v>45219</v>
      </c>
      <c r="C836" s="329">
        <v>0.52916666666666667</v>
      </c>
      <c r="D836" s="83" t="s">
        <v>3543</v>
      </c>
      <c r="E836" s="84" t="s">
        <v>3545</v>
      </c>
      <c r="F836" s="83">
        <v>2</v>
      </c>
      <c r="G836" s="83" t="s">
        <v>3368</v>
      </c>
      <c r="H836" s="85">
        <v>45233</v>
      </c>
      <c r="I836" s="85" t="s">
        <v>73</v>
      </c>
      <c r="J836" s="85" t="s">
        <v>1732</v>
      </c>
      <c r="K836" s="83" t="s">
        <v>1346</v>
      </c>
      <c r="L836" s="83" t="s">
        <v>810</v>
      </c>
      <c r="M836" s="83" t="s">
        <v>693</v>
      </c>
      <c r="N836" s="83"/>
      <c r="O836" s="83" t="str">
        <f t="shared" ca="1" si="49"/>
        <v>NO</v>
      </c>
      <c r="P836" s="83" t="str">
        <f t="shared" si="52"/>
        <v>DIANOSOL</v>
      </c>
      <c r="Q836" s="83" t="s">
        <v>951</v>
      </c>
      <c r="R836" s="83" t="str">
        <f>VLOOKUP($Q836,Resultados!$A$1:$B$49,2,FALSE)</f>
        <v xml:space="preserve"> _</v>
      </c>
      <c r="S836" s="83"/>
      <c r="T836" s="86" t="str">
        <f t="shared" si="51"/>
        <v>NO</v>
      </c>
      <c r="U836" s="86"/>
      <c r="V836" s="83"/>
      <c r="W836" s="83"/>
      <c r="X836" s="83"/>
      <c r="Y836" s="83"/>
      <c r="Z836" s="83"/>
      <c r="AA836" s="327" t="s">
        <v>2853</v>
      </c>
      <c r="AB836" s="83"/>
      <c r="AC836" s="80"/>
    </row>
    <row r="837" spans="1:29" ht="39.950000000000003" hidden="1" customHeight="1">
      <c r="A837" s="83">
        <v>856</v>
      </c>
      <c r="B837" s="85">
        <v>45219</v>
      </c>
      <c r="C837" s="329">
        <v>0.46180555555555558</v>
      </c>
      <c r="D837" s="83" t="s">
        <v>3564</v>
      </c>
      <c r="E837" s="84" t="s">
        <v>3565</v>
      </c>
      <c r="F837" s="83">
        <v>3</v>
      </c>
      <c r="G837" s="83" t="s">
        <v>3369</v>
      </c>
      <c r="H837" s="85">
        <v>45233</v>
      </c>
      <c r="I837" s="85" t="s">
        <v>73</v>
      </c>
      <c r="J837" s="85" t="s">
        <v>78</v>
      </c>
      <c r="K837" s="83">
        <f>IFERROR(VLOOKUP(J837,Jueces!$A$1:$B$11,2,FALSE),"")</f>
        <v>8</v>
      </c>
      <c r="L837" s="83" t="s">
        <v>811</v>
      </c>
      <c r="M837" s="83" t="s">
        <v>694</v>
      </c>
      <c r="N837" s="83"/>
      <c r="O837" s="83" t="str">
        <f t="shared" ca="1" si="49"/>
        <v>NO</v>
      </c>
      <c r="P837" s="83" t="str">
        <f t="shared" si="52"/>
        <v>DIANOSOL</v>
      </c>
      <c r="Q837" s="83" t="s">
        <v>951</v>
      </c>
      <c r="R837" s="83" t="str">
        <f>VLOOKUP($Q837,Resultados!$A$1:$B$49,2,FALSE)</f>
        <v xml:space="preserve"> _</v>
      </c>
      <c r="S837" s="83"/>
      <c r="T837" s="86" t="str">
        <f t="shared" si="51"/>
        <v>NO</v>
      </c>
      <c r="U837" s="86"/>
      <c r="V837" s="83"/>
      <c r="W837" s="83"/>
      <c r="X837" s="83"/>
      <c r="Y837" s="83"/>
      <c r="Z837" s="83"/>
      <c r="AA837" s="327" t="s">
        <v>2896</v>
      </c>
      <c r="AB837" s="83"/>
      <c r="AC837" s="80"/>
    </row>
    <row r="838" spans="1:29" ht="39.950000000000003" hidden="1" customHeight="1">
      <c r="A838" s="83">
        <v>844</v>
      </c>
      <c r="B838" s="85">
        <v>45218</v>
      </c>
      <c r="C838" s="329">
        <v>0.42291666666666666</v>
      </c>
      <c r="D838" s="83" t="s">
        <v>981</v>
      </c>
      <c r="E838" s="84" t="s">
        <v>3510</v>
      </c>
      <c r="F838" s="83">
        <v>8</v>
      </c>
      <c r="G838" s="83" t="s">
        <v>1442</v>
      </c>
      <c r="H838" s="85">
        <v>45233</v>
      </c>
      <c r="I838" s="85" t="s">
        <v>749</v>
      </c>
      <c r="J838" s="85" t="s">
        <v>1225</v>
      </c>
      <c r="K838" s="83">
        <f>IFERROR(VLOOKUP(J838,Jueces!$A$1:$B$11,2,FALSE),"")</f>
        <v>6</v>
      </c>
      <c r="L838" s="83" t="s">
        <v>813</v>
      </c>
      <c r="M838" s="83" t="s">
        <v>723</v>
      </c>
      <c r="N838" s="83"/>
      <c r="O838" s="83" t="str">
        <f t="shared" ca="1" si="49"/>
        <v>NO</v>
      </c>
      <c r="P838" s="83" t="str">
        <f t="shared" si="52"/>
        <v>DIANOSOL</v>
      </c>
      <c r="Q838" s="83" t="s">
        <v>951</v>
      </c>
      <c r="R838" s="83" t="str">
        <f>VLOOKUP($Q838,Resultados!$A$1:$B$49,2,FALSE)</f>
        <v xml:space="preserve"> _</v>
      </c>
      <c r="S838" s="83"/>
      <c r="T838" s="86" t="str">
        <f t="shared" si="51"/>
        <v>SI</v>
      </c>
      <c r="U838" s="86"/>
      <c r="V838" s="83"/>
      <c r="W838" s="83"/>
      <c r="X838" s="83"/>
      <c r="Y838" s="83"/>
      <c r="Z838" s="83"/>
      <c r="AA838" s="327" t="s">
        <v>3432</v>
      </c>
      <c r="AB838" s="83"/>
      <c r="AC838" s="80"/>
    </row>
    <row r="839" spans="1:29" ht="39.950000000000003" hidden="1" customHeight="1">
      <c r="A839" s="83">
        <v>810</v>
      </c>
      <c r="B839" s="85">
        <v>45211</v>
      </c>
      <c r="C839" s="329">
        <v>0.38680555555555557</v>
      </c>
      <c r="D839" s="83" t="s">
        <v>3400</v>
      </c>
      <c r="E839" s="84" t="s">
        <v>3401</v>
      </c>
      <c r="F839" s="83">
        <v>7</v>
      </c>
      <c r="G839" s="83" t="s">
        <v>283</v>
      </c>
      <c r="H839" s="85">
        <v>45233</v>
      </c>
      <c r="I839" s="85" t="s">
        <v>1086</v>
      </c>
      <c r="J839" s="85" t="s">
        <v>35</v>
      </c>
      <c r="K839" s="83">
        <f>IFERROR(VLOOKUP(J839,Jueces!$A$1:$B$11,2,FALSE),"")</f>
        <v>3</v>
      </c>
      <c r="L839" s="83" t="s">
        <v>1070</v>
      </c>
      <c r="M839" s="83" t="s">
        <v>692</v>
      </c>
      <c r="N839" s="83" t="s">
        <v>3561</v>
      </c>
      <c r="O839" s="83" t="str">
        <f t="shared" ca="1" si="49"/>
        <v>NO</v>
      </c>
      <c r="P839" s="83" t="str">
        <f t="shared" si="52"/>
        <v>DIANOSOL</v>
      </c>
      <c r="Q839" s="83" t="s">
        <v>951</v>
      </c>
      <c r="R839" s="83" t="str">
        <f>VLOOKUP($Q839,Resultados!$A$1:$B$49,2,FALSE)</f>
        <v xml:space="preserve"> _</v>
      </c>
      <c r="S839" s="83"/>
      <c r="T839" s="86" t="str">
        <f t="shared" si="51"/>
        <v>NO</v>
      </c>
      <c r="U839" s="86"/>
      <c r="V839" s="83"/>
      <c r="W839" s="83"/>
      <c r="X839" s="83"/>
      <c r="Y839" s="83"/>
      <c r="Z839" s="83"/>
      <c r="AA839" s="327" t="s">
        <v>3432</v>
      </c>
      <c r="AB839" s="83"/>
      <c r="AC839" s="80"/>
    </row>
    <row r="840" spans="1:29" ht="39.950000000000003" hidden="1" customHeight="1">
      <c r="A840" s="83">
        <v>838</v>
      </c>
      <c r="B840" s="85">
        <v>45217</v>
      </c>
      <c r="C840" s="329">
        <v>0.46180555555555558</v>
      </c>
      <c r="D840" s="376" t="s">
        <v>1348</v>
      </c>
      <c r="E840" s="84" t="s">
        <v>3487</v>
      </c>
      <c r="F840" s="83">
        <v>4</v>
      </c>
      <c r="G840" s="83" t="s">
        <v>1443</v>
      </c>
      <c r="H840" s="85">
        <v>45233</v>
      </c>
      <c r="I840" s="85" t="s">
        <v>1086</v>
      </c>
      <c r="J840" s="85" t="s">
        <v>31</v>
      </c>
      <c r="K840" s="83">
        <f>IFERROR(VLOOKUP(J840,Jueces!$A$1:$B$11,2,FALSE),"")</f>
        <v>2</v>
      </c>
      <c r="L840" s="83" t="s">
        <v>814</v>
      </c>
      <c r="M840" s="396" t="s">
        <v>1447</v>
      </c>
      <c r="N840" s="83" t="s">
        <v>3531</v>
      </c>
      <c r="O840" s="83" t="str">
        <f t="shared" ca="1" si="49"/>
        <v>NO</v>
      </c>
      <c r="P840" s="83" t="str">
        <f t="shared" si="52"/>
        <v>DIANOSOL</v>
      </c>
      <c r="Q840" s="83" t="s">
        <v>951</v>
      </c>
      <c r="R840" s="83" t="str">
        <f>VLOOKUP($Q840,Resultados!$A$1:$B$49,2,FALSE)</f>
        <v xml:space="preserve"> _</v>
      </c>
      <c r="S840" s="83"/>
      <c r="T840" s="86" t="str">
        <f t="shared" si="51"/>
        <v>NO</v>
      </c>
      <c r="U840" s="86"/>
      <c r="V840" s="83"/>
      <c r="W840" s="83"/>
      <c r="X840" s="83"/>
      <c r="Y840" s="83"/>
      <c r="Z840" s="83"/>
      <c r="AA840" s="327" t="s">
        <v>1171</v>
      </c>
      <c r="AB840" s="83"/>
      <c r="AC840" s="80" t="s">
        <v>1801</v>
      </c>
    </row>
    <row r="841" spans="1:29" ht="39.950000000000003" hidden="1" customHeight="1">
      <c r="A841" s="83">
        <v>839</v>
      </c>
      <c r="B841" s="85">
        <v>45217</v>
      </c>
      <c r="C841" s="329">
        <v>0.4909722222222222</v>
      </c>
      <c r="D841" s="83" t="s">
        <v>3484</v>
      </c>
      <c r="E841" s="84" t="s">
        <v>3485</v>
      </c>
      <c r="F841" s="83">
        <v>2</v>
      </c>
      <c r="G841" s="83" t="s">
        <v>2839</v>
      </c>
      <c r="H841" s="85">
        <v>45233</v>
      </c>
      <c r="I841" s="85" t="s">
        <v>1210</v>
      </c>
      <c r="J841" s="85" t="s">
        <v>1221</v>
      </c>
      <c r="K841" s="83" t="s">
        <v>1926</v>
      </c>
      <c r="L841" s="83" t="s">
        <v>791</v>
      </c>
      <c r="M841" s="236" t="s">
        <v>692</v>
      </c>
      <c r="N841" s="83"/>
      <c r="O841" s="83" t="str">
        <f t="shared" ca="1" si="49"/>
        <v>NO</v>
      </c>
      <c r="P841" s="83" t="str">
        <f t="shared" si="52"/>
        <v>DIANOSOL</v>
      </c>
      <c r="Q841" s="83" t="s">
        <v>951</v>
      </c>
      <c r="R841" s="83" t="str">
        <f>VLOOKUP($Q841,Resultados!$A$1:$B$49,2,FALSE)</f>
        <v xml:space="preserve"> _</v>
      </c>
      <c r="S841" s="83"/>
      <c r="T841" s="86" t="str">
        <f t="shared" si="51"/>
        <v>NO</v>
      </c>
      <c r="U841" s="86"/>
      <c r="V841" s="83"/>
      <c r="W841" s="83"/>
      <c r="X841" s="83"/>
      <c r="Y841" s="83"/>
      <c r="Z841" s="83"/>
      <c r="AA841" s="327" t="s">
        <v>2853</v>
      </c>
      <c r="AB841" s="83"/>
      <c r="AC841" s="80"/>
    </row>
    <row r="842" spans="1:29" ht="39.950000000000003" hidden="1" customHeight="1">
      <c r="A842" s="83">
        <v>789</v>
      </c>
      <c r="B842" s="85">
        <v>45209</v>
      </c>
      <c r="C842" s="329">
        <v>0.4465277777777778</v>
      </c>
      <c r="D842" s="83" t="s">
        <v>3322</v>
      </c>
      <c r="E842" s="84" t="s">
        <v>3604</v>
      </c>
      <c r="F842" s="83">
        <v>1</v>
      </c>
      <c r="G842" s="83" t="s">
        <v>568</v>
      </c>
      <c r="H842" s="85">
        <v>45236</v>
      </c>
      <c r="I842" s="85" t="s">
        <v>73</v>
      </c>
      <c r="J842" s="85" t="s">
        <v>78</v>
      </c>
      <c r="K842" s="83">
        <f>IFERROR(VLOOKUP(J842,Jueces!$A$1:$B$11,2,FALSE),"")</f>
        <v>8</v>
      </c>
      <c r="L842" s="83" t="s">
        <v>806</v>
      </c>
      <c r="M842" s="83" t="s">
        <v>692</v>
      </c>
      <c r="N842" s="83"/>
      <c r="O842" s="83" t="str">
        <f t="shared" ca="1" si="49"/>
        <v>NO</v>
      </c>
      <c r="P842" s="83" t="str">
        <f t="shared" si="52"/>
        <v>DIANOSOL</v>
      </c>
      <c r="Q842" s="83" t="s">
        <v>951</v>
      </c>
      <c r="R842" s="83" t="str">
        <f>VLOOKUP($Q842,Resultados!$A$1:$B$49,2,FALSE)</f>
        <v xml:space="preserve"> _</v>
      </c>
      <c r="S842" s="83"/>
      <c r="T842" s="86" t="str">
        <f t="shared" si="51"/>
        <v>NO</v>
      </c>
      <c r="U842" s="86"/>
      <c r="V842" s="83"/>
      <c r="W842" s="83"/>
      <c r="X842" s="83"/>
      <c r="Y842" s="83"/>
      <c r="Z842" s="83"/>
      <c r="AA842" s="327" t="s">
        <v>3433</v>
      </c>
      <c r="AB842" s="83"/>
      <c r="AC842" s="80"/>
    </row>
    <row r="843" spans="1:29" ht="39.950000000000003" hidden="1" customHeight="1">
      <c r="A843" s="83">
        <v>833</v>
      </c>
      <c r="B843" s="85">
        <v>45217</v>
      </c>
      <c r="C843" s="329">
        <v>0.4826388888888889</v>
      </c>
      <c r="D843" s="83" t="s">
        <v>3474</v>
      </c>
      <c r="E843" s="84" t="s">
        <v>3475</v>
      </c>
      <c r="F843" s="83">
        <v>1</v>
      </c>
      <c r="G843" s="83" t="s">
        <v>3369</v>
      </c>
      <c r="H843" s="85">
        <v>45236</v>
      </c>
      <c r="I843" s="85" t="s">
        <v>73</v>
      </c>
      <c r="J843" s="85" t="s">
        <v>2952</v>
      </c>
      <c r="K843" s="83" t="s">
        <v>1346</v>
      </c>
      <c r="L843" s="83" t="s">
        <v>802</v>
      </c>
      <c r="M843" s="83" t="s">
        <v>712</v>
      </c>
      <c r="N843" s="83"/>
      <c r="O843" s="83" t="str">
        <f t="shared" ca="1" si="49"/>
        <v>NO</v>
      </c>
      <c r="P843" s="83" t="str">
        <f t="shared" si="52"/>
        <v>DIANOSOL</v>
      </c>
      <c r="Q843" s="83" t="s">
        <v>951</v>
      </c>
      <c r="R843" s="83" t="str">
        <f>VLOOKUP($Q843,Resultados!$A$1:$B$49,2,FALSE)</f>
        <v xml:space="preserve"> _</v>
      </c>
      <c r="S843" s="83"/>
      <c r="T843" s="86" t="str">
        <f t="shared" si="51"/>
        <v>NO</v>
      </c>
      <c r="U843" s="86"/>
      <c r="V843" s="83"/>
      <c r="W843" s="83"/>
      <c r="X843" s="83"/>
      <c r="Y843" s="83"/>
      <c r="Z843" s="83"/>
      <c r="AA843" s="327" t="s">
        <v>2896</v>
      </c>
      <c r="AB843" s="83"/>
      <c r="AC843" s="80"/>
    </row>
    <row r="844" spans="1:29" ht="39.950000000000003" hidden="1" customHeight="1">
      <c r="A844" s="83">
        <v>858</v>
      </c>
      <c r="B844" s="85">
        <v>45222</v>
      </c>
      <c r="C844" s="329">
        <v>0.4201388888888889</v>
      </c>
      <c r="D844" s="83" t="s">
        <v>3571</v>
      </c>
      <c r="E844" s="84" t="s">
        <v>3572</v>
      </c>
      <c r="F844" s="83">
        <v>2</v>
      </c>
      <c r="G844" s="83" t="s">
        <v>1441</v>
      </c>
      <c r="H844" s="85">
        <v>45236</v>
      </c>
      <c r="I844" s="85" t="s">
        <v>73</v>
      </c>
      <c r="J844" s="85" t="s">
        <v>31</v>
      </c>
      <c r="K844" s="83">
        <f>IFERROR(VLOOKUP(J844,Jueces!$A$1:$B$11,2,FALSE),"")</f>
        <v>2</v>
      </c>
      <c r="L844" s="83" t="s">
        <v>1702</v>
      </c>
      <c r="M844" s="389" t="s">
        <v>2143</v>
      </c>
      <c r="N844" s="83" t="s">
        <v>3627</v>
      </c>
      <c r="O844" s="83" t="str">
        <f t="shared" ca="1" si="49"/>
        <v>NO</v>
      </c>
      <c r="P844" s="83" t="str">
        <f t="shared" si="52"/>
        <v>DIANOSOL</v>
      </c>
      <c r="Q844" s="83" t="s">
        <v>951</v>
      </c>
      <c r="R844" s="83" t="str">
        <f>VLOOKUP($Q844,Resultados!$A$1:$B$49,2,FALSE)</f>
        <v xml:space="preserve"> _</v>
      </c>
      <c r="S844" s="83"/>
      <c r="T844" s="86" t="str">
        <f t="shared" si="51"/>
        <v>NO</v>
      </c>
      <c r="U844" s="86"/>
      <c r="V844" s="83"/>
      <c r="W844" s="83"/>
      <c r="X844" s="83"/>
      <c r="Y844" s="83"/>
      <c r="Z844" s="83"/>
      <c r="AA844" s="327" t="s">
        <v>2853</v>
      </c>
      <c r="AB844" s="83"/>
      <c r="AC844" s="80"/>
    </row>
    <row r="845" spans="1:29" ht="39.950000000000003" hidden="1" customHeight="1">
      <c r="A845" s="83">
        <v>867</v>
      </c>
      <c r="B845" s="85">
        <v>45222</v>
      </c>
      <c r="C845" s="329">
        <v>0.40763888888888888</v>
      </c>
      <c r="D845" s="83" t="s">
        <v>3612</v>
      </c>
      <c r="E845" s="84" t="s">
        <v>3613</v>
      </c>
      <c r="F845" s="83">
        <v>2</v>
      </c>
      <c r="G845" s="83" t="s">
        <v>2789</v>
      </c>
      <c r="H845" s="85">
        <v>45236</v>
      </c>
      <c r="I845" s="85" t="s">
        <v>73</v>
      </c>
      <c r="J845" s="85" t="s">
        <v>35</v>
      </c>
      <c r="K845" s="83">
        <f>IFERROR(VLOOKUP(J845,Jueces!$A$1:$B$11,2,FALSE),"")</f>
        <v>3</v>
      </c>
      <c r="L845" s="83" t="s">
        <v>791</v>
      </c>
      <c r="M845" s="83" t="s">
        <v>693</v>
      </c>
      <c r="N845" s="83"/>
      <c r="O845" s="83" t="str">
        <f t="shared" ca="1" si="49"/>
        <v>NO</v>
      </c>
      <c r="P845" s="83" t="str">
        <f t="shared" si="52"/>
        <v>DIANOSOL</v>
      </c>
      <c r="Q845" s="83" t="s">
        <v>951</v>
      </c>
      <c r="R845" s="83" t="str">
        <f>VLOOKUP($Q845,Resultados!$A$1:$B$49,2,FALSE)</f>
        <v xml:space="preserve"> _</v>
      </c>
      <c r="S845" s="83"/>
      <c r="T845" s="86" t="str">
        <f t="shared" si="51"/>
        <v>NO</v>
      </c>
      <c r="U845" s="86"/>
      <c r="V845" s="83"/>
      <c r="W845" s="83"/>
      <c r="X845" s="83"/>
      <c r="Y845" s="83"/>
      <c r="Z845" s="83"/>
      <c r="AA845" s="327" t="s">
        <v>1171</v>
      </c>
      <c r="AB845" s="83"/>
      <c r="AC845" s="80"/>
    </row>
    <row r="846" spans="1:29" ht="39.950000000000003" hidden="1" customHeight="1">
      <c r="A846" s="83">
        <v>842</v>
      </c>
      <c r="B846" s="85">
        <v>45218</v>
      </c>
      <c r="C846" s="329">
        <v>0.41736111111111113</v>
      </c>
      <c r="D846" s="376" t="s">
        <v>3506</v>
      </c>
      <c r="E846" s="84" t="s">
        <v>3507</v>
      </c>
      <c r="F846" s="83">
        <v>2</v>
      </c>
      <c r="G846" s="83" t="s">
        <v>3368</v>
      </c>
      <c r="H846" s="85">
        <v>45236</v>
      </c>
      <c r="I846" s="85" t="s">
        <v>1086</v>
      </c>
      <c r="J846" s="85" t="s">
        <v>35</v>
      </c>
      <c r="K846" s="83">
        <f>IFERROR(VLOOKUP(J846,Jueces!$A$1:$B$11,2,FALSE),"")</f>
        <v>3</v>
      </c>
      <c r="L846" s="83" t="s">
        <v>807</v>
      </c>
      <c r="M846" s="81" t="s">
        <v>692</v>
      </c>
      <c r="N846" s="83"/>
      <c r="O846" s="83" t="str">
        <f t="shared" ref="O846:O877" ca="1" si="53">IF(H846&lt;&gt;"",IF(H846&lt;=TODAY(),"SI","NO"),"LIMBO")</f>
        <v>NO</v>
      </c>
      <c r="P846" s="83" t="str">
        <f t="shared" si="52"/>
        <v>DIANOSOL</v>
      </c>
      <c r="Q846" s="83" t="s">
        <v>951</v>
      </c>
      <c r="R846" s="83" t="str">
        <f>VLOOKUP($Q846,Resultados!$A$1:$B$49,2,FALSE)</f>
        <v xml:space="preserve"> _</v>
      </c>
      <c r="S846" s="83"/>
      <c r="T846" s="86" t="str">
        <f t="shared" si="51"/>
        <v>NO</v>
      </c>
      <c r="U846" s="86"/>
      <c r="V846" s="83"/>
      <c r="W846" s="83"/>
      <c r="X846" s="83"/>
      <c r="Y846" s="83"/>
      <c r="Z846" s="83"/>
      <c r="AA846" s="327" t="s">
        <v>3432</v>
      </c>
      <c r="AB846" s="83"/>
      <c r="AC846" s="80" t="s">
        <v>1801</v>
      </c>
    </row>
    <row r="847" spans="1:29" ht="39.950000000000003" hidden="1" customHeight="1">
      <c r="A847" s="83">
        <v>828</v>
      </c>
      <c r="B847" s="85">
        <v>45217</v>
      </c>
      <c r="C847" s="329">
        <v>0.36944444444444446</v>
      </c>
      <c r="D847" s="83" t="s">
        <v>3466</v>
      </c>
      <c r="E847" s="84" t="s">
        <v>3467</v>
      </c>
      <c r="F847" s="83">
        <v>2</v>
      </c>
      <c r="G847" s="83" t="s">
        <v>2789</v>
      </c>
      <c r="H847" s="85">
        <v>45237</v>
      </c>
      <c r="I847" s="85" t="s">
        <v>73</v>
      </c>
      <c r="J847" s="85" t="s">
        <v>2955</v>
      </c>
      <c r="K847" s="83" t="s">
        <v>1926</v>
      </c>
      <c r="L847" s="83" t="s">
        <v>798</v>
      </c>
      <c r="M847" s="236" t="s">
        <v>692</v>
      </c>
      <c r="N847" s="83"/>
      <c r="O847" s="83" t="str">
        <f t="shared" ca="1" si="53"/>
        <v>NO</v>
      </c>
      <c r="P847" s="83" t="str">
        <f t="shared" si="52"/>
        <v>DIANOSOL</v>
      </c>
      <c r="Q847" s="83" t="s">
        <v>951</v>
      </c>
      <c r="R847" s="83" t="str">
        <f>VLOOKUP($Q847,Resultados!$A$1:$B$49,2,FALSE)</f>
        <v xml:space="preserve"> _</v>
      </c>
      <c r="S847" s="83"/>
      <c r="T847" s="86" t="str">
        <f t="shared" si="51"/>
        <v>NO</v>
      </c>
      <c r="U847" s="86"/>
      <c r="V847" s="83"/>
      <c r="W847" s="83"/>
      <c r="X847" s="83"/>
      <c r="Y847" s="83"/>
      <c r="Z847" s="83"/>
      <c r="AA847" s="327" t="s">
        <v>3433</v>
      </c>
      <c r="AB847" s="83"/>
      <c r="AC847" s="80"/>
    </row>
    <row r="848" spans="1:29" ht="39.950000000000003" hidden="1" customHeight="1">
      <c r="A848" s="83">
        <v>863</v>
      </c>
      <c r="B848" s="85">
        <v>45222</v>
      </c>
      <c r="C848" s="329">
        <v>0.42222222222222222</v>
      </c>
      <c r="D848" s="83" t="s">
        <v>3581</v>
      </c>
      <c r="E848" s="84" t="s">
        <v>3582</v>
      </c>
      <c r="F848" s="83">
        <v>2</v>
      </c>
      <c r="G848" s="83" t="s">
        <v>1442</v>
      </c>
      <c r="H848" s="85">
        <v>45237</v>
      </c>
      <c r="I848" s="85" t="s">
        <v>73</v>
      </c>
      <c r="J848" s="85" t="s">
        <v>31</v>
      </c>
      <c r="K848" s="83">
        <f>IFERROR(VLOOKUP(J848,Jueces!$A$1:$B$11,2,FALSE),"")</f>
        <v>2</v>
      </c>
      <c r="L848" s="83" t="s">
        <v>800</v>
      </c>
      <c r="M848" s="83" t="s">
        <v>693</v>
      </c>
      <c r="N848" s="83"/>
      <c r="O848" s="83" t="str">
        <f t="shared" ca="1" si="53"/>
        <v>NO</v>
      </c>
      <c r="P848" s="83" t="str">
        <f t="shared" si="52"/>
        <v>DIANOSOL</v>
      </c>
      <c r="Q848" s="83" t="s">
        <v>951</v>
      </c>
      <c r="R848" s="83" t="str">
        <f>VLOOKUP($Q848,Resultados!$A$1:$B$49,2,FALSE)</f>
        <v xml:space="preserve"> _</v>
      </c>
      <c r="S848" s="83"/>
      <c r="T848" s="86" t="str">
        <f t="shared" si="51"/>
        <v>SI</v>
      </c>
      <c r="U848" s="86"/>
      <c r="V848" s="83"/>
      <c r="W848" s="83"/>
      <c r="X848" s="83"/>
      <c r="Y848" s="83"/>
      <c r="Z848" s="83"/>
      <c r="AA848" s="327" t="s">
        <v>2896</v>
      </c>
      <c r="AB848" s="83"/>
      <c r="AC848" s="80"/>
    </row>
    <row r="849" spans="1:29" ht="39.950000000000003" hidden="1" customHeight="1">
      <c r="A849" s="83">
        <v>850</v>
      </c>
      <c r="B849" s="85">
        <v>45219</v>
      </c>
      <c r="C849" s="329">
        <v>0.38819444444444445</v>
      </c>
      <c r="D849" s="83" t="s">
        <v>3538</v>
      </c>
      <c r="E849" s="84" t="s">
        <v>3537</v>
      </c>
      <c r="F849" s="83">
        <v>3</v>
      </c>
      <c r="G849" s="83" t="s">
        <v>1443</v>
      </c>
      <c r="H849" s="85">
        <v>45237</v>
      </c>
      <c r="I849" s="85" t="s">
        <v>1086</v>
      </c>
      <c r="J849" s="85" t="s">
        <v>78</v>
      </c>
      <c r="K849" s="83">
        <f>IFERROR(VLOOKUP(J849,Jueces!$A$1:$B$11,2,FALSE),"")</f>
        <v>8</v>
      </c>
      <c r="L849" s="83" t="s">
        <v>809</v>
      </c>
      <c r="M849" s="83" t="s">
        <v>694</v>
      </c>
      <c r="N849" s="83"/>
      <c r="O849" s="83" t="str">
        <f t="shared" ca="1" si="53"/>
        <v>NO</v>
      </c>
      <c r="P849" s="83" t="str">
        <f t="shared" si="52"/>
        <v>DIANOSOL</v>
      </c>
      <c r="Q849" s="83" t="s">
        <v>951</v>
      </c>
      <c r="R849" s="83" t="str">
        <f>VLOOKUP($Q849,Resultados!$A$1:$B$49,2,FALSE)</f>
        <v xml:space="preserve"> _</v>
      </c>
      <c r="S849" s="83"/>
      <c r="T849" s="86" t="str">
        <f t="shared" si="51"/>
        <v>NO</v>
      </c>
      <c r="U849" s="86"/>
      <c r="V849" s="83"/>
      <c r="W849" s="83"/>
      <c r="X849" s="83"/>
      <c r="Y849" s="83"/>
      <c r="Z849" s="83"/>
      <c r="AA849" s="327" t="s">
        <v>1171</v>
      </c>
      <c r="AB849" s="83"/>
      <c r="AC849" s="80"/>
    </row>
    <row r="850" spans="1:29" ht="39.950000000000003" hidden="1" customHeight="1">
      <c r="A850" s="83">
        <v>854</v>
      </c>
      <c r="B850" s="85">
        <v>45217</v>
      </c>
      <c r="C850" s="329">
        <v>0.34930555555555554</v>
      </c>
      <c r="D850" s="83" t="s">
        <v>3559</v>
      </c>
      <c r="E850" s="84" t="s">
        <v>3560</v>
      </c>
      <c r="F850" s="83">
        <v>1</v>
      </c>
      <c r="G850" s="83" t="s">
        <v>1442</v>
      </c>
      <c r="H850" s="85">
        <v>45238</v>
      </c>
      <c r="I850" s="85" t="s">
        <v>73</v>
      </c>
      <c r="J850" s="85" t="s">
        <v>31</v>
      </c>
      <c r="K850" s="83">
        <f>IFERROR(VLOOKUP(J850,Jueces!$A$1:$B$11,2,FALSE),"")</f>
        <v>2</v>
      </c>
      <c r="L850" s="83" t="s">
        <v>802</v>
      </c>
      <c r="M850" s="83" t="s">
        <v>692</v>
      </c>
      <c r="N850" s="83"/>
      <c r="O850" s="83" t="str">
        <f t="shared" ca="1" si="53"/>
        <v>NO</v>
      </c>
      <c r="P850" s="83" t="str">
        <f t="shared" si="52"/>
        <v>DIANOSOL</v>
      </c>
      <c r="Q850" s="83" t="s">
        <v>951</v>
      </c>
      <c r="R850" s="83" t="str">
        <f>VLOOKUP($Q850,Resultados!$A$1:$B$49,2,FALSE)</f>
        <v xml:space="preserve"> _</v>
      </c>
      <c r="S850" s="83"/>
      <c r="T850" s="86" t="str">
        <f t="shared" si="51"/>
        <v>SI</v>
      </c>
      <c r="U850" s="86"/>
      <c r="V850" s="83"/>
      <c r="W850" s="83"/>
      <c r="X850" s="83"/>
      <c r="Y850" s="83"/>
      <c r="Z850" s="83"/>
      <c r="AA850" s="327" t="s">
        <v>3433</v>
      </c>
      <c r="AB850" s="83"/>
      <c r="AC850" s="80"/>
    </row>
    <row r="851" spans="1:29" ht="39.950000000000003" hidden="1" customHeight="1">
      <c r="A851" s="83">
        <v>868</v>
      </c>
      <c r="B851" s="85">
        <v>45222</v>
      </c>
      <c r="C851" s="329">
        <v>0.47916666666666669</v>
      </c>
      <c r="D851" s="83" t="s">
        <v>3598</v>
      </c>
      <c r="E851" s="84" t="s">
        <v>3599</v>
      </c>
      <c r="F851" s="83">
        <v>2</v>
      </c>
      <c r="G851" s="83" t="s">
        <v>2789</v>
      </c>
      <c r="H851" s="85">
        <v>45238</v>
      </c>
      <c r="I851" s="85" t="s">
        <v>73</v>
      </c>
      <c r="J851" s="85" t="s">
        <v>78</v>
      </c>
      <c r="K851" s="83">
        <f>IFERROR(VLOOKUP(J851,Jueces!$A$1:$B$11,2,FALSE),"")</f>
        <v>8</v>
      </c>
      <c r="L851" s="83" t="s">
        <v>806</v>
      </c>
      <c r="M851" s="83" t="s">
        <v>693</v>
      </c>
      <c r="N851" s="83" t="s">
        <v>3614</v>
      </c>
      <c r="O851" s="83" t="str">
        <f t="shared" ca="1" si="53"/>
        <v>NO</v>
      </c>
      <c r="P851" s="83" t="str">
        <f t="shared" si="52"/>
        <v>DIANOSOL</v>
      </c>
      <c r="Q851" s="83" t="s">
        <v>951</v>
      </c>
      <c r="R851" s="83" t="str">
        <f>VLOOKUP($Q851,Resultados!$A$1:$B$49,2,FALSE)</f>
        <v xml:space="preserve"> _</v>
      </c>
      <c r="S851" s="83"/>
      <c r="T851" s="86" t="str">
        <f t="shared" si="51"/>
        <v>NO</v>
      </c>
      <c r="U851" s="86"/>
      <c r="V851" s="83"/>
      <c r="W851" s="83"/>
      <c r="X851" s="83"/>
      <c r="Y851" s="83"/>
      <c r="Z851" s="83"/>
      <c r="AA851" s="327" t="s">
        <v>2896</v>
      </c>
      <c r="AB851" s="83"/>
      <c r="AC851" s="80"/>
    </row>
    <row r="852" spans="1:29" ht="39.950000000000003" hidden="1" customHeight="1">
      <c r="A852" s="83">
        <v>843</v>
      </c>
      <c r="B852" s="85">
        <v>45218</v>
      </c>
      <c r="C852" s="329">
        <v>0.42222222222222222</v>
      </c>
      <c r="D852" s="83" t="s">
        <v>3508</v>
      </c>
      <c r="E852" s="84" t="s">
        <v>3514</v>
      </c>
      <c r="F852" s="83">
        <v>2</v>
      </c>
      <c r="G852" s="83" t="s">
        <v>3369</v>
      </c>
      <c r="H852" s="85">
        <v>45238</v>
      </c>
      <c r="I852" s="85" t="s">
        <v>1086</v>
      </c>
      <c r="J852" s="85" t="s">
        <v>31</v>
      </c>
      <c r="K852" s="83">
        <f>IFERROR(VLOOKUP(J852,Jueces!$A$1:$B$11,2,FALSE),"")</f>
        <v>2</v>
      </c>
      <c r="L852" s="83" t="s">
        <v>814</v>
      </c>
      <c r="M852" s="391" t="s">
        <v>2703</v>
      </c>
      <c r="N852" s="83" t="s">
        <v>3570</v>
      </c>
      <c r="O852" s="83" t="str">
        <f t="shared" ca="1" si="53"/>
        <v>NO</v>
      </c>
      <c r="P852" s="83" t="str">
        <f t="shared" si="52"/>
        <v>DIANOSOL</v>
      </c>
      <c r="Q852" s="83" t="s">
        <v>951</v>
      </c>
      <c r="R852" s="83" t="str">
        <f>VLOOKUP($Q852,Resultados!$A$1:$B$49,2,FALSE)</f>
        <v xml:space="preserve"> _</v>
      </c>
      <c r="S852" s="83"/>
      <c r="T852" s="86" t="str">
        <f t="shared" si="51"/>
        <v>NO</v>
      </c>
      <c r="U852" s="86"/>
      <c r="V852" s="83"/>
      <c r="W852" s="83"/>
      <c r="X852" s="83"/>
      <c r="Y852" s="83"/>
      <c r="Z852" s="83"/>
      <c r="AA852" s="327" t="s">
        <v>2853</v>
      </c>
      <c r="AB852" s="83"/>
      <c r="AC852" s="80"/>
    </row>
    <row r="853" spans="1:29" ht="39.950000000000003" hidden="1" customHeight="1">
      <c r="A853" s="83">
        <v>848</v>
      </c>
      <c r="B853" s="85">
        <v>45219</v>
      </c>
      <c r="C853" s="329">
        <v>0.35000000000000003</v>
      </c>
      <c r="D853" s="83" t="s">
        <v>3529</v>
      </c>
      <c r="E853" s="84" t="s">
        <v>3530</v>
      </c>
      <c r="F853" s="83">
        <v>2</v>
      </c>
      <c r="G853" s="83" t="s">
        <v>1443</v>
      </c>
      <c r="H853" s="85">
        <v>45239</v>
      </c>
      <c r="I853" s="85" t="s">
        <v>73</v>
      </c>
      <c r="J853" s="85" t="s">
        <v>78</v>
      </c>
      <c r="K853" s="83">
        <f>IFERROR(VLOOKUP(J853,Jueces!$A$1:$B$11,2,FALSE),"")</f>
        <v>8</v>
      </c>
      <c r="L853" s="83" t="s">
        <v>2095</v>
      </c>
      <c r="M853" s="381" t="s">
        <v>782</v>
      </c>
      <c r="N853" s="83" t="s">
        <v>3633</v>
      </c>
      <c r="O853" s="83" t="str">
        <f t="shared" ca="1" si="53"/>
        <v>NO</v>
      </c>
      <c r="P853" s="83" t="str">
        <f t="shared" si="52"/>
        <v>DIANOSOL</v>
      </c>
      <c r="Q853" s="83" t="s">
        <v>951</v>
      </c>
      <c r="R853" s="83" t="str">
        <f>VLOOKUP($Q853,Resultados!$A$1:$B$49,2,FALSE)</f>
        <v xml:space="preserve"> _</v>
      </c>
      <c r="S853" s="83"/>
      <c r="T853" s="86" t="str">
        <f t="shared" ref="T853:T877" si="54">IF(G853=$J$1,"SI","NO")</f>
        <v>NO</v>
      </c>
      <c r="U853" s="86"/>
      <c r="V853" s="83"/>
      <c r="W853" s="83"/>
      <c r="X853" s="83"/>
      <c r="Y853" s="83"/>
      <c r="Z853" s="83"/>
      <c r="AA853" s="327" t="s">
        <v>3433</v>
      </c>
      <c r="AB853" s="83"/>
      <c r="AC853" s="80"/>
    </row>
    <row r="854" spans="1:29" ht="39.950000000000003" hidden="1" customHeight="1">
      <c r="A854" s="83">
        <v>857</v>
      </c>
      <c r="B854" s="85">
        <v>45222</v>
      </c>
      <c r="C854" s="329">
        <v>0.39166666666666666</v>
      </c>
      <c r="D854" s="83" t="s">
        <v>3566</v>
      </c>
      <c r="E854" s="84" t="s">
        <v>3567</v>
      </c>
      <c r="F854" s="83">
        <v>2</v>
      </c>
      <c r="G854" s="83" t="s">
        <v>283</v>
      </c>
      <c r="H854" s="85">
        <v>45239</v>
      </c>
      <c r="I854" s="85" t="s">
        <v>73</v>
      </c>
      <c r="J854" s="85" t="s">
        <v>31</v>
      </c>
      <c r="K854" s="83">
        <f>IFERROR(VLOOKUP(J854,Jueces!$A$1:$B$11,2,FALSE),"")</f>
        <v>2</v>
      </c>
      <c r="L854" s="83" t="s">
        <v>688</v>
      </c>
      <c r="M854" s="83" t="s">
        <v>693</v>
      </c>
      <c r="N854" s="83"/>
      <c r="O854" s="83" t="str">
        <f t="shared" ca="1" si="53"/>
        <v>NO</v>
      </c>
      <c r="P854" s="83" t="str">
        <f t="shared" si="52"/>
        <v>DIANOSOL</v>
      </c>
      <c r="Q854" s="83" t="s">
        <v>951</v>
      </c>
      <c r="R854" s="83" t="str">
        <f>VLOOKUP($Q854,Resultados!$A$1:$B$49,2,FALSE)</f>
        <v xml:space="preserve"> _</v>
      </c>
      <c r="S854" s="83"/>
      <c r="T854" s="86" t="str">
        <f t="shared" si="54"/>
        <v>NO</v>
      </c>
      <c r="U854" s="86"/>
      <c r="V854" s="83"/>
      <c r="W854" s="83"/>
      <c r="X854" s="83"/>
      <c r="Y854" s="83"/>
      <c r="Z854" s="83"/>
      <c r="AA854" s="327" t="s">
        <v>2853</v>
      </c>
      <c r="AB854" s="83"/>
      <c r="AC854" s="80"/>
    </row>
    <row r="855" spans="1:29" ht="39.950000000000003" hidden="1" customHeight="1">
      <c r="A855" s="83">
        <v>832</v>
      </c>
      <c r="B855" s="85">
        <v>45200</v>
      </c>
      <c r="C855" s="329">
        <v>0.41805555555555557</v>
      </c>
      <c r="D855" s="83" t="s">
        <v>3557</v>
      </c>
      <c r="E855" s="84" t="s">
        <v>3488</v>
      </c>
      <c r="F855" s="83">
        <v>2</v>
      </c>
      <c r="G855" s="83" t="s">
        <v>3368</v>
      </c>
      <c r="H855" s="85">
        <v>45240</v>
      </c>
      <c r="I855" s="85" t="s">
        <v>73</v>
      </c>
      <c r="J855" s="85" t="s">
        <v>78</v>
      </c>
      <c r="K855" s="83">
        <f>IFERROR(VLOOKUP(J855,Jueces!$A$1:$B$11,2,FALSE),"")</f>
        <v>8</v>
      </c>
      <c r="L855" s="83" t="s">
        <v>2095</v>
      </c>
      <c r="M855" s="83" t="s">
        <v>692</v>
      </c>
      <c r="N855" s="83" t="s">
        <v>3569</v>
      </c>
      <c r="O855" s="83" t="str">
        <f t="shared" ca="1" si="53"/>
        <v>NO</v>
      </c>
      <c r="P855" s="83" t="str">
        <f t="shared" si="52"/>
        <v>DIANOSOL</v>
      </c>
      <c r="Q855" s="83" t="s">
        <v>951</v>
      </c>
      <c r="R855" s="83" t="str">
        <f>VLOOKUP($Q855,Resultados!$A$1:$B$49,2,FALSE)</f>
        <v xml:space="preserve"> _</v>
      </c>
      <c r="S855" s="83"/>
      <c r="T855" s="86" t="str">
        <f t="shared" si="54"/>
        <v>NO</v>
      </c>
      <c r="U855" s="86"/>
      <c r="V855" s="83"/>
      <c r="W855" s="83"/>
      <c r="X855" s="83"/>
      <c r="Y855" s="83"/>
      <c r="Z855" s="83"/>
      <c r="AA855" s="327" t="s">
        <v>1171</v>
      </c>
      <c r="AB855" s="83"/>
      <c r="AC855" s="80"/>
    </row>
    <row r="856" spans="1:29" ht="39.950000000000003" hidden="1" customHeight="1">
      <c r="A856" s="215">
        <v>827</v>
      </c>
      <c r="B856" s="323"/>
      <c r="C856" s="215"/>
      <c r="D856" s="215" t="s">
        <v>3168</v>
      </c>
      <c r="E856" s="216" t="s">
        <v>3208</v>
      </c>
      <c r="F856" s="215">
        <v>2</v>
      </c>
      <c r="G856" s="215" t="s">
        <v>1443</v>
      </c>
      <c r="H856" s="323">
        <v>45244</v>
      </c>
      <c r="I856" s="323" t="s">
        <v>73</v>
      </c>
      <c r="J856" s="323" t="s">
        <v>2952</v>
      </c>
      <c r="K856" s="215" t="s">
        <v>1926</v>
      </c>
      <c r="L856" s="215" t="s">
        <v>809</v>
      </c>
      <c r="M856" s="215" t="s">
        <v>692</v>
      </c>
      <c r="N856" s="215" t="s">
        <v>3461</v>
      </c>
      <c r="O856" s="215" t="str">
        <f t="shared" ca="1" si="53"/>
        <v>NO</v>
      </c>
      <c r="P856" s="215" t="str">
        <f t="shared" si="52"/>
        <v>DIANOSOL</v>
      </c>
      <c r="Q856" s="215" t="s">
        <v>951</v>
      </c>
      <c r="R856" s="215" t="str">
        <f>VLOOKUP($Q856,Resultados!$A$1:$B$49,2,FALSE)</f>
        <v xml:space="preserve"> _</v>
      </c>
      <c r="S856" s="215"/>
      <c r="T856" s="282" t="str">
        <f t="shared" si="54"/>
        <v>NO</v>
      </c>
      <c r="U856" s="282"/>
      <c r="V856" s="215"/>
      <c r="W856" s="215"/>
      <c r="X856" s="215"/>
      <c r="Y856" s="215"/>
      <c r="Z856" s="215"/>
      <c r="AA856" s="342"/>
      <c r="AB856" s="215"/>
      <c r="AC856" s="395"/>
    </row>
    <row r="857" spans="1:29" ht="39.950000000000003" hidden="1" customHeight="1">
      <c r="A857" s="215">
        <v>847</v>
      </c>
      <c r="B857" s="323"/>
      <c r="C857" s="215"/>
      <c r="D857" s="215" t="s">
        <v>3154</v>
      </c>
      <c r="E857" s="216" t="s">
        <v>3218</v>
      </c>
      <c r="F857" s="215">
        <v>1</v>
      </c>
      <c r="G857" s="215" t="s">
        <v>1441</v>
      </c>
      <c r="H857" s="323">
        <v>45245</v>
      </c>
      <c r="I857" s="323" t="s">
        <v>73</v>
      </c>
      <c r="J857" s="323" t="s">
        <v>1221</v>
      </c>
      <c r="K857" s="215" t="s">
        <v>1926</v>
      </c>
      <c r="L857" s="215" t="s">
        <v>789</v>
      </c>
      <c r="M857" s="215" t="s">
        <v>712</v>
      </c>
      <c r="N857" s="215" t="s">
        <v>3519</v>
      </c>
      <c r="O857" s="215" t="str">
        <f t="shared" ca="1" si="53"/>
        <v>NO</v>
      </c>
      <c r="P857" s="215" t="str">
        <f t="shared" si="52"/>
        <v>DIANOSOL</v>
      </c>
      <c r="Q857" s="215" t="s">
        <v>951</v>
      </c>
      <c r="R857" s="215" t="str">
        <f>VLOOKUP($Q857,Resultados!$A$1:$B$49,2,FALSE)</f>
        <v xml:space="preserve"> _</v>
      </c>
      <c r="S857" s="215"/>
      <c r="T857" s="282" t="str">
        <f t="shared" si="54"/>
        <v>NO</v>
      </c>
      <c r="U857" s="282"/>
      <c r="V857" s="215"/>
      <c r="W857" s="215"/>
      <c r="X857" s="215"/>
      <c r="Y857" s="215"/>
      <c r="Z857" s="215"/>
      <c r="AA857" s="215"/>
      <c r="AB857" s="215"/>
      <c r="AC857" s="380"/>
    </row>
    <row r="858" spans="1:29" ht="39.950000000000003" hidden="1" customHeight="1">
      <c r="A858" s="245">
        <v>583</v>
      </c>
      <c r="B858" s="330">
        <v>45170</v>
      </c>
      <c r="C858" s="331">
        <v>0.33333333333333331</v>
      </c>
      <c r="D858" s="245" t="s">
        <v>2530</v>
      </c>
      <c r="E858" s="248" t="s">
        <v>2579</v>
      </c>
      <c r="F858" s="245">
        <v>7</v>
      </c>
      <c r="G858" s="245"/>
      <c r="H858" s="330"/>
      <c r="I858" s="330"/>
      <c r="J858" s="330"/>
      <c r="K858" s="245" t="str">
        <f>IFERROR(VLOOKUP(J858,Jueces!$A$1:$B$11,2,FALSE),"")</f>
        <v/>
      </c>
      <c r="L858" s="245" t="s">
        <v>807</v>
      </c>
      <c r="M858" s="245" t="s">
        <v>767</v>
      </c>
      <c r="N858" s="245"/>
      <c r="O858" s="245" t="str">
        <f t="shared" ca="1" si="53"/>
        <v>LIMBO</v>
      </c>
      <c r="P858" s="245" t="str">
        <f t="shared" si="52"/>
        <v>DIANOSOL</v>
      </c>
      <c r="Q858" s="245" t="s">
        <v>951</v>
      </c>
      <c r="R858" s="245" t="str">
        <f>VLOOKUP($Q858,Resultados!$A$1:$B$49,2,FALSE)</f>
        <v xml:space="preserve"> _</v>
      </c>
      <c r="S858" s="245"/>
      <c r="T858" s="246" t="str">
        <f t="shared" si="54"/>
        <v>NO</v>
      </c>
      <c r="U858" s="246"/>
      <c r="V858" s="245"/>
      <c r="W858" s="245"/>
      <c r="X858" s="245"/>
      <c r="Y858" s="245"/>
      <c r="Z858" s="245"/>
      <c r="AA858" s="245"/>
      <c r="AB858" s="245"/>
      <c r="AC858" s="395"/>
    </row>
    <row r="859" spans="1:29" ht="39.950000000000003" hidden="1" customHeight="1">
      <c r="A859" s="173">
        <v>726</v>
      </c>
      <c r="B859" s="332">
        <v>45197</v>
      </c>
      <c r="C859" s="333">
        <v>0.4201388888888889</v>
      </c>
      <c r="D859" s="173"/>
      <c r="E859" s="174" t="s">
        <v>3079</v>
      </c>
      <c r="F859" s="173">
        <v>1</v>
      </c>
      <c r="G859" s="173"/>
      <c r="H859" s="332"/>
      <c r="I859" s="332"/>
      <c r="J859" s="332"/>
      <c r="K859" s="173" t="str">
        <f>IFERROR(VLOOKUP(J859,Jueces!$A$1:$B$11,2,FALSE),"")</f>
        <v/>
      </c>
      <c r="L859" s="173" t="s">
        <v>2091</v>
      </c>
      <c r="M859" s="173"/>
      <c r="N859" s="173"/>
      <c r="O859" s="173" t="str">
        <f t="shared" ca="1" si="53"/>
        <v>LIMBO</v>
      </c>
      <c r="P859" s="173" t="str">
        <f t="shared" si="52"/>
        <v>DIANOSOL</v>
      </c>
      <c r="Q859" s="173" t="s">
        <v>951</v>
      </c>
      <c r="R859" s="173" t="str">
        <f>VLOOKUP($Q859,Resultados!$A$1:$B$49,2,FALSE)</f>
        <v xml:space="preserve"> _</v>
      </c>
      <c r="S859" s="173"/>
      <c r="T859" s="175" t="str">
        <f t="shared" si="54"/>
        <v>NO</v>
      </c>
      <c r="U859" s="175"/>
      <c r="V859" s="173"/>
      <c r="W859" s="173"/>
      <c r="X859" s="173"/>
      <c r="Y859" s="173"/>
      <c r="Z859" s="173"/>
      <c r="AA859" s="173"/>
      <c r="AB859" s="173"/>
      <c r="AC859" s="395"/>
    </row>
    <row r="860" spans="1:29" ht="39.950000000000003" hidden="1" customHeight="1">
      <c r="A860" s="245">
        <v>802</v>
      </c>
      <c r="B860" s="330">
        <v>45210</v>
      </c>
      <c r="C860" s="245" t="s">
        <v>3381</v>
      </c>
      <c r="D860" s="245" t="s">
        <v>3382</v>
      </c>
      <c r="E860" s="248" t="s">
        <v>3383</v>
      </c>
      <c r="F860" s="245">
        <v>4</v>
      </c>
      <c r="G860" s="245"/>
      <c r="H860" s="330"/>
      <c r="I860" s="330"/>
      <c r="J860" s="330"/>
      <c r="K860" s="245" t="str">
        <f>IFERROR(VLOOKUP(J860,Jueces!$A$1:$B$11,2,FALSE),"")</f>
        <v/>
      </c>
      <c r="L860" s="245" t="s">
        <v>814</v>
      </c>
      <c r="M860" s="245" t="s">
        <v>2287</v>
      </c>
      <c r="N860" s="245"/>
      <c r="O860" s="245" t="str">
        <f t="shared" ca="1" si="53"/>
        <v>LIMBO</v>
      </c>
      <c r="P860" s="245" t="str">
        <f t="shared" si="52"/>
        <v>DIANOSOL</v>
      </c>
      <c r="Q860" s="245" t="s">
        <v>951</v>
      </c>
      <c r="R860" s="245" t="str">
        <f>VLOOKUP($Q860,Resultados!$A$1:$B$49,2,FALSE)</f>
        <v xml:space="preserve"> _</v>
      </c>
      <c r="S860" s="245"/>
      <c r="T860" s="246" t="str">
        <f t="shared" si="54"/>
        <v>NO</v>
      </c>
      <c r="U860" s="246"/>
      <c r="V860" s="245"/>
      <c r="W860" s="245"/>
      <c r="X860" s="245"/>
      <c r="Y860" s="245"/>
      <c r="Z860" s="245"/>
      <c r="AA860" s="245"/>
      <c r="AB860" s="245"/>
      <c r="AC860" s="395"/>
    </row>
    <row r="861" spans="1:29" ht="39.950000000000003" hidden="1" customHeight="1">
      <c r="A861" s="245">
        <v>805</v>
      </c>
      <c r="B861" s="330">
        <v>45202</v>
      </c>
      <c r="C861" s="331">
        <v>0.47083333333333338</v>
      </c>
      <c r="D861" s="245" t="s">
        <v>3164</v>
      </c>
      <c r="E861" s="248" t="s">
        <v>3389</v>
      </c>
      <c r="F861" s="245">
        <v>8</v>
      </c>
      <c r="G861" s="245"/>
      <c r="H861" s="330"/>
      <c r="I861" s="330"/>
      <c r="J861" s="330"/>
      <c r="K861" s="245" t="str">
        <f>IFERROR(VLOOKUP(J861,Jueces!$A$1:$B$11,2,FALSE),"")</f>
        <v/>
      </c>
      <c r="L861" s="245" t="s">
        <v>791</v>
      </c>
      <c r="M861" s="245" t="s">
        <v>887</v>
      </c>
      <c r="N861" s="245"/>
      <c r="O861" s="245" t="str">
        <f t="shared" ca="1" si="53"/>
        <v>LIMBO</v>
      </c>
      <c r="P861" s="245" t="str">
        <f t="shared" si="52"/>
        <v>DIANOSOL</v>
      </c>
      <c r="Q861" s="245" t="s">
        <v>951</v>
      </c>
      <c r="R861" s="245" t="str">
        <f>VLOOKUP($Q861,Resultados!$A$1:$B$49,2,FALSE)</f>
        <v xml:space="preserve"> _</v>
      </c>
      <c r="S861" s="245"/>
      <c r="T861" s="246" t="str">
        <f t="shared" si="54"/>
        <v>NO</v>
      </c>
      <c r="U861" s="246"/>
      <c r="V861" s="245"/>
      <c r="W861" s="245"/>
      <c r="X861" s="245"/>
      <c r="Y861" s="245"/>
      <c r="Z861" s="245"/>
      <c r="AA861" s="245"/>
      <c r="AB861" s="245"/>
      <c r="AC861" s="395"/>
    </row>
    <row r="862" spans="1:29" ht="39.950000000000003" hidden="1" customHeight="1">
      <c r="A862" s="245">
        <v>812</v>
      </c>
      <c r="B862" s="330">
        <v>45210</v>
      </c>
      <c r="C862" s="331">
        <v>0.41250000000000003</v>
      </c>
      <c r="D862" s="245" t="s">
        <v>3339</v>
      </c>
      <c r="E862" s="248" t="s">
        <v>3403</v>
      </c>
      <c r="F862" s="245">
        <v>2</v>
      </c>
      <c r="G862" s="245"/>
      <c r="H862" s="330"/>
      <c r="I862" s="330"/>
      <c r="J862" s="330"/>
      <c r="K862" s="245" t="str">
        <f>IFERROR(VLOOKUP(J862,Jueces!$A$1:$B$11,2,FALSE),"")</f>
        <v/>
      </c>
      <c r="L862" s="245" t="s">
        <v>813</v>
      </c>
      <c r="M862" s="245" t="s">
        <v>693</v>
      </c>
      <c r="N862" s="245"/>
      <c r="O862" s="245" t="str">
        <f t="shared" ca="1" si="53"/>
        <v>LIMBO</v>
      </c>
      <c r="P862" s="245" t="str">
        <f t="shared" si="52"/>
        <v>DIANOSOL</v>
      </c>
      <c r="Q862" s="245" t="s">
        <v>951</v>
      </c>
      <c r="R862" s="245" t="str">
        <f>VLOOKUP($Q862,Resultados!$A$1:$B$49,2,FALSE)</f>
        <v xml:space="preserve"> _</v>
      </c>
      <c r="S862" s="245"/>
      <c r="T862" s="246" t="str">
        <f t="shared" si="54"/>
        <v>NO</v>
      </c>
      <c r="U862" s="246"/>
      <c r="V862" s="245"/>
      <c r="W862" s="245"/>
      <c r="X862" s="245"/>
      <c r="Y862" s="245"/>
      <c r="Z862" s="245"/>
      <c r="AA862" s="245"/>
      <c r="AB862" s="245"/>
      <c r="AC862" s="395"/>
    </row>
    <row r="863" spans="1:29" ht="39.950000000000003" hidden="1" customHeight="1">
      <c r="A863" s="173">
        <v>813</v>
      </c>
      <c r="B863" s="332"/>
      <c r="C863" s="173"/>
      <c r="D863" s="173"/>
      <c r="E863" s="174" t="s">
        <v>3421</v>
      </c>
      <c r="F863" s="173">
        <v>1</v>
      </c>
      <c r="G863" s="173"/>
      <c r="H863" s="332"/>
      <c r="I863" s="332"/>
      <c r="J863" s="332"/>
      <c r="K863" s="173" t="str">
        <f>IFERROR(VLOOKUP(J863,Jueces!$A$1:$B$11,2,FALSE),"")</f>
        <v/>
      </c>
      <c r="L863" s="173" t="s">
        <v>812</v>
      </c>
      <c r="M863" s="383"/>
      <c r="N863" s="173"/>
      <c r="O863" s="173" t="str">
        <f t="shared" ca="1" si="53"/>
        <v>LIMBO</v>
      </c>
      <c r="P863" s="173" t="str">
        <f t="shared" si="52"/>
        <v>DIANOSOL</v>
      </c>
      <c r="Q863" s="173" t="s">
        <v>951</v>
      </c>
      <c r="R863" s="173" t="str">
        <f>VLOOKUP($Q863,Resultados!$A$1:$B$49,2,FALSE)</f>
        <v xml:space="preserve"> _</v>
      </c>
      <c r="S863" s="173"/>
      <c r="T863" s="175" t="str">
        <f t="shared" si="54"/>
        <v>NO</v>
      </c>
      <c r="U863" s="175"/>
      <c r="V863" s="173"/>
      <c r="W863" s="173"/>
      <c r="X863" s="173"/>
      <c r="Y863" s="173"/>
      <c r="Z863" s="173"/>
      <c r="AA863" s="173"/>
      <c r="AB863" s="173"/>
      <c r="AC863" s="395"/>
    </row>
    <row r="864" spans="1:29" ht="39.950000000000003" hidden="1" customHeight="1">
      <c r="A864" s="245">
        <v>819</v>
      </c>
      <c r="B864" s="330">
        <v>45216</v>
      </c>
      <c r="C864" s="331">
        <v>0.45833333333333331</v>
      </c>
      <c r="D864" s="245" t="s">
        <v>1209</v>
      </c>
      <c r="E864" s="248" t="s">
        <v>3435</v>
      </c>
      <c r="F864" s="245">
        <v>4</v>
      </c>
      <c r="G864" s="245"/>
      <c r="H864" s="330"/>
      <c r="I864" s="330"/>
      <c r="J864" s="330"/>
      <c r="K864" s="245" t="str">
        <f>IFERROR(VLOOKUP(J864,Jueces!$A$1:$B$11,2,FALSE),"")</f>
        <v/>
      </c>
      <c r="L864" s="245" t="s">
        <v>1070</v>
      </c>
      <c r="M864" s="245" t="s">
        <v>3436</v>
      </c>
      <c r="N864" s="245"/>
      <c r="O864" s="245" t="str">
        <f t="shared" ca="1" si="53"/>
        <v>LIMBO</v>
      </c>
      <c r="P864" s="245" t="str">
        <f t="shared" si="52"/>
        <v>DIANOSOL</v>
      </c>
      <c r="Q864" s="245" t="s">
        <v>951</v>
      </c>
      <c r="R864" s="245" t="str">
        <f>VLOOKUP($Q864,Resultados!$A$1:$B$49,2,FALSE)</f>
        <v xml:space="preserve"> _</v>
      </c>
      <c r="S864" s="245"/>
      <c r="T864" s="246" t="str">
        <f t="shared" si="54"/>
        <v>NO</v>
      </c>
      <c r="U864" s="246"/>
      <c r="V864" s="245"/>
      <c r="W864" s="245"/>
      <c r="X864" s="245"/>
      <c r="Y864" s="245"/>
      <c r="Z864" s="245"/>
      <c r="AA864" s="245"/>
      <c r="AB864" s="245"/>
      <c r="AC864" s="395"/>
    </row>
    <row r="865" spans="1:29" ht="39.950000000000003" hidden="1" customHeight="1">
      <c r="A865" s="173">
        <v>826</v>
      </c>
      <c r="B865" s="332">
        <v>45216</v>
      </c>
      <c r="C865" s="333">
        <v>0.375</v>
      </c>
      <c r="D865" s="173" t="s">
        <v>3373</v>
      </c>
      <c r="E865" s="174" t="s">
        <v>3460</v>
      </c>
      <c r="F865" s="173">
        <v>1</v>
      </c>
      <c r="G865" s="173"/>
      <c r="H865" s="332"/>
      <c r="I865" s="332"/>
      <c r="J865" s="332"/>
      <c r="K865" s="173" t="str">
        <f>IFERROR(VLOOKUP(J865,Jueces!$A$1:$B$11,2,FALSE),"")</f>
        <v/>
      </c>
      <c r="L865" s="173" t="s">
        <v>829</v>
      </c>
      <c r="M865" s="173"/>
      <c r="N865" s="173"/>
      <c r="O865" s="173" t="str">
        <f t="shared" ca="1" si="53"/>
        <v>LIMBO</v>
      </c>
      <c r="P865" s="173" t="str">
        <f t="shared" si="52"/>
        <v>DIANOSOL</v>
      </c>
      <c r="Q865" s="173" t="s">
        <v>951</v>
      </c>
      <c r="R865" s="173" t="str">
        <f>VLOOKUP($Q865,Resultados!$A$1:$B$49,2,FALSE)</f>
        <v xml:space="preserve"> _</v>
      </c>
      <c r="S865" s="173"/>
      <c r="T865" s="175" t="str">
        <f t="shared" si="54"/>
        <v>NO</v>
      </c>
      <c r="U865" s="175"/>
      <c r="V865" s="173"/>
      <c r="W865" s="173"/>
      <c r="X865" s="173"/>
      <c r="Y865" s="173"/>
      <c r="Z865" s="173"/>
      <c r="AA865" s="173"/>
      <c r="AB865" s="173"/>
      <c r="AC865" s="395"/>
    </row>
    <row r="866" spans="1:29" ht="39.950000000000003" hidden="1" customHeight="1">
      <c r="A866" s="215">
        <v>849</v>
      </c>
      <c r="B866" s="323">
        <v>45219</v>
      </c>
      <c r="C866" s="324">
        <v>0.3923611111111111</v>
      </c>
      <c r="D866" s="215" t="s">
        <v>3535</v>
      </c>
      <c r="E866" s="216" t="s">
        <v>3536</v>
      </c>
      <c r="F866" s="215">
        <v>2</v>
      </c>
      <c r="G866" s="215"/>
      <c r="H866" s="323"/>
      <c r="I866" s="323"/>
      <c r="J866" s="323"/>
      <c r="K866" s="215" t="str">
        <f>IFERROR(VLOOKUP(J866,Jueces!$A$1:$B$11,2,FALSE),"")</f>
        <v/>
      </c>
      <c r="L866" s="215" t="s">
        <v>798</v>
      </c>
      <c r="M866" s="215" t="s">
        <v>693</v>
      </c>
      <c r="N866" s="215" t="s">
        <v>3558</v>
      </c>
      <c r="O866" s="215" t="str">
        <f t="shared" ca="1" si="53"/>
        <v>LIMBO</v>
      </c>
      <c r="P866" s="215" t="str">
        <f t="shared" si="52"/>
        <v>DIANOSOL</v>
      </c>
      <c r="Q866" s="215" t="s">
        <v>951</v>
      </c>
      <c r="R866" s="215" t="str">
        <f>VLOOKUP($Q866,Resultados!$A$1:$B$49,2,FALSE)</f>
        <v xml:space="preserve"> _</v>
      </c>
      <c r="S866" s="215"/>
      <c r="T866" s="282" t="str">
        <f t="shared" si="54"/>
        <v>NO</v>
      </c>
      <c r="U866" s="282"/>
      <c r="V866" s="215"/>
      <c r="W866" s="215"/>
      <c r="X866" s="215"/>
      <c r="Y866" s="215"/>
      <c r="Z866" s="215"/>
      <c r="AA866" s="215"/>
      <c r="AB866" s="215"/>
      <c r="AC866" s="380"/>
    </row>
    <row r="867" spans="1:29" ht="39.950000000000003" hidden="1" customHeight="1">
      <c r="A867" s="173">
        <v>864</v>
      </c>
      <c r="B867" s="332" t="s">
        <v>3608</v>
      </c>
      <c r="C867" s="333">
        <v>0.5229166666666667</v>
      </c>
      <c r="D867" s="173" t="s">
        <v>2772</v>
      </c>
      <c r="E867" s="174" t="s">
        <v>3609</v>
      </c>
      <c r="F867" s="173">
        <v>1</v>
      </c>
      <c r="G867" s="173"/>
      <c r="H867" s="332"/>
      <c r="I867" s="332"/>
      <c r="J867" s="332"/>
      <c r="K867" s="173" t="str">
        <f>IFERROR(VLOOKUP(J867,Jueces!$A$1:$B$11,2,FALSE),"")</f>
        <v/>
      </c>
      <c r="L867" s="173" t="s">
        <v>813</v>
      </c>
      <c r="M867" s="173"/>
      <c r="N867" s="173"/>
      <c r="O867" s="173" t="str">
        <f t="shared" ca="1" si="53"/>
        <v>LIMBO</v>
      </c>
      <c r="P867" s="173" t="str">
        <f t="shared" si="52"/>
        <v>DIANOSOL</v>
      </c>
      <c r="Q867" s="173" t="s">
        <v>951</v>
      </c>
      <c r="R867" s="173" t="str">
        <f>VLOOKUP($Q867,Resultados!$A$1:$B$49,2,FALSE)</f>
        <v xml:space="preserve"> _</v>
      </c>
      <c r="S867" s="173"/>
      <c r="T867" s="175" t="str">
        <f t="shared" si="54"/>
        <v>NO</v>
      </c>
      <c r="U867" s="175"/>
      <c r="V867" s="173"/>
      <c r="W867" s="173"/>
      <c r="X867" s="173"/>
      <c r="Y867" s="173"/>
      <c r="Z867" s="173"/>
      <c r="AA867" s="173"/>
      <c r="AB867" s="173"/>
      <c r="AC867" s="377"/>
    </row>
    <row r="868" spans="1:29" ht="39.950000000000003" hidden="1" customHeight="1">
      <c r="A868" s="173">
        <v>866</v>
      </c>
      <c r="B868" s="332">
        <v>45222</v>
      </c>
      <c r="C868" s="333">
        <v>0.53680555555555554</v>
      </c>
      <c r="D868" s="173" t="s">
        <v>3610</v>
      </c>
      <c r="E868" s="174" t="s">
        <v>3611</v>
      </c>
      <c r="F868" s="173">
        <v>2</v>
      </c>
      <c r="G868" s="173"/>
      <c r="H868" s="332"/>
      <c r="I868" s="332"/>
      <c r="J868" s="332"/>
      <c r="K868" s="173" t="str">
        <f>IFERROR(VLOOKUP(J868,Jueces!$A$1:$B$11,2,FALSE),"")</f>
        <v/>
      </c>
      <c r="L868" s="173" t="s">
        <v>798</v>
      </c>
      <c r="M868" s="173"/>
      <c r="N868" s="173"/>
      <c r="O868" s="173" t="str">
        <f t="shared" ca="1" si="53"/>
        <v>LIMBO</v>
      </c>
      <c r="P868" s="173" t="str">
        <f t="shared" si="52"/>
        <v>DIANOSOL</v>
      </c>
      <c r="Q868" s="173" t="s">
        <v>951</v>
      </c>
      <c r="R868" s="173" t="str">
        <f>VLOOKUP($Q868,Resultados!$A$1:$B$49,2,FALSE)</f>
        <v xml:space="preserve"> _</v>
      </c>
      <c r="S868" s="173"/>
      <c r="T868" s="175" t="str">
        <f t="shared" si="54"/>
        <v>NO</v>
      </c>
      <c r="U868" s="175"/>
      <c r="V868" s="173"/>
      <c r="W868" s="173"/>
      <c r="X868" s="173"/>
      <c r="Y868" s="173"/>
      <c r="Z868" s="173"/>
      <c r="AA868" s="173"/>
      <c r="AB868" s="173"/>
      <c r="AC868" s="377"/>
    </row>
    <row r="869" spans="1:29" ht="39.950000000000003" hidden="1" customHeight="1">
      <c r="A869" s="173">
        <v>869</v>
      </c>
      <c r="B869" s="332">
        <v>45224</v>
      </c>
      <c r="C869" s="333">
        <v>0.34027777777777773</v>
      </c>
      <c r="D869" s="173" t="s">
        <v>3629</v>
      </c>
      <c r="E869" s="174" t="s">
        <v>3630</v>
      </c>
      <c r="F869" s="173">
        <v>3</v>
      </c>
      <c r="G869" s="173"/>
      <c r="H869" s="332"/>
      <c r="I869" s="332"/>
      <c r="J869" s="332"/>
      <c r="K869" s="173" t="str">
        <f>IFERROR(VLOOKUP(J869,Jueces!$A$1:$B$11,2,FALSE),"")</f>
        <v/>
      </c>
      <c r="L869" s="173" t="s">
        <v>812</v>
      </c>
      <c r="M869" s="173"/>
      <c r="N869" s="173"/>
      <c r="O869" s="173" t="str">
        <f t="shared" ca="1" si="53"/>
        <v>LIMBO</v>
      </c>
      <c r="P869" s="173" t="str">
        <f t="shared" si="52"/>
        <v>DIANOSOL</v>
      </c>
      <c r="Q869" s="173" t="s">
        <v>951</v>
      </c>
      <c r="R869" s="173" t="str">
        <f>VLOOKUP($Q869,Resultados!$A$1:$B$49,2,FALSE)</f>
        <v xml:space="preserve"> _</v>
      </c>
      <c r="S869" s="173"/>
      <c r="T869" s="175" t="str">
        <f t="shared" si="54"/>
        <v>NO</v>
      </c>
      <c r="U869" s="175"/>
      <c r="V869" s="173"/>
      <c r="W869" s="173"/>
      <c r="X869" s="173"/>
      <c r="Y869" s="173"/>
      <c r="Z869" s="173"/>
      <c r="AA869" s="173"/>
      <c r="AB869" s="173"/>
      <c r="AC869" s="377"/>
    </row>
    <row r="870" spans="1:29" ht="39.950000000000003" hidden="1" customHeight="1">
      <c r="A870" s="173">
        <v>870</v>
      </c>
      <c r="B870" s="332">
        <v>45223</v>
      </c>
      <c r="C870" s="333">
        <v>0.33333333333333331</v>
      </c>
      <c r="D870" s="173" t="s">
        <v>3615</v>
      </c>
      <c r="E870" s="174" t="s">
        <v>3616</v>
      </c>
      <c r="F870" s="173">
        <v>2</v>
      </c>
      <c r="G870" s="173"/>
      <c r="H870" s="332"/>
      <c r="I870" s="332"/>
      <c r="J870" s="332"/>
      <c r="K870" s="173" t="str">
        <f>IFERROR(VLOOKUP(J870,Jueces!$A$1:$B$11,2,FALSE),"")</f>
        <v/>
      </c>
      <c r="L870" s="173" t="s">
        <v>791</v>
      </c>
      <c r="M870" s="173"/>
      <c r="N870" s="173"/>
      <c r="O870" s="173" t="str">
        <f t="shared" ca="1" si="53"/>
        <v>LIMBO</v>
      </c>
      <c r="P870" s="173" t="str">
        <f t="shared" si="52"/>
        <v>DIANOSOL</v>
      </c>
      <c r="Q870" s="173" t="s">
        <v>951</v>
      </c>
      <c r="R870" s="173" t="str">
        <f>VLOOKUP($Q870,Resultados!$A$1:$B$49,2,FALSE)</f>
        <v xml:space="preserve"> _</v>
      </c>
      <c r="S870" s="173"/>
      <c r="T870" s="175" t="str">
        <f t="shared" si="54"/>
        <v>NO</v>
      </c>
      <c r="U870" s="175"/>
      <c r="V870" s="173"/>
      <c r="W870" s="173"/>
      <c r="X870" s="173"/>
      <c r="Y870" s="173"/>
      <c r="Z870" s="173"/>
      <c r="AA870" s="173"/>
      <c r="AB870" s="173"/>
      <c r="AC870" s="377"/>
    </row>
    <row r="871" spans="1:29" ht="39.950000000000003" hidden="1" customHeight="1">
      <c r="A871" s="173">
        <v>870</v>
      </c>
      <c r="B871" s="332">
        <v>45224</v>
      </c>
      <c r="C871" s="333">
        <v>0.33333333333333331</v>
      </c>
      <c r="D871" s="173" t="s">
        <v>3631</v>
      </c>
      <c r="E871" s="174" t="s">
        <v>3632</v>
      </c>
      <c r="F871" s="173">
        <v>3</v>
      </c>
      <c r="G871" s="173"/>
      <c r="H871" s="332"/>
      <c r="I871" s="332"/>
      <c r="J871" s="332"/>
      <c r="K871" s="173" t="str">
        <f>IFERROR(VLOOKUP(J871,Jueces!$A$1:$B$11,2,FALSE),"")</f>
        <v/>
      </c>
      <c r="L871" s="173" t="s">
        <v>813</v>
      </c>
      <c r="M871" s="173"/>
      <c r="N871" s="173"/>
      <c r="O871" s="173" t="str">
        <f t="shared" ca="1" si="53"/>
        <v>LIMBO</v>
      </c>
      <c r="P871" s="173" t="str">
        <f t="shared" si="52"/>
        <v>DIANOSOL</v>
      </c>
      <c r="Q871" s="173" t="s">
        <v>951</v>
      </c>
      <c r="R871" s="173" t="str">
        <f>VLOOKUP($Q871,Resultados!$A$1:$B$49,2,FALSE)</f>
        <v xml:space="preserve"> _</v>
      </c>
      <c r="S871" s="173"/>
      <c r="T871" s="175" t="str">
        <f t="shared" si="54"/>
        <v>NO</v>
      </c>
      <c r="U871" s="175"/>
      <c r="V871" s="173"/>
      <c r="W871" s="173"/>
      <c r="X871" s="173"/>
      <c r="Y871" s="173"/>
      <c r="Z871" s="173"/>
      <c r="AA871" s="173"/>
      <c r="AB871" s="173"/>
      <c r="AC871" s="377"/>
    </row>
    <row r="872" spans="1:29" ht="39.950000000000003" hidden="1" customHeight="1">
      <c r="A872" s="173">
        <v>871</v>
      </c>
      <c r="B872" s="332">
        <v>45224</v>
      </c>
      <c r="C872" s="333">
        <v>0.34861111111111115</v>
      </c>
      <c r="D872" s="173" t="s">
        <v>3634</v>
      </c>
      <c r="E872" s="174" t="s">
        <v>3635</v>
      </c>
      <c r="F872" s="173">
        <v>2</v>
      </c>
      <c r="G872" s="173"/>
      <c r="H872" s="332"/>
      <c r="I872" s="332"/>
      <c r="J872" s="332"/>
      <c r="K872" s="173" t="str">
        <f>IFERROR(VLOOKUP(J872,Jueces!$A$1:$B$11,2,FALSE),"")</f>
        <v/>
      </c>
      <c r="L872" s="173" t="s">
        <v>1702</v>
      </c>
      <c r="M872" s="173"/>
      <c r="N872" s="173"/>
      <c r="O872" s="173" t="str">
        <f t="shared" ca="1" si="53"/>
        <v>LIMBO</v>
      </c>
      <c r="P872" s="173" t="str">
        <f t="shared" si="52"/>
        <v>DIANOSOL</v>
      </c>
      <c r="Q872" s="173" t="s">
        <v>951</v>
      </c>
      <c r="R872" s="173" t="str">
        <f>VLOOKUP($Q872,Resultados!$A$1:$B$49,2,FALSE)</f>
        <v xml:space="preserve"> _</v>
      </c>
      <c r="S872" s="173"/>
      <c r="T872" s="175" t="str">
        <f t="shared" si="54"/>
        <v>NO</v>
      </c>
      <c r="U872" s="175"/>
      <c r="V872" s="173"/>
      <c r="W872" s="173"/>
      <c r="X872" s="173"/>
      <c r="Y872" s="173"/>
      <c r="Z872" s="173"/>
      <c r="AA872" s="173"/>
      <c r="AB872" s="173"/>
      <c r="AC872" s="377"/>
    </row>
    <row r="873" spans="1:29" ht="39.950000000000003" hidden="1" customHeight="1">
      <c r="A873" s="173">
        <v>872</v>
      </c>
      <c r="B873" s="332">
        <v>45223</v>
      </c>
      <c r="C873" s="333">
        <v>0.49513888888888885</v>
      </c>
      <c r="D873" s="173" t="s">
        <v>3623</v>
      </c>
      <c r="E873" s="174" t="s">
        <v>3624</v>
      </c>
      <c r="F873" s="173">
        <v>3</v>
      </c>
      <c r="G873" s="173"/>
      <c r="H873" s="332"/>
      <c r="I873" s="332"/>
      <c r="J873" s="332"/>
      <c r="K873" s="173" t="str">
        <f>IFERROR(VLOOKUP(J873,Jueces!$A$1:$B$11,2,FALSE),"")</f>
        <v/>
      </c>
      <c r="L873" s="173" t="s">
        <v>799</v>
      </c>
      <c r="M873" s="173"/>
      <c r="N873" s="173"/>
      <c r="O873" s="173" t="str">
        <f t="shared" ca="1" si="53"/>
        <v>LIMBO</v>
      </c>
      <c r="P873" s="173" t="str">
        <f t="shared" si="52"/>
        <v>DIANOSOL</v>
      </c>
      <c r="Q873" s="173" t="s">
        <v>951</v>
      </c>
      <c r="R873" s="173" t="str">
        <f>VLOOKUP($Q873,Resultados!$A$1:$B$49,2,FALSE)</f>
        <v xml:space="preserve"> _</v>
      </c>
      <c r="S873" s="173"/>
      <c r="T873" s="175" t="str">
        <f t="shared" si="54"/>
        <v>NO</v>
      </c>
      <c r="U873" s="175"/>
      <c r="V873" s="173"/>
      <c r="W873" s="173"/>
      <c r="X873" s="173"/>
      <c r="Y873" s="173"/>
      <c r="Z873" s="173"/>
      <c r="AA873" s="173"/>
      <c r="AB873" s="173"/>
      <c r="AC873" s="377"/>
    </row>
    <row r="874" spans="1:29" ht="39.950000000000003" hidden="1" customHeight="1">
      <c r="A874" s="173">
        <v>872</v>
      </c>
      <c r="B874" s="332">
        <v>45224</v>
      </c>
      <c r="C874" s="333">
        <v>0.43958333333333338</v>
      </c>
      <c r="D874" s="173" t="s">
        <v>3639</v>
      </c>
      <c r="E874" s="174" t="s">
        <v>3640</v>
      </c>
      <c r="F874" s="173">
        <v>3</v>
      </c>
      <c r="G874" s="173"/>
      <c r="H874" s="332"/>
      <c r="I874" s="332"/>
      <c r="J874" s="332"/>
      <c r="K874" s="173" t="str">
        <f>IFERROR(VLOOKUP(J874,Jueces!$A$1:$B$11,2,FALSE),"")</f>
        <v/>
      </c>
      <c r="L874" s="173" t="s">
        <v>809</v>
      </c>
      <c r="M874" s="173"/>
      <c r="N874" s="173"/>
      <c r="O874" s="173" t="str">
        <f t="shared" ca="1" si="53"/>
        <v>LIMBO</v>
      </c>
      <c r="P874" s="173" t="str">
        <f t="shared" si="52"/>
        <v>DIANOSOL</v>
      </c>
      <c r="Q874" s="173" t="s">
        <v>951</v>
      </c>
      <c r="R874" s="173" t="str">
        <f>VLOOKUP($Q874,Resultados!$A$1:$B$49,2,FALSE)</f>
        <v xml:space="preserve"> _</v>
      </c>
      <c r="S874" s="173"/>
      <c r="T874" s="175" t="str">
        <f t="shared" si="54"/>
        <v>NO</v>
      </c>
      <c r="U874" s="175"/>
      <c r="V874" s="173"/>
      <c r="W874" s="173"/>
      <c r="X874" s="173"/>
      <c r="Y874" s="173"/>
      <c r="Z874" s="173"/>
      <c r="AA874" s="173"/>
      <c r="AB874" s="173"/>
      <c r="AC874" s="377"/>
    </row>
    <row r="875" spans="1:29" ht="39.950000000000003" hidden="1" customHeight="1">
      <c r="A875" s="173">
        <v>873</v>
      </c>
      <c r="B875" s="332">
        <v>45224</v>
      </c>
      <c r="C875" s="333">
        <v>0.43194444444444446</v>
      </c>
      <c r="D875" s="173" t="s">
        <v>3641</v>
      </c>
      <c r="E875" s="174" t="s">
        <v>3642</v>
      </c>
      <c r="F875" s="173">
        <v>2</v>
      </c>
      <c r="G875" s="173"/>
      <c r="H875" s="332"/>
      <c r="I875" s="332"/>
      <c r="J875" s="332"/>
      <c r="K875" s="173" t="str">
        <f>IFERROR(VLOOKUP(J875,Jueces!$A$1:$B$11,2,FALSE),"")</f>
        <v/>
      </c>
      <c r="L875" s="173" t="s">
        <v>802</v>
      </c>
      <c r="M875" s="173"/>
      <c r="N875" s="173"/>
      <c r="O875" s="173" t="str">
        <f t="shared" ca="1" si="53"/>
        <v>LIMBO</v>
      </c>
      <c r="P875" s="173" t="str">
        <f t="shared" si="52"/>
        <v>DIANOSOL</v>
      </c>
      <c r="Q875" s="173" t="s">
        <v>951</v>
      </c>
      <c r="R875" s="173" t="str">
        <f>VLOOKUP($Q875,Resultados!$A$1:$B$49,2,FALSE)</f>
        <v xml:space="preserve"> _</v>
      </c>
      <c r="S875" s="173"/>
      <c r="T875" s="175" t="str">
        <f t="shared" si="54"/>
        <v>NO</v>
      </c>
      <c r="U875" s="175"/>
      <c r="V875" s="173"/>
      <c r="W875" s="173"/>
      <c r="X875" s="173"/>
      <c r="Y875" s="173"/>
      <c r="Z875" s="173"/>
      <c r="AA875" s="173"/>
      <c r="AB875" s="173"/>
      <c r="AC875" s="377"/>
    </row>
    <row r="876" spans="1:29" ht="39.950000000000003" hidden="1" customHeight="1">
      <c r="A876" s="173">
        <v>874</v>
      </c>
      <c r="B876" s="332">
        <v>45224</v>
      </c>
      <c r="C876" s="333">
        <v>0.43124999999999997</v>
      </c>
      <c r="D876" s="173" t="s">
        <v>3643</v>
      </c>
      <c r="E876" s="174" t="s">
        <v>3644</v>
      </c>
      <c r="F876" s="173">
        <v>2</v>
      </c>
      <c r="G876" s="173"/>
      <c r="H876" s="332"/>
      <c r="I876" s="332"/>
      <c r="J876" s="332"/>
      <c r="K876" s="173" t="str">
        <f>IFERROR(VLOOKUP(J876,Jueces!$A$1:$B$11,2,FALSE),"")</f>
        <v/>
      </c>
      <c r="L876" s="173" t="s">
        <v>2091</v>
      </c>
      <c r="M876" s="173"/>
      <c r="N876" s="173"/>
      <c r="O876" s="173" t="str">
        <f t="shared" ca="1" si="53"/>
        <v>LIMBO</v>
      </c>
      <c r="P876" s="173" t="str">
        <f t="shared" si="52"/>
        <v>DIANOSOL</v>
      </c>
      <c r="Q876" s="173" t="s">
        <v>951</v>
      </c>
      <c r="R876" s="173" t="str">
        <f>VLOOKUP($Q876,Resultados!$A$1:$B$49,2,FALSE)</f>
        <v xml:space="preserve"> _</v>
      </c>
      <c r="S876" s="173"/>
      <c r="T876" s="175" t="str">
        <f t="shared" si="54"/>
        <v>NO</v>
      </c>
      <c r="U876" s="175"/>
      <c r="V876" s="173"/>
      <c r="W876" s="173"/>
      <c r="X876" s="173"/>
      <c r="Y876" s="173"/>
      <c r="Z876" s="173"/>
      <c r="AA876" s="173"/>
      <c r="AB876" s="173"/>
      <c r="AC876" s="377"/>
    </row>
    <row r="877" spans="1:29" ht="39.950000000000003" hidden="1" customHeight="1">
      <c r="A877" s="383">
        <v>875</v>
      </c>
      <c r="B877" s="384">
        <v>45224</v>
      </c>
      <c r="C877" s="385">
        <v>0.49444444444444446</v>
      </c>
      <c r="D877" s="383" t="s">
        <v>3646</v>
      </c>
      <c r="E877" s="386" t="s">
        <v>3647</v>
      </c>
      <c r="F877" s="383">
        <v>2</v>
      </c>
      <c r="G877" s="383"/>
      <c r="H877" s="384"/>
      <c r="I877" s="384"/>
      <c r="J877" s="384"/>
      <c r="K877" s="383" t="str">
        <f>IFERROR(VLOOKUP(J877,Jueces!$A$1:$B$11,2,FALSE),"")</f>
        <v/>
      </c>
      <c r="L877" s="383" t="s">
        <v>800</v>
      </c>
      <c r="M877" s="383" t="s">
        <v>2004</v>
      </c>
      <c r="N877" s="383"/>
      <c r="O877" s="383" t="str">
        <f t="shared" ca="1" si="53"/>
        <v>LIMBO</v>
      </c>
      <c r="P877" s="383" t="str">
        <f t="shared" si="52"/>
        <v>DIANOSOL</v>
      </c>
      <c r="Q877" s="383" t="s">
        <v>951</v>
      </c>
      <c r="R877" s="383" t="str">
        <f>VLOOKUP($Q877,Resultados!$A$1:$B$49,2,FALSE)</f>
        <v xml:space="preserve"> _</v>
      </c>
      <c r="S877" s="383"/>
      <c r="T877" s="387" t="str">
        <f t="shared" si="54"/>
        <v>NO</v>
      </c>
      <c r="U877" s="387"/>
      <c r="V877" s="383"/>
      <c r="W877" s="383"/>
      <c r="X877" s="383"/>
      <c r="Y877" s="383"/>
      <c r="Z877" s="383"/>
      <c r="AA877" s="383"/>
      <c r="AB877" s="383"/>
      <c r="AC877" s="388"/>
    </row>
    <row r="878" spans="1:29">
      <c r="A878" s="3"/>
      <c r="B878" s="334"/>
      <c r="C878" s="3"/>
      <c r="D878" s="3"/>
      <c r="E878" s="17"/>
      <c r="F878" s="3"/>
      <c r="G878" s="3"/>
      <c r="H878" s="334"/>
      <c r="I878" s="334"/>
      <c r="J878" s="334"/>
      <c r="K878" s="3"/>
      <c r="L878" s="3"/>
      <c r="M878" s="3"/>
      <c r="N878" s="3"/>
      <c r="V878" s="3"/>
      <c r="W878" s="3"/>
      <c r="X878" s="3"/>
      <c r="Y878" s="3"/>
      <c r="Z878" s="3"/>
      <c r="AA878" s="3"/>
      <c r="AB878" s="3"/>
    </row>
    <row r="879" spans="1:29">
      <c r="A879" s="3"/>
      <c r="B879" s="334"/>
      <c r="C879" s="3"/>
      <c r="D879" s="3"/>
      <c r="E879" s="17"/>
      <c r="F879" s="3"/>
      <c r="G879" s="3"/>
      <c r="H879" s="334"/>
      <c r="I879" s="334"/>
      <c r="J879" s="334"/>
      <c r="K879" s="3"/>
      <c r="L879" s="3"/>
      <c r="M879" s="3"/>
      <c r="N879" s="3"/>
      <c r="V879" s="3"/>
      <c r="W879" s="3"/>
      <c r="X879" s="3"/>
      <c r="Y879" s="3"/>
      <c r="Z879" s="3"/>
      <c r="AA879" s="3"/>
      <c r="AB879" s="3"/>
    </row>
    <row r="880" spans="1:29">
      <c r="A880" s="3"/>
      <c r="B880" s="334"/>
      <c r="C880" s="3"/>
      <c r="D880" s="3"/>
      <c r="E880" s="17"/>
      <c r="F880" s="3"/>
      <c r="G880" s="3"/>
      <c r="H880" s="334"/>
      <c r="I880" s="334"/>
      <c r="J880" s="334"/>
      <c r="K880" s="3"/>
      <c r="L880" s="3"/>
      <c r="M880" s="3"/>
      <c r="N880" s="3"/>
      <c r="V880" s="3"/>
      <c r="W880" s="3"/>
      <c r="X880" s="3"/>
      <c r="Y880" s="3"/>
      <c r="Z880" s="3"/>
      <c r="AA880" s="3"/>
      <c r="AB880" s="3"/>
    </row>
    <row r="881" spans="1:28">
      <c r="A881" s="3"/>
      <c r="B881" s="334"/>
      <c r="C881" s="3"/>
      <c r="D881" s="3"/>
      <c r="E881" s="17"/>
      <c r="F881" s="3"/>
      <c r="G881" s="3"/>
      <c r="H881" s="334"/>
      <c r="I881" s="334"/>
      <c r="J881" s="334"/>
      <c r="K881" s="3"/>
      <c r="L881" s="3"/>
      <c r="M881" s="3"/>
      <c r="N881" s="3"/>
      <c r="V881" s="3"/>
      <c r="W881" s="3"/>
      <c r="X881" s="3"/>
      <c r="Y881" s="3"/>
      <c r="Z881" s="3"/>
      <c r="AA881" s="3"/>
      <c r="AB881" s="3"/>
    </row>
    <row r="882" spans="1:28">
      <c r="A882" s="3"/>
      <c r="B882" s="334"/>
      <c r="C882" s="3"/>
      <c r="D882" s="3"/>
      <c r="E882" s="17"/>
      <c r="F882" s="3"/>
      <c r="G882" s="3"/>
      <c r="H882" s="334"/>
      <c r="I882" s="334"/>
      <c r="J882" s="334"/>
      <c r="K882" s="3"/>
      <c r="L882" s="3"/>
      <c r="M882" s="3"/>
      <c r="N882" s="3"/>
      <c r="V882" s="3"/>
      <c r="W882" s="3"/>
      <c r="X882" s="3"/>
      <c r="Y882" s="3"/>
      <c r="Z882" s="3"/>
      <c r="AA882" s="3"/>
      <c r="AB882" s="3"/>
    </row>
    <row r="883" spans="1:28">
      <c r="A883" s="3"/>
      <c r="B883" s="334"/>
      <c r="C883" s="3"/>
      <c r="D883" s="3"/>
      <c r="E883" s="17"/>
      <c r="F883" s="3"/>
      <c r="G883" s="3"/>
      <c r="H883" s="334"/>
      <c r="I883" s="334"/>
      <c r="J883" s="334"/>
      <c r="K883" s="3"/>
      <c r="L883" s="3"/>
      <c r="M883" s="3"/>
      <c r="N883" s="3"/>
      <c r="V883" s="3"/>
      <c r="W883" s="3"/>
      <c r="X883" s="3"/>
      <c r="Y883" s="3"/>
      <c r="Z883" s="3"/>
      <c r="AA883" s="3"/>
      <c r="AB883" s="3"/>
    </row>
    <row r="884" spans="1:28">
      <c r="A884" s="3"/>
      <c r="B884" s="334"/>
      <c r="C884" s="3"/>
      <c r="D884" s="3"/>
      <c r="E884" s="17"/>
      <c r="F884" s="3"/>
      <c r="G884" s="3"/>
      <c r="H884" s="334"/>
      <c r="I884" s="334"/>
      <c r="J884" s="334"/>
      <c r="K884" s="3"/>
      <c r="L884" s="3"/>
      <c r="M884" s="3"/>
      <c r="N884" s="3"/>
      <c r="V884" s="3"/>
      <c r="W884" s="3"/>
      <c r="X884" s="3"/>
      <c r="Y884" s="3"/>
      <c r="Z884" s="3"/>
      <c r="AA884" s="3"/>
      <c r="AB884" s="3"/>
    </row>
    <row r="885" spans="1:28">
      <c r="A885" s="3"/>
      <c r="B885" s="334"/>
      <c r="C885" s="3"/>
      <c r="D885" s="3"/>
      <c r="E885" s="17"/>
      <c r="F885" s="3"/>
      <c r="G885" s="3"/>
      <c r="H885" s="334"/>
      <c r="I885" s="334"/>
      <c r="J885" s="334"/>
      <c r="K885" s="3"/>
      <c r="L885" s="3"/>
      <c r="M885" s="3"/>
      <c r="N885" s="3"/>
      <c r="V885" s="3"/>
      <c r="W885" s="3"/>
      <c r="X885" s="3"/>
      <c r="Y885" s="3"/>
      <c r="Z885" s="3"/>
      <c r="AA885" s="3"/>
      <c r="AB885" s="3"/>
    </row>
    <row r="886" spans="1:28">
      <c r="A886" s="3"/>
      <c r="B886" s="334"/>
      <c r="C886" s="3"/>
      <c r="D886" s="3"/>
      <c r="E886" s="17"/>
      <c r="F886" s="3"/>
      <c r="G886" s="3"/>
      <c r="H886" s="334"/>
      <c r="I886" s="334"/>
      <c r="J886" s="334"/>
      <c r="K886" s="3"/>
      <c r="L886" s="3"/>
      <c r="M886" s="3"/>
      <c r="N886" s="3"/>
      <c r="V886" s="3"/>
      <c r="W886" s="3"/>
      <c r="X886" s="3"/>
      <c r="Y886" s="3"/>
      <c r="Z886" s="3"/>
      <c r="AA886" s="3"/>
      <c r="AB886" s="3"/>
    </row>
    <row r="887" spans="1:28">
      <c r="A887" s="3"/>
      <c r="B887" s="334"/>
      <c r="C887" s="3"/>
      <c r="D887" s="3"/>
      <c r="E887" s="17"/>
      <c r="F887" s="3"/>
      <c r="G887" s="3"/>
      <c r="H887" s="334"/>
      <c r="I887" s="334"/>
      <c r="J887" s="334"/>
      <c r="K887" s="3"/>
      <c r="L887" s="3"/>
      <c r="M887" s="3"/>
      <c r="N887" s="3"/>
      <c r="V887" s="3"/>
      <c r="W887" s="3"/>
      <c r="X887" s="3"/>
      <c r="Y887" s="3"/>
      <c r="Z887" s="3"/>
      <c r="AA887" s="3"/>
      <c r="AB887" s="3"/>
    </row>
    <row r="888" spans="1:28">
      <c r="A888" s="3"/>
      <c r="B888" s="334"/>
      <c r="C888" s="3"/>
      <c r="D888" s="3"/>
      <c r="E888" s="17"/>
      <c r="F888" s="3"/>
      <c r="G888" s="3"/>
      <c r="H888" s="334"/>
      <c r="I888" s="334"/>
      <c r="J888" s="334"/>
      <c r="K888" s="3"/>
      <c r="L888" s="3"/>
      <c r="M888" s="3"/>
      <c r="N888" s="3"/>
      <c r="V888" s="3"/>
      <c r="W888" s="3"/>
      <c r="X888" s="3"/>
      <c r="Y888" s="3"/>
      <c r="Z888" s="3"/>
      <c r="AA888" s="3"/>
      <c r="AB888" s="3"/>
    </row>
    <row r="889" spans="1:28">
      <c r="A889" s="3"/>
      <c r="B889" s="334"/>
      <c r="C889" s="3"/>
      <c r="D889" s="3"/>
      <c r="E889" s="17"/>
      <c r="F889" s="3"/>
      <c r="G889" s="3"/>
      <c r="H889" s="334"/>
      <c r="I889" s="334"/>
      <c r="J889" s="334"/>
      <c r="K889" s="3"/>
      <c r="L889" s="3"/>
      <c r="M889" s="3"/>
      <c r="N889" s="3"/>
      <c r="V889" s="3"/>
      <c r="W889" s="3"/>
      <c r="X889" s="3"/>
      <c r="Y889" s="3"/>
      <c r="Z889" s="3"/>
      <c r="AA889" s="3"/>
      <c r="AB889" s="3"/>
    </row>
    <row r="890" spans="1:28">
      <c r="A890" s="3"/>
      <c r="B890" s="334"/>
      <c r="C890" s="3"/>
      <c r="D890" s="3"/>
      <c r="E890" s="17"/>
      <c r="F890" s="3"/>
      <c r="G890" s="3"/>
      <c r="H890" s="334"/>
      <c r="I890" s="334"/>
      <c r="J890" s="334"/>
      <c r="K890" s="3"/>
      <c r="L890" s="3"/>
      <c r="M890" s="3"/>
      <c r="N890" s="3"/>
      <c r="V890" s="3"/>
      <c r="W890" s="3"/>
      <c r="X890" s="3"/>
      <c r="Y890" s="3"/>
      <c r="Z890" s="3"/>
      <c r="AA890" s="3"/>
      <c r="AB890" s="3"/>
    </row>
    <row r="891" spans="1:28">
      <c r="A891" s="3"/>
      <c r="B891" s="334"/>
      <c r="C891" s="3"/>
      <c r="D891" s="3"/>
      <c r="E891" s="17"/>
      <c r="F891" s="3"/>
      <c r="G891" s="3"/>
      <c r="H891" s="334"/>
      <c r="I891" s="334"/>
      <c r="J891" s="334"/>
      <c r="K891" s="3"/>
      <c r="L891" s="3"/>
      <c r="M891" s="3"/>
      <c r="N891" s="3"/>
      <c r="V891" s="3"/>
      <c r="W891" s="3"/>
      <c r="X891" s="3"/>
      <c r="Y891" s="3"/>
      <c r="Z891" s="3"/>
      <c r="AA891" s="3"/>
      <c r="AB891" s="3"/>
    </row>
    <row r="892" spans="1:28">
      <c r="A892" s="3"/>
      <c r="B892" s="334"/>
      <c r="C892" s="3"/>
      <c r="D892" s="3"/>
      <c r="E892" s="17"/>
      <c r="F892" s="3"/>
      <c r="G892" s="3"/>
      <c r="H892" s="334"/>
      <c r="I892" s="334"/>
      <c r="J892" s="334"/>
      <c r="K892" s="3"/>
      <c r="L892" s="3"/>
      <c r="M892" s="3"/>
      <c r="N892" s="3"/>
      <c r="V892" s="3"/>
      <c r="W892" s="3"/>
      <c r="X892" s="3"/>
      <c r="Y892" s="3"/>
      <c r="Z892" s="3"/>
      <c r="AA892" s="3"/>
      <c r="AB892" s="3"/>
    </row>
    <row r="893" spans="1:28">
      <c r="A893" s="3"/>
      <c r="B893" s="334"/>
      <c r="C893" s="3"/>
      <c r="D893" s="3"/>
      <c r="E893" s="17"/>
      <c r="F893" s="3"/>
      <c r="G893" s="3"/>
      <c r="H893" s="334"/>
      <c r="I893" s="334"/>
      <c r="J893" s="334"/>
      <c r="K893" s="3"/>
      <c r="L893" s="3"/>
      <c r="M893" s="3"/>
      <c r="N893" s="3"/>
      <c r="V893" s="3"/>
      <c r="W893" s="3"/>
      <c r="X893" s="3"/>
      <c r="Y893" s="3"/>
      <c r="Z893" s="3"/>
      <c r="AA893" s="3"/>
      <c r="AB893" s="3"/>
    </row>
    <row r="894" spans="1:28">
      <c r="A894" s="3"/>
      <c r="B894" s="334"/>
      <c r="C894" s="3"/>
      <c r="D894" s="3"/>
      <c r="E894" s="17"/>
      <c r="F894" s="3"/>
      <c r="G894" s="3"/>
      <c r="H894" s="334"/>
      <c r="I894" s="334"/>
      <c r="J894" s="334"/>
      <c r="K894" s="3"/>
      <c r="L894" s="3"/>
      <c r="M894" s="3"/>
      <c r="N894" s="3"/>
      <c r="V894" s="3"/>
      <c r="W894" s="3"/>
      <c r="X894" s="3"/>
      <c r="Y894" s="3"/>
      <c r="Z894" s="3"/>
      <c r="AA894" s="3"/>
      <c r="AB894" s="3"/>
    </row>
    <row r="895" spans="1:28">
      <c r="A895" s="3"/>
      <c r="B895" s="334"/>
      <c r="C895" s="3"/>
      <c r="D895" s="3"/>
      <c r="E895" s="17"/>
      <c r="F895" s="3"/>
      <c r="G895" s="3"/>
      <c r="H895" s="334"/>
      <c r="I895" s="334"/>
      <c r="J895" s="334"/>
      <c r="K895" s="3"/>
      <c r="L895" s="3"/>
      <c r="M895" s="3"/>
      <c r="N895" s="3"/>
      <c r="V895" s="3"/>
      <c r="W895" s="3"/>
      <c r="X895" s="3"/>
      <c r="Y895" s="3"/>
      <c r="Z895" s="3"/>
      <c r="AA895" s="3"/>
      <c r="AB895" s="3"/>
    </row>
    <row r="896" spans="1:28">
      <c r="A896" s="3"/>
      <c r="B896" s="334"/>
      <c r="C896" s="3"/>
      <c r="D896" s="3"/>
      <c r="E896" s="17"/>
      <c r="F896" s="3"/>
      <c r="G896" s="3"/>
      <c r="H896" s="334"/>
      <c r="I896" s="334"/>
      <c r="J896" s="334"/>
      <c r="K896" s="3"/>
      <c r="L896" s="3"/>
      <c r="M896" s="3"/>
      <c r="N896" s="3"/>
      <c r="V896" s="3"/>
      <c r="W896" s="3"/>
      <c r="X896" s="3"/>
      <c r="Y896" s="3"/>
      <c r="Z896" s="3"/>
      <c r="AA896" s="3"/>
      <c r="AB896" s="3"/>
    </row>
    <row r="897" spans="1:28">
      <c r="A897" s="3"/>
      <c r="B897" s="334"/>
      <c r="C897" s="3"/>
      <c r="D897" s="3"/>
      <c r="E897" s="17"/>
      <c r="F897" s="3"/>
      <c r="G897" s="3"/>
      <c r="H897" s="334"/>
      <c r="I897" s="334"/>
      <c r="J897" s="334"/>
      <c r="K897" s="3"/>
      <c r="L897" s="3"/>
      <c r="M897" s="3"/>
      <c r="N897" s="3"/>
      <c r="V897" s="3"/>
      <c r="W897" s="3"/>
      <c r="X897" s="3"/>
      <c r="Y897" s="3"/>
      <c r="Z897" s="3"/>
      <c r="AA897" s="3"/>
      <c r="AB897" s="3"/>
    </row>
    <row r="898" spans="1:28">
      <c r="A898" s="3"/>
      <c r="B898" s="334"/>
      <c r="C898" s="3"/>
      <c r="D898" s="3"/>
      <c r="E898" s="17"/>
      <c r="F898" s="3"/>
      <c r="G898" s="3"/>
      <c r="H898" s="334"/>
      <c r="I898" s="334"/>
      <c r="J898" s="334"/>
      <c r="K898" s="3"/>
      <c r="L898" s="3"/>
      <c r="M898" s="3"/>
      <c r="N898" s="3"/>
      <c r="V898" s="3"/>
      <c r="W898" s="3"/>
      <c r="X898" s="3"/>
      <c r="Y898" s="3"/>
      <c r="Z898" s="3"/>
      <c r="AA898" s="3"/>
      <c r="AB898" s="3"/>
    </row>
    <row r="899" spans="1:28">
      <c r="A899" s="3"/>
      <c r="B899" s="334"/>
      <c r="C899" s="3"/>
      <c r="D899" s="3"/>
      <c r="E899" s="17"/>
      <c r="F899" s="3"/>
      <c r="G899" s="3"/>
      <c r="H899" s="334"/>
      <c r="I899" s="334"/>
      <c r="J899" s="334"/>
      <c r="K899" s="3"/>
      <c r="L899" s="3"/>
      <c r="M899" s="3"/>
      <c r="N899" s="3"/>
      <c r="V899" s="3"/>
      <c r="W899" s="3"/>
      <c r="X899" s="3"/>
      <c r="Y899" s="3"/>
      <c r="Z899" s="3"/>
      <c r="AA899" s="3"/>
      <c r="AB899" s="3"/>
    </row>
    <row r="900" spans="1:28">
      <c r="A900" s="3"/>
      <c r="B900" s="334"/>
      <c r="C900" s="3"/>
      <c r="D900" s="3"/>
      <c r="E900" s="17"/>
      <c r="F900" s="3"/>
      <c r="G900" s="3"/>
      <c r="H900" s="334"/>
      <c r="I900" s="334"/>
      <c r="J900" s="334"/>
      <c r="K900" s="3"/>
      <c r="L900" s="3"/>
      <c r="M900" s="3"/>
      <c r="N900" s="3"/>
      <c r="V900" s="3"/>
      <c r="W900" s="3"/>
      <c r="X900" s="3"/>
      <c r="Y900" s="3"/>
      <c r="Z900" s="3"/>
      <c r="AA900" s="3"/>
      <c r="AB900" s="3"/>
    </row>
    <row r="901" spans="1:28">
      <c r="A901" s="3"/>
      <c r="B901" s="334"/>
      <c r="C901" s="3"/>
      <c r="D901" s="3"/>
      <c r="E901" s="17"/>
      <c r="F901" s="3"/>
      <c r="G901" s="3"/>
      <c r="H901" s="334"/>
      <c r="I901" s="334"/>
      <c r="J901" s="334"/>
      <c r="K901" s="3"/>
      <c r="L901" s="3"/>
      <c r="M901" s="3"/>
      <c r="N901" s="3"/>
      <c r="V901" s="3"/>
      <c r="W901" s="3"/>
      <c r="X901" s="3"/>
      <c r="Y901" s="3"/>
      <c r="Z901" s="3"/>
      <c r="AA901" s="3"/>
      <c r="AB901" s="3"/>
    </row>
    <row r="902" spans="1:28">
      <c r="A902" s="3"/>
      <c r="B902" s="334"/>
      <c r="C902" s="3"/>
      <c r="D902" s="3"/>
      <c r="E902" s="17"/>
      <c r="F902" s="3"/>
      <c r="G902" s="3"/>
      <c r="H902" s="334"/>
      <c r="I902" s="334"/>
      <c r="J902" s="334"/>
      <c r="K902" s="3"/>
      <c r="L902" s="3"/>
      <c r="M902" s="3"/>
      <c r="N902" s="3"/>
      <c r="V902" s="3"/>
      <c r="W902" s="3"/>
      <c r="X902" s="3"/>
      <c r="Y902" s="3"/>
      <c r="Z902" s="3"/>
      <c r="AA902" s="3"/>
      <c r="AB902" s="3"/>
    </row>
    <row r="903" spans="1:28">
      <c r="A903" s="3"/>
      <c r="B903" s="334"/>
      <c r="C903" s="3"/>
      <c r="D903" s="3"/>
      <c r="E903" s="17"/>
      <c r="F903" s="3"/>
      <c r="G903" s="3"/>
      <c r="H903" s="334"/>
      <c r="I903" s="334"/>
      <c r="J903" s="334"/>
      <c r="K903" s="3"/>
      <c r="L903" s="3"/>
      <c r="M903" s="3"/>
      <c r="N903" s="3"/>
      <c r="V903" s="3"/>
      <c r="W903" s="3"/>
      <c r="X903" s="3"/>
      <c r="Y903" s="3"/>
      <c r="Z903" s="3"/>
      <c r="AA903" s="3"/>
      <c r="AB903" s="3"/>
    </row>
    <row r="904" spans="1:28">
      <c r="A904" s="3"/>
      <c r="B904" s="334"/>
      <c r="C904" s="3"/>
      <c r="D904" s="3"/>
      <c r="E904" s="17"/>
      <c r="F904" s="3"/>
      <c r="G904" s="3"/>
      <c r="H904" s="334"/>
      <c r="I904" s="334"/>
      <c r="J904" s="334"/>
      <c r="K904" s="3"/>
      <c r="L904" s="3"/>
      <c r="M904" s="3"/>
      <c r="N904" s="3"/>
      <c r="V904" s="3"/>
      <c r="W904" s="3"/>
      <c r="X904" s="3"/>
      <c r="Y904" s="3"/>
      <c r="Z904" s="3"/>
      <c r="AA904" s="3"/>
      <c r="AB904" s="3"/>
    </row>
    <row r="905" spans="1:28">
      <c r="A905" s="3"/>
      <c r="B905" s="334"/>
      <c r="C905" s="3"/>
      <c r="D905" s="3"/>
      <c r="E905" s="17"/>
      <c r="F905" s="3"/>
      <c r="G905" s="3"/>
      <c r="H905" s="334"/>
      <c r="I905" s="334"/>
      <c r="J905" s="334"/>
      <c r="K905" s="3"/>
      <c r="L905" s="3"/>
      <c r="M905" s="3"/>
      <c r="N905" s="3"/>
      <c r="V905" s="3"/>
      <c r="W905" s="3"/>
      <c r="X905" s="3"/>
      <c r="Y905" s="3"/>
      <c r="Z905" s="3"/>
      <c r="AA905" s="3"/>
      <c r="AB905" s="3"/>
    </row>
    <row r="906" spans="1:28">
      <c r="A906" s="3"/>
      <c r="B906" s="334"/>
      <c r="C906" s="3"/>
      <c r="D906" s="3"/>
      <c r="E906" s="17"/>
      <c r="F906" s="3"/>
      <c r="G906" s="3"/>
      <c r="H906" s="334"/>
      <c r="I906" s="334"/>
      <c r="J906" s="334"/>
      <c r="K906" s="3"/>
      <c r="L906" s="3"/>
      <c r="M906" s="3"/>
      <c r="N906" s="3"/>
      <c r="V906" s="3"/>
      <c r="W906" s="3"/>
      <c r="X906" s="3"/>
      <c r="Y906" s="3"/>
      <c r="Z906" s="3"/>
      <c r="AA906" s="3"/>
      <c r="AB906" s="3"/>
    </row>
    <row r="907" spans="1:28">
      <c r="A907" s="3"/>
      <c r="B907" s="334"/>
      <c r="C907" s="3"/>
      <c r="D907" s="3"/>
      <c r="E907" s="17"/>
      <c r="F907" s="3"/>
      <c r="G907" s="3"/>
      <c r="H907" s="334"/>
      <c r="I907" s="334"/>
      <c r="J907" s="334"/>
      <c r="K907" s="3"/>
      <c r="L907" s="3"/>
      <c r="M907" s="3"/>
      <c r="N907" s="3"/>
      <c r="V907" s="3"/>
      <c r="W907" s="3"/>
      <c r="X907" s="3"/>
      <c r="Y907" s="3"/>
      <c r="Z907" s="3"/>
      <c r="AA907" s="3"/>
      <c r="AB907" s="3"/>
    </row>
    <row r="908" spans="1:28">
      <c r="A908" s="3"/>
      <c r="B908" s="334"/>
      <c r="C908" s="3"/>
      <c r="D908" s="3"/>
      <c r="E908" s="17"/>
      <c r="F908" s="3"/>
      <c r="G908" s="3"/>
      <c r="H908" s="334"/>
      <c r="I908" s="334"/>
      <c r="J908" s="334"/>
      <c r="K908" s="3"/>
      <c r="L908" s="3"/>
      <c r="M908" s="3"/>
      <c r="N908" s="3"/>
      <c r="V908" s="3"/>
      <c r="W908" s="3"/>
      <c r="X908" s="3"/>
      <c r="Y908" s="3"/>
      <c r="Z908" s="3"/>
      <c r="AA908" s="3"/>
      <c r="AB908" s="3"/>
    </row>
    <row r="909" spans="1:28">
      <c r="A909" s="3"/>
      <c r="B909" s="334"/>
      <c r="C909" s="3"/>
      <c r="D909" s="3"/>
      <c r="E909" s="17"/>
      <c r="F909" s="3"/>
      <c r="G909" s="3"/>
      <c r="H909" s="334"/>
      <c r="I909" s="334"/>
      <c r="J909" s="334"/>
      <c r="K909" s="3"/>
      <c r="L909" s="3"/>
      <c r="M909" s="3"/>
      <c r="N909" s="3"/>
      <c r="V909" s="3"/>
      <c r="W909" s="3"/>
      <c r="X909" s="3"/>
      <c r="Y909" s="3"/>
      <c r="Z909" s="3"/>
      <c r="AA909" s="3"/>
      <c r="AB909" s="3"/>
    </row>
    <row r="910" spans="1:28">
      <c r="A910" s="3"/>
      <c r="B910" s="334"/>
      <c r="C910" s="3"/>
      <c r="D910" s="3"/>
      <c r="E910" s="17"/>
      <c r="F910" s="3"/>
      <c r="G910" s="3"/>
      <c r="H910" s="334"/>
      <c r="I910" s="334"/>
      <c r="J910" s="334"/>
      <c r="K910" s="3"/>
      <c r="L910" s="3"/>
      <c r="M910" s="3"/>
      <c r="N910" s="3"/>
      <c r="V910" s="3"/>
      <c r="W910" s="3"/>
      <c r="X910" s="3"/>
      <c r="Y910" s="3"/>
      <c r="Z910" s="3"/>
      <c r="AA910" s="3"/>
      <c r="AB910" s="3"/>
    </row>
    <row r="911" spans="1:28">
      <c r="A911" s="3"/>
      <c r="B911" s="334"/>
      <c r="C911" s="3"/>
      <c r="D911" s="3"/>
      <c r="E911" s="17"/>
      <c r="F911" s="3"/>
      <c r="G911" s="3"/>
      <c r="H911" s="334"/>
      <c r="I911" s="334"/>
      <c r="J911" s="334"/>
      <c r="K911" s="3"/>
      <c r="L911" s="3"/>
      <c r="M911" s="3"/>
      <c r="N911" s="3"/>
      <c r="V911" s="3"/>
      <c r="W911" s="3"/>
      <c r="X911" s="3"/>
      <c r="Y911" s="3"/>
      <c r="Z911" s="3"/>
      <c r="AA911" s="3"/>
      <c r="AB911" s="3"/>
    </row>
    <row r="912" spans="1:28">
      <c r="A912" s="3"/>
      <c r="B912" s="334"/>
      <c r="C912" s="3"/>
      <c r="D912" s="3"/>
      <c r="E912" s="17"/>
      <c r="F912" s="3"/>
      <c r="G912" s="3"/>
      <c r="H912" s="334"/>
      <c r="I912" s="334"/>
      <c r="J912" s="334"/>
      <c r="K912" s="3"/>
      <c r="L912" s="3"/>
      <c r="M912" s="3"/>
      <c r="N912" s="3"/>
      <c r="V912" s="3"/>
      <c r="W912" s="3"/>
      <c r="X912" s="3"/>
      <c r="Y912" s="3"/>
      <c r="Z912" s="3"/>
      <c r="AA912" s="3"/>
      <c r="AB912" s="3"/>
    </row>
    <row r="913" spans="1:28">
      <c r="A913" s="3"/>
      <c r="B913" s="334"/>
      <c r="C913" s="3"/>
      <c r="D913" s="3"/>
      <c r="E913" s="17"/>
      <c r="F913" s="3"/>
      <c r="G913" s="3"/>
      <c r="H913" s="334"/>
      <c r="I913" s="334"/>
      <c r="J913" s="334"/>
      <c r="K913" s="3"/>
      <c r="L913" s="3"/>
      <c r="M913" s="3"/>
      <c r="N913" s="3"/>
      <c r="V913" s="3"/>
      <c r="W913" s="3"/>
      <c r="X913" s="3"/>
      <c r="Y913" s="3"/>
      <c r="Z913" s="3"/>
      <c r="AA913" s="3"/>
      <c r="AB913" s="3"/>
    </row>
    <row r="914" spans="1:28">
      <c r="A914" s="3"/>
      <c r="B914" s="334"/>
      <c r="C914" s="3"/>
      <c r="D914" s="3"/>
      <c r="E914" s="17"/>
      <c r="F914" s="3"/>
      <c r="G914" s="3"/>
      <c r="H914" s="334"/>
      <c r="I914" s="334"/>
      <c r="J914" s="334"/>
      <c r="K914" s="3"/>
      <c r="L914" s="3"/>
      <c r="M914" s="3"/>
      <c r="N914" s="3"/>
      <c r="V914" s="3"/>
      <c r="W914" s="3"/>
      <c r="X914" s="3"/>
      <c r="Y914" s="3"/>
      <c r="Z914" s="3"/>
      <c r="AA914" s="3"/>
      <c r="AB914" s="3"/>
    </row>
    <row r="915" spans="1:28">
      <c r="A915" s="3"/>
      <c r="B915" s="334"/>
      <c r="C915" s="3"/>
      <c r="D915" s="3"/>
      <c r="E915" s="17"/>
      <c r="F915" s="3"/>
      <c r="G915" s="3"/>
      <c r="H915" s="334"/>
      <c r="I915" s="334"/>
      <c r="J915" s="334"/>
      <c r="K915" s="3"/>
      <c r="L915" s="3"/>
      <c r="M915" s="3"/>
      <c r="N915" s="3"/>
      <c r="V915" s="3"/>
      <c r="W915" s="3"/>
      <c r="X915" s="3"/>
      <c r="Y915" s="3"/>
      <c r="Z915" s="3"/>
      <c r="AA915" s="3"/>
      <c r="AB915" s="3"/>
    </row>
    <row r="916" spans="1:28">
      <c r="A916" s="3"/>
      <c r="B916" s="334"/>
      <c r="C916" s="3"/>
      <c r="D916" s="3"/>
      <c r="E916" s="17"/>
      <c r="F916" s="3"/>
      <c r="G916" s="3"/>
      <c r="H916" s="334"/>
      <c r="I916" s="334"/>
      <c r="J916" s="334"/>
      <c r="K916" s="3"/>
      <c r="L916" s="3"/>
      <c r="M916" s="3"/>
      <c r="N916" s="3"/>
      <c r="V916" s="3"/>
      <c r="W916" s="3"/>
      <c r="X916" s="3"/>
      <c r="Y916" s="3"/>
      <c r="Z916" s="3"/>
      <c r="AA916" s="3"/>
      <c r="AB916" s="3"/>
    </row>
    <row r="917" spans="1:28">
      <c r="A917" s="3"/>
      <c r="B917" s="334"/>
      <c r="C917" s="3"/>
      <c r="D917" s="3"/>
      <c r="E917" s="17"/>
      <c r="F917" s="3"/>
      <c r="G917" s="3"/>
      <c r="H917" s="334"/>
      <c r="I917" s="334"/>
      <c r="J917" s="334"/>
      <c r="K917" s="3"/>
      <c r="L917" s="3"/>
      <c r="M917" s="3"/>
      <c r="N917" s="3"/>
      <c r="V917" s="3"/>
      <c r="W917" s="3"/>
      <c r="X917" s="3"/>
      <c r="Y917" s="3"/>
      <c r="Z917" s="3"/>
      <c r="AA917" s="3"/>
      <c r="AB917" s="3"/>
    </row>
    <row r="918" spans="1:28">
      <c r="A918" s="3"/>
      <c r="B918" s="334"/>
      <c r="C918" s="3"/>
      <c r="D918" s="3"/>
      <c r="E918" s="17"/>
      <c r="F918" s="3"/>
      <c r="G918" s="3"/>
      <c r="H918" s="334"/>
      <c r="I918" s="334"/>
      <c r="J918" s="334"/>
      <c r="K918" s="3"/>
      <c r="L918" s="3"/>
      <c r="M918" s="3"/>
      <c r="N918" s="3"/>
      <c r="V918" s="3"/>
      <c r="W918" s="3"/>
      <c r="X918" s="3"/>
      <c r="Y918" s="3"/>
      <c r="Z918" s="3"/>
      <c r="AA918" s="3"/>
      <c r="AB918" s="3"/>
    </row>
    <row r="919" spans="1:28">
      <c r="A919" s="3"/>
      <c r="B919" s="334"/>
      <c r="C919" s="3"/>
      <c r="D919" s="3"/>
      <c r="E919" s="17"/>
      <c r="F919" s="3"/>
      <c r="G919" s="3"/>
      <c r="H919" s="334"/>
      <c r="I919" s="334"/>
      <c r="J919" s="334"/>
      <c r="K919" s="3"/>
      <c r="L919" s="3"/>
      <c r="M919" s="3"/>
      <c r="N919" s="3"/>
      <c r="V919" s="3"/>
      <c r="W919" s="3"/>
      <c r="X919" s="3"/>
      <c r="Y919" s="3"/>
      <c r="Z919" s="3"/>
      <c r="AA919" s="3"/>
      <c r="AB919" s="3"/>
    </row>
    <row r="920" spans="1:28">
      <c r="A920" s="3"/>
      <c r="B920" s="334"/>
      <c r="C920" s="3"/>
      <c r="D920" s="3"/>
      <c r="E920" s="17"/>
      <c r="F920" s="3"/>
      <c r="G920" s="3"/>
      <c r="H920" s="334"/>
      <c r="I920" s="334"/>
      <c r="J920" s="334"/>
      <c r="K920" s="3"/>
      <c r="L920" s="3"/>
      <c r="M920" s="3"/>
      <c r="N920" s="3"/>
      <c r="V920" s="3"/>
      <c r="W920" s="3"/>
      <c r="X920" s="3"/>
      <c r="Y920" s="3"/>
      <c r="Z920" s="3"/>
      <c r="AA920" s="3"/>
      <c r="AB920" s="3"/>
    </row>
    <row r="921" spans="1:28">
      <c r="A921" s="3"/>
      <c r="B921" s="334"/>
      <c r="C921" s="3"/>
      <c r="D921" s="3"/>
      <c r="E921" s="17"/>
      <c r="F921" s="3"/>
      <c r="G921" s="3"/>
      <c r="H921" s="334"/>
      <c r="I921" s="334"/>
      <c r="J921" s="334"/>
      <c r="K921" s="3"/>
      <c r="L921" s="3"/>
      <c r="M921" s="3"/>
      <c r="N921" s="3"/>
      <c r="V921" s="3"/>
      <c r="W921" s="3"/>
      <c r="X921" s="3"/>
      <c r="Y921" s="3"/>
      <c r="Z921" s="3"/>
      <c r="AA921" s="3"/>
      <c r="AB921" s="3"/>
    </row>
    <row r="922" spans="1:28">
      <c r="A922" s="3"/>
      <c r="B922" s="334"/>
      <c r="C922" s="3"/>
      <c r="D922" s="3"/>
      <c r="E922" s="17"/>
      <c r="F922" s="3"/>
      <c r="G922" s="3"/>
      <c r="H922" s="334"/>
      <c r="I922" s="334"/>
      <c r="J922" s="334"/>
      <c r="K922" s="3"/>
      <c r="L922" s="3"/>
      <c r="M922" s="3"/>
      <c r="N922" s="3"/>
      <c r="V922" s="3"/>
      <c r="W922" s="3"/>
      <c r="X922" s="3"/>
      <c r="Y922" s="3"/>
      <c r="Z922" s="3"/>
      <c r="AA922" s="3"/>
      <c r="AB922" s="3"/>
    </row>
    <row r="923" spans="1:28">
      <c r="A923" s="3"/>
      <c r="B923" s="334"/>
      <c r="C923" s="3"/>
      <c r="D923" s="3"/>
      <c r="E923" s="17"/>
      <c r="F923" s="3"/>
      <c r="G923" s="3"/>
      <c r="H923" s="334"/>
      <c r="I923" s="334"/>
      <c r="J923" s="334"/>
      <c r="K923" s="3"/>
      <c r="L923" s="3"/>
      <c r="M923" s="3"/>
      <c r="N923" s="3"/>
      <c r="V923" s="3"/>
      <c r="W923" s="3"/>
      <c r="X923" s="3"/>
      <c r="Y923" s="3"/>
      <c r="Z923" s="3"/>
      <c r="AA923" s="3"/>
      <c r="AB923" s="3"/>
    </row>
    <row r="924" spans="1:28">
      <c r="A924" s="3"/>
      <c r="B924" s="334"/>
      <c r="C924" s="3"/>
      <c r="D924" s="3"/>
      <c r="E924" s="17"/>
      <c r="F924" s="3"/>
      <c r="G924" s="3"/>
      <c r="H924" s="334"/>
      <c r="I924" s="334"/>
      <c r="J924" s="334"/>
      <c r="K924" s="3"/>
      <c r="L924" s="3"/>
      <c r="M924" s="3"/>
      <c r="N924" s="3"/>
      <c r="V924" s="3"/>
      <c r="W924" s="3"/>
      <c r="X924" s="3"/>
      <c r="Y924" s="3"/>
      <c r="Z924" s="3"/>
      <c r="AA924" s="3"/>
      <c r="AB924" s="3"/>
    </row>
    <row r="925" spans="1:28">
      <c r="A925" s="3"/>
      <c r="B925" s="334"/>
      <c r="C925" s="3"/>
      <c r="D925" s="3"/>
      <c r="E925" s="17"/>
      <c r="F925" s="3"/>
      <c r="G925" s="3"/>
      <c r="H925" s="334"/>
      <c r="I925" s="334"/>
      <c r="J925" s="334"/>
      <c r="K925" s="3"/>
      <c r="L925" s="3"/>
      <c r="M925" s="3"/>
      <c r="N925" s="3"/>
      <c r="V925" s="3"/>
      <c r="W925" s="3"/>
      <c r="X925" s="3"/>
      <c r="Y925" s="3"/>
      <c r="Z925" s="3"/>
      <c r="AA925" s="3"/>
      <c r="AB925" s="3"/>
    </row>
    <row r="926" spans="1:28">
      <c r="A926" s="3"/>
      <c r="B926" s="334"/>
      <c r="C926" s="3"/>
      <c r="D926" s="3"/>
      <c r="E926" s="17"/>
      <c r="F926" s="3"/>
      <c r="G926" s="3"/>
      <c r="H926" s="334"/>
      <c r="I926" s="334"/>
      <c r="J926" s="334"/>
      <c r="K926" s="3"/>
      <c r="L926" s="3"/>
      <c r="M926" s="3"/>
      <c r="N926" s="3"/>
      <c r="V926" s="3"/>
      <c r="W926" s="3"/>
      <c r="X926" s="3"/>
      <c r="Y926" s="3"/>
      <c r="Z926" s="3"/>
      <c r="AA926" s="3"/>
      <c r="AB926" s="3"/>
    </row>
    <row r="927" spans="1:28">
      <c r="A927" s="3"/>
      <c r="B927" s="334"/>
      <c r="C927" s="3"/>
      <c r="D927" s="3"/>
      <c r="E927" s="17"/>
      <c r="F927" s="3"/>
      <c r="G927" s="3"/>
      <c r="H927" s="334"/>
      <c r="I927" s="334"/>
      <c r="J927" s="334"/>
      <c r="K927" s="3"/>
      <c r="L927" s="3"/>
      <c r="M927" s="3"/>
      <c r="N927" s="3"/>
      <c r="V927" s="3"/>
      <c r="W927" s="3"/>
      <c r="X927" s="3"/>
      <c r="Y927" s="3"/>
      <c r="Z927" s="3"/>
      <c r="AA927" s="3"/>
      <c r="AB927" s="3"/>
    </row>
    <row r="928" spans="1:28">
      <c r="A928" s="3"/>
      <c r="B928" s="334"/>
      <c r="C928" s="3"/>
      <c r="D928" s="3"/>
      <c r="E928" s="17"/>
      <c r="F928" s="3"/>
      <c r="G928" s="3"/>
      <c r="H928" s="334"/>
      <c r="I928" s="334"/>
      <c r="J928" s="334"/>
      <c r="K928" s="3"/>
      <c r="L928" s="3"/>
      <c r="M928" s="3"/>
      <c r="N928" s="3"/>
      <c r="V928" s="3"/>
      <c r="W928" s="3"/>
      <c r="X928" s="3"/>
      <c r="Y928" s="3"/>
      <c r="Z928" s="3"/>
      <c r="AA928" s="3"/>
      <c r="AB928" s="3"/>
    </row>
    <row r="929" spans="1:28">
      <c r="A929" s="3"/>
      <c r="B929" s="334"/>
      <c r="C929" s="3"/>
      <c r="D929" s="3"/>
      <c r="E929" s="17"/>
      <c r="F929" s="3"/>
      <c r="G929" s="3"/>
      <c r="H929" s="334"/>
      <c r="I929" s="334"/>
      <c r="J929" s="334"/>
      <c r="K929" s="3"/>
      <c r="L929" s="3"/>
      <c r="M929" s="3"/>
      <c r="N929" s="3"/>
      <c r="V929" s="3"/>
      <c r="W929" s="3"/>
      <c r="X929" s="3"/>
      <c r="Y929" s="3"/>
      <c r="Z929" s="3"/>
      <c r="AA929" s="3"/>
      <c r="AB929" s="3"/>
    </row>
    <row r="930" spans="1:28">
      <c r="A930" s="3"/>
      <c r="B930" s="334"/>
      <c r="C930" s="3"/>
      <c r="D930" s="3"/>
      <c r="E930" s="17"/>
      <c r="F930" s="3"/>
      <c r="G930" s="3"/>
      <c r="H930" s="334"/>
      <c r="I930" s="334"/>
      <c r="J930" s="334"/>
      <c r="K930" s="3"/>
      <c r="L930" s="3"/>
      <c r="M930" s="3"/>
      <c r="N930" s="3"/>
      <c r="V930" s="3"/>
      <c r="W930" s="3"/>
      <c r="X930" s="3"/>
      <c r="Y930" s="3"/>
      <c r="Z930" s="3"/>
      <c r="AA930" s="3"/>
      <c r="AB930" s="3"/>
    </row>
    <row r="931" spans="1:28">
      <c r="A931" s="3"/>
      <c r="B931" s="334"/>
      <c r="C931" s="3"/>
      <c r="D931" s="3"/>
      <c r="E931" s="17"/>
      <c r="F931" s="3"/>
      <c r="G931" s="3"/>
      <c r="H931" s="334"/>
      <c r="I931" s="334"/>
      <c r="J931" s="334"/>
      <c r="K931" s="3"/>
      <c r="L931" s="3"/>
      <c r="M931" s="3"/>
      <c r="N931" s="3"/>
      <c r="V931" s="3"/>
      <c r="W931" s="3"/>
      <c r="X931" s="3"/>
      <c r="Y931" s="3"/>
      <c r="Z931" s="3"/>
      <c r="AA931" s="3"/>
      <c r="AB931" s="3"/>
    </row>
    <row r="932" spans="1:28">
      <c r="A932" s="3"/>
      <c r="B932" s="334"/>
      <c r="C932" s="3"/>
      <c r="D932" s="3"/>
      <c r="E932" s="17"/>
      <c r="F932" s="3"/>
      <c r="G932" s="3"/>
      <c r="H932" s="334"/>
      <c r="I932" s="334"/>
      <c r="J932" s="334"/>
      <c r="K932" s="3"/>
      <c r="L932" s="3"/>
      <c r="M932" s="3"/>
      <c r="N932" s="3"/>
      <c r="V932" s="3"/>
      <c r="W932" s="3"/>
      <c r="X932" s="3"/>
      <c r="Y932" s="3"/>
      <c r="Z932" s="3"/>
      <c r="AA932" s="3"/>
      <c r="AB932" s="3"/>
    </row>
    <row r="933" spans="1:28">
      <c r="A933" s="3"/>
      <c r="B933" s="334"/>
      <c r="C933" s="3"/>
      <c r="D933" s="3"/>
      <c r="E933" s="17"/>
      <c r="F933" s="3"/>
      <c r="G933" s="3"/>
      <c r="H933" s="334"/>
      <c r="I933" s="334"/>
      <c r="J933" s="334"/>
      <c r="K933" s="3"/>
      <c r="L933" s="3"/>
      <c r="M933" s="3"/>
      <c r="N933" s="3"/>
      <c r="V933" s="3"/>
      <c r="W933" s="3"/>
      <c r="X933" s="3"/>
      <c r="Y933" s="3"/>
      <c r="Z933" s="3"/>
      <c r="AA933" s="3"/>
      <c r="AB933" s="3"/>
    </row>
    <row r="934" spans="1:28">
      <c r="A934" s="3"/>
      <c r="B934" s="334"/>
      <c r="C934" s="3"/>
      <c r="D934" s="3"/>
      <c r="E934" s="17"/>
      <c r="F934" s="3"/>
      <c r="G934" s="3"/>
      <c r="H934" s="334"/>
      <c r="I934" s="334"/>
      <c r="J934" s="334"/>
      <c r="K934" s="3"/>
      <c r="L934" s="3"/>
      <c r="M934" s="3"/>
      <c r="N934" s="3"/>
      <c r="V934" s="3"/>
      <c r="W934" s="3"/>
      <c r="X934" s="3"/>
      <c r="Y934" s="3"/>
      <c r="Z934" s="3"/>
      <c r="AA934" s="3"/>
      <c r="AB934" s="3"/>
    </row>
    <row r="935" spans="1:28">
      <c r="A935" s="3"/>
      <c r="B935" s="334"/>
      <c r="C935" s="3"/>
      <c r="D935" s="3"/>
      <c r="E935" s="17"/>
      <c r="F935" s="3"/>
      <c r="G935" s="3"/>
      <c r="H935" s="334"/>
      <c r="I935" s="334"/>
      <c r="J935" s="334"/>
      <c r="K935" s="3"/>
      <c r="L935" s="3"/>
      <c r="M935" s="3"/>
      <c r="N935" s="3"/>
      <c r="V935" s="3"/>
      <c r="W935" s="3"/>
      <c r="X935" s="3"/>
      <c r="Y935" s="3"/>
      <c r="Z935" s="3"/>
      <c r="AA935" s="3"/>
      <c r="AB935" s="3"/>
    </row>
    <row r="936" spans="1:28">
      <c r="A936" s="3"/>
      <c r="B936" s="334"/>
      <c r="C936" s="3"/>
      <c r="D936" s="3"/>
      <c r="E936" s="17"/>
      <c r="F936" s="3"/>
      <c r="G936" s="3"/>
      <c r="H936" s="334"/>
      <c r="I936" s="334"/>
      <c r="J936" s="334"/>
      <c r="K936" s="3"/>
      <c r="L936" s="3"/>
      <c r="M936" s="3"/>
      <c r="N936" s="3"/>
      <c r="V936" s="3"/>
      <c r="W936" s="3"/>
      <c r="X936" s="3"/>
      <c r="Y936" s="3"/>
      <c r="Z936" s="3"/>
      <c r="AA936" s="3"/>
      <c r="AB936" s="3"/>
    </row>
    <row r="937" spans="1:28">
      <c r="A937" s="3"/>
      <c r="B937" s="334"/>
      <c r="C937" s="3"/>
      <c r="D937" s="3"/>
      <c r="E937" s="17"/>
      <c r="F937" s="3"/>
      <c r="G937" s="3"/>
      <c r="H937" s="334"/>
      <c r="I937" s="334"/>
      <c r="J937" s="334"/>
      <c r="K937" s="3"/>
      <c r="L937" s="3"/>
      <c r="M937" s="3"/>
      <c r="N937" s="3"/>
      <c r="V937" s="3"/>
      <c r="W937" s="3"/>
      <c r="X937" s="3"/>
      <c r="Y937" s="3"/>
      <c r="Z937" s="3"/>
      <c r="AA937" s="3"/>
      <c r="AB937" s="3"/>
    </row>
    <row r="938" spans="1:28">
      <c r="A938" s="3"/>
      <c r="B938" s="334"/>
      <c r="C938" s="3"/>
      <c r="D938" s="3"/>
      <c r="E938" s="17"/>
      <c r="F938" s="3"/>
      <c r="G938" s="3"/>
      <c r="H938" s="334"/>
      <c r="I938" s="334"/>
      <c r="J938" s="334"/>
      <c r="K938" s="3"/>
      <c r="L938" s="3"/>
      <c r="M938" s="3"/>
      <c r="N938" s="3"/>
      <c r="V938" s="3"/>
      <c r="W938" s="3"/>
      <c r="X938" s="3"/>
      <c r="Y938" s="3"/>
      <c r="Z938" s="3"/>
      <c r="AA938" s="3"/>
      <c r="AB938" s="3"/>
    </row>
    <row r="939" spans="1:28">
      <c r="A939" s="3"/>
      <c r="B939" s="334"/>
      <c r="C939" s="3"/>
      <c r="D939" s="3"/>
      <c r="E939" s="17"/>
      <c r="F939" s="3"/>
      <c r="G939" s="3"/>
      <c r="H939" s="334"/>
      <c r="I939" s="334"/>
      <c r="J939" s="334"/>
      <c r="K939" s="3"/>
      <c r="L939" s="3"/>
      <c r="M939" s="3"/>
      <c r="N939" s="3"/>
      <c r="V939" s="3"/>
      <c r="W939" s="3"/>
      <c r="X939" s="3"/>
      <c r="Y939" s="3"/>
      <c r="Z939" s="3"/>
      <c r="AA939" s="3"/>
      <c r="AB939" s="3"/>
    </row>
    <row r="940" spans="1:28">
      <c r="A940" s="3"/>
      <c r="B940" s="334"/>
      <c r="C940" s="3"/>
      <c r="D940" s="3"/>
      <c r="E940" s="17"/>
      <c r="F940" s="3"/>
      <c r="G940" s="3"/>
      <c r="H940" s="334"/>
      <c r="I940" s="334"/>
      <c r="J940" s="334"/>
      <c r="K940" s="3"/>
      <c r="L940" s="3"/>
      <c r="M940" s="3"/>
      <c r="N940" s="3"/>
      <c r="V940" s="3"/>
      <c r="W940" s="3"/>
      <c r="X940" s="3"/>
      <c r="Y940" s="3"/>
      <c r="Z940" s="3"/>
      <c r="AA940" s="3"/>
      <c r="AB940" s="3"/>
    </row>
    <row r="941" spans="1:28">
      <c r="A941" s="3"/>
      <c r="B941" s="334"/>
      <c r="C941" s="3"/>
      <c r="D941" s="3"/>
      <c r="E941" s="17"/>
      <c r="F941" s="3"/>
      <c r="G941" s="3"/>
      <c r="H941" s="334"/>
      <c r="I941" s="334"/>
      <c r="J941" s="334"/>
      <c r="K941" s="3"/>
      <c r="L941" s="3"/>
      <c r="M941" s="3"/>
      <c r="N941" s="3"/>
      <c r="V941" s="3"/>
      <c r="W941" s="3"/>
      <c r="X941" s="3"/>
      <c r="Y941" s="3"/>
      <c r="Z941" s="3"/>
      <c r="AA941" s="3"/>
      <c r="AB941" s="3"/>
    </row>
    <row r="942" spans="1:28">
      <c r="A942" s="3"/>
      <c r="B942" s="334"/>
      <c r="C942" s="3"/>
      <c r="D942" s="3"/>
      <c r="E942" s="17"/>
      <c r="F942" s="3"/>
      <c r="G942" s="3"/>
      <c r="H942" s="334"/>
      <c r="I942" s="334"/>
      <c r="J942" s="334"/>
      <c r="K942" s="3"/>
      <c r="L942" s="3"/>
      <c r="M942" s="3"/>
      <c r="N942" s="3"/>
      <c r="V942" s="3"/>
      <c r="W942" s="3"/>
      <c r="X942" s="3"/>
      <c r="Y942" s="3"/>
      <c r="Z942" s="3"/>
      <c r="AA942" s="3"/>
      <c r="AB942" s="3"/>
    </row>
    <row r="943" spans="1:28">
      <c r="A943" s="3"/>
      <c r="B943" s="334"/>
      <c r="C943" s="3"/>
      <c r="D943" s="3"/>
      <c r="E943" s="17"/>
      <c r="F943" s="3"/>
      <c r="G943" s="3"/>
      <c r="H943" s="334"/>
      <c r="I943" s="334"/>
      <c r="J943" s="334"/>
      <c r="K943" s="3"/>
      <c r="L943" s="3"/>
      <c r="M943" s="3"/>
      <c r="N943" s="3"/>
      <c r="V943" s="3"/>
      <c r="W943" s="3"/>
      <c r="X943" s="3"/>
      <c r="Y943" s="3"/>
      <c r="Z943" s="3"/>
      <c r="AA943" s="3"/>
      <c r="AB943" s="3"/>
    </row>
    <row r="944" spans="1:28">
      <c r="A944" s="3"/>
      <c r="B944" s="334"/>
      <c r="C944" s="3"/>
      <c r="D944" s="3"/>
      <c r="E944" s="17"/>
      <c r="F944" s="3"/>
      <c r="G944" s="3"/>
      <c r="H944" s="334"/>
      <c r="I944" s="334"/>
      <c r="J944" s="334"/>
      <c r="K944" s="3"/>
      <c r="L944" s="3"/>
      <c r="M944" s="3"/>
      <c r="N944" s="3"/>
      <c r="V944" s="3"/>
      <c r="W944" s="3"/>
      <c r="X944" s="3"/>
      <c r="Y944" s="3"/>
      <c r="Z944" s="3"/>
      <c r="AA944" s="3"/>
      <c r="AB944" s="3"/>
    </row>
    <row r="945" spans="1:28">
      <c r="A945" s="3"/>
      <c r="B945" s="334"/>
      <c r="C945" s="3"/>
      <c r="D945" s="3"/>
      <c r="E945" s="17"/>
      <c r="F945" s="3"/>
      <c r="G945" s="3"/>
      <c r="H945" s="334"/>
      <c r="I945" s="334"/>
      <c r="J945" s="334"/>
      <c r="K945" s="3"/>
      <c r="L945" s="3"/>
      <c r="M945" s="3"/>
      <c r="N945" s="3"/>
      <c r="V945" s="3"/>
      <c r="W945" s="3"/>
      <c r="X945" s="3"/>
      <c r="Y945" s="3"/>
      <c r="Z945" s="3"/>
      <c r="AA945" s="3"/>
      <c r="AB945" s="3"/>
    </row>
    <row r="946" spans="1:28">
      <c r="A946" s="3"/>
      <c r="B946" s="334"/>
      <c r="C946" s="3"/>
      <c r="D946" s="3"/>
      <c r="E946" s="17"/>
      <c r="F946" s="3"/>
      <c r="G946" s="3"/>
      <c r="H946" s="334"/>
      <c r="I946" s="334"/>
      <c r="J946" s="334"/>
      <c r="K946" s="3"/>
      <c r="L946" s="3"/>
      <c r="M946" s="3"/>
      <c r="N946" s="3"/>
      <c r="V946" s="3"/>
      <c r="W946" s="3"/>
      <c r="X946" s="3"/>
      <c r="Y946" s="3"/>
      <c r="Z946" s="3"/>
      <c r="AA946" s="3"/>
      <c r="AB946" s="3"/>
    </row>
    <row r="947" spans="1:28">
      <c r="A947" s="3"/>
      <c r="B947" s="334"/>
      <c r="C947" s="3"/>
      <c r="D947" s="3"/>
      <c r="E947" s="17"/>
      <c r="F947" s="3"/>
      <c r="G947" s="3"/>
      <c r="H947" s="334"/>
      <c r="I947" s="334"/>
      <c r="J947" s="334"/>
      <c r="K947" s="3"/>
      <c r="L947" s="3"/>
      <c r="M947" s="3"/>
      <c r="N947" s="3"/>
      <c r="V947" s="3"/>
      <c r="W947" s="3"/>
      <c r="X947" s="3"/>
      <c r="Y947" s="3"/>
      <c r="Z947" s="3"/>
      <c r="AA947" s="3"/>
      <c r="AB947" s="3"/>
    </row>
    <row r="948" spans="1:28">
      <c r="A948" s="3"/>
      <c r="B948" s="334"/>
      <c r="C948" s="3"/>
      <c r="D948" s="3"/>
      <c r="E948" s="17"/>
      <c r="F948" s="3"/>
      <c r="G948" s="3"/>
      <c r="H948" s="334"/>
      <c r="I948" s="334"/>
      <c r="J948" s="334"/>
      <c r="K948" s="3"/>
      <c r="L948" s="3"/>
      <c r="M948" s="3"/>
      <c r="N948" s="3"/>
      <c r="V948" s="3"/>
      <c r="W948" s="3"/>
      <c r="X948" s="3"/>
      <c r="Y948" s="3"/>
      <c r="Z948" s="3"/>
      <c r="AA948" s="3"/>
      <c r="AB948" s="3"/>
    </row>
    <row r="949" spans="1:28">
      <c r="A949" s="3"/>
      <c r="B949" s="334"/>
      <c r="C949" s="3"/>
      <c r="D949" s="3"/>
      <c r="E949" s="17"/>
      <c r="F949" s="3"/>
      <c r="G949" s="3"/>
      <c r="H949" s="334"/>
      <c r="I949" s="334"/>
      <c r="J949" s="334"/>
      <c r="K949" s="3"/>
      <c r="L949" s="3"/>
      <c r="M949" s="3"/>
      <c r="N949" s="3"/>
      <c r="V949" s="3"/>
      <c r="W949" s="3"/>
      <c r="X949" s="3"/>
      <c r="Y949" s="3"/>
      <c r="Z949" s="3"/>
      <c r="AA949" s="3"/>
      <c r="AB949" s="3"/>
    </row>
    <row r="950" spans="1:28">
      <c r="A950" s="3"/>
      <c r="B950" s="334"/>
      <c r="C950" s="3"/>
      <c r="D950" s="3"/>
      <c r="E950" s="17"/>
      <c r="F950" s="3"/>
      <c r="G950" s="3"/>
      <c r="H950" s="334"/>
      <c r="I950" s="334"/>
      <c r="J950" s="334"/>
      <c r="K950" s="3"/>
      <c r="L950" s="3"/>
      <c r="M950" s="3"/>
      <c r="N950" s="3"/>
      <c r="V950" s="3"/>
      <c r="W950" s="3"/>
      <c r="X950" s="3"/>
      <c r="Y950" s="3"/>
      <c r="Z950" s="3"/>
      <c r="AA950" s="3"/>
      <c r="AB950" s="3"/>
    </row>
    <row r="951" spans="1:28">
      <c r="A951" s="3"/>
      <c r="B951" s="334"/>
      <c r="C951" s="3"/>
      <c r="D951" s="3"/>
      <c r="E951" s="17"/>
      <c r="F951" s="3"/>
      <c r="G951" s="3"/>
      <c r="H951" s="334"/>
      <c r="I951" s="334"/>
      <c r="J951" s="334"/>
      <c r="K951" s="3"/>
      <c r="L951" s="3"/>
      <c r="M951" s="3"/>
      <c r="N951" s="3"/>
      <c r="V951" s="3"/>
      <c r="W951" s="3"/>
      <c r="X951" s="3"/>
      <c r="Y951" s="3"/>
      <c r="Z951" s="3"/>
      <c r="AA951" s="3"/>
      <c r="AB951" s="3"/>
    </row>
    <row r="952" spans="1:28">
      <c r="A952" s="3"/>
      <c r="B952" s="334"/>
      <c r="C952" s="3"/>
      <c r="D952" s="3"/>
      <c r="E952" s="17"/>
      <c r="F952" s="3"/>
      <c r="G952" s="3"/>
      <c r="H952" s="334"/>
      <c r="I952" s="334"/>
      <c r="J952" s="334"/>
      <c r="K952" s="3"/>
      <c r="L952" s="3"/>
      <c r="M952" s="3"/>
      <c r="N952" s="3"/>
      <c r="V952" s="3"/>
      <c r="W952" s="3"/>
      <c r="X952" s="3"/>
      <c r="Y952" s="3"/>
      <c r="Z952" s="3"/>
      <c r="AA952" s="3"/>
      <c r="AB952" s="3"/>
    </row>
    <row r="953" spans="1:28">
      <c r="A953" s="3"/>
      <c r="B953" s="334"/>
      <c r="C953" s="3"/>
      <c r="D953" s="3"/>
      <c r="E953" s="17"/>
      <c r="F953" s="3"/>
      <c r="G953" s="3"/>
      <c r="H953" s="334"/>
      <c r="I953" s="334"/>
      <c r="J953" s="334"/>
      <c r="K953" s="3"/>
      <c r="L953" s="3"/>
      <c r="M953" s="3"/>
      <c r="N953" s="3"/>
      <c r="V953" s="3"/>
      <c r="W953" s="3"/>
      <c r="X953" s="3"/>
      <c r="Y953" s="3"/>
      <c r="Z953" s="3"/>
      <c r="AA953" s="3"/>
      <c r="AB953" s="3"/>
    </row>
    <row r="954" spans="1:28">
      <c r="A954" s="3"/>
      <c r="B954" s="334"/>
      <c r="C954" s="3"/>
      <c r="D954" s="3"/>
      <c r="E954" s="17"/>
      <c r="F954" s="3"/>
      <c r="G954" s="3"/>
      <c r="H954" s="334"/>
      <c r="I954" s="334"/>
      <c r="J954" s="334"/>
      <c r="K954" s="3"/>
      <c r="L954" s="3"/>
      <c r="M954" s="3"/>
      <c r="N954" s="3"/>
      <c r="V954" s="3"/>
      <c r="W954" s="3"/>
      <c r="X954" s="3"/>
      <c r="Y954" s="3"/>
      <c r="Z954" s="3"/>
      <c r="AA954" s="3"/>
      <c r="AB954" s="3"/>
    </row>
    <row r="955" spans="1:28">
      <c r="A955" s="3"/>
      <c r="B955" s="334"/>
      <c r="C955" s="3"/>
      <c r="D955" s="3"/>
      <c r="E955" s="17"/>
      <c r="F955" s="3"/>
      <c r="G955" s="3"/>
      <c r="H955" s="334"/>
      <c r="I955" s="334"/>
      <c r="J955" s="334"/>
      <c r="K955" s="3"/>
      <c r="L955" s="3"/>
      <c r="M955" s="3"/>
      <c r="N955" s="3"/>
      <c r="V955" s="3"/>
      <c r="W955" s="3"/>
      <c r="X955" s="3"/>
      <c r="Y955" s="3"/>
      <c r="Z955" s="3"/>
      <c r="AA955" s="3"/>
      <c r="AB955" s="3"/>
    </row>
    <row r="956" spans="1:28">
      <c r="A956" s="3"/>
      <c r="B956" s="334"/>
      <c r="C956" s="3"/>
      <c r="D956" s="3"/>
      <c r="E956" s="17"/>
      <c r="F956" s="3"/>
      <c r="G956" s="3"/>
      <c r="H956" s="334"/>
      <c r="I956" s="334"/>
      <c r="J956" s="334"/>
      <c r="K956" s="3"/>
      <c r="L956" s="3"/>
      <c r="M956" s="3"/>
      <c r="N956" s="3"/>
      <c r="V956" s="3"/>
      <c r="W956" s="3"/>
      <c r="X956" s="3"/>
      <c r="Y956" s="3"/>
      <c r="Z956" s="3"/>
      <c r="AA956" s="3"/>
      <c r="AB956" s="3"/>
    </row>
    <row r="957" spans="1:28">
      <c r="A957" s="3"/>
      <c r="B957" s="334"/>
      <c r="C957" s="3"/>
      <c r="D957" s="3"/>
      <c r="E957" s="17"/>
      <c r="F957" s="3"/>
      <c r="G957" s="3"/>
      <c r="H957" s="334"/>
      <c r="I957" s="334"/>
      <c r="J957" s="334"/>
      <c r="K957" s="3"/>
      <c r="L957" s="3"/>
      <c r="M957" s="3"/>
      <c r="N957" s="3"/>
      <c r="V957" s="3"/>
      <c r="W957" s="3"/>
      <c r="X957" s="3"/>
      <c r="Y957" s="3"/>
      <c r="Z957" s="3"/>
      <c r="AA957" s="3"/>
      <c r="AB957" s="3"/>
    </row>
    <row r="958" spans="1:28">
      <c r="A958" s="3"/>
      <c r="B958" s="334"/>
      <c r="C958" s="3"/>
      <c r="D958" s="3"/>
      <c r="E958" s="17"/>
      <c r="F958" s="3"/>
      <c r="G958" s="3"/>
      <c r="H958" s="334"/>
      <c r="I958" s="334"/>
      <c r="J958" s="334"/>
      <c r="K958" s="3"/>
      <c r="L958" s="3"/>
      <c r="M958" s="3"/>
      <c r="N958" s="3"/>
      <c r="V958" s="3"/>
      <c r="W958" s="3"/>
      <c r="X958" s="3"/>
      <c r="Y958" s="3"/>
      <c r="Z958" s="3"/>
      <c r="AA958" s="3"/>
      <c r="AB958" s="3"/>
    </row>
    <row r="959" spans="1:28">
      <c r="A959" s="3"/>
      <c r="B959" s="334"/>
      <c r="C959" s="3"/>
      <c r="D959" s="3"/>
      <c r="E959" s="17"/>
      <c r="F959" s="3"/>
      <c r="G959" s="3"/>
      <c r="H959" s="334"/>
      <c r="I959" s="334"/>
      <c r="J959" s="334"/>
      <c r="K959" s="3"/>
      <c r="L959" s="3"/>
      <c r="M959" s="3"/>
      <c r="N959" s="3"/>
      <c r="V959" s="3"/>
      <c r="W959" s="3"/>
      <c r="X959" s="3"/>
      <c r="Y959" s="3"/>
      <c r="Z959" s="3"/>
      <c r="AA959" s="3"/>
      <c r="AB959" s="3"/>
    </row>
    <row r="960" spans="1:28">
      <c r="A960" s="3"/>
      <c r="B960" s="334"/>
      <c r="C960" s="3"/>
      <c r="D960" s="3"/>
      <c r="E960" s="17"/>
      <c r="F960" s="3"/>
      <c r="G960" s="3"/>
      <c r="H960" s="334"/>
      <c r="I960" s="334"/>
      <c r="J960" s="334"/>
      <c r="K960" s="3"/>
      <c r="L960" s="3"/>
      <c r="M960" s="3"/>
      <c r="N960" s="3"/>
      <c r="V960" s="3"/>
      <c r="W960" s="3"/>
      <c r="X960" s="3"/>
      <c r="Y960" s="3"/>
      <c r="Z960" s="3"/>
      <c r="AA960" s="3"/>
      <c r="AB960" s="3"/>
    </row>
    <row r="961" spans="1:28">
      <c r="A961" s="3"/>
      <c r="B961" s="334"/>
      <c r="C961" s="3"/>
      <c r="D961" s="3"/>
      <c r="E961" s="17"/>
      <c r="F961" s="3"/>
      <c r="G961" s="3"/>
      <c r="H961" s="334"/>
      <c r="I961" s="334"/>
      <c r="J961" s="334"/>
      <c r="K961" s="3"/>
      <c r="L961" s="3"/>
      <c r="M961" s="3"/>
      <c r="N961" s="3"/>
      <c r="V961" s="3"/>
      <c r="W961" s="3"/>
      <c r="X961" s="3"/>
      <c r="Y961" s="3"/>
      <c r="Z961" s="3"/>
      <c r="AA961" s="3"/>
      <c r="AB961" s="3"/>
    </row>
    <row r="962" spans="1:28">
      <c r="A962" s="3"/>
      <c r="B962" s="334"/>
      <c r="C962" s="3"/>
      <c r="D962" s="3"/>
      <c r="E962" s="17"/>
      <c r="F962" s="3"/>
      <c r="G962" s="3"/>
      <c r="H962" s="334"/>
      <c r="I962" s="334"/>
      <c r="J962" s="334"/>
      <c r="K962" s="3"/>
      <c r="L962" s="3"/>
      <c r="M962" s="3"/>
      <c r="N962" s="3"/>
      <c r="V962" s="3"/>
      <c r="W962" s="3"/>
      <c r="X962" s="3"/>
      <c r="Y962" s="3"/>
      <c r="Z962" s="3"/>
      <c r="AA962" s="3"/>
      <c r="AB962" s="3"/>
    </row>
    <row r="963" spans="1:28">
      <c r="A963" s="3"/>
      <c r="B963" s="334"/>
      <c r="C963" s="3"/>
      <c r="D963" s="3"/>
      <c r="E963" s="17"/>
      <c r="F963" s="3"/>
      <c r="G963" s="3"/>
      <c r="H963" s="334"/>
      <c r="I963" s="334"/>
      <c r="J963" s="334"/>
      <c r="K963" s="3"/>
      <c r="L963" s="3"/>
      <c r="M963" s="3"/>
      <c r="N963" s="3"/>
      <c r="V963" s="3"/>
      <c r="W963" s="3"/>
      <c r="X963" s="3"/>
      <c r="Y963" s="3"/>
      <c r="Z963" s="3"/>
      <c r="AA963" s="3"/>
      <c r="AB963" s="3"/>
    </row>
    <row r="964" spans="1:28">
      <c r="A964" s="3"/>
      <c r="B964" s="334"/>
      <c r="C964" s="3"/>
      <c r="D964" s="3"/>
      <c r="E964" s="17"/>
      <c r="F964" s="3"/>
      <c r="G964" s="3"/>
      <c r="H964" s="334"/>
      <c r="I964" s="334"/>
      <c r="J964" s="334"/>
      <c r="K964" s="3"/>
      <c r="L964" s="3"/>
      <c r="M964" s="3"/>
      <c r="N964" s="3"/>
      <c r="V964" s="3"/>
      <c r="W964" s="3"/>
      <c r="X964" s="3"/>
      <c r="Y964" s="3"/>
      <c r="Z964" s="3"/>
      <c r="AA964" s="3"/>
      <c r="AB964" s="3"/>
    </row>
    <row r="965" spans="1:28">
      <c r="A965" s="3"/>
      <c r="B965" s="334"/>
      <c r="C965" s="3"/>
      <c r="D965" s="3"/>
      <c r="E965" s="17"/>
      <c r="F965" s="3"/>
      <c r="G965" s="3"/>
      <c r="H965" s="334"/>
      <c r="I965" s="334"/>
      <c r="J965" s="334"/>
      <c r="K965" s="3"/>
      <c r="L965" s="3"/>
      <c r="M965" s="3"/>
      <c r="N965" s="3"/>
      <c r="V965" s="3"/>
      <c r="W965" s="3"/>
      <c r="X965" s="3"/>
      <c r="Y965" s="3"/>
      <c r="Z965" s="3"/>
      <c r="AA965" s="3"/>
      <c r="AB965" s="3"/>
    </row>
    <row r="966" spans="1:28">
      <c r="A966" s="3"/>
      <c r="B966" s="334"/>
      <c r="C966" s="3"/>
      <c r="D966" s="3"/>
      <c r="E966" s="17"/>
      <c r="F966" s="3"/>
      <c r="G966" s="3"/>
      <c r="H966" s="334"/>
      <c r="I966" s="334"/>
      <c r="J966" s="334"/>
      <c r="K966" s="3"/>
      <c r="L966" s="3"/>
      <c r="M966" s="3"/>
      <c r="N966" s="3"/>
      <c r="V966" s="3"/>
      <c r="W966" s="3"/>
      <c r="X966" s="3"/>
      <c r="Y966" s="3"/>
      <c r="Z966" s="3"/>
      <c r="AA966" s="3"/>
      <c r="AB966" s="3"/>
    </row>
    <row r="967" spans="1:28">
      <c r="A967" s="3"/>
      <c r="B967" s="334"/>
      <c r="C967" s="3"/>
      <c r="D967" s="3"/>
      <c r="E967" s="17"/>
      <c r="F967" s="3"/>
      <c r="G967" s="3"/>
      <c r="H967" s="334"/>
      <c r="I967" s="334"/>
      <c r="J967" s="334"/>
      <c r="K967" s="3"/>
      <c r="L967" s="3"/>
      <c r="M967" s="3"/>
      <c r="N967" s="3"/>
      <c r="V967" s="3"/>
      <c r="W967" s="3"/>
      <c r="X967" s="3"/>
      <c r="Y967" s="3"/>
      <c r="Z967" s="3"/>
      <c r="AA967" s="3"/>
      <c r="AB967" s="3"/>
    </row>
    <row r="968" spans="1:28">
      <c r="A968" s="3"/>
      <c r="B968" s="334"/>
      <c r="C968" s="3"/>
      <c r="D968" s="3"/>
      <c r="E968" s="17"/>
      <c r="F968" s="3"/>
      <c r="G968" s="3"/>
      <c r="H968" s="334"/>
      <c r="I968" s="334"/>
      <c r="J968" s="334"/>
      <c r="K968" s="3"/>
      <c r="L968" s="3"/>
      <c r="M968" s="3"/>
      <c r="N968" s="3"/>
      <c r="V968" s="3"/>
      <c r="W968" s="3"/>
      <c r="X968" s="3"/>
      <c r="Y968" s="3"/>
      <c r="Z968" s="3"/>
      <c r="AA968" s="3"/>
      <c r="AB968" s="3"/>
    </row>
    <row r="969" spans="1:28">
      <c r="A969" s="3"/>
      <c r="B969" s="334"/>
      <c r="C969" s="3"/>
      <c r="D969" s="3"/>
      <c r="E969" s="17"/>
      <c r="F969" s="3"/>
      <c r="G969" s="3"/>
      <c r="H969" s="334"/>
      <c r="I969" s="334"/>
      <c r="J969" s="334"/>
      <c r="K969" s="3"/>
      <c r="L969" s="3"/>
      <c r="M969" s="3"/>
      <c r="N969" s="3"/>
      <c r="V969" s="3"/>
      <c r="W969" s="3"/>
      <c r="X969" s="3"/>
      <c r="Y969" s="3"/>
      <c r="Z969" s="3"/>
      <c r="AA969" s="3"/>
      <c r="AB969" s="3"/>
    </row>
    <row r="970" spans="1:28">
      <c r="A970" s="3"/>
      <c r="B970" s="334"/>
      <c r="C970" s="3"/>
      <c r="D970" s="3"/>
      <c r="E970" s="17"/>
      <c r="F970" s="3"/>
      <c r="G970" s="3"/>
      <c r="H970" s="334"/>
      <c r="I970" s="334"/>
      <c r="J970" s="334"/>
      <c r="K970" s="3"/>
      <c r="L970" s="3"/>
      <c r="M970" s="3"/>
      <c r="N970" s="3"/>
      <c r="V970" s="3"/>
      <c r="W970" s="3"/>
      <c r="X970" s="3"/>
      <c r="Y970" s="3"/>
      <c r="Z970" s="3"/>
      <c r="AA970" s="3"/>
      <c r="AB970" s="3"/>
    </row>
    <row r="971" spans="1:28">
      <c r="A971" s="3"/>
      <c r="B971" s="334"/>
      <c r="C971" s="3"/>
      <c r="D971" s="3"/>
      <c r="E971" s="17"/>
      <c r="F971" s="3"/>
      <c r="G971" s="3"/>
      <c r="H971" s="334"/>
      <c r="I971" s="334"/>
      <c r="J971" s="334"/>
      <c r="K971" s="3"/>
      <c r="L971" s="3"/>
      <c r="M971" s="3"/>
      <c r="N971" s="3"/>
      <c r="V971" s="3"/>
      <c r="W971" s="3"/>
      <c r="X971" s="3"/>
      <c r="Y971" s="3"/>
      <c r="Z971" s="3"/>
      <c r="AA971" s="3"/>
      <c r="AB971" s="3"/>
    </row>
    <row r="972" spans="1:28">
      <c r="A972" s="3"/>
      <c r="B972" s="334"/>
      <c r="C972" s="3"/>
      <c r="D972" s="3"/>
      <c r="E972" s="17"/>
      <c r="F972" s="3"/>
      <c r="G972" s="3"/>
      <c r="H972" s="334"/>
      <c r="I972" s="334"/>
      <c r="J972" s="334"/>
      <c r="K972" s="3"/>
      <c r="L972" s="3"/>
      <c r="M972" s="3"/>
      <c r="N972" s="3"/>
      <c r="V972" s="3"/>
      <c r="W972" s="3"/>
      <c r="X972" s="3"/>
      <c r="Y972" s="3"/>
      <c r="Z972" s="3"/>
      <c r="AA972" s="3"/>
      <c r="AB972" s="3"/>
    </row>
    <row r="973" spans="1:28">
      <c r="A973" s="3"/>
      <c r="B973" s="334"/>
      <c r="C973" s="3"/>
      <c r="D973" s="3"/>
      <c r="E973" s="17"/>
      <c r="F973" s="3"/>
      <c r="G973" s="3"/>
      <c r="H973" s="334"/>
      <c r="I973" s="334"/>
      <c r="J973" s="334"/>
      <c r="K973" s="3"/>
      <c r="L973" s="3"/>
      <c r="M973" s="3"/>
      <c r="N973" s="3"/>
      <c r="V973" s="3"/>
      <c r="W973" s="3"/>
      <c r="X973" s="3"/>
      <c r="Y973" s="3"/>
      <c r="Z973" s="3"/>
      <c r="AA973" s="3"/>
      <c r="AB973" s="3"/>
    </row>
    <row r="974" spans="1:28">
      <c r="A974" s="3"/>
      <c r="B974" s="334"/>
      <c r="C974" s="3"/>
      <c r="D974" s="3"/>
      <c r="E974" s="17"/>
      <c r="F974" s="3"/>
      <c r="G974" s="3"/>
      <c r="H974" s="334"/>
      <c r="I974" s="334"/>
      <c r="J974" s="334"/>
      <c r="K974" s="3"/>
      <c r="L974" s="3"/>
      <c r="M974" s="3"/>
      <c r="N974" s="3"/>
      <c r="V974" s="3"/>
      <c r="W974" s="3"/>
      <c r="X974" s="3"/>
      <c r="Y974" s="3"/>
      <c r="Z974" s="3"/>
      <c r="AA974" s="3"/>
      <c r="AB974" s="3"/>
    </row>
    <row r="975" spans="1:28">
      <c r="A975" s="3"/>
      <c r="B975" s="334"/>
      <c r="C975" s="3"/>
      <c r="D975" s="3"/>
      <c r="E975" s="17"/>
      <c r="F975" s="3"/>
      <c r="G975" s="3"/>
      <c r="H975" s="334"/>
      <c r="I975" s="334"/>
      <c r="J975" s="334"/>
      <c r="K975" s="3"/>
      <c r="L975" s="3"/>
      <c r="M975" s="3"/>
      <c r="N975" s="3"/>
      <c r="V975" s="3"/>
      <c r="W975" s="3"/>
      <c r="X975" s="3"/>
      <c r="Y975" s="3"/>
      <c r="Z975" s="3"/>
      <c r="AA975" s="3"/>
      <c r="AB975" s="3"/>
    </row>
    <row r="976" spans="1:28">
      <c r="A976" s="3"/>
      <c r="B976" s="334"/>
      <c r="C976" s="3"/>
      <c r="D976" s="3"/>
      <c r="E976" s="17"/>
      <c r="F976" s="3"/>
      <c r="G976" s="3"/>
      <c r="H976" s="334"/>
      <c r="I976" s="334"/>
      <c r="J976" s="334"/>
      <c r="K976" s="3"/>
      <c r="L976" s="3"/>
      <c r="M976" s="3"/>
      <c r="N976" s="3"/>
      <c r="V976" s="3"/>
      <c r="W976" s="3"/>
      <c r="X976" s="3"/>
      <c r="Y976" s="3"/>
      <c r="Z976" s="3"/>
      <c r="AA976" s="3"/>
      <c r="AB976" s="3"/>
    </row>
    <row r="977" spans="1:28">
      <c r="A977" s="3"/>
      <c r="B977" s="334"/>
      <c r="C977" s="3"/>
      <c r="D977" s="3"/>
      <c r="E977" s="17"/>
      <c r="F977" s="3"/>
      <c r="G977" s="3"/>
      <c r="H977" s="334"/>
      <c r="I977" s="334"/>
      <c r="J977" s="334"/>
      <c r="K977" s="3"/>
      <c r="L977" s="3"/>
      <c r="M977" s="3"/>
      <c r="N977" s="3"/>
      <c r="V977" s="3"/>
      <c r="W977" s="3"/>
      <c r="X977" s="3"/>
      <c r="Y977" s="3"/>
      <c r="Z977" s="3"/>
      <c r="AA977" s="3"/>
      <c r="AB977" s="3"/>
    </row>
    <row r="978" spans="1:28">
      <c r="A978" s="3"/>
      <c r="B978" s="334"/>
      <c r="C978" s="3"/>
      <c r="D978" s="3"/>
      <c r="E978" s="17"/>
      <c r="F978" s="3"/>
      <c r="G978" s="3"/>
      <c r="H978" s="334"/>
      <c r="I978" s="334"/>
      <c r="J978" s="334"/>
      <c r="K978" s="3"/>
      <c r="L978" s="3"/>
      <c r="M978" s="3"/>
      <c r="N978" s="3"/>
      <c r="V978" s="3"/>
      <c r="W978" s="3"/>
      <c r="X978" s="3"/>
      <c r="Y978" s="3"/>
      <c r="Z978" s="3"/>
      <c r="AA978" s="3"/>
      <c r="AB978" s="3"/>
    </row>
    <row r="979" spans="1:28">
      <c r="A979" s="3"/>
      <c r="B979" s="334"/>
      <c r="C979" s="3"/>
      <c r="D979" s="3"/>
      <c r="E979" s="17"/>
      <c r="F979" s="3"/>
      <c r="G979" s="3"/>
      <c r="H979" s="334"/>
      <c r="I979" s="334"/>
      <c r="J979" s="334"/>
      <c r="K979" s="3"/>
      <c r="L979" s="3"/>
      <c r="M979" s="3"/>
      <c r="N979" s="3"/>
      <c r="V979" s="3"/>
      <c r="W979" s="3"/>
      <c r="X979" s="3"/>
      <c r="Y979" s="3"/>
      <c r="Z979" s="3"/>
      <c r="AA979" s="3"/>
      <c r="AB979" s="3"/>
    </row>
  </sheetData>
  <autoFilter ref="A2:AC877">
    <filterColumn colId="15">
      <filters>
        <filter val="DIASOL"/>
      </filters>
    </filterColumn>
  </autoFilter>
  <sortState ref="A3:AC877">
    <sortCondition ref="H3:H877"/>
    <sortCondition ref="I3:I877"/>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dataValidations count="7">
    <dataValidation type="list" allowBlank="1" showInputMessage="1" showErrorMessage="1" sqref="J3:J877">
      <formula1>Jueces!$A$1:$A$20</formula1>
    </dataValidation>
    <dataValidation type="list" allowBlank="1" showInputMessage="1" showErrorMessage="1" sqref="L3:L877">
      <formula1>'fiscalias penales'!$A$1:$A$150</formula1>
    </dataValidation>
    <dataValidation type="list" allowBlank="1" showInputMessage="1" showErrorMessage="1" sqref="M3:M877">
      <formula1>defensores!$A$1:$A$164</formula1>
    </dataValidation>
    <dataValidation type="list" allowBlank="1" showInputMessage="1" showErrorMessage="1" sqref="G3:G877">
      <formula1>Internos!$A$1:$A$17</formula1>
    </dataValidation>
    <dataValidation type="list" allowBlank="1" showInputMessage="1" showErrorMessage="1" sqref="K582 L1:L2">
      <formula1>'fiscalias penales'!$A$1:$A$51</formula1>
    </dataValidation>
    <dataValidation type="list" allowBlank="1" showInputMessage="1" showErrorMessage="1" sqref="Q2:Q814">
      <formula1>Resultados!$A$1:$A$30</formula1>
    </dataValidation>
    <dataValidation type="list" allowBlank="1" showInputMessage="1" showErrorMessage="1" sqref="G2">
      <formula1>Internos!$A$1:$A$15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6" hidden="1" customWidth="1"/>
    <col min="3" max="3" width="25.5703125" style="167" customWidth="1"/>
    <col min="4" max="4" width="30.7109375" style="164" hidden="1" customWidth="1"/>
    <col min="5" max="5" width="25.5703125" style="167" customWidth="1"/>
    <col min="6" max="6" width="30.7109375" style="164" hidden="1" customWidth="1"/>
    <col min="7" max="7" width="25.5703125" style="167" customWidth="1"/>
    <col min="8" max="8" width="30.7109375" style="164" hidden="1" customWidth="1"/>
    <col min="9" max="9" width="25.5703125" style="167" customWidth="1"/>
    <col min="10" max="10" width="30.7109375" style="164" hidden="1" customWidth="1"/>
    <col min="11" max="11" width="25.5703125" style="167" customWidth="1"/>
    <col min="12" max="12" width="1" style="164" customWidth="1"/>
    <col min="13" max="13" width="30.7109375" style="164" customWidth="1"/>
    <col min="14" max="16384" width="11.42578125" style="164"/>
  </cols>
  <sheetData>
    <row r="1" spans="1:13" s="158" customFormat="1" ht="18.75" thickBot="1">
      <c r="A1" s="157"/>
      <c r="B1" s="157"/>
      <c r="C1" s="184">
        <f>M4</f>
        <v>45201</v>
      </c>
      <c r="D1" s="185"/>
      <c r="E1" s="184">
        <f>C1+1</f>
        <v>45202</v>
      </c>
      <c r="F1" s="185"/>
      <c r="G1" s="184">
        <f>E1+1</f>
        <v>45203</v>
      </c>
      <c r="H1" s="185"/>
      <c r="I1" s="184">
        <f>G1+1</f>
        <v>45204</v>
      </c>
      <c r="J1" s="185"/>
      <c r="K1" s="184">
        <f t="shared" ref="K1" si="0">I1+1</f>
        <v>45205</v>
      </c>
    </row>
    <row r="2" spans="1:13" ht="117">
      <c r="A2" s="159">
        <v>1</v>
      </c>
      <c r="B2" s="160" t="str">
        <f>CONCATENATE(TEXT(C$1,"dd/mm/yyyy"),$A2)</f>
        <v>02/10/20231</v>
      </c>
      <c r="C2" s="161"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2" t="str">
        <f>CONCATENATE(TEXT(E$1,"dd/mm/yyyy"),$A2)</f>
        <v>03/10/20231</v>
      </c>
      <c r="E2" s="161"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2" t="str">
        <f>CONCATENATE(TEXT(G$1,"dd/mm/yyyy"),$A2)</f>
        <v>04/10/20231</v>
      </c>
      <c r="G2" s="161"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3" t="str">
        <f>CONCATENATE(TEXT(I$1,"dd/mm/yyyy"),$A2)</f>
        <v>05/10/20231</v>
      </c>
      <c r="I2" s="161"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3" t="str">
        <f>CONCATENATE(TEXT(K$1,"dd/mm/yyyy"),$A2)</f>
        <v>06/10/20231</v>
      </c>
      <c r="K2" s="186"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9">
        <v>2</v>
      </c>
      <c r="B3" s="160" t="str">
        <f>CONCATENATE(TEXT(C$1,"dd/mm/yyyy"),$A3)</f>
        <v>02/10/20232</v>
      </c>
      <c r="C3" s="161"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3" t="str">
        <f>CONCATENATE(TEXT(E$1,"dd/mm/yyyy"),$A3)</f>
        <v>03/10/20232</v>
      </c>
      <c r="E3" s="161"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3" t="str">
        <f>CONCATENATE(TEXT(G$1,"dd/mm/yyyy"),$A3)</f>
        <v>04/10/20232</v>
      </c>
      <c r="G3" s="161"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3" t="str">
        <f>CONCATENATE(TEXT(I$1,"dd/mm/yyyy"),$A3)</f>
        <v>05/10/20232</v>
      </c>
      <c r="I3" s="161"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3" t="str">
        <f>CONCATENATE(TEXT(K$1,"dd/mm/yyyy"),$A3)</f>
        <v>06/10/20232</v>
      </c>
      <c r="K3" s="186"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8"/>
    </row>
    <row r="4" spans="1:13" ht="108">
      <c r="A4" s="159">
        <v>3</v>
      </c>
      <c r="B4" s="160" t="str">
        <f t="shared" ref="B4:F11" si="1">CONCATENATE(TEXT(C$1,"dd/mm/yyyy"),$A4)</f>
        <v>02/10/20233</v>
      </c>
      <c r="C4" s="161"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3" t="str">
        <f t="shared" si="1"/>
        <v>03/10/20233</v>
      </c>
      <c r="E4" s="161"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3" t="str">
        <f t="shared" si="1"/>
        <v>04/10/20233</v>
      </c>
      <c r="G4" s="161"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3" t="str">
        <f t="shared" ref="H4:H11" si="2">CONCATENATE(TEXT(I$1,"dd/mm/yyyy"),$A4)</f>
        <v>05/10/20233</v>
      </c>
      <c r="I4" s="161"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3" t="str">
        <f t="shared" ref="J4:J11" si="3">CONCATENATE(TEXT(K$1,"dd/mm/yyyy"),$A4)</f>
        <v>06/10/20233</v>
      </c>
      <c r="K4" s="186"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7">
        <v>45201</v>
      </c>
    </row>
    <row r="5" spans="1:13" ht="108">
      <c r="A5" s="159">
        <v>4</v>
      </c>
      <c r="B5" s="160" t="str">
        <f t="shared" si="1"/>
        <v>02/10/20234</v>
      </c>
      <c r="C5" s="161"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3" t="str">
        <f t="shared" si="1"/>
        <v>03/10/20234</v>
      </c>
      <c r="E5" s="161"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3" t="str">
        <f t="shared" si="1"/>
        <v>04/10/20234</v>
      </c>
      <c r="G5" s="161"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3" t="str">
        <f t="shared" si="2"/>
        <v>05/10/20234</v>
      </c>
      <c r="I5" s="161"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3" t="str">
        <f t="shared" si="3"/>
        <v>06/10/20234</v>
      </c>
      <c r="K5" s="186"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9">
        <v>5</v>
      </c>
      <c r="B6" s="160" t="str">
        <f t="shared" si="1"/>
        <v>02/10/20235</v>
      </c>
      <c r="C6" s="161"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3" t="str">
        <f t="shared" si="1"/>
        <v>03/10/20235</v>
      </c>
      <c r="E6" s="161"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3" t="str">
        <f t="shared" si="1"/>
        <v>04/10/20235</v>
      </c>
      <c r="G6" s="161"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3" t="str">
        <f t="shared" si="2"/>
        <v>05/10/20235</v>
      </c>
      <c r="I6" s="161"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3" t="str">
        <f t="shared" si="3"/>
        <v>06/10/20235</v>
      </c>
      <c r="K6" s="186"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9">
        <v>6</v>
      </c>
      <c r="B7" s="160" t="str">
        <f t="shared" si="1"/>
        <v>02/10/20236</v>
      </c>
      <c r="C7" s="161"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3" t="str">
        <f t="shared" si="1"/>
        <v>03/10/20236</v>
      </c>
      <c r="E7" s="161"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3" t="str">
        <f t="shared" si="1"/>
        <v>04/10/20236</v>
      </c>
      <c r="G7" s="161"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3" t="str">
        <f t="shared" si="2"/>
        <v>05/10/20236</v>
      </c>
      <c r="I7" s="161"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3" t="str">
        <f t="shared" si="3"/>
        <v>06/10/20236</v>
      </c>
      <c r="K7" s="186"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5">
        <v>7</v>
      </c>
      <c r="B8" s="160" t="str">
        <f t="shared" si="1"/>
        <v>02/10/20237</v>
      </c>
      <c r="C8" s="161"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3" t="str">
        <f t="shared" si="1"/>
        <v>03/10/20237</v>
      </c>
      <c r="E8" s="161"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3" t="str">
        <f t="shared" si="1"/>
        <v>04/10/20237</v>
      </c>
      <c r="G8" s="161"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3" t="str">
        <f t="shared" si="2"/>
        <v>05/10/20237</v>
      </c>
      <c r="I8" s="161"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3" t="str">
        <f t="shared" si="3"/>
        <v>06/10/20237</v>
      </c>
      <c r="K8" s="186"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5">
        <v>8</v>
      </c>
      <c r="B9" s="160" t="str">
        <f t="shared" si="1"/>
        <v>02/10/20238</v>
      </c>
      <c r="C9" s="161"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3" t="str">
        <f t="shared" si="1"/>
        <v>03/10/20238</v>
      </c>
      <c r="E9" s="161"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3" t="str">
        <f t="shared" si="1"/>
        <v>04/10/20238</v>
      </c>
      <c r="G9" s="161"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3" t="str">
        <f t="shared" si="2"/>
        <v>05/10/20238</v>
      </c>
      <c r="I9" s="161"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3" t="str">
        <f t="shared" si="3"/>
        <v>06/10/20238</v>
      </c>
      <c r="K9" s="186"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5">
        <v>9</v>
      </c>
      <c r="B10" s="160" t="str">
        <f t="shared" si="1"/>
        <v>02/10/20239</v>
      </c>
      <c r="C10" s="161"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3" t="str">
        <f t="shared" si="1"/>
        <v>03/10/20239</v>
      </c>
      <c r="E10" s="161"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3" t="str">
        <f t="shared" si="1"/>
        <v>04/10/20239</v>
      </c>
      <c r="G10" s="161"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3" t="str">
        <f t="shared" si="2"/>
        <v>05/10/20239</v>
      </c>
      <c r="I10" s="161"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3" t="str">
        <f t="shared" si="3"/>
        <v>06/10/20239</v>
      </c>
      <c r="K10" s="186"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5">
        <v>10</v>
      </c>
      <c r="B11" s="160" t="str">
        <f t="shared" si="1"/>
        <v>02/10/202310</v>
      </c>
      <c r="C11" s="187"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8" t="str">
        <f t="shared" si="1"/>
        <v>03/10/202310</v>
      </c>
      <c r="E11" s="187"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8" t="str">
        <f t="shared" si="1"/>
        <v>04/10/202310</v>
      </c>
      <c r="G11" s="187"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8" t="str">
        <f t="shared" si="2"/>
        <v>05/10/202310</v>
      </c>
      <c r="I11" s="187"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8" t="str">
        <f t="shared" si="3"/>
        <v>06/10/202310</v>
      </c>
      <c r="K11" s="189"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7" t="s">
        <v>2180</v>
      </c>
    </row>
    <row r="26" spans="3:11" ht="12" thickBot="1"/>
    <row r="27" spans="3:11" ht="18.75" thickBot="1">
      <c r="C27" s="184">
        <f>M30</f>
        <v>0</v>
      </c>
      <c r="D27" s="185"/>
      <c r="E27" s="184">
        <f>C27+1</f>
        <v>1</v>
      </c>
      <c r="F27" s="185"/>
      <c r="G27" s="184">
        <f>E27+1</f>
        <v>2</v>
      </c>
      <c r="H27" s="185"/>
      <c r="I27" s="184">
        <f>G27+1</f>
        <v>3</v>
      </c>
      <c r="J27" s="185"/>
      <c r="K27" s="184">
        <f t="shared" ref="K27" si="4">I27+1</f>
        <v>4</v>
      </c>
    </row>
    <row r="28" spans="3:11">
      <c r="C28" s="161"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2" t="str">
        <f>CONCATENATE(TEXT(E$1,"dd/mm/yyyy"),$A28)</f>
        <v>03/10/2023</v>
      </c>
      <c r="E28" s="161"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2" t="str">
        <f>CONCATENATE(TEXT(G$1,"dd/mm/yyyy"),$A28)</f>
        <v>04/10/2023</v>
      </c>
      <c r="G28" s="161"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3" t="str">
        <f>CONCATENATE(TEXT(I$1,"dd/mm/yyyy"),$A28)</f>
        <v>05/10/2023</v>
      </c>
      <c r="I28" s="161"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3" t="str">
        <f>CONCATENATE(TEXT(K$1,"dd/mm/yyyy"),$A28)</f>
        <v>06/10/2023</v>
      </c>
      <c r="K28" s="186"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1"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3" t="str">
        <f>CONCATENATE(TEXT(E$1,"dd/mm/yyyy"),$A29)</f>
        <v>03/10/2023</v>
      </c>
      <c r="E29" s="161"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3" t="str">
        <f>CONCATENATE(TEXT(G$1,"dd/mm/yyyy"),$A29)</f>
        <v>04/10/2023</v>
      </c>
      <c r="G29" s="161"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3" t="str">
        <f>CONCATENATE(TEXT(I$1,"dd/mm/yyyy"),$A29)</f>
        <v>05/10/2023</v>
      </c>
      <c r="I29" s="161"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3" t="str">
        <f>CONCATENATE(TEXT(K$1,"dd/mm/yyyy"),$A29)</f>
        <v>06/10/2023</v>
      </c>
      <c r="K29" s="186"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1"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3" t="str">
        <f t="shared" ref="D30:D37" si="5">CONCATENATE(TEXT(E$1,"dd/mm/yyyy"),$A30)</f>
        <v>03/10/2023</v>
      </c>
      <c r="E30" s="161"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3" t="str">
        <f t="shared" ref="F30:F37" si="6">CONCATENATE(TEXT(G$1,"dd/mm/yyyy"),$A30)</f>
        <v>04/10/2023</v>
      </c>
      <c r="G30" s="161"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3" t="str">
        <f t="shared" ref="H30:H37" si="7">CONCATENATE(TEXT(I$1,"dd/mm/yyyy"),$A30)</f>
        <v>05/10/2023</v>
      </c>
      <c r="I30" s="161"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3" t="str">
        <f t="shared" ref="J30:J37" si="8">CONCATENATE(TEXT(K$1,"dd/mm/yyyy"),$A30)</f>
        <v>06/10/2023</v>
      </c>
      <c r="K30" s="186"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1"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3" t="str">
        <f t="shared" si="5"/>
        <v>03/10/2023</v>
      </c>
      <c r="E31" s="161"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3" t="str">
        <f t="shared" si="6"/>
        <v>04/10/2023</v>
      </c>
      <c r="G31" s="161"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3" t="str">
        <f t="shared" si="7"/>
        <v>05/10/2023</v>
      </c>
      <c r="I31" s="161"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3" t="str">
        <f t="shared" si="8"/>
        <v>06/10/2023</v>
      </c>
      <c r="K31" s="186"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1"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3" t="str">
        <f t="shared" si="5"/>
        <v>03/10/2023</v>
      </c>
      <c r="E32" s="161"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3" t="str">
        <f t="shared" si="6"/>
        <v>04/10/2023</v>
      </c>
      <c r="G32" s="161"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3" t="str">
        <f t="shared" si="7"/>
        <v>05/10/2023</v>
      </c>
      <c r="I32" s="161"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3" t="str">
        <f t="shared" si="8"/>
        <v>06/10/2023</v>
      </c>
      <c r="K32" s="186"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1"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3" t="str">
        <f t="shared" si="5"/>
        <v>03/10/2023</v>
      </c>
      <c r="E33" s="161"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3" t="str">
        <f t="shared" si="6"/>
        <v>04/10/2023</v>
      </c>
      <c r="G33" s="161"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3" t="str">
        <f t="shared" si="7"/>
        <v>05/10/2023</v>
      </c>
      <c r="I33" s="161"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3" t="str">
        <f t="shared" si="8"/>
        <v>06/10/2023</v>
      </c>
      <c r="K33" s="186"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1"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3" t="str">
        <f t="shared" si="5"/>
        <v>03/10/2023</v>
      </c>
      <c r="E34" s="161"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3" t="str">
        <f t="shared" si="6"/>
        <v>04/10/2023</v>
      </c>
      <c r="G34" s="161"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3" t="str">
        <f t="shared" si="7"/>
        <v>05/10/2023</v>
      </c>
      <c r="I34" s="161"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3" t="str">
        <f t="shared" si="8"/>
        <v>06/10/2023</v>
      </c>
      <c r="K34" s="186"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1"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3" t="str">
        <f t="shared" si="5"/>
        <v>03/10/2023</v>
      </c>
      <c r="E35" s="161"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3" t="str">
        <f t="shared" si="6"/>
        <v>04/10/2023</v>
      </c>
      <c r="G35" s="161"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3" t="str">
        <f t="shared" si="7"/>
        <v>05/10/2023</v>
      </c>
      <c r="I35" s="161"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3" t="str">
        <f t="shared" si="8"/>
        <v>06/10/2023</v>
      </c>
      <c r="K35" s="186"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1"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3" t="str">
        <f t="shared" si="5"/>
        <v>03/10/2023</v>
      </c>
      <c r="E36" s="161"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3" t="str">
        <f t="shared" si="6"/>
        <v>04/10/2023</v>
      </c>
      <c r="G36" s="161"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3" t="str">
        <f t="shared" si="7"/>
        <v>05/10/2023</v>
      </c>
      <c r="I36" s="161"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3" t="str">
        <f t="shared" si="8"/>
        <v>06/10/2023</v>
      </c>
      <c r="K36" s="186"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7"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8" t="str">
        <f t="shared" si="5"/>
        <v>03/10/2023</v>
      </c>
      <c r="E37" s="187"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8" t="str">
        <f t="shared" si="6"/>
        <v>04/10/2023</v>
      </c>
      <c r="G37" s="187"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8" t="str">
        <f t="shared" si="7"/>
        <v>05/10/2023</v>
      </c>
      <c r="I37" s="187"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8" t="str">
        <f t="shared" si="8"/>
        <v>06/10/2023</v>
      </c>
      <c r="K37" s="189"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AQ51"/>
  <sheetViews>
    <sheetView workbookViewId="0">
      <selection activeCell="AN30" sqref="AN30"/>
    </sheetView>
  </sheetViews>
  <sheetFormatPr baseColWidth="10" defaultRowHeight="12.75"/>
  <sheetData>
    <row r="4" spans="1:40" ht="13.5" thickBot="1"/>
    <row r="5" spans="1:40">
      <c r="A5" s="125" t="s">
        <v>382</v>
      </c>
      <c r="B5" s="126" t="s">
        <v>1220</v>
      </c>
      <c r="C5" s="127"/>
      <c r="D5" s="128"/>
      <c r="E5" s="126" t="s">
        <v>1622</v>
      </c>
      <c r="F5" s="127"/>
      <c r="G5" s="128"/>
      <c r="H5" s="126" t="s">
        <v>35</v>
      </c>
      <c r="I5" s="127"/>
      <c r="J5" s="128"/>
      <c r="K5" s="126" t="s">
        <v>33</v>
      </c>
      <c r="L5" s="127"/>
      <c r="M5" s="128"/>
      <c r="N5" s="129" t="s">
        <v>1623</v>
      </c>
      <c r="O5" s="127"/>
      <c r="P5" s="128"/>
      <c r="Q5" s="126" t="s">
        <v>1225</v>
      </c>
      <c r="R5" s="127"/>
      <c r="S5" s="128"/>
      <c r="T5" s="126" t="s">
        <v>1221</v>
      </c>
      <c r="U5" s="130"/>
      <c r="V5" s="131"/>
      <c r="W5" s="126" t="s">
        <v>78</v>
      </c>
      <c r="X5" s="127"/>
      <c r="Y5" s="128"/>
      <c r="Z5" s="126" t="s">
        <v>1223</v>
      </c>
      <c r="AA5" s="130"/>
      <c r="AB5" s="131"/>
      <c r="AC5" s="126" t="s">
        <v>1222</v>
      </c>
      <c r="AD5" s="130"/>
      <c r="AE5" s="131"/>
      <c r="AF5" s="126" t="s">
        <v>1624</v>
      </c>
      <c r="AG5" s="130"/>
      <c r="AH5" s="131"/>
      <c r="AI5" s="126" t="s">
        <v>1625</v>
      </c>
      <c r="AJ5" s="130"/>
      <c r="AK5" s="131"/>
      <c r="AL5" s="126" t="s">
        <v>1224</v>
      </c>
      <c r="AM5" s="130"/>
      <c r="AN5" s="131"/>
    </row>
    <row r="6" spans="1:40" ht="13.5" thickBot="1">
      <c r="A6" s="132" t="s">
        <v>1626</v>
      </c>
      <c r="B6" s="133" t="s">
        <v>1627</v>
      </c>
      <c r="C6" s="134" t="s">
        <v>1628</v>
      </c>
      <c r="D6" s="135" t="s">
        <v>1629</v>
      </c>
      <c r="E6" s="133" t="s">
        <v>1627</v>
      </c>
      <c r="F6" s="134" t="s">
        <v>1628</v>
      </c>
      <c r="G6" s="135" t="s">
        <v>1630</v>
      </c>
      <c r="H6" s="133" t="s">
        <v>1627</v>
      </c>
      <c r="I6" s="136" t="s">
        <v>1628</v>
      </c>
      <c r="J6" s="135" t="s">
        <v>1630</v>
      </c>
      <c r="K6" s="133" t="s">
        <v>1627</v>
      </c>
      <c r="L6" s="134" t="s">
        <v>1628</v>
      </c>
      <c r="M6" s="135" t="s">
        <v>1630</v>
      </c>
      <c r="N6" s="133" t="s">
        <v>1627</v>
      </c>
      <c r="O6" s="134" t="s">
        <v>1628</v>
      </c>
      <c r="P6" s="135" t="s">
        <v>1630</v>
      </c>
      <c r="Q6" s="133" t="s">
        <v>1627</v>
      </c>
      <c r="R6" s="134" t="s">
        <v>1628</v>
      </c>
      <c r="S6" s="135" t="s">
        <v>1630</v>
      </c>
      <c r="T6" s="133" t="s">
        <v>1627</v>
      </c>
      <c r="U6" s="134" t="s">
        <v>1628</v>
      </c>
      <c r="V6" s="135" t="s">
        <v>1630</v>
      </c>
      <c r="W6" s="133" t="s">
        <v>1627</v>
      </c>
      <c r="X6" s="134" t="s">
        <v>1628</v>
      </c>
      <c r="Y6" s="135" t="s">
        <v>1630</v>
      </c>
      <c r="Z6" s="133" t="s">
        <v>1627</v>
      </c>
      <c r="AA6" s="134" t="s">
        <v>1628</v>
      </c>
      <c r="AB6" s="135" t="s">
        <v>1629</v>
      </c>
      <c r="AC6" s="133" t="s">
        <v>1627</v>
      </c>
      <c r="AD6" s="134" t="s">
        <v>1628</v>
      </c>
      <c r="AE6" s="135" t="s">
        <v>1630</v>
      </c>
      <c r="AF6" s="133" t="s">
        <v>1627</v>
      </c>
      <c r="AG6" s="136" t="s">
        <v>1628</v>
      </c>
      <c r="AH6" s="135" t="s">
        <v>1630</v>
      </c>
      <c r="AI6" s="133" t="s">
        <v>1627</v>
      </c>
      <c r="AJ6" s="134" t="s">
        <v>1628</v>
      </c>
      <c r="AK6" s="135" t="s">
        <v>1630</v>
      </c>
      <c r="AL6" s="133" t="s">
        <v>1627</v>
      </c>
      <c r="AM6" s="134" t="s">
        <v>1628</v>
      </c>
      <c r="AN6" s="135" t="s">
        <v>1630</v>
      </c>
    </row>
    <row r="7" spans="1:40">
      <c r="A7" s="137" t="s">
        <v>1631</v>
      </c>
      <c r="B7" s="138">
        <v>45117</v>
      </c>
      <c r="C7" s="139">
        <v>45117</v>
      </c>
      <c r="D7" s="140">
        <v>1</v>
      </c>
      <c r="E7" s="138">
        <v>45110</v>
      </c>
      <c r="F7" s="139">
        <v>45114</v>
      </c>
      <c r="G7" s="140">
        <v>5</v>
      </c>
      <c r="H7" s="138"/>
      <c r="I7" s="139"/>
      <c r="J7" s="140"/>
      <c r="K7" s="138">
        <v>45089</v>
      </c>
      <c r="L7" s="139">
        <v>45100</v>
      </c>
      <c r="M7" s="140">
        <v>8</v>
      </c>
      <c r="N7" s="141"/>
      <c r="O7" s="141"/>
      <c r="P7" s="140"/>
      <c r="Q7" s="141"/>
      <c r="R7" s="141"/>
      <c r="S7" s="140"/>
      <c r="T7" s="141"/>
      <c r="U7" s="141"/>
      <c r="V7" s="140"/>
      <c r="W7" s="141">
        <v>45209</v>
      </c>
      <c r="X7" s="141">
        <v>45222</v>
      </c>
      <c r="Y7" s="140">
        <v>8</v>
      </c>
      <c r="Z7" s="138">
        <v>45110</v>
      </c>
      <c r="AA7" s="139">
        <v>45114</v>
      </c>
      <c r="AB7" s="140">
        <v>5</v>
      </c>
      <c r="AC7" s="321" t="s">
        <v>2966</v>
      </c>
      <c r="AD7" s="322" t="s">
        <v>2967</v>
      </c>
      <c r="AE7" s="140">
        <v>15</v>
      </c>
      <c r="AF7" s="138"/>
      <c r="AG7" s="139"/>
      <c r="AH7" s="140"/>
      <c r="AI7" s="138"/>
      <c r="AJ7" s="139"/>
      <c r="AK7" s="140"/>
      <c r="AL7" s="141">
        <v>45100</v>
      </c>
      <c r="AM7" s="141">
        <v>45107</v>
      </c>
      <c r="AN7" s="140">
        <v>6</v>
      </c>
    </row>
    <row r="8" spans="1:40">
      <c r="A8" s="142"/>
      <c r="B8" s="143"/>
      <c r="C8" s="144"/>
      <c r="D8" s="140"/>
      <c r="E8" s="143">
        <v>45173</v>
      </c>
      <c r="F8" s="144">
        <v>45175</v>
      </c>
      <c r="G8" s="140">
        <v>3</v>
      </c>
      <c r="H8" s="143"/>
      <c r="I8" s="144"/>
      <c r="J8" s="140"/>
      <c r="K8" s="143">
        <v>45170</v>
      </c>
      <c r="L8" s="144">
        <v>45170</v>
      </c>
      <c r="M8" s="140">
        <v>1</v>
      </c>
      <c r="N8" s="143"/>
      <c r="O8" s="144"/>
      <c r="P8" s="140"/>
      <c r="Q8" s="143"/>
      <c r="R8" s="144"/>
      <c r="S8" s="140"/>
      <c r="T8" s="143"/>
      <c r="U8" s="144"/>
      <c r="V8" s="140"/>
      <c r="W8" s="143"/>
      <c r="X8" s="144"/>
      <c r="Y8" s="140"/>
      <c r="Z8" s="143">
        <v>45131</v>
      </c>
      <c r="AA8" s="144">
        <v>45132</v>
      </c>
      <c r="AB8" s="140">
        <v>2</v>
      </c>
      <c r="AC8" s="143"/>
      <c r="AD8" s="144"/>
      <c r="AE8" s="140"/>
      <c r="AF8" s="143"/>
      <c r="AG8" s="144"/>
      <c r="AH8" s="140"/>
      <c r="AI8" s="143"/>
      <c r="AJ8" s="144"/>
      <c r="AK8" s="140"/>
      <c r="AL8" s="143"/>
      <c r="AM8" s="144"/>
      <c r="AN8" s="140"/>
    </row>
    <row r="9" spans="1:40">
      <c r="A9" s="142"/>
      <c r="B9" s="143"/>
      <c r="C9" s="144"/>
      <c r="D9" s="140"/>
      <c r="E9" s="143"/>
      <c r="F9" s="144"/>
      <c r="G9" s="140"/>
      <c r="H9" s="143"/>
      <c r="I9" s="144"/>
      <c r="J9" s="140"/>
      <c r="K9" s="143"/>
      <c r="L9" s="144"/>
      <c r="M9" s="140"/>
      <c r="N9" s="143"/>
      <c r="O9" s="144"/>
      <c r="P9" s="140"/>
      <c r="Q9" s="143"/>
      <c r="R9" s="144"/>
      <c r="S9" s="140"/>
      <c r="T9" s="143"/>
      <c r="U9" s="144"/>
      <c r="V9" s="140"/>
      <c r="W9" s="143"/>
      <c r="X9" s="144"/>
      <c r="Y9" s="140"/>
      <c r="Z9" s="143"/>
      <c r="AA9" s="144"/>
      <c r="AB9" s="140"/>
      <c r="AC9" s="143"/>
      <c r="AD9" s="144"/>
      <c r="AE9" s="140"/>
      <c r="AF9" s="143"/>
      <c r="AG9" s="144"/>
      <c r="AH9" s="140"/>
      <c r="AI9" s="143"/>
      <c r="AJ9" s="144"/>
      <c r="AK9" s="140"/>
      <c r="AL9" s="143"/>
      <c r="AM9" s="144"/>
      <c r="AN9" s="140"/>
    </row>
    <row r="10" spans="1:40">
      <c r="A10" s="145"/>
      <c r="B10" s="143"/>
      <c r="C10" s="144"/>
      <c r="D10" s="140"/>
      <c r="E10" s="143"/>
      <c r="F10" s="144"/>
      <c r="G10" s="140"/>
      <c r="H10" s="143"/>
      <c r="I10" s="144"/>
      <c r="J10" s="140"/>
      <c r="K10" s="143"/>
      <c r="L10" s="144"/>
      <c r="M10" s="140"/>
      <c r="N10" s="143"/>
      <c r="O10" s="144"/>
      <c r="P10" s="140"/>
      <c r="Q10" s="143"/>
      <c r="R10" s="144"/>
      <c r="S10" s="140"/>
      <c r="T10" s="143"/>
      <c r="U10" s="144"/>
      <c r="V10" s="140"/>
      <c r="W10" s="143"/>
      <c r="X10" s="144"/>
      <c r="Y10" s="140"/>
      <c r="Z10" s="143"/>
      <c r="AA10" s="144"/>
      <c r="AB10" s="140"/>
      <c r="AC10" s="143"/>
      <c r="AD10" s="144"/>
      <c r="AE10" s="140"/>
      <c r="AF10" s="143"/>
      <c r="AG10" s="144"/>
      <c r="AH10" s="140"/>
      <c r="AI10" s="143"/>
      <c r="AJ10" s="144"/>
      <c r="AK10" s="140"/>
      <c r="AL10" s="143"/>
      <c r="AM10" s="144"/>
      <c r="AN10" s="140"/>
    </row>
    <row r="11" spans="1:40">
      <c r="A11" s="145"/>
      <c r="B11" s="143"/>
      <c r="C11" s="144"/>
      <c r="D11" s="140"/>
      <c r="E11" s="143"/>
      <c r="F11" s="144"/>
      <c r="G11" s="140"/>
      <c r="H11" s="143"/>
      <c r="I11" s="144"/>
      <c r="J11" s="140"/>
      <c r="K11" s="143"/>
      <c r="L11" s="144"/>
      <c r="M11" s="140"/>
      <c r="N11" s="143"/>
      <c r="O11" s="144"/>
      <c r="P11" s="140"/>
      <c r="Q11" s="143"/>
      <c r="R11" s="144"/>
      <c r="S11" s="140"/>
      <c r="T11" s="143"/>
      <c r="U11" s="144"/>
      <c r="V11" s="140"/>
      <c r="W11" s="143"/>
      <c r="X11" s="144"/>
      <c r="Y11" s="140"/>
      <c r="Z11" s="143"/>
      <c r="AA11" s="144"/>
      <c r="AB11" s="140"/>
      <c r="AC11" s="143"/>
      <c r="AD11" s="144"/>
      <c r="AE11" s="140"/>
      <c r="AF11" s="143"/>
      <c r="AG11" s="144"/>
      <c r="AH11" s="140"/>
      <c r="AI11" s="143"/>
      <c r="AJ11" s="144"/>
      <c r="AK11" s="140"/>
      <c r="AL11" s="143"/>
      <c r="AM11" s="144"/>
      <c r="AN11" s="140"/>
    </row>
    <row r="12" spans="1:40">
      <c r="A12" s="145"/>
      <c r="B12" s="143"/>
      <c r="C12" s="144"/>
      <c r="D12" s="140"/>
      <c r="E12" s="143"/>
      <c r="F12" s="144"/>
      <c r="G12" s="140"/>
      <c r="H12" s="143"/>
      <c r="I12" s="144"/>
      <c r="J12" s="140"/>
      <c r="K12" s="143"/>
      <c r="L12" s="144"/>
      <c r="M12" s="140"/>
      <c r="N12" s="143"/>
      <c r="O12" s="144"/>
      <c r="P12" s="140"/>
      <c r="Q12" s="143"/>
      <c r="R12" s="144"/>
      <c r="S12" s="140"/>
      <c r="T12" s="143"/>
      <c r="U12" s="144"/>
      <c r="V12" s="140"/>
      <c r="W12" s="143"/>
      <c r="X12" s="144"/>
      <c r="Y12" s="140"/>
      <c r="Z12" s="143"/>
      <c r="AA12" s="144"/>
      <c r="AB12" s="140"/>
      <c r="AC12" s="143"/>
      <c r="AD12" s="144"/>
      <c r="AE12" s="140"/>
      <c r="AF12" s="143"/>
      <c r="AG12" s="144"/>
      <c r="AH12" s="140"/>
      <c r="AI12" s="143"/>
      <c r="AJ12" s="144"/>
      <c r="AK12" s="140"/>
      <c r="AL12" s="143"/>
      <c r="AM12" s="144"/>
      <c r="AN12" s="140"/>
    </row>
    <row r="13" spans="1:40">
      <c r="A13" s="145"/>
      <c r="B13" s="143"/>
      <c r="C13" s="144"/>
      <c r="D13" s="140"/>
      <c r="E13" s="143"/>
      <c r="F13" s="144"/>
      <c r="G13" s="140"/>
      <c r="H13" s="143"/>
      <c r="I13" s="144"/>
      <c r="J13" s="140"/>
      <c r="K13" s="143"/>
      <c r="L13" s="144"/>
      <c r="M13" s="140"/>
      <c r="N13" s="143"/>
      <c r="O13" s="144"/>
      <c r="P13" s="140"/>
      <c r="Q13" s="143"/>
      <c r="R13" s="144"/>
      <c r="S13" s="140"/>
      <c r="T13" s="143"/>
      <c r="U13" s="144"/>
      <c r="V13" s="140"/>
      <c r="W13" s="143"/>
      <c r="X13" s="144"/>
      <c r="Y13" s="140"/>
      <c r="Z13" s="143"/>
      <c r="AA13" s="144"/>
      <c r="AB13" s="140"/>
      <c r="AC13" s="143"/>
      <c r="AD13" s="144"/>
      <c r="AE13" s="140"/>
      <c r="AF13" s="143"/>
      <c r="AG13" s="144"/>
      <c r="AH13" s="140"/>
      <c r="AI13" s="143"/>
      <c r="AJ13" s="144"/>
      <c r="AK13" s="140"/>
      <c r="AL13" s="143"/>
      <c r="AM13" s="144"/>
      <c r="AN13" s="140"/>
    </row>
    <row r="14" spans="1:40">
      <c r="A14" s="145"/>
      <c r="B14" s="143"/>
      <c r="C14" s="144"/>
      <c r="D14" s="140"/>
      <c r="E14" s="143"/>
      <c r="F14" s="144"/>
      <c r="G14" s="140"/>
      <c r="H14" s="143"/>
      <c r="I14" s="144"/>
      <c r="J14" s="140"/>
      <c r="K14" s="143"/>
      <c r="L14" s="144"/>
      <c r="M14" s="140"/>
      <c r="N14" s="143"/>
      <c r="O14" s="144"/>
      <c r="P14" s="140"/>
      <c r="Q14" s="143"/>
      <c r="R14" s="144"/>
      <c r="S14" s="140"/>
      <c r="T14" s="143"/>
      <c r="U14" s="144"/>
      <c r="V14" s="140"/>
      <c r="W14" s="143"/>
      <c r="X14" s="144"/>
      <c r="Y14" s="140"/>
      <c r="Z14" s="143"/>
      <c r="AA14" s="144"/>
      <c r="AB14" s="140"/>
      <c r="AC14" s="143"/>
      <c r="AD14" s="144"/>
      <c r="AE14" s="140"/>
      <c r="AF14" s="143"/>
      <c r="AG14" s="144"/>
      <c r="AH14" s="140"/>
      <c r="AI14" s="143"/>
      <c r="AJ14" s="144"/>
      <c r="AK14" s="140"/>
      <c r="AL14" s="143"/>
      <c r="AM14" s="144"/>
      <c r="AN14" s="140"/>
    </row>
    <row r="15" spans="1:40">
      <c r="A15" s="145"/>
      <c r="B15" s="143"/>
      <c r="C15" s="144"/>
      <c r="D15" s="140"/>
      <c r="E15" s="143"/>
      <c r="F15" s="144"/>
      <c r="G15" s="140"/>
      <c r="H15" s="143"/>
      <c r="I15" s="144"/>
      <c r="J15" s="140"/>
      <c r="K15" s="143"/>
      <c r="L15" s="144"/>
      <c r="M15" s="140"/>
      <c r="N15" s="143"/>
      <c r="O15" s="144"/>
      <c r="P15" s="140"/>
      <c r="Q15" s="143"/>
      <c r="R15" s="144"/>
      <c r="S15" s="140"/>
      <c r="T15" s="143"/>
      <c r="U15" s="144"/>
      <c r="V15" s="140"/>
      <c r="W15" s="143"/>
      <c r="X15" s="144"/>
      <c r="Y15" s="140"/>
      <c r="Z15" s="143"/>
      <c r="AA15" s="144"/>
      <c r="AB15" s="140"/>
      <c r="AC15" s="143"/>
      <c r="AD15" s="144"/>
      <c r="AE15" s="140"/>
      <c r="AF15" s="143"/>
      <c r="AG15" s="144"/>
      <c r="AH15" s="140"/>
      <c r="AI15" s="143"/>
      <c r="AJ15" s="144"/>
      <c r="AK15" s="140"/>
      <c r="AL15" s="143"/>
      <c r="AM15" s="144"/>
      <c r="AN15" s="140"/>
    </row>
    <row r="16" spans="1:40">
      <c r="A16" s="145"/>
      <c r="B16" s="143"/>
      <c r="C16" s="144"/>
      <c r="D16" s="140"/>
      <c r="E16" s="143"/>
      <c r="F16" s="144"/>
      <c r="G16" s="140"/>
      <c r="H16" s="143"/>
      <c r="I16" s="144"/>
      <c r="J16" s="140"/>
      <c r="K16" s="143"/>
      <c r="L16" s="144"/>
      <c r="M16" s="140"/>
      <c r="N16" s="143"/>
      <c r="O16" s="144"/>
      <c r="P16" s="140"/>
      <c r="Q16" s="143"/>
      <c r="R16" s="144"/>
      <c r="S16" s="140"/>
      <c r="T16" s="143"/>
      <c r="U16" s="144"/>
      <c r="V16" s="140"/>
      <c r="W16" s="143"/>
      <c r="X16" s="144"/>
      <c r="Y16" s="140"/>
      <c r="Z16" s="143"/>
      <c r="AA16" s="144"/>
      <c r="AB16" s="140"/>
      <c r="AC16" s="143"/>
      <c r="AD16" s="144"/>
      <c r="AE16" s="140"/>
      <c r="AF16" s="143"/>
      <c r="AG16" s="144"/>
      <c r="AH16" s="140"/>
      <c r="AI16" s="143"/>
      <c r="AJ16" s="144"/>
      <c r="AK16" s="140"/>
      <c r="AL16" s="143"/>
      <c r="AM16" s="144"/>
      <c r="AN16" s="140"/>
    </row>
    <row r="17" spans="1:43">
      <c r="A17" s="145"/>
      <c r="B17" s="143"/>
      <c r="C17" s="144"/>
      <c r="D17" s="140"/>
      <c r="E17" s="143"/>
      <c r="F17" s="144"/>
      <c r="G17" s="140"/>
      <c r="H17" s="143"/>
      <c r="I17" s="144"/>
      <c r="J17" s="140"/>
      <c r="K17" s="143"/>
      <c r="L17" s="144"/>
      <c r="M17" s="140"/>
      <c r="N17" s="143"/>
      <c r="O17" s="144"/>
      <c r="P17" s="140"/>
      <c r="Q17" s="143"/>
      <c r="R17" s="144"/>
      <c r="S17" s="140"/>
      <c r="T17" s="143"/>
      <c r="U17" s="144"/>
      <c r="V17" s="140"/>
      <c r="W17" s="143"/>
      <c r="X17" s="144"/>
      <c r="Y17" s="140"/>
      <c r="Z17" s="143"/>
      <c r="AA17" s="144"/>
      <c r="AB17" s="140"/>
      <c r="AC17" s="143"/>
      <c r="AD17" s="144"/>
      <c r="AE17" s="140"/>
      <c r="AF17" s="143"/>
      <c r="AG17" s="144"/>
      <c r="AH17" s="140"/>
      <c r="AI17" s="143"/>
      <c r="AJ17" s="144"/>
      <c r="AK17" s="140"/>
      <c r="AL17" s="143"/>
      <c r="AM17" s="144"/>
      <c r="AN17" s="140"/>
    </row>
    <row r="18" spans="1:43">
      <c r="A18" s="145"/>
      <c r="B18" s="143"/>
      <c r="C18" s="144"/>
      <c r="D18" s="140"/>
      <c r="E18" s="143"/>
      <c r="F18" s="144"/>
      <c r="G18" s="140"/>
      <c r="H18" s="143"/>
      <c r="I18" s="144"/>
      <c r="J18" s="140"/>
      <c r="K18" s="143"/>
      <c r="L18" s="144"/>
      <c r="M18" s="140"/>
      <c r="N18" s="143"/>
      <c r="O18" s="144"/>
      <c r="P18" s="140"/>
      <c r="Q18" s="143"/>
      <c r="R18" s="144"/>
      <c r="S18" s="140"/>
      <c r="T18" s="143"/>
      <c r="U18" s="144"/>
      <c r="V18" s="140"/>
      <c r="W18" s="143"/>
      <c r="X18" s="144"/>
      <c r="Y18" s="140"/>
      <c r="Z18" s="143"/>
      <c r="AA18" s="144"/>
      <c r="AB18" s="140"/>
      <c r="AC18" s="143"/>
      <c r="AD18" s="144"/>
      <c r="AE18" s="140"/>
      <c r="AF18" s="143"/>
      <c r="AG18" s="144"/>
      <c r="AH18" s="140"/>
      <c r="AI18" s="143"/>
      <c r="AJ18" s="144"/>
      <c r="AK18" s="140"/>
      <c r="AL18" s="143"/>
      <c r="AM18" s="144"/>
      <c r="AN18" s="140"/>
    </row>
    <row r="19" spans="1:43">
      <c r="A19" s="145"/>
      <c r="B19" s="143"/>
      <c r="C19" s="144"/>
      <c r="D19" s="140"/>
      <c r="E19" s="143"/>
      <c r="F19" s="144"/>
      <c r="G19" s="140"/>
      <c r="H19" s="143"/>
      <c r="I19" s="144"/>
      <c r="J19" s="140"/>
      <c r="K19" s="143"/>
      <c r="L19" s="144"/>
      <c r="M19" s="140"/>
      <c r="N19" s="143"/>
      <c r="O19" s="144"/>
      <c r="P19" s="140"/>
      <c r="Q19" s="143"/>
      <c r="R19" s="144"/>
      <c r="S19" s="140"/>
      <c r="T19" s="143"/>
      <c r="U19" s="144"/>
      <c r="V19" s="140"/>
      <c r="W19" s="143"/>
      <c r="X19" s="144"/>
      <c r="Y19" s="140"/>
      <c r="Z19" s="143"/>
      <c r="AA19" s="144"/>
      <c r="AB19" s="140"/>
      <c r="AC19" s="143"/>
      <c r="AD19" s="144"/>
      <c r="AE19" s="140"/>
      <c r="AF19" s="143"/>
      <c r="AG19" s="144"/>
      <c r="AH19" s="140"/>
      <c r="AI19" s="143"/>
      <c r="AJ19" s="144"/>
      <c r="AK19" s="140"/>
      <c r="AL19" s="143"/>
      <c r="AM19" s="144"/>
      <c r="AN19" s="140"/>
    </row>
    <row r="20" spans="1:43">
      <c r="A20" s="145"/>
      <c r="B20" s="143"/>
      <c r="C20" s="144"/>
      <c r="D20" s="140"/>
      <c r="E20" s="143"/>
      <c r="F20" s="144"/>
      <c r="G20" s="140"/>
      <c r="H20" s="143"/>
      <c r="I20" s="144"/>
      <c r="J20" s="140"/>
      <c r="K20" s="143"/>
      <c r="L20" s="144"/>
      <c r="M20" s="140"/>
      <c r="N20" s="143"/>
      <c r="O20" s="144"/>
      <c r="P20" s="140"/>
      <c r="Q20" s="143"/>
      <c r="R20" s="144"/>
      <c r="S20" s="140"/>
      <c r="T20" s="143"/>
      <c r="U20" s="144"/>
      <c r="V20" s="140"/>
      <c r="W20" s="143"/>
      <c r="X20" s="144"/>
      <c r="Y20" s="140"/>
      <c r="Z20" s="143"/>
      <c r="AA20" s="144"/>
      <c r="AB20" s="140"/>
      <c r="AC20" s="143"/>
      <c r="AD20" s="144"/>
      <c r="AE20" s="140"/>
      <c r="AF20" s="143"/>
      <c r="AG20" s="144"/>
      <c r="AH20" s="140"/>
      <c r="AI20" s="143"/>
      <c r="AJ20" s="144"/>
      <c r="AK20" s="140"/>
      <c r="AL20" s="143"/>
      <c r="AM20" s="144"/>
      <c r="AN20" s="140"/>
    </row>
    <row r="21" spans="1:43" ht="13.5" thickBot="1">
      <c r="A21" s="146"/>
      <c r="B21" s="147"/>
      <c r="C21" s="148"/>
      <c r="D21" s="149"/>
      <c r="E21" s="147"/>
      <c r="F21" s="148"/>
      <c r="G21" s="150"/>
      <c r="H21" s="147"/>
      <c r="I21" s="148"/>
      <c r="J21" s="150"/>
      <c r="K21" s="147"/>
      <c r="L21" s="148"/>
      <c r="M21" s="150"/>
      <c r="N21" s="147"/>
      <c r="O21" s="148"/>
      <c r="P21" s="150"/>
      <c r="Q21" s="147"/>
      <c r="R21" s="148"/>
      <c r="S21" s="150"/>
      <c r="T21" s="147"/>
      <c r="U21" s="148"/>
      <c r="V21" s="150"/>
      <c r="W21" s="147"/>
      <c r="X21" s="148"/>
      <c r="Y21" s="150"/>
      <c r="Z21" s="147"/>
      <c r="AA21" s="148"/>
      <c r="AB21" s="151"/>
      <c r="AC21" s="147"/>
      <c r="AD21" s="148"/>
      <c r="AE21" s="150"/>
      <c r="AF21" s="147"/>
      <c r="AG21" s="148"/>
      <c r="AH21" s="150"/>
      <c r="AI21" s="147"/>
      <c r="AJ21" s="148"/>
      <c r="AK21" s="150"/>
      <c r="AL21" s="147"/>
      <c r="AM21" s="148"/>
      <c r="AN21" s="150"/>
    </row>
    <row r="22" spans="1:43" ht="13.5" thickBot="1">
      <c r="A22" s="152" t="s">
        <v>370</v>
      </c>
      <c r="D22" s="153">
        <f>SUM(D7:D21)</f>
        <v>1</v>
      </c>
      <c r="G22" s="153">
        <f>SUM(G7:G21)</f>
        <v>8</v>
      </c>
      <c r="J22" s="153">
        <f>SUM(J7:J21)</f>
        <v>0</v>
      </c>
      <c r="M22" s="153">
        <f>SUM(M7:M21)</f>
        <v>9</v>
      </c>
      <c r="P22" s="153">
        <f>SUM(P7:P21)</f>
        <v>0</v>
      </c>
      <c r="S22" s="153">
        <f>SUM(S7:S21)</f>
        <v>0</v>
      </c>
      <c r="V22" s="153">
        <f>SUM(V7:V21)</f>
        <v>0</v>
      </c>
      <c r="Y22" s="153">
        <f>SUM(Y7:Y21)</f>
        <v>8</v>
      </c>
      <c r="AB22" s="97">
        <f>SUM(AB7:AB21)</f>
        <v>7</v>
      </c>
      <c r="AE22" s="153">
        <f>SUM(AE7:AE21)</f>
        <v>15</v>
      </c>
      <c r="AH22" s="153">
        <f>SUM(AH7:AH21)</f>
        <v>0</v>
      </c>
      <c r="AK22" s="153">
        <f>SUM(AK7:AK21)</f>
        <v>0</v>
      </c>
      <c r="AN22" s="153">
        <f>SUM(AN7:AN21)</f>
        <v>6</v>
      </c>
    </row>
    <row r="26" spans="1:43" ht="13.5" thickBot="1"/>
    <row r="27" spans="1:43">
      <c r="A27" s="154" t="s">
        <v>1632</v>
      </c>
      <c r="B27" s="129" t="s">
        <v>43</v>
      </c>
      <c r="C27" s="127"/>
      <c r="D27" s="128"/>
      <c r="E27" s="129" t="s">
        <v>34</v>
      </c>
      <c r="F27" s="127"/>
      <c r="G27" s="128"/>
      <c r="H27" s="129" t="s">
        <v>29</v>
      </c>
      <c r="I27" s="127"/>
      <c r="J27" s="128"/>
      <c r="K27" s="129" t="s">
        <v>283</v>
      </c>
      <c r="L27" s="127"/>
      <c r="M27" s="128"/>
      <c r="N27" s="129" t="s">
        <v>32</v>
      </c>
      <c r="O27" s="127"/>
      <c r="P27" s="128"/>
      <c r="Q27" s="129" t="s">
        <v>1441</v>
      </c>
      <c r="R27" s="127"/>
      <c r="S27" s="128"/>
      <c r="T27" s="126" t="s">
        <v>568</v>
      </c>
      <c r="U27" s="130"/>
      <c r="V27" s="131"/>
      <c r="W27" s="129" t="s">
        <v>1442</v>
      </c>
      <c r="X27" s="127"/>
      <c r="Y27" s="128"/>
      <c r="Z27" s="126" t="s">
        <v>1443</v>
      </c>
      <c r="AA27" s="130"/>
      <c r="AB27" s="131"/>
      <c r="AC27" s="126" t="s">
        <v>2774</v>
      </c>
      <c r="AD27" s="130"/>
      <c r="AE27" s="131"/>
      <c r="AF27" s="126" t="s">
        <v>2775</v>
      </c>
      <c r="AG27" s="130"/>
      <c r="AH27" s="131"/>
      <c r="AI27" s="126" t="s">
        <v>2776</v>
      </c>
      <c r="AJ27" s="130"/>
      <c r="AK27" s="131"/>
      <c r="AL27" s="126" t="s">
        <v>2789</v>
      </c>
      <c r="AM27" s="130"/>
      <c r="AN27" s="131"/>
      <c r="AO27" s="126" t="s">
        <v>2839</v>
      </c>
      <c r="AP27" s="130"/>
      <c r="AQ27" s="131"/>
    </row>
    <row r="28" spans="1:43" ht="13.5" thickBot="1">
      <c r="A28" s="132" t="s">
        <v>1633</v>
      </c>
      <c r="B28" s="133" t="s">
        <v>1627</v>
      </c>
      <c r="C28" s="134" t="s">
        <v>1628</v>
      </c>
      <c r="D28" s="135" t="s">
        <v>1629</v>
      </c>
      <c r="E28" s="133" t="s">
        <v>1627</v>
      </c>
      <c r="F28" s="134" t="s">
        <v>1628</v>
      </c>
      <c r="G28" s="135" t="s">
        <v>1630</v>
      </c>
      <c r="H28" s="133" t="s">
        <v>1627</v>
      </c>
      <c r="I28" s="136" t="s">
        <v>1628</v>
      </c>
      <c r="J28" s="155" t="s">
        <v>1630</v>
      </c>
      <c r="K28" s="133" t="s">
        <v>1627</v>
      </c>
      <c r="L28" s="134" t="s">
        <v>1628</v>
      </c>
      <c r="M28" s="135" t="s">
        <v>1630</v>
      </c>
      <c r="N28" s="133" t="s">
        <v>1627</v>
      </c>
      <c r="O28" s="134" t="s">
        <v>1628</v>
      </c>
      <c r="P28" s="135" t="s">
        <v>1630</v>
      </c>
      <c r="Q28" s="133" t="s">
        <v>1627</v>
      </c>
      <c r="R28" s="134" t="s">
        <v>1628</v>
      </c>
      <c r="S28" s="135" t="s">
        <v>1630</v>
      </c>
      <c r="T28" s="133" t="s">
        <v>1627</v>
      </c>
      <c r="U28" s="134" t="s">
        <v>1628</v>
      </c>
      <c r="V28" s="135" t="s">
        <v>1630</v>
      </c>
      <c r="W28" s="133" t="s">
        <v>1627</v>
      </c>
      <c r="X28" s="134" t="s">
        <v>1628</v>
      </c>
      <c r="Y28" s="135" t="s">
        <v>1630</v>
      </c>
      <c r="Z28" s="133" t="s">
        <v>1627</v>
      </c>
      <c r="AA28" s="134" t="s">
        <v>1628</v>
      </c>
      <c r="AB28" s="135" t="s">
        <v>1629</v>
      </c>
      <c r="AC28" s="133" t="s">
        <v>1627</v>
      </c>
      <c r="AD28" s="134" t="s">
        <v>1628</v>
      </c>
      <c r="AE28" s="135" t="s">
        <v>1629</v>
      </c>
      <c r="AF28" s="133" t="s">
        <v>1627</v>
      </c>
      <c r="AG28" s="134" t="s">
        <v>1628</v>
      </c>
      <c r="AH28" s="135" t="s">
        <v>1629</v>
      </c>
      <c r="AI28" s="133" t="s">
        <v>1627</v>
      </c>
      <c r="AJ28" s="134" t="s">
        <v>1628</v>
      </c>
      <c r="AK28" s="135" t="s">
        <v>1629</v>
      </c>
      <c r="AL28" s="133" t="s">
        <v>1627</v>
      </c>
      <c r="AM28" s="134" t="s">
        <v>1628</v>
      </c>
      <c r="AN28" s="135" t="s">
        <v>1629</v>
      </c>
      <c r="AO28" s="133" t="s">
        <v>1627</v>
      </c>
      <c r="AP28" s="134" t="s">
        <v>1628</v>
      </c>
      <c r="AQ28" s="135" t="s">
        <v>1629</v>
      </c>
    </row>
    <row r="29" spans="1:43">
      <c r="A29" s="137">
        <v>0</v>
      </c>
      <c r="B29" s="138">
        <v>45160</v>
      </c>
      <c r="C29" s="139">
        <v>45160</v>
      </c>
      <c r="D29" s="140">
        <v>1</v>
      </c>
      <c r="E29" s="138"/>
      <c r="F29" s="139"/>
      <c r="G29" s="140"/>
      <c r="H29" s="138">
        <v>45181</v>
      </c>
      <c r="I29" s="139">
        <v>45181</v>
      </c>
      <c r="J29" s="140">
        <v>1</v>
      </c>
      <c r="K29" s="138">
        <v>45155</v>
      </c>
      <c r="L29" s="139">
        <v>45156</v>
      </c>
      <c r="M29" s="140">
        <v>2</v>
      </c>
      <c r="N29" s="141">
        <v>45160</v>
      </c>
      <c r="O29" s="141">
        <v>45160</v>
      </c>
      <c r="P29" s="140">
        <v>1</v>
      </c>
      <c r="Q29" s="141">
        <v>45107</v>
      </c>
      <c r="R29" s="141">
        <v>45110</v>
      </c>
      <c r="S29" s="140">
        <v>2</v>
      </c>
      <c r="T29" s="141"/>
      <c r="U29" s="141"/>
      <c r="V29" s="140"/>
      <c r="W29" s="141">
        <v>45181</v>
      </c>
      <c r="X29" s="141">
        <v>45181</v>
      </c>
      <c r="Y29" s="140">
        <v>1</v>
      </c>
      <c r="Z29" s="138">
        <v>45114</v>
      </c>
      <c r="AA29" s="139">
        <v>45114</v>
      </c>
      <c r="AB29" s="140">
        <v>1</v>
      </c>
      <c r="AC29" s="138"/>
      <c r="AD29" s="139"/>
      <c r="AE29" s="140"/>
      <c r="AF29" s="138">
        <v>45203</v>
      </c>
      <c r="AG29" s="139">
        <v>45205</v>
      </c>
      <c r="AH29" s="140">
        <v>3</v>
      </c>
      <c r="AI29" s="138"/>
      <c r="AJ29" s="139"/>
      <c r="AK29" s="140"/>
      <c r="AL29" s="138">
        <v>45217</v>
      </c>
      <c r="AM29" s="139">
        <v>45218</v>
      </c>
      <c r="AN29" s="140">
        <v>2</v>
      </c>
      <c r="AO29" s="138"/>
      <c r="AP29" s="139"/>
      <c r="AQ29" s="140"/>
    </row>
    <row r="30" spans="1:43">
      <c r="A30" s="142"/>
      <c r="B30" s="143">
        <v>45166</v>
      </c>
      <c r="C30" s="144">
        <v>45166</v>
      </c>
      <c r="D30" s="140">
        <v>1</v>
      </c>
      <c r="E30" s="143"/>
      <c r="F30" s="144"/>
      <c r="G30" s="140"/>
      <c r="H30" s="143">
        <v>45287</v>
      </c>
      <c r="I30" s="144">
        <v>45289</v>
      </c>
      <c r="J30" s="140">
        <v>3</v>
      </c>
      <c r="K30" s="143"/>
      <c r="L30" s="144"/>
      <c r="M30" s="140"/>
      <c r="N30" s="143">
        <v>45166</v>
      </c>
      <c r="O30" s="144">
        <v>45166</v>
      </c>
      <c r="P30" s="140">
        <v>1</v>
      </c>
      <c r="Q30" s="143"/>
      <c r="R30" s="144"/>
      <c r="S30" s="140"/>
      <c r="T30" s="143"/>
      <c r="U30" s="144"/>
      <c r="V30" s="140"/>
      <c r="W30" s="143">
        <v>45203</v>
      </c>
      <c r="X30" s="144">
        <v>45205</v>
      </c>
      <c r="Y30" s="140">
        <v>3</v>
      </c>
      <c r="Z30" s="143"/>
      <c r="AA30" s="144"/>
      <c r="AB30" s="140"/>
      <c r="AC30" s="143"/>
      <c r="AD30" s="144"/>
      <c r="AE30" s="140"/>
      <c r="AF30" s="361" t="s">
        <v>3213</v>
      </c>
      <c r="AG30" s="144">
        <v>45252</v>
      </c>
      <c r="AH30" s="140">
        <v>13</v>
      </c>
      <c r="AI30" s="143"/>
      <c r="AJ30" s="144"/>
      <c r="AK30" s="140"/>
      <c r="AL30" s="143">
        <v>45223</v>
      </c>
      <c r="AM30" s="144">
        <v>45224</v>
      </c>
      <c r="AN30" s="140">
        <v>2</v>
      </c>
      <c r="AO30" s="143"/>
      <c r="AP30" s="144"/>
      <c r="AQ30" s="140"/>
    </row>
    <row r="31" spans="1:43">
      <c r="A31" s="142"/>
      <c r="B31" s="143">
        <v>45161</v>
      </c>
      <c r="C31" s="144">
        <v>45161</v>
      </c>
      <c r="D31" s="140">
        <v>1</v>
      </c>
      <c r="E31" s="143"/>
      <c r="F31" s="144"/>
      <c r="G31" s="140"/>
      <c r="H31" s="143"/>
      <c r="I31" s="144"/>
      <c r="J31" s="140"/>
      <c r="K31" s="143"/>
      <c r="L31" s="144"/>
      <c r="M31" s="140"/>
      <c r="N31" s="143">
        <v>45180</v>
      </c>
      <c r="O31" s="144">
        <v>45181</v>
      </c>
      <c r="P31" s="140">
        <v>2</v>
      </c>
      <c r="Q31" s="143"/>
      <c r="R31" s="144"/>
      <c r="S31" s="140"/>
      <c r="T31" s="143"/>
      <c r="U31" s="144"/>
      <c r="V31" s="140"/>
      <c r="W31" s="143">
        <v>45217</v>
      </c>
      <c r="X31" s="144">
        <v>45218</v>
      </c>
      <c r="Y31" s="140">
        <v>2</v>
      </c>
      <c r="Z31" s="143"/>
      <c r="AA31" s="144"/>
      <c r="AB31" s="140"/>
      <c r="AC31" s="143"/>
      <c r="AD31" s="144"/>
      <c r="AE31" s="140"/>
      <c r="AF31" s="143"/>
      <c r="AG31" s="144"/>
      <c r="AH31" s="140"/>
      <c r="AI31" s="143"/>
      <c r="AJ31" s="144"/>
      <c r="AK31" s="140"/>
      <c r="AL31" s="143"/>
      <c r="AM31" s="144"/>
      <c r="AN31" s="140"/>
      <c r="AO31" s="143"/>
      <c r="AP31" s="144"/>
      <c r="AQ31" s="140"/>
    </row>
    <row r="32" spans="1:43">
      <c r="A32" s="145"/>
      <c r="B32" s="143">
        <v>45216</v>
      </c>
      <c r="C32" s="144">
        <v>45217</v>
      </c>
      <c r="D32" s="140">
        <v>2</v>
      </c>
      <c r="E32" s="143"/>
      <c r="F32" s="144"/>
      <c r="G32" s="140"/>
      <c r="H32" s="143"/>
      <c r="I32" s="144"/>
      <c r="J32" s="140"/>
      <c r="K32" s="143"/>
      <c r="L32" s="144"/>
      <c r="M32" s="140"/>
      <c r="N32" s="143"/>
      <c r="O32" s="144"/>
      <c r="P32" s="140"/>
      <c r="Q32" s="143"/>
      <c r="R32" s="144"/>
      <c r="S32" s="140"/>
      <c r="T32" s="143"/>
      <c r="U32" s="144"/>
      <c r="V32" s="140"/>
      <c r="W32" s="143">
        <v>45223</v>
      </c>
      <c r="X32" s="144">
        <v>45224</v>
      </c>
      <c r="Y32" s="140">
        <v>2</v>
      </c>
      <c r="Z32" s="143"/>
      <c r="AA32" s="144"/>
      <c r="AB32" s="140"/>
      <c r="AC32" s="143"/>
      <c r="AD32" s="144"/>
      <c r="AE32" s="140"/>
      <c r="AF32" s="143"/>
      <c r="AG32" s="144"/>
      <c r="AH32" s="140"/>
      <c r="AI32" s="143"/>
      <c r="AJ32" s="144"/>
      <c r="AK32" s="140"/>
      <c r="AL32" s="143"/>
      <c r="AM32" s="144"/>
      <c r="AN32" s="140"/>
      <c r="AO32" s="143"/>
      <c r="AP32" s="144"/>
      <c r="AQ32" s="140"/>
    </row>
    <row r="33" spans="1:43">
      <c r="A33" s="145"/>
      <c r="B33" s="143"/>
      <c r="C33" s="144"/>
      <c r="D33" s="140"/>
      <c r="E33" s="143"/>
      <c r="F33" s="144"/>
      <c r="G33" s="140"/>
      <c r="H33" s="143"/>
      <c r="I33" s="144"/>
      <c r="J33" s="140"/>
      <c r="K33" s="143"/>
      <c r="L33" s="144"/>
      <c r="M33" s="140"/>
      <c r="N33" s="143"/>
      <c r="O33" s="144"/>
      <c r="P33" s="140"/>
      <c r="Q33" s="143"/>
      <c r="R33" s="144"/>
      <c r="S33" s="140"/>
      <c r="T33" s="143"/>
      <c r="U33" s="144"/>
      <c r="V33" s="140"/>
      <c r="W33" s="143"/>
      <c r="X33" s="144"/>
      <c r="Y33" s="140"/>
      <c r="Z33" s="143"/>
      <c r="AA33" s="144"/>
      <c r="AB33" s="140"/>
      <c r="AC33" s="143"/>
      <c r="AD33" s="144"/>
      <c r="AE33" s="140"/>
      <c r="AF33" s="143"/>
      <c r="AG33" s="144"/>
      <c r="AH33" s="140"/>
      <c r="AI33" s="143"/>
      <c r="AJ33" s="144"/>
      <c r="AK33" s="140"/>
      <c r="AL33" s="143"/>
      <c r="AM33" s="144"/>
      <c r="AN33" s="140"/>
      <c r="AO33" s="143"/>
      <c r="AP33" s="144"/>
      <c r="AQ33" s="140"/>
    </row>
    <row r="34" spans="1:43">
      <c r="A34" s="145"/>
      <c r="B34" s="143"/>
      <c r="C34" s="144"/>
      <c r="D34" s="140"/>
      <c r="E34" s="143"/>
      <c r="F34" s="144"/>
      <c r="G34" s="140"/>
      <c r="H34" s="143"/>
      <c r="I34" s="144"/>
      <c r="J34" s="140"/>
      <c r="K34" s="143"/>
      <c r="L34" s="144"/>
      <c r="M34" s="140"/>
      <c r="N34" s="143"/>
      <c r="O34" s="144"/>
      <c r="P34" s="140"/>
      <c r="Q34" s="143"/>
      <c r="R34" s="144"/>
      <c r="S34" s="140"/>
      <c r="T34" s="143"/>
      <c r="U34" s="144"/>
      <c r="V34" s="140"/>
      <c r="W34" s="143"/>
      <c r="X34" s="144"/>
      <c r="Y34" s="140"/>
      <c r="Z34" s="143"/>
      <c r="AA34" s="144"/>
      <c r="AB34" s="140"/>
      <c r="AC34" s="143"/>
      <c r="AD34" s="144"/>
      <c r="AE34" s="140"/>
      <c r="AF34" s="143"/>
      <c r="AG34" s="144"/>
      <c r="AH34" s="140"/>
      <c r="AI34" s="143"/>
      <c r="AJ34" s="144"/>
      <c r="AK34" s="140"/>
      <c r="AL34" s="143"/>
      <c r="AM34" s="144"/>
      <c r="AN34" s="140"/>
      <c r="AO34" s="143"/>
      <c r="AP34" s="144"/>
      <c r="AQ34" s="140"/>
    </row>
    <row r="35" spans="1:43">
      <c r="A35" s="145"/>
      <c r="B35" s="143"/>
      <c r="C35" s="144"/>
      <c r="D35" s="140"/>
      <c r="E35" s="143"/>
      <c r="F35" s="144"/>
      <c r="G35" s="140"/>
      <c r="H35" s="143"/>
      <c r="I35" s="144"/>
      <c r="J35" s="140"/>
      <c r="K35" s="143"/>
      <c r="L35" s="144"/>
      <c r="M35" s="140"/>
      <c r="N35" s="143"/>
      <c r="O35" s="144"/>
      <c r="P35" s="140"/>
      <c r="Q35" s="143"/>
      <c r="R35" s="144"/>
      <c r="S35" s="140"/>
      <c r="T35" s="143"/>
      <c r="U35" s="144"/>
      <c r="V35" s="140"/>
      <c r="W35" s="143"/>
      <c r="X35" s="144"/>
      <c r="Y35" s="140"/>
      <c r="Z35" s="143"/>
      <c r="AA35" s="144"/>
      <c r="AB35" s="140"/>
      <c r="AC35" s="143"/>
      <c r="AD35" s="144"/>
      <c r="AE35" s="140"/>
      <c r="AF35" s="143"/>
      <c r="AG35" s="144"/>
      <c r="AH35" s="140"/>
      <c r="AI35" s="143"/>
      <c r="AJ35" s="144"/>
      <c r="AK35" s="140"/>
      <c r="AL35" s="143"/>
      <c r="AM35" s="144"/>
      <c r="AN35" s="140"/>
      <c r="AO35" s="143"/>
      <c r="AP35" s="144"/>
      <c r="AQ35" s="140"/>
    </row>
    <row r="36" spans="1:43">
      <c r="A36" s="145"/>
      <c r="B36" s="143"/>
      <c r="C36" s="144"/>
      <c r="D36" s="140"/>
      <c r="E36" s="143"/>
      <c r="F36" s="144"/>
      <c r="G36" s="140"/>
      <c r="H36" s="143"/>
      <c r="I36" s="144"/>
      <c r="J36" s="140"/>
      <c r="K36" s="143"/>
      <c r="L36" s="144"/>
      <c r="M36" s="140"/>
      <c r="N36" s="143"/>
      <c r="O36" s="144"/>
      <c r="P36" s="140"/>
      <c r="Q36" s="143"/>
      <c r="R36" s="144"/>
      <c r="S36" s="140"/>
      <c r="T36" s="143"/>
      <c r="U36" s="144"/>
      <c r="V36" s="140"/>
      <c r="W36" s="143"/>
      <c r="X36" s="144"/>
      <c r="Y36" s="140"/>
      <c r="Z36" s="143"/>
      <c r="AA36" s="144"/>
      <c r="AB36" s="140"/>
      <c r="AC36" s="143"/>
      <c r="AD36" s="144"/>
      <c r="AE36" s="140"/>
      <c r="AF36" s="143"/>
      <c r="AG36" s="144"/>
      <c r="AH36" s="140"/>
      <c r="AI36" s="143"/>
      <c r="AJ36" s="144"/>
      <c r="AK36" s="140"/>
      <c r="AL36" s="143"/>
      <c r="AM36" s="144"/>
      <c r="AN36" s="140"/>
      <c r="AO36" s="143"/>
      <c r="AP36" s="144"/>
      <c r="AQ36" s="140"/>
    </row>
    <row r="37" spans="1:43">
      <c r="A37" s="145"/>
      <c r="B37" s="143"/>
      <c r="C37" s="144"/>
      <c r="D37" s="140"/>
      <c r="E37" s="143"/>
      <c r="F37" s="144"/>
      <c r="G37" s="140"/>
      <c r="H37" s="143"/>
      <c r="I37" s="144"/>
      <c r="J37" s="140"/>
      <c r="K37" s="143"/>
      <c r="L37" s="144"/>
      <c r="M37" s="140"/>
      <c r="N37" s="143"/>
      <c r="O37" s="144"/>
      <c r="P37" s="140"/>
      <c r="Q37" s="143"/>
      <c r="R37" s="144"/>
      <c r="S37" s="140"/>
      <c r="T37" s="143"/>
      <c r="U37" s="144"/>
      <c r="V37" s="140"/>
      <c r="W37" s="143"/>
      <c r="X37" s="144"/>
      <c r="Y37" s="140"/>
      <c r="Z37" s="143"/>
      <c r="AA37" s="144"/>
      <c r="AB37" s="140"/>
      <c r="AC37" s="143"/>
      <c r="AD37" s="144"/>
      <c r="AE37" s="140"/>
      <c r="AF37" s="143"/>
      <c r="AG37" s="144"/>
      <c r="AH37" s="140"/>
      <c r="AI37" s="143"/>
      <c r="AJ37" s="144"/>
      <c r="AK37" s="140"/>
      <c r="AL37" s="143"/>
      <c r="AM37" s="144"/>
      <c r="AN37" s="140"/>
      <c r="AO37" s="143"/>
      <c r="AP37" s="144"/>
      <c r="AQ37" s="140"/>
    </row>
    <row r="38" spans="1:43">
      <c r="A38" s="145"/>
      <c r="B38" s="143"/>
      <c r="C38" s="144"/>
      <c r="D38" s="140"/>
      <c r="E38" s="143"/>
      <c r="F38" s="144"/>
      <c r="G38" s="140"/>
      <c r="H38" s="143"/>
      <c r="I38" s="144"/>
      <c r="J38" s="140"/>
      <c r="K38" s="143"/>
      <c r="L38" s="144"/>
      <c r="M38" s="140"/>
      <c r="N38" s="143"/>
      <c r="O38" s="144"/>
      <c r="P38" s="140"/>
      <c r="Q38" s="143"/>
      <c r="R38" s="144"/>
      <c r="S38" s="140"/>
      <c r="T38" s="143"/>
      <c r="U38" s="144"/>
      <c r="V38" s="140"/>
      <c r="W38" s="143"/>
      <c r="X38" s="144"/>
      <c r="Y38" s="140"/>
      <c r="Z38" s="143"/>
      <c r="AA38" s="144"/>
      <c r="AB38" s="140"/>
      <c r="AC38" s="143"/>
      <c r="AD38" s="144"/>
      <c r="AE38" s="140"/>
      <c r="AF38" s="143"/>
      <c r="AG38" s="144"/>
      <c r="AH38" s="140"/>
      <c r="AI38" s="143"/>
      <c r="AJ38" s="144"/>
      <c r="AK38" s="140"/>
      <c r="AL38" s="143"/>
      <c r="AM38" s="144"/>
      <c r="AN38" s="140"/>
      <c r="AO38" s="143"/>
      <c r="AP38" s="144"/>
      <c r="AQ38" s="140"/>
    </row>
    <row r="39" spans="1:43">
      <c r="A39" s="145"/>
      <c r="B39" s="143"/>
      <c r="C39" s="144"/>
      <c r="D39" s="140"/>
      <c r="E39" s="143"/>
      <c r="F39" s="144"/>
      <c r="G39" s="140"/>
      <c r="H39" s="143"/>
      <c r="I39" s="144"/>
      <c r="J39" s="140"/>
      <c r="K39" s="143"/>
      <c r="L39" s="144"/>
      <c r="M39" s="140"/>
      <c r="N39" s="143"/>
      <c r="O39" s="144"/>
      <c r="P39" s="140"/>
      <c r="Q39" s="143"/>
      <c r="R39" s="144"/>
      <c r="S39" s="140"/>
      <c r="T39" s="143"/>
      <c r="U39" s="144"/>
      <c r="V39" s="140"/>
      <c r="W39" s="143"/>
      <c r="X39" s="144"/>
      <c r="Y39" s="140"/>
      <c r="Z39" s="143"/>
      <c r="AA39" s="144"/>
      <c r="AB39" s="140"/>
      <c r="AC39" s="143"/>
      <c r="AD39" s="144"/>
      <c r="AE39" s="140"/>
      <c r="AF39" s="143"/>
      <c r="AG39" s="144"/>
      <c r="AH39" s="140"/>
      <c r="AI39" s="143"/>
      <c r="AJ39" s="144"/>
      <c r="AK39" s="140"/>
      <c r="AL39" s="143"/>
      <c r="AM39" s="144"/>
      <c r="AN39" s="140"/>
      <c r="AO39" s="143"/>
      <c r="AP39" s="144"/>
      <c r="AQ39" s="140"/>
    </row>
    <row r="40" spans="1:43">
      <c r="A40" s="145"/>
      <c r="B40" s="143"/>
      <c r="C40" s="144"/>
      <c r="D40" s="140"/>
      <c r="E40" s="143"/>
      <c r="F40" s="144"/>
      <c r="G40" s="140"/>
      <c r="H40" s="143"/>
      <c r="I40" s="144"/>
      <c r="J40" s="140"/>
      <c r="K40" s="143"/>
      <c r="L40" s="144"/>
      <c r="M40" s="140"/>
      <c r="N40" s="143"/>
      <c r="O40" s="144"/>
      <c r="P40" s="140"/>
      <c r="Q40" s="143"/>
      <c r="R40" s="144"/>
      <c r="S40" s="140"/>
      <c r="T40" s="143"/>
      <c r="U40" s="144"/>
      <c r="V40" s="140"/>
      <c r="W40" s="143"/>
      <c r="X40" s="144"/>
      <c r="Y40" s="140"/>
      <c r="Z40" s="143"/>
      <c r="AA40" s="144"/>
      <c r="AB40" s="140"/>
      <c r="AC40" s="143"/>
      <c r="AD40" s="144"/>
      <c r="AE40" s="140"/>
      <c r="AF40" s="143"/>
      <c r="AG40" s="144"/>
      <c r="AH40" s="140"/>
      <c r="AI40" s="143"/>
      <c r="AJ40" s="144"/>
      <c r="AK40" s="140"/>
      <c r="AL40" s="143"/>
      <c r="AM40" s="144"/>
      <c r="AN40" s="140"/>
      <c r="AO40" s="143"/>
      <c r="AP40" s="144"/>
      <c r="AQ40" s="140"/>
    </row>
    <row r="41" spans="1:43">
      <c r="A41" s="145"/>
      <c r="B41" s="143"/>
      <c r="C41" s="144"/>
      <c r="D41" s="140"/>
      <c r="E41" s="143"/>
      <c r="F41" s="144"/>
      <c r="G41" s="140"/>
      <c r="H41" s="143"/>
      <c r="I41" s="144"/>
      <c r="J41" s="140"/>
      <c r="K41" s="143"/>
      <c r="L41" s="144"/>
      <c r="M41" s="140"/>
      <c r="N41" s="143"/>
      <c r="O41" s="144"/>
      <c r="P41" s="140"/>
      <c r="Q41" s="143"/>
      <c r="R41" s="144"/>
      <c r="S41" s="140"/>
      <c r="T41" s="143"/>
      <c r="U41" s="144"/>
      <c r="V41" s="140"/>
      <c r="W41" s="143"/>
      <c r="X41" s="144"/>
      <c r="Y41" s="140"/>
      <c r="Z41" s="143"/>
      <c r="AA41" s="144"/>
      <c r="AB41" s="140"/>
      <c r="AC41" s="143"/>
      <c r="AD41" s="144"/>
      <c r="AE41" s="140"/>
      <c r="AF41" s="143"/>
      <c r="AG41" s="144"/>
      <c r="AH41" s="140"/>
      <c r="AI41" s="143"/>
      <c r="AJ41" s="144"/>
      <c r="AK41" s="140"/>
      <c r="AL41" s="143"/>
      <c r="AM41" s="144"/>
      <c r="AN41" s="140"/>
      <c r="AO41" s="143"/>
      <c r="AP41" s="144"/>
      <c r="AQ41" s="140"/>
    </row>
    <row r="42" spans="1:43">
      <c r="A42" s="145"/>
      <c r="B42" s="143"/>
      <c r="C42" s="144"/>
      <c r="D42" s="140"/>
      <c r="E42" s="143"/>
      <c r="F42" s="144"/>
      <c r="G42" s="140"/>
      <c r="H42" s="143"/>
      <c r="I42" s="144"/>
      <c r="J42" s="140"/>
      <c r="K42" s="143"/>
      <c r="L42" s="144"/>
      <c r="M42" s="140"/>
      <c r="N42" s="143"/>
      <c r="O42" s="144"/>
      <c r="P42" s="140"/>
      <c r="Q42" s="143"/>
      <c r="R42" s="144"/>
      <c r="S42" s="140"/>
      <c r="T42" s="143"/>
      <c r="U42" s="144"/>
      <c r="V42" s="140"/>
      <c r="W42" s="143"/>
      <c r="X42" s="144"/>
      <c r="Y42" s="140"/>
      <c r="Z42" s="143"/>
      <c r="AA42" s="144"/>
      <c r="AB42" s="140"/>
      <c r="AC42" s="143"/>
      <c r="AD42" s="144"/>
      <c r="AE42" s="140"/>
      <c r="AF42" s="143"/>
      <c r="AG42" s="144"/>
      <c r="AH42" s="140"/>
      <c r="AI42" s="143"/>
      <c r="AJ42" s="144"/>
      <c r="AK42" s="140"/>
      <c r="AL42" s="143"/>
      <c r="AM42" s="144"/>
      <c r="AN42" s="140"/>
      <c r="AO42" s="143"/>
      <c r="AP42" s="144"/>
      <c r="AQ42" s="140"/>
    </row>
    <row r="43" spans="1:43" ht="13.5" thickBot="1">
      <c r="A43" s="146"/>
      <c r="B43" s="147"/>
      <c r="C43" s="148"/>
      <c r="D43" s="149"/>
      <c r="E43" s="147"/>
      <c r="F43" s="148"/>
      <c r="G43" s="150"/>
      <c r="H43" s="147"/>
      <c r="I43" s="148"/>
      <c r="J43" s="150"/>
      <c r="K43" s="147"/>
      <c r="L43" s="148"/>
      <c r="M43" s="150"/>
      <c r="N43" s="147"/>
      <c r="O43" s="148"/>
      <c r="P43" s="150"/>
      <c r="Q43" s="147"/>
      <c r="R43" s="148"/>
      <c r="S43" s="150"/>
      <c r="T43" s="147"/>
      <c r="U43" s="148"/>
      <c r="V43" s="150"/>
      <c r="W43" s="147"/>
      <c r="X43" s="148"/>
      <c r="Y43" s="150"/>
      <c r="Z43" s="147"/>
      <c r="AA43" s="148"/>
      <c r="AB43" s="151"/>
      <c r="AC43" s="147"/>
      <c r="AD43" s="148"/>
      <c r="AE43" s="151"/>
      <c r="AF43" s="147"/>
      <c r="AG43" s="148"/>
      <c r="AH43" s="151"/>
      <c r="AI43" s="147"/>
      <c r="AJ43" s="148"/>
      <c r="AK43" s="151"/>
      <c r="AL43" s="147"/>
      <c r="AM43" s="148"/>
      <c r="AN43" s="151"/>
      <c r="AO43" s="147"/>
      <c r="AP43" s="148"/>
      <c r="AQ43" s="151"/>
    </row>
    <row r="44" spans="1:43" ht="13.5" thickBot="1">
      <c r="A44" s="152" t="s">
        <v>370</v>
      </c>
      <c r="D44" s="153">
        <f>SUM(D29:D43)</f>
        <v>5</v>
      </c>
      <c r="G44" s="153">
        <f>SUM(G29:G43)</f>
        <v>0</v>
      </c>
      <c r="J44" s="153">
        <f>SUM(J29:J43)</f>
        <v>4</v>
      </c>
      <c r="M44" s="153">
        <f>SUM(M29:M43)</f>
        <v>2</v>
      </c>
      <c r="P44" s="153">
        <f>SUM(P29:P43)</f>
        <v>4</v>
      </c>
      <c r="S44" s="153">
        <f>SUM(S29:S43)</f>
        <v>2</v>
      </c>
      <c r="V44" s="153">
        <f>SUM(V29:V43)</f>
        <v>0</v>
      </c>
      <c r="Y44" s="153">
        <f>SUM(Y29:Y43)</f>
        <v>8</v>
      </c>
      <c r="AB44" s="97">
        <f>SUM(AB29:AB43)</f>
        <v>1</v>
      </c>
      <c r="AE44" s="97">
        <f>SUM(AE29:AE43)</f>
        <v>0</v>
      </c>
      <c r="AH44" s="97">
        <f>SUM(AH29:AH43)</f>
        <v>16</v>
      </c>
      <c r="AK44" s="97">
        <f>SUM(AK29:AK43)</f>
        <v>0</v>
      </c>
      <c r="AN44" s="97">
        <f>SUM(AN29:AN43)</f>
        <v>4</v>
      </c>
      <c r="AQ44" s="97">
        <f>SUM(AQ29:AQ43)</f>
        <v>0</v>
      </c>
    </row>
    <row r="47" spans="1:43">
      <c r="AC47" s="3"/>
    </row>
    <row r="48" spans="1:43">
      <c r="AC48" s="3"/>
    </row>
    <row r="49" spans="29:29">
      <c r="AC49" s="3"/>
    </row>
    <row r="50" spans="29:29">
      <c r="AC50" s="277"/>
    </row>
    <row r="51" spans="29:29">
      <c r="AC51" s="277"/>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workbookViewId="0">
      <selection activeCell="M33" sqref="M33"/>
    </sheetView>
  </sheetViews>
  <sheetFormatPr baseColWidth="10" defaultRowHeight="12.75"/>
  <cols>
    <col min="1" max="1" width="25.7109375" customWidth="1"/>
    <col min="2" max="2" width="16.42578125" customWidth="1"/>
    <col min="3" max="3" width="1.85546875" customWidth="1"/>
    <col min="4" max="4" width="24" customWidth="1"/>
    <col min="5" max="5" width="16.42578125" customWidth="1"/>
    <col min="6" max="6" width="2.140625" customWidth="1"/>
    <col min="7" max="7" width="27.7109375" customWidth="1"/>
    <col min="8" max="8" width="16.42578125" customWidth="1"/>
    <col min="9" max="9" width="2.28515625" customWidth="1"/>
    <col min="10" max="10" width="21" customWidth="1"/>
    <col min="11" max="11" width="16.42578125" customWidth="1"/>
    <col min="12" max="12" width="3" customWidth="1"/>
    <col min="13" max="13" width="27.7109375" customWidth="1"/>
    <col min="14" max="14" width="12.42578125" customWidth="1"/>
    <col min="15" max="15" width="2.7109375" customWidth="1"/>
    <col min="16" max="16" width="27.7109375" customWidth="1"/>
    <col min="17" max="17" width="12.42578125" customWidth="1"/>
  </cols>
  <sheetData>
    <row r="5" spans="1:17">
      <c r="A5" s="369" t="s">
        <v>5</v>
      </c>
      <c r="B5" s="370">
        <v>45225</v>
      </c>
      <c r="D5" s="108" t="s">
        <v>5</v>
      </c>
      <c r="E5" s="182">
        <v>45226</v>
      </c>
      <c r="G5" s="108" t="s">
        <v>5</v>
      </c>
      <c r="H5" s="182">
        <v>45229</v>
      </c>
      <c r="J5" s="108" t="s">
        <v>5</v>
      </c>
      <c r="K5" s="182">
        <v>45239</v>
      </c>
      <c r="L5" s="182"/>
      <c r="M5" s="108" t="s">
        <v>5</v>
      </c>
      <c r="N5" s="182">
        <v>45231</v>
      </c>
      <c r="P5" s="108" t="s">
        <v>5</v>
      </c>
      <c r="Q5" s="182">
        <v>45230</v>
      </c>
    </row>
    <row r="6" spans="1:17">
      <c r="A6" s="10"/>
      <c r="B6" s="10" t="s">
        <v>3533</v>
      </c>
      <c r="E6" t="s">
        <v>3533</v>
      </c>
      <c r="H6" t="s">
        <v>3533</v>
      </c>
      <c r="K6" t="s">
        <v>3533</v>
      </c>
    </row>
    <row r="7" spans="1:17" ht="14.25">
      <c r="A7" s="374" t="s">
        <v>1484</v>
      </c>
      <c r="B7" t="s">
        <v>2775</v>
      </c>
      <c r="D7" s="108" t="s">
        <v>1484</v>
      </c>
      <c r="E7" t="s">
        <v>2775</v>
      </c>
      <c r="G7" s="108" t="s">
        <v>1484</v>
      </c>
      <c r="H7" t="s">
        <v>2775</v>
      </c>
      <c r="J7" s="108" t="s">
        <v>1484</v>
      </c>
      <c r="K7" t="s">
        <v>2775</v>
      </c>
      <c r="M7" s="108" t="s">
        <v>1484</v>
      </c>
      <c r="P7" s="108" t="s">
        <v>1484</v>
      </c>
    </row>
    <row r="8" spans="1:17" ht="14.25">
      <c r="A8" s="122" t="s">
        <v>31</v>
      </c>
      <c r="D8" s="122" t="s">
        <v>31</v>
      </c>
      <c r="G8" s="122" t="s">
        <v>31</v>
      </c>
      <c r="J8" s="122" t="s">
        <v>31</v>
      </c>
      <c r="M8" s="122" t="s">
        <v>35</v>
      </c>
      <c r="P8" s="122" t="s">
        <v>31</v>
      </c>
    </row>
    <row r="9" spans="1:17">
      <c r="A9" s="372" t="s">
        <v>1442</v>
      </c>
      <c r="D9" s="109" t="s">
        <v>568</v>
      </c>
      <c r="G9" s="109" t="s">
        <v>1442</v>
      </c>
      <c r="J9" s="109" t="s">
        <v>283</v>
      </c>
      <c r="M9" s="109" t="s">
        <v>2789</v>
      </c>
      <c r="P9" s="109" t="s">
        <v>1441</v>
      </c>
    </row>
    <row r="10" spans="1:17">
      <c r="A10" s="373" t="s">
        <v>228</v>
      </c>
      <c r="D10" s="110" t="s">
        <v>1086</v>
      </c>
      <c r="G10" s="110" t="s">
        <v>73</v>
      </c>
      <c r="J10" s="110" t="s">
        <v>73</v>
      </c>
      <c r="M10" s="110" t="s">
        <v>73</v>
      </c>
      <c r="P10" s="110" t="s">
        <v>1086</v>
      </c>
    </row>
    <row r="11" spans="1:17">
      <c r="A11" s="371" t="s">
        <v>33</v>
      </c>
      <c r="D11" s="109" t="s">
        <v>2775</v>
      </c>
      <c r="G11" s="109" t="s">
        <v>2789</v>
      </c>
      <c r="J11" s="18" t="s">
        <v>78</v>
      </c>
      <c r="M11" s="18" t="s">
        <v>1221</v>
      </c>
      <c r="P11" s="109" t="s">
        <v>2839</v>
      </c>
    </row>
    <row r="12" spans="1:17">
      <c r="A12" s="372" t="s">
        <v>3368</v>
      </c>
      <c r="D12" s="110" t="s">
        <v>75</v>
      </c>
      <c r="G12" s="110" t="s">
        <v>1086</v>
      </c>
      <c r="J12" s="109" t="s">
        <v>1443</v>
      </c>
      <c r="M12" s="109" t="s">
        <v>283</v>
      </c>
      <c r="P12" s="110" t="s">
        <v>73</v>
      </c>
    </row>
    <row r="13" spans="1:17">
      <c r="A13" s="373" t="s">
        <v>1086</v>
      </c>
      <c r="B13" s="326"/>
      <c r="D13" s="18" t="s">
        <v>33</v>
      </c>
      <c r="E13" s="326"/>
      <c r="G13" s="18" t="s">
        <v>33</v>
      </c>
      <c r="H13" s="326"/>
      <c r="J13" s="110" t="s">
        <v>73</v>
      </c>
      <c r="K13" s="326"/>
      <c r="L13" s="326"/>
      <c r="M13" s="110" t="s">
        <v>1210</v>
      </c>
      <c r="N13" s="326"/>
      <c r="P13" s="18" t="s">
        <v>33</v>
      </c>
      <c r="Q13" s="326"/>
    </row>
    <row r="14" spans="1:17">
      <c r="A14" s="371" t="s">
        <v>1221</v>
      </c>
      <c r="B14" s="326"/>
      <c r="D14" s="109" t="s">
        <v>1442</v>
      </c>
      <c r="E14" s="326"/>
      <c r="G14" s="109" t="s">
        <v>2775</v>
      </c>
      <c r="H14" s="326"/>
      <c r="J14" s="18" t="s">
        <v>1485</v>
      </c>
      <c r="K14" s="326"/>
      <c r="L14" s="326"/>
      <c r="M14" s="109" t="s">
        <v>3369</v>
      </c>
      <c r="N14" s="326"/>
      <c r="P14" s="109" t="s">
        <v>2775</v>
      </c>
      <c r="Q14" s="326"/>
    </row>
    <row r="15" spans="1:17">
      <c r="A15" s="372" t="s">
        <v>2789</v>
      </c>
      <c r="B15" s="326"/>
      <c r="D15" s="110" t="s">
        <v>1210</v>
      </c>
      <c r="E15" s="326"/>
      <c r="G15" s="110" t="s">
        <v>1086</v>
      </c>
      <c r="H15" s="326"/>
      <c r="K15" s="326"/>
      <c r="L15" s="326"/>
      <c r="M15" s="110" t="s">
        <v>77</v>
      </c>
      <c r="N15" s="326"/>
      <c r="P15" s="110" t="s">
        <v>73</v>
      </c>
      <c r="Q15" s="326"/>
    </row>
    <row r="16" spans="1:17">
      <c r="A16" s="373" t="s">
        <v>1086</v>
      </c>
      <c r="B16" s="326" t="s">
        <v>3051</v>
      </c>
      <c r="D16" s="18" t="s">
        <v>1221</v>
      </c>
      <c r="E16" s="326" t="s">
        <v>3051</v>
      </c>
      <c r="G16" s="109" t="s">
        <v>2839</v>
      </c>
      <c r="H16" s="326" t="s">
        <v>3051</v>
      </c>
      <c r="K16" s="326" t="s">
        <v>3051</v>
      </c>
      <c r="L16" s="326"/>
      <c r="M16" s="18" t="s">
        <v>78</v>
      </c>
      <c r="N16" s="326" t="s">
        <v>3051</v>
      </c>
      <c r="P16" s="18" t="s">
        <v>78</v>
      </c>
      <c r="Q16" s="326" t="s">
        <v>3051</v>
      </c>
    </row>
    <row r="17" spans="1:19">
      <c r="A17" s="371" t="s">
        <v>78</v>
      </c>
      <c r="B17" s="326" t="s">
        <v>3050</v>
      </c>
      <c r="D17" s="109" t="s">
        <v>283</v>
      </c>
      <c r="E17" s="326" t="s">
        <v>3050</v>
      </c>
      <c r="G17" s="110" t="s">
        <v>77</v>
      </c>
      <c r="H17" s="326" t="s">
        <v>3050</v>
      </c>
      <c r="K17" s="326" t="s">
        <v>3050</v>
      </c>
      <c r="L17" s="326"/>
      <c r="M17" s="109" t="s">
        <v>1443</v>
      </c>
      <c r="N17" s="326" t="s">
        <v>3050</v>
      </c>
      <c r="P17" s="109" t="s">
        <v>1442</v>
      </c>
      <c r="Q17" s="326" t="s">
        <v>3050</v>
      </c>
    </row>
    <row r="18" spans="1:19">
      <c r="A18" s="372" t="s">
        <v>1443</v>
      </c>
      <c r="B18" s="326" t="s">
        <v>3049</v>
      </c>
      <c r="D18" s="110" t="s">
        <v>1086</v>
      </c>
      <c r="E18" s="326" t="s">
        <v>3049</v>
      </c>
      <c r="G18" s="18" t="s">
        <v>78</v>
      </c>
      <c r="H18" s="326" t="s">
        <v>3049</v>
      </c>
      <c r="K18" s="326" t="s">
        <v>3049</v>
      </c>
      <c r="L18" s="326"/>
      <c r="M18" s="110" t="s">
        <v>1086</v>
      </c>
      <c r="N18" s="326" t="s">
        <v>3049</v>
      </c>
      <c r="P18" s="110" t="s">
        <v>1086</v>
      </c>
      <c r="Q18" s="326" t="s">
        <v>3049</v>
      </c>
    </row>
    <row r="19" spans="1:19">
      <c r="A19" s="373" t="s">
        <v>73</v>
      </c>
      <c r="B19" s="326" t="s">
        <v>3048</v>
      </c>
      <c r="D19" s="18" t="s">
        <v>78</v>
      </c>
      <c r="E19" s="326" t="s">
        <v>3048</v>
      </c>
      <c r="G19" s="109" t="s">
        <v>3368</v>
      </c>
      <c r="H19" s="326" t="s">
        <v>3048</v>
      </c>
      <c r="K19" s="326" t="s">
        <v>3048</v>
      </c>
      <c r="L19" s="326"/>
      <c r="M19" s="109" t="s">
        <v>1442</v>
      </c>
      <c r="N19" s="326" t="s">
        <v>3048</v>
      </c>
      <c r="P19" s="109" t="s">
        <v>2789</v>
      </c>
      <c r="Q19" s="326" t="s">
        <v>3048</v>
      </c>
    </row>
    <row r="20" spans="1:19">
      <c r="A20" s="372" t="s">
        <v>2775</v>
      </c>
      <c r="B20" s="326" t="s">
        <v>3047</v>
      </c>
      <c r="D20" s="109" t="s">
        <v>3368</v>
      </c>
      <c r="E20" s="326" t="s">
        <v>3047</v>
      </c>
      <c r="G20" s="110" t="s">
        <v>73</v>
      </c>
      <c r="H20" s="326" t="s">
        <v>3047</v>
      </c>
      <c r="K20" s="326" t="s">
        <v>3047</v>
      </c>
      <c r="L20" s="326"/>
      <c r="M20" s="110" t="s">
        <v>73</v>
      </c>
      <c r="N20" s="326" t="s">
        <v>3047</v>
      </c>
      <c r="P20" s="110" t="s">
        <v>73</v>
      </c>
      <c r="Q20" s="326" t="s">
        <v>3047</v>
      </c>
    </row>
    <row r="21" spans="1:19">
      <c r="A21" s="373" t="s">
        <v>1086</v>
      </c>
      <c r="B21" s="326" t="s">
        <v>3052</v>
      </c>
      <c r="D21" s="110" t="s">
        <v>1086</v>
      </c>
      <c r="E21" s="326" t="s">
        <v>3052</v>
      </c>
      <c r="G21" s="18" t="s">
        <v>1732</v>
      </c>
      <c r="H21" s="326" t="s">
        <v>3052</v>
      </c>
      <c r="K21" s="326" t="s">
        <v>3052</v>
      </c>
      <c r="L21" s="326"/>
      <c r="M21" s="18" t="s">
        <v>1220</v>
      </c>
      <c r="N21" s="326" t="s">
        <v>3052</v>
      </c>
      <c r="P21" s="18" t="s">
        <v>1220</v>
      </c>
      <c r="Q21" s="326" t="s">
        <v>3052</v>
      </c>
    </row>
    <row r="22" spans="1:19">
      <c r="A22" s="371" t="s">
        <v>1225</v>
      </c>
      <c r="B22" s="326" t="s">
        <v>3053</v>
      </c>
      <c r="D22" s="18" t="s">
        <v>1220</v>
      </c>
      <c r="E22" s="326" t="s">
        <v>3053</v>
      </c>
      <c r="G22" s="109" t="s">
        <v>568</v>
      </c>
      <c r="H22" s="326" t="s">
        <v>3053</v>
      </c>
      <c r="K22" s="326" t="s">
        <v>3053</v>
      </c>
      <c r="L22" s="326"/>
      <c r="M22" s="109" t="s">
        <v>2775</v>
      </c>
      <c r="N22" s="326" t="s">
        <v>3053</v>
      </c>
      <c r="P22" s="109" t="s">
        <v>568</v>
      </c>
      <c r="Q22" s="326" t="s">
        <v>3053</v>
      </c>
    </row>
    <row r="23" spans="1:19">
      <c r="A23" s="372" t="s">
        <v>1441</v>
      </c>
      <c r="B23" s="326" t="s">
        <v>3054</v>
      </c>
      <c r="D23" s="109" t="s">
        <v>2839</v>
      </c>
      <c r="E23" s="326" t="s">
        <v>3054</v>
      </c>
      <c r="G23" s="110" t="s">
        <v>1086</v>
      </c>
      <c r="H23" s="326" t="s">
        <v>3054</v>
      </c>
      <c r="K23" s="326" t="s">
        <v>3054</v>
      </c>
      <c r="L23" s="326"/>
      <c r="M23" s="110" t="s">
        <v>3214</v>
      </c>
      <c r="N23" s="326" t="s">
        <v>3054</v>
      </c>
      <c r="P23" s="110" t="s">
        <v>1210</v>
      </c>
      <c r="Q23" s="326" t="s">
        <v>3054</v>
      </c>
    </row>
    <row r="24" spans="1:19">
      <c r="A24" s="373" t="s">
        <v>749</v>
      </c>
      <c r="B24" s="326" t="s">
        <v>3055</v>
      </c>
      <c r="D24" s="110" t="s">
        <v>1562</v>
      </c>
      <c r="E24" s="326" t="s">
        <v>3055</v>
      </c>
      <c r="G24" s="18" t="s">
        <v>1225</v>
      </c>
      <c r="H24" s="326" t="s">
        <v>3055</v>
      </c>
      <c r="K24" s="326" t="s">
        <v>3055</v>
      </c>
      <c r="M24" s="18" t="s">
        <v>1732</v>
      </c>
      <c r="N24" s="326" t="s">
        <v>3055</v>
      </c>
      <c r="P24" s="109" t="s">
        <v>3368</v>
      </c>
      <c r="Q24" s="326" t="s">
        <v>3055</v>
      </c>
    </row>
    <row r="25" spans="1:19">
      <c r="A25" s="371" t="s">
        <v>2955</v>
      </c>
      <c r="B25" s="326" t="s">
        <v>3056</v>
      </c>
      <c r="D25" s="109" t="s">
        <v>3369</v>
      </c>
      <c r="E25" s="326" t="s">
        <v>3056</v>
      </c>
      <c r="G25" s="109" t="s">
        <v>1441</v>
      </c>
      <c r="H25" s="326" t="s">
        <v>3056</v>
      </c>
      <c r="K25" s="326" t="s">
        <v>3056</v>
      </c>
      <c r="M25" s="109" t="s">
        <v>43</v>
      </c>
      <c r="N25" s="326" t="s">
        <v>3056</v>
      </c>
      <c r="P25" s="110" t="s">
        <v>1086</v>
      </c>
      <c r="Q25" s="326" t="s">
        <v>3056</v>
      </c>
    </row>
    <row r="26" spans="1:19">
      <c r="A26" s="372" t="s">
        <v>283</v>
      </c>
      <c r="B26" s="326" t="s">
        <v>3057</v>
      </c>
      <c r="D26" s="110" t="s">
        <v>547</v>
      </c>
      <c r="E26" s="326" t="s">
        <v>3057</v>
      </c>
      <c r="G26" s="110" t="s">
        <v>749</v>
      </c>
      <c r="H26" s="326" t="s">
        <v>3057</v>
      </c>
      <c r="K26" s="326" t="s">
        <v>3057</v>
      </c>
      <c r="M26" s="110" t="s">
        <v>73</v>
      </c>
      <c r="N26" s="326" t="s">
        <v>3057</v>
      </c>
      <c r="P26" s="18" t="s">
        <v>1225</v>
      </c>
      <c r="Q26" s="326" t="s">
        <v>3057</v>
      </c>
    </row>
    <row r="27" spans="1:19">
      <c r="A27" s="373" t="s">
        <v>73</v>
      </c>
      <c r="B27" s="326" t="s">
        <v>3058</v>
      </c>
      <c r="D27" s="18" t="s">
        <v>1225</v>
      </c>
      <c r="E27" s="326" t="s">
        <v>3058</v>
      </c>
      <c r="G27" s="18" t="s">
        <v>2952</v>
      </c>
      <c r="H27" s="326" t="s">
        <v>3058</v>
      </c>
      <c r="K27" s="326" t="s">
        <v>3058</v>
      </c>
      <c r="M27" s="18" t="s">
        <v>1225</v>
      </c>
      <c r="N27" s="326" t="s">
        <v>3058</v>
      </c>
      <c r="P27" s="109" t="s">
        <v>1441</v>
      </c>
      <c r="Q27" s="326" t="s">
        <v>3058</v>
      </c>
      <c r="S27" s="326" t="s">
        <v>3051</v>
      </c>
    </row>
    <row r="28" spans="1:19">
      <c r="A28" s="371" t="s">
        <v>1485</v>
      </c>
      <c r="B28" s="326" t="s">
        <v>3434</v>
      </c>
      <c r="D28" s="109" t="s">
        <v>1441</v>
      </c>
      <c r="E28" s="326" t="s">
        <v>3434</v>
      </c>
      <c r="G28" s="109" t="s">
        <v>1443</v>
      </c>
      <c r="H28" s="326" t="s">
        <v>3434</v>
      </c>
      <c r="K28" s="326" t="s">
        <v>3434</v>
      </c>
      <c r="M28" s="109" t="s">
        <v>1441</v>
      </c>
      <c r="N28" s="326" t="s">
        <v>3434</v>
      </c>
      <c r="P28" s="110" t="s">
        <v>749</v>
      </c>
      <c r="Q28" s="326" t="s">
        <v>3434</v>
      </c>
      <c r="S28" s="326" t="s">
        <v>3050</v>
      </c>
    </row>
    <row r="29" spans="1:19">
      <c r="B29" s="326" t="s">
        <v>3422</v>
      </c>
      <c r="D29" s="110" t="s">
        <v>749</v>
      </c>
      <c r="E29" s="326" t="s">
        <v>3422</v>
      </c>
      <c r="G29" s="110" t="s">
        <v>73</v>
      </c>
      <c r="H29" s="326" t="s">
        <v>3422</v>
      </c>
      <c r="K29" s="326" t="s">
        <v>3422</v>
      </c>
      <c r="M29" s="110" t="s">
        <v>749</v>
      </c>
      <c r="N29" s="326" t="s">
        <v>3422</v>
      </c>
      <c r="P29" s="18" t="s">
        <v>2952</v>
      </c>
      <c r="Q29" s="326" t="s">
        <v>3422</v>
      </c>
      <c r="S29" s="326" t="s">
        <v>3049</v>
      </c>
    </row>
    <row r="30" spans="1:19">
      <c r="D30" s="18" t="s">
        <v>2952</v>
      </c>
      <c r="G30" s="18" t="s">
        <v>2955</v>
      </c>
      <c r="M30" s="18" t="s">
        <v>2952</v>
      </c>
      <c r="P30" s="109" t="s">
        <v>3369</v>
      </c>
      <c r="S30" s="326" t="s">
        <v>3048</v>
      </c>
    </row>
    <row r="31" spans="1:19">
      <c r="D31" s="109" t="s">
        <v>1443</v>
      </c>
      <c r="G31" s="109" t="s">
        <v>283</v>
      </c>
      <c r="M31" s="109" t="s">
        <v>568</v>
      </c>
      <c r="P31" s="110" t="s">
        <v>73</v>
      </c>
      <c r="S31" s="326" t="s">
        <v>3047</v>
      </c>
    </row>
    <row r="32" spans="1:19">
      <c r="D32" s="110" t="s">
        <v>73</v>
      </c>
      <c r="G32" s="110" t="s">
        <v>73</v>
      </c>
      <c r="M32" s="110" t="s">
        <v>73</v>
      </c>
      <c r="P32" s="18" t="s">
        <v>1485</v>
      </c>
      <c r="S32" s="326" t="s">
        <v>3052</v>
      </c>
    </row>
    <row r="33" spans="4:19">
      <c r="D33" s="18" t="s">
        <v>1485</v>
      </c>
      <c r="G33" s="18" t="s">
        <v>1485</v>
      </c>
      <c r="M33" s="18" t="s">
        <v>2955</v>
      </c>
      <c r="S33" s="326" t="s">
        <v>3053</v>
      </c>
    </row>
    <row r="34" spans="4:19">
      <c r="M34" s="109" t="s">
        <v>2839</v>
      </c>
      <c r="S34" s="326" t="s">
        <v>3054</v>
      </c>
    </row>
    <row r="35" spans="4:19">
      <c r="M35" s="110" t="s">
        <v>1086</v>
      </c>
      <c r="S35" s="326" t="s">
        <v>3055</v>
      </c>
    </row>
    <row r="36" spans="4:19">
      <c r="M36" s="18" t="s">
        <v>1485</v>
      </c>
      <c r="S36" s="326" t="s">
        <v>3056</v>
      </c>
    </row>
    <row r="37" spans="4:19">
      <c r="S37" s="326" t="s">
        <v>3057</v>
      </c>
    </row>
    <row r="38" spans="4:19">
      <c r="S38" s="326" t="s">
        <v>3058</v>
      </c>
    </row>
    <row r="39" spans="4:19">
      <c r="S39" s="326" t="s">
        <v>3434</v>
      </c>
    </row>
    <row r="40" spans="4:19">
      <c r="S40" s="326" t="s">
        <v>3422</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1634</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01" t="str">
        <f ca="1">"AUDIENCIAS ASIGNADAS  AL DIA: " &amp; TEXT(TODAY(),"DD/MM/YYYY")</f>
        <v>AUDIENCIAS ASIGNADAS  AL DIA: 25/10/2023</v>
      </c>
      <c r="C1" s="401"/>
      <c r="D1" s="401"/>
      <c r="E1" s="401"/>
      <c r="F1" s="401"/>
      <c r="G1" s="401"/>
      <c r="H1" s="401"/>
      <c r="I1" s="401"/>
    </row>
    <row r="3" spans="2:9" ht="28.5" customHeight="1">
      <c r="B3" s="399" t="s">
        <v>2043</v>
      </c>
      <c r="C3" s="400"/>
      <c r="E3" s="399" t="s">
        <v>2355</v>
      </c>
      <c r="F3" s="400"/>
      <c r="H3" s="399" t="s">
        <v>2382</v>
      </c>
      <c r="I3" s="400"/>
    </row>
    <row r="4" spans="2:9" ht="20.100000000000001" customHeight="1">
      <c r="B4" s="12" t="s">
        <v>382</v>
      </c>
      <c r="C4" s="12" t="s">
        <v>362</v>
      </c>
      <c r="E4" s="12" t="s">
        <v>382</v>
      </c>
      <c r="F4" s="12" t="s">
        <v>362</v>
      </c>
      <c r="H4" s="12" t="s">
        <v>382</v>
      </c>
      <c r="I4" s="12" t="s">
        <v>362</v>
      </c>
    </row>
    <row r="5" spans="2:9" ht="24.95" customHeight="1">
      <c r="B5" s="11" t="s">
        <v>35</v>
      </c>
      <c r="C5" s="11">
        <f>COUNTIF(EXPEDIENTES!$J:$J,$B5)</f>
        <v>128</v>
      </c>
      <c r="D5" s="10"/>
      <c r="E5" s="11" t="s">
        <v>1222</v>
      </c>
      <c r="F5" s="11">
        <f>COUNTIF(EXPEDIENTES!$J:$J,$E5)</f>
        <v>29</v>
      </c>
      <c r="H5" s="11" t="s">
        <v>1689</v>
      </c>
      <c r="I5" s="11">
        <f>COUNTIF(EXPEDIENTES!$J:$J,$H5)</f>
        <v>4</v>
      </c>
    </row>
    <row r="6" spans="2:9" ht="24.95" customHeight="1">
      <c r="B6" s="11" t="s">
        <v>31</v>
      </c>
      <c r="C6" s="11">
        <f>COUNTIF(EXPEDIENTES!$J:$J,$B6)</f>
        <v>143</v>
      </c>
      <c r="E6" s="11" t="s">
        <v>1223</v>
      </c>
      <c r="F6" s="11">
        <f>COUNTIF(EXPEDIENTES!$J:$J,$E6)</f>
        <v>27</v>
      </c>
      <c r="H6" s="199" t="s">
        <v>370</v>
      </c>
      <c r="I6" s="60">
        <f>SUM(I5)</f>
        <v>4</v>
      </c>
    </row>
    <row r="7" spans="2:9" ht="24.95" customHeight="1">
      <c r="B7" s="11" t="s">
        <v>33</v>
      </c>
      <c r="C7" s="11">
        <f>COUNTIF(EXPEDIENTES!$J:$J,$B7)</f>
        <v>137</v>
      </c>
      <c r="E7" s="11" t="s">
        <v>1224</v>
      </c>
      <c r="F7" s="11">
        <f>COUNTIF(EXPEDIENTES!$J:$J,$E7)</f>
        <v>19</v>
      </c>
    </row>
    <row r="8" spans="2:9" ht="24.95" customHeight="1">
      <c r="B8" s="11" t="s">
        <v>78</v>
      </c>
      <c r="C8" s="11">
        <f>COUNTIF(EXPEDIENTES!$J:$J,$B8)</f>
        <v>132</v>
      </c>
      <c r="E8" s="11" t="s">
        <v>1625</v>
      </c>
      <c r="F8" s="11">
        <f>COUNTIF(EXPEDIENTES!$J:$J,$E8)</f>
        <v>19</v>
      </c>
    </row>
    <row r="9" spans="2:9" ht="24.95" customHeight="1">
      <c r="B9" s="11" t="s">
        <v>1220</v>
      </c>
      <c r="C9" s="11">
        <f>COUNTIF(EXPEDIENTES!$J:$J,$B9)</f>
        <v>52</v>
      </c>
      <c r="E9" s="11" t="s">
        <v>1492</v>
      </c>
      <c r="F9" s="11">
        <f>COUNTIF(EXPEDIENTES!$J:$J,$E9)</f>
        <v>11</v>
      </c>
    </row>
    <row r="10" spans="2:9" ht="24.95" customHeight="1">
      <c r="B10" s="11" t="s">
        <v>1225</v>
      </c>
      <c r="C10" s="11">
        <f>COUNTIF(EXPEDIENTES!$J:$J,$B10)</f>
        <v>27</v>
      </c>
      <c r="E10" s="11" t="s">
        <v>1732</v>
      </c>
      <c r="F10" s="11">
        <f>COUNTIF(EXPEDIENTES!$J:$J,$E10)</f>
        <v>21</v>
      </c>
      <c r="H10" s="116"/>
      <c r="I10" s="116"/>
    </row>
    <row r="11" spans="2:9" ht="24.95" customHeight="1">
      <c r="B11" s="11" t="s">
        <v>1221</v>
      </c>
      <c r="C11" s="11">
        <f>COUNTIF(EXPEDIENTES!$J:$J,$B11)</f>
        <v>71</v>
      </c>
      <c r="E11" s="352" t="s">
        <v>2952</v>
      </c>
      <c r="F11" s="11">
        <f>COUNTIF(EXPEDIENTES!$J:$J,$E11)</f>
        <v>21</v>
      </c>
      <c r="H11" s="116"/>
      <c r="I11" s="116"/>
    </row>
    <row r="12" spans="2:9" s="348" customFormat="1" ht="24.95" customHeight="1">
      <c r="B12" s="347" t="s">
        <v>370</v>
      </c>
      <c r="C12" s="60">
        <f>SUM(C5:C11)</f>
        <v>690</v>
      </c>
      <c r="E12" s="353" t="s">
        <v>2955</v>
      </c>
      <c r="F12" s="354">
        <f>COUNTIF(EXPEDIENTES!$J:$J,$E12)</f>
        <v>14</v>
      </c>
      <c r="H12" s="349"/>
      <c r="I12" s="349"/>
    </row>
    <row r="13" spans="2:9" s="348" customFormat="1" ht="24.95" customHeight="1">
      <c r="E13" s="199" t="s">
        <v>370</v>
      </c>
      <c r="F13" s="60">
        <f>SUM(F5:F12)</f>
        <v>161</v>
      </c>
      <c r="H13" s="349"/>
      <c r="I13" s="349"/>
    </row>
    <row r="14" spans="2:9" s="348" customFormat="1" ht="24.95" customHeight="1">
      <c r="E14" s="351"/>
      <c r="F14" s="351"/>
      <c r="H14" s="349"/>
      <c r="I14" s="349"/>
    </row>
    <row r="15" spans="2:9" s="348" customFormat="1" ht="24.95" customHeight="1">
      <c r="B15" s="349"/>
      <c r="C15" s="349"/>
      <c r="E15" s="351"/>
      <c r="F15" s="351"/>
      <c r="H15" s="349"/>
      <c r="I15" s="349"/>
    </row>
    <row r="16" spans="2:9" s="348" customFormat="1" ht="24.95" customHeight="1">
      <c r="B16" s="349"/>
      <c r="C16" s="349"/>
    </row>
    <row r="17" spans="2:9" s="348" customFormat="1" ht="24.95" customHeight="1">
      <c r="B17" s="349"/>
      <c r="C17" s="349"/>
      <c r="E17" s="351"/>
      <c r="F17" s="351"/>
      <c r="H17" s="349"/>
      <c r="I17" s="349"/>
    </row>
    <row r="18" spans="2:9" s="348" customFormat="1" ht="24.95" customHeight="1">
      <c r="B18" s="349"/>
      <c r="C18" s="349"/>
      <c r="E18" s="351"/>
      <c r="F18" s="351"/>
      <c r="H18" s="349"/>
      <c r="I18" s="349"/>
    </row>
    <row r="19" spans="2:9" s="348" customFormat="1" ht="24.95" customHeight="1">
      <c r="B19" s="351"/>
      <c r="C19" s="351"/>
      <c r="E19" s="351"/>
      <c r="F19" s="351"/>
      <c r="H19" s="349"/>
      <c r="I19" s="349"/>
    </row>
    <row r="20" spans="2:9" s="348" customFormat="1" ht="24.95" customHeight="1">
      <c r="B20" s="349"/>
      <c r="C20" s="349"/>
      <c r="E20" s="351"/>
      <c r="F20" s="351"/>
      <c r="H20" s="349"/>
      <c r="I20" s="349"/>
    </row>
    <row r="21" spans="2:9" s="348" customFormat="1" ht="24.95" customHeight="1">
      <c r="B21" s="351"/>
      <c r="C21" s="351"/>
      <c r="E21" s="351"/>
      <c r="F21" s="351"/>
      <c r="H21" s="349"/>
      <c r="I21" s="349"/>
    </row>
    <row r="22" spans="2:9" ht="24.95" customHeight="1">
      <c r="B22" s="349"/>
      <c r="C22" s="350"/>
      <c r="E22" s="115"/>
      <c r="F22" s="115"/>
      <c r="H22" s="116"/>
      <c r="I22" s="116"/>
    </row>
    <row r="23" spans="2:9" s="348" customFormat="1" ht="24.95" customHeight="1">
      <c r="B23" s="349"/>
      <c r="C23" s="350"/>
      <c r="E23" s="351"/>
      <c r="F23" s="351"/>
      <c r="H23" s="349"/>
      <c r="I23" s="349"/>
    </row>
    <row r="24" spans="2:9" s="348" customFormat="1" ht="24.95" customHeight="1">
      <c r="B24" s="349"/>
      <c r="C24" s="350"/>
      <c r="E24" s="351"/>
      <c r="F24" s="351"/>
      <c r="H24" s="349"/>
      <c r="I24" s="349"/>
    </row>
    <row r="25" spans="2:9" ht="24.95" customHeight="1">
      <c r="B25" s="116"/>
      <c r="C25" s="116"/>
      <c r="E25" s="115"/>
      <c r="F25" s="115"/>
      <c r="H25" s="116"/>
      <c r="I25" s="116"/>
    </row>
    <row r="26" spans="2:9" ht="24.95" customHeight="1">
      <c r="B26" s="401" t="str">
        <f ca="1">"AUDIENCIAS QUE RESTAN RESOLVER -  AL DIA: " &amp; TEXT(TODAY(),"DD/MM/YYYY")</f>
        <v>AUDIENCIAS QUE RESTAN RESOLVER -  AL DIA: 25/10/2023</v>
      </c>
      <c r="C26" s="401"/>
      <c r="D26" s="401"/>
      <c r="E26" s="401"/>
      <c r="F26" s="401"/>
      <c r="G26" s="401"/>
      <c r="H26" s="401"/>
      <c r="I26" s="401"/>
    </row>
    <row r="27" spans="2:9" ht="24.95" customHeight="1"/>
    <row r="28" spans="2:9" ht="24.95" customHeight="1">
      <c r="B28" s="399" t="s">
        <v>2044</v>
      </c>
      <c r="C28" s="400"/>
      <c r="E28" s="399" t="s">
        <v>2356</v>
      </c>
      <c r="F28" s="400"/>
      <c r="H28" s="399" t="s">
        <v>2045</v>
      </c>
      <c r="I28" s="400"/>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5</v>
      </c>
      <c r="E30" s="11" t="s">
        <v>1222</v>
      </c>
      <c r="F30" s="11">
        <f ca="1">COUNTIFS(EXPEDIENTES!J:J,$E30,EXPEDIENTES!O:O,"NO")</f>
        <v>0</v>
      </c>
      <c r="H30" s="11" t="s">
        <v>1689</v>
      </c>
      <c r="I30" s="11">
        <f ca="1">COUNTIFS(EXPEDIENTES!J:J,$H30,EXPEDIENTES!O:O,"NO")</f>
        <v>0</v>
      </c>
    </row>
    <row r="31" spans="2:9" ht="24.95" customHeight="1">
      <c r="B31" s="11" t="s">
        <v>31</v>
      </c>
      <c r="C31" s="11">
        <f ca="1">COUNTIFS(EXPEDIENTES!J:J,$B31,EXPEDIENTES!O:O,"NO")</f>
        <v>15</v>
      </c>
      <c r="E31" s="11" t="s">
        <v>1223</v>
      </c>
      <c r="F31" s="11">
        <f ca="1">COUNTIFS(EXPEDIENTES!J:J,$E31,EXPEDIENTES!O:O,"NO")</f>
        <v>0</v>
      </c>
      <c r="H31" s="199" t="s">
        <v>370</v>
      </c>
      <c r="I31" s="60">
        <f ca="1">SUM(I30)</f>
        <v>0</v>
      </c>
    </row>
    <row r="32" spans="2:9" ht="20.100000000000001" customHeight="1">
      <c r="B32" s="11" t="s">
        <v>33</v>
      </c>
      <c r="C32" s="11">
        <f ca="1">COUNTIFS(EXPEDIENTES!J:J,$B32,EXPEDIENTES!O:O,"NO")</f>
        <v>5</v>
      </c>
      <c r="E32" s="11" t="s">
        <v>1224</v>
      </c>
      <c r="F32" s="11">
        <f ca="1">COUNTIFS(EXPEDIENTES!J:J,$E32,EXPEDIENTES!O:O,"NO")</f>
        <v>0</v>
      </c>
    </row>
    <row r="33" spans="2:6" ht="20.100000000000001" customHeight="1">
      <c r="B33" s="11" t="s">
        <v>78</v>
      </c>
      <c r="C33" s="11">
        <f ca="1">COUNTIFS(EXPEDIENTES!J:J,$B33,EXPEDIENTES!O:O,"NO")</f>
        <v>15</v>
      </c>
      <c r="E33" s="11" t="s">
        <v>1625</v>
      </c>
      <c r="F33" s="11">
        <f ca="1">COUNTIFS(EXPEDIENTES!J:J,$E33,EXPEDIENTES!O:O,"NO")</f>
        <v>0</v>
      </c>
    </row>
    <row r="34" spans="2:6" ht="20.100000000000001" customHeight="1">
      <c r="B34" s="11" t="s">
        <v>1220</v>
      </c>
      <c r="C34" s="11">
        <f ca="1">COUNTIFS(EXPEDIENTES!J:J,$B34,EXPEDIENTES!O:O,"NO")</f>
        <v>6</v>
      </c>
      <c r="E34" s="11" t="s">
        <v>1492</v>
      </c>
      <c r="F34" s="11">
        <f ca="1">COUNTIFS(EXPEDIENTES!J:J,$E34,EXPEDIENTES!O:O,"NO")</f>
        <v>0</v>
      </c>
    </row>
    <row r="35" spans="2:6" ht="20.100000000000001" customHeight="1">
      <c r="B35" s="11" t="s">
        <v>1225</v>
      </c>
      <c r="C35" s="11">
        <f ca="1">COUNTIFS(EXPEDIENTES!J:J,$B35,EXPEDIENTES!O:O,"NO")</f>
        <v>7</v>
      </c>
      <c r="E35" s="11" t="s">
        <v>1732</v>
      </c>
      <c r="F35" s="11">
        <f ca="1">COUNTIFS(EXPEDIENTES!J:J,$E35,EXPEDIENTES!O:O,"NO")</f>
        <v>3</v>
      </c>
    </row>
    <row r="36" spans="2:6" ht="20.100000000000001" customHeight="1">
      <c r="B36" s="11" t="s">
        <v>1221</v>
      </c>
      <c r="C36" s="11">
        <f ca="1">COUNTIFS(EXPEDIENTES!J:J,$B36,EXPEDIENTES!O:O,"NO")</f>
        <v>9</v>
      </c>
      <c r="E36" s="352" t="s">
        <v>2952</v>
      </c>
      <c r="F36" s="11">
        <f ca="1">COUNTIFS(EXPEDIENTES!J:J,$E36,EXPEDIENTES!O:O,"NO")</f>
        <v>7</v>
      </c>
    </row>
    <row r="37" spans="2:6" ht="20.100000000000001" customHeight="1">
      <c r="B37" s="199" t="s">
        <v>963</v>
      </c>
      <c r="C37" s="60">
        <f ca="1">SUM(C30:C36)</f>
        <v>62</v>
      </c>
      <c r="E37" s="353" t="s">
        <v>2955</v>
      </c>
      <c r="F37" s="11">
        <f ca="1">COUNTIFS(EXPEDIENTES!J:J,$E37,EXPEDIENTES!O:O,"NO")</f>
        <v>4</v>
      </c>
    </row>
    <row r="38" spans="2:6" s="348" customFormat="1" ht="20.100000000000001" customHeight="1">
      <c r="E38" s="199" t="s">
        <v>370</v>
      </c>
      <c r="F38" s="60">
        <f ca="1">SUM(F30:F37)</f>
        <v>14</v>
      </c>
    </row>
    <row r="39" spans="2:6" s="348" customFormat="1" ht="20.100000000000001" customHeight="1"/>
    <row r="40" spans="2:6" s="348" customFormat="1" ht="20.100000000000001" customHeight="1">
      <c r="B40" s="349"/>
      <c r="C40" s="350"/>
    </row>
    <row r="41" spans="2:6" s="348" customFormat="1" ht="20.100000000000001" customHeight="1">
      <c r="B41" s="349"/>
      <c r="C41" s="350"/>
    </row>
    <row r="42" spans="2:6" s="348" customFormat="1" ht="20.100000000000001" customHeight="1">
      <c r="B42" s="349"/>
      <c r="C42" s="350"/>
    </row>
    <row r="43" spans="2:6" s="348" customFormat="1" ht="20.100000000000001" customHeight="1">
      <c r="B43" s="349"/>
      <c r="C43" s="350"/>
    </row>
    <row r="44" spans="2:6" s="348" customFormat="1" ht="20.100000000000001" customHeight="1">
      <c r="B44" s="349"/>
      <c r="C44" s="350"/>
    </row>
    <row r="45" spans="2:6" s="348" customFormat="1" ht="20.100000000000001" customHeight="1">
      <c r="B45" s="349"/>
      <c r="C45" s="350"/>
    </row>
    <row r="46" spans="2:6" s="348" customFormat="1" ht="20.100000000000001" customHeight="1">
      <c r="B46" s="349"/>
      <c r="C46" s="350"/>
    </row>
    <row r="47" spans="2:6" s="348" customFormat="1" ht="20.100000000000001" customHeight="1">
      <c r="B47" s="349"/>
      <c r="C47" s="350"/>
    </row>
    <row r="48" spans="2:6" s="348" customFormat="1" ht="20.100000000000001" customHeight="1">
      <c r="B48" s="349"/>
      <c r="C48" s="350"/>
    </row>
    <row r="49" spans="2:9" s="348" customFormat="1" ht="20.100000000000001" customHeight="1">
      <c r="B49" s="349"/>
      <c r="C49" s="350"/>
    </row>
    <row r="50" spans="2:9" s="348" customFormat="1" ht="20.100000000000001" customHeight="1">
      <c r="B50" s="349"/>
      <c r="C50" s="350"/>
    </row>
    <row r="51" spans="2:9" s="348" customFormat="1" ht="20.100000000000001" customHeight="1">
      <c r="B51" s="349"/>
      <c r="C51" s="350"/>
    </row>
    <row r="52" spans="2:9" s="348" customFormat="1" ht="20.100000000000001" customHeight="1">
      <c r="B52" s="349"/>
      <c r="C52" s="350"/>
    </row>
    <row r="53" spans="2:9" ht="20.100000000000001" customHeight="1">
      <c r="B53" s="401" t="str">
        <f ca="1">"AUDIENCIAS RESUELTAS AL DIA: " &amp; TEXT(TODAY(),"DD/MM/YYYY")</f>
        <v>AUDIENCIAS RESUELTAS AL DIA: 25/10/2023</v>
      </c>
      <c r="C53" s="401"/>
      <c r="D53" s="401"/>
      <c r="E53" s="401"/>
      <c r="F53" s="401"/>
      <c r="G53" s="401"/>
      <c r="H53" s="401"/>
      <c r="I53" s="401"/>
    </row>
    <row r="54" spans="2:9" ht="20.100000000000001" customHeight="1"/>
    <row r="55" spans="2:9" ht="28.35" customHeight="1">
      <c r="B55" s="399" t="s">
        <v>2046</v>
      </c>
      <c r="C55" s="400"/>
      <c r="E55" s="399" t="s">
        <v>2047</v>
      </c>
      <c r="F55" s="400"/>
      <c r="H55" s="399" t="s">
        <v>2048</v>
      </c>
      <c r="I55" s="400"/>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123</v>
      </c>
      <c r="E57" s="11" t="s">
        <v>1222</v>
      </c>
      <c r="F57" s="11">
        <f ca="1">COUNTIFS(EXPEDIENTES!J:J,$E57,EXPEDIENTES!O:O,"SI")</f>
        <v>29</v>
      </c>
      <c r="H57" s="11" t="s">
        <v>1689</v>
      </c>
      <c r="I57" s="11">
        <f ca="1">COUNTIFS(EXPEDIENTES!J:J,$H57,EXPEDIENTES!O:O,"SI")</f>
        <v>4</v>
      </c>
    </row>
    <row r="58" spans="2:9" ht="24.95" customHeight="1">
      <c r="B58" s="11" t="s">
        <v>31</v>
      </c>
      <c r="C58" s="11">
        <f ca="1">COUNTIFS(EXPEDIENTES!J:J,$B58,EXPEDIENTES!O:O,"SI")</f>
        <v>128</v>
      </c>
      <c r="E58" s="11" t="s">
        <v>1223</v>
      </c>
      <c r="F58" s="11">
        <f ca="1">COUNTIFS(EXPEDIENTES!J:J,$E58,EXPEDIENTES!O:O,"SI")</f>
        <v>27</v>
      </c>
      <c r="H58" s="199" t="s">
        <v>370</v>
      </c>
      <c r="I58" s="60">
        <f ca="1">SUM(I57)</f>
        <v>4</v>
      </c>
    </row>
    <row r="59" spans="2:9" ht="24.95" customHeight="1">
      <c r="B59" s="11" t="s">
        <v>33</v>
      </c>
      <c r="C59" s="11">
        <f ca="1">COUNTIFS(EXPEDIENTES!J:J,$B59,EXPEDIENTES!O:O,"SI")</f>
        <v>132</v>
      </c>
      <c r="E59" s="11" t="s">
        <v>1224</v>
      </c>
      <c r="F59" s="11">
        <f ca="1">COUNTIFS(EXPEDIENTES!J:J,$E59,EXPEDIENTES!O:O,"SI")</f>
        <v>19</v>
      </c>
    </row>
    <row r="60" spans="2:9" ht="24.95" customHeight="1">
      <c r="B60" s="11" t="s">
        <v>78</v>
      </c>
      <c r="C60" s="11">
        <f ca="1">COUNTIFS(EXPEDIENTES!J:J,$B60,EXPEDIENTES!O:O,"SI")</f>
        <v>117</v>
      </c>
      <c r="E60" s="11" t="s">
        <v>1625</v>
      </c>
      <c r="F60" s="11">
        <f ca="1">COUNTIFS(EXPEDIENTES!J:J,$E60,EXPEDIENTES!O:O,"SI")</f>
        <v>19</v>
      </c>
    </row>
    <row r="61" spans="2:9" ht="24.95" customHeight="1">
      <c r="B61" s="11" t="s">
        <v>1220</v>
      </c>
      <c r="C61" s="11">
        <f ca="1">COUNTIFS(EXPEDIENTES!J:J,$B61,EXPEDIENTES!O:O,"SI")</f>
        <v>46</v>
      </c>
      <c r="E61" s="11" t="s">
        <v>1492</v>
      </c>
      <c r="F61" s="11">
        <f ca="1">COUNTIFS(EXPEDIENTES!J:J,$E61,EXPEDIENTES!O:O,"SI")</f>
        <v>11</v>
      </c>
    </row>
    <row r="62" spans="2:9" ht="24.95" customHeight="1">
      <c r="B62" s="11" t="s">
        <v>1225</v>
      </c>
      <c r="C62" s="11">
        <f ca="1">COUNTIFS(EXPEDIENTES!J:J,$B62,EXPEDIENTES!O:O,"SI")</f>
        <v>20</v>
      </c>
      <c r="E62" s="11" t="s">
        <v>1732</v>
      </c>
      <c r="F62" s="11">
        <f ca="1">COUNTIFS(EXPEDIENTES!J:J,$E62,EXPEDIENTES!O:O,"SI")</f>
        <v>18</v>
      </c>
      <c r="G62" s="115"/>
      <c r="H62" s="115"/>
    </row>
    <row r="63" spans="2:9" ht="24.95" customHeight="1">
      <c r="B63" s="11" t="s">
        <v>1221</v>
      </c>
      <c r="C63" s="11">
        <f ca="1">COUNTIFS(EXPEDIENTES!J:J,$B63,EXPEDIENTES!O:O,"SI")</f>
        <v>62</v>
      </c>
      <c r="E63" s="352" t="s">
        <v>2952</v>
      </c>
      <c r="F63" s="11">
        <f ca="1">COUNTIFS(EXPEDIENTES!J:J,$E63,EXPEDIENTES!O:O,"SI")</f>
        <v>14</v>
      </c>
      <c r="G63" s="115"/>
      <c r="H63" s="115"/>
    </row>
    <row r="64" spans="2:9" ht="24.95" customHeight="1">
      <c r="B64" s="199" t="s">
        <v>2034</v>
      </c>
      <c r="C64" s="29">
        <f ca="1">SUM(C57:C63)</f>
        <v>628</v>
      </c>
      <c r="E64" s="353" t="s">
        <v>2955</v>
      </c>
      <c r="F64" s="11">
        <f ca="1">COUNTIFS(EXPEDIENTES!J:J,$E64,EXPEDIENTES!O:O,"SI")</f>
        <v>10</v>
      </c>
      <c r="G64" s="115"/>
      <c r="H64" s="115"/>
    </row>
    <row r="65" spans="2:6" ht="24.95" customHeight="1">
      <c r="E65" s="199" t="s">
        <v>370</v>
      </c>
      <c r="F65" s="60">
        <f ca="1">SUM(F57:F64)</f>
        <v>147</v>
      </c>
    </row>
    <row r="66" spans="2:6" ht="24.95" customHeight="1"/>
    <row r="67" spans="2:6" ht="24.95" customHeight="1"/>
    <row r="68" spans="2:6" ht="24.95" customHeight="1">
      <c r="B68" s="398" t="s">
        <v>457</v>
      </c>
      <c r="C68" s="398"/>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8"/>
      <c r="B102" s="218"/>
      <c r="C102" s="218"/>
      <c r="D102" s="218"/>
      <c r="E102" s="218"/>
      <c r="F102" s="115"/>
      <c r="G102" s="115"/>
      <c r="H102" s="115"/>
    </row>
    <row r="103" spans="1:10">
      <c r="A103" s="218"/>
      <c r="B103" s="218"/>
      <c r="C103" s="219"/>
      <c r="D103" s="218"/>
      <c r="E103" s="218"/>
      <c r="F103" s="115"/>
      <c r="G103" s="115"/>
      <c r="H103" s="115"/>
    </row>
    <row r="104" spans="1:10" ht="32.25" customHeight="1">
      <c r="A104" s="218"/>
      <c r="B104" s="220"/>
      <c r="C104" s="220"/>
      <c r="D104" s="220"/>
      <c r="E104" s="218"/>
      <c r="F104" s="115"/>
      <c r="G104" s="115"/>
      <c r="H104" s="115"/>
    </row>
    <row r="105" spans="1:10" ht="35.1" customHeight="1">
      <c r="A105" s="218"/>
      <c r="B105" s="220"/>
      <c r="C105" s="221"/>
      <c r="D105" s="222"/>
      <c r="E105" s="218"/>
      <c r="F105" s="115"/>
      <c r="G105" s="115"/>
      <c r="H105" s="115"/>
    </row>
    <row r="106" spans="1:10" ht="35.1" customHeight="1">
      <c r="A106" s="218"/>
      <c r="B106" s="220"/>
      <c r="C106" s="221"/>
      <c r="D106" s="222"/>
      <c r="E106" s="218"/>
      <c r="F106" s="115"/>
      <c r="G106" s="115"/>
      <c r="H106" s="115"/>
    </row>
    <row r="107" spans="1:10" ht="35.1" customHeight="1">
      <c r="A107" s="218"/>
      <c r="B107" s="220"/>
      <c r="C107" s="221"/>
      <c r="D107" s="222"/>
      <c r="E107" s="218"/>
    </row>
    <row r="108" spans="1:10" ht="35.1" customHeight="1">
      <c r="A108" s="218"/>
      <c r="B108" s="220"/>
      <c r="C108" s="221"/>
      <c r="D108" s="222"/>
      <c r="E108" s="218"/>
    </row>
    <row r="109" spans="1:10" ht="35.1" customHeight="1">
      <c r="A109" s="218"/>
      <c r="B109" s="220"/>
      <c r="C109" s="221"/>
      <c r="D109" s="222"/>
      <c r="E109" s="218"/>
    </row>
    <row r="110" spans="1:10" ht="35.1" customHeight="1">
      <c r="A110" s="218"/>
      <c r="B110" s="220"/>
      <c r="C110" s="221"/>
      <c r="D110" s="222"/>
      <c r="E110" s="218"/>
    </row>
    <row r="111" spans="1:10" ht="35.1" customHeight="1">
      <c r="A111" s="218"/>
      <c r="B111" s="220"/>
      <c r="C111" s="221"/>
      <c r="D111" s="222"/>
      <c r="E111" s="218"/>
    </row>
    <row r="112" spans="1:10" ht="35.1" customHeight="1">
      <c r="A112" s="218"/>
      <c r="B112" s="220"/>
      <c r="C112" s="221"/>
      <c r="D112" s="222"/>
      <c r="E112" s="218"/>
    </row>
    <row r="113" spans="1:5" ht="35.1" customHeight="1">
      <c r="A113" s="218"/>
      <c r="B113" s="220"/>
      <c r="C113" s="221"/>
      <c r="D113" s="222"/>
      <c r="E113" s="218"/>
    </row>
    <row r="114" spans="1:5" ht="34.5" customHeight="1">
      <c r="A114" s="218"/>
      <c r="B114" s="219"/>
      <c r="C114" s="223"/>
      <c r="D114" s="219"/>
      <c r="E114" s="218"/>
    </row>
    <row r="115" spans="1:5">
      <c r="A115" s="218"/>
      <c r="B115" s="218"/>
      <c r="C115" s="218"/>
      <c r="D115" s="218"/>
      <c r="E115" s="218"/>
    </row>
    <row r="116" spans="1:5">
      <c r="A116" s="218"/>
      <c r="B116" s="218"/>
      <c r="C116" s="218"/>
      <c r="D116" s="218"/>
      <c r="E116" s="218"/>
    </row>
    <row r="117" spans="1:5">
      <c r="A117" s="218"/>
      <c r="B117" s="218"/>
      <c r="C117" s="218"/>
      <c r="D117" s="218"/>
      <c r="E117" s="218"/>
    </row>
    <row r="118" spans="1:5">
      <c r="A118" s="218"/>
      <c r="B118" s="218"/>
      <c r="C118" s="218"/>
      <c r="D118" s="218"/>
      <c r="E118" s="218"/>
    </row>
    <row r="119" spans="1:5">
      <c r="A119" s="218"/>
      <c r="B119" s="218"/>
      <c r="C119" s="218"/>
      <c r="D119" s="218"/>
      <c r="E119" s="218"/>
    </row>
    <row r="120" spans="1:5">
      <c r="A120" s="218"/>
      <c r="B120" s="218"/>
      <c r="C120" s="218"/>
      <c r="D120" s="218"/>
      <c r="E120" s="218"/>
    </row>
    <row r="121" spans="1:5">
      <c r="A121" s="218"/>
      <c r="B121" s="218"/>
      <c r="C121" s="218"/>
      <c r="D121" s="218"/>
      <c r="E121" s="218"/>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5" workbookViewId="0">
      <selection activeCell="A2" sqref="A2:L17"/>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63"/>
      <c r="B2" s="63"/>
      <c r="C2" s="63"/>
      <c r="D2" s="249"/>
      <c r="E2" s="250"/>
      <c r="F2" s="249"/>
    </row>
    <row r="3" spans="1:6" ht="18">
      <c r="C3" s="63" t="s">
        <v>2687</v>
      </c>
    </row>
    <row r="4" spans="1:6" ht="27.75" customHeight="1">
      <c r="A4" s="63"/>
      <c r="B4" s="63"/>
      <c r="C4" s="63" t="s">
        <v>3163</v>
      </c>
      <c r="D4" s="249">
        <v>45216</v>
      </c>
      <c r="E4" s="275" t="s">
        <v>2588</v>
      </c>
      <c r="F4" s="249">
        <v>45219</v>
      </c>
    </row>
    <row r="5" spans="1:6" ht="27.75" customHeight="1">
      <c r="A5" s="251" t="s">
        <v>929</v>
      </c>
      <c r="B5" s="252" t="s">
        <v>1298</v>
      </c>
      <c r="C5" s="252" t="s">
        <v>930</v>
      </c>
      <c r="D5" s="63"/>
      <c r="E5" s="63"/>
    </row>
    <row r="6" spans="1:6" ht="31.5" customHeight="1">
      <c r="A6" s="253">
        <f>COUNTIFS(EXPEDIENTES!R:R,"=Prisión Preventiva",EXPEDIENTES!H:H,"&gt;=17/10/2023",EXPEDIENTES!H:H,"&lt;=20/10/2023") +COUNTIFS(EXPEDIENTES!R:R,"Prision domiciliaria",EXPEDIENTES!H:H,"&gt;=17/10/2023",EXPEDIENTES!H:H,"&lt;=20/10/2023")</f>
        <v>14</v>
      </c>
      <c r="B6" s="345">
        <f>A6/A10</f>
        <v>0.45161290322580644</v>
      </c>
      <c r="C6" s="254" t="s">
        <v>577</v>
      </c>
      <c r="D6" s="61"/>
    </row>
    <row r="7" spans="1:6" ht="30.75" customHeight="1">
      <c r="A7" s="190">
        <f>COUNTIFS(EXPEDIENTES!R:R,"Juicio Abreviado",EXPEDIENTES!H:H,"&gt;=17/10/2023",EXPEDIENTES!H:H,"&lt;=20/10/2023")</f>
        <v>10</v>
      </c>
      <c r="B7" s="345">
        <f>A7/A10</f>
        <v>0.32258064516129031</v>
      </c>
      <c r="C7" s="254" t="s">
        <v>988</v>
      </c>
      <c r="D7" s="61"/>
    </row>
    <row r="8" spans="1:6" ht="30.75" customHeight="1">
      <c r="A8" s="190">
        <f>COUNTIFS(EXPEDIENTES!R:R,"Suspendida",EXPEDIENTES!H:H,"&gt;=17/10/2023",EXPEDIENTES!H:H,"&lt;=20/10/2023")</f>
        <v>2</v>
      </c>
      <c r="B8" s="345">
        <v>7.0000000000000007E-2</v>
      </c>
      <c r="C8" s="254" t="s">
        <v>949</v>
      </c>
      <c r="D8" s="61"/>
    </row>
    <row r="9" spans="1:6" ht="30.75" customHeight="1">
      <c r="A9" s="190">
        <f>COUNTIFS(EXPEDIENTES!R:R,"Libertad",EXPEDIENTES!H:H,"&gt;=17/10/2023",EXPEDIENTES!H:H,"&lt;=20/10/2023")</f>
        <v>5</v>
      </c>
      <c r="B9" s="345">
        <f>A9/A10</f>
        <v>0.16129032258064516</v>
      </c>
      <c r="C9" s="254" t="s">
        <v>902</v>
      </c>
      <c r="D9" s="61"/>
    </row>
    <row r="10" spans="1:6" ht="32.25" customHeight="1">
      <c r="A10" s="255">
        <f>SUM(A6:A9)</f>
        <v>31</v>
      </c>
      <c r="B10" s="256">
        <v>1</v>
      </c>
      <c r="C10" s="257" t="s">
        <v>370</v>
      </c>
      <c r="D10" s="61"/>
    </row>
    <row r="11" spans="1:6" ht="32.25" customHeight="1">
      <c r="D11" s="61"/>
    </row>
    <row r="12" spans="1:6" ht="51.75" customHeight="1">
      <c r="D12" s="61"/>
    </row>
    <row r="13" spans="1:6" ht="26.25" customHeight="1">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9" sqref="AQ3:BA19"/>
    </sheetView>
  </sheetViews>
  <sheetFormatPr baseColWidth="10" defaultColWidth="11.28515625" defaultRowHeight="12.75"/>
  <cols>
    <col min="1" max="1" width="8.85546875" style="198" bestFit="1" customWidth="1"/>
    <col min="2" max="2" width="11.7109375" style="198" bestFit="1" customWidth="1"/>
    <col min="3" max="3" width="27.140625" style="198" customWidth="1"/>
    <col min="4" max="4" width="18.140625" style="193" customWidth="1"/>
    <col min="5" max="7" width="11.28515625" style="193"/>
    <col min="8" max="8" width="4.28515625" style="194" customWidth="1"/>
    <col min="9" max="9" width="8.28515625" style="194" bestFit="1" customWidth="1"/>
    <col min="10" max="10" width="44.28515625" style="193" bestFit="1" customWidth="1"/>
    <col min="11" max="11" width="11.28515625" style="193"/>
    <col min="12" max="12" width="3.5703125" style="193" customWidth="1"/>
    <col min="13" max="13" width="11.28515625" style="193"/>
    <col min="14" max="14" width="11.28515625" style="193" customWidth="1"/>
    <col min="15" max="15" width="23.42578125" style="193" customWidth="1"/>
    <col min="16" max="37" width="11.28515625" style="193"/>
    <col min="38" max="38" width="12.42578125" style="193" bestFit="1" customWidth="1"/>
    <col min="39" max="41" width="11.28515625" style="193"/>
    <col min="42" max="42" width="2.140625" style="193" customWidth="1"/>
    <col min="43" max="43" width="14" style="193" customWidth="1"/>
    <col min="44" max="44" width="51.28515625" style="193" customWidth="1"/>
    <col min="45" max="16384" width="11.28515625" style="193"/>
  </cols>
  <sheetData>
    <row r="1" spans="1:53" ht="18">
      <c r="A1" s="402"/>
      <c r="B1" s="402"/>
      <c r="C1" s="402"/>
      <c r="D1" s="402"/>
      <c r="E1" s="402"/>
      <c r="F1" s="402"/>
      <c r="G1" s="402"/>
      <c r="H1" s="402"/>
      <c r="I1" s="402"/>
      <c r="J1" s="402"/>
      <c r="K1" s="192"/>
      <c r="AQ1" s="402" t="s">
        <v>1999</v>
      </c>
      <c r="AR1" s="402"/>
      <c r="AS1" s="402"/>
      <c r="AT1" s="402"/>
      <c r="AU1" s="402"/>
      <c r="AV1" s="402"/>
      <c r="AW1" s="402"/>
      <c r="AX1" s="402"/>
      <c r="AY1" s="402"/>
      <c r="AZ1" s="402"/>
      <c r="BA1" s="402"/>
    </row>
    <row r="2" spans="1:53" ht="12.75" customHeight="1"/>
    <row r="3" spans="1:53" ht="30.75" customHeight="1">
      <c r="M3" s="192" t="s">
        <v>1321</v>
      </c>
      <c r="N3" s="192" t="s">
        <v>1322</v>
      </c>
      <c r="AK3" s="192" t="s">
        <v>382</v>
      </c>
      <c r="AL3" s="192" t="s">
        <v>31</v>
      </c>
      <c r="AQ3" s="403" t="s">
        <v>1995</v>
      </c>
      <c r="AR3" s="403"/>
      <c r="AS3" s="403"/>
      <c r="AT3" s="403"/>
      <c r="AU3" s="403"/>
      <c r="AV3" s="403"/>
      <c r="AW3" s="403"/>
      <c r="AX3" s="403"/>
      <c r="AY3" s="403"/>
      <c r="AZ3" s="403"/>
      <c r="BA3" s="403"/>
    </row>
    <row r="4" spans="1:53" ht="27" customHeight="1" thickBot="1">
      <c r="A4" s="301"/>
      <c r="B4" s="301"/>
      <c r="C4" s="301"/>
      <c r="M4" s="300" t="s">
        <v>929</v>
      </c>
      <c r="N4" s="299" t="s">
        <v>1298</v>
      </c>
      <c r="O4" s="299" t="s">
        <v>930</v>
      </c>
      <c r="Z4" s="192"/>
      <c r="AK4" s="300" t="s">
        <v>929</v>
      </c>
      <c r="AL4" s="299" t="s">
        <v>1298</v>
      </c>
      <c r="AM4" s="299" t="s">
        <v>930</v>
      </c>
    </row>
    <row r="5" spans="1:53" ht="45" customHeight="1">
      <c r="B5" s="356" t="s">
        <v>929</v>
      </c>
      <c r="C5" s="357" t="s">
        <v>3181</v>
      </c>
      <c r="M5" s="294" t="e">
        <f>COUNTIFS([2]EXPEDIENTES!Q:Q,"=Prisión Preventiva",[2]EXPEDIENTES!H:H,"&gt;=01/03/2023",[2]EXPEDIENTES!H:H,"&lt;=31/03/2023")</f>
        <v>#VALUE!</v>
      </c>
      <c r="N5" s="293" t="e">
        <f>M5/M11</f>
        <v>#VALUE!</v>
      </c>
      <c r="O5" s="295" t="s">
        <v>577</v>
      </c>
      <c r="T5" s="192"/>
      <c r="AK5" s="294" t="e">
        <f>COUNTIFS([2]EXPEDIENTES!Q:Q,"=Prisión Preventiva",[2]EXPEDIENTES!J:J,"=Dr. Colombo")</f>
        <v>#VALUE!</v>
      </c>
      <c r="AL5" s="293" t="e">
        <f>AK5/AK11</f>
        <v>#VALUE!</v>
      </c>
      <c r="AM5" s="295" t="s">
        <v>577</v>
      </c>
      <c r="AQ5" s="203" t="s">
        <v>929</v>
      </c>
      <c r="AR5" s="203" t="s">
        <v>930</v>
      </c>
      <c r="AW5" s="194"/>
      <c r="AX5" s="194"/>
    </row>
    <row r="6" spans="1:53" ht="28.35" customHeight="1">
      <c r="B6" s="358">
        <f ca="1">COUNTIFS(EXPEDIENTES!H:H,"&gt;=01/02/2023",EXPEDIENTES!H:H,"&lt;=28/02/2023",EXPEDIENTES!O:O,"=SI")</f>
        <v>4</v>
      </c>
      <c r="C6" s="359" t="s">
        <v>3182</v>
      </c>
      <c r="D6" s="301"/>
      <c r="E6" s="301"/>
      <c r="F6" s="301"/>
      <c r="G6" s="301"/>
      <c r="M6" s="294" t="e">
        <f>COUNTIFS([2]EXPEDIENTES!Q:Q,"Juicio Abreviado - Efectiva",[2]EXPEDIENTES!H:H,"&gt;=01/03/2023",[2]EXPEDIENTES!H:H,"&lt;=31/03/2023")</f>
        <v>#VALUE!</v>
      </c>
      <c r="N6" s="293" t="e">
        <f>M6/M11</f>
        <v>#VALUE!</v>
      </c>
      <c r="O6" s="295" t="s">
        <v>1323</v>
      </c>
      <c r="T6" s="192"/>
      <c r="AK6" s="294" t="e">
        <f>COUNTIFS([2]EXPEDIENTES!Q:Q,"Juicio Abreviado - Efectiva",[2]EXPEDIENTES!J:J,"=Dr. Colombo")</f>
        <v>#VALUE!</v>
      </c>
      <c r="AL6" s="293" t="e">
        <f>AK6/AK11</f>
        <v>#VALUE!</v>
      </c>
      <c r="AM6" s="295" t="s">
        <v>1323</v>
      </c>
      <c r="AQ6" s="204">
        <f ca="1">COUNTIFS(EXPEDIENTES!R:R,$AR6,EXPEDIENTES!O:O,"SI")</f>
        <v>355</v>
      </c>
      <c r="AR6" s="205" t="s">
        <v>100</v>
      </c>
      <c r="AU6" s="195"/>
      <c r="AW6" s="194"/>
      <c r="AX6" s="194"/>
    </row>
    <row r="7" spans="1:53" ht="28.35" customHeight="1">
      <c r="B7" s="358">
        <f ca="1">COUNTIFS(EXPEDIENTES!H:H,"&gt;=01/03/2023",EXPEDIENTES!H:H,"&lt;=31/03/2023",EXPEDIENTES!O:O,"=SI")</f>
        <v>84</v>
      </c>
      <c r="C7" s="359" t="s">
        <v>3183</v>
      </c>
      <c r="M7" s="294" t="e">
        <f>COUNTIFS([2]EXPEDIENTES!Q:Q,"Juicio Abreviado - Condicional y reglas de conducta",[2]EXPEDIENTES!H:H,"&gt;=01/03/2023",[2]EXPEDIENTES!H:H,"&lt;=31/03/2023")</f>
        <v>#VALUE!</v>
      </c>
      <c r="N7" s="293" t="e">
        <f>M7/M11</f>
        <v>#VALUE!</v>
      </c>
      <c r="O7" s="295" t="s">
        <v>1324</v>
      </c>
      <c r="T7" s="192"/>
      <c r="AK7" s="294" t="e">
        <f>COUNTIFS([2]EXPEDIENTES!Q:Q,"Juicio Abreviado - Condicional y reglas de conducta",[2]EXPEDIENTES!J:J,"=Dr. Colombo")</f>
        <v>#VALUE!</v>
      </c>
      <c r="AL7" s="293" t="e">
        <f>AK7/AK11</f>
        <v>#VALUE!</v>
      </c>
      <c r="AM7" s="295" t="s">
        <v>1324</v>
      </c>
      <c r="AQ7" s="204">
        <f ca="1">COUNTIFS(EXPEDIENTES!R:R,$AR7,EXPEDIENTES!O:O,"SI")</f>
        <v>273</v>
      </c>
      <c r="AR7" s="205" t="s">
        <v>151</v>
      </c>
      <c r="AU7" s="195"/>
      <c r="AW7" s="194"/>
      <c r="AX7" s="194"/>
    </row>
    <row r="8" spans="1:53" ht="28.35" customHeight="1">
      <c r="B8" s="358">
        <f ca="1">COUNTIFS(EXPEDIENTES!H:H,"&gt;=01/04/2023",EXPEDIENTES!H:H,"&lt;=30/04/2023",EXPEDIENTES!O:O,"=SI")</f>
        <v>63</v>
      </c>
      <c r="C8" s="359" t="s">
        <v>3184</v>
      </c>
      <c r="M8" s="294" t="e">
        <f>COUNTIFS([2]EXPEDIENTES!R:R,"Libertad",[2]EXPEDIENTES!H:H,"&gt;=01/03/2023",[2]EXPEDIENTES!H:H,"&lt;=31/03/2023")</f>
        <v>#VALUE!</v>
      </c>
      <c r="N8" s="293" t="e">
        <f>M8/M11</f>
        <v>#VALUE!</v>
      </c>
      <c r="O8" s="295" t="s">
        <v>902</v>
      </c>
      <c r="T8" s="192"/>
      <c r="AK8" s="294" t="e">
        <f>COUNTIFS([2]EXPEDIENTES!Q:Q,"Libertad",[2]EXPEDIENTES!J:J,"=Dr. Colombo")</f>
        <v>#VALUE!</v>
      </c>
      <c r="AL8" s="293" t="e">
        <f>AK8/AK11</f>
        <v>#VALUE!</v>
      </c>
      <c r="AM8" s="295" t="s">
        <v>902</v>
      </c>
      <c r="AQ8" s="204">
        <f ca="1">COUNTIFS(EXPEDIENTES!R:R,$AR8,EXPEDIENTES!O:O,"SI")</f>
        <v>91</v>
      </c>
      <c r="AR8" s="205" t="s">
        <v>902</v>
      </c>
      <c r="AU8" s="195"/>
      <c r="AW8" s="194"/>
      <c r="AX8" s="194"/>
    </row>
    <row r="9" spans="1:53" ht="28.35" customHeight="1">
      <c r="B9" s="358">
        <f ca="1">COUNTIFS(EXPEDIENTES!H:H,"&gt;=01/05/2023",EXPEDIENTES!H:H,"&lt;=31/05/2023",EXPEDIENTES!O:O,"=SI")</f>
        <v>44</v>
      </c>
      <c r="C9" s="359" t="s">
        <v>3185</v>
      </c>
      <c r="M9" s="297" t="e">
        <f>COUNTIFS([2]EXPEDIENTES!H:H,"&gt;=01/03/2023",[2]EXPEDIENTES!H:H,"&lt;=31/03/2023")-SUM(M5:M8,M10)</f>
        <v>#VALUE!</v>
      </c>
      <c r="N9" s="293" t="e">
        <f>M9/M11</f>
        <v>#VALUE!</v>
      </c>
      <c r="O9" s="295" t="s">
        <v>1325</v>
      </c>
      <c r="T9" s="192"/>
      <c r="AK9" s="297" t="e">
        <f>COUNTIFS([2]EXPEDIENTES!J:J,"=Dr. Colombo")-SUM(AK5:AK8,AK10)</f>
        <v>#VALUE!</v>
      </c>
      <c r="AL9" s="293" t="e">
        <f>AK9/AK11</f>
        <v>#VALUE!</v>
      </c>
      <c r="AM9" s="295" t="s">
        <v>1325</v>
      </c>
      <c r="AQ9" s="204">
        <f ca="1">COUNTIFS(EXPEDIENTES!R:R,$AR9,EXPEDIENTES!O:O,"SI")</f>
        <v>19</v>
      </c>
      <c r="AR9" s="205" t="s">
        <v>949</v>
      </c>
      <c r="AU9" s="195"/>
      <c r="AW9" s="194"/>
      <c r="AX9" s="194"/>
    </row>
    <row r="10" spans="1:53" ht="28.35" customHeight="1">
      <c r="B10" s="358">
        <f ca="1">COUNTIFS(EXPEDIENTES!H:H,"&gt;=01/06/2023",EXPEDIENTES!H:H,"&lt;=30/06/2023",EXPEDIENTES!O:O,"=SI")</f>
        <v>87</v>
      </c>
      <c r="C10" s="359" t="s">
        <v>3186</v>
      </c>
      <c r="M10" s="294" t="e">
        <f>COUNTIFS([2]EXPEDIENTES!Q:Q,"Suspendida por otras causas procesales",[2]EXPEDIENTES!Q:Q,"Audiencia cancelada - inimputabilidad",[2]EXPEDIENTES!Q:Q,"Suspendida por pedido de las partes",[2]EXPEDIENTES!H:H,"&gt;=01/03/2023",[2]EXPEDIENTES!H:H,"&lt;=31/03/2023")</f>
        <v>#VALUE!</v>
      </c>
      <c r="N10" s="293" t="e">
        <f>M10/M11</f>
        <v>#VALUE!</v>
      </c>
      <c r="O10" s="295" t="s">
        <v>949</v>
      </c>
      <c r="T10" s="192"/>
      <c r="AK10" s="294" t="e">
        <f>COUNTIFS([2]EXPEDIENTES!Q:Q,"Suspendida por otras causas procesales",[2]EXPEDIENTES!Q:Q,"Audiencia cancelada - inimputabilidad",[2]EXPEDIENTES!Q:Q,"Suspendida por pedido de las partes",[2]EXPEDIENTES!J:J,"=Dr. Colombo")</f>
        <v>#VALUE!</v>
      </c>
      <c r="AL10" s="293" t="e">
        <f>AK10/AK11</f>
        <v>#VALUE!</v>
      </c>
      <c r="AM10" s="295" t="s">
        <v>949</v>
      </c>
      <c r="AQ10" s="204">
        <f ca="1">COUNTIFS(EXPEDIENTES!R:R,$AR10,EXPEDIENTES!O:O,"SI")</f>
        <v>15</v>
      </c>
      <c r="AR10" s="205" t="s">
        <v>913</v>
      </c>
      <c r="AU10" s="195"/>
      <c r="AW10" s="194"/>
      <c r="AX10" s="194"/>
    </row>
    <row r="11" spans="1:53" ht="28.35" customHeight="1">
      <c r="B11" s="358">
        <f ca="1">COUNTIFS(EXPEDIENTES!H:H,"&gt;=01/07/2023",EXPEDIENTES!H:H,"&lt;=31/07/2023",EXPEDIENTES!O:O,"=SI")</f>
        <v>128</v>
      </c>
      <c r="C11" s="359" t="s">
        <v>3187</v>
      </c>
      <c r="M11" s="291" t="e">
        <f>SUM(M5:M10)</f>
        <v>#VALUE!</v>
      </c>
      <c r="N11" s="290" t="e">
        <f>SUM(N5:N10)</f>
        <v>#VALUE!</v>
      </c>
      <c r="O11" s="289" t="s">
        <v>370</v>
      </c>
      <c r="T11" s="192"/>
      <c r="AK11" s="291" t="e">
        <f>SUM(AK5:AK10)</f>
        <v>#VALUE!</v>
      </c>
      <c r="AL11" s="290" t="e">
        <f>SUM(AL5:AL10)</f>
        <v>#VALUE!</v>
      </c>
      <c r="AM11" s="289" t="s">
        <v>370</v>
      </c>
      <c r="AQ11" s="204">
        <f ca="1">COUNTIFS(EXPEDIENTES!R:R,$AR11,EXPEDIENTES!O:O,"SI")</f>
        <v>19</v>
      </c>
      <c r="AR11" s="206" t="s">
        <v>909</v>
      </c>
      <c r="AU11" s="195"/>
      <c r="AW11" s="194"/>
      <c r="AX11" s="194"/>
    </row>
    <row r="12" spans="1:53" ht="28.35" customHeight="1">
      <c r="B12" s="358">
        <f ca="1">COUNTIFS(EXPEDIENTES!H:H,"&gt;=01/08/2023",EXPEDIENTES!H:H,"&lt;=31/08/2023",EXPEDIENTES!O:O,"=SI")</f>
        <v>128</v>
      </c>
      <c r="C12" s="359" t="s">
        <v>3188</v>
      </c>
      <c r="T12" s="192"/>
      <c r="AQ12" s="204">
        <f ca="1">COUNTIFS(EXPEDIENTES!R:R,$AR12,EXPEDIENTES!O:O,"SI")</f>
        <v>2</v>
      </c>
      <c r="AR12" s="206" t="s">
        <v>910</v>
      </c>
      <c r="AU12" s="195"/>
      <c r="AW12" s="194"/>
      <c r="AX12" s="194"/>
    </row>
    <row r="13" spans="1:53" ht="28.35" customHeight="1">
      <c r="B13" s="358">
        <f ca="1">COUNTIFS(EXPEDIENTES!H:H,"&gt;=01/09/2023",EXPEDIENTES!H:H,"&lt;=30/09/2023",EXPEDIENTES!O:O,"=SI")</f>
        <v>117</v>
      </c>
      <c r="C13" s="359" t="s">
        <v>3189</v>
      </c>
      <c r="T13" s="192"/>
      <c r="AQ13" s="204">
        <f ca="1">COUNTIFS(EXPEDIENTES!R:R,$AR13,EXPEDIENTES!O:O,"SI")</f>
        <v>2</v>
      </c>
      <c r="AR13" s="206" t="s">
        <v>907</v>
      </c>
      <c r="AS13" s="191"/>
      <c r="AT13" s="191"/>
      <c r="AU13" s="191"/>
      <c r="AV13" s="191"/>
      <c r="AW13" s="191"/>
      <c r="AX13" s="191"/>
      <c r="AY13" s="191"/>
      <c r="AZ13" s="192"/>
    </row>
    <row r="14" spans="1:53" ht="28.35" customHeight="1">
      <c r="B14" s="358">
        <f ca="1">COUNTIFS(EXPEDIENTES!H:H,"&gt;=01/10/2023",EXPEDIENTES!H:H,"&lt;=31/10/2023",EXPEDIENTES!O:O,"=SI")</f>
        <v>124</v>
      </c>
      <c r="C14" s="359" t="s">
        <v>3190</v>
      </c>
      <c r="AQ14" s="204">
        <f ca="1">COUNTIFS(EXPEDIENTES!R:R,$AR14,EXPEDIENTES!O:O,"SI")</f>
        <v>3</v>
      </c>
      <c r="AR14" s="205" t="s">
        <v>1902</v>
      </c>
      <c r="AS14" s="202"/>
      <c r="AT14" s="202"/>
      <c r="AU14" s="202"/>
      <c r="AV14" s="202"/>
      <c r="AW14" s="202"/>
      <c r="AX14" s="202"/>
      <c r="AY14" s="202"/>
      <c r="AZ14" s="192"/>
    </row>
    <row r="15" spans="1:53" ht="28.35" customHeight="1">
      <c r="B15" s="358">
        <f ca="1">COUNTIFS(EXPEDIENTES!H:H,"&gt;=01/11/2023",EXPEDIENTES!H:H,"&lt;=30/11/2023",EXPEDIENTES!O:O,"=SI")</f>
        <v>0</v>
      </c>
      <c r="C15" s="359" t="s">
        <v>3191</v>
      </c>
      <c r="AQ15" s="203">
        <f ca="1">SUM(AQ6:AQ14)</f>
        <v>779</v>
      </c>
      <c r="AR15" s="203" t="s">
        <v>370</v>
      </c>
      <c r="AS15" s="202"/>
      <c r="AT15" s="202"/>
      <c r="AU15" s="202"/>
      <c r="AV15" s="202"/>
      <c r="AW15" s="202"/>
      <c r="AX15" s="202"/>
      <c r="AY15" s="202"/>
      <c r="AZ15" s="192"/>
    </row>
    <row r="16" spans="1:53" ht="28.35" customHeight="1" thickBot="1">
      <c r="B16" s="358">
        <f>COUNTIFS(EXPEDIENTES!H:H,"&gt;=01/12/2023",EXPEDIENTES!H:H,"&lt;=31/12/2023",EXPEDIENTES!O:O,"=SI")</f>
        <v>0</v>
      </c>
      <c r="C16" s="360" t="s">
        <v>3192</v>
      </c>
      <c r="AW16" s="194"/>
      <c r="AX16" s="194"/>
      <c r="AZ16" s="197"/>
    </row>
    <row r="17" spans="2:54" ht="28.35" customHeight="1">
      <c r="B17" s="291">
        <f ca="1">SUM(B6:B16)</f>
        <v>779</v>
      </c>
      <c r="C17" s="289" t="s">
        <v>370</v>
      </c>
      <c r="AQ17" s="198"/>
      <c r="AR17" s="198"/>
      <c r="AS17" s="198"/>
      <c r="AX17" s="194"/>
      <c r="AY17" s="194"/>
    </row>
    <row r="18" spans="2:54" ht="28.35" customHeight="1">
      <c r="AQ18" s="196"/>
      <c r="AR18" s="196"/>
      <c r="AS18" s="196"/>
      <c r="AX18" s="194"/>
      <c r="AY18" s="194"/>
    </row>
    <row r="19" spans="2:54" ht="28.35" customHeight="1"/>
    <row r="20" spans="2:54" ht="28.35" customHeight="1">
      <c r="AQ20" s="193" t="str">
        <f ca="1">"Fuente: OFIJU GAR - Información al "&amp;TEXT(TODAY(),"DD/MM/YYYY")</f>
        <v>Fuente: OFIJU GAR - Información al 25/10/2023</v>
      </c>
    </row>
    <row r="21" spans="2:54" ht="28.35" customHeight="1"/>
    <row r="22" spans="2:54" ht="28.35" customHeight="1">
      <c r="AQ22" s="404" t="s">
        <v>1999</v>
      </c>
      <c r="AR22" s="404"/>
      <c r="AS22" s="404"/>
      <c r="AT22" s="404"/>
      <c r="AU22" s="404"/>
      <c r="AV22" s="404"/>
      <c r="AW22" s="404"/>
      <c r="AX22" s="404"/>
      <c r="AY22" s="404"/>
      <c r="AZ22" s="404"/>
      <c r="BA22" s="232"/>
      <c r="BB22" s="232"/>
    </row>
    <row r="24" spans="2:54" ht="26.25">
      <c r="AQ24" s="405" t="s">
        <v>2443</v>
      </c>
      <c r="AR24" s="405"/>
      <c r="AS24" s="405"/>
      <c r="AT24" s="405"/>
      <c r="AU24" s="405"/>
      <c r="AV24" s="405"/>
      <c r="AW24" s="405"/>
      <c r="AX24" s="405"/>
      <c r="AY24" s="405"/>
      <c r="AZ24" s="405"/>
      <c r="BA24" s="233"/>
      <c r="BB24" s="233"/>
    </row>
    <row r="25" spans="2:54" ht="26.25">
      <c r="AQ25" s="405" t="s">
        <v>2934</v>
      </c>
      <c r="AR25" s="405"/>
      <c r="AS25" s="405"/>
      <c r="AT25" s="405"/>
      <c r="AU25" s="405"/>
      <c r="AV25" s="405"/>
      <c r="AW25" s="405"/>
      <c r="AX25" s="405"/>
      <c r="AY25" s="405"/>
      <c r="AZ25" s="405"/>
    </row>
    <row r="26" spans="2:54" ht="24.95" customHeight="1"/>
    <row r="27" spans="2:54" ht="24.95" customHeight="1">
      <c r="M27" s="192" t="s">
        <v>1321</v>
      </c>
      <c r="N27" s="192" t="s">
        <v>1329</v>
      </c>
      <c r="AK27" s="192"/>
      <c r="AL27" s="192"/>
    </row>
    <row r="28" spans="2:54" ht="57" customHeight="1">
      <c r="M28" s="300" t="s">
        <v>929</v>
      </c>
      <c r="N28" s="299" t="s">
        <v>1298</v>
      </c>
      <c r="O28" s="299" t="s">
        <v>930</v>
      </c>
      <c r="AK28" s="300" t="s">
        <v>929</v>
      </c>
      <c r="AL28" s="299" t="s">
        <v>1298</v>
      </c>
      <c r="AM28" s="299" t="s">
        <v>930</v>
      </c>
      <c r="AQ28" s="203" t="s">
        <v>929</v>
      </c>
      <c r="AR28" s="203" t="s">
        <v>930</v>
      </c>
    </row>
    <row r="29" spans="2:54" ht="30" customHeight="1">
      <c r="M29" s="294" t="e">
        <f>COUNTIFS([2]EXPEDIENTES!Q:Q,"=Prisión Preventiva",[2]EXPEDIENTES!H:H,"&gt;=01/04/2023",[2]EXPEDIENTES!H:H,"&lt;=30/04/2023")</f>
        <v>#VALUE!</v>
      </c>
      <c r="N29" s="293" t="e">
        <f>M29/M35</f>
        <v>#VALUE!</v>
      </c>
      <c r="O29" s="295" t="s">
        <v>577</v>
      </c>
      <c r="AK29" s="294" t="e">
        <f>COUNTIFS([2]EXPEDIENTES!Q:Q,"=Prisión Preventiva",[2]EXPEDIENTES!J:J,"=Dr. Pastrana")</f>
        <v>#VALUE!</v>
      </c>
      <c r="AL29" s="293" t="e">
        <f>AK29/AK35</f>
        <v>#VALUE!</v>
      </c>
      <c r="AM29" s="295" t="s">
        <v>577</v>
      </c>
      <c r="AQ29" s="204">
        <f ca="1">COUNTIFS(EXPEDIENTES!Q:Q,$AR29,EXPEDIENTES!O:O,"SI")</f>
        <v>121</v>
      </c>
      <c r="AR29" s="319" t="s">
        <v>905</v>
      </c>
    </row>
    <row r="30" spans="2:54" ht="30" customHeight="1">
      <c r="M30" s="294" t="e">
        <f>COUNTIFS([2]EXPEDIENTES!Q:Q,"Juicio Abreviado - Efectiva",[2]EXPEDIENTES!H:H,"&gt;=01/04/2023",[2]EXPEDIENTES!H:H,"&lt;=30/04/2023")</f>
        <v>#VALUE!</v>
      </c>
      <c r="N30" s="293" t="e">
        <f>M30/M35</f>
        <v>#VALUE!</v>
      </c>
      <c r="O30" s="320" t="s">
        <v>1323</v>
      </c>
      <c r="AK30" s="294" t="e">
        <f>COUNTIFS([2]EXPEDIENTES!Q:Q,"Juicio Abreviado - Efectiva",[2]EXPEDIENTES!J:J,"=Dr. Pastrana")</f>
        <v>#VALUE!</v>
      </c>
      <c r="AL30" s="293" t="e">
        <f>AK30/AK35</f>
        <v>#VALUE!</v>
      </c>
      <c r="AM30" s="295" t="s">
        <v>1323</v>
      </c>
      <c r="AQ30" s="204">
        <f ca="1">COUNTIFS(EXPEDIENTES!Q:Q,$AR30,EXPEDIENTES!O:O,"SI")</f>
        <v>223</v>
      </c>
      <c r="AR30" s="319" t="s">
        <v>904</v>
      </c>
    </row>
    <row r="31" spans="2:54" ht="30" customHeight="1">
      <c r="M31" s="294" t="e">
        <f>COUNTIFS([2]EXPEDIENTES!Q:Q,"Juicio Abreviado - Condicional y reglas de conducta",[2]EXPEDIENTES!H:H,"&gt;=01/04/2023",[2]EXPEDIENTES!H:H,"&lt;=30/04/2023")</f>
        <v>#VALUE!</v>
      </c>
      <c r="N31" s="293" t="e">
        <f>M31/M35</f>
        <v>#VALUE!</v>
      </c>
      <c r="O31" s="295" t="s">
        <v>1324</v>
      </c>
      <c r="AK31" s="294" t="e">
        <f>COUNTIFS([2]EXPEDIENTES!Q:Q,"Juicio Abreviado - Condicional y reglas de conducta",[2]EXPEDIENTES!J:J,"=Dr. Pastrana")</f>
        <v>#VALUE!</v>
      </c>
      <c r="AL31" s="293" t="e">
        <f>AK31/AK35</f>
        <v>#VALUE!</v>
      </c>
      <c r="AM31" s="295" t="s">
        <v>1324</v>
      </c>
      <c r="AQ31" s="204">
        <f ca="1">COUNTIFS(EXPEDIENTES!Q:Q,$AR31,EXPEDIENTES!O:O,"SI")</f>
        <v>11</v>
      </c>
      <c r="AR31" s="319" t="s">
        <v>1512</v>
      </c>
    </row>
    <row r="32" spans="2:54" ht="30" customHeight="1">
      <c r="M32" s="294" t="e">
        <f>COUNTIFS([2]EXPEDIENTES!R:R,"Libertad",[2]EXPEDIENTES!H:H,"&gt;=01/04/2023",[2]EXPEDIENTES!H:H,"&lt;=30/04/2023")</f>
        <v>#VALUE!</v>
      </c>
      <c r="N32" s="293" t="e">
        <f>M32/M35</f>
        <v>#VALUE!</v>
      </c>
      <c r="O32" s="295" t="s">
        <v>902</v>
      </c>
      <c r="AK32" s="294" t="e">
        <f>COUNTIFS([2]EXPEDIENTES!Q:Q,"Libertad",[2]EXPEDIENTES!J:J,"=Dr. Pastrana")</f>
        <v>#VALUE!</v>
      </c>
      <c r="AL32" s="293" t="e">
        <f>AK32/AK35</f>
        <v>#VALUE!</v>
      </c>
      <c r="AM32" s="295" t="s">
        <v>902</v>
      </c>
      <c r="AQ32" s="203">
        <f ca="1">SUM(AQ29:AQ31)</f>
        <v>355</v>
      </c>
      <c r="AR32" s="203" t="s">
        <v>370</v>
      </c>
    </row>
    <row r="33" spans="1:52" ht="30" customHeight="1">
      <c r="M33" s="297" t="e">
        <f>COUNTIFS([2]EXPEDIENTES!H:H,"&gt;=01/04/2023",[2]EXPEDIENTES!H:H,"&lt;=30/04/2023")-SUM(M29:M32,M34)</f>
        <v>#VALUE!</v>
      </c>
      <c r="N33" s="293" t="e">
        <f>M33/M35</f>
        <v>#VALUE!</v>
      </c>
      <c r="O33" s="295" t="s">
        <v>1325</v>
      </c>
      <c r="AK33" s="297" t="e">
        <f>COUNTIFS([2]EXPEDIENTES!J:J,"=Dr. Pastrana")-SUM(AK29:AK32,AK34)</f>
        <v>#VALUE!</v>
      </c>
      <c r="AL33" s="293" t="e">
        <f>AK33/AK35</f>
        <v>#VALUE!</v>
      </c>
      <c r="AM33" s="295" t="s">
        <v>1325</v>
      </c>
      <c r="AQ33" s="284"/>
      <c r="AR33" s="318"/>
    </row>
    <row r="34" spans="1:52" ht="30" customHeight="1">
      <c r="M34" s="294" t="e">
        <f>COUNTIFS([2]EXPEDIENTES!Q:Q,"Suspendida por otras causas procesales",[2]EXPEDIENTES!Q:Q,"Audiencia cancelada - inimputabilidad",[2]EXPEDIENTES!Q:Q,"Suspendida por pedido de las partes",[2]EXPEDIENTES!H:H,"&gt;=01/04/2023",[2]EXPEDIENTES!H:H,"&lt;=30/04/2023")</f>
        <v>#VALUE!</v>
      </c>
      <c r="N34" s="293" t="e">
        <f>M34/M35</f>
        <v>#VALUE!</v>
      </c>
      <c r="O34" s="295" t="s">
        <v>949</v>
      </c>
      <c r="AK34" s="294" t="e">
        <f>COUNTIFS([2]EXPEDIENTES!Q:Q,"Suspendida por otras causas procesales",[2]EXPEDIENTES!Q:Q,"Audiencia cancelada - inimputabilidad",[2]EXPEDIENTES!Q:Q,"Suspendida por pedido de las partes",[2]EXPEDIENTES!J:J,"=Dr. Pastrana")</f>
        <v>#VALUE!</v>
      </c>
      <c r="AL34" s="293" t="e">
        <f>AK34/AK35</f>
        <v>#VALUE!</v>
      </c>
      <c r="AM34" s="295" t="s">
        <v>949</v>
      </c>
      <c r="AQ34" s="406" t="s">
        <v>2933</v>
      </c>
      <c r="AR34" s="406"/>
    </row>
    <row r="35" spans="1:52" ht="30" customHeight="1">
      <c r="M35" s="291" t="e">
        <f>SUM(M29:M34)</f>
        <v>#VALUE!</v>
      </c>
      <c r="N35" s="290" t="e">
        <f>SUM(N29:N34)</f>
        <v>#VALUE!</v>
      </c>
      <c r="O35" s="289" t="s">
        <v>370</v>
      </c>
      <c r="AK35" s="291" t="e">
        <f>SUM(AK29:AK34)</f>
        <v>#VALUE!</v>
      </c>
      <c r="AL35" s="290" t="e">
        <f>SUM(AL29:AL34)</f>
        <v>#VALUE!</v>
      </c>
      <c r="AM35" s="289" t="s">
        <v>370</v>
      </c>
      <c r="AQ35" s="406"/>
      <c r="AR35" s="406"/>
    </row>
    <row r="36" spans="1:52" ht="30" customHeight="1">
      <c r="AQ36" s="407">
        <f ca="1">(AQ32*100)/[2]EXPEDIENTES!C1</f>
        <v>57.536466774716367</v>
      </c>
      <c r="AR36" s="407"/>
    </row>
    <row r="37" spans="1:52" ht="30" customHeight="1">
      <c r="AQ37" s="317"/>
      <c r="AR37" s="316"/>
    </row>
    <row r="38" spans="1:52" ht="30" customHeight="1">
      <c r="AQ38" s="315"/>
      <c r="AR38" s="315"/>
    </row>
    <row r="39" spans="1:52" ht="30" customHeight="1">
      <c r="AK39" s="300" t="s">
        <v>929</v>
      </c>
      <c r="AL39" s="299" t="s">
        <v>1298</v>
      </c>
      <c r="AM39" s="299" t="s">
        <v>930</v>
      </c>
      <c r="AQ39" s="314"/>
      <c r="AR39" s="314"/>
    </row>
    <row r="40" spans="1:52" ht="30" customHeight="1">
      <c r="AK40" s="294" t="e">
        <f>COUNTIFS([2]EXPEDIENTES!Q:Q,"=Prisión Preventiva",[2]EXPEDIENTES!J:J,"=Dr. Rodriguez Pipino")</f>
        <v>#VALUE!</v>
      </c>
      <c r="AL40" s="293" t="e">
        <f>AK40/AK51</f>
        <v>#VALUE!</v>
      </c>
      <c r="AM40" s="295" t="s">
        <v>577</v>
      </c>
      <c r="AQ40" s="193" t="str">
        <f ca="1">"Fuente: OFIJU GAR - Información al "&amp;TEXT(TODAY(),"DD/MM/YYYY")</f>
        <v>Fuente: OFIJU GAR - Información al 25/10/2023</v>
      </c>
      <c r="AR40" s="314"/>
    </row>
    <row r="41" spans="1:52" ht="30" customHeight="1">
      <c r="AK41" s="294" t="e">
        <f>COUNTIFS([2]EXPEDIENTES!Q:Q,"Juicio Abreviado - Efectiva",[2]EXPEDIENTES!J:J,"=Dr. Rodriguez Pipino")</f>
        <v>#VALUE!</v>
      </c>
      <c r="AL41" s="293" t="e">
        <f>AK41/AK51</f>
        <v>#VALUE!</v>
      </c>
      <c r="AM41" s="295" t="s">
        <v>1323</v>
      </c>
    </row>
    <row r="42" spans="1:52" ht="30" customHeight="1">
      <c r="AK42" s="294" t="e">
        <f>COUNTIFS([2]EXPEDIENTES!Q:Q,"Juicio Abreviado - Condicional y reglas de conducta",[2]EXPEDIENTES!J:J,"=Dr. Rodriguez Pipino")</f>
        <v>#VALUE!</v>
      </c>
      <c r="AL42" s="293" t="e">
        <f>AK42/AK51</f>
        <v>#VALUE!</v>
      </c>
      <c r="AM42" s="295" t="s">
        <v>1324</v>
      </c>
      <c r="AQ42" s="404" t="s">
        <v>1999</v>
      </c>
      <c r="AR42" s="404"/>
      <c r="AS42" s="404"/>
      <c r="AT42" s="404"/>
      <c r="AU42" s="404"/>
      <c r="AV42" s="404"/>
      <c r="AW42" s="404"/>
      <c r="AX42" s="404"/>
      <c r="AY42" s="404"/>
      <c r="AZ42" s="404"/>
    </row>
    <row r="43" spans="1:52" ht="30" customHeight="1">
      <c r="A43" s="302"/>
      <c r="B43" s="302"/>
      <c r="C43" s="302"/>
      <c r="AK43" s="294" t="e">
        <f>COUNTIFS([2]EXPEDIENTES!Q:Q,"Libertad",[2]EXPEDIENTES!J:J,"=Dr. Rodriguez Pipino")</f>
        <v>#VALUE!</v>
      </c>
      <c r="AL43" s="293" t="e">
        <f>AK43/AK51</f>
        <v>#VALUE!</v>
      </c>
      <c r="AM43" s="295" t="s">
        <v>902</v>
      </c>
      <c r="AQ43" s="405" t="s">
        <v>2443</v>
      </c>
      <c r="AR43" s="405"/>
      <c r="AS43" s="405"/>
      <c r="AT43" s="405"/>
      <c r="AU43" s="405"/>
      <c r="AV43" s="405"/>
      <c r="AW43" s="405"/>
      <c r="AX43" s="405"/>
      <c r="AY43" s="405"/>
      <c r="AZ43" s="405"/>
    </row>
    <row r="44" spans="1:52" ht="30" customHeight="1">
      <c r="A44" s="300" t="s">
        <v>929</v>
      </c>
      <c r="B44" s="300" t="s">
        <v>1298</v>
      </c>
      <c r="C44" s="286" t="s">
        <v>937</v>
      </c>
      <c r="AQ44" s="203" t="s">
        <v>929</v>
      </c>
      <c r="AR44" s="203" t="s">
        <v>930</v>
      </c>
    </row>
    <row r="45" spans="1:52" ht="30" customHeight="1">
      <c r="A45" s="294" t="e">
        <f>COUNTIF([2]EXPEDIENTES!J:J,"Dra. Zunino")</f>
        <v>#VALUE!</v>
      </c>
      <c r="B45" s="293" t="e">
        <f>A45/A53</f>
        <v>#VALUE!</v>
      </c>
      <c r="C45" s="296" t="s">
        <v>1220</v>
      </c>
      <c r="E45" s="301"/>
      <c r="F45" s="301"/>
      <c r="G45" s="301"/>
      <c r="AQ45" s="283">
        <f ca="1">COUNTIFS(EXPEDIENTES!Q:Q,$AR45,EXPEDIENTES!O:O,"SI")</f>
        <v>2</v>
      </c>
      <c r="AR45" s="312" t="s">
        <v>910</v>
      </c>
    </row>
    <row r="46" spans="1:52" ht="33.75" customHeight="1">
      <c r="A46" s="294" t="e">
        <f>COUNTIF([2]EXPEDIENTES!J:J,"Dr. Colombo")</f>
        <v>#VALUE!</v>
      </c>
      <c r="B46" s="293" t="e">
        <f>A46/A53</f>
        <v>#VALUE!</v>
      </c>
      <c r="C46" s="292" t="s">
        <v>31</v>
      </c>
      <c r="AQ46" s="283">
        <f ca="1">COUNTIFS(EXPEDIENTES!Q:Q,$AR46,EXPEDIENTES!O:O,"SI")</f>
        <v>2</v>
      </c>
      <c r="AR46" s="312" t="s">
        <v>1023</v>
      </c>
    </row>
    <row r="47" spans="1:52" ht="30.75" customHeight="1">
      <c r="A47" s="294" t="e">
        <f>COUNTIF([2]EXPEDIENTES!J:J,"Dr. Pastrana")</f>
        <v>#VALUE!</v>
      </c>
      <c r="B47" s="293" t="e">
        <f>A47/A53</f>
        <v>#VALUE!</v>
      </c>
      <c r="C47" s="292" t="s">
        <v>35</v>
      </c>
      <c r="AQ47" s="283">
        <f ca="1">COUNTIFS(EXPEDIENTES!Q:Q,$AR47,EXPEDIENTES!O:O,"SI")</f>
        <v>121</v>
      </c>
      <c r="AR47" s="312" t="s">
        <v>905</v>
      </c>
    </row>
    <row r="48" spans="1:52" ht="26.25" customHeight="1">
      <c r="A48" s="294" t="e">
        <f>COUNTIF([2]EXPEDIENTES!J:J,"Dr. Rodriguez Pipino")</f>
        <v>#VALUE!</v>
      </c>
      <c r="B48" s="293" t="e">
        <f>A48/A53</f>
        <v>#VALUE!</v>
      </c>
      <c r="C48" s="298" t="s">
        <v>33</v>
      </c>
      <c r="AQ48" s="283">
        <f ca="1">COUNTIFS(EXPEDIENTES!Q:Q,$AR48,EXPEDIENTES!O:O,"SI")</f>
        <v>223</v>
      </c>
      <c r="AR48" s="312" t="s">
        <v>904</v>
      </c>
    </row>
    <row r="49" spans="1:52" ht="27.75" customHeight="1">
      <c r="A49" s="294">
        <v>0</v>
      </c>
      <c r="B49" s="293" t="e">
        <f>A49/A53</f>
        <v>#VALUE!</v>
      </c>
      <c r="C49" s="296" t="s">
        <v>1992</v>
      </c>
      <c r="AK49" s="297" t="e">
        <f>COUNTIFS([2]EXPEDIENTES!J:J,"=Dr. Rodriguez Pipino")-SUM(AK40:AK43,AK50)</f>
        <v>#VALUE!</v>
      </c>
      <c r="AL49" s="293" t="e">
        <f>AK49/AK51</f>
        <v>#VALUE!</v>
      </c>
      <c r="AM49" s="295" t="s">
        <v>1325</v>
      </c>
      <c r="AQ49" s="283">
        <f ca="1">COUNTIFS(EXPEDIENTES!Q:Q,$AR49,EXPEDIENTES!O:O,"SI")</f>
        <v>9</v>
      </c>
      <c r="AR49" s="312" t="s">
        <v>902</v>
      </c>
    </row>
    <row r="50" spans="1:52" ht="26.25" customHeight="1">
      <c r="A50" s="294" t="e">
        <f>COUNTIF([2]EXPEDIENTES!J:J,"Dra. Espeche")</f>
        <v>#VALUE!</v>
      </c>
      <c r="B50" s="293" t="e">
        <f>A50/A53</f>
        <v>#VALUE!</v>
      </c>
      <c r="C50" s="296" t="s">
        <v>1225</v>
      </c>
      <c r="M50" s="192" t="s">
        <v>1321</v>
      </c>
      <c r="N50" s="192" t="s">
        <v>1330</v>
      </c>
      <c r="AK50" s="294" t="e">
        <f>COUNTIFS([2]EXPEDIENTES!Q:Q,"Suspendida por otras causas procesales",[2]EXPEDIENTES!Q:Q,"Audiencia cancelada - inimputabilidad",[2]EXPEDIENTES!Q:Q,"Suspendida por pedido de las partes",[2]EXPEDIENTES!J:J,"=Dr. Rodriguez Pipino")</f>
        <v>#VALUE!</v>
      </c>
      <c r="AL50" s="293" t="e">
        <f>AK50/AK51</f>
        <v>#VALUE!</v>
      </c>
      <c r="AM50" s="295" t="s">
        <v>949</v>
      </c>
      <c r="AQ50" s="283">
        <f ca="1">COUNTIFS(EXPEDIENTES!Q:Q,$AR50,EXPEDIENTES!O:O,"SI")</f>
        <v>82</v>
      </c>
      <c r="AR50" s="312" t="s">
        <v>899</v>
      </c>
    </row>
    <row r="51" spans="1:52" ht="34.5" customHeight="1">
      <c r="A51" s="294" t="e">
        <f>COUNTIF([2]EXPEDIENTES!J:J,"Dr. Zerdan")</f>
        <v>#VALUE!</v>
      </c>
      <c r="B51" s="293" t="e">
        <f>A51/A53</f>
        <v>#VALUE!</v>
      </c>
      <c r="C51" s="296" t="s">
        <v>1221</v>
      </c>
      <c r="M51" s="300" t="s">
        <v>929</v>
      </c>
      <c r="N51" s="299" t="s">
        <v>1298</v>
      </c>
      <c r="O51" s="299" t="s">
        <v>930</v>
      </c>
      <c r="AK51" s="291" t="e">
        <f>SUM(AK40:AK50)</f>
        <v>#VALUE!</v>
      </c>
      <c r="AL51" s="290" t="e">
        <f>SUM(AL40:AL50)</f>
        <v>#VALUE!</v>
      </c>
      <c r="AM51" s="289" t="s">
        <v>370</v>
      </c>
      <c r="AQ51" s="283">
        <f ca="1">COUNTIFS(EXPEDIENTES!Q:Q,$AR51,EXPEDIENTES!O:O,"SI")</f>
        <v>12</v>
      </c>
      <c r="AR51" s="312" t="s">
        <v>913</v>
      </c>
    </row>
    <row r="52" spans="1:52" ht="35.1" customHeight="1">
      <c r="A52" s="294" t="e">
        <f>COUNTIF([2]EXPEDIENTES!J:J,"Dra. Puertas")</f>
        <v>#VALUE!</v>
      </c>
      <c r="B52" s="293" t="e">
        <f>A52/A53</f>
        <v>#VALUE!</v>
      </c>
      <c r="C52" s="292" t="s">
        <v>78</v>
      </c>
      <c r="M52" s="294" t="e">
        <f>COUNTIFS([2]EXPEDIENTES!Q:Q,"=Prisión Preventiva",[2]EXPEDIENTES!H:H,"&gt;=01/05/2023",[2]EXPEDIENTES!H:H,"&lt;=31/05/2023")</f>
        <v>#VALUE!</v>
      </c>
      <c r="N52" s="293" t="e">
        <f>M52/M58</f>
        <v>#VALUE!</v>
      </c>
      <c r="O52" s="295" t="s">
        <v>577</v>
      </c>
      <c r="AQ52" s="283">
        <f ca="1">COUNTIFS(EXPEDIENTES!Q:Q,$AR52,EXPEDIENTES!O:O,"SI")</f>
        <v>3</v>
      </c>
      <c r="AR52" s="312" t="s">
        <v>974</v>
      </c>
    </row>
    <row r="53" spans="1:52" ht="30" customHeight="1">
      <c r="A53" s="288" t="e">
        <f>SUM(A46:A52)</f>
        <v>#VALUE!</v>
      </c>
      <c r="B53" s="287" t="e">
        <f>SUM(B46:B52)</f>
        <v>#VALUE!</v>
      </c>
      <c r="C53" s="286" t="s">
        <v>936</v>
      </c>
      <c r="M53" s="294" t="e">
        <f>COUNTIFS([2]EXPEDIENTES!Q:Q,"Juicio Abreviado - Efectiva",[2]EXPEDIENTES!H:H,"&gt;=01/05/2023",[2]EXPEDIENTES!H:H,"&lt;=31/05/2023")</f>
        <v>#VALUE!</v>
      </c>
      <c r="N53" s="293" t="e">
        <f>M53/M58</f>
        <v>#VALUE!</v>
      </c>
      <c r="O53" s="295" t="s">
        <v>1323</v>
      </c>
      <c r="AK53" s="192" t="s">
        <v>382</v>
      </c>
      <c r="AL53" s="192" t="s">
        <v>78</v>
      </c>
      <c r="AQ53" s="283">
        <f ca="1">COUNTIFS(EXPEDIENTES!Q:Q,$AR53,EXPEDIENTES!O:O,"SI")</f>
        <v>273</v>
      </c>
      <c r="AR53" s="312" t="s">
        <v>151</v>
      </c>
    </row>
    <row r="54" spans="1:52" ht="24.95" customHeight="1">
      <c r="M54" s="294" t="e">
        <f>COUNTIFS([2]EXPEDIENTES!Q:Q,"Juicio Abreviado - Condicional y reglas de conducta",[2]EXPEDIENTES!H:H,"&gt;=01/05/2023",[2]EXPEDIENTES!H:H,"&lt;=31/05/2023")</f>
        <v>#VALUE!</v>
      </c>
      <c r="N54" s="293" t="e">
        <f>M54/M58</f>
        <v>#VALUE!</v>
      </c>
      <c r="O54" s="295" t="s">
        <v>1324</v>
      </c>
      <c r="AK54" s="300" t="s">
        <v>929</v>
      </c>
      <c r="AL54" s="299" t="s">
        <v>1298</v>
      </c>
      <c r="AM54" s="299" t="s">
        <v>930</v>
      </c>
      <c r="AQ54" s="283">
        <f ca="1">COUNTIFS(EXPEDIENTES!Q:Q,$AR54,EXPEDIENTES!O:O,"SI")</f>
        <v>11</v>
      </c>
      <c r="AR54" s="312" t="s">
        <v>912</v>
      </c>
    </row>
    <row r="55" spans="1:52" ht="24.95" customHeight="1">
      <c r="M55" s="294" t="e">
        <f>COUNTIFS([2]EXPEDIENTES!R:R,"Libertad",[2]EXPEDIENTES!H:H,"&gt;=01/05/2023",[2]EXPEDIENTES!H:H,"&lt;=31/05/2023")</f>
        <v>#VALUE!</v>
      </c>
      <c r="N55" s="293" t="e">
        <f>M55/M58</f>
        <v>#VALUE!</v>
      </c>
      <c r="O55" s="295" t="s">
        <v>902</v>
      </c>
      <c r="AK55" s="294" t="e">
        <f>COUNTIFS([2]EXPEDIENTES!Q:Q,"=Prisión Preventiva",[2]EXPEDIENTES!J:J,"=Dra. Puertas")</f>
        <v>#VALUE!</v>
      </c>
      <c r="AL55" s="293" t="e">
        <f>AK55/AK61</f>
        <v>#VALUE!</v>
      </c>
      <c r="AM55" s="295" t="s">
        <v>577</v>
      </c>
      <c r="AQ55" s="283">
        <f ca="1">COUNTIFS(EXPEDIENTES!Q:Q,$AR55,EXPEDIENTES!O:O,"SI")</f>
        <v>7</v>
      </c>
      <c r="AR55" s="312" t="s">
        <v>911</v>
      </c>
    </row>
    <row r="56" spans="1:52" ht="24.95" customHeight="1">
      <c r="M56" s="297" t="e">
        <f>COUNTIFS([2]EXPEDIENTES!H:H,"&gt;=01/05/2023",[2]EXPEDIENTES!H:H,"&lt;=31/05/2023")-SUM(M52:M55,M57)</f>
        <v>#VALUE!</v>
      </c>
      <c r="N56" s="293" t="e">
        <f>M56/M58</f>
        <v>#VALUE!</v>
      </c>
      <c r="O56" s="295" t="s">
        <v>1325</v>
      </c>
      <c r="AK56" s="294" t="e">
        <f>COUNTIFS([2]EXPEDIENTES!Q:Q,"Juicio Abreviado - Efectiva",[2]EXPEDIENTES!J:J,"=Dra. Puertas")</f>
        <v>#VALUE!</v>
      </c>
      <c r="AL56" s="293" t="e">
        <f>AK56/AK61</f>
        <v>#VALUE!</v>
      </c>
      <c r="AM56" s="295" t="s">
        <v>1323</v>
      </c>
      <c r="AQ56" s="283">
        <f ca="1">COUNTIFS(EXPEDIENTES!Q:Q,$AR56,EXPEDIENTES!O:O,"SI")</f>
        <v>19</v>
      </c>
      <c r="AR56" s="312" t="s">
        <v>909</v>
      </c>
    </row>
    <row r="57" spans="1:52" ht="24.95" customHeight="1">
      <c r="M57" s="294" t="e">
        <f>COUNTIFS([2]EXPEDIENTES!Q:Q,"Suspendida por otras causas procesales",[2]EXPEDIENTES!Q:Q,"Audiencia cancelada - inimputabilidad",[2]EXPEDIENTES!Q:Q,"Suspendida por pedido de las partes",[2]EXPEDIENTES!H:H,"&gt;=01/05/2023",[2]EXPEDIENTES!H:H,"&lt;=31/05/2023")</f>
        <v>#VALUE!</v>
      </c>
      <c r="N57" s="293" t="e">
        <f>M57/M58</f>
        <v>#VALUE!</v>
      </c>
      <c r="O57" s="295" t="s">
        <v>949</v>
      </c>
      <c r="AK57" s="294" t="e">
        <f>COUNTIFS([2]EXPEDIENTES!Q:Q,"Juicio Abreviado - Condicional y reglas de conducta",[2]EXPEDIENTES!J:J,"=Dra. Puertas")</f>
        <v>#VALUE!</v>
      </c>
      <c r="AL57" s="293" t="e">
        <f>AK57/AK61</f>
        <v>#VALUE!</v>
      </c>
      <c r="AM57" s="295" t="s">
        <v>1324</v>
      </c>
      <c r="AQ57" s="283">
        <f ca="1">COUNTIFS(EXPEDIENTES!Q:Q,$AR57,EXPEDIENTES!O:O,"SI")</f>
        <v>1</v>
      </c>
      <c r="AR57" s="312" t="s">
        <v>1012</v>
      </c>
    </row>
    <row r="58" spans="1:52" ht="24.95" customHeight="1">
      <c r="M58" s="291" t="e">
        <f>SUM(M52:M57)</f>
        <v>#VALUE!</v>
      </c>
      <c r="N58" s="290" t="e">
        <f>SUM(N52:N57)</f>
        <v>#VALUE!</v>
      </c>
      <c r="O58" s="289" t="s">
        <v>370</v>
      </c>
      <c r="AK58" s="294" t="e">
        <f>COUNTIFS([2]EXPEDIENTES!Q:Q,"Libertad",[2]EXPEDIENTES!J:J,"=Dra. Puertas")</f>
        <v>#VALUE!</v>
      </c>
      <c r="AL58" s="293" t="e">
        <f>AK58/AK61</f>
        <v>#VALUE!</v>
      </c>
      <c r="AM58" s="295" t="s">
        <v>902</v>
      </c>
      <c r="AQ58" s="283">
        <f ca="1">COUNTIFS(EXPEDIENTES!Q:Q,$AR58,EXPEDIENTES!O:O,"SI")</f>
        <v>11</v>
      </c>
      <c r="AR58" s="313" t="s">
        <v>1512</v>
      </c>
    </row>
    <row r="59" spans="1:52" ht="24.95" customHeight="1">
      <c r="AK59" s="297" t="e">
        <f>COUNTIFS([2]EXPEDIENTES!J:J,"=Dra. Puertas")-SUM(AK55:AK58,AK60)</f>
        <v>#VALUE!</v>
      </c>
      <c r="AL59" s="293" t="e">
        <f>AK59/AK61</f>
        <v>#VALUE!</v>
      </c>
      <c r="AM59" s="295" t="s">
        <v>1325</v>
      </c>
      <c r="AQ59" s="283">
        <f ca="1">COUNTIFS(EXPEDIENTES!Q:Q,$AR59,EXPEDIENTES!O:O,"SI")</f>
        <v>3</v>
      </c>
      <c r="AR59" s="312" t="s">
        <v>1902</v>
      </c>
    </row>
    <row r="60" spans="1:52" ht="24.95" customHeight="1">
      <c r="AK60" s="294" t="e">
        <f>COUNTIFS([2]EXPEDIENTES!Q:Q,"Suspendida por otras causas procesales",[2]EXPEDIENTES!Q:Q,"Audiencia cancelada - inimputabilidad",[2]EXPEDIENTES!Q:Q,"Suspendida por pedido de las partes",[2]EXPEDIENTES!J:J,"=Dra. Puertas")</f>
        <v>#VALUE!</v>
      </c>
      <c r="AL60" s="293" t="e">
        <f>AK60/AK61</f>
        <v>#VALUE!</v>
      </c>
      <c r="AM60" s="295" t="s">
        <v>949</v>
      </c>
      <c r="AQ60" s="203">
        <f ca="1">SUM(AQ45:AQ59)</f>
        <v>779</v>
      </c>
      <c r="AR60" s="203" t="s">
        <v>370</v>
      </c>
    </row>
    <row r="61" spans="1:52" ht="24.95" customHeight="1">
      <c r="AK61" s="291" t="e">
        <f>SUM(AK55:AK60)</f>
        <v>#VALUE!</v>
      </c>
      <c r="AL61" s="290" t="e">
        <f>SUM(AL55:AL60)</f>
        <v>#VALUE!</v>
      </c>
      <c r="AM61" s="289" t="s">
        <v>370</v>
      </c>
      <c r="AQ61" s="193" t="str">
        <f ca="1">"Fuente: OFIJU GAR - Información al "&amp;TEXT(TODAY(),"DD/MM/YYYY")</f>
        <v>Fuente: OFIJU GAR - Información al 25/10/2023</v>
      </c>
    </row>
    <row r="62" spans="1:52" ht="24.95" customHeight="1"/>
    <row r="63" spans="1:52" ht="24.95" customHeight="1">
      <c r="AQ63" s="404" t="s">
        <v>1999</v>
      </c>
      <c r="AR63" s="404"/>
      <c r="AS63" s="404"/>
      <c r="AT63" s="404"/>
      <c r="AU63" s="404"/>
      <c r="AV63" s="404"/>
      <c r="AW63" s="404"/>
      <c r="AX63" s="404"/>
      <c r="AY63" s="404"/>
      <c r="AZ63" s="404"/>
    </row>
    <row r="64" spans="1:52" ht="24.95" customHeight="1">
      <c r="AQ64" s="405" t="s">
        <v>2932</v>
      </c>
      <c r="AR64" s="405"/>
      <c r="AS64" s="405"/>
      <c r="AT64" s="405"/>
      <c r="AU64" s="405"/>
      <c r="AV64" s="405"/>
      <c r="AW64" s="405"/>
      <c r="AX64" s="405"/>
      <c r="AY64" s="405"/>
      <c r="AZ64" s="405"/>
    </row>
    <row r="65" spans="1:44" ht="13.5" thickBot="1"/>
    <row r="66" spans="1:44" ht="18">
      <c r="AQ66" s="311" t="s">
        <v>929</v>
      </c>
      <c r="AR66" s="310" t="s">
        <v>930</v>
      </c>
    </row>
    <row r="67" spans="1:44" ht="28.35" customHeight="1">
      <c r="A67" s="193"/>
      <c r="H67" s="193"/>
      <c r="I67" s="193"/>
      <c r="K67" s="192"/>
      <c r="AQ67" s="309">
        <f ca="1">COUNTIFS(EXPEDIENTES!R:R,$AR67,EXPEDIENTES!O:O,"SI")</f>
        <v>2</v>
      </c>
      <c r="AR67" s="308" t="s">
        <v>910</v>
      </c>
    </row>
    <row r="68" spans="1:44" ht="28.35" customHeight="1">
      <c r="AQ68" s="309">
        <f ca="1">COUNTIFS(EXPEDIENTES!R:R,$AR68,EXPEDIENTES!O:O,"SI")</f>
        <v>2</v>
      </c>
      <c r="AR68" s="308" t="s">
        <v>907</v>
      </c>
    </row>
    <row r="69" spans="1:44" ht="28.35" customHeight="1">
      <c r="AQ69" s="309">
        <f ca="1">COUNTIFS(EXPEDIENTES!R:R,$AR69,EXPEDIENTES!O:O,"SI")</f>
        <v>355</v>
      </c>
      <c r="AR69" s="308" t="s">
        <v>100</v>
      </c>
    </row>
    <row r="70" spans="1:44" ht="28.35" customHeight="1">
      <c r="AQ70" s="309">
        <f ca="1">COUNTIFS(EXPEDIENTES!R:R,$AR70,EXPEDIENTES!O:O,"SI")</f>
        <v>91</v>
      </c>
      <c r="AR70" s="308" t="s">
        <v>902</v>
      </c>
    </row>
    <row r="71" spans="1:44" ht="28.35" customHeight="1">
      <c r="AQ71" s="309">
        <f ca="1">COUNTIFS(EXPEDIENTES!R:R,$AR71,EXPEDIENTES!O:O,"SI")</f>
        <v>15</v>
      </c>
      <c r="AR71" s="308" t="s">
        <v>913</v>
      </c>
    </row>
    <row r="72" spans="1:44" ht="28.35" customHeight="1">
      <c r="AQ72" s="309">
        <f ca="1">COUNTIFS(EXPEDIENTES!R:R,$AR72,EXPEDIENTES!O:O,"SI")</f>
        <v>273</v>
      </c>
      <c r="AR72" s="308" t="s">
        <v>151</v>
      </c>
    </row>
    <row r="73" spans="1:44" ht="28.35" customHeight="1">
      <c r="AQ73" s="309">
        <f ca="1">COUNTIFS(EXPEDIENTES!R:R,$AR73,EXPEDIENTES!O:O,"SI")</f>
        <v>19</v>
      </c>
      <c r="AR73" s="308" t="s">
        <v>949</v>
      </c>
    </row>
    <row r="74" spans="1:44" ht="28.35" customHeight="1">
      <c r="AQ74" s="309">
        <f ca="1">COUNTIFS(EXPEDIENTES!R:R,$AR74,EXPEDIENTES!O:O,"SI")</f>
        <v>19</v>
      </c>
      <c r="AR74" s="308" t="s">
        <v>909</v>
      </c>
    </row>
    <row r="75" spans="1:44" ht="28.35" customHeight="1">
      <c r="AQ75" s="309">
        <f ca="1">COUNTIFS(EXPEDIENTES!R:R,$AR75,EXPEDIENTES!O:O,"SI")</f>
        <v>3</v>
      </c>
      <c r="AR75" s="308" t="s">
        <v>1902</v>
      </c>
    </row>
    <row r="76" spans="1:44" ht="28.35" customHeight="1" thickBot="1">
      <c r="M76" s="192" t="s">
        <v>1321</v>
      </c>
      <c r="N76" s="192" t="s">
        <v>1331</v>
      </c>
      <c r="AQ76" s="307">
        <f ca="1">SUM(AQ67:AQ75)</f>
        <v>779</v>
      </c>
      <c r="AR76" s="306" t="s">
        <v>370</v>
      </c>
    </row>
    <row r="77" spans="1:44" ht="28.35" customHeight="1">
      <c r="M77" s="300" t="s">
        <v>929</v>
      </c>
      <c r="N77" s="299" t="s">
        <v>1298</v>
      </c>
      <c r="O77" s="299" t="s">
        <v>930</v>
      </c>
      <c r="AQ77" s="304"/>
      <c r="AR77" s="303"/>
    </row>
    <row r="78" spans="1:44" ht="28.35" customHeight="1">
      <c r="M78" s="294" t="e">
        <f>COUNTIFS([2]EXPEDIENTES!Q:Q,"=Prisión Preventiva",[2]EXPEDIENTES!H:H,"&gt;=01/06/2023",[2]EXPEDIENTES!H:H,"&lt;=30/06/2023")</f>
        <v>#VALUE!</v>
      </c>
      <c r="N78" s="293" t="e">
        <f>M78/M84</f>
        <v>#VALUE!</v>
      </c>
      <c r="O78" s="295" t="s">
        <v>577</v>
      </c>
      <c r="AQ78" s="305"/>
      <c r="AR78" s="305"/>
    </row>
    <row r="79" spans="1:44" ht="28.35" customHeight="1">
      <c r="M79" s="294" t="e">
        <f>COUNTIFS([2]EXPEDIENTES!Q:Q,"Juicio Abreviado - Efectiva",[2]EXPEDIENTES!H:H,"&gt;=01/06/2023",[2]EXPEDIENTES!H:H,"&lt;=30/06/2023")</f>
        <v>#VALUE!</v>
      </c>
      <c r="N79" s="293" t="e">
        <f>M79/M84</f>
        <v>#VALUE!</v>
      </c>
      <c r="O79" s="295" t="s">
        <v>1323</v>
      </c>
      <c r="AQ79" s="304"/>
      <c r="AR79" s="303"/>
    </row>
    <row r="80" spans="1:44" ht="28.35" customHeight="1">
      <c r="M80" s="294" t="e">
        <f>COUNTIFS([2]EXPEDIENTES!Q:Q,"Juicio Abreviado - Condicional y reglas de conducta",[2]EXPEDIENTES!H:H,"&gt;=01/06/2023",[2]EXPEDIENTES!H:H,"&lt;=30/06/2023")</f>
        <v>#VALUE!</v>
      </c>
      <c r="N80" s="293" t="e">
        <f>M80/M84</f>
        <v>#VALUE!</v>
      </c>
      <c r="O80" s="295" t="s">
        <v>1324</v>
      </c>
      <c r="AQ80" s="305"/>
      <c r="AR80" s="305"/>
    </row>
    <row r="81" spans="13:44" ht="28.35" customHeight="1">
      <c r="M81" s="294" t="e">
        <f>COUNTIFS([2]EXPEDIENTES!R:R,"Libertad",[2]EXPEDIENTES!H:H,"&gt;=01/06/2023",[2]EXPEDIENTES!H:H,"&lt;=30/06/2023")</f>
        <v>#VALUE!</v>
      </c>
      <c r="N81" s="293" t="e">
        <f>M81/M84</f>
        <v>#VALUE!</v>
      </c>
      <c r="O81" s="295" t="s">
        <v>902</v>
      </c>
      <c r="AQ81" s="304"/>
      <c r="AR81" s="303"/>
    </row>
    <row r="82" spans="13:44" ht="18" customHeight="1">
      <c r="M82" s="297" t="e">
        <f>COUNTIFS([2]EXPEDIENTES!H:H,"&gt;=01/06/2023",[2]EXPEDIENTES!H:H,"&lt;=30/06/2023",[2]EXPEDIENTES!O:O,"&lt;&gt;NO")-SUM(M78:M81,M83)</f>
        <v>#VALUE!</v>
      </c>
      <c r="N82" s="293" t="e">
        <f>M82/M84</f>
        <v>#VALUE!</v>
      </c>
      <c r="O82" s="295" t="s">
        <v>1325</v>
      </c>
      <c r="AQ82" s="304"/>
      <c r="AR82" s="303"/>
    </row>
    <row r="83" spans="13:44" ht="21" customHeight="1">
      <c r="M83" s="294" t="e">
        <f>COUNTIFS([2]EXPEDIENTES!Q:Q,"Suspendida por otras causas procesales",[2]EXPEDIENTES!Q:Q,"Audiencia cancelada - inimputabilidad",[2]EXPEDIENTES!Q:Q,"Suspendida por pedido de las partes",[2]EXPEDIENTES!H:H,"&gt;=01/06/2023",[2]EXPEDIENTES!H:H,"&lt;=30/06/2023")</f>
        <v>#VALUE!</v>
      </c>
      <c r="N83" s="293" t="e">
        <f>M83/M84</f>
        <v>#VALUE!</v>
      </c>
      <c r="O83" s="295" t="s">
        <v>949</v>
      </c>
    </row>
    <row r="84" spans="13:44" ht="22.5" customHeight="1">
      <c r="M84" s="291" t="e">
        <f>SUM(M78:M83)</f>
        <v>#VALUE!</v>
      </c>
      <c r="N84" s="290" t="e">
        <f>SUM(N78:N83)</f>
        <v>#VALUE!</v>
      </c>
      <c r="O84" s="289" t="s">
        <v>370</v>
      </c>
    </row>
    <row r="85" spans="13:44" ht="23.25" customHeight="1"/>
    <row r="86" spans="13:44" ht="21" customHeight="1"/>
    <row r="103" spans="13:15" ht="27.75" customHeight="1">
      <c r="M103" s="192" t="s">
        <v>1321</v>
      </c>
      <c r="N103" s="192" t="s">
        <v>1993</v>
      </c>
    </row>
    <row r="104" spans="13:15" ht="27" customHeight="1">
      <c r="M104" s="300" t="s">
        <v>929</v>
      </c>
      <c r="N104" s="299" t="s">
        <v>1298</v>
      </c>
      <c r="O104" s="299" t="s">
        <v>930</v>
      </c>
    </row>
    <row r="105" spans="13:15" ht="23.25" customHeight="1">
      <c r="M105" s="294" t="e">
        <f>COUNTIFS([2]EXPEDIENTES!Q:Q,"=Prisión Preventiva",[2]EXPEDIENTES!H:H,"&gt;=01/07/2023",[2]EXPEDIENTES!H:H,"&lt;=31/07/2023")</f>
        <v>#VALUE!</v>
      </c>
      <c r="N105" s="293" t="e">
        <f>M105/M111</f>
        <v>#VALUE!</v>
      </c>
      <c r="O105" s="295" t="s">
        <v>577</v>
      </c>
    </row>
    <row r="106" spans="13:15" ht="24" customHeight="1">
      <c r="M106" s="294" t="e">
        <f>COUNTIFS([2]EXPEDIENTES!Q:Q,"Juicio Abreviado - Efectiva",[2]EXPEDIENTES!H:H,"&gt;=01/07/2023",[2]EXPEDIENTES!H:H,"&lt;=31/07/2023")</f>
        <v>#VALUE!</v>
      </c>
      <c r="N106" s="293" t="e">
        <f>M106/M111</f>
        <v>#VALUE!</v>
      </c>
      <c r="O106" s="295" t="s">
        <v>1323</v>
      </c>
    </row>
    <row r="107" spans="13:15" ht="24" customHeight="1">
      <c r="M107" s="294" t="e">
        <f>COUNTIFS([2]EXPEDIENTES!Q:Q,"Juicio Abreviado - Condicional y reglas de conducta",[2]EXPEDIENTES!H:H,"&gt;=01/07/2023",[2]EXPEDIENTES!H:H,"&lt;=31/07/2023")</f>
        <v>#VALUE!</v>
      </c>
      <c r="N107" s="293" t="e">
        <f>M107/M111</f>
        <v>#VALUE!</v>
      </c>
      <c r="O107" s="295" t="s">
        <v>1324</v>
      </c>
    </row>
    <row r="108" spans="13:15" ht="24.75" customHeight="1">
      <c r="M108" s="294" t="e">
        <f>COUNTIFS([2]EXPEDIENTES!R:R,"Libertad",[2]EXPEDIENTES!H:H,"&gt;=01/07/2023",[2]EXPEDIENTES!H:H,"&lt;=31/07/2023")</f>
        <v>#VALUE!</v>
      </c>
      <c r="N108" s="293" t="e">
        <f>M108/M111</f>
        <v>#VALUE!</v>
      </c>
      <c r="O108" s="295" t="s">
        <v>902</v>
      </c>
    </row>
    <row r="109" spans="13:15" ht="24.75" customHeight="1">
      <c r="M109" s="297" t="e">
        <f>COUNTIFS([2]EXPEDIENTES!H:H,"&gt;=01/07/2023",[2]EXPEDIENTES!H:H,"&lt;=31/07/2023",[2]EXPEDIENTES!O:O,"&lt;&gt;NO")-SUM(M105:M108,M110)</f>
        <v>#VALUE!</v>
      </c>
      <c r="N109" s="293" t="e">
        <f>M109/M111</f>
        <v>#VALUE!</v>
      </c>
      <c r="O109" s="295" t="s">
        <v>1325</v>
      </c>
    </row>
    <row r="110" spans="13:15" ht="19.5" customHeight="1">
      <c r="M110" s="294" t="e">
        <f>COUNTIFS([2]EXPEDIENTES!Q:Q,"Suspendida por otras causas procesales",[2]EXPEDIENTES!Q:Q,"Audiencia cancelada - inimputabilidad",[2]EXPEDIENTES!Q:Q,"Suspendida por pedido de las partes",[2]EXPEDIENTES!H:H,"&gt;=01/07/2023",[2]EXPEDIENTES!H:H,"&lt;=31/07/2023")</f>
        <v>#VALUE!</v>
      </c>
      <c r="N110" s="293" t="e">
        <f>M110/M111</f>
        <v>#VALUE!</v>
      </c>
      <c r="O110" s="295" t="s">
        <v>949</v>
      </c>
    </row>
    <row r="111" spans="13:15" ht="23.25" customHeight="1">
      <c r="M111" s="291" t="e">
        <f>SUM(M105:M110)</f>
        <v>#VALUE!</v>
      </c>
      <c r="N111" s="290" t="e">
        <f>SUM(N105:N110)</f>
        <v>#VALUE!</v>
      </c>
      <c r="O111" s="289" t="s">
        <v>370</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26"/>
  </cols>
  <sheetData>
    <row r="1" spans="1:16384" ht="20.25">
      <c r="B1" s="27" t="s">
        <v>514</v>
      </c>
      <c r="C1" s="21">
        <f ca="1">TODAY()</f>
        <v>45224</v>
      </c>
    </row>
    <row r="2" spans="1:16384" ht="21.95" customHeight="1">
      <c r="B2" s="408" t="s">
        <v>393</v>
      </c>
      <c r="C2" s="408"/>
    </row>
    <row r="3" spans="1:16384" ht="21.95" customHeight="1">
      <c r="B3" s="13" t="s">
        <v>3</v>
      </c>
      <c r="C3" s="13" t="s">
        <v>362</v>
      </c>
    </row>
    <row r="4" spans="1:16384" ht="21.95" customHeight="1">
      <c r="B4" s="11" t="s">
        <v>43</v>
      </c>
      <c r="C4" s="11">
        <f ca="1">COUNTIFS(EXPEDIENTES!G:G,B4,EXPEDIENTES!O:O,"NO")</f>
        <v>1</v>
      </c>
    </row>
    <row r="5" spans="1:16384" ht="21.95" customHeight="1">
      <c r="B5" s="11" t="s">
        <v>29</v>
      </c>
      <c r="C5" s="11">
        <f ca="1">COUNTIFS(EXPEDIENTES!G:G,B5,EXPEDIENTES!O:O,"NO")</f>
        <v>0</v>
      </c>
    </row>
    <row r="6" spans="1:16384" ht="21.95" customHeight="1">
      <c r="B6" s="11" t="s">
        <v>283</v>
      </c>
      <c r="C6" s="11">
        <f ca="1">COUNTIFS(EXPEDIENTES!G:G,B6,EXPEDIENTES!O:O,"NO")</f>
        <v>7</v>
      </c>
    </row>
    <row r="7" spans="1:16384" ht="21.95" customHeight="1">
      <c r="B7" s="11" t="s">
        <v>32</v>
      </c>
      <c r="C7" s="11">
        <f ca="1">COUNTIFS(EXPEDIENTES!G:G,B7,EXPEDIENTES!O:O,"NO")</f>
        <v>0</v>
      </c>
    </row>
    <row r="8" spans="1:16384" ht="21.95" customHeight="1">
      <c r="B8" s="11" t="s">
        <v>1441</v>
      </c>
      <c r="C8" s="11">
        <f ca="1">COUNTIFS(EXPEDIENTES!G:G,B8,EXPEDIENTES!O:O,"NO")</f>
        <v>9</v>
      </c>
    </row>
    <row r="9" spans="1:16384" ht="21.95" customHeight="1">
      <c r="B9" s="11" t="s">
        <v>568</v>
      </c>
      <c r="C9" s="11">
        <f ca="1">COUNTIFS(EXPEDIENTES!G:G,B9,EXPEDIENTES!O:O,"NO")</f>
        <v>7</v>
      </c>
    </row>
    <row r="10" spans="1:16384" ht="21.95" customHeight="1">
      <c r="B10" s="11" t="s">
        <v>1442</v>
      </c>
      <c r="C10" s="11">
        <f ca="1">COUNTIFS(EXPEDIENTES!G:G,B10,EXPEDIENTES!O:O,"NO")</f>
        <v>9</v>
      </c>
    </row>
    <row r="11" spans="1:16384" s="115" customFormat="1" ht="21.95" customHeight="1">
      <c r="A11" s="116"/>
      <c r="B11" s="11" t="s">
        <v>1443</v>
      </c>
      <c r="C11" s="11">
        <f ca="1">COUNTIFS(EXPEDIENTES!G:G,B11,EXPEDIENTES!O:O,"NO")</f>
        <v>9</v>
      </c>
      <c r="D11" s="116"/>
      <c r="E11" s="228"/>
      <c r="F11" s="228"/>
      <c r="G11" s="228"/>
      <c r="H11" s="228"/>
      <c r="I11" s="228"/>
      <c r="J11" s="228"/>
      <c r="K11" s="228"/>
      <c r="L11" s="228"/>
      <c r="M11" s="228"/>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80" t="s">
        <v>2774</v>
      </c>
      <c r="C12" s="11">
        <f ca="1">COUNTIFS(EXPEDIENTES!G:G,B12,EXPEDIENTES!O:O,"NO")</f>
        <v>0</v>
      </c>
    </row>
    <row r="13" spans="1:16384" ht="21.95" customHeight="1">
      <c r="B13" s="280" t="s">
        <v>2775</v>
      </c>
      <c r="C13" s="11">
        <f ca="1">COUNTIFS(EXPEDIENTES!G:G,B13,EXPEDIENTES!O:O,"NO")</f>
        <v>5</v>
      </c>
    </row>
    <row r="14" spans="1:16384" ht="21.95" customHeight="1">
      <c r="B14" s="280" t="s">
        <v>2776</v>
      </c>
      <c r="C14" s="11">
        <f ca="1">COUNTIFS(EXPEDIENTES!G:G,B14,EXPEDIENTES!O:O,"NO")</f>
        <v>0</v>
      </c>
    </row>
    <row r="15" spans="1:16384" ht="27" customHeight="1">
      <c r="B15" s="280" t="s">
        <v>2789</v>
      </c>
      <c r="C15" s="11">
        <f ca="1">COUNTIFS(EXPEDIENTES!G:G,B15,EXPEDIENTES!O:O,"NO")</f>
        <v>9</v>
      </c>
    </row>
    <row r="16" spans="1:16384" ht="21.95" customHeight="1">
      <c r="B16" s="11" t="s">
        <v>2290</v>
      </c>
      <c r="C16" s="11">
        <f ca="1">H36+'Exp por Encargado - Alvaro'!C5</f>
        <v>0</v>
      </c>
    </row>
    <row r="17" spans="2:12" ht="21.95" customHeight="1">
      <c r="B17" s="25" t="s">
        <v>372</v>
      </c>
      <c r="C17" s="225">
        <f ca="1">SUM(C4:C16)</f>
        <v>56</v>
      </c>
    </row>
    <row r="18" spans="2:12" ht="21.95" customHeight="1">
      <c r="B18" s="11" t="s">
        <v>628</v>
      </c>
      <c r="C18" s="11">
        <f>'no realizadas'!N10</f>
        <v>0</v>
      </c>
    </row>
    <row r="19" spans="2:12" ht="21.95" customHeight="1"/>
    <row r="20" spans="2:12" ht="21.95" customHeight="1"/>
    <row r="21" spans="2:12" ht="21.95" customHeight="1">
      <c r="F21" s="227"/>
      <c r="G21" s="227"/>
      <c r="H21" s="227"/>
      <c r="I21" s="227"/>
      <c r="J21" s="227"/>
      <c r="K21" s="227"/>
      <c r="L21" s="227"/>
    </row>
    <row r="22" spans="2:12" ht="21.95" customHeight="1">
      <c r="B22" s="408" t="s">
        <v>448</v>
      </c>
      <c r="C22" s="408"/>
      <c r="F22" s="227"/>
      <c r="G22" s="227"/>
      <c r="H22" s="227"/>
      <c r="I22" s="227"/>
      <c r="J22" s="227"/>
      <c r="K22" s="227"/>
      <c r="L22" s="227"/>
    </row>
    <row r="23" spans="2:12" ht="21.95" customHeight="1">
      <c r="B23" s="13" t="s">
        <v>3</v>
      </c>
      <c r="C23" s="13" t="s">
        <v>362</v>
      </c>
      <c r="F23" s="227"/>
      <c r="G23" s="227"/>
      <c r="H23" s="227"/>
      <c r="I23" s="227"/>
      <c r="J23" s="227"/>
      <c r="K23" s="227"/>
      <c r="L23" s="227"/>
    </row>
    <row r="24" spans="2:12" ht="21.95" customHeight="1">
      <c r="B24" s="11" t="s">
        <v>43</v>
      </c>
      <c r="C24" s="11">
        <f>COUNTIF(EXPEDIENTES!G:G,B24)</f>
        <v>103</v>
      </c>
      <c r="F24" s="227"/>
      <c r="G24" s="227" t="s">
        <v>2291</v>
      </c>
      <c r="H24" s="227"/>
      <c r="I24" s="227"/>
      <c r="J24" s="227"/>
      <c r="K24" s="227"/>
      <c r="L24" s="227"/>
    </row>
    <row r="25" spans="2:12" ht="21.95" customHeight="1">
      <c r="B25" s="11" t="s">
        <v>29</v>
      </c>
      <c r="C25" s="11">
        <f>COUNTIF(EXPEDIENTES!G:G,B25)</f>
        <v>89</v>
      </c>
      <c r="F25" s="227"/>
      <c r="G25" s="24" t="s">
        <v>1661</v>
      </c>
      <c r="H25" s="224">
        <f>COUNTIF(EXPEDIENTES!G:G,G25)</f>
        <v>5</v>
      </c>
      <c r="I25" s="227"/>
      <c r="J25" s="227"/>
      <c r="K25" s="227"/>
      <c r="L25" s="227"/>
    </row>
    <row r="26" spans="2:12" ht="21.95" customHeight="1">
      <c r="B26" s="11" t="s">
        <v>283</v>
      </c>
      <c r="C26" s="11">
        <f>COUNTIF(EXPEDIENTES!G:G,B26)</f>
        <v>106</v>
      </c>
      <c r="F26" s="227"/>
      <c r="G26" s="24" t="s">
        <v>1663</v>
      </c>
      <c r="H26" s="224">
        <f>COUNTIF(EXPEDIENTES!G:G,G26)</f>
        <v>6</v>
      </c>
      <c r="I26" s="227"/>
      <c r="J26" s="227"/>
      <c r="K26" s="227"/>
      <c r="L26" s="227"/>
    </row>
    <row r="27" spans="2:12" ht="21.95" customHeight="1">
      <c r="B27" s="11" t="s">
        <v>32</v>
      </c>
      <c r="C27" s="11">
        <f>COUNTIF(EXPEDIENTES!G:G,B27)</f>
        <v>78</v>
      </c>
      <c r="F27" s="227"/>
      <c r="G27" s="24" t="s">
        <v>1742</v>
      </c>
      <c r="H27" s="224">
        <f>COUNTIF(EXPEDIENTES!G:G,G27)</f>
        <v>3</v>
      </c>
      <c r="I27" s="227"/>
      <c r="J27" s="227"/>
      <c r="K27" s="227"/>
      <c r="L27" s="227"/>
    </row>
    <row r="28" spans="2:12" ht="21.95" customHeight="1">
      <c r="B28" s="11" t="s">
        <v>1441</v>
      </c>
      <c r="C28" s="11">
        <f>COUNTIF(EXPEDIENTES!G:G,B28)</f>
        <v>119</v>
      </c>
      <c r="F28" s="227"/>
      <c r="G28" s="24" t="s">
        <v>2289</v>
      </c>
      <c r="H28" s="224">
        <f>COUNTIF(EXPEDIENTES!G:G,G28)</f>
        <v>0</v>
      </c>
      <c r="I28" s="227"/>
      <c r="J28" s="227"/>
      <c r="K28" s="227"/>
      <c r="L28" s="227"/>
    </row>
    <row r="29" spans="2:12" ht="24.95" customHeight="1">
      <c r="B29" s="11" t="s">
        <v>568</v>
      </c>
      <c r="C29" s="11">
        <f>COUNTIF(EXPEDIENTES!G:G,B29)</f>
        <v>71</v>
      </c>
      <c r="F29" s="227"/>
      <c r="G29" s="227"/>
      <c r="H29" s="224">
        <f>SUM(H25:H28)</f>
        <v>14</v>
      </c>
      <c r="I29" s="227"/>
      <c r="J29" s="227"/>
      <c r="K29" s="227"/>
      <c r="L29" s="227"/>
    </row>
    <row r="30" spans="2:12" ht="24.95" customHeight="1">
      <c r="B30" s="11" t="s">
        <v>1442</v>
      </c>
      <c r="C30" s="11">
        <f>COUNTIF(EXPEDIENTES!G:G,B30)</f>
        <v>65</v>
      </c>
      <c r="F30" s="227"/>
      <c r="G30" s="227"/>
      <c r="H30" s="227"/>
      <c r="I30" s="227"/>
      <c r="J30" s="227"/>
      <c r="K30" s="227"/>
      <c r="L30" s="227"/>
    </row>
    <row r="31" spans="2:12" ht="24.95" customHeight="1">
      <c r="B31" s="11" t="s">
        <v>1443</v>
      </c>
      <c r="C31" s="11">
        <f>COUNTIF(EXPEDIENTES!G:G,B31)</f>
        <v>69</v>
      </c>
      <c r="F31" s="227"/>
      <c r="G31" s="227" t="s">
        <v>2293</v>
      </c>
      <c r="H31" s="227"/>
      <c r="I31" s="227"/>
      <c r="J31" s="227"/>
      <c r="K31" s="227"/>
      <c r="L31" s="227"/>
    </row>
    <row r="32" spans="2:12" ht="21.95" customHeight="1">
      <c r="B32" s="11" t="s">
        <v>2290</v>
      </c>
      <c r="C32" s="11">
        <f>H29+'Exp por Encargado - Alvaro'!C17</f>
        <v>48</v>
      </c>
      <c r="D32" s="10"/>
      <c r="F32" s="227"/>
      <c r="G32" s="24" t="s">
        <v>1661</v>
      </c>
      <c r="H32" s="224">
        <f ca="1">COUNTIFS(EXPEDIENTES!G:G,G32,EXPEDIENTES!O:O,"NO")</f>
        <v>0</v>
      </c>
      <c r="I32" s="227"/>
      <c r="J32" s="227"/>
      <c r="K32" s="227"/>
      <c r="L32" s="227"/>
    </row>
    <row r="33" spans="2:12" ht="21.95" customHeight="1">
      <c r="B33" s="11" t="s">
        <v>450</v>
      </c>
      <c r="C33" s="11">
        <f>'no realizadas'!N10</f>
        <v>0</v>
      </c>
      <c r="D33" s="10"/>
      <c r="F33" s="227"/>
      <c r="G33" s="24" t="s">
        <v>1663</v>
      </c>
      <c r="H33" s="224">
        <f ca="1">COUNTIFS(EXPEDIENTES!G:G,G33,EXPEDIENTES!O:O,"NO")</f>
        <v>0</v>
      </c>
      <c r="I33" s="227"/>
      <c r="J33" s="227"/>
      <c r="K33" s="227"/>
      <c r="L33" s="227"/>
    </row>
    <row r="34" spans="2:12" ht="21.95" customHeight="1">
      <c r="B34" s="278" t="s">
        <v>370</v>
      </c>
      <c r="C34" s="28">
        <f>SUM(C24:C33)</f>
        <v>748</v>
      </c>
      <c r="D34" s="10"/>
      <c r="F34" s="227"/>
      <c r="G34" s="24" t="s">
        <v>1742</v>
      </c>
      <c r="H34" s="224">
        <f ca="1">COUNTIFS(EXPEDIENTES!G:G,G34,EXPEDIENTES!O:O,"NO")</f>
        <v>0</v>
      </c>
      <c r="I34" s="227"/>
      <c r="J34" s="227"/>
      <c r="K34" s="227"/>
      <c r="L34" s="227"/>
    </row>
    <row r="35" spans="2:12" ht="21.95" customHeight="1">
      <c r="D35" s="10"/>
      <c r="F35" s="227"/>
      <c r="G35" s="24" t="s">
        <v>2289</v>
      </c>
      <c r="H35" s="224">
        <f>COUNTIFS(EXPEDIENTES!G:G,G35,EXPEDIENTES!O:O,"NO")</f>
        <v>0</v>
      </c>
      <c r="I35" s="227"/>
      <c r="J35" s="227"/>
      <c r="K35" s="227"/>
      <c r="L35" s="227"/>
    </row>
    <row r="36" spans="2:12" ht="21.95" customHeight="1">
      <c r="B36" s="279" t="s">
        <v>449</v>
      </c>
      <c r="C36" s="279"/>
      <c r="F36" s="227"/>
      <c r="G36" s="227"/>
      <c r="H36" s="224">
        <f ca="1">SUM(H32:H35)</f>
        <v>0</v>
      </c>
      <c r="I36" s="227"/>
      <c r="J36" s="227"/>
      <c r="K36" s="227"/>
      <c r="L36" s="227"/>
    </row>
    <row r="37" spans="2:12" ht="21.95" customHeight="1">
      <c r="B37" s="13" t="s">
        <v>3</v>
      </c>
      <c r="C37" s="13" t="s">
        <v>362</v>
      </c>
      <c r="F37" s="227"/>
      <c r="G37" s="227"/>
      <c r="H37" s="227"/>
      <c r="I37" s="227"/>
      <c r="J37" s="227"/>
      <c r="K37" s="227"/>
      <c r="L37" s="227"/>
    </row>
    <row r="38" spans="2:12" ht="21.95" customHeight="1">
      <c r="B38" s="11" t="s">
        <v>43</v>
      </c>
      <c r="C38" s="11">
        <f ca="1">COUNTIFS(EXPEDIENTES!G:G,B38,EXPEDIENTES!O:O,"SI")</f>
        <v>102</v>
      </c>
      <c r="F38" s="227"/>
      <c r="G38" s="227" t="s">
        <v>2292</v>
      </c>
      <c r="H38" s="227"/>
      <c r="I38" s="227"/>
      <c r="J38" s="227"/>
      <c r="K38" s="227"/>
      <c r="L38" s="227"/>
    </row>
    <row r="39" spans="2:12" ht="21.95" customHeight="1">
      <c r="B39" s="11" t="s">
        <v>29</v>
      </c>
      <c r="C39" s="11">
        <f ca="1">COUNTIFS(EXPEDIENTES!G:G,B39,EXPEDIENTES!O:O,"SI")</f>
        <v>89</v>
      </c>
      <c r="F39" s="227"/>
      <c r="G39" s="24" t="s">
        <v>1661</v>
      </c>
      <c r="H39" s="224">
        <f ca="1">COUNTIFS(EXPEDIENTES!G:G,G39,EXPEDIENTES!O:O,"SI")</f>
        <v>5</v>
      </c>
      <c r="I39" s="227"/>
      <c r="J39" s="227"/>
      <c r="K39" s="227"/>
      <c r="L39" s="227"/>
    </row>
    <row r="40" spans="2:12" ht="21.95" customHeight="1">
      <c r="B40" s="11" t="s">
        <v>283</v>
      </c>
      <c r="C40" s="11">
        <f ca="1">COUNTIFS(EXPEDIENTES!G:G,B40,EXPEDIENTES!O:O,"SI")</f>
        <v>99</v>
      </c>
      <c r="F40" s="227"/>
      <c r="G40" s="24" t="s">
        <v>1663</v>
      </c>
      <c r="H40" s="224">
        <f ca="1">COUNTIFS(EXPEDIENTES!G:G,G40,EXPEDIENTES!O:O,"SI")</f>
        <v>6</v>
      </c>
      <c r="I40" s="227"/>
      <c r="J40" s="227"/>
      <c r="K40" s="227"/>
      <c r="L40" s="227"/>
    </row>
    <row r="41" spans="2:12" ht="21.95" customHeight="1">
      <c r="B41" s="11" t="s">
        <v>32</v>
      </c>
      <c r="C41" s="11">
        <f ca="1">COUNTIFS(EXPEDIENTES!G:G,B41,EXPEDIENTES!O:O,"SI")</f>
        <v>78</v>
      </c>
      <c r="F41" s="227"/>
      <c r="G41" s="24" t="s">
        <v>1742</v>
      </c>
      <c r="H41" s="224">
        <f ca="1">COUNTIFS(EXPEDIENTES!G:G,G41,EXPEDIENTES!O:O,"SI")</f>
        <v>3</v>
      </c>
      <c r="I41" s="227"/>
      <c r="J41" s="227"/>
      <c r="K41" s="227"/>
      <c r="L41" s="227"/>
    </row>
    <row r="42" spans="2:12" ht="18.75" customHeight="1">
      <c r="B42" s="11" t="s">
        <v>1441</v>
      </c>
      <c r="C42" s="11">
        <f ca="1">COUNTIFS(EXPEDIENTES!G:G,B42,EXPEDIENTES!O:O,"SI")</f>
        <v>110</v>
      </c>
      <c r="F42" s="227"/>
      <c r="G42" s="24" t="s">
        <v>2289</v>
      </c>
      <c r="H42" s="224">
        <f>COUNTIFS(EXPEDIENTES!G:G,G42,EXPEDIENTES!O:O,"SI")</f>
        <v>0</v>
      </c>
      <c r="I42" s="227"/>
      <c r="J42" s="227"/>
      <c r="K42" s="227"/>
      <c r="L42" s="227"/>
    </row>
    <row r="43" spans="2:12" ht="24.75" customHeight="1">
      <c r="B43" s="11" t="s">
        <v>568</v>
      </c>
      <c r="C43" s="11">
        <f ca="1">COUNTIFS(EXPEDIENTES!G:G,B43,EXPEDIENTES!O:O,"SI")</f>
        <v>64</v>
      </c>
      <c r="F43" s="227"/>
      <c r="G43" s="227"/>
      <c r="H43" s="224">
        <f ca="1">SUM(H39:H42)</f>
        <v>14</v>
      </c>
      <c r="I43" s="227"/>
      <c r="J43" s="227"/>
      <c r="K43" s="227"/>
      <c r="L43" s="227"/>
    </row>
    <row r="44" spans="2:12" ht="18.75" customHeight="1">
      <c r="B44" s="11" t="s">
        <v>1442</v>
      </c>
      <c r="C44" s="11">
        <f ca="1">COUNTIFS(EXPEDIENTES!G:G,B44,EXPEDIENTES!O:O,"SI")</f>
        <v>56</v>
      </c>
      <c r="F44" s="227"/>
      <c r="G44" s="227"/>
      <c r="H44" s="227"/>
      <c r="I44" s="227"/>
      <c r="J44" s="227"/>
      <c r="K44" s="227"/>
      <c r="L44" s="227"/>
    </row>
    <row r="45" spans="2:12" ht="28.5" customHeight="1">
      <c r="B45" s="11" t="s">
        <v>1443</v>
      </c>
      <c r="C45" s="11">
        <f ca="1">COUNTIFS(EXPEDIENTES!G:G,B45,EXPEDIENTES!O:O,"SI")</f>
        <v>60</v>
      </c>
      <c r="F45" s="227"/>
      <c r="G45" s="227"/>
      <c r="H45" s="227"/>
      <c r="I45" s="227"/>
      <c r="J45" s="227"/>
      <c r="K45" s="227"/>
      <c r="L45" s="227"/>
    </row>
    <row r="46" spans="2:12" ht="28.5" customHeight="1">
      <c r="B46" s="79" t="s">
        <v>2290</v>
      </c>
      <c r="C46" s="11">
        <f ca="1">H43+'Exp por Encargado - Alvaro'!C29</f>
        <v>48</v>
      </c>
      <c r="F46" s="227"/>
      <c r="G46" s="227"/>
      <c r="H46" s="227"/>
      <c r="I46" s="227"/>
      <c r="J46" s="227"/>
      <c r="K46" s="227"/>
      <c r="L46" s="227"/>
    </row>
    <row r="47" spans="2:12" ht="34.5" customHeight="1">
      <c r="B47" s="278" t="s">
        <v>371</v>
      </c>
      <c r="C47" s="28">
        <f ca="1">SUM(C38:C46)</f>
        <v>706</v>
      </c>
      <c r="F47" s="227"/>
      <c r="G47" s="227"/>
      <c r="H47" s="227"/>
      <c r="I47" s="227"/>
      <c r="J47" s="227"/>
      <c r="K47" s="227"/>
      <c r="L47" s="227"/>
    </row>
    <row r="48" spans="2:12">
      <c r="F48" s="227"/>
      <c r="G48" s="227"/>
      <c r="H48" s="227"/>
      <c r="I48" s="227"/>
      <c r="J48" s="227"/>
      <c r="K48" s="227"/>
      <c r="L48" s="227"/>
    </row>
    <row r="49" spans="6:12">
      <c r="F49" s="227"/>
      <c r="G49" s="227"/>
      <c r="H49" s="227"/>
      <c r="I49" s="227"/>
      <c r="J49" s="227"/>
      <c r="K49" s="227"/>
      <c r="L49" s="227"/>
    </row>
    <row r="50" spans="6:12">
      <c r="F50" s="227"/>
      <c r="G50" s="227"/>
      <c r="H50" s="227"/>
      <c r="I50" s="227"/>
      <c r="J50" s="227"/>
      <c r="K50" s="227"/>
      <c r="L50" s="227"/>
    </row>
    <row r="51" spans="6:12">
      <c r="F51" s="227"/>
      <c r="G51" s="227"/>
      <c r="H51" s="227"/>
      <c r="I51" s="227"/>
      <c r="J51" s="227"/>
      <c r="K51" s="227"/>
      <c r="L51" s="227"/>
    </row>
    <row r="52" spans="6:12">
      <c r="F52" s="227"/>
      <c r="G52" s="227"/>
      <c r="H52" s="227"/>
      <c r="I52" s="227"/>
      <c r="J52" s="227"/>
      <c r="K52" s="227"/>
      <c r="L52" s="227"/>
    </row>
    <row r="53" spans="6:12">
      <c r="F53" s="227"/>
      <c r="G53" s="227"/>
      <c r="H53" s="227"/>
      <c r="I53" s="227"/>
      <c r="J53" s="227"/>
      <c r="K53" s="227"/>
      <c r="L53" s="227"/>
    </row>
    <row r="54" spans="6:12">
      <c r="F54" s="227"/>
      <c r="G54" s="227"/>
      <c r="H54" s="227"/>
      <c r="I54" s="227"/>
      <c r="J54" s="227"/>
      <c r="K54" s="227"/>
      <c r="L54" s="227"/>
    </row>
    <row r="55" spans="6:12">
      <c r="F55" s="227"/>
      <c r="G55" s="227"/>
      <c r="H55" s="227"/>
      <c r="I55" s="227"/>
      <c r="J55" s="227"/>
      <c r="K55" s="227"/>
      <c r="L55" s="227"/>
    </row>
    <row r="56" spans="6:12">
      <c r="F56" s="227"/>
      <c r="G56" s="227"/>
      <c r="H56" s="227"/>
      <c r="I56" s="227"/>
      <c r="J56" s="227"/>
      <c r="K56" s="227"/>
      <c r="L56" s="227"/>
    </row>
    <row r="57" spans="6:12">
      <c r="F57" s="227"/>
      <c r="G57" s="227"/>
      <c r="H57" s="227"/>
      <c r="I57" s="227"/>
      <c r="J57" s="227"/>
      <c r="K57" s="227"/>
      <c r="L57" s="227"/>
    </row>
    <row r="58" spans="6:12">
      <c r="F58" s="227"/>
      <c r="G58" s="227"/>
      <c r="H58" s="227"/>
      <c r="I58" s="227"/>
      <c r="J58" s="227"/>
      <c r="K58" s="227"/>
      <c r="L58" s="227"/>
    </row>
    <row r="59" spans="6:12">
      <c r="F59" s="227"/>
      <c r="G59" s="227"/>
      <c r="H59" s="227"/>
      <c r="I59" s="227"/>
      <c r="J59" s="227"/>
      <c r="K59" s="227"/>
      <c r="L59" s="227"/>
    </row>
    <row r="60" spans="6:12">
      <c r="F60" s="227"/>
      <c r="G60" s="227"/>
      <c r="H60" s="227"/>
      <c r="I60" s="227"/>
      <c r="J60" s="227"/>
      <c r="K60" s="227"/>
      <c r="L60" s="227"/>
    </row>
    <row r="61" spans="6:12">
      <c r="F61" s="227"/>
      <c r="G61" s="227"/>
      <c r="H61" s="227"/>
      <c r="I61" s="227"/>
      <c r="J61" s="227"/>
      <c r="K61" s="227"/>
      <c r="L61" s="227"/>
    </row>
    <row r="62" spans="6:12">
      <c r="F62" s="227"/>
      <c r="G62" s="227"/>
      <c r="H62" s="227"/>
      <c r="I62" s="227"/>
      <c r="J62" s="227"/>
      <c r="K62" s="227"/>
      <c r="L62" s="227"/>
    </row>
    <row r="63" spans="6:12">
      <c r="F63" s="227"/>
      <c r="G63" s="227"/>
      <c r="H63" s="227"/>
      <c r="I63" s="227"/>
      <c r="J63" s="227"/>
      <c r="K63" s="227"/>
      <c r="L63" s="227"/>
    </row>
    <row r="64" spans="6:12">
      <c r="F64" s="227"/>
      <c r="G64" s="227"/>
      <c r="H64" s="227"/>
      <c r="I64" s="227"/>
      <c r="J64" s="227"/>
      <c r="K64" s="227"/>
      <c r="L64" s="227"/>
    </row>
    <row r="65" spans="6:12">
      <c r="F65" s="227"/>
      <c r="G65" s="227"/>
      <c r="H65" s="227"/>
      <c r="I65" s="227"/>
      <c r="J65" s="227"/>
      <c r="K65" s="227"/>
      <c r="L65" s="227"/>
    </row>
    <row r="66" spans="6:12">
      <c r="F66" s="227"/>
      <c r="G66" s="227"/>
      <c r="H66" s="227"/>
      <c r="I66" s="227"/>
      <c r="J66" s="227"/>
      <c r="K66" s="227"/>
      <c r="L66" s="227"/>
    </row>
    <row r="67" spans="6:12">
      <c r="F67" s="227"/>
      <c r="G67" s="227"/>
      <c r="H67" s="227"/>
      <c r="I67" s="227"/>
      <c r="J67" s="227"/>
      <c r="K67" s="227"/>
      <c r="L67" s="227"/>
    </row>
    <row r="68" spans="6:12">
      <c r="F68" s="227"/>
      <c r="G68" s="227"/>
      <c r="H68" s="227"/>
      <c r="I68" s="227"/>
      <c r="J68" s="227"/>
      <c r="K68" s="227"/>
      <c r="L68" s="227"/>
    </row>
    <row r="69" spans="6:12">
      <c r="F69" s="227"/>
      <c r="G69" s="227"/>
      <c r="H69" s="227"/>
      <c r="I69" s="227"/>
      <c r="J69" s="227"/>
      <c r="K69" s="227"/>
      <c r="L69" s="227"/>
    </row>
    <row r="70" spans="6:12">
      <c r="F70" s="227"/>
      <c r="G70" s="227"/>
      <c r="H70" s="227"/>
      <c r="I70" s="227"/>
      <c r="J70" s="227"/>
      <c r="K70" s="227"/>
      <c r="L70" s="227"/>
    </row>
    <row r="71" spans="6:12">
      <c r="F71" s="227"/>
      <c r="G71" s="227"/>
      <c r="H71" s="227"/>
      <c r="I71" s="227"/>
      <c r="J71" s="227"/>
      <c r="K71" s="227"/>
      <c r="L71" s="227"/>
    </row>
    <row r="72" spans="6:12">
      <c r="F72" s="227"/>
      <c r="G72" s="227"/>
      <c r="H72" s="227"/>
      <c r="I72" s="227"/>
      <c r="J72" s="227"/>
      <c r="K72" s="227"/>
      <c r="L72" s="227"/>
    </row>
    <row r="73" spans="6:12">
      <c r="F73" s="227"/>
      <c r="G73" s="227"/>
      <c r="H73" s="227"/>
      <c r="I73" s="227"/>
      <c r="J73" s="227"/>
      <c r="K73" s="227"/>
      <c r="L73" s="227"/>
    </row>
    <row r="74" spans="6:12">
      <c r="F74" s="227"/>
      <c r="G74" s="227"/>
      <c r="H74" s="227"/>
      <c r="I74" s="227"/>
      <c r="J74" s="227"/>
      <c r="K74" s="227"/>
      <c r="L74" s="227"/>
    </row>
    <row r="75" spans="6:12">
      <c r="F75" s="227"/>
      <c r="G75" s="227"/>
      <c r="H75" s="227"/>
      <c r="I75" s="227"/>
      <c r="J75" s="227"/>
      <c r="K75" s="227"/>
      <c r="L75" s="227"/>
    </row>
    <row r="76" spans="6:12">
      <c r="F76" s="227"/>
      <c r="G76" s="227"/>
      <c r="H76" s="227"/>
      <c r="I76" s="227"/>
      <c r="J76" s="227"/>
      <c r="K76" s="227"/>
      <c r="L76" s="227"/>
    </row>
    <row r="77" spans="6:12">
      <c r="F77" s="227"/>
      <c r="G77" s="227"/>
      <c r="H77" s="227"/>
      <c r="I77" s="227"/>
      <c r="J77" s="227"/>
      <c r="K77" s="227"/>
      <c r="L77" s="227"/>
    </row>
    <row r="78" spans="6:12">
      <c r="F78" s="227"/>
      <c r="G78" s="227"/>
      <c r="H78" s="227"/>
      <c r="I78" s="227"/>
      <c r="J78" s="227"/>
      <c r="K78" s="227"/>
      <c r="L78" s="227"/>
    </row>
    <row r="79" spans="6:12">
      <c r="F79" s="227"/>
      <c r="G79" s="227"/>
      <c r="H79" s="227"/>
      <c r="I79" s="227"/>
      <c r="J79" s="227"/>
      <c r="K79" s="227"/>
      <c r="L79" s="227"/>
    </row>
    <row r="80" spans="6:12">
      <c r="F80" s="227"/>
      <c r="G80" s="227"/>
      <c r="H80" s="227"/>
      <c r="I80" s="227"/>
      <c r="J80" s="227"/>
      <c r="K80" s="227"/>
      <c r="L80" s="227"/>
    </row>
    <row r="81" spans="6:12">
      <c r="F81" s="227"/>
      <c r="G81" s="227"/>
      <c r="H81" s="227"/>
      <c r="I81" s="227"/>
      <c r="J81" s="227"/>
      <c r="K81" s="227"/>
      <c r="L81" s="227"/>
    </row>
    <row r="82" spans="6:12">
      <c r="F82" s="227"/>
      <c r="G82" s="227"/>
      <c r="H82" s="227"/>
      <c r="I82" s="227"/>
      <c r="J82" s="227"/>
      <c r="K82" s="227"/>
      <c r="L82" s="227"/>
    </row>
    <row r="83" spans="6:12">
      <c r="F83" s="227"/>
      <c r="G83" s="227"/>
      <c r="H83" s="227"/>
      <c r="I83" s="227"/>
      <c r="J83" s="227"/>
      <c r="K83" s="227"/>
      <c r="L83" s="227"/>
    </row>
    <row r="84" spans="6:12">
      <c r="F84" s="227"/>
      <c r="G84" s="227"/>
      <c r="H84" s="227"/>
      <c r="I84" s="227"/>
      <c r="J84" s="227"/>
      <c r="K84" s="227"/>
      <c r="L84" s="227"/>
    </row>
    <row r="85" spans="6:12">
      <c r="F85" s="227"/>
      <c r="G85" s="227"/>
      <c r="H85" s="227"/>
      <c r="I85" s="227"/>
      <c r="J85" s="227"/>
      <c r="K85" s="227"/>
      <c r="L85" s="227"/>
    </row>
    <row r="86" spans="6:12">
      <c r="F86" s="227"/>
      <c r="G86" s="227"/>
      <c r="H86" s="227"/>
      <c r="I86" s="227"/>
      <c r="J86" s="227"/>
      <c r="K86" s="227"/>
      <c r="L86" s="227"/>
    </row>
    <row r="87" spans="6:12">
      <c r="F87" s="227"/>
      <c r="G87" s="227"/>
      <c r="H87" s="227"/>
      <c r="I87" s="227"/>
      <c r="J87" s="227"/>
      <c r="K87" s="227"/>
      <c r="L87" s="227"/>
    </row>
    <row r="88" spans="6:12">
      <c r="F88" s="227"/>
      <c r="G88" s="227"/>
      <c r="H88" s="227"/>
      <c r="I88" s="227"/>
      <c r="J88" s="227"/>
      <c r="K88" s="227"/>
      <c r="L88" s="227"/>
    </row>
    <row r="89" spans="6:12">
      <c r="F89" s="227"/>
      <c r="G89" s="227"/>
      <c r="H89" s="227"/>
      <c r="I89" s="227"/>
      <c r="J89" s="227"/>
      <c r="K89" s="227"/>
      <c r="L89" s="227"/>
    </row>
    <row r="90" spans="6:12">
      <c r="F90" s="227"/>
      <c r="G90" s="227"/>
      <c r="H90" s="227"/>
      <c r="I90" s="227"/>
      <c r="J90" s="227"/>
      <c r="K90" s="227"/>
      <c r="L90" s="227"/>
    </row>
    <row r="91" spans="6:12">
      <c r="F91" s="227"/>
      <c r="G91" s="227"/>
      <c r="H91" s="227"/>
      <c r="I91" s="227"/>
      <c r="J91" s="227"/>
      <c r="K91" s="227"/>
      <c r="L91" s="227"/>
    </row>
    <row r="92" spans="6:12">
      <c r="F92" s="227"/>
      <c r="G92" s="227"/>
      <c r="H92" s="227"/>
      <c r="I92" s="227"/>
      <c r="J92" s="227"/>
      <c r="K92" s="227"/>
      <c r="L92" s="227"/>
    </row>
    <row r="93" spans="6:12">
      <c r="F93" s="227"/>
      <c r="G93" s="227"/>
      <c r="H93" s="227"/>
      <c r="I93" s="227"/>
      <c r="J93" s="227"/>
      <c r="K93" s="227"/>
      <c r="L93" s="227"/>
    </row>
    <row r="94" spans="6:12">
      <c r="F94" s="227"/>
      <c r="G94" s="227"/>
      <c r="H94" s="227"/>
      <c r="I94" s="227"/>
      <c r="J94" s="227"/>
      <c r="K94" s="227"/>
      <c r="L94" s="227"/>
    </row>
    <row r="95" spans="6:12">
      <c r="F95" s="227"/>
      <c r="G95" s="227"/>
      <c r="H95" s="227"/>
      <c r="I95" s="227"/>
      <c r="J95" s="227"/>
      <c r="K95" s="227"/>
      <c r="L95" s="227"/>
    </row>
    <row r="96" spans="6:12">
      <c r="F96" s="227"/>
      <c r="G96" s="227"/>
      <c r="H96" s="227"/>
      <c r="I96" s="227"/>
      <c r="J96" s="227"/>
      <c r="K96" s="227"/>
      <c r="L96" s="227"/>
    </row>
    <row r="97" spans="6:12">
      <c r="F97" s="227"/>
      <c r="G97" s="227"/>
      <c r="H97" s="227"/>
      <c r="I97" s="227"/>
      <c r="J97" s="227"/>
      <c r="K97" s="227"/>
      <c r="L97" s="227"/>
    </row>
    <row r="98" spans="6:12">
      <c r="F98" s="227"/>
      <c r="G98" s="227"/>
      <c r="H98" s="227"/>
      <c r="I98" s="227"/>
      <c r="J98" s="227"/>
      <c r="K98" s="227"/>
      <c r="L98" s="227"/>
    </row>
    <row r="99" spans="6:12">
      <c r="F99" s="227"/>
      <c r="G99" s="227"/>
      <c r="H99" s="227"/>
      <c r="I99" s="227"/>
      <c r="J99" s="227"/>
      <c r="K99" s="227"/>
      <c r="L99" s="227"/>
    </row>
    <row r="100" spans="6:12">
      <c r="F100" s="227"/>
      <c r="G100" s="227"/>
      <c r="H100" s="227"/>
      <c r="I100" s="227"/>
      <c r="J100" s="227"/>
      <c r="K100" s="227"/>
      <c r="L100" s="227"/>
    </row>
    <row r="101" spans="6:12">
      <c r="F101" s="227"/>
      <c r="G101" s="227"/>
      <c r="H101" s="227"/>
      <c r="I101" s="227"/>
      <c r="J101" s="227"/>
      <c r="K101" s="227"/>
      <c r="L101" s="227"/>
    </row>
    <row r="102" spans="6:12">
      <c r="F102" s="227"/>
      <c r="G102" s="227"/>
      <c r="H102" s="227"/>
      <c r="I102" s="227"/>
      <c r="J102" s="227"/>
      <c r="K102" s="227"/>
      <c r="L102" s="227"/>
    </row>
    <row r="103" spans="6:12">
      <c r="F103" s="227"/>
      <c r="G103" s="227"/>
      <c r="H103" s="227"/>
      <c r="I103" s="227"/>
      <c r="J103" s="227"/>
      <c r="K103" s="227"/>
      <c r="L103" s="227"/>
    </row>
    <row r="104" spans="6:12">
      <c r="F104" s="227"/>
      <c r="G104" s="227"/>
      <c r="H104" s="227"/>
      <c r="I104" s="227"/>
      <c r="J104" s="227"/>
      <c r="K104" s="227"/>
      <c r="L104" s="227"/>
    </row>
    <row r="105" spans="6:12">
      <c r="F105" s="227"/>
      <c r="G105" s="227"/>
      <c r="H105" s="227"/>
      <c r="I105" s="227"/>
      <c r="J105" s="227"/>
      <c r="K105" s="227"/>
      <c r="L105" s="227"/>
    </row>
    <row r="106" spans="6:12">
      <c r="F106" s="227"/>
      <c r="G106" s="227"/>
      <c r="H106" s="227"/>
      <c r="I106" s="227"/>
      <c r="J106" s="227"/>
      <c r="K106" s="227"/>
      <c r="L106" s="227"/>
    </row>
    <row r="107" spans="6:12">
      <c r="F107" s="227"/>
      <c r="G107" s="227"/>
      <c r="H107" s="227"/>
      <c r="I107" s="227"/>
      <c r="J107" s="227"/>
      <c r="K107" s="227"/>
      <c r="L107" s="227"/>
    </row>
    <row r="108" spans="6:12">
      <c r="F108" s="227"/>
      <c r="G108" s="227"/>
      <c r="H108" s="227"/>
      <c r="I108" s="227"/>
      <c r="J108" s="227"/>
      <c r="K108" s="227"/>
      <c r="L108" s="227"/>
    </row>
    <row r="109" spans="6:12">
      <c r="F109" s="227"/>
      <c r="G109" s="227"/>
      <c r="H109" s="227"/>
      <c r="I109" s="227"/>
      <c r="J109" s="227"/>
      <c r="K109" s="227"/>
      <c r="L109" s="227"/>
    </row>
    <row r="110" spans="6:12">
      <c r="F110" s="227"/>
      <c r="G110" s="227"/>
      <c r="H110" s="227"/>
      <c r="I110" s="227"/>
      <c r="J110" s="227"/>
      <c r="K110" s="227"/>
      <c r="L110" s="227"/>
    </row>
    <row r="111" spans="6:12">
      <c r="F111" s="227"/>
      <c r="G111" s="227"/>
      <c r="H111" s="227"/>
      <c r="I111" s="227"/>
      <c r="J111" s="227"/>
      <c r="K111" s="227"/>
      <c r="L111" s="227"/>
    </row>
    <row r="112" spans="6:12">
      <c r="F112" s="227"/>
      <c r="G112" s="227"/>
      <c r="H112" s="227"/>
      <c r="I112" s="227"/>
      <c r="J112" s="227"/>
      <c r="K112" s="227"/>
      <c r="L112" s="227"/>
    </row>
    <row r="113" spans="6:12">
      <c r="F113" s="227"/>
      <c r="G113" s="227"/>
      <c r="H113" s="227"/>
      <c r="I113" s="227"/>
      <c r="J113" s="227"/>
      <c r="K113" s="227"/>
      <c r="L113" s="227"/>
    </row>
    <row r="114" spans="6:12">
      <c r="F114" s="227"/>
      <c r="G114" s="227"/>
      <c r="H114" s="227"/>
      <c r="I114" s="227"/>
      <c r="J114" s="227"/>
      <c r="K114" s="227"/>
      <c r="L114" s="227"/>
    </row>
    <row r="115" spans="6:12">
      <c r="F115" s="227"/>
      <c r="G115" s="227"/>
      <c r="H115" s="227"/>
      <c r="I115" s="227"/>
      <c r="J115" s="227"/>
      <c r="K115" s="227"/>
      <c r="L115" s="227"/>
    </row>
    <row r="116" spans="6:12">
      <c r="F116" s="227"/>
      <c r="G116" s="227"/>
      <c r="H116" s="227"/>
      <c r="I116" s="227"/>
      <c r="J116" s="227"/>
      <c r="K116" s="227"/>
      <c r="L116" s="227"/>
    </row>
    <row r="117" spans="6:12">
      <c r="F117" s="227"/>
      <c r="G117" s="227"/>
      <c r="H117" s="227"/>
      <c r="I117" s="227"/>
      <c r="J117" s="227"/>
      <c r="K117" s="227"/>
      <c r="L117" s="227"/>
    </row>
    <row r="118" spans="6:12">
      <c r="F118" s="227"/>
      <c r="G118" s="227"/>
      <c r="H118" s="227"/>
      <c r="I118" s="227"/>
      <c r="J118" s="227"/>
      <c r="K118" s="227"/>
      <c r="L118" s="227"/>
    </row>
    <row r="119" spans="6:12">
      <c r="F119" s="227"/>
      <c r="G119" s="227"/>
      <c r="H119" s="227"/>
      <c r="I119" s="227"/>
      <c r="J119" s="227"/>
      <c r="K119" s="227"/>
      <c r="L119" s="227"/>
    </row>
    <row r="120" spans="6:12">
      <c r="F120" s="227"/>
      <c r="G120" s="227"/>
      <c r="H120" s="227"/>
      <c r="I120" s="227"/>
      <c r="J120" s="227"/>
      <c r="K120" s="227"/>
      <c r="L120" s="227"/>
    </row>
    <row r="121" spans="6:12">
      <c r="F121" s="227"/>
      <c r="G121" s="227"/>
      <c r="H121" s="227"/>
      <c r="I121" s="227"/>
      <c r="J121" s="227"/>
      <c r="K121" s="227"/>
      <c r="L121" s="227"/>
    </row>
    <row r="122" spans="6:12">
      <c r="F122" s="227"/>
      <c r="G122" s="227"/>
      <c r="H122" s="227"/>
      <c r="I122" s="227"/>
      <c r="J122" s="227"/>
      <c r="K122" s="227"/>
      <c r="L122" s="227"/>
    </row>
    <row r="123" spans="6:12">
      <c r="F123" s="227"/>
      <c r="G123" s="227"/>
      <c r="H123" s="227"/>
      <c r="I123" s="227"/>
      <c r="J123" s="227"/>
      <c r="K123" s="227"/>
      <c r="L123" s="227"/>
    </row>
    <row r="124" spans="6:12">
      <c r="F124" s="227"/>
      <c r="G124" s="227"/>
      <c r="H124" s="227"/>
      <c r="I124" s="227"/>
      <c r="J124" s="227"/>
      <c r="K124" s="227"/>
      <c r="L124" s="227"/>
    </row>
    <row r="125" spans="6:12">
      <c r="F125" s="227"/>
      <c r="G125" s="227"/>
      <c r="H125" s="227"/>
      <c r="I125" s="227"/>
      <c r="J125" s="227"/>
      <c r="K125" s="227"/>
      <c r="L125" s="227"/>
    </row>
    <row r="126" spans="6:12">
      <c r="F126" s="227"/>
      <c r="G126" s="227"/>
      <c r="H126" s="227"/>
      <c r="I126" s="227"/>
      <c r="J126" s="227"/>
      <c r="K126" s="227"/>
      <c r="L126" s="227"/>
    </row>
    <row r="127" spans="6:12">
      <c r="F127" s="227"/>
      <c r="G127" s="227"/>
      <c r="H127" s="227"/>
      <c r="I127" s="227"/>
      <c r="J127" s="227"/>
      <c r="K127" s="227"/>
      <c r="L127" s="227"/>
    </row>
    <row r="128" spans="6:12">
      <c r="F128" s="227"/>
      <c r="G128" s="227"/>
      <c r="H128" s="227"/>
      <c r="I128" s="227"/>
      <c r="J128" s="227"/>
      <c r="K128" s="227"/>
      <c r="L128" s="227"/>
    </row>
    <row r="129" spans="6:12">
      <c r="F129" s="227"/>
      <c r="G129" s="227"/>
      <c r="H129" s="227"/>
      <c r="I129" s="227"/>
      <c r="J129" s="227"/>
      <c r="K129" s="227"/>
      <c r="L129" s="227"/>
    </row>
    <row r="130" spans="6:12">
      <c r="F130" s="227"/>
      <c r="G130" s="227"/>
      <c r="H130" s="227"/>
      <c r="I130" s="227"/>
      <c r="J130" s="227"/>
      <c r="K130" s="227"/>
      <c r="L130" s="227"/>
    </row>
    <row r="131" spans="6:12">
      <c r="F131" s="227"/>
      <c r="G131" s="227"/>
      <c r="H131" s="227"/>
      <c r="I131" s="227"/>
      <c r="J131" s="227"/>
      <c r="K131" s="227"/>
      <c r="L131" s="227"/>
    </row>
    <row r="132" spans="6:12">
      <c r="F132" s="227"/>
      <c r="G132" s="227"/>
      <c r="H132" s="227"/>
      <c r="I132" s="227"/>
      <c r="J132" s="227"/>
      <c r="K132" s="227"/>
      <c r="L132" s="227"/>
    </row>
    <row r="133" spans="6:12">
      <c r="F133" s="227"/>
      <c r="G133" s="227"/>
      <c r="H133" s="227"/>
      <c r="I133" s="227"/>
      <c r="J133" s="227"/>
      <c r="K133" s="227"/>
      <c r="L133" s="227"/>
    </row>
    <row r="134" spans="6:12">
      <c r="F134" s="227"/>
      <c r="G134" s="227"/>
      <c r="H134" s="227"/>
      <c r="I134" s="227"/>
      <c r="J134" s="227"/>
      <c r="K134" s="227"/>
      <c r="L134" s="227"/>
    </row>
    <row r="135" spans="6:12">
      <c r="F135" s="227"/>
      <c r="G135" s="227"/>
      <c r="H135" s="227"/>
      <c r="I135" s="227"/>
      <c r="J135" s="227"/>
      <c r="K135" s="227"/>
      <c r="L135" s="227"/>
    </row>
    <row r="136" spans="6:12">
      <c r="F136" s="227"/>
      <c r="G136" s="227"/>
      <c r="H136" s="227"/>
      <c r="I136" s="227"/>
      <c r="J136" s="227"/>
      <c r="K136" s="227"/>
      <c r="L136" s="227"/>
    </row>
    <row r="137" spans="6:12">
      <c r="F137" s="227"/>
      <c r="G137" s="227"/>
      <c r="H137" s="227"/>
      <c r="I137" s="227"/>
      <c r="J137" s="227"/>
      <c r="K137" s="227"/>
      <c r="L137" s="227"/>
    </row>
    <row r="138" spans="6:12">
      <c r="F138" s="227"/>
      <c r="G138" s="227"/>
      <c r="H138" s="227"/>
      <c r="I138" s="227"/>
      <c r="J138" s="227"/>
      <c r="K138" s="227"/>
      <c r="L138" s="227"/>
    </row>
    <row r="139" spans="6:12">
      <c r="F139" s="227"/>
      <c r="G139" s="227"/>
      <c r="H139" s="227"/>
      <c r="I139" s="227"/>
      <c r="J139" s="227"/>
      <c r="K139" s="227"/>
      <c r="L139" s="227"/>
    </row>
    <row r="140" spans="6:12">
      <c r="F140" s="227"/>
      <c r="G140" s="227"/>
      <c r="H140" s="227"/>
      <c r="I140" s="227"/>
      <c r="J140" s="227"/>
      <c r="K140" s="227"/>
      <c r="L140" s="227"/>
    </row>
    <row r="141" spans="6:12">
      <c r="F141" s="227"/>
      <c r="G141" s="227"/>
      <c r="H141" s="227"/>
      <c r="I141" s="227"/>
      <c r="J141" s="227"/>
      <c r="K141" s="227"/>
      <c r="L141" s="227"/>
    </row>
    <row r="142" spans="6:12">
      <c r="F142" s="227"/>
      <c r="G142" s="227"/>
      <c r="H142" s="227"/>
      <c r="I142" s="227"/>
      <c r="J142" s="227"/>
      <c r="K142" s="227"/>
      <c r="L142" s="227"/>
    </row>
    <row r="143" spans="6:12">
      <c r="F143" s="227"/>
      <c r="G143" s="227"/>
      <c r="H143" s="227"/>
      <c r="I143" s="227"/>
      <c r="J143" s="227"/>
      <c r="K143" s="227"/>
      <c r="L143" s="227"/>
    </row>
    <row r="144" spans="6:12">
      <c r="F144" s="227"/>
      <c r="G144" s="227"/>
      <c r="H144" s="227"/>
      <c r="I144" s="227"/>
      <c r="J144" s="227"/>
      <c r="K144" s="227"/>
      <c r="L144" s="227"/>
    </row>
    <row r="145" spans="6:12">
      <c r="F145" s="227"/>
      <c r="G145" s="227"/>
      <c r="H145" s="227"/>
      <c r="I145" s="227"/>
      <c r="J145" s="227"/>
      <c r="K145" s="227"/>
      <c r="L145" s="227"/>
    </row>
    <row r="146" spans="6:12">
      <c r="F146" s="227"/>
      <c r="G146" s="227"/>
      <c r="H146" s="227"/>
      <c r="I146" s="227"/>
      <c r="J146" s="227"/>
      <c r="K146" s="227"/>
      <c r="L146" s="227"/>
    </row>
    <row r="147" spans="6:12">
      <c r="F147" s="227"/>
      <c r="G147" s="227"/>
      <c r="H147" s="227"/>
      <c r="I147" s="227"/>
      <c r="J147" s="227"/>
      <c r="K147" s="227"/>
      <c r="L147" s="227"/>
    </row>
    <row r="148" spans="6:12">
      <c r="F148" s="227"/>
      <c r="G148" s="227"/>
      <c r="H148" s="227"/>
      <c r="I148" s="227"/>
      <c r="J148" s="227"/>
      <c r="K148" s="227"/>
      <c r="L148" s="227"/>
    </row>
    <row r="149" spans="6:12">
      <c r="F149" s="227"/>
      <c r="G149" s="227"/>
      <c r="H149" s="227"/>
      <c r="I149" s="227"/>
      <c r="J149" s="227"/>
      <c r="K149" s="227"/>
      <c r="L149" s="227"/>
    </row>
    <row r="150" spans="6:12">
      <c r="F150" s="227"/>
      <c r="G150" s="227"/>
      <c r="H150" s="227"/>
      <c r="I150" s="227"/>
      <c r="J150" s="227"/>
      <c r="K150" s="227"/>
      <c r="L150" s="227"/>
    </row>
    <row r="151" spans="6:12">
      <c r="F151" s="227"/>
      <c r="G151" s="227"/>
      <c r="H151" s="227"/>
      <c r="I151" s="227"/>
      <c r="J151" s="227"/>
      <c r="K151" s="227"/>
      <c r="L151" s="227"/>
    </row>
    <row r="152" spans="6:12">
      <c r="F152" s="227"/>
      <c r="G152" s="227"/>
      <c r="H152" s="227"/>
      <c r="I152" s="227"/>
      <c r="J152" s="227"/>
      <c r="K152" s="227"/>
      <c r="L152" s="227"/>
    </row>
    <row r="153" spans="6:12">
      <c r="F153" s="227"/>
      <c r="G153" s="227"/>
      <c r="H153" s="227"/>
      <c r="I153" s="227"/>
      <c r="J153" s="227"/>
      <c r="K153" s="227"/>
      <c r="L153" s="227"/>
    </row>
    <row r="154" spans="6:12">
      <c r="F154" s="227"/>
      <c r="G154" s="227"/>
      <c r="H154" s="227"/>
      <c r="I154" s="227"/>
      <c r="J154" s="227"/>
      <c r="K154" s="227"/>
      <c r="L154" s="227"/>
    </row>
    <row r="155" spans="6:12">
      <c r="F155" s="227"/>
      <c r="G155" s="227"/>
      <c r="H155" s="227"/>
      <c r="I155" s="227"/>
      <c r="J155" s="227"/>
      <c r="K155" s="227"/>
      <c r="L155" s="227"/>
    </row>
    <row r="156" spans="6:12">
      <c r="F156" s="227"/>
      <c r="G156" s="227"/>
      <c r="H156" s="227"/>
      <c r="I156" s="227"/>
      <c r="J156" s="227"/>
      <c r="K156" s="227"/>
      <c r="L156" s="227"/>
    </row>
    <row r="157" spans="6:12">
      <c r="F157" s="227"/>
      <c r="G157" s="227"/>
      <c r="H157" s="227"/>
      <c r="I157" s="227"/>
      <c r="J157" s="227"/>
      <c r="K157" s="227"/>
      <c r="L157" s="227"/>
    </row>
    <row r="158" spans="6:12">
      <c r="F158" s="227"/>
      <c r="G158" s="227"/>
      <c r="H158" s="227"/>
      <c r="I158" s="227"/>
      <c r="J158" s="227"/>
      <c r="K158" s="227"/>
      <c r="L158" s="227"/>
    </row>
    <row r="159" spans="6:12">
      <c r="F159" s="227"/>
      <c r="G159" s="227"/>
      <c r="H159" s="227"/>
      <c r="I159" s="227"/>
      <c r="J159" s="227"/>
      <c r="K159" s="227"/>
      <c r="L159" s="227"/>
    </row>
    <row r="160" spans="6:12">
      <c r="F160" s="227"/>
      <c r="G160" s="227"/>
      <c r="H160" s="227"/>
      <c r="I160" s="227"/>
      <c r="J160" s="227"/>
      <c r="K160" s="227"/>
      <c r="L160" s="227"/>
    </row>
    <row r="161" spans="6:12">
      <c r="F161" s="227"/>
      <c r="G161" s="227"/>
      <c r="H161" s="227"/>
      <c r="I161" s="227"/>
      <c r="J161" s="227"/>
      <c r="K161" s="227"/>
      <c r="L161" s="227"/>
    </row>
    <row r="162" spans="6:12">
      <c r="F162" s="227"/>
      <c r="G162" s="227"/>
      <c r="H162" s="227"/>
      <c r="I162" s="227"/>
      <c r="J162" s="227"/>
      <c r="K162" s="227"/>
      <c r="L162" s="227"/>
    </row>
    <row r="163" spans="6:12">
      <c r="F163" s="227"/>
      <c r="G163" s="227"/>
      <c r="H163" s="227"/>
      <c r="I163" s="227"/>
      <c r="J163" s="227"/>
      <c r="K163" s="227"/>
      <c r="L163" s="227"/>
    </row>
    <row r="164" spans="6:12">
      <c r="F164" s="227"/>
      <c r="G164" s="227"/>
      <c r="H164" s="227"/>
      <c r="I164" s="227"/>
      <c r="J164" s="227"/>
      <c r="K164" s="227"/>
      <c r="L164" s="227"/>
    </row>
    <row r="165" spans="6:12">
      <c r="F165" s="227"/>
      <c r="G165" s="227"/>
      <c r="H165" s="227"/>
      <c r="I165" s="227"/>
      <c r="J165" s="227"/>
      <c r="K165" s="227"/>
      <c r="L165" s="227"/>
    </row>
    <row r="166" spans="6:12">
      <c r="F166" s="227"/>
      <c r="G166" s="227"/>
      <c r="H166" s="227"/>
      <c r="I166" s="227"/>
      <c r="J166" s="227"/>
      <c r="K166" s="227"/>
      <c r="L166" s="227"/>
    </row>
    <row r="167" spans="6:12">
      <c r="F167" s="227"/>
      <c r="G167" s="227"/>
      <c r="H167" s="227"/>
      <c r="I167" s="227"/>
      <c r="J167" s="227"/>
      <c r="K167" s="227"/>
      <c r="L167" s="227"/>
    </row>
    <row r="168" spans="6:12">
      <c r="F168" s="227"/>
      <c r="G168" s="227"/>
      <c r="H168" s="227"/>
      <c r="I168" s="227"/>
      <c r="J168" s="227"/>
      <c r="K168" s="227"/>
      <c r="L168" s="227"/>
    </row>
    <row r="169" spans="6:12">
      <c r="F169" s="227"/>
      <c r="G169" s="227"/>
      <c r="H169" s="227"/>
      <c r="I169" s="227"/>
      <c r="J169" s="227"/>
      <c r="K169" s="227"/>
      <c r="L169" s="227"/>
    </row>
    <row r="170" spans="6:12">
      <c r="F170" s="227"/>
      <c r="G170" s="227"/>
      <c r="H170" s="227"/>
      <c r="I170" s="227"/>
      <c r="J170" s="227"/>
      <c r="K170" s="227"/>
      <c r="L170" s="227"/>
    </row>
    <row r="171" spans="6:12">
      <c r="F171" s="227"/>
      <c r="G171" s="227"/>
      <c r="H171" s="227"/>
      <c r="I171" s="227"/>
      <c r="J171" s="227"/>
      <c r="K171" s="227"/>
      <c r="L171" s="227"/>
    </row>
    <row r="172" spans="6:12">
      <c r="F172" s="227"/>
      <c r="G172" s="227"/>
      <c r="H172" s="227"/>
      <c r="I172" s="227"/>
      <c r="J172" s="227"/>
      <c r="K172" s="227"/>
      <c r="L172" s="227"/>
    </row>
    <row r="173" spans="6:12">
      <c r="F173" s="227"/>
      <c r="G173" s="227"/>
      <c r="H173" s="227"/>
      <c r="I173" s="227"/>
      <c r="J173" s="227"/>
      <c r="K173" s="227"/>
      <c r="L173" s="227"/>
    </row>
    <row r="174" spans="6:12">
      <c r="F174" s="227"/>
      <c r="G174" s="227"/>
      <c r="H174" s="227"/>
      <c r="I174" s="227"/>
      <c r="J174" s="227"/>
      <c r="K174" s="227"/>
      <c r="L174" s="227"/>
    </row>
    <row r="175" spans="6:12">
      <c r="F175" s="227"/>
      <c r="G175" s="227"/>
      <c r="H175" s="227"/>
      <c r="I175" s="227"/>
      <c r="J175" s="227"/>
      <c r="K175" s="227"/>
      <c r="L175" s="227"/>
    </row>
    <row r="176" spans="6:12">
      <c r="F176" s="227"/>
      <c r="G176" s="227"/>
      <c r="H176" s="227"/>
      <c r="I176" s="227"/>
      <c r="J176" s="227"/>
      <c r="K176" s="227"/>
      <c r="L176" s="227"/>
    </row>
    <row r="177" spans="6:12">
      <c r="F177" s="227"/>
      <c r="G177" s="227"/>
      <c r="H177" s="227"/>
      <c r="I177" s="227"/>
      <c r="J177" s="227"/>
      <c r="K177" s="227"/>
      <c r="L177" s="227"/>
    </row>
    <row r="178" spans="6:12">
      <c r="F178" s="227"/>
      <c r="G178" s="227"/>
      <c r="H178" s="227"/>
      <c r="I178" s="227"/>
      <c r="J178" s="227"/>
      <c r="K178" s="227"/>
      <c r="L178" s="227"/>
    </row>
    <row r="179" spans="6:12">
      <c r="F179" s="227"/>
      <c r="G179" s="227"/>
      <c r="H179" s="227"/>
      <c r="I179" s="227"/>
      <c r="J179" s="227"/>
      <c r="K179" s="227"/>
      <c r="L179" s="227"/>
    </row>
    <row r="180" spans="6:12">
      <c r="F180" s="227"/>
      <c r="G180" s="227"/>
      <c r="H180" s="227"/>
      <c r="I180" s="227"/>
      <c r="J180" s="227"/>
      <c r="K180" s="227"/>
      <c r="L180" s="227"/>
    </row>
    <row r="181" spans="6:12">
      <c r="F181" s="227"/>
      <c r="G181" s="227"/>
      <c r="H181" s="227"/>
      <c r="I181" s="227"/>
      <c r="J181" s="227"/>
      <c r="K181" s="227"/>
      <c r="L181" s="227"/>
    </row>
    <row r="182" spans="6:12">
      <c r="F182" s="227"/>
      <c r="G182" s="227"/>
      <c r="H182" s="227"/>
      <c r="I182" s="227"/>
      <c r="J182" s="227"/>
      <c r="K182" s="227"/>
      <c r="L182" s="227"/>
    </row>
    <row r="183" spans="6:12">
      <c r="F183" s="227"/>
      <c r="G183" s="227"/>
      <c r="H183" s="227"/>
      <c r="I183" s="227"/>
      <c r="J183" s="227"/>
      <c r="K183" s="227"/>
      <c r="L183" s="227"/>
    </row>
    <row r="184" spans="6:12">
      <c r="F184" s="227"/>
      <c r="G184" s="227"/>
      <c r="H184" s="227"/>
      <c r="I184" s="227"/>
      <c r="J184" s="227"/>
      <c r="K184" s="227"/>
      <c r="L184" s="227"/>
    </row>
    <row r="185" spans="6:12">
      <c r="F185" s="227"/>
      <c r="G185" s="227"/>
      <c r="H185" s="227"/>
      <c r="I185" s="227"/>
      <c r="J185" s="227"/>
      <c r="K185" s="227"/>
      <c r="L185" s="227"/>
    </row>
    <row r="186" spans="6:12">
      <c r="F186" s="227"/>
      <c r="G186" s="227"/>
      <c r="H186" s="227"/>
      <c r="I186" s="227"/>
      <c r="J186" s="227"/>
      <c r="K186" s="227"/>
      <c r="L186" s="227"/>
    </row>
    <row r="187" spans="6:12">
      <c r="F187" s="227"/>
      <c r="G187" s="227"/>
      <c r="H187" s="227"/>
      <c r="I187" s="227"/>
      <c r="J187" s="227"/>
      <c r="K187" s="227"/>
      <c r="L187" s="227"/>
    </row>
    <row r="188" spans="6:12">
      <c r="F188" s="227"/>
      <c r="G188" s="227"/>
      <c r="H188" s="227"/>
      <c r="I188" s="227"/>
      <c r="J188" s="227"/>
      <c r="K188" s="227"/>
      <c r="L188" s="227"/>
    </row>
    <row r="189" spans="6:12">
      <c r="F189" s="227"/>
      <c r="G189" s="227"/>
      <c r="H189" s="227"/>
      <c r="I189" s="227"/>
      <c r="J189" s="227"/>
      <c r="K189" s="227"/>
      <c r="L189" s="227"/>
    </row>
    <row r="190" spans="6:12">
      <c r="F190" s="227"/>
      <c r="G190" s="227"/>
      <c r="H190" s="227"/>
      <c r="I190" s="227"/>
      <c r="J190" s="227"/>
      <c r="K190" s="227"/>
      <c r="L190" s="227"/>
    </row>
    <row r="191" spans="6:12">
      <c r="F191" s="227"/>
      <c r="G191" s="227"/>
      <c r="H191" s="227"/>
      <c r="I191" s="227"/>
      <c r="J191" s="227"/>
      <c r="K191" s="227"/>
      <c r="L191" s="227"/>
    </row>
    <row r="192" spans="6:12">
      <c r="F192" s="227"/>
      <c r="G192" s="227"/>
      <c r="H192" s="227"/>
      <c r="I192" s="227"/>
      <c r="J192" s="227"/>
      <c r="K192" s="227"/>
      <c r="L192" s="227"/>
    </row>
    <row r="193" spans="6:12">
      <c r="F193" s="227"/>
      <c r="G193" s="227"/>
      <c r="H193" s="227"/>
      <c r="I193" s="227"/>
      <c r="J193" s="227"/>
      <c r="K193" s="227"/>
      <c r="L193" s="227"/>
    </row>
    <row r="194" spans="6:12">
      <c r="F194" s="227"/>
      <c r="G194" s="227"/>
      <c r="H194" s="227"/>
      <c r="I194" s="227"/>
      <c r="J194" s="227"/>
      <c r="K194" s="227"/>
      <c r="L194" s="227"/>
    </row>
    <row r="195" spans="6:12">
      <c r="F195" s="227"/>
      <c r="G195" s="227"/>
      <c r="H195" s="227"/>
      <c r="I195" s="227"/>
      <c r="J195" s="227"/>
      <c r="K195" s="227"/>
      <c r="L195" s="227"/>
    </row>
    <row r="196" spans="6:12">
      <c r="F196" s="227"/>
      <c r="G196" s="227"/>
      <c r="H196" s="227"/>
      <c r="I196" s="227"/>
      <c r="J196" s="227"/>
      <c r="K196" s="227"/>
      <c r="L196" s="227"/>
    </row>
    <row r="197" spans="6:12">
      <c r="F197" s="227"/>
      <c r="G197" s="227"/>
      <c r="H197" s="227"/>
      <c r="I197" s="227"/>
      <c r="J197" s="227"/>
      <c r="K197" s="227"/>
      <c r="L197" s="227"/>
    </row>
    <row r="198" spans="6:12">
      <c r="F198" s="227"/>
      <c r="G198" s="227"/>
      <c r="H198" s="227"/>
      <c r="I198" s="227"/>
      <c r="J198" s="227"/>
      <c r="K198" s="227"/>
      <c r="L198" s="227"/>
    </row>
    <row r="199" spans="6:12">
      <c r="F199" s="227"/>
      <c r="G199" s="227"/>
      <c r="H199" s="227"/>
      <c r="I199" s="227"/>
      <c r="J199" s="227"/>
      <c r="K199" s="227"/>
      <c r="L199" s="227"/>
    </row>
    <row r="200" spans="6:12">
      <c r="F200" s="227"/>
      <c r="G200" s="227"/>
      <c r="H200" s="227"/>
      <c r="I200" s="227"/>
      <c r="J200" s="227"/>
      <c r="K200" s="227"/>
      <c r="L200" s="227"/>
    </row>
    <row r="201" spans="6:12">
      <c r="F201" s="227"/>
      <c r="G201" s="227"/>
      <c r="H201" s="227"/>
      <c r="I201" s="227"/>
      <c r="J201" s="227"/>
      <c r="K201" s="227"/>
      <c r="L201" s="227"/>
    </row>
    <row r="202" spans="6:12">
      <c r="F202" s="227"/>
      <c r="G202" s="227"/>
      <c r="H202" s="227"/>
      <c r="I202" s="227"/>
      <c r="J202" s="227"/>
      <c r="K202" s="227"/>
      <c r="L202" s="227"/>
    </row>
    <row r="203" spans="6:12">
      <c r="F203" s="227"/>
      <c r="G203" s="227"/>
      <c r="H203" s="227"/>
      <c r="I203" s="227"/>
      <c r="J203" s="227"/>
      <c r="K203" s="227"/>
      <c r="L203" s="227"/>
    </row>
    <row r="204" spans="6:12">
      <c r="F204" s="227"/>
      <c r="G204" s="227"/>
      <c r="H204" s="227"/>
      <c r="I204" s="227"/>
      <c r="J204" s="227"/>
      <c r="K204" s="227"/>
      <c r="L204" s="227"/>
    </row>
    <row r="205" spans="6:12">
      <c r="F205" s="227"/>
      <c r="G205" s="227"/>
      <c r="H205" s="227"/>
      <c r="I205" s="227"/>
      <c r="J205" s="227"/>
      <c r="K205" s="227"/>
      <c r="L205" s="227"/>
    </row>
    <row r="206" spans="6:12">
      <c r="F206" s="227"/>
      <c r="G206" s="227"/>
      <c r="H206" s="227"/>
      <c r="I206" s="227"/>
      <c r="J206" s="227"/>
      <c r="K206" s="227"/>
      <c r="L206" s="227"/>
    </row>
    <row r="207" spans="6:12">
      <c r="F207" s="227"/>
      <c r="G207" s="227"/>
      <c r="H207" s="227"/>
      <c r="I207" s="227"/>
      <c r="J207" s="227"/>
      <c r="K207" s="227"/>
      <c r="L207" s="227"/>
    </row>
    <row r="208" spans="6:12">
      <c r="F208" s="227"/>
      <c r="G208" s="227"/>
      <c r="H208" s="227"/>
      <c r="I208" s="227"/>
      <c r="J208" s="227"/>
      <c r="K208" s="227"/>
      <c r="L208" s="227"/>
    </row>
    <row r="209" spans="6:12">
      <c r="F209" s="227"/>
      <c r="G209" s="227"/>
      <c r="H209" s="227"/>
      <c r="I209" s="227"/>
      <c r="J209" s="227"/>
      <c r="K209" s="227"/>
      <c r="L209" s="227"/>
    </row>
    <row r="210" spans="6:12">
      <c r="F210" s="227"/>
      <c r="G210" s="227"/>
      <c r="H210" s="227"/>
      <c r="I210" s="227"/>
      <c r="J210" s="227"/>
      <c r="K210" s="227"/>
      <c r="L210" s="227"/>
    </row>
    <row r="211" spans="6:12">
      <c r="F211" s="227"/>
      <c r="G211" s="227"/>
      <c r="H211" s="227"/>
      <c r="I211" s="227"/>
      <c r="J211" s="227"/>
      <c r="K211" s="227"/>
      <c r="L211" s="227"/>
    </row>
    <row r="212" spans="6:12">
      <c r="F212" s="227"/>
      <c r="G212" s="227"/>
      <c r="H212" s="227"/>
      <c r="I212" s="227"/>
      <c r="J212" s="227"/>
      <c r="K212" s="227"/>
      <c r="L212" s="227"/>
    </row>
    <row r="213" spans="6:12">
      <c r="F213" s="227"/>
      <c r="G213" s="227"/>
      <c r="H213" s="227"/>
      <c r="I213" s="227"/>
      <c r="J213" s="227"/>
      <c r="K213" s="227"/>
      <c r="L213" s="227"/>
    </row>
    <row r="214" spans="6:12">
      <c r="F214" s="227"/>
      <c r="G214" s="227"/>
      <c r="H214" s="227"/>
      <c r="I214" s="227"/>
      <c r="J214" s="227"/>
      <c r="K214" s="227"/>
      <c r="L214" s="227"/>
    </row>
    <row r="215" spans="6:12">
      <c r="F215" s="227"/>
      <c r="G215" s="227"/>
      <c r="H215" s="227"/>
      <c r="I215" s="227"/>
      <c r="J215" s="227"/>
      <c r="K215" s="227"/>
      <c r="L215" s="227"/>
    </row>
    <row r="216" spans="6:12">
      <c r="F216" s="227"/>
      <c r="G216" s="227"/>
      <c r="H216" s="227"/>
      <c r="I216" s="227"/>
      <c r="J216" s="227"/>
      <c r="K216" s="227"/>
      <c r="L216" s="227"/>
    </row>
    <row r="217" spans="6:12">
      <c r="F217" s="227"/>
      <c r="G217" s="227"/>
      <c r="H217" s="227"/>
      <c r="I217" s="227"/>
      <c r="J217" s="227"/>
      <c r="K217" s="227"/>
      <c r="L217" s="227"/>
    </row>
    <row r="218" spans="6:12">
      <c r="F218" s="227"/>
      <c r="G218" s="227"/>
      <c r="H218" s="227"/>
      <c r="I218" s="227"/>
      <c r="J218" s="227"/>
      <c r="K218" s="227"/>
      <c r="L218" s="227"/>
    </row>
    <row r="219" spans="6:12">
      <c r="F219" s="227"/>
      <c r="G219" s="227"/>
      <c r="H219" s="227"/>
      <c r="I219" s="227"/>
      <c r="J219" s="227"/>
      <c r="K219" s="227"/>
      <c r="L219" s="227"/>
    </row>
    <row r="220" spans="6:12">
      <c r="F220" s="227"/>
      <c r="G220" s="227"/>
      <c r="H220" s="227"/>
      <c r="I220" s="227"/>
      <c r="J220" s="227"/>
      <c r="K220" s="227"/>
      <c r="L220" s="227"/>
    </row>
    <row r="221" spans="6:12">
      <c r="F221" s="227"/>
      <c r="G221" s="227"/>
      <c r="H221" s="227"/>
      <c r="I221" s="227"/>
      <c r="J221" s="227"/>
      <c r="K221" s="227"/>
      <c r="L221" s="227"/>
    </row>
    <row r="222" spans="6:12">
      <c r="F222" s="227"/>
      <c r="G222" s="227"/>
      <c r="H222" s="227"/>
      <c r="I222" s="227"/>
      <c r="J222" s="227"/>
      <c r="K222" s="227"/>
      <c r="L222" s="227"/>
    </row>
    <row r="223" spans="6:12">
      <c r="F223" s="227"/>
      <c r="G223" s="227"/>
      <c r="H223" s="227"/>
      <c r="I223" s="227"/>
      <c r="J223" s="227"/>
      <c r="K223" s="227"/>
      <c r="L223" s="227"/>
    </row>
    <row r="224" spans="6:12">
      <c r="F224" s="227"/>
      <c r="G224" s="227"/>
      <c r="H224" s="227"/>
      <c r="I224" s="227"/>
      <c r="J224" s="227"/>
      <c r="K224" s="227"/>
      <c r="L224" s="227"/>
    </row>
    <row r="225" spans="6:12">
      <c r="F225" s="227"/>
      <c r="G225" s="227"/>
      <c r="H225" s="227"/>
      <c r="I225" s="227"/>
      <c r="J225" s="227"/>
      <c r="K225" s="227"/>
      <c r="L225" s="227"/>
    </row>
    <row r="226" spans="6:12">
      <c r="F226" s="227"/>
      <c r="G226" s="227"/>
      <c r="H226" s="227"/>
      <c r="I226" s="227"/>
      <c r="J226" s="227"/>
      <c r="K226" s="227"/>
      <c r="L226" s="227"/>
    </row>
    <row r="227" spans="6:12">
      <c r="F227" s="227"/>
      <c r="G227" s="227"/>
      <c r="H227" s="227"/>
      <c r="I227" s="227"/>
      <c r="J227" s="227"/>
      <c r="K227" s="227"/>
      <c r="L227" s="227"/>
    </row>
    <row r="228" spans="6:12">
      <c r="F228" s="227"/>
      <c r="G228" s="227"/>
      <c r="H228" s="227"/>
      <c r="I228" s="227"/>
      <c r="J228" s="227"/>
      <c r="K228" s="227"/>
      <c r="L228" s="227"/>
    </row>
    <row r="229" spans="6:12">
      <c r="F229" s="227"/>
      <c r="G229" s="227"/>
      <c r="H229" s="227"/>
      <c r="I229" s="227"/>
      <c r="J229" s="227"/>
      <c r="K229" s="227"/>
      <c r="L229" s="227"/>
    </row>
    <row r="230" spans="6:12">
      <c r="F230" s="227"/>
      <c r="G230" s="227"/>
      <c r="H230" s="227"/>
      <c r="I230" s="227"/>
      <c r="J230" s="227"/>
      <c r="K230" s="227"/>
      <c r="L230" s="227"/>
    </row>
    <row r="231" spans="6:12">
      <c r="F231" s="227"/>
      <c r="G231" s="227"/>
      <c r="H231" s="227"/>
      <c r="I231" s="227"/>
      <c r="J231" s="227"/>
      <c r="K231" s="227"/>
      <c r="L231" s="227"/>
    </row>
    <row r="232" spans="6:12">
      <c r="F232" s="227"/>
      <c r="G232" s="227"/>
      <c r="H232" s="227"/>
      <c r="I232" s="227"/>
      <c r="J232" s="227"/>
      <c r="K232" s="227"/>
      <c r="L232" s="227"/>
    </row>
    <row r="233" spans="6:12">
      <c r="F233" s="227"/>
      <c r="G233" s="227"/>
      <c r="H233" s="227"/>
      <c r="I233" s="227"/>
      <c r="J233" s="227"/>
      <c r="K233" s="227"/>
      <c r="L233" s="227"/>
    </row>
    <row r="234" spans="6:12">
      <c r="F234" s="227"/>
      <c r="G234" s="227"/>
      <c r="H234" s="227"/>
      <c r="I234" s="227"/>
      <c r="J234" s="227"/>
      <c r="K234" s="227"/>
      <c r="L234" s="227"/>
    </row>
    <row r="235" spans="6:12">
      <c r="F235" s="227"/>
      <c r="G235" s="227"/>
      <c r="H235" s="227"/>
      <c r="I235" s="227"/>
      <c r="J235" s="227"/>
      <c r="K235" s="227"/>
      <c r="L235" s="227"/>
    </row>
    <row r="236" spans="6:12">
      <c r="F236" s="227"/>
      <c r="G236" s="227"/>
      <c r="H236" s="227"/>
      <c r="I236" s="227"/>
      <c r="J236" s="227"/>
      <c r="K236" s="227"/>
      <c r="L236" s="227"/>
    </row>
    <row r="237" spans="6:12">
      <c r="F237" s="227"/>
      <c r="G237" s="227"/>
      <c r="H237" s="227"/>
      <c r="I237" s="227"/>
      <c r="J237" s="227"/>
      <c r="K237" s="227"/>
      <c r="L237" s="227"/>
    </row>
    <row r="238" spans="6:12">
      <c r="F238" s="227"/>
      <c r="G238" s="227"/>
      <c r="H238" s="227"/>
      <c r="I238" s="227"/>
      <c r="J238" s="227"/>
      <c r="K238" s="227"/>
      <c r="L238" s="227"/>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election activeCell="B16" sqref="B16"/>
    </sheetView>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1220</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1225</v>
      </c>
      <c r="B6" s="95">
        <v>6</v>
      </c>
    </row>
    <row r="7" spans="1:5" ht="20.100000000000001" customHeight="1">
      <c r="A7" s="93" t="s">
        <v>1221</v>
      </c>
      <c r="B7" s="95">
        <v>7</v>
      </c>
    </row>
    <row r="8" spans="1:5" ht="20.100000000000001" customHeight="1">
      <c r="A8" s="92" t="s">
        <v>78</v>
      </c>
      <c r="B8" s="95">
        <v>8</v>
      </c>
    </row>
    <row r="9" spans="1:5" ht="20.100000000000001" customHeight="1">
      <c r="A9" s="93" t="s">
        <v>1223</v>
      </c>
      <c r="B9" s="96" t="s">
        <v>1287</v>
      </c>
      <c r="C9" s="10" t="s">
        <v>1227</v>
      </c>
      <c r="E9" s="10" t="s">
        <v>1934</v>
      </c>
    </row>
    <row r="10" spans="1:5" ht="20.100000000000001" customHeight="1">
      <c r="A10" s="93" t="s">
        <v>1224</v>
      </c>
      <c r="B10" s="95">
        <v>10</v>
      </c>
      <c r="C10" s="10" t="s">
        <v>1228</v>
      </c>
      <c r="E10" s="10" t="s">
        <v>1494</v>
      </c>
    </row>
    <row r="11" spans="1:5" ht="20.100000000000001" customHeight="1">
      <c r="A11" s="93" t="s">
        <v>1222</v>
      </c>
      <c r="B11" s="96">
        <v>11</v>
      </c>
      <c r="C11" s="10" t="s">
        <v>1226</v>
      </c>
      <c r="E11" s="10" t="s">
        <v>1490</v>
      </c>
    </row>
    <row r="12" spans="1:5" ht="20.100000000000001" customHeight="1">
      <c r="A12" s="111" t="s">
        <v>1625</v>
      </c>
      <c r="B12" s="96" t="s">
        <v>1491</v>
      </c>
      <c r="C12" s="10" t="s">
        <v>1489</v>
      </c>
      <c r="E12" s="10" t="s">
        <v>1490</v>
      </c>
    </row>
    <row r="13" spans="1:5" ht="20.100000000000001" customHeight="1">
      <c r="A13" s="111" t="s">
        <v>1492</v>
      </c>
      <c r="B13" s="96">
        <v>13</v>
      </c>
      <c r="C13" s="10" t="s">
        <v>1493</v>
      </c>
      <c r="E13" s="10" t="s">
        <v>1494</v>
      </c>
    </row>
    <row r="14" spans="1:5" ht="20.100000000000001" customHeight="1">
      <c r="A14" s="111" t="s">
        <v>1689</v>
      </c>
      <c r="B14" s="96">
        <v>14</v>
      </c>
      <c r="C14" s="10" t="s">
        <v>1662</v>
      </c>
      <c r="E14" s="10" t="s">
        <v>1494</v>
      </c>
    </row>
    <row r="15" spans="1:5" ht="20.100000000000001" customHeight="1">
      <c r="A15" s="111" t="s">
        <v>2952</v>
      </c>
      <c r="B15" s="10" t="s">
        <v>2953</v>
      </c>
      <c r="C15" s="10" t="s">
        <v>1690</v>
      </c>
      <c r="E15" s="10" t="s">
        <v>1691</v>
      </c>
    </row>
    <row r="16" spans="1:5" ht="20.100000000000001" customHeight="1">
      <c r="A16" s="111" t="s">
        <v>1732</v>
      </c>
      <c r="B16" s="10" t="s">
        <v>2954</v>
      </c>
    </row>
    <row r="17" spans="1:2" ht="20.100000000000001" customHeight="1">
      <c r="A17" s="111" t="s">
        <v>2955</v>
      </c>
      <c r="B17" s="10" t="s">
        <v>2956</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17"/>
  <sheetViews>
    <sheetView topLeftCell="A2" workbookViewId="0">
      <selection activeCell="A18" sqref="A18"/>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2777</v>
      </c>
      <c r="I1" s="326" t="s">
        <v>3051</v>
      </c>
      <c r="J1" s="3" t="s">
        <v>43</v>
      </c>
    </row>
    <row r="2" spans="1:10" ht="24.95" customHeight="1">
      <c r="A2" s="3" t="s">
        <v>34</v>
      </c>
      <c r="E2" s="3" t="s">
        <v>1661</v>
      </c>
      <c r="I2" s="326" t="s">
        <v>3050</v>
      </c>
      <c r="J2" s="3" t="s">
        <v>29</v>
      </c>
    </row>
    <row r="3" spans="1:10" ht="24.95" customHeight="1">
      <c r="A3" s="3" t="s">
        <v>29</v>
      </c>
      <c r="E3" s="3" t="s">
        <v>1663</v>
      </c>
      <c r="I3" s="326" t="s">
        <v>3049</v>
      </c>
      <c r="J3" s="3" t="s">
        <v>283</v>
      </c>
    </row>
    <row r="4" spans="1:10" ht="24.95" customHeight="1">
      <c r="A4" s="3" t="s">
        <v>283</v>
      </c>
      <c r="E4" s="3" t="s">
        <v>1742</v>
      </c>
      <c r="I4" s="326" t="s">
        <v>3048</v>
      </c>
      <c r="J4" s="3" t="s">
        <v>1441</v>
      </c>
    </row>
    <row r="5" spans="1:10" ht="24.95" customHeight="1">
      <c r="A5" s="3" t="s">
        <v>32</v>
      </c>
      <c r="E5" s="3" t="s">
        <v>2289</v>
      </c>
      <c r="I5" s="326" t="s">
        <v>3047</v>
      </c>
      <c r="J5" s="3" t="s">
        <v>568</v>
      </c>
    </row>
    <row r="6" spans="1:10" ht="24.95" customHeight="1">
      <c r="A6" s="3" t="s">
        <v>1441</v>
      </c>
      <c r="B6" s="10" t="s">
        <v>1382</v>
      </c>
      <c r="I6" s="326" t="s">
        <v>3052</v>
      </c>
      <c r="J6" s="3" t="s">
        <v>1442</v>
      </c>
    </row>
    <row r="7" spans="1:10" ht="24.95" customHeight="1">
      <c r="A7" s="1" t="s">
        <v>359</v>
      </c>
      <c r="I7" s="326" t="s">
        <v>3053</v>
      </c>
      <c r="J7" s="3" t="s">
        <v>1443</v>
      </c>
    </row>
    <row r="8" spans="1:10" ht="24.95" customHeight="1">
      <c r="A8" s="3" t="s">
        <v>568</v>
      </c>
      <c r="I8" s="326" t="s">
        <v>3054</v>
      </c>
      <c r="J8" s="3" t="s">
        <v>2774</v>
      </c>
    </row>
    <row r="9" spans="1:10" ht="24.95" customHeight="1">
      <c r="A9" s="3" t="s">
        <v>1442</v>
      </c>
      <c r="B9" s="10" t="s">
        <v>1380</v>
      </c>
      <c r="C9" s="10" t="s">
        <v>1388</v>
      </c>
      <c r="I9" s="326" t="s">
        <v>3055</v>
      </c>
      <c r="J9" s="3" t="s">
        <v>2775</v>
      </c>
    </row>
    <row r="10" spans="1:10" ht="24.95" customHeight="1">
      <c r="A10" s="3" t="s">
        <v>1443</v>
      </c>
      <c r="B10" s="10" t="s">
        <v>1381</v>
      </c>
      <c r="C10" s="10" t="s">
        <v>1389</v>
      </c>
      <c r="I10" s="326" t="s">
        <v>3056</v>
      </c>
      <c r="J10" s="3" t="s">
        <v>2776</v>
      </c>
    </row>
    <row r="11" spans="1:10" ht="24.95" customHeight="1">
      <c r="A11" s="3" t="s">
        <v>2774</v>
      </c>
      <c r="I11" s="326" t="s">
        <v>3057</v>
      </c>
      <c r="J11" s="277" t="s">
        <v>2789</v>
      </c>
    </row>
    <row r="12" spans="1:10" ht="24.95" customHeight="1">
      <c r="A12" s="3" t="s">
        <v>2775</v>
      </c>
      <c r="I12" s="326" t="s">
        <v>3058</v>
      </c>
      <c r="J12" s="277" t="s">
        <v>2839</v>
      </c>
    </row>
    <row r="13" spans="1:10" ht="24.95" customHeight="1">
      <c r="A13" s="3" t="s">
        <v>2776</v>
      </c>
    </row>
    <row r="14" spans="1:10">
      <c r="A14" s="277" t="s">
        <v>2789</v>
      </c>
    </row>
    <row r="15" spans="1:10" ht="24.95" customHeight="1">
      <c r="A15" s="277" t="s">
        <v>2839</v>
      </c>
    </row>
    <row r="16" spans="1:10">
      <c r="A16" s="1" t="s">
        <v>3368</v>
      </c>
    </row>
    <row r="17" spans="1:1">
      <c r="A17" s="1" t="s">
        <v>3369</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topLeftCell="A36" workbookViewId="0">
      <selection activeCell="A58" sqref="A5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2002</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2238</v>
      </c>
    </row>
    <row r="15" spans="1:1" ht="20.100000000000001" customHeight="1">
      <c r="A15" s="44" t="s">
        <v>1414</v>
      </c>
    </row>
    <row r="16" spans="1:1" ht="20.100000000000001" customHeight="1">
      <c r="A16" s="44" t="s">
        <v>1306</v>
      </c>
    </row>
    <row r="17" spans="1:2" ht="20.100000000000001" customHeight="1">
      <c r="A17" s="44" t="s">
        <v>1702</v>
      </c>
    </row>
    <row r="18" spans="1:2" ht="20.100000000000001" customHeight="1">
      <c r="A18" s="17" t="s">
        <v>830</v>
      </c>
    </row>
    <row r="19" spans="1:2" ht="20.100000000000001" customHeight="1">
      <c r="A19" s="17" t="s">
        <v>829</v>
      </c>
    </row>
    <row r="20" spans="1:2" ht="20.100000000000001" customHeight="1">
      <c r="A20" s="44" t="s">
        <v>2093</v>
      </c>
      <c r="B20" s="10" t="s">
        <v>2094</v>
      </c>
    </row>
    <row r="21" spans="1:2" ht="20.100000000000001" customHeight="1">
      <c r="A21" s="44" t="s">
        <v>788</v>
      </c>
    </row>
    <row r="22" spans="1:2" ht="20.100000000000001" customHeight="1">
      <c r="A22" s="17" t="s">
        <v>1180</v>
      </c>
    </row>
    <row r="23" spans="1:2" ht="20.100000000000001" customHeight="1">
      <c r="A23" s="43" t="s">
        <v>1180</v>
      </c>
    </row>
    <row r="24" spans="1:2" ht="20.100000000000001" customHeight="1">
      <c r="A24" s="16" t="s">
        <v>789</v>
      </c>
    </row>
    <row r="25" spans="1:2" ht="20.100000000000001" customHeight="1">
      <c r="A25" s="17" t="s">
        <v>792</v>
      </c>
    </row>
    <row r="26" spans="1:2" ht="20.100000000000001" customHeight="1">
      <c r="A26" s="17" t="s">
        <v>790</v>
      </c>
    </row>
    <row r="27" spans="1:2" ht="20.100000000000001" customHeight="1">
      <c r="A27" s="16" t="s">
        <v>791</v>
      </c>
    </row>
    <row r="28" spans="1:2" ht="20.100000000000001" customHeight="1">
      <c r="A28" s="44" t="s">
        <v>1502</v>
      </c>
    </row>
    <row r="29" spans="1:2" ht="20.100000000000001" customHeight="1">
      <c r="A29" s="16" t="s">
        <v>793</v>
      </c>
    </row>
    <row r="30" spans="1:2" ht="20.100000000000001" customHeight="1">
      <c r="A30" s="16" t="s">
        <v>794</v>
      </c>
    </row>
    <row r="31" spans="1:2" ht="20.100000000000001" customHeight="1">
      <c r="A31" s="44" t="s">
        <v>1453</v>
      </c>
    </row>
    <row r="32" spans="1:2" ht="20.100000000000001" customHeight="1">
      <c r="A32" s="17" t="s">
        <v>1149</v>
      </c>
    </row>
    <row r="33" spans="1:2" ht="20.100000000000001" customHeight="1">
      <c r="A33" s="17" t="s">
        <v>803</v>
      </c>
    </row>
    <row r="34" spans="1:2" ht="20.100000000000001" customHeight="1">
      <c r="A34" s="17" t="s">
        <v>2095</v>
      </c>
      <c r="B34" s="10" t="s">
        <v>2096</v>
      </c>
    </row>
    <row r="35" spans="1:2" ht="20.100000000000001" customHeight="1">
      <c r="A35" s="17" t="s">
        <v>795</v>
      </c>
    </row>
    <row r="36" spans="1:2" ht="20.100000000000001" customHeight="1">
      <c r="A36" s="17" t="s">
        <v>796</v>
      </c>
    </row>
    <row r="37" spans="1:2" ht="20.100000000000001" customHeight="1">
      <c r="A37" s="17" t="s">
        <v>802</v>
      </c>
    </row>
    <row r="38" spans="1:2" ht="20.100000000000001" customHeight="1">
      <c r="A38" s="17" t="s">
        <v>801</v>
      </c>
    </row>
    <row r="39" spans="1:2" ht="20.100000000000001" customHeight="1">
      <c r="A39" s="17" t="s">
        <v>2091</v>
      </c>
      <c r="B39" s="10" t="s">
        <v>2092</v>
      </c>
    </row>
    <row r="40" spans="1:2" ht="20.100000000000001" customHeight="1">
      <c r="A40" s="44" t="s">
        <v>810</v>
      </c>
    </row>
    <row r="41" spans="1:2" ht="20.100000000000001" customHeight="1">
      <c r="A41" s="17" t="s">
        <v>798</v>
      </c>
    </row>
    <row r="42" spans="1:2" ht="20.100000000000001" customHeight="1">
      <c r="A42" s="17" t="s">
        <v>799</v>
      </c>
    </row>
    <row r="43" spans="1:2" ht="20.100000000000001" customHeight="1">
      <c r="A43" s="17" t="s">
        <v>800</v>
      </c>
    </row>
    <row r="44" spans="1:2" ht="20.100000000000001" customHeight="1">
      <c r="A44" s="44" t="s">
        <v>1835</v>
      </c>
    </row>
    <row r="45" spans="1:2" ht="20.100000000000001" customHeight="1">
      <c r="A45" s="17" t="s">
        <v>688</v>
      </c>
    </row>
    <row r="46" spans="1:2" ht="20.100000000000001" customHeight="1">
      <c r="A46" s="44" t="s">
        <v>2089</v>
      </c>
      <c r="B46" s="10" t="s">
        <v>2090</v>
      </c>
    </row>
    <row r="47" spans="1:2" ht="20.100000000000001" customHeight="1">
      <c r="A47" s="44" t="s">
        <v>814</v>
      </c>
    </row>
    <row r="48" spans="1:2" ht="20.100000000000001" customHeight="1">
      <c r="A48" s="44" t="s">
        <v>1973</v>
      </c>
    </row>
    <row r="49" spans="1:1" ht="20.100000000000001" customHeight="1">
      <c r="A49" s="44" t="s">
        <v>1656</v>
      </c>
    </row>
    <row r="50" spans="1:1" ht="20.100000000000001" customHeight="1">
      <c r="A50" s="17" t="s">
        <v>1070</v>
      </c>
    </row>
    <row r="51" spans="1:1" ht="20.100000000000001" customHeight="1">
      <c r="A51" s="43" t="s">
        <v>569</v>
      </c>
    </row>
    <row r="52" spans="1:1" ht="20.100000000000001" customHeight="1">
      <c r="A52" s="44" t="s">
        <v>582</v>
      </c>
    </row>
    <row r="53" spans="1:1">
      <c r="A53" s="44" t="s">
        <v>2111</v>
      </c>
    </row>
    <row r="54" spans="1:1">
      <c r="A54" s="44" t="s">
        <v>2432</v>
      </c>
    </row>
    <row r="55" spans="1:1">
      <c r="A55" s="44" t="s">
        <v>2738</v>
      </c>
    </row>
    <row r="56" spans="1:1">
      <c r="A56" s="44" t="s">
        <v>3021</v>
      </c>
    </row>
    <row r="57" spans="1:1">
      <c r="A57" s="43" t="s">
        <v>3072</v>
      </c>
    </row>
    <row r="58" spans="1:1">
      <c r="A58" s="343" t="s">
        <v>3123</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61"/>
  <sheetViews>
    <sheetView topLeftCell="A90" workbookViewId="0">
      <selection activeCell="A106" sqref="A106"/>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2049</v>
      </c>
    </row>
    <row r="5" spans="1:1" ht="20.100000000000001" customHeight="1">
      <c r="A5" s="64" t="s">
        <v>693</v>
      </c>
    </row>
    <row r="6" spans="1:1" ht="20.100000000000001" customHeight="1">
      <c r="A6" s="44" t="s">
        <v>1367</v>
      </c>
    </row>
    <row r="7" spans="1:1" ht="20.100000000000001" customHeight="1">
      <c r="A7" s="64" t="s">
        <v>694</v>
      </c>
    </row>
    <row r="8" spans="1:1" ht="20.100000000000001" customHeight="1">
      <c r="A8" s="64" t="s">
        <v>2001</v>
      </c>
    </row>
    <row r="9" spans="1:1" ht="20.100000000000001" customHeight="1">
      <c r="A9" s="64" t="s">
        <v>695</v>
      </c>
    </row>
    <row r="10" spans="1:1" ht="20.100000000000001" customHeight="1">
      <c r="A10" s="65" t="s">
        <v>1970</v>
      </c>
    </row>
    <row r="11" spans="1:1" ht="20.100000000000001" customHeight="1">
      <c r="A11" s="64" t="s">
        <v>1839</v>
      </c>
    </row>
    <row r="12" spans="1:1" ht="20.100000000000001" customHeight="1">
      <c r="A12" s="64" t="s">
        <v>1994</v>
      </c>
    </row>
    <row r="13" spans="1:1" ht="20.100000000000001" customHeight="1">
      <c r="A13" s="64" t="s">
        <v>1876</v>
      </c>
    </row>
    <row r="14" spans="1:1" ht="20.100000000000001" customHeight="1">
      <c r="A14" s="65" t="s">
        <v>1966</v>
      </c>
    </row>
    <row r="15" spans="1:1" ht="20.100000000000001" customHeight="1">
      <c r="A15" s="64" t="s">
        <v>985</v>
      </c>
    </row>
    <row r="16" spans="1:1" ht="20.100000000000001" customHeight="1">
      <c r="A16" s="64" t="s">
        <v>2126</v>
      </c>
    </row>
    <row r="17" spans="1:1" ht="20.100000000000001" customHeight="1">
      <c r="A17" s="64" t="s">
        <v>2220</v>
      </c>
    </row>
    <row r="18" spans="1:1" ht="20.100000000000001" customHeight="1">
      <c r="A18" s="65" t="s">
        <v>725</v>
      </c>
    </row>
    <row r="19" spans="1:1" ht="20.100000000000001" customHeight="1">
      <c r="A19" s="65" t="s">
        <v>723</v>
      </c>
    </row>
    <row r="20" spans="1:1" ht="20.100000000000001" customHeight="1">
      <c r="A20" s="65" t="s">
        <v>1304</v>
      </c>
    </row>
    <row r="21" spans="1:1" ht="20.100000000000001" customHeight="1">
      <c r="A21" s="44" t="s">
        <v>767</v>
      </c>
    </row>
    <row r="22" spans="1:1" ht="20.100000000000001" customHeight="1">
      <c r="A22" s="65" t="s">
        <v>1031</v>
      </c>
    </row>
    <row r="23" spans="1:1" ht="20.100000000000001" customHeight="1">
      <c r="A23" s="65" t="s">
        <v>887</v>
      </c>
    </row>
    <row r="24" spans="1:1" ht="20.100000000000001" customHeight="1">
      <c r="A24" s="65" t="s">
        <v>1032</v>
      </c>
    </row>
    <row r="25" spans="1:1" ht="20.100000000000001" customHeight="1">
      <c r="A25" s="65" t="s">
        <v>1087</v>
      </c>
    </row>
    <row r="26" spans="1:1" ht="20.100000000000001" customHeight="1">
      <c r="A26" s="64" t="s">
        <v>711</v>
      </c>
    </row>
    <row r="27" spans="1:1" ht="20.100000000000001" customHeight="1">
      <c r="A27" s="64" t="s">
        <v>713</v>
      </c>
    </row>
    <row r="28" spans="1:1" ht="20.100000000000001" customHeight="1">
      <c r="A28" s="64" t="s">
        <v>712</v>
      </c>
    </row>
    <row r="29" spans="1:1" ht="20.100000000000001" customHeight="1">
      <c r="A29" s="64" t="s">
        <v>1179</v>
      </c>
    </row>
    <row r="30" spans="1:1" ht="20.100000000000001" customHeight="1">
      <c r="A30" s="65" t="s">
        <v>1334</v>
      </c>
    </row>
    <row r="31" spans="1:1" ht="20.100000000000001" customHeight="1">
      <c r="A31" s="65" t="s">
        <v>1290</v>
      </c>
    </row>
    <row r="32" spans="1:1" ht="20.100000000000001" customHeight="1">
      <c r="A32" s="64" t="s">
        <v>692</v>
      </c>
    </row>
    <row r="33" spans="1:1" ht="20.100000000000001" customHeight="1">
      <c r="A33" s="65" t="s">
        <v>1862</v>
      </c>
    </row>
    <row r="34" spans="1:1" ht="20.100000000000001" customHeight="1">
      <c r="A34" s="64" t="s">
        <v>696</v>
      </c>
    </row>
    <row r="35" spans="1:1" ht="20.100000000000001" customHeight="1">
      <c r="A35" s="10" t="s">
        <v>1829</v>
      </c>
    </row>
    <row r="36" spans="1:1" ht="20.100000000000001" customHeight="1">
      <c r="A36" s="65" t="s">
        <v>1029</v>
      </c>
    </row>
    <row r="37" spans="1:1" ht="20.100000000000001" customHeight="1">
      <c r="A37" s="64" t="s">
        <v>684</v>
      </c>
    </row>
    <row r="38" spans="1:1" ht="20.100000000000001" customHeight="1">
      <c r="A38" s="65" t="s">
        <v>2056</v>
      </c>
    </row>
    <row r="39" spans="1:1" ht="20.100000000000001" customHeight="1">
      <c r="A39" s="64" t="s">
        <v>186</v>
      </c>
    </row>
    <row r="40" spans="1:1" ht="20.100000000000001" customHeight="1">
      <c r="A40" s="65" t="s">
        <v>1416</v>
      </c>
    </row>
    <row r="41" spans="1:1" ht="20.100000000000001" customHeight="1">
      <c r="A41" s="65" t="s">
        <v>977</v>
      </c>
    </row>
    <row r="42" spans="1:1" ht="20.100000000000001" customHeight="1">
      <c r="A42" s="64" t="s">
        <v>1854</v>
      </c>
    </row>
    <row r="43" spans="1:1" ht="20.100000000000001" customHeight="1">
      <c r="A43" s="65" t="s">
        <v>1694</v>
      </c>
    </row>
    <row r="44" spans="1:1" ht="20.100000000000001" customHeight="1">
      <c r="A44" s="42" t="s">
        <v>2081</v>
      </c>
    </row>
    <row r="45" spans="1:1" ht="20.100000000000001" customHeight="1">
      <c r="A45" s="65" t="s">
        <v>1027</v>
      </c>
    </row>
    <row r="46" spans="1:1" ht="20.100000000000001" customHeight="1">
      <c r="A46" s="65" t="s">
        <v>1986</v>
      </c>
    </row>
    <row r="47" spans="1:1" ht="20.100000000000001" customHeight="1">
      <c r="A47" s="42" t="s">
        <v>2122</v>
      </c>
    </row>
    <row r="48" spans="1:1" ht="20.100000000000001" customHeight="1">
      <c r="A48" s="64" t="s">
        <v>697</v>
      </c>
    </row>
    <row r="49" spans="1:1" ht="20.100000000000001" customHeight="1">
      <c r="A49" s="65" t="s">
        <v>697</v>
      </c>
    </row>
    <row r="50" spans="1:1" ht="20.100000000000001" customHeight="1">
      <c r="A50" s="65" t="s">
        <v>2098</v>
      </c>
    </row>
    <row r="51" spans="1:1" ht="20.100000000000001" customHeight="1">
      <c r="A51" s="64" t="s">
        <v>698</v>
      </c>
    </row>
    <row r="52" spans="1:1" ht="20.100000000000001" customHeight="1">
      <c r="A52" s="65" t="s">
        <v>1824</v>
      </c>
    </row>
    <row r="53" spans="1:1" ht="20.100000000000001" customHeight="1">
      <c r="A53" s="65" t="s">
        <v>2057</v>
      </c>
    </row>
    <row r="54" spans="1:1" ht="20.100000000000001" customHeight="1">
      <c r="A54" s="64" t="s">
        <v>699</v>
      </c>
    </row>
    <row r="55" spans="1:1" ht="20.100000000000001" customHeight="1">
      <c r="A55" s="65" t="s">
        <v>1467</v>
      </c>
    </row>
    <row r="56" spans="1:1" ht="20.100000000000001" customHeight="1">
      <c r="A56" s="65" t="s">
        <v>1998</v>
      </c>
    </row>
    <row r="57" spans="1:1" ht="20.100000000000001" customHeight="1">
      <c r="A57" s="65" t="s">
        <v>1693</v>
      </c>
    </row>
    <row r="58" spans="1:1" ht="20.100000000000001" customHeight="1">
      <c r="A58" s="65" t="s">
        <v>1447</v>
      </c>
    </row>
    <row r="59" spans="1:1" ht="20.100000000000001" customHeight="1">
      <c r="A59" s="65" t="s">
        <v>1498</v>
      </c>
    </row>
    <row r="60" spans="1:1" ht="20.100000000000001" customHeight="1">
      <c r="A60" s="65" t="s">
        <v>1437</v>
      </c>
    </row>
    <row r="61" spans="1:1" ht="20.100000000000001" customHeight="1">
      <c r="A61" s="65" t="s">
        <v>1571</v>
      </c>
    </row>
    <row r="62" spans="1:1" ht="20.100000000000001" customHeight="1">
      <c r="A62" s="65" t="s">
        <v>1347</v>
      </c>
    </row>
    <row r="63" spans="1:1" ht="20.100000000000001" customHeight="1">
      <c r="A63" s="64" t="s">
        <v>700</v>
      </c>
    </row>
    <row r="64" spans="1:1" ht="20.100000000000001" customHeight="1">
      <c r="A64" s="65" t="s">
        <v>2036</v>
      </c>
    </row>
    <row r="65" spans="1:1" ht="20.100000000000001" customHeight="1">
      <c r="A65" s="64" t="s">
        <v>701</v>
      </c>
    </row>
    <row r="66" spans="1:1" ht="20.100000000000001" customHeight="1">
      <c r="A66" s="65" t="s">
        <v>2004</v>
      </c>
    </row>
    <row r="67" spans="1:1" ht="20.100000000000001" customHeight="1">
      <c r="A67" s="65" t="s">
        <v>1307</v>
      </c>
    </row>
    <row r="68" spans="1:1" ht="20.100000000000001" customHeight="1">
      <c r="A68" s="64" t="s">
        <v>782</v>
      </c>
    </row>
    <row r="69" spans="1:1" ht="20.100000000000001" customHeight="1">
      <c r="A69" s="65" t="s">
        <v>1887</v>
      </c>
    </row>
    <row r="70" spans="1:1" ht="20.100000000000001" customHeight="1">
      <c r="A70" s="65" t="s">
        <v>1527</v>
      </c>
    </row>
    <row r="71" spans="1:1" ht="20.100000000000001" customHeight="1">
      <c r="A71" s="65" t="s">
        <v>1438</v>
      </c>
    </row>
    <row r="72" spans="1:1" ht="20.100000000000001" customHeight="1">
      <c r="A72" s="65" t="s">
        <v>1148</v>
      </c>
    </row>
    <row r="73" spans="1:1" ht="20.100000000000001" customHeight="1">
      <c r="A73" s="65" t="s">
        <v>1991</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1285</v>
      </c>
    </row>
    <row r="79" spans="1:1" ht="20.100000000000001" customHeight="1">
      <c r="A79" s="64" t="s">
        <v>314</v>
      </c>
    </row>
    <row r="80" spans="1:1" ht="20.100000000000001" customHeight="1">
      <c r="A80" s="65" t="s">
        <v>1711</v>
      </c>
    </row>
    <row r="81" spans="1:1" ht="20.100000000000001" customHeight="1">
      <c r="A81" s="42" t="s">
        <v>1763</v>
      </c>
    </row>
    <row r="82" spans="1:1" ht="20.100000000000001" customHeight="1">
      <c r="A82" s="65" t="s">
        <v>1647</v>
      </c>
    </row>
    <row r="83" spans="1:1" ht="20.100000000000001" customHeight="1">
      <c r="A83" s="65" t="s">
        <v>1386</v>
      </c>
    </row>
    <row r="84" spans="1:1" ht="20.100000000000001" customHeight="1">
      <c r="A84" s="65" t="s">
        <v>2104</v>
      </c>
    </row>
    <row r="85" spans="1:1" ht="20.100000000000001" customHeight="1">
      <c r="A85" s="65" t="s">
        <v>893</v>
      </c>
    </row>
    <row r="86" spans="1:1" ht="20.100000000000001" customHeight="1">
      <c r="A86" s="65" t="s">
        <v>1434</v>
      </c>
    </row>
    <row r="87" spans="1:1" ht="20.100000000000001" customHeight="1">
      <c r="A87" s="65" t="s">
        <v>1288</v>
      </c>
    </row>
    <row r="88" spans="1:1" ht="20.100000000000001" customHeight="1">
      <c r="A88" s="64" t="s">
        <v>702</v>
      </c>
    </row>
    <row r="89" spans="1:1" ht="20.100000000000001" customHeight="1">
      <c r="A89" s="65" t="s">
        <v>1028</v>
      </c>
    </row>
    <row r="90" spans="1:1" ht="20.100000000000001" customHeight="1">
      <c r="A90" s="200" t="s">
        <v>2032</v>
      </c>
    </row>
    <row r="91" spans="1:1" ht="20.100000000000001" customHeight="1">
      <c r="A91" s="65" t="s">
        <v>1648</v>
      </c>
    </row>
    <row r="92" spans="1:1" ht="20.100000000000001" customHeight="1">
      <c r="A92" s="66" t="s">
        <v>703</v>
      </c>
    </row>
    <row r="93" spans="1:1" ht="20.100000000000001" customHeight="1">
      <c r="A93" s="65" t="s">
        <v>1308</v>
      </c>
    </row>
    <row r="94" spans="1:1" ht="20.100000000000001" customHeight="1">
      <c r="A94" s="65" t="s">
        <v>1286</v>
      </c>
    </row>
    <row r="95" spans="1:1">
      <c r="A95" s="65" t="s">
        <v>1349</v>
      </c>
    </row>
    <row r="96" spans="1:1">
      <c r="A96" s="65" t="s">
        <v>2023</v>
      </c>
    </row>
    <row r="97" spans="1:1">
      <c r="A97" s="64" t="s">
        <v>704</v>
      </c>
    </row>
    <row r="98" spans="1:1">
      <c r="A98" s="65" t="s">
        <v>1328</v>
      </c>
    </row>
    <row r="99" spans="1:1">
      <c r="A99" s="65" t="s">
        <v>1294</v>
      </c>
    </row>
    <row r="100" spans="1:1">
      <c r="A100" s="65" t="s">
        <v>1583</v>
      </c>
    </row>
    <row r="101" spans="1:1">
      <c r="A101" s="42" t="s">
        <v>1558</v>
      </c>
    </row>
    <row r="102" spans="1:1">
      <c r="A102" s="64" t="s">
        <v>705</v>
      </c>
    </row>
    <row r="103" spans="1:1">
      <c r="A103" s="66" t="s">
        <v>337</v>
      </c>
    </row>
    <row r="104" spans="1:1">
      <c r="A104" s="65" t="s">
        <v>1579</v>
      </c>
    </row>
    <row r="105" spans="1:1">
      <c r="A105" s="64" t="s">
        <v>706</v>
      </c>
    </row>
    <row r="106" spans="1:1">
      <c r="A106" s="42" t="s">
        <v>2143</v>
      </c>
    </row>
    <row r="107" spans="1:1">
      <c r="A107" s="65" t="s">
        <v>2208</v>
      </c>
    </row>
    <row r="108" spans="1:1">
      <c r="A108" s="65" t="s">
        <v>2239</v>
      </c>
    </row>
    <row r="109" spans="1:1">
      <c r="A109" s="65" t="s">
        <v>2255</v>
      </c>
    </row>
    <row r="110" spans="1:1">
      <c r="A110" s="65" t="s">
        <v>2261</v>
      </c>
    </row>
    <row r="111" spans="1:1">
      <c r="A111" s="65" t="s">
        <v>2266</v>
      </c>
    </row>
    <row r="112" spans="1:1">
      <c r="A112" s="65" t="s">
        <v>2269</v>
      </c>
    </row>
    <row r="113" spans="1:1">
      <c r="A113" s="65" t="s">
        <v>2285</v>
      </c>
    </row>
    <row r="114" spans="1:1">
      <c r="A114" s="65" t="s">
        <v>2287</v>
      </c>
    </row>
    <row r="115" spans="1:1">
      <c r="A115" s="65" t="s">
        <v>2315</v>
      </c>
    </row>
    <row r="116" spans="1:1">
      <c r="A116" s="65" t="s">
        <v>2318</v>
      </c>
    </row>
    <row r="117" spans="1:1">
      <c r="A117" s="65" t="s">
        <v>2325</v>
      </c>
    </row>
    <row r="118" spans="1:1">
      <c r="A118" s="42" t="s">
        <v>2371</v>
      </c>
    </row>
    <row r="119" spans="1:1">
      <c r="A119" s="65" t="s">
        <v>2373</v>
      </c>
    </row>
    <row r="120" spans="1:1">
      <c r="A120" s="65" t="s">
        <v>2388</v>
      </c>
    </row>
    <row r="121" spans="1:1">
      <c r="A121" s="65" t="s">
        <v>2431</v>
      </c>
    </row>
    <row r="122" spans="1:1">
      <c r="A122" s="65" t="s">
        <v>2486</v>
      </c>
    </row>
    <row r="123" spans="1:1">
      <c r="A123" s="65" t="s">
        <v>2569</v>
      </c>
    </row>
    <row r="124" spans="1:1">
      <c r="A124" s="65" t="s">
        <v>2599</v>
      </c>
    </row>
    <row r="125" spans="1:1">
      <c r="A125" s="65" t="s">
        <v>2650</v>
      </c>
    </row>
    <row r="126" spans="1:1">
      <c r="A126" s="65" t="s">
        <v>2666</v>
      </c>
    </row>
    <row r="127" spans="1:1">
      <c r="A127" s="65" t="s">
        <v>2668</v>
      </c>
    </row>
    <row r="128" spans="1:1">
      <c r="A128" s="65" t="s">
        <v>2695</v>
      </c>
    </row>
    <row r="129" spans="1:1">
      <c r="A129" s="65" t="s">
        <v>2702</v>
      </c>
    </row>
    <row r="130" spans="1:1">
      <c r="A130" s="65" t="s">
        <v>2703</v>
      </c>
    </row>
    <row r="131" spans="1:1">
      <c r="A131" s="65" t="s">
        <v>2704</v>
      </c>
    </row>
    <row r="132" spans="1:1">
      <c r="A132" s="65" t="s">
        <v>2735</v>
      </c>
    </row>
    <row r="133" spans="1:1">
      <c r="A133" s="65" t="s">
        <v>2736</v>
      </c>
    </row>
    <row r="134" spans="1:1">
      <c r="A134" s="65" t="s">
        <v>2759</v>
      </c>
    </row>
    <row r="135" spans="1:1">
      <c r="A135" s="65" t="s">
        <v>2769</v>
      </c>
    </row>
    <row r="136" spans="1:1">
      <c r="A136" s="65" t="s">
        <v>2778</v>
      </c>
    </row>
    <row r="137" spans="1:1">
      <c r="A137" s="65" t="s">
        <v>2829</v>
      </c>
    </row>
    <row r="138" spans="1:1">
      <c r="A138" s="65" t="s">
        <v>2887</v>
      </c>
    </row>
    <row r="139" spans="1:1">
      <c r="A139" s="65" t="s">
        <v>2935</v>
      </c>
    </row>
    <row r="140" spans="1:1">
      <c r="A140" s="65" t="s">
        <v>2968</v>
      </c>
    </row>
    <row r="141" spans="1:1">
      <c r="A141" s="65" t="s">
        <v>2992</v>
      </c>
    </row>
    <row r="142" spans="1:1">
      <c r="A142" s="65" t="s">
        <v>3009</v>
      </c>
    </row>
    <row r="143" spans="1:1">
      <c r="A143" s="65" t="s">
        <v>3020</v>
      </c>
    </row>
    <row r="144" spans="1:1">
      <c r="A144" s="65" t="s">
        <v>3024</v>
      </c>
    </row>
    <row r="145" spans="1:1">
      <c r="A145" s="65" t="s">
        <v>3034</v>
      </c>
    </row>
    <row r="146" spans="1:1">
      <c r="A146" s="65" t="s">
        <v>3035</v>
      </c>
    </row>
    <row r="147" spans="1:1">
      <c r="A147" s="42" t="s">
        <v>3065</v>
      </c>
    </row>
    <row r="148" spans="1:1">
      <c r="A148" s="65" t="s">
        <v>3104</v>
      </c>
    </row>
    <row r="149" spans="1:1">
      <c r="A149" s="65" t="s">
        <v>3220</v>
      </c>
    </row>
    <row r="150" spans="1:1">
      <c r="A150" s="65" t="s">
        <v>3222</v>
      </c>
    </row>
    <row r="151" spans="1:1">
      <c r="A151" s="65" t="s">
        <v>3253</v>
      </c>
    </row>
    <row r="152" spans="1:1">
      <c r="A152" s="65" t="s">
        <v>3337</v>
      </c>
    </row>
    <row r="153" spans="1:1">
      <c r="A153" s="65" t="s">
        <v>3345</v>
      </c>
    </row>
    <row r="154" spans="1:1">
      <c r="A154" s="42" t="s">
        <v>3372</v>
      </c>
    </row>
    <row r="155" spans="1:1">
      <c r="A155" s="65" t="s">
        <v>3398</v>
      </c>
    </row>
    <row r="156" spans="1:1">
      <c r="A156" s="65" t="s">
        <v>3436</v>
      </c>
    </row>
    <row r="157" spans="1:1">
      <c r="A157" s="65" t="s">
        <v>3439</v>
      </c>
    </row>
    <row r="158" spans="1:1">
      <c r="A158" s="65" t="s">
        <v>3449</v>
      </c>
    </row>
    <row r="159" spans="1:1">
      <c r="A159" s="65" t="s">
        <v>3473</v>
      </c>
    </row>
    <row r="160" spans="1:1">
      <c r="A160" s="65" t="s">
        <v>3504</v>
      </c>
    </row>
    <row r="161" spans="1:1">
      <c r="A161" s="65" t="s">
        <v>3518</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1512</v>
      </c>
      <c r="B16" s="61" t="s">
        <v>100</v>
      </c>
    </row>
    <row r="17" spans="1:2">
      <c r="A17" s="61" t="s">
        <v>1902</v>
      </c>
      <c r="B17" s="61" t="s">
        <v>1902</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26"/>
  <sheetViews>
    <sheetView topLeftCell="A19" zoomScale="85" zoomScaleNormal="85" workbookViewId="0">
      <selection activeCell="G25" sqref="G25"/>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1442</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1443</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1405</v>
      </c>
      <c r="B13" s="36" t="s">
        <v>1406</v>
      </c>
      <c r="C13" s="30">
        <v>3</v>
      </c>
      <c r="D13" s="33" t="s">
        <v>283</v>
      </c>
      <c r="E13" s="31">
        <v>45112</v>
      </c>
      <c r="F13" s="34" t="s">
        <v>1086</v>
      </c>
      <c r="G13" s="34" t="s">
        <v>1222</v>
      </c>
      <c r="H13" s="33">
        <v>1</v>
      </c>
      <c r="I13" s="33" t="s">
        <v>797</v>
      </c>
      <c r="J13" s="33" t="s">
        <v>694</v>
      </c>
      <c r="K13" s="33" t="s">
        <v>1547</v>
      </c>
      <c r="L13" s="117"/>
      <c r="M13" s="117"/>
      <c r="N13" s="117"/>
      <c r="O13" s="117"/>
      <c r="P13" s="117"/>
      <c r="Q13" s="118"/>
      <c r="R13" s="118"/>
      <c r="S13" s="119"/>
      <c r="T13" s="119"/>
      <c r="U13" s="119"/>
      <c r="V13" s="119"/>
      <c r="W13" s="120"/>
      <c r="X13" s="120"/>
      <c r="Y13" s="120"/>
    </row>
    <row r="14" spans="1:37" s="102" customFormat="1" ht="39.950000000000003" customHeight="1">
      <c r="A14" s="81" t="s">
        <v>1943</v>
      </c>
      <c r="B14" s="212" t="s">
        <v>1939</v>
      </c>
      <c r="C14" s="90">
        <v>4</v>
      </c>
      <c r="D14" s="90" t="s">
        <v>583</v>
      </c>
      <c r="E14" s="213"/>
      <c r="F14" s="213"/>
      <c r="G14" s="213"/>
      <c r="H14" s="81" t="s">
        <v>1987</v>
      </c>
      <c r="I14" s="81" t="s">
        <v>800</v>
      </c>
      <c r="J14" s="81"/>
      <c r="K14" s="90"/>
      <c r="L14" s="209"/>
      <c r="M14" s="209"/>
      <c r="N14" s="209"/>
      <c r="O14" s="209"/>
      <c r="P14" s="209"/>
      <c r="Q14" s="210"/>
      <c r="R14" s="210"/>
      <c r="S14" s="211"/>
      <c r="T14" s="211"/>
      <c r="U14" s="211"/>
      <c r="V14" s="211"/>
      <c r="W14" s="211"/>
      <c r="X14" s="211"/>
      <c r="Y14" s="211"/>
      <c r="Z14" s="211"/>
      <c r="AA14" s="211"/>
      <c r="AB14" s="211"/>
      <c r="AC14" s="211"/>
      <c r="AD14" s="211"/>
      <c r="AE14" s="211"/>
    </row>
    <row r="15" spans="1:37" s="102" customFormat="1" ht="39.950000000000003" customHeight="1">
      <c r="A15" s="81" t="s">
        <v>2011</v>
      </c>
      <c r="B15" s="212" t="s">
        <v>2067</v>
      </c>
      <c r="C15" s="90">
        <v>4</v>
      </c>
      <c r="D15" s="90" t="s">
        <v>583</v>
      </c>
      <c r="E15" s="213"/>
      <c r="F15" s="213"/>
      <c r="G15" s="213"/>
      <c r="H15" s="81"/>
      <c r="I15" s="81" t="s">
        <v>798</v>
      </c>
      <c r="J15" s="81"/>
      <c r="K15" s="90" t="s">
        <v>2108</v>
      </c>
      <c r="L15" s="209"/>
      <c r="M15" s="209"/>
      <c r="N15" s="209"/>
      <c r="O15" s="209"/>
      <c r="P15" s="209"/>
      <c r="Q15" s="210"/>
      <c r="R15" s="210"/>
      <c r="S15" s="211"/>
      <c r="T15" s="211"/>
      <c r="U15" s="211"/>
      <c r="V15" s="211"/>
      <c r="W15" s="211"/>
      <c r="X15" s="211"/>
      <c r="Y15" s="211"/>
      <c r="Z15" s="211"/>
      <c r="AA15" s="211"/>
      <c r="AB15" s="211"/>
      <c r="AC15" s="211"/>
      <c r="AD15" s="211"/>
      <c r="AE15" s="211"/>
    </row>
    <row r="16" spans="1:37" s="102" customFormat="1" ht="39.950000000000003" customHeight="1">
      <c r="A16" s="81" t="s">
        <v>2005</v>
      </c>
      <c r="B16" s="212" t="s">
        <v>2006</v>
      </c>
      <c r="C16" s="90">
        <v>4</v>
      </c>
      <c r="D16" s="90" t="s">
        <v>583</v>
      </c>
      <c r="E16" s="213"/>
      <c r="F16" s="213"/>
      <c r="G16" s="213"/>
      <c r="H16" s="90" t="str">
        <f>IFERROR(VLOOKUP(G16,Jueces!$A$1:$B$11,2,FALSE),"")</f>
        <v/>
      </c>
      <c r="I16" s="81" t="s">
        <v>798</v>
      </c>
      <c r="J16" s="81"/>
      <c r="K16" s="81" t="s">
        <v>2109</v>
      </c>
      <c r="L16" s="209"/>
      <c r="M16" s="209"/>
      <c r="N16" s="209"/>
      <c r="O16" s="209"/>
      <c r="P16" s="209"/>
      <c r="Q16" s="210"/>
      <c r="R16" s="210"/>
      <c r="S16" s="211"/>
      <c r="T16" s="211"/>
      <c r="U16" s="211"/>
      <c r="V16" s="211"/>
      <c r="W16" s="211"/>
      <c r="X16" s="211"/>
      <c r="Y16" s="211"/>
      <c r="Z16" s="211"/>
      <c r="AA16" s="211"/>
      <c r="AB16" s="211"/>
      <c r="AC16" s="211"/>
      <c r="AD16" s="211"/>
      <c r="AE16" s="211"/>
      <c r="AF16" s="211"/>
      <c r="AG16" s="211"/>
      <c r="AH16" s="211"/>
      <c r="AI16" s="211"/>
      <c r="AJ16" s="211"/>
      <c r="AK16" s="211"/>
    </row>
    <row r="17" spans="1:50" ht="39.950000000000003" customHeight="1">
      <c r="A17" s="81" t="s">
        <v>2007</v>
      </c>
      <c r="B17" s="212" t="s">
        <v>2008</v>
      </c>
      <c r="C17" s="90">
        <v>4</v>
      </c>
      <c r="D17" s="90" t="s">
        <v>283</v>
      </c>
      <c r="E17" s="213">
        <v>45146</v>
      </c>
      <c r="F17" s="247" t="s">
        <v>73</v>
      </c>
      <c r="G17" s="213" t="s">
        <v>1222</v>
      </c>
      <c r="H17" s="81" t="s">
        <v>1346</v>
      </c>
      <c r="I17" s="81" t="s">
        <v>802</v>
      </c>
      <c r="J17" s="97"/>
      <c r="K17" s="262" t="s">
        <v>2140</v>
      </c>
      <c r="L17" s="115"/>
      <c r="M17" s="209"/>
      <c r="N17" s="211"/>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3" t="s">
        <v>2112</v>
      </c>
      <c r="B18" s="264" t="s">
        <v>2113</v>
      </c>
      <c r="C18" s="265">
        <v>1</v>
      </c>
      <c r="D18" s="265"/>
      <c r="E18" s="266"/>
      <c r="F18" s="266"/>
      <c r="G18" s="266"/>
      <c r="H18" s="265" t="str">
        <f>IFERROR(VLOOKUP(G18,Jueces!$A$1:$B$11,2,FALSE),"")</f>
        <v/>
      </c>
      <c r="I18" s="263" t="s">
        <v>192</v>
      </c>
      <c r="J18" s="263"/>
      <c r="K18" s="263"/>
      <c r="L18" s="117"/>
      <c r="M18" s="117"/>
      <c r="N18" s="117"/>
      <c r="O18" s="117"/>
      <c r="P18" s="117"/>
      <c r="Q18" s="118"/>
      <c r="R18" s="118"/>
      <c r="S18" s="119"/>
      <c r="T18" s="119"/>
      <c r="U18" s="119"/>
      <c r="V18" s="119"/>
      <c r="W18" s="260"/>
      <c r="X18" s="260"/>
      <c r="Y18" s="120"/>
      <c r="Z18" s="119"/>
      <c r="AA18" s="119"/>
      <c r="AB18" s="119"/>
      <c r="AC18" s="119"/>
      <c r="AD18" s="119"/>
      <c r="AE18" s="119"/>
      <c r="AF18" s="119"/>
      <c r="AG18" s="119"/>
    </row>
    <row r="19" spans="1:50" s="102" customFormat="1" ht="39.950000000000003" customHeight="1">
      <c r="A19" s="81" t="s">
        <v>1930</v>
      </c>
      <c r="B19" s="212" t="s">
        <v>2509</v>
      </c>
      <c r="C19" s="90">
        <v>4</v>
      </c>
      <c r="D19" s="90"/>
      <c r="E19" s="213"/>
      <c r="F19" s="213"/>
      <c r="G19" s="213"/>
      <c r="H19" s="90" t="str">
        <f>IFERROR(VLOOKUP(G19,Jueces!$A$1:$B$11,2,FALSE),"")</f>
        <v/>
      </c>
      <c r="I19" s="81" t="s">
        <v>811</v>
      </c>
      <c r="J19" s="81" t="s">
        <v>695</v>
      </c>
      <c r="K19" s="81" t="s">
        <v>2514</v>
      </c>
      <c r="L19" s="209"/>
      <c r="M19" s="209"/>
      <c r="N19" s="209"/>
      <c r="O19" s="209"/>
      <c r="P19" s="209"/>
      <c r="Q19" s="210"/>
      <c r="R19" s="210"/>
      <c r="S19" s="211"/>
      <c r="T19" s="211"/>
      <c r="U19" s="211"/>
      <c r="V19" s="211"/>
      <c r="W19" s="211"/>
      <c r="X19" s="261"/>
      <c r="Y19" s="261"/>
      <c r="Z19" s="211"/>
      <c r="AA19" s="211"/>
      <c r="AB19" s="211"/>
      <c r="AC19" s="211"/>
      <c r="AD19" s="211"/>
      <c r="AE19" s="211"/>
      <c r="AF19" s="211"/>
      <c r="AG19" s="211"/>
      <c r="AH19" s="211"/>
      <c r="AI19" s="211"/>
      <c r="AJ19" s="211"/>
      <c r="AK19" s="211"/>
      <c r="AL19" s="211"/>
      <c r="AM19" s="211"/>
      <c r="AN19" s="211"/>
      <c r="AO19" s="211"/>
      <c r="AP19" s="211"/>
      <c r="AQ19" s="211"/>
      <c r="AR19" s="211"/>
      <c r="AS19" s="211"/>
      <c r="AT19" s="211"/>
      <c r="AU19" s="211"/>
      <c r="AV19" s="211"/>
      <c r="AW19" s="211"/>
      <c r="AX19" s="211"/>
    </row>
    <row r="20" spans="1:50" s="1" customFormat="1" ht="39.950000000000003" customHeight="1">
      <c r="A20" s="83" t="s">
        <v>2691</v>
      </c>
      <c r="B20" s="84" t="s">
        <v>2730</v>
      </c>
      <c r="C20" s="80">
        <v>8</v>
      </c>
      <c r="D20" s="80" t="s">
        <v>43</v>
      </c>
      <c r="E20" s="82">
        <v>45191</v>
      </c>
      <c r="F20" s="85" t="s">
        <v>73</v>
      </c>
      <c r="G20" s="82" t="s">
        <v>33</v>
      </c>
      <c r="H20" s="80">
        <f>IFERROR(VLOOKUP(G20,Jueces!$A$1:$B$11,2,FALSE),"")</f>
        <v>4</v>
      </c>
      <c r="I20" s="83" t="s">
        <v>789</v>
      </c>
      <c r="J20" s="83" t="s">
        <v>887</v>
      </c>
      <c r="K20" s="83" t="s">
        <v>2758</v>
      </c>
      <c r="L20" s="115"/>
      <c r="M20" s="115"/>
      <c r="N20" s="115"/>
      <c r="O20" s="115"/>
      <c r="P20" s="115"/>
      <c r="Q20" s="115"/>
      <c r="R20" s="115"/>
      <c r="S20" s="115"/>
      <c r="T20" s="115"/>
      <c r="U20" s="115"/>
      <c r="V20" s="115"/>
      <c r="W20" s="115"/>
      <c r="X20" s="115"/>
      <c r="Y20" s="115"/>
    </row>
    <row r="21" spans="1:50" s="1" customFormat="1" ht="39.950000000000003" customHeight="1">
      <c r="A21" s="90" t="s">
        <v>2855</v>
      </c>
      <c r="B21" s="281" t="s">
        <v>2856</v>
      </c>
      <c r="C21" s="90">
        <v>3</v>
      </c>
      <c r="D21" s="90"/>
      <c r="E21" s="213"/>
      <c r="F21" s="213"/>
      <c r="G21" s="213"/>
      <c r="H21" s="90" t="str">
        <f>IFERROR(VLOOKUP(G21,Jueces!$A$1:$B$11,2,FALSE),"")</f>
        <v/>
      </c>
      <c r="I21" s="81" t="s">
        <v>192</v>
      </c>
      <c r="J21" s="81"/>
      <c r="K21" s="81" t="s">
        <v>2873</v>
      </c>
      <c r="L21" s="115"/>
      <c r="M21" s="115"/>
      <c r="N21" s="115"/>
      <c r="O21" s="115"/>
      <c r="P21" s="115"/>
      <c r="Q21" s="115"/>
      <c r="R21" s="115"/>
      <c r="S21" s="115"/>
      <c r="T21" s="115"/>
      <c r="U21" s="115"/>
      <c r="V21" s="115"/>
      <c r="W21" s="115"/>
      <c r="X21" s="115"/>
      <c r="Y21" s="115"/>
      <c r="Z21" s="115"/>
      <c r="AA21" s="115"/>
    </row>
    <row r="22" spans="1:50" ht="63.75">
      <c r="A22" s="362" t="s">
        <v>3005</v>
      </c>
      <c r="B22" s="363" t="s">
        <v>3006</v>
      </c>
      <c r="C22" s="362">
        <v>1</v>
      </c>
      <c r="D22" s="362" t="s">
        <v>29</v>
      </c>
      <c r="E22" s="364">
        <v>45211</v>
      </c>
      <c r="F22" s="364" t="s">
        <v>73</v>
      </c>
      <c r="G22" s="364" t="s">
        <v>33</v>
      </c>
      <c r="H22" s="362">
        <f>IFERROR(VLOOKUP(G22,Jueces!$A$1:$B$11,2,FALSE),"")</f>
        <v>4</v>
      </c>
      <c r="I22" s="362" t="s">
        <v>793</v>
      </c>
      <c r="J22" s="362" t="s">
        <v>711</v>
      </c>
      <c r="K22" s="362" t="s">
        <v>3197</v>
      </c>
      <c r="Z22" s="115"/>
      <c r="AA22" s="115"/>
      <c r="AB22" s="115"/>
      <c r="AC22" s="115"/>
      <c r="AD22" s="115"/>
      <c r="AE22" s="115"/>
      <c r="AF22" s="115"/>
      <c r="AG22" s="115"/>
    </row>
    <row r="23" spans="1:50" ht="89.25">
      <c r="A23" s="362" t="s">
        <v>3040</v>
      </c>
      <c r="B23" s="363" t="s">
        <v>3041</v>
      </c>
      <c r="C23" s="362">
        <v>8</v>
      </c>
      <c r="D23" s="362" t="s">
        <v>2776</v>
      </c>
      <c r="E23" s="364">
        <v>45205</v>
      </c>
      <c r="F23" s="364" t="s">
        <v>73</v>
      </c>
      <c r="G23" s="364" t="s">
        <v>1220</v>
      </c>
      <c r="H23" s="362">
        <f>IFERROR(VLOOKUP(G23,Jueces!$A$1:$B$11,2,FALSE),"")</f>
        <v>1</v>
      </c>
      <c r="I23" s="362" t="s">
        <v>796</v>
      </c>
      <c r="J23" s="362" t="s">
        <v>1087</v>
      </c>
      <c r="K23" s="362" t="s">
        <v>3251</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3305</v>
      </c>
      <c r="B24" s="84" t="s">
        <v>3306</v>
      </c>
      <c r="C24" s="83">
        <v>1</v>
      </c>
      <c r="D24" s="83" t="s">
        <v>2775</v>
      </c>
      <c r="E24" s="85">
        <v>45222</v>
      </c>
      <c r="F24" s="85" t="s">
        <v>1086</v>
      </c>
      <c r="G24" s="85" t="s">
        <v>33</v>
      </c>
      <c r="H24" s="83">
        <f>IFERROR(VLOOKUP(G24,Jueces!$A$1:$B$11,2,FALSE),"")</f>
        <v>4</v>
      </c>
      <c r="I24" s="83" t="s">
        <v>791</v>
      </c>
      <c r="J24" s="83" t="s">
        <v>3337</v>
      </c>
      <c r="K24" s="83" t="s">
        <v>3486</v>
      </c>
      <c r="Z24" s="1"/>
      <c r="AA24" s="1"/>
    </row>
    <row r="25" spans="1:50" s="1" customFormat="1" ht="39.950000000000003" customHeight="1">
      <c r="A25" s="83" t="s">
        <v>2840</v>
      </c>
      <c r="B25" s="84" t="s">
        <v>2926</v>
      </c>
      <c r="C25" s="83">
        <v>1</v>
      </c>
      <c r="D25" s="83"/>
      <c r="E25" s="85"/>
      <c r="F25" s="85"/>
      <c r="G25" s="85"/>
      <c r="H25" s="83" t="str">
        <f>IFERROR(VLOOKUP(G25,Jueces!$A$1:$B$11,2,FALSE),"")</f>
        <v/>
      </c>
      <c r="I25" s="83" t="s">
        <v>813</v>
      </c>
      <c r="J25" s="83" t="s">
        <v>711</v>
      </c>
      <c r="K25" s="83" t="s">
        <v>3607</v>
      </c>
    </row>
    <row r="26" spans="1:50" ht="76.5">
      <c r="A26" s="83" t="s">
        <v>2911</v>
      </c>
      <c r="B26" s="84" t="s">
        <v>2912</v>
      </c>
      <c r="C26" s="83">
        <v>8</v>
      </c>
      <c r="D26" s="83" t="s">
        <v>2774</v>
      </c>
      <c r="E26" s="85"/>
      <c r="F26" s="85"/>
      <c r="G26" s="85" t="s">
        <v>2955</v>
      </c>
      <c r="H26" s="83" t="s">
        <v>1926</v>
      </c>
      <c r="I26" s="83" t="s">
        <v>793</v>
      </c>
      <c r="J26" s="83" t="s">
        <v>2122</v>
      </c>
      <c r="K26" s="83" t="s">
        <v>3202</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8">
    <dataValidation type="list" allowBlank="1" showInputMessage="1" showErrorMessage="1" sqref="J18:J26">
      <formula1>defensores!$A$1:$A$164</formula1>
    </dataValidation>
    <dataValidation type="list" allowBlank="1" showInputMessage="1" showErrorMessage="1" sqref="I18:I26">
      <formula1>'fiscalias penales'!$A$1:$A$150</formula1>
    </dataValidation>
    <dataValidation type="list" allowBlank="1" showInputMessage="1" showErrorMessage="1" sqref="G22:G26">
      <formula1>Jueces!$A$1:$A$20</formula1>
    </dataValidation>
    <dataValidation type="list" allowBlank="1" showInputMessage="1" showErrorMessage="1" sqref="D24:D26">
      <formula1>Internos!$A$1:$A$17</formula1>
    </dataValidation>
    <dataValidation type="list" allowBlank="1" showInputMessage="1" showErrorMessage="1" sqref="G14:G21">
      <formula1>Jueces!$A$1:$A$14</formula1>
    </dataValidation>
    <dataValidation type="list" allowBlank="1" showInputMessage="1" showErrorMessage="1" sqref="D21:D23">
      <formula1>Internos!$A$1:$A$15</formula1>
    </dataValidation>
    <dataValidation type="list" allowBlank="1" showInputMessage="1" showErrorMessage="1" sqref="D17:D20">
      <formula1>Internos!$A$1:$A$13</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Jueces!$A$1:$A$13</formula1>
    </dataValidation>
    <dataValidation type="list" allowBlank="1" showInputMessage="1" showErrorMessage="1" sqref="J13">
      <formula1>defensores!$A$1:$A$84</formula1>
    </dataValidation>
    <dataValidation type="list" allowBlank="1" showInputMessage="1" showErrorMessage="1" sqref="D13">
      <formula1>Internos!$A$1:$A$11</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09" t="s">
        <v>732</v>
      </c>
      <c r="I1" s="409"/>
      <c r="J1" s="409"/>
      <c r="K1" s="409"/>
      <c r="L1" s="409"/>
      <c r="M1" s="409"/>
      <c r="N1" s="409"/>
      <c r="O1" s="409"/>
      <c r="P1" s="409"/>
      <c r="Q1" s="409"/>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1140</v>
      </c>
    </row>
    <row r="2" spans="1:4" ht="30" customHeight="1">
      <c r="A2" s="71">
        <v>2</v>
      </c>
      <c r="B2" s="17" t="s">
        <v>1042</v>
      </c>
      <c r="C2" s="10">
        <f>MATCH(C1,B1:B5,0)</f>
        <v>5</v>
      </c>
      <c r="D2" s="10" t="s">
        <v>1254</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45224</v>
      </c>
    </row>
    <row r="2" spans="2:3" ht="24.95" customHeight="1">
      <c r="B2" s="408" t="s">
        <v>393</v>
      </c>
      <c r="C2" s="408"/>
    </row>
    <row r="3" spans="2:3" ht="24.95" customHeight="1">
      <c r="B3" s="13" t="s">
        <v>3</v>
      </c>
      <c r="C3" s="13" t="s">
        <v>362</v>
      </c>
    </row>
    <row r="4" spans="2:3" ht="24.95" customHeight="1">
      <c r="B4" s="11" t="s">
        <v>43</v>
      </c>
      <c r="C4" s="11">
        <f ca="1">COUNTIFS(EXPEDIENTES!G:G,B4,EXPEDIENTES!O:O,"NO")</f>
        <v>1</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7</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7</v>
      </c>
    </row>
    <row r="11" spans="2:3" ht="24.95" customHeight="1">
      <c r="B11" s="11" t="s">
        <v>628</v>
      </c>
      <c r="C11" s="11"/>
    </row>
    <row r="12" spans="2:3" ht="24.95" customHeight="1">
      <c r="B12" s="25" t="s">
        <v>372</v>
      </c>
      <c r="C12" s="28">
        <f ca="1">SUM(C4:C11)</f>
        <v>15</v>
      </c>
    </row>
    <row r="13" spans="2:3" ht="24.95" customHeight="1">
      <c r="B13" s="14"/>
      <c r="C13" s="14"/>
    </row>
    <row r="14" spans="2:3" ht="24.95" customHeight="1">
      <c r="B14" s="408" t="s">
        <v>448</v>
      </c>
      <c r="C14" s="408"/>
    </row>
    <row r="15" spans="2:3" ht="24.95" customHeight="1">
      <c r="B15" s="13" t="s">
        <v>3</v>
      </c>
      <c r="C15" s="13" t="s">
        <v>362</v>
      </c>
    </row>
    <row r="16" spans="2:3" ht="24.95" customHeight="1">
      <c r="B16" s="11" t="s">
        <v>43</v>
      </c>
      <c r="C16" s="11">
        <f>COUNTIF(EXPEDIENTES!G:G,B16)</f>
        <v>103</v>
      </c>
    </row>
    <row r="17" spans="2:3" ht="24.95" customHeight="1">
      <c r="B17" s="11" t="s">
        <v>34</v>
      </c>
      <c r="C17" s="11">
        <f>COUNTIF(EXPEDIENTES!G:G,B17)</f>
        <v>34</v>
      </c>
    </row>
    <row r="18" spans="2:3" ht="24.95" customHeight="1">
      <c r="B18" s="11" t="s">
        <v>29</v>
      </c>
      <c r="C18" s="11">
        <f>COUNTIF(EXPEDIENTES!G:G,B18)</f>
        <v>89</v>
      </c>
    </row>
    <row r="19" spans="2:3" ht="24.95" customHeight="1">
      <c r="B19" s="11" t="s">
        <v>283</v>
      </c>
      <c r="C19" s="11">
        <f>COUNTIF(EXPEDIENTES!G:G,B19)</f>
        <v>106</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71</v>
      </c>
    </row>
    <row r="23" spans="2:3" ht="24.95" customHeight="1">
      <c r="B23" s="25" t="s">
        <v>370</v>
      </c>
      <c r="C23" s="28">
        <f>SUM(C16:C22)</f>
        <v>481</v>
      </c>
    </row>
    <row r="24" spans="2:3" ht="23.25" customHeight="1">
      <c r="B24" s="11" t="s">
        <v>450</v>
      </c>
      <c r="C24" s="11">
        <f>'no realizadas'!N10</f>
        <v>0</v>
      </c>
    </row>
    <row r="25" spans="2:3" ht="24.95" customHeight="1">
      <c r="B25" s="14"/>
      <c r="C25" s="14"/>
    </row>
    <row r="26" spans="2:3" ht="24.95" customHeight="1">
      <c r="B26" s="408" t="s">
        <v>449</v>
      </c>
      <c r="C26" s="408"/>
    </row>
    <row r="27" spans="2:3" ht="24.95" customHeight="1">
      <c r="B27" s="13" t="s">
        <v>3</v>
      </c>
      <c r="C27" s="13" t="s">
        <v>362</v>
      </c>
    </row>
    <row r="28" spans="2:3" ht="24.95" customHeight="1">
      <c r="B28" s="11" t="s">
        <v>43</v>
      </c>
      <c r="C28" s="11">
        <f ca="1">COUNTIFS(EXPEDIENTES!G:G,B28,EXPEDIENTES!O:O,"SI")</f>
        <v>102</v>
      </c>
    </row>
    <row r="29" spans="2:3" ht="24.95" customHeight="1">
      <c r="B29" s="11" t="s">
        <v>34</v>
      </c>
      <c r="C29" s="11">
        <f ca="1">COUNTIFS(EXPEDIENTES!G:G,B29,EXPEDIENTES!O:O,"SI")</f>
        <v>34</v>
      </c>
    </row>
    <row r="30" spans="2:3" ht="24.95" customHeight="1">
      <c r="B30" s="11" t="s">
        <v>29</v>
      </c>
      <c r="C30" s="11">
        <f ca="1">COUNTIFS(EXPEDIENTES!G:G,B30,EXPEDIENTES!O:O,"SI")</f>
        <v>89</v>
      </c>
    </row>
    <row r="31" spans="2:3" ht="24.95" customHeight="1">
      <c r="B31" s="11" t="s">
        <v>283</v>
      </c>
      <c r="C31" s="11">
        <f ca="1">COUNTIFS(EXPEDIENTES!G:G,B31,EXPEDIENTES!O:O,"SI")</f>
        <v>99</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64</v>
      </c>
    </row>
    <row r="35" spans="2:3" ht="24.95" customHeight="1">
      <c r="B35" s="25" t="s">
        <v>371</v>
      </c>
      <c r="C35" s="28">
        <f ca="1">SUM(C28:C34)</f>
        <v>466</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1257</v>
      </c>
      <c r="B1" s="99"/>
      <c r="C1" s="99"/>
      <c r="D1" s="98" t="s">
        <v>1258</v>
      </c>
      <c r="E1" s="99"/>
      <c r="F1" s="99"/>
      <c r="G1" s="98" t="s">
        <v>1259</v>
      </c>
      <c r="H1" s="99"/>
      <c r="I1" s="99"/>
    </row>
    <row r="2" spans="1:9">
      <c r="A2" s="51" t="s">
        <v>1041</v>
      </c>
      <c r="B2" s="100" t="s">
        <v>743</v>
      </c>
      <c r="C2" s="58" t="s">
        <v>1260</v>
      </c>
      <c r="D2" s="58" t="s">
        <v>1169</v>
      </c>
      <c r="E2" s="100" t="s">
        <v>1171</v>
      </c>
      <c r="F2" s="58" t="s">
        <v>1260</v>
      </c>
      <c r="G2" s="58" t="s">
        <v>1173</v>
      </c>
      <c r="H2" s="100" t="s">
        <v>1177</v>
      </c>
      <c r="I2" s="58" t="s">
        <v>1260</v>
      </c>
    </row>
    <row r="3" spans="1:9">
      <c r="A3" s="51" t="s">
        <v>1042</v>
      </c>
      <c r="B3" s="100">
        <f>MATCH(B2,A2:A6,0)+1</f>
        <v>5</v>
      </c>
      <c r="C3" s="58" t="s">
        <v>1261</v>
      </c>
      <c r="D3" s="58" t="s">
        <v>1171</v>
      </c>
      <c r="E3" s="101">
        <f>MATCH(E2,D2:D4,0)+1</f>
        <v>3</v>
      </c>
      <c r="F3" s="58" t="s">
        <v>1261</v>
      </c>
      <c r="G3" s="58" t="s">
        <v>1175</v>
      </c>
      <c r="H3" s="101">
        <f>MATCH(H2,G2:G6,0)+1</f>
        <v>4</v>
      </c>
      <c r="I3" s="58" t="s">
        <v>1261</v>
      </c>
    </row>
    <row r="4" spans="1:9">
      <c r="A4" s="51" t="s">
        <v>748</v>
      </c>
      <c r="B4" s="97"/>
      <c r="C4" s="97"/>
      <c r="D4" s="58" t="s">
        <v>743</v>
      </c>
      <c r="E4" s="97"/>
      <c r="F4" s="97"/>
      <c r="G4" s="58" t="s">
        <v>1177</v>
      </c>
      <c r="H4" s="97"/>
      <c r="I4" s="97"/>
    </row>
    <row r="5" spans="1:9">
      <c r="A5" s="51" t="s">
        <v>743</v>
      </c>
      <c r="B5" s="97"/>
      <c r="C5" s="97"/>
      <c r="D5" s="97"/>
      <c r="E5" s="97"/>
      <c r="F5" s="97"/>
      <c r="G5" s="58" t="s">
        <v>1176</v>
      </c>
      <c r="H5" s="97"/>
      <c r="I5" s="97"/>
    </row>
    <row r="6" spans="1:9">
      <c r="A6" s="51" t="s">
        <v>770</v>
      </c>
      <c r="B6" s="97"/>
      <c r="C6" s="97"/>
      <c r="D6" s="97"/>
      <c r="E6" s="97"/>
      <c r="F6" s="97"/>
      <c r="G6" s="58" t="s">
        <v>1174</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1173</v>
      </c>
      <c r="B1" s="10" t="s">
        <v>1175</v>
      </c>
      <c r="C1" s="10" t="s">
        <v>1255</v>
      </c>
    </row>
    <row r="2" spans="1:3">
      <c r="A2" s="10" t="s">
        <v>1175</v>
      </c>
      <c r="B2">
        <f>MATCH(B1,A1:A5,0)</f>
        <v>2</v>
      </c>
      <c r="C2" s="10" t="s">
        <v>1256</v>
      </c>
    </row>
    <row r="3" spans="1:3">
      <c r="A3" s="10" t="s">
        <v>1177</v>
      </c>
    </row>
    <row r="4" spans="1:3">
      <c r="A4" s="10" t="s">
        <v>1176</v>
      </c>
    </row>
    <row r="5" spans="1:3">
      <c r="A5" s="10" t="s">
        <v>1174</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1" customWidth="1"/>
    <col min="2" max="2" width="7.5703125" style="181" customWidth="1"/>
    <col min="3" max="3" width="15.7109375" style="178" customWidth="1"/>
    <col min="4" max="4" width="65.7109375" style="178" customWidth="1"/>
    <col min="5" max="5" width="10.7109375" style="178" bestFit="1" customWidth="1"/>
    <col min="6" max="6" width="12.42578125" style="178" bestFit="1" customWidth="1"/>
    <col min="7" max="7" width="12.28515625" style="178" bestFit="1" customWidth="1"/>
    <col min="8" max="8" width="11.7109375" style="178" bestFit="1" customWidth="1"/>
    <col min="9" max="9" width="17.5703125" style="178" bestFit="1" customWidth="1"/>
    <col min="10" max="10" width="12.42578125" style="178" bestFit="1" customWidth="1"/>
    <col min="11" max="12" width="35.7109375" style="178" customWidth="1"/>
    <col min="13" max="16384" width="11.42578125" style="178"/>
  </cols>
  <sheetData>
    <row r="1" spans="1:13" ht="38.25">
      <c r="A1" s="177" t="s">
        <v>1743</v>
      </c>
      <c r="B1" s="168" t="s">
        <v>1744</v>
      </c>
      <c r="C1" s="168" t="s">
        <v>1</v>
      </c>
      <c r="D1" s="168" t="s">
        <v>2</v>
      </c>
      <c r="E1" s="168" t="s">
        <v>662</v>
      </c>
      <c r="F1" s="168" t="s">
        <v>919</v>
      </c>
      <c r="G1" s="169" t="s">
        <v>0</v>
      </c>
      <c r="H1" s="168" t="s">
        <v>18</v>
      </c>
      <c r="I1" s="168" t="s">
        <v>30</v>
      </c>
      <c r="J1" s="168" t="s">
        <v>89</v>
      </c>
      <c r="K1" s="168" t="s">
        <v>79</v>
      </c>
      <c r="L1" s="168" t="s">
        <v>80</v>
      </c>
    </row>
    <row r="2" spans="1:13" ht="30" customHeight="1">
      <c r="A2" s="179" t="str">
        <f>CONCATENATE(TEXT($G2,"dd/mm/yyyy"),$B2)</f>
        <v>17/02/20231</v>
      </c>
      <c r="B2" s="170">
        <v>1</v>
      </c>
      <c r="C2" s="7" t="s">
        <v>101</v>
      </c>
      <c r="D2" s="41" t="s">
        <v>104</v>
      </c>
      <c r="E2" s="7">
        <v>3</v>
      </c>
      <c r="F2" s="7" t="s">
        <v>1441</v>
      </c>
      <c r="G2" s="19">
        <v>44974</v>
      </c>
      <c r="H2" s="7" t="s">
        <v>73</v>
      </c>
      <c r="I2" s="19" t="s">
        <v>33</v>
      </c>
      <c r="J2" s="7">
        <f>IFERROR(VLOOKUP(I2,Jueces!$A$1:$B$11,2,FALSE),"")</f>
        <v>4</v>
      </c>
      <c r="K2" s="7" t="s">
        <v>102</v>
      </c>
      <c r="L2" s="7" t="s">
        <v>103</v>
      </c>
      <c r="M2" s="171"/>
    </row>
    <row r="3" spans="1:13" ht="30" customHeight="1">
      <c r="A3" s="179" t="str">
        <f t="shared" ref="A3:A66" si="0">CONCATENATE(TEXT($G3,"dd/mm/yyyy"),$B3)</f>
        <v>27/02/20231</v>
      </c>
      <c r="B3" s="172">
        <f>IF($G3=$G2,$B2+1,1)</f>
        <v>1</v>
      </c>
      <c r="C3" s="7" t="s">
        <v>14</v>
      </c>
      <c r="D3" s="41" t="s">
        <v>15</v>
      </c>
      <c r="E3" s="7">
        <v>3</v>
      </c>
      <c r="F3" s="7" t="s">
        <v>283</v>
      </c>
      <c r="G3" s="19">
        <v>44984</v>
      </c>
      <c r="H3" s="7" t="s">
        <v>73</v>
      </c>
      <c r="I3" s="19" t="s">
        <v>33</v>
      </c>
      <c r="J3" s="7">
        <f>IFERROR(VLOOKUP(I3,Jueces!$A$1:$B$11,2,FALSE),"")</f>
        <v>4</v>
      </c>
      <c r="K3" s="7" t="s">
        <v>82</v>
      </c>
      <c r="L3" s="7" t="s">
        <v>83</v>
      </c>
      <c r="M3" s="171"/>
    </row>
    <row r="4" spans="1:13" ht="30" customHeight="1">
      <c r="A4" s="179" t="str">
        <f t="shared" si="0"/>
        <v>27/02/20232</v>
      </c>
      <c r="B4" s="172">
        <f t="shared" ref="B4:B67" si="1">IF($G4=$G3,$B3+1,1)</f>
        <v>2</v>
      </c>
      <c r="C4" s="7" t="s">
        <v>10</v>
      </c>
      <c r="D4" s="41" t="s">
        <v>11</v>
      </c>
      <c r="E4" s="7">
        <v>3</v>
      </c>
      <c r="F4" s="7" t="s">
        <v>29</v>
      </c>
      <c r="G4" s="19">
        <v>44984</v>
      </c>
      <c r="H4" s="7" t="s">
        <v>76</v>
      </c>
      <c r="I4" s="19" t="s">
        <v>33</v>
      </c>
      <c r="J4" s="7">
        <f>IFERROR(VLOOKUP(I4,Jueces!$A$1:$B$11,2,FALSE),"")</f>
        <v>4</v>
      </c>
      <c r="K4" s="7" t="s">
        <v>95</v>
      </c>
      <c r="L4" s="7" t="s">
        <v>81</v>
      </c>
      <c r="M4" s="171"/>
    </row>
    <row r="5" spans="1:13" ht="30" customHeight="1">
      <c r="A5" s="179" t="str">
        <f t="shared" si="0"/>
        <v>28/02/20231</v>
      </c>
      <c r="B5" s="172">
        <f t="shared" si="1"/>
        <v>1</v>
      </c>
      <c r="C5" s="7" t="s">
        <v>7</v>
      </c>
      <c r="D5" s="41" t="s">
        <v>526</v>
      </c>
      <c r="E5" s="7">
        <v>3</v>
      </c>
      <c r="F5" s="7" t="s">
        <v>283</v>
      </c>
      <c r="G5" s="19">
        <v>44985</v>
      </c>
      <c r="H5" s="7" t="s">
        <v>75</v>
      </c>
      <c r="I5" s="19" t="s">
        <v>78</v>
      </c>
      <c r="J5" s="7">
        <f>IFERROR(VLOOKUP(I5,Jueces!$A$1:$B$11,2,FALSE),"")</f>
        <v>8</v>
      </c>
      <c r="K5" s="7" t="s">
        <v>93</v>
      </c>
      <c r="L5" s="7" t="s">
        <v>84</v>
      </c>
      <c r="M5" s="171"/>
    </row>
    <row r="6" spans="1:13" ht="30" customHeight="1">
      <c r="A6" s="179" t="str">
        <f t="shared" si="0"/>
        <v>01/03/20231</v>
      </c>
      <c r="B6" s="172">
        <f t="shared" si="1"/>
        <v>1</v>
      </c>
      <c r="C6" s="7" t="s">
        <v>16</v>
      </c>
      <c r="D6" s="41" t="s">
        <v>17</v>
      </c>
      <c r="E6" s="7">
        <v>3</v>
      </c>
      <c r="F6" s="7" t="s">
        <v>34</v>
      </c>
      <c r="G6" s="19">
        <v>44986</v>
      </c>
      <c r="H6" s="7" t="s">
        <v>228</v>
      </c>
      <c r="I6" s="19" t="s">
        <v>78</v>
      </c>
      <c r="J6" s="7">
        <f>IFERROR(VLOOKUP(I6,Jueces!$A$1:$B$11,2,FALSE),"")</f>
        <v>8</v>
      </c>
      <c r="K6" s="7" t="s">
        <v>119</v>
      </c>
      <c r="L6" s="7" t="s">
        <v>106</v>
      </c>
      <c r="M6" s="171"/>
    </row>
    <row r="7" spans="1:13" ht="30" customHeight="1">
      <c r="A7" s="179" t="str">
        <f t="shared" si="0"/>
        <v>02/03/20231</v>
      </c>
      <c r="B7" s="172">
        <f t="shared" si="1"/>
        <v>1</v>
      </c>
      <c r="C7" s="7" t="s">
        <v>8</v>
      </c>
      <c r="D7" s="41" t="s">
        <v>9</v>
      </c>
      <c r="E7" s="7">
        <v>3</v>
      </c>
      <c r="F7" s="7" t="s">
        <v>32</v>
      </c>
      <c r="G7" s="19">
        <v>44987</v>
      </c>
      <c r="H7" s="7" t="s">
        <v>360</v>
      </c>
      <c r="I7" s="19" t="s">
        <v>31</v>
      </c>
      <c r="J7" s="7">
        <f>IFERROR(VLOOKUP(I7,Jueces!$A$1:$B$11,2,FALSE),"")</f>
        <v>2</v>
      </c>
      <c r="K7" s="7" t="s">
        <v>87</v>
      </c>
      <c r="L7" s="7" t="s">
        <v>86</v>
      </c>
      <c r="M7" s="171"/>
    </row>
    <row r="8" spans="1:13" ht="30" customHeight="1">
      <c r="A8" s="179" t="str">
        <f t="shared" si="0"/>
        <v>03/03/20231</v>
      </c>
      <c r="B8" s="172">
        <f t="shared" si="1"/>
        <v>1</v>
      </c>
      <c r="C8" s="7" t="s">
        <v>12</v>
      </c>
      <c r="D8" s="41" t="s">
        <v>13</v>
      </c>
      <c r="E8" s="7">
        <v>3</v>
      </c>
      <c r="F8" s="7" t="s">
        <v>34</v>
      </c>
      <c r="G8" s="19">
        <v>44988</v>
      </c>
      <c r="H8" s="7" t="s">
        <v>73</v>
      </c>
      <c r="I8" s="19" t="s">
        <v>35</v>
      </c>
      <c r="J8" s="7">
        <f>IFERROR(VLOOKUP(I8,Jueces!$A$1:$B$11,2,FALSE),"")</f>
        <v>3</v>
      </c>
      <c r="K8" s="7" t="s">
        <v>152</v>
      </c>
      <c r="L8" s="7" t="s">
        <v>106</v>
      </c>
      <c r="M8" s="171"/>
    </row>
    <row r="9" spans="1:13" ht="30" customHeight="1">
      <c r="A9" s="179" t="str">
        <f t="shared" si="0"/>
        <v>03/03/20232</v>
      </c>
      <c r="B9" s="172">
        <f t="shared" si="1"/>
        <v>2</v>
      </c>
      <c r="C9" s="7" t="s">
        <v>57</v>
      </c>
      <c r="D9" s="41" t="s">
        <v>40</v>
      </c>
      <c r="E9" s="7">
        <v>3</v>
      </c>
      <c r="F9" s="7" t="s">
        <v>29</v>
      </c>
      <c r="G9" s="19">
        <v>44988</v>
      </c>
      <c r="H9" s="7" t="s">
        <v>76</v>
      </c>
      <c r="I9" s="19" t="s">
        <v>35</v>
      </c>
      <c r="J9" s="7">
        <f>IFERROR(VLOOKUP(I9,Jueces!$A$1:$B$11,2,FALSE),"")</f>
        <v>3</v>
      </c>
      <c r="K9" s="7" t="s">
        <v>94</v>
      </c>
      <c r="L9" s="7" t="s">
        <v>90</v>
      </c>
      <c r="M9" s="171"/>
    </row>
    <row r="10" spans="1:13" ht="30" customHeight="1">
      <c r="A10" s="179" t="str">
        <f t="shared" si="0"/>
        <v>06/03/20231</v>
      </c>
      <c r="B10" s="172">
        <f t="shared" si="1"/>
        <v>1</v>
      </c>
      <c r="C10" s="7" t="s">
        <v>4</v>
      </c>
      <c r="D10" s="41" t="s">
        <v>6</v>
      </c>
      <c r="E10" s="7">
        <v>3</v>
      </c>
      <c r="F10" s="7" t="s">
        <v>283</v>
      </c>
      <c r="G10" s="19">
        <v>44991</v>
      </c>
      <c r="H10" s="7" t="s">
        <v>73</v>
      </c>
      <c r="I10" s="19" t="s">
        <v>31</v>
      </c>
      <c r="J10" s="7">
        <f>IFERROR(VLOOKUP(I10,Jueces!$A$1:$B$11,2,FALSE),"")</f>
        <v>2</v>
      </c>
      <c r="K10" s="7" t="s">
        <v>91</v>
      </c>
      <c r="L10" s="7" t="s">
        <v>684</v>
      </c>
      <c r="M10" s="171"/>
    </row>
    <row r="11" spans="1:13" ht="30" customHeight="1">
      <c r="A11" s="179" t="str">
        <f t="shared" si="0"/>
        <v>06/03/20232</v>
      </c>
      <c r="B11" s="172">
        <f t="shared" si="1"/>
        <v>2</v>
      </c>
      <c r="C11" s="7" t="s">
        <v>56</v>
      </c>
      <c r="D11" s="41" t="s">
        <v>39</v>
      </c>
      <c r="E11" s="7">
        <v>3</v>
      </c>
      <c r="F11" s="7" t="s">
        <v>43</v>
      </c>
      <c r="G11" s="19">
        <v>44991</v>
      </c>
      <c r="H11" s="7" t="s">
        <v>76</v>
      </c>
      <c r="I11" s="19" t="s">
        <v>78</v>
      </c>
      <c r="J11" s="7">
        <f>IFERROR(VLOOKUP(I11,Jueces!$A$1:$B$11,2,FALSE),"")</f>
        <v>8</v>
      </c>
      <c r="K11" s="7" t="s">
        <v>92</v>
      </c>
      <c r="L11" s="7" t="s">
        <v>96</v>
      </c>
      <c r="M11" s="171"/>
    </row>
    <row r="12" spans="1:13" ht="30" customHeight="1">
      <c r="A12" s="179" t="str">
        <f t="shared" si="0"/>
        <v>07/03/20231</v>
      </c>
      <c r="B12" s="172">
        <f t="shared" si="1"/>
        <v>1</v>
      </c>
      <c r="C12" s="7" t="s">
        <v>53</v>
      </c>
      <c r="D12" s="41" t="s">
        <v>48</v>
      </c>
      <c r="E12" s="7">
        <v>3</v>
      </c>
      <c r="F12" s="7" t="s">
        <v>283</v>
      </c>
      <c r="G12" s="19">
        <v>44992</v>
      </c>
      <c r="H12" s="7" t="s">
        <v>73</v>
      </c>
      <c r="I12" s="19" t="s">
        <v>35</v>
      </c>
      <c r="J12" s="7">
        <f>IFERROR(VLOOKUP(I12,Jueces!$A$1:$B$11,2,FALSE),"")</f>
        <v>3</v>
      </c>
      <c r="K12" s="7" t="s">
        <v>93</v>
      </c>
      <c r="L12" s="7" t="s">
        <v>83</v>
      </c>
      <c r="M12" s="171"/>
    </row>
    <row r="13" spans="1:13" ht="30" customHeight="1">
      <c r="A13" s="179" t="str">
        <f t="shared" si="0"/>
        <v>07/03/20232</v>
      </c>
      <c r="B13" s="172">
        <f t="shared" si="1"/>
        <v>2</v>
      </c>
      <c r="C13" s="7" t="s">
        <v>27</v>
      </c>
      <c r="D13" s="41" t="s">
        <v>28</v>
      </c>
      <c r="E13" s="7">
        <v>3</v>
      </c>
      <c r="F13" s="7" t="s">
        <v>29</v>
      </c>
      <c r="G13" s="19">
        <v>44992</v>
      </c>
      <c r="H13" s="7" t="s">
        <v>75</v>
      </c>
      <c r="I13" s="19" t="s">
        <v>35</v>
      </c>
      <c r="J13" s="7">
        <f>IFERROR(VLOOKUP(I13,Jueces!$A$1:$B$11,2,FALSE),"")</f>
        <v>3</v>
      </c>
      <c r="K13" s="7" t="s">
        <v>93</v>
      </c>
      <c r="L13" s="7" t="s">
        <v>88</v>
      </c>
      <c r="M13" s="171"/>
    </row>
    <row r="14" spans="1:13" ht="30" customHeight="1">
      <c r="A14" s="179" t="str">
        <f t="shared" si="0"/>
        <v>07/03/20233</v>
      </c>
      <c r="B14" s="172">
        <f t="shared" si="1"/>
        <v>3</v>
      </c>
      <c r="C14" s="7" t="s">
        <v>67</v>
      </c>
      <c r="D14" s="41" t="s">
        <v>70</v>
      </c>
      <c r="E14" s="7">
        <v>3</v>
      </c>
      <c r="F14" s="7" t="s">
        <v>283</v>
      </c>
      <c r="G14" s="19">
        <v>44992</v>
      </c>
      <c r="H14" s="7" t="s">
        <v>228</v>
      </c>
      <c r="I14" s="19" t="s">
        <v>78</v>
      </c>
      <c r="J14" s="7">
        <f>IFERROR(VLOOKUP(I14,Jueces!$A$1:$B$11,2,FALSE),"")</f>
        <v>8</v>
      </c>
      <c r="K14" s="7" t="s">
        <v>97</v>
      </c>
      <c r="L14" s="7" t="s">
        <v>199</v>
      </c>
      <c r="M14" s="171"/>
    </row>
    <row r="15" spans="1:13" ht="30" customHeight="1">
      <c r="A15" s="179" t="str">
        <f t="shared" si="0"/>
        <v>08/03/20231</v>
      </c>
      <c r="B15" s="172">
        <f t="shared" si="1"/>
        <v>1</v>
      </c>
      <c r="C15" s="7" t="s">
        <v>55</v>
      </c>
      <c r="D15" s="41" t="s">
        <v>50</v>
      </c>
      <c r="E15" s="7">
        <v>3</v>
      </c>
      <c r="F15" s="7" t="s">
        <v>34</v>
      </c>
      <c r="G15" s="19">
        <v>44993</v>
      </c>
      <c r="H15" s="7" t="s">
        <v>73</v>
      </c>
      <c r="I15" s="19" t="s">
        <v>31</v>
      </c>
      <c r="J15" s="7">
        <f>IFERROR(VLOOKUP(I15,Jueces!$A$1:$B$11,2,FALSE),"")</f>
        <v>2</v>
      </c>
      <c r="K15" s="7" t="s">
        <v>98</v>
      </c>
      <c r="L15" s="7" t="s">
        <v>99</v>
      </c>
      <c r="M15" s="171"/>
    </row>
    <row r="16" spans="1:13" ht="30" customHeight="1">
      <c r="A16" s="179" t="str">
        <f t="shared" si="0"/>
        <v>08/03/20232</v>
      </c>
      <c r="B16" s="172">
        <f t="shared" si="1"/>
        <v>2</v>
      </c>
      <c r="C16" s="7" t="s">
        <v>109</v>
      </c>
      <c r="D16" s="41" t="s">
        <v>110</v>
      </c>
      <c r="E16" s="7">
        <v>3</v>
      </c>
      <c r="F16" s="7" t="s">
        <v>1441</v>
      </c>
      <c r="G16" s="19">
        <v>44993</v>
      </c>
      <c r="H16" s="7" t="s">
        <v>73</v>
      </c>
      <c r="I16" s="19" t="s">
        <v>31</v>
      </c>
      <c r="J16" s="7">
        <f>IFERROR(VLOOKUP(I16,Jueces!$A$1:$B$11,2,FALSE),"")</f>
        <v>2</v>
      </c>
      <c r="K16" s="7" t="s">
        <v>126</v>
      </c>
      <c r="L16" s="7" t="s">
        <v>127</v>
      </c>
      <c r="M16" s="171"/>
    </row>
    <row r="17" spans="1:13" ht="30" customHeight="1">
      <c r="A17" s="179" t="str">
        <f t="shared" si="0"/>
        <v>08/03/20233</v>
      </c>
      <c r="B17" s="172">
        <f t="shared" si="1"/>
        <v>3</v>
      </c>
      <c r="C17" s="7" t="s">
        <v>62</v>
      </c>
      <c r="D17" s="41" t="s">
        <v>66</v>
      </c>
      <c r="E17" s="7">
        <v>3</v>
      </c>
      <c r="F17" s="7" t="s">
        <v>43</v>
      </c>
      <c r="G17" s="19">
        <v>44993</v>
      </c>
      <c r="H17" s="7" t="s">
        <v>73</v>
      </c>
      <c r="I17" s="19" t="s">
        <v>31</v>
      </c>
      <c r="J17" s="7">
        <f>IFERROR(VLOOKUP(I17,Jueces!$A$1:$B$11,2,FALSE),"")</f>
        <v>2</v>
      </c>
      <c r="K17" s="7" t="s">
        <v>105</v>
      </c>
      <c r="L17" s="7" t="s">
        <v>106</v>
      </c>
      <c r="M17" s="171"/>
    </row>
    <row r="18" spans="1:13" ht="30" customHeight="1">
      <c r="A18" s="179" t="str">
        <f t="shared" si="0"/>
        <v>08/03/20234</v>
      </c>
      <c r="B18" s="172">
        <f t="shared" si="1"/>
        <v>4</v>
      </c>
      <c r="C18" s="4" t="s">
        <v>69</v>
      </c>
      <c r="D18" s="40" t="s">
        <v>72</v>
      </c>
      <c r="E18" s="4">
        <v>3</v>
      </c>
      <c r="F18" s="4" t="s">
        <v>43</v>
      </c>
      <c r="G18" s="5">
        <v>44993</v>
      </c>
      <c r="H18" s="4" t="s">
        <v>76</v>
      </c>
      <c r="I18" s="5" t="s">
        <v>35</v>
      </c>
      <c r="J18" s="7">
        <f>IFERROR(VLOOKUP(I18,Jueces!$A$1:$B$11,2,FALSE),"")</f>
        <v>3</v>
      </c>
      <c r="K18" s="4" t="s">
        <v>142</v>
      </c>
      <c r="L18" s="4" t="s">
        <v>226</v>
      </c>
      <c r="M18" s="171"/>
    </row>
    <row r="19" spans="1:13" ht="30" customHeight="1">
      <c r="A19" s="179" t="str">
        <f t="shared" si="0"/>
        <v>08/03/20235</v>
      </c>
      <c r="B19" s="172">
        <f t="shared" si="1"/>
        <v>5</v>
      </c>
      <c r="C19" s="4" t="s">
        <v>60</v>
      </c>
      <c r="D19" s="40" t="s">
        <v>61</v>
      </c>
      <c r="E19" s="4">
        <v>3</v>
      </c>
      <c r="F19" s="4" t="s">
        <v>283</v>
      </c>
      <c r="G19" s="5">
        <v>44993</v>
      </c>
      <c r="H19" s="4" t="s">
        <v>75</v>
      </c>
      <c r="I19" s="5" t="s">
        <v>78</v>
      </c>
      <c r="J19" s="7">
        <f>IFERROR(VLOOKUP(I19,Jueces!$A$1:$B$11,2,FALSE),"")</f>
        <v>8</v>
      </c>
      <c r="K19" s="4" t="s">
        <v>98</v>
      </c>
      <c r="L19" s="4" t="s">
        <v>99</v>
      </c>
      <c r="M19" s="171"/>
    </row>
    <row r="20" spans="1:13" ht="30" customHeight="1">
      <c r="A20" s="179" t="str">
        <f t="shared" si="0"/>
        <v>09/03/20231</v>
      </c>
      <c r="B20" s="172">
        <f t="shared" si="1"/>
        <v>1</v>
      </c>
      <c r="C20" s="4" t="s">
        <v>44</v>
      </c>
      <c r="D20" s="40" t="s">
        <v>37</v>
      </c>
      <c r="E20" s="4">
        <v>3</v>
      </c>
      <c r="F20" s="4" t="s">
        <v>1441</v>
      </c>
      <c r="G20" s="5">
        <v>44994</v>
      </c>
      <c r="H20" s="4" t="s">
        <v>73</v>
      </c>
      <c r="I20" s="5" t="s">
        <v>31</v>
      </c>
      <c r="J20" s="7">
        <f>IFERROR(VLOOKUP(I20,Jueces!$A$1:$B$11,2,FALSE),"")</f>
        <v>2</v>
      </c>
      <c r="K20" s="4" t="s">
        <v>184</v>
      </c>
      <c r="L20" s="4" t="s">
        <v>106</v>
      </c>
      <c r="M20" s="171"/>
    </row>
    <row r="21" spans="1:13" ht="30" customHeight="1">
      <c r="A21" s="179" t="str">
        <f t="shared" si="0"/>
        <v>09/03/20232</v>
      </c>
      <c r="B21" s="172">
        <f t="shared" si="1"/>
        <v>2</v>
      </c>
      <c r="C21" s="4" t="s">
        <v>59</v>
      </c>
      <c r="D21" s="40" t="s">
        <v>46</v>
      </c>
      <c r="E21" s="4">
        <v>3</v>
      </c>
      <c r="F21" s="4" t="s">
        <v>43</v>
      </c>
      <c r="G21" s="5">
        <v>44994</v>
      </c>
      <c r="H21" s="4" t="s">
        <v>73</v>
      </c>
      <c r="I21" s="5" t="s">
        <v>35</v>
      </c>
      <c r="J21" s="7">
        <f>IFERROR(VLOOKUP(I21,Jueces!$A$1:$B$11,2,FALSE),"")</f>
        <v>3</v>
      </c>
      <c r="K21" s="4" t="s">
        <v>181</v>
      </c>
      <c r="L21" s="4" t="s">
        <v>127</v>
      </c>
      <c r="M21" s="171"/>
    </row>
    <row r="22" spans="1:13" ht="30" customHeight="1">
      <c r="A22" s="179" t="str">
        <f t="shared" si="0"/>
        <v>09/03/20233</v>
      </c>
      <c r="B22" s="172">
        <f t="shared" si="1"/>
        <v>3</v>
      </c>
      <c r="C22" s="4" t="s">
        <v>58</v>
      </c>
      <c r="D22" s="40" t="s">
        <v>41</v>
      </c>
      <c r="E22" s="4">
        <v>3</v>
      </c>
      <c r="F22" s="4" t="s">
        <v>34</v>
      </c>
      <c r="G22" s="5">
        <v>44994</v>
      </c>
      <c r="H22" s="4" t="s">
        <v>76</v>
      </c>
      <c r="I22" s="5" t="s">
        <v>31</v>
      </c>
      <c r="J22" s="7">
        <f>IFERROR(VLOOKUP(I22,Jueces!$A$1:$B$11,2,FALSE),"")</f>
        <v>2</v>
      </c>
      <c r="K22" s="4" t="s">
        <v>262</v>
      </c>
      <c r="L22" s="4" t="s">
        <v>106</v>
      </c>
      <c r="M22" s="171"/>
    </row>
    <row r="23" spans="1:13" ht="30" customHeight="1">
      <c r="A23" s="179" t="str">
        <f t="shared" si="0"/>
        <v>10/03/20231</v>
      </c>
      <c r="B23" s="172">
        <f t="shared" si="1"/>
        <v>1</v>
      </c>
      <c r="C23" s="4" t="s">
        <v>107</v>
      </c>
      <c r="D23" s="40" t="s">
        <v>108</v>
      </c>
      <c r="E23" s="4">
        <v>3</v>
      </c>
      <c r="F23" s="4" t="s">
        <v>283</v>
      </c>
      <c r="G23" s="5">
        <v>44995</v>
      </c>
      <c r="H23" s="4" t="s">
        <v>511</v>
      </c>
      <c r="I23" s="5" t="s">
        <v>35</v>
      </c>
      <c r="J23" s="7">
        <f>IFERROR(VLOOKUP(I23,Jueces!$A$1:$B$11,2,FALSE),"")</f>
        <v>3</v>
      </c>
      <c r="K23" s="4" t="s">
        <v>128</v>
      </c>
      <c r="L23" s="4" t="s">
        <v>127</v>
      </c>
      <c r="M23" s="171"/>
    </row>
    <row r="24" spans="1:13" ht="30" customHeight="1">
      <c r="A24" s="179" t="str">
        <f t="shared" si="0"/>
        <v>10/03/20232</v>
      </c>
      <c r="B24" s="172">
        <f t="shared" si="1"/>
        <v>2</v>
      </c>
      <c r="C24" s="4" t="s">
        <v>137</v>
      </c>
      <c r="D24" s="40" t="s">
        <v>148</v>
      </c>
      <c r="E24" s="4">
        <v>3</v>
      </c>
      <c r="F24" s="4" t="s">
        <v>32</v>
      </c>
      <c r="G24" s="5">
        <v>44995</v>
      </c>
      <c r="H24" s="4" t="s">
        <v>73</v>
      </c>
      <c r="I24" s="5" t="s">
        <v>31</v>
      </c>
      <c r="J24" s="7">
        <f>IFERROR(VLOOKUP(I24,Jueces!$A$1:$B$11,2,FALSE),"")</f>
        <v>2</v>
      </c>
      <c r="K24" s="4" t="s">
        <v>355</v>
      </c>
      <c r="L24" s="4" t="s">
        <v>147</v>
      </c>
      <c r="M24" s="171"/>
    </row>
    <row r="25" spans="1:13" ht="30" customHeight="1">
      <c r="A25" s="179" t="str">
        <f t="shared" si="0"/>
        <v>10/03/20233</v>
      </c>
      <c r="B25" s="172">
        <f t="shared" si="1"/>
        <v>3</v>
      </c>
      <c r="C25" s="4" t="s">
        <v>63</v>
      </c>
      <c r="D25" s="40" t="s">
        <v>682</v>
      </c>
      <c r="E25" s="4">
        <v>3</v>
      </c>
      <c r="F25" s="4" t="s">
        <v>34</v>
      </c>
      <c r="G25" s="5">
        <v>44995</v>
      </c>
      <c r="H25" s="4" t="s">
        <v>73</v>
      </c>
      <c r="I25" s="5" t="s">
        <v>78</v>
      </c>
      <c r="J25" s="7">
        <f>IFERROR(VLOOKUP(I25,Jueces!$A$1:$B$11,2,FALSE),"")</f>
        <v>8</v>
      </c>
      <c r="K25" s="4" t="s">
        <v>133</v>
      </c>
      <c r="L25" s="4" t="s">
        <v>132</v>
      </c>
      <c r="M25" s="171"/>
    </row>
    <row r="26" spans="1:13" ht="30" customHeight="1">
      <c r="A26" s="179" t="str">
        <f t="shared" si="0"/>
        <v>10/03/20234</v>
      </c>
      <c r="B26" s="172">
        <f t="shared" si="1"/>
        <v>4</v>
      </c>
      <c r="C26" s="4" t="s">
        <v>54</v>
      </c>
      <c r="D26" s="40" t="s">
        <v>52</v>
      </c>
      <c r="E26" s="4">
        <v>3</v>
      </c>
      <c r="F26" s="4" t="s">
        <v>43</v>
      </c>
      <c r="G26" s="5">
        <v>44995</v>
      </c>
      <c r="H26" s="4" t="s">
        <v>73</v>
      </c>
      <c r="I26" s="5" t="s">
        <v>78</v>
      </c>
      <c r="J26" s="7">
        <f>IFERROR(VLOOKUP(I26,Jueces!$A$1:$B$11,2,FALSE),"")</f>
        <v>8</v>
      </c>
      <c r="K26" s="4" t="s">
        <v>131</v>
      </c>
      <c r="L26" s="4" t="s">
        <v>132</v>
      </c>
      <c r="M26" s="171"/>
    </row>
    <row r="27" spans="1:13" ht="30" customHeight="1">
      <c r="A27" s="179" t="str">
        <f t="shared" si="0"/>
        <v>10/03/20235</v>
      </c>
      <c r="B27" s="172">
        <f t="shared" si="1"/>
        <v>5</v>
      </c>
      <c r="C27" s="7" t="s">
        <v>198</v>
      </c>
      <c r="D27" s="41" t="s">
        <v>197</v>
      </c>
      <c r="E27" s="4">
        <v>4</v>
      </c>
      <c r="F27" s="4" t="s">
        <v>32</v>
      </c>
      <c r="G27" s="5">
        <v>44995</v>
      </c>
      <c r="H27" s="4" t="s">
        <v>73</v>
      </c>
      <c r="I27" s="5" t="s">
        <v>31</v>
      </c>
      <c r="J27" s="7">
        <f>IFERROR(VLOOKUP(I27,Jueces!$A$1:$B$11,2,FALSE),"")</f>
        <v>2</v>
      </c>
      <c r="K27" s="4" t="s">
        <v>213</v>
      </c>
      <c r="L27" s="4" t="s">
        <v>214</v>
      </c>
      <c r="M27" s="171"/>
    </row>
    <row r="28" spans="1:13" ht="30" customHeight="1">
      <c r="A28" s="179" t="str">
        <f t="shared" si="0"/>
        <v>10/03/20236</v>
      </c>
      <c r="B28" s="172">
        <f t="shared" si="1"/>
        <v>6</v>
      </c>
      <c r="C28" s="4" t="s">
        <v>64</v>
      </c>
      <c r="D28" s="40" t="s">
        <v>65</v>
      </c>
      <c r="E28" s="4">
        <v>3</v>
      </c>
      <c r="F28" s="4" t="s">
        <v>29</v>
      </c>
      <c r="G28" s="5">
        <v>44995</v>
      </c>
      <c r="H28" s="4" t="s">
        <v>73</v>
      </c>
      <c r="I28" s="5" t="s">
        <v>35</v>
      </c>
      <c r="J28" s="7">
        <f>IFERROR(VLOOKUP(I28,Jueces!$A$1:$B$11,2,FALSE),"")</f>
        <v>3</v>
      </c>
      <c r="K28" s="4" t="s">
        <v>134</v>
      </c>
      <c r="L28" s="4" t="s">
        <v>132</v>
      </c>
      <c r="M28" s="171"/>
    </row>
    <row r="29" spans="1:13" ht="30" customHeight="1">
      <c r="A29" s="179" t="str">
        <f t="shared" si="0"/>
        <v>13/03/20231</v>
      </c>
      <c r="B29" s="172">
        <f t="shared" si="1"/>
        <v>1</v>
      </c>
      <c r="C29" s="4" t="s">
        <v>111</v>
      </c>
      <c r="D29" s="40" t="s">
        <v>112</v>
      </c>
      <c r="E29" s="4">
        <v>3</v>
      </c>
      <c r="F29" s="4" t="s">
        <v>34</v>
      </c>
      <c r="G29" s="5">
        <v>44998</v>
      </c>
      <c r="H29" s="4" t="s">
        <v>73</v>
      </c>
      <c r="I29" s="5" t="s">
        <v>78</v>
      </c>
      <c r="J29" s="7">
        <f>IFERROR(VLOOKUP(I29,Jueces!$A$1:$B$11,2,FALSE),"")</f>
        <v>8</v>
      </c>
      <c r="K29" s="4" t="s">
        <v>128</v>
      </c>
      <c r="L29" s="4" t="s">
        <v>127</v>
      </c>
      <c r="M29" s="171"/>
    </row>
    <row r="30" spans="1:13" ht="30" customHeight="1">
      <c r="A30" s="179" t="str">
        <f t="shared" si="0"/>
        <v>13/03/20232</v>
      </c>
      <c r="B30" s="172">
        <f t="shared" si="1"/>
        <v>2</v>
      </c>
      <c r="C30" s="4" t="s">
        <v>68</v>
      </c>
      <c r="D30" s="40" t="s">
        <v>71</v>
      </c>
      <c r="E30" s="4">
        <v>3</v>
      </c>
      <c r="F30" s="4" t="s">
        <v>43</v>
      </c>
      <c r="G30" s="5">
        <v>44998</v>
      </c>
      <c r="H30" s="4" t="s">
        <v>73</v>
      </c>
      <c r="I30" s="5" t="s">
        <v>31</v>
      </c>
      <c r="J30" s="7">
        <f>IFERROR(VLOOKUP(I30,Jueces!$A$1:$B$11,2,FALSE),"")</f>
        <v>2</v>
      </c>
      <c r="K30" s="4" t="s">
        <v>129</v>
      </c>
      <c r="L30" s="4" t="s">
        <v>127</v>
      </c>
      <c r="M30" s="171"/>
    </row>
    <row r="31" spans="1:13" ht="30" customHeight="1">
      <c r="A31" s="179" t="str">
        <f t="shared" si="0"/>
        <v>13/03/20233</v>
      </c>
      <c r="B31" s="172">
        <f t="shared" si="1"/>
        <v>3</v>
      </c>
      <c r="C31" s="4" t="s">
        <v>114</v>
      </c>
      <c r="D31" s="40" t="s">
        <v>115</v>
      </c>
      <c r="E31" s="4">
        <v>3</v>
      </c>
      <c r="F31" s="4" t="s">
        <v>29</v>
      </c>
      <c r="G31" s="5">
        <v>44998</v>
      </c>
      <c r="H31" s="4" t="s">
        <v>76</v>
      </c>
      <c r="I31" s="5" t="s">
        <v>31</v>
      </c>
      <c r="J31" s="7">
        <f>IFERROR(VLOOKUP(I31,Jueces!$A$1:$B$11,2,FALSE),"")</f>
        <v>2</v>
      </c>
      <c r="K31" s="4" t="s">
        <v>129</v>
      </c>
      <c r="L31" s="4" t="s">
        <v>130</v>
      </c>
      <c r="M31" s="171"/>
    </row>
    <row r="32" spans="1:13" ht="30" customHeight="1">
      <c r="A32" s="179" t="str">
        <f t="shared" si="0"/>
        <v>14/03/20231</v>
      </c>
      <c r="B32" s="172">
        <f t="shared" si="1"/>
        <v>1</v>
      </c>
      <c r="C32" s="7" t="s">
        <v>122</v>
      </c>
      <c r="D32" s="41" t="s">
        <v>124</v>
      </c>
      <c r="E32" s="7">
        <v>3</v>
      </c>
      <c r="F32" s="7" t="s">
        <v>283</v>
      </c>
      <c r="G32" s="19">
        <v>44999</v>
      </c>
      <c r="H32" s="7" t="s">
        <v>73</v>
      </c>
      <c r="I32" s="19" t="s">
        <v>78</v>
      </c>
      <c r="J32" s="7">
        <f>IFERROR(VLOOKUP(I32,Jueces!$A$1:$B$11,2,FALSE),"")</f>
        <v>8</v>
      </c>
      <c r="K32" s="7" t="s">
        <v>139</v>
      </c>
      <c r="L32" s="7" t="s">
        <v>127</v>
      </c>
      <c r="M32" s="171"/>
    </row>
    <row r="33" spans="1:13" ht="30" customHeight="1">
      <c r="A33" s="179" t="str">
        <f t="shared" si="0"/>
        <v>14/03/20232</v>
      </c>
      <c r="B33" s="172">
        <f t="shared" si="1"/>
        <v>2</v>
      </c>
      <c r="C33" s="7" t="s">
        <v>123</v>
      </c>
      <c r="D33" s="41" t="s">
        <v>125</v>
      </c>
      <c r="E33" s="7">
        <v>3</v>
      </c>
      <c r="F33" s="7" t="s">
        <v>29</v>
      </c>
      <c r="G33" s="19">
        <v>44999</v>
      </c>
      <c r="H33" s="7" t="s">
        <v>73</v>
      </c>
      <c r="I33" s="19" t="s">
        <v>31</v>
      </c>
      <c r="J33" s="7">
        <f>IFERROR(VLOOKUP(I33,Jueces!$A$1:$B$11,2,FALSE),"")</f>
        <v>2</v>
      </c>
      <c r="K33" s="7" t="s">
        <v>140</v>
      </c>
      <c r="L33" s="7" t="s">
        <v>141</v>
      </c>
      <c r="M33" s="171"/>
    </row>
    <row r="34" spans="1:13" s="180" customFormat="1" ht="30" customHeight="1">
      <c r="A34" s="179" t="str">
        <f t="shared" si="0"/>
        <v>14/03/20233</v>
      </c>
      <c r="B34" s="172">
        <f t="shared" si="1"/>
        <v>3</v>
      </c>
      <c r="C34" s="7" t="s">
        <v>154</v>
      </c>
      <c r="D34" s="41" t="s">
        <v>153</v>
      </c>
      <c r="E34" s="7">
        <v>3</v>
      </c>
      <c r="F34" s="7" t="s">
        <v>34</v>
      </c>
      <c r="G34" s="19">
        <v>44999</v>
      </c>
      <c r="H34" s="7" t="s">
        <v>73</v>
      </c>
      <c r="I34" s="19" t="s">
        <v>35</v>
      </c>
      <c r="J34" s="7">
        <f>IFERROR(VLOOKUP(I34,Jueces!$A$1:$B$11,2,FALSE),"")</f>
        <v>3</v>
      </c>
      <c r="K34" s="7" t="s">
        <v>170</v>
      </c>
      <c r="L34" s="7" t="s">
        <v>171</v>
      </c>
      <c r="M34" s="171"/>
    </row>
    <row r="35" spans="1:13" ht="30" customHeight="1">
      <c r="A35" s="179" t="str">
        <f t="shared" si="0"/>
        <v>14/03/20234</v>
      </c>
      <c r="B35" s="172">
        <f t="shared" si="1"/>
        <v>4</v>
      </c>
      <c r="C35" s="7" t="s">
        <v>120</v>
      </c>
      <c r="D35" s="41" t="s">
        <v>121</v>
      </c>
      <c r="E35" s="7">
        <v>3</v>
      </c>
      <c r="F35" s="7" t="s">
        <v>32</v>
      </c>
      <c r="G35" s="19">
        <v>44999</v>
      </c>
      <c r="H35" s="7" t="s">
        <v>73</v>
      </c>
      <c r="I35" s="19" t="s">
        <v>35</v>
      </c>
      <c r="J35" s="7">
        <f>IFERROR(VLOOKUP(I35,Jueces!$A$1:$B$11,2,FALSE),"")</f>
        <v>3</v>
      </c>
      <c r="K35" s="7" t="s">
        <v>138</v>
      </c>
      <c r="L35" s="7" t="s">
        <v>391</v>
      </c>
      <c r="M35" s="171"/>
    </row>
    <row r="36" spans="1:13" ht="30" customHeight="1">
      <c r="A36" s="179" t="str">
        <f t="shared" si="0"/>
        <v>14/03/20235</v>
      </c>
      <c r="B36" s="172">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9" t="str">
        <f t="shared" si="0"/>
        <v>15/03/20231</v>
      </c>
      <c r="B37" s="172">
        <f t="shared" si="1"/>
        <v>1</v>
      </c>
      <c r="C37" s="7" t="s">
        <v>144</v>
      </c>
      <c r="D37" s="41" t="s">
        <v>143</v>
      </c>
      <c r="E37" s="7">
        <v>3</v>
      </c>
      <c r="F37" s="7" t="s">
        <v>1441</v>
      </c>
      <c r="G37" s="19">
        <v>45000</v>
      </c>
      <c r="H37" s="7" t="s">
        <v>73</v>
      </c>
      <c r="I37" s="19" t="s">
        <v>78</v>
      </c>
      <c r="J37" s="7">
        <f>IFERROR(VLOOKUP(I37,Jueces!$A$1:$B$11,2,FALSE),"")</f>
        <v>8</v>
      </c>
      <c r="K37" s="7" t="s">
        <v>150</v>
      </c>
      <c r="L37" s="7" t="s">
        <v>149</v>
      </c>
    </row>
    <row r="38" spans="1:13" ht="30" customHeight="1">
      <c r="A38" s="179" t="str">
        <f t="shared" si="0"/>
        <v>15/03/20232</v>
      </c>
      <c r="B38" s="172">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9" t="str">
        <f t="shared" si="0"/>
        <v>15/03/20233</v>
      </c>
      <c r="B39" s="172">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9" t="str">
        <f t="shared" si="0"/>
        <v>16/03/20231</v>
      </c>
      <c r="B40" s="172">
        <f t="shared" si="1"/>
        <v>1</v>
      </c>
      <c r="C40" s="7" t="s">
        <v>146</v>
      </c>
      <c r="D40" s="41" t="s">
        <v>145</v>
      </c>
      <c r="E40" s="7">
        <v>3</v>
      </c>
      <c r="F40" s="7" t="s">
        <v>1441</v>
      </c>
      <c r="G40" s="19">
        <v>45001</v>
      </c>
      <c r="H40" s="7" t="s">
        <v>73</v>
      </c>
      <c r="I40" s="19" t="s">
        <v>31</v>
      </c>
      <c r="J40" s="7">
        <f>IFERROR(VLOOKUP(I40,Jueces!$A$1:$B$11,2,FALSE),"")</f>
        <v>2</v>
      </c>
      <c r="K40" s="7" t="s">
        <v>168</v>
      </c>
      <c r="L40" s="7" t="s">
        <v>169</v>
      </c>
    </row>
    <row r="41" spans="1:13" ht="30" customHeight="1">
      <c r="A41" s="179" t="str">
        <f t="shared" si="0"/>
        <v>16/03/20232</v>
      </c>
      <c r="B41" s="172">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9" t="str">
        <f t="shared" si="0"/>
        <v>16/03/20233</v>
      </c>
      <c r="B42" s="172">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9" t="str">
        <f t="shared" si="0"/>
        <v>16/03/20234</v>
      </c>
      <c r="B43" s="172">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9" t="str">
        <f t="shared" si="0"/>
        <v>17/03/20231</v>
      </c>
      <c r="B44" s="172">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9" t="str">
        <f t="shared" si="0"/>
        <v>17/03/20232</v>
      </c>
      <c r="B45" s="172">
        <f t="shared" si="1"/>
        <v>2</v>
      </c>
      <c r="C45" s="7" t="s">
        <v>164</v>
      </c>
      <c r="D45" s="41" t="s">
        <v>165</v>
      </c>
      <c r="E45" s="7">
        <v>3</v>
      </c>
      <c r="F45" s="7" t="s">
        <v>1441</v>
      </c>
      <c r="G45" s="19">
        <v>45002</v>
      </c>
      <c r="H45" s="7" t="s">
        <v>73</v>
      </c>
      <c r="I45" s="19" t="s">
        <v>31</v>
      </c>
      <c r="J45" s="7">
        <f>IFERROR(VLOOKUP(I45,Jueces!$A$1:$B$11,2,FALSE),"")</f>
        <v>2</v>
      </c>
      <c r="K45" s="7" t="s">
        <v>166</v>
      </c>
      <c r="L45" s="7" t="s">
        <v>189</v>
      </c>
    </row>
    <row r="46" spans="1:13" ht="30" customHeight="1">
      <c r="A46" s="179" t="str">
        <f t="shared" si="0"/>
        <v>17/03/20233</v>
      </c>
      <c r="B46" s="172">
        <f t="shared" si="1"/>
        <v>3</v>
      </c>
      <c r="C46" s="7" t="s">
        <v>221</v>
      </c>
      <c r="D46" s="41" t="s">
        <v>220</v>
      </c>
      <c r="E46" s="7">
        <v>3</v>
      </c>
      <c r="F46" s="7" t="s">
        <v>1441</v>
      </c>
      <c r="G46" s="19">
        <v>45002</v>
      </c>
      <c r="H46" s="7" t="s">
        <v>73</v>
      </c>
      <c r="I46" s="19" t="s">
        <v>33</v>
      </c>
      <c r="J46" s="7">
        <f>IFERROR(VLOOKUP(I46,Jueces!$A$1:$B$11,2,FALSE),"")</f>
        <v>4</v>
      </c>
      <c r="K46" s="7" t="s">
        <v>248</v>
      </c>
      <c r="L46" s="7" t="s">
        <v>188</v>
      </c>
    </row>
    <row r="47" spans="1:13" ht="30" customHeight="1">
      <c r="A47" s="179" t="str">
        <f t="shared" si="0"/>
        <v>17/03/20234</v>
      </c>
      <c r="B47" s="172">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9" t="str">
        <f t="shared" si="0"/>
        <v>17/03/20235</v>
      </c>
      <c r="B48" s="172">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9" t="str">
        <f t="shared" si="0"/>
        <v>20/03/20231</v>
      </c>
      <c r="B49" s="172">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9" t="str">
        <f t="shared" si="0"/>
        <v>20/03/20232</v>
      </c>
      <c r="B50" s="172">
        <f t="shared" si="1"/>
        <v>2</v>
      </c>
      <c r="C50" s="7" t="s">
        <v>160</v>
      </c>
      <c r="D50" s="41" t="s">
        <v>157</v>
      </c>
      <c r="E50" s="7">
        <v>3</v>
      </c>
      <c r="F50" s="7" t="s">
        <v>1441</v>
      </c>
      <c r="G50" s="19">
        <v>45005</v>
      </c>
      <c r="H50" s="7" t="s">
        <v>73</v>
      </c>
      <c r="I50" s="19" t="s">
        <v>78</v>
      </c>
      <c r="J50" s="7">
        <f>IFERROR(VLOOKUP(I50,Jueces!$A$1:$B$11,2,FALSE),"")</f>
        <v>8</v>
      </c>
      <c r="K50" s="7" t="s">
        <v>187</v>
      </c>
      <c r="L50" s="7" t="s">
        <v>188</v>
      </c>
    </row>
    <row r="51" spans="1:12" ht="30" customHeight="1">
      <c r="A51" s="179" t="str">
        <f t="shared" si="0"/>
        <v>20/03/20233</v>
      </c>
      <c r="B51" s="172">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9" t="str">
        <f t="shared" si="0"/>
        <v>20/03/20234</v>
      </c>
      <c r="B52" s="172">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9" t="str">
        <f t="shared" si="0"/>
        <v>21/03/20231</v>
      </c>
      <c r="B53" s="172">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9" t="str">
        <f t="shared" si="0"/>
        <v>21/03/20232</v>
      </c>
      <c r="B54" s="172">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9" t="str">
        <f t="shared" si="0"/>
        <v>21/03/20233</v>
      </c>
      <c r="B55" s="172">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9" t="str">
        <f t="shared" si="0"/>
        <v>21/03/20234</v>
      </c>
      <c r="B56" s="172">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9" t="str">
        <f t="shared" si="0"/>
        <v>21/03/20235</v>
      </c>
      <c r="B57" s="172">
        <f t="shared" si="1"/>
        <v>5</v>
      </c>
      <c r="C57" s="7" t="s">
        <v>207</v>
      </c>
      <c r="D57" s="41" t="s">
        <v>206</v>
      </c>
      <c r="E57" s="7">
        <v>3</v>
      </c>
      <c r="F57" s="7" t="s">
        <v>1441</v>
      </c>
      <c r="G57" s="19">
        <v>45006</v>
      </c>
      <c r="H57" s="7" t="s">
        <v>228</v>
      </c>
      <c r="I57" s="19" t="s">
        <v>33</v>
      </c>
      <c r="J57" s="7">
        <f>IFERROR(VLOOKUP(I57,Jueces!$A$1:$B$11,2,FALSE),"")</f>
        <v>4</v>
      </c>
      <c r="K57" s="7" t="s">
        <v>244</v>
      </c>
      <c r="L57" s="7" t="s">
        <v>188</v>
      </c>
    </row>
    <row r="58" spans="1:12" ht="30" customHeight="1">
      <c r="A58" s="179" t="str">
        <f t="shared" si="0"/>
        <v>22/03/20231</v>
      </c>
      <c r="B58" s="172">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9" t="str">
        <f t="shared" si="0"/>
        <v>22/03/20232</v>
      </c>
      <c r="B59" s="172">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9" t="str">
        <f t="shared" si="0"/>
        <v>22/03/20233</v>
      </c>
      <c r="B60" s="172">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9" t="str">
        <f t="shared" si="0"/>
        <v>22/03/20234</v>
      </c>
      <c r="B61" s="172">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9" t="str">
        <f t="shared" si="0"/>
        <v>22/03/20235</v>
      </c>
      <c r="B62" s="172">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9" t="str">
        <f t="shared" si="0"/>
        <v>22/03/20236</v>
      </c>
      <c r="B63" s="172">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9" t="str">
        <f t="shared" si="0"/>
        <v>23/03/20231</v>
      </c>
      <c r="B64" s="172">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9" t="str">
        <f t="shared" si="0"/>
        <v>23/03/20232</v>
      </c>
      <c r="B65" s="172">
        <f t="shared" si="1"/>
        <v>2</v>
      </c>
      <c r="C65" s="7" t="s">
        <v>259</v>
      </c>
      <c r="D65" s="41" t="s">
        <v>205</v>
      </c>
      <c r="E65" s="7">
        <v>4</v>
      </c>
      <c r="F65" s="7" t="s">
        <v>1441</v>
      </c>
      <c r="G65" s="19">
        <v>45008</v>
      </c>
      <c r="H65" s="7" t="s">
        <v>73</v>
      </c>
      <c r="I65" s="19" t="s">
        <v>33</v>
      </c>
      <c r="J65" s="7">
        <f>IFERROR(VLOOKUP(I65,Jueces!$A$1:$B$11,2,FALSE),"")</f>
        <v>4</v>
      </c>
      <c r="K65" s="7" t="s">
        <v>242</v>
      </c>
      <c r="L65" s="7" t="s">
        <v>243</v>
      </c>
    </row>
    <row r="66" spans="1:12" ht="30" customHeight="1">
      <c r="A66" s="179" t="str">
        <f t="shared" si="0"/>
        <v>23/03/20233</v>
      </c>
      <c r="B66" s="172">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9" t="str">
        <f t="shared" ref="A67:A130" si="2">CONCATENATE(TEXT($G67,"dd/mm/yyyy"),$B67)</f>
        <v>23/03/20234</v>
      </c>
      <c r="B67" s="172">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9" t="str">
        <f t="shared" si="2"/>
        <v>23/03/20235</v>
      </c>
      <c r="B68" s="172">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9" t="str">
        <f t="shared" si="2"/>
        <v>27/03/20231</v>
      </c>
      <c r="B69" s="172">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9" t="str">
        <f t="shared" si="2"/>
        <v>27/03/20232</v>
      </c>
      <c r="B70" s="172">
        <f t="shared" si="3"/>
        <v>2</v>
      </c>
      <c r="C70" s="7" t="s">
        <v>212</v>
      </c>
      <c r="D70" s="41" t="s">
        <v>216</v>
      </c>
      <c r="E70" s="7">
        <v>4</v>
      </c>
      <c r="F70" s="7" t="s">
        <v>1441</v>
      </c>
      <c r="G70" s="19">
        <v>45012</v>
      </c>
      <c r="H70" s="7" t="s">
        <v>73</v>
      </c>
      <c r="I70" s="19" t="s">
        <v>33</v>
      </c>
      <c r="J70" s="7">
        <f>IFERROR(VLOOKUP(I70,Jueces!$A$1:$B$11,2,FALSE),"")</f>
        <v>4</v>
      </c>
      <c r="K70" s="7" t="s">
        <v>245</v>
      </c>
      <c r="L70" s="7" t="s">
        <v>241</v>
      </c>
    </row>
    <row r="71" spans="1:12" ht="30" customHeight="1">
      <c r="A71" s="179" t="str">
        <f t="shared" si="2"/>
        <v>27/03/20233</v>
      </c>
      <c r="B71" s="172">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9" t="str">
        <f t="shared" si="2"/>
        <v>27/03/20234</v>
      </c>
      <c r="B72" s="172">
        <f t="shared" si="3"/>
        <v>4</v>
      </c>
      <c r="C72" s="7" t="s">
        <v>268</v>
      </c>
      <c r="D72" s="41" t="s">
        <v>269</v>
      </c>
      <c r="E72" s="7">
        <v>4</v>
      </c>
      <c r="F72" s="7" t="s">
        <v>1441</v>
      </c>
      <c r="G72" s="19">
        <v>45012</v>
      </c>
      <c r="H72" s="7" t="s">
        <v>76</v>
      </c>
      <c r="I72" s="19" t="s">
        <v>35</v>
      </c>
      <c r="J72" s="7">
        <f>IFERROR(VLOOKUP(I72,Jueces!$A$1:$B$11,2,FALSE),"")</f>
        <v>3</v>
      </c>
      <c r="K72" s="7" t="s">
        <v>290</v>
      </c>
      <c r="L72" s="7" t="s">
        <v>287</v>
      </c>
    </row>
    <row r="73" spans="1:12" ht="30" customHeight="1">
      <c r="A73" s="179" t="str">
        <f t="shared" si="2"/>
        <v>27/03/20235</v>
      </c>
      <c r="B73" s="172">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9" t="str">
        <f t="shared" si="2"/>
        <v>27/03/20236</v>
      </c>
      <c r="B74" s="172">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9" t="str">
        <f t="shared" si="2"/>
        <v>28/03/20231</v>
      </c>
      <c r="B75" s="172">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9" t="str">
        <f t="shared" si="2"/>
        <v>28/03/20232</v>
      </c>
      <c r="B76" s="172">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9" t="str">
        <f t="shared" si="2"/>
        <v>28/03/20233</v>
      </c>
      <c r="B77" s="172">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9" t="str">
        <f t="shared" si="2"/>
        <v>28/03/20234</v>
      </c>
      <c r="B78" s="172">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9" t="str">
        <f t="shared" si="2"/>
        <v>29/03/20231</v>
      </c>
      <c r="B79" s="172">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9" t="str">
        <f t="shared" si="2"/>
        <v>29/03/20232</v>
      </c>
      <c r="B80" s="172">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9" t="str">
        <f t="shared" si="2"/>
        <v>29/03/20233</v>
      </c>
      <c r="B81" s="172">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9" t="str">
        <f t="shared" si="2"/>
        <v>29/03/20234</v>
      </c>
      <c r="B82" s="172">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9" t="str">
        <f t="shared" si="2"/>
        <v>29/03/20235</v>
      </c>
      <c r="B83" s="172">
        <f t="shared" si="3"/>
        <v>5</v>
      </c>
      <c r="C83" s="7" t="s">
        <v>487</v>
      </c>
      <c r="D83" s="41" t="s">
        <v>486</v>
      </c>
      <c r="E83" s="7">
        <v>4</v>
      </c>
      <c r="F83" s="7" t="s">
        <v>1441</v>
      </c>
      <c r="G83" s="19">
        <v>45014</v>
      </c>
      <c r="H83" s="7" t="s">
        <v>228</v>
      </c>
      <c r="I83" s="19" t="s">
        <v>31</v>
      </c>
      <c r="J83" s="7">
        <f>IFERROR(VLOOKUP(I83,Jueces!$A$1:$B$11,2,FALSE),"")</f>
        <v>2</v>
      </c>
      <c r="K83" s="7" t="s">
        <v>512</v>
      </c>
      <c r="L83" s="7" t="s">
        <v>570</v>
      </c>
    </row>
    <row r="84" spans="1:12" ht="30" customHeight="1">
      <c r="A84" s="179" t="str">
        <f t="shared" si="2"/>
        <v>29/03/20236</v>
      </c>
      <c r="B84" s="172">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9" t="str">
        <f t="shared" si="2"/>
        <v>30/03/20231</v>
      </c>
      <c r="B85" s="172">
        <f t="shared" si="3"/>
        <v>1</v>
      </c>
      <c r="C85" s="7" t="s">
        <v>318</v>
      </c>
      <c r="D85" s="41" t="s">
        <v>319</v>
      </c>
      <c r="E85" s="7">
        <v>4</v>
      </c>
      <c r="F85" s="7" t="s">
        <v>1441</v>
      </c>
      <c r="G85" s="19">
        <v>45015</v>
      </c>
      <c r="H85" s="7" t="s">
        <v>73</v>
      </c>
      <c r="I85" s="19" t="s">
        <v>31</v>
      </c>
      <c r="J85" s="7">
        <f>IFERROR(VLOOKUP(I85,Jueces!$A$1:$B$11,2,FALSE),"")</f>
        <v>2</v>
      </c>
      <c r="K85" s="7" t="s">
        <v>303</v>
      </c>
      <c r="L85" s="7" t="s">
        <v>287</v>
      </c>
    </row>
    <row r="86" spans="1:12" ht="30" customHeight="1">
      <c r="A86" s="179" t="str">
        <f t="shared" si="2"/>
        <v>30/03/20232</v>
      </c>
      <c r="B86" s="172">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9" t="str">
        <f t="shared" si="2"/>
        <v>31/03/20231</v>
      </c>
      <c r="B87" s="172">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9" t="str">
        <f t="shared" si="2"/>
        <v>31/03/20232</v>
      </c>
      <c r="B88" s="172">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9" t="str">
        <f t="shared" si="2"/>
        <v>31/03/20233</v>
      </c>
      <c r="B89" s="172">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9" t="str">
        <f t="shared" si="2"/>
        <v>03/04/20231</v>
      </c>
      <c r="B90" s="172">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9" t="str">
        <f t="shared" si="2"/>
        <v>03/04/20232</v>
      </c>
      <c r="B91" s="172">
        <f t="shared" si="3"/>
        <v>2</v>
      </c>
      <c r="C91" s="7" t="s">
        <v>387</v>
      </c>
      <c r="D91" s="41" t="s">
        <v>390</v>
      </c>
      <c r="E91" s="7">
        <v>4</v>
      </c>
      <c r="F91" s="7" t="s">
        <v>1441</v>
      </c>
      <c r="G91" s="19">
        <v>45019</v>
      </c>
      <c r="H91" s="7" t="s">
        <v>73</v>
      </c>
      <c r="I91" s="19" t="s">
        <v>33</v>
      </c>
      <c r="J91" s="7">
        <f>IFERROR(VLOOKUP(I91,Jueces!$A$1:$B$11,2,FALSE),"")</f>
        <v>4</v>
      </c>
      <c r="K91" s="7" t="s">
        <v>405</v>
      </c>
      <c r="L91" s="7" t="s">
        <v>363</v>
      </c>
    </row>
    <row r="92" spans="1:12" ht="30" customHeight="1">
      <c r="A92" s="179" t="str">
        <f t="shared" si="2"/>
        <v>03/04/20233</v>
      </c>
      <c r="B92" s="172">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9" t="str">
        <f t="shared" si="2"/>
        <v>03/04/20234</v>
      </c>
      <c r="B93" s="172">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9" t="str">
        <f t="shared" si="2"/>
        <v>03/04/20235</v>
      </c>
      <c r="B94" s="172">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9" t="str">
        <f t="shared" si="2"/>
        <v>04/04/20231</v>
      </c>
      <c r="B95" s="172">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9" t="str">
        <f t="shared" si="2"/>
        <v>04/04/20232</v>
      </c>
      <c r="B96" s="172">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9" t="str">
        <f t="shared" si="2"/>
        <v>05/04/20231</v>
      </c>
      <c r="B97" s="172">
        <f t="shared" si="3"/>
        <v>1</v>
      </c>
      <c r="C97" s="7" t="s">
        <v>335</v>
      </c>
      <c r="D97" s="41" t="s">
        <v>336</v>
      </c>
      <c r="E97" s="7">
        <v>4</v>
      </c>
      <c r="F97" s="7" t="s">
        <v>1441</v>
      </c>
      <c r="G97" s="19">
        <v>45021</v>
      </c>
      <c r="H97" s="7" t="s">
        <v>73</v>
      </c>
      <c r="I97" s="19" t="s">
        <v>31</v>
      </c>
      <c r="J97" s="7">
        <f>IFERROR(VLOOKUP(I97,Jueces!$A$1:$B$11,2,FALSE),"")</f>
        <v>2</v>
      </c>
      <c r="K97" s="7" t="s">
        <v>134</v>
      </c>
      <c r="L97" s="7" t="s">
        <v>287</v>
      </c>
    </row>
    <row r="98" spans="1:12" ht="30" customHeight="1">
      <c r="A98" s="179" t="str">
        <f t="shared" si="2"/>
        <v>05/04/20232</v>
      </c>
      <c r="B98" s="172">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9" t="str">
        <f t="shared" si="2"/>
        <v>05/04/20233</v>
      </c>
      <c r="B99" s="172">
        <f t="shared" si="3"/>
        <v>3</v>
      </c>
      <c r="C99" s="7" t="s">
        <v>373</v>
      </c>
      <c r="D99" s="41" t="s">
        <v>374</v>
      </c>
      <c r="E99" s="7">
        <v>4</v>
      </c>
      <c r="F99" s="7" t="s">
        <v>1441</v>
      </c>
      <c r="G99" s="19">
        <v>45021</v>
      </c>
      <c r="H99" s="7" t="s">
        <v>76</v>
      </c>
      <c r="I99" s="19" t="s">
        <v>31</v>
      </c>
      <c r="J99" s="7">
        <f>IFERROR(VLOOKUP(I99,Jueces!$A$1:$B$11,2,FALSE),"")</f>
        <v>2</v>
      </c>
      <c r="K99" s="7" t="s">
        <v>375</v>
      </c>
      <c r="L99" s="7" t="s">
        <v>377</v>
      </c>
    </row>
    <row r="100" spans="1:12" ht="30" customHeight="1">
      <c r="A100" s="179" t="str">
        <f t="shared" si="2"/>
        <v>10/04/20231</v>
      </c>
      <c r="B100" s="172">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9" t="str">
        <f t="shared" si="2"/>
        <v>10/04/20232</v>
      </c>
      <c r="B101" s="172">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9" t="str">
        <f t="shared" si="2"/>
        <v>10/04/20233</v>
      </c>
      <c r="B102" s="172">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9" t="str">
        <f t="shared" si="2"/>
        <v>10/04/20234</v>
      </c>
      <c r="B103" s="172">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9" t="str">
        <f t="shared" si="2"/>
        <v>10/04/20235</v>
      </c>
      <c r="B104" s="172">
        <f t="shared" si="3"/>
        <v>5</v>
      </c>
      <c r="C104" s="7" t="s">
        <v>386</v>
      </c>
      <c r="D104" s="41" t="s">
        <v>389</v>
      </c>
      <c r="E104" s="7">
        <v>4</v>
      </c>
      <c r="F104" s="7" t="s">
        <v>1441</v>
      </c>
      <c r="G104" s="19">
        <v>45026</v>
      </c>
      <c r="H104" s="7" t="s">
        <v>76</v>
      </c>
      <c r="I104" s="19" t="s">
        <v>78</v>
      </c>
      <c r="J104" s="7">
        <f>IFERROR(VLOOKUP(I104,Jueces!$A$1:$B$11,2,FALSE),"")</f>
        <v>8</v>
      </c>
      <c r="K104" s="7" t="s">
        <v>303</v>
      </c>
      <c r="L104" s="7" t="s">
        <v>363</v>
      </c>
    </row>
    <row r="105" spans="1:12" ht="30" customHeight="1">
      <c r="A105" s="179" t="str">
        <f t="shared" si="2"/>
        <v>10/04/20236</v>
      </c>
      <c r="B105" s="172">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9" t="str">
        <f t="shared" si="2"/>
        <v>11/04/20231</v>
      </c>
      <c r="B106" s="172">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9" t="str">
        <f t="shared" si="2"/>
        <v>11/04/20232</v>
      </c>
      <c r="B107" s="172">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9" t="str">
        <f t="shared" si="2"/>
        <v>11/04/20233</v>
      </c>
      <c r="B108" s="172">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9" t="str">
        <f t="shared" si="2"/>
        <v>12/04/20231</v>
      </c>
      <c r="B109" s="172">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9" t="str">
        <f t="shared" si="2"/>
        <v>12/04/20232</v>
      </c>
      <c r="B110" s="172">
        <f t="shared" si="3"/>
        <v>2</v>
      </c>
      <c r="C110" s="7" t="s">
        <v>544</v>
      </c>
      <c r="D110" s="41" t="s">
        <v>538</v>
      </c>
      <c r="E110" s="7">
        <v>4</v>
      </c>
      <c r="F110" s="7" t="s">
        <v>1441</v>
      </c>
      <c r="G110" s="19">
        <v>45028</v>
      </c>
      <c r="H110" s="7" t="s">
        <v>73</v>
      </c>
      <c r="I110" s="19" t="s">
        <v>35</v>
      </c>
      <c r="J110" s="7">
        <f>IFERROR(VLOOKUP(I110,Jueces!$A$1:$B$11,2,FALSE),"")</f>
        <v>3</v>
      </c>
      <c r="K110" s="7" t="s">
        <v>142</v>
      </c>
      <c r="L110" s="7" t="s">
        <v>363</v>
      </c>
    </row>
    <row r="111" spans="1:12" ht="30" customHeight="1">
      <c r="A111" s="179" t="str">
        <f t="shared" si="2"/>
        <v>12/04/20233</v>
      </c>
      <c r="B111" s="172">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9" t="str">
        <f t="shared" si="2"/>
        <v>12/04/20234</v>
      </c>
      <c r="B112" s="172">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9" t="str">
        <f t="shared" si="2"/>
        <v>13/04/20231</v>
      </c>
      <c r="B113" s="172">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9" t="str">
        <f t="shared" si="2"/>
        <v>13/04/20232</v>
      </c>
      <c r="B114" s="172">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9" t="str">
        <f t="shared" si="2"/>
        <v>13/04/20233</v>
      </c>
      <c r="B115" s="172">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9" t="str">
        <f t="shared" si="2"/>
        <v>13/04/20234</v>
      </c>
      <c r="B116" s="172">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9" t="str">
        <f t="shared" si="2"/>
        <v>14/04/20231</v>
      </c>
      <c r="B117" s="172">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9" t="str">
        <f t="shared" si="2"/>
        <v>14/04/20232</v>
      </c>
      <c r="B118" s="172">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9" t="str">
        <f t="shared" si="2"/>
        <v>14/04/20233</v>
      </c>
      <c r="B119" s="172">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9" t="str">
        <f t="shared" si="2"/>
        <v>14/04/20234</v>
      </c>
      <c r="B120" s="172">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9" t="str">
        <f t="shared" si="2"/>
        <v>17/04/20231</v>
      </c>
      <c r="B121" s="172">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9" t="str">
        <f t="shared" si="2"/>
        <v>17/04/20232</v>
      </c>
      <c r="B122" s="172">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9" t="str">
        <f t="shared" si="2"/>
        <v>17/04/20233</v>
      </c>
      <c r="B123" s="172">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9" t="str">
        <f t="shared" si="2"/>
        <v>18/04/20231</v>
      </c>
      <c r="B124" s="172">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9" t="str">
        <f t="shared" si="2"/>
        <v>18/04/20232</v>
      </c>
      <c r="B125" s="172">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9" t="str">
        <f t="shared" si="2"/>
        <v>18/04/20233</v>
      </c>
      <c r="B126" s="172">
        <f t="shared" si="3"/>
        <v>3</v>
      </c>
      <c r="C126" s="7" t="s">
        <v>470</v>
      </c>
      <c r="D126" s="41" t="s">
        <v>647</v>
      </c>
      <c r="E126" s="7">
        <v>3</v>
      </c>
      <c r="F126" s="7" t="s">
        <v>1441</v>
      </c>
      <c r="G126" s="19">
        <v>45034</v>
      </c>
      <c r="H126" s="7" t="s">
        <v>73</v>
      </c>
      <c r="I126" s="19" t="s">
        <v>78</v>
      </c>
      <c r="J126" s="7">
        <f>IFERROR(VLOOKUP(I126,Jueces!$A$1:$B$11,2,FALSE),"")</f>
        <v>8</v>
      </c>
      <c r="K126" s="7" t="s">
        <v>380</v>
      </c>
      <c r="L126" s="7" t="s">
        <v>692</v>
      </c>
    </row>
    <row r="127" spans="1:12" ht="30" customHeight="1">
      <c r="A127" s="179" t="str">
        <f t="shared" si="2"/>
        <v>18/04/20234</v>
      </c>
      <c r="B127" s="172">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9" t="str">
        <f t="shared" si="2"/>
        <v>18/04/20235</v>
      </c>
      <c r="B128" s="172">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9" t="str">
        <f t="shared" si="2"/>
        <v>19/04/20231</v>
      </c>
      <c r="B129" s="172">
        <f t="shared" si="3"/>
        <v>1</v>
      </c>
      <c r="C129" s="7" t="s">
        <v>430</v>
      </c>
      <c r="D129" s="41" t="s">
        <v>431</v>
      </c>
      <c r="E129" s="7">
        <v>4</v>
      </c>
      <c r="F129" s="7" t="s">
        <v>1441</v>
      </c>
      <c r="G129" s="19">
        <v>45035</v>
      </c>
      <c r="H129" s="7" t="s">
        <v>73</v>
      </c>
      <c r="I129" s="19" t="s">
        <v>78</v>
      </c>
      <c r="J129" s="7">
        <f>IFERROR(VLOOKUP(I129,Jueces!$A$1:$B$11,2,FALSE),"")</f>
        <v>8</v>
      </c>
      <c r="K129" s="7" t="s">
        <v>313</v>
      </c>
      <c r="L129" s="7" t="s">
        <v>695</v>
      </c>
    </row>
    <row r="130" spans="1:12" ht="30" customHeight="1">
      <c r="A130" s="179" t="str">
        <f t="shared" si="2"/>
        <v>19/04/20232</v>
      </c>
      <c r="B130" s="172">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9" t="str">
        <f t="shared" ref="A131:A194" si="4">CONCATENATE(TEXT($G131,"dd/mm/yyyy"),$B131)</f>
        <v>19/04/20233</v>
      </c>
      <c r="B131" s="172">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9" t="str">
        <f t="shared" si="4"/>
        <v>19/04/20234</v>
      </c>
      <c r="B132" s="172">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9" t="str">
        <f t="shared" si="4"/>
        <v>19/04/20235</v>
      </c>
      <c r="B133" s="172">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9" t="str">
        <f t="shared" si="4"/>
        <v>19/04/20236</v>
      </c>
      <c r="B134" s="172">
        <f t="shared" si="5"/>
        <v>6</v>
      </c>
      <c r="C134" s="7" t="s">
        <v>439</v>
      </c>
      <c r="D134" s="41" t="s">
        <v>440</v>
      </c>
      <c r="E134" s="7">
        <v>4</v>
      </c>
      <c r="F134" s="7" t="s">
        <v>1441</v>
      </c>
      <c r="G134" s="19">
        <v>45035</v>
      </c>
      <c r="H134" s="7" t="s">
        <v>228</v>
      </c>
      <c r="I134" s="19" t="s">
        <v>31</v>
      </c>
      <c r="J134" s="7">
        <f>IFERROR(VLOOKUP(I134,Jueces!$A$1:$B$11,2,FALSE),"")</f>
        <v>2</v>
      </c>
      <c r="K134" s="7" t="s">
        <v>330</v>
      </c>
      <c r="L134" s="7" t="s">
        <v>695</v>
      </c>
    </row>
    <row r="135" spans="1:12" ht="30" customHeight="1">
      <c r="A135" s="179" t="str">
        <f t="shared" si="4"/>
        <v>20/04/20231</v>
      </c>
      <c r="B135" s="172">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9" t="str">
        <f t="shared" si="4"/>
        <v>20/04/20232</v>
      </c>
      <c r="B136" s="172">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9" t="str">
        <f t="shared" si="4"/>
        <v>20/04/20233</v>
      </c>
      <c r="B137" s="172">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9" t="str">
        <f t="shared" si="4"/>
        <v>20/04/20234</v>
      </c>
      <c r="B138" s="172">
        <f t="shared" si="5"/>
        <v>4</v>
      </c>
      <c r="C138" s="7" t="s">
        <v>531</v>
      </c>
      <c r="D138" s="41" t="s">
        <v>534</v>
      </c>
      <c r="E138" s="7">
        <v>4</v>
      </c>
      <c r="F138" s="7" t="s">
        <v>1441</v>
      </c>
      <c r="G138" s="19">
        <v>45036</v>
      </c>
      <c r="H138" s="7" t="s">
        <v>228</v>
      </c>
      <c r="I138" s="19" t="s">
        <v>33</v>
      </c>
      <c r="J138" s="7">
        <f>IFERROR(VLOOKUP(I138,Jueces!$A$1:$B$11,2,FALSE),"")</f>
        <v>4</v>
      </c>
      <c r="K138" s="7" t="s">
        <v>365</v>
      </c>
      <c r="L138" s="7" t="s">
        <v>695</v>
      </c>
    </row>
    <row r="139" spans="1:12" ht="30" customHeight="1">
      <c r="A139" s="179" t="str">
        <f t="shared" si="4"/>
        <v>21/04/20231</v>
      </c>
      <c r="B139" s="172">
        <f t="shared" si="5"/>
        <v>1</v>
      </c>
      <c r="C139" s="7" t="s">
        <v>649</v>
      </c>
      <c r="D139" s="41" t="s">
        <v>650</v>
      </c>
      <c r="E139" s="7">
        <v>4</v>
      </c>
      <c r="F139" s="7" t="s">
        <v>1441</v>
      </c>
      <c r="G139" s="19">
        <v>45037</v>
      </c>
      <c r="H139" s="7" t="s">
        <v>73</v>
      </c>
      <c r="I139" s="19" t="s">
        <v>31</v>
      </c>
      <c r="J139" s="7">
        <f>IFERROR(VLOOKUP(I139,Jueces!$A$1:$B$11,2,FALSE),"")</f>
        <v>2</v>
      </c>
      <c r="K139" s="7" t="s">
        <v>600</v>
      </c>
      <c r="L139" s="7" t="s">
        <v>523</v>
      </c>
    </row>
    <row r="140" spans="1:12" ht="30" customHeight="1">
      <c r="A140" s="179" t="str">
        <f t="shared" si="4"/>
        <v>21/04/20232</v>
      </c>
      <c r="B140" s="172">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9" t="str">
        <f t="shared" si="4"/>
        <v>24/04/20231</v>
      </c>
      <c r="B141" s="172">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9" t="str">
        <f t="shared" si="4"/>
        <v>24/04/20232</v>
      </c>
      <c r="B142" s="172">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9" t="str">
        <f t="shared" si="4"/>
        <v>24/04/20233</v>
      </c>
      <c r="B143" s="172">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9" t="str">
        <f t="shared" si="4"/>
        <v>25/04/20231</v>
      </c>
      <c r="B144" s="172">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9" t="str">
        <f t="shared" si="4"/>
        <v>25/04/20232</v>
      </c>
      <c r="B145" s="172">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9" t="str">
        <f t="shared" si="4"/>
        <v>26/04/20231</v>
      </c>
      <c r="B146" s="172">
        <f t="shared" si="5"/>
        <v>1</v>
      </c>
      <c r="C146" s="7" t="s">
        <v>492</v>
      </c>
      <c r="D146" s="41" t="s">
        <v>527</v>
      </c>
      <c r="E146" s="7">
        <v>4</v>
      </c>
      <c r="F146" s="7" t="s">
        <v>1441</v>
      </c>
      <c r="G146" s="19">
        <v>45042</v>
      </c>
      <c r="H146" s="7" t="s">
        <v>73</v>
      </c>
      <c r="I146" s="19" t="s">
        <v>78</v>
      </c>
      <c r="J146" s="7">
        <f>IFERROR(VLOOKUP(I146,Jueces!$A$1:$B$11,2,FALSE),"")</f>
        <v>8</v>
      </c>
      <c r="K146" s="7" t="s">
        <v>508</v>
      </c>
      <c r="L146" s="7" t="s">
        <v>693</v>
      </c>
    </row>
    <row r="147" spans="1:12" ht="30" customHeight="1">
      <c r="A147" s="179" t="str">
        <f t="shared" si="4"/>
        <v>26/04/20232</v>
      </c>
      <c r="B147" s="172">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9" t="str">
        <f t="shared" si="4"/>
        <v>26/04/20233</v>
      </c>
      <c r="B148" s="172">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9" t="str">
        <f t="shared" si="4"/>
        <v>27/04/20231</v>
      </c>
      <c r="B149" s="172">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9" t="str">
        <f t="shared" si="4"/>
        <v>27/04/20232</v>
      </c>
      <c r="B150" s="172">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9" t="str">
        <f t="shared" si="4"/>
        <v>28/04/20231</v>
      </c>
      <c r="B151" s="172">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9" t="str">
        <f t="shared" si="4"/>
        <v>28/04/20232</v>
      </c>
      <c r="B152" s="172">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9" t="str">
        <f t="shared" si="4"/>
        <v>02/05/20231</v>
      </c>
      <c r="B153" s="172">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9" t="str">
        <f t="shared" si="4"/>
        <v>02/05/20232</v>
      </c>
      <c r="B154" s="172">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9" t="str">
        <f t="shared" si="4"/>
        <v>08/05/20231</v>
      </c>
      <c r="B155" s="172">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9" t="str">
        <f t="shared" si="4"/>
        <v>09/05/20231</v>
      </c>
      <c r="B156" s="172">
        <f t="shared" si="5"/>
        <v>1</v>
      </c>
      <c r="C156" s="7" t="s">
        <v>687</v>
      </c>
      <c r="D156" s="41" t="s">
        <v>707</v>
      </c>
      <c r="E156" s="7">
        <v>3</v>
      </c>
      <c r="F156" s="7" t="s">
        <v>1441</v>
      </c>
      <c r="G156" s="19">
        <v>45055</v>
      </c>
      <c r="H156" s="7" t="s">
        <v>73</v>
      </c>
      <c r="I156" s="19" t="s">
        <v>35</v>
      </c>
      <c r="J156" s="7">
        <f>IFERROR(VLOOKUP(I156,Jueces!$A$1:$B$11,2,FALSE),"")</f>
        <v>3</v>
      </c>
      <c r="K156" s="7" t="s">
        <v>688</v>
      </c>
      <c r="L156" s="7" t="s">
        <v>715</v>
      </c>
    </row>
    <row r="157" spans="1:12" ht="30" customHeight="1">
      <c r="A157" s="179" t="str">
        <f t="shared" si="4"/>
        <v>09/05/20232</v>
      </c>
      <c r="B157" s="172">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9" t="str">
        <f t="shared" si="4"/>
        <v>10/05/20231</v>
      </c>
      <c r="B158" s="172">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9" t="str">
        <f t="shared" si="4"/>
        <v>11/05/20231</v>
      </c>
      <c r="B159" s="172">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9" t="str">
        <f t="shared" si="4"/>
        <v>12/05/20231</v>
      </c>
      <c r="B160" s="172">
        <f t="shared" si="5"/>
        <v>1</v>
      </c>
      <c r="C160" s="7" t="s">
        <v>764</v>
      </c>
      <c r="D160" s="41" t="s">
        <v>739</v>
      </c>
      <c r="E160" s="7">
        <v>8</v>
      </c>
      <c r="F160" s="7" t="s">
        <v>1441</v>
      </c>
      <c r="G160" s="19">
        <v>45058</v>
      </c>
      <c r="H160" s="7" t="s">
        <v>73</v>
      </c>
      <c r="I160" s="19" t="s">
        <v>31</v>
      </c>
      <c r="J160" s="7">
        <f>IFERROR(VLOOKUP(I160,Jueces!$A$1:$B$11,2,FALSE),"")</f>
        <v>2</v>
      </c>
      <c r="K160" s="7" t="s">
        <v>413</v>
      </c>
      <c r="L160" s="7" t="s">
        <v>710</v>
      </c>
    </row>
    <row r="161" spans="1:12" ht="30" customHeight="1">
      <c r="A161" s="179" t="str">
        <f t="shared" si="4"/>
        <v>12/05/20232</v>
      </c>
      <c r="B161" s="172">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9" t="str">
        <f t="shared" si="4"/>
        <v>15/05/20231</v>
      </c>
      <c r="B162" s="172">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9" t="str">
        <f t="shared" si="4"/>
        <v>15/05/20232</v>
      </c>
      <c r="B163" s="172">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9" t="str">
        <f t="shared" si="4"/>
        <v>16/05/20231</v>
      </c>
      <c r="B164" s="172">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9" t="str">
        <f t="shared" si="4"/>
        <v>16/05/20232</v>
      </c>
      <c r="B165" s="172">
        <f t="shared" si="5"/>
        <v>2</v>
      </c>
      <c r="C165" s="7" t="s">
        <v>821</v>
      </c>
      <c r="D165" s="41" t="s">
        <v>780</v>
      </c>
      <c r="E165" s="7">
        <v>8</v>
      </c>
      <c r="F165" s="7" t="s">
        <v>1441</v>
      </c>
      <c r="G165" s="19">
        <v>45062</v>
      </c>
      <c r="H165" s="7" t="s">
        <v>1086</v>
      </c>
      <c r="I165" s="19" t="s">
        <v>31</v>
      </c>
      <c r="J165" s="7">
        <f>IFERROR(VLOOKUP(I165,Jueces!$A$1:$B$11,2,FALSE),"")</f>
        <v>2</v>
      </c>
      <c r="K165" s="7" t="s">
        <v>184</v>
      </c>
      <c r="L165" s="7" t="s">
        <v>723</v>
      </c>
    </row>
    <row r="166" spans="1:12" ht="30" customHeight="1">
      <c r="A166" s="179" t="str">
        <f t="shared" si="4"/>
        <v>17/05/20231</v>
      </c>
      <c r="B166" s="172">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9" t="str">
        <f t="shared" si="4"/>
        <v>17/05/20232</v>
      </c>
      <c r="B167" s="172">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9" t="str">
        <f t="shared" si="4"/>
        <v>18/05/20231</v>
      </c>
      <c r="B168" s="172">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9" t="str">
        <f t="shared" si="4"/>
        <v>18/05/20232</v>
      </c>
      <c r="B169" s="172">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9" t="str">
        <f t="shared" si="4"/>
        <v>18/05/20233</v>
      </c>
      <c r="B170" s="172">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9" t="str">
        <f t="shared" si="4"/>
        <v>19/05/20231</v>
      </c>
      <c r="B171" s="172">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9" t="str">
        <f t="shared" si="4"/>
        <v>19/05/20232</v>
      </c>
      <c r="B172" s="172">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9" t="str">
        <f t="shared" si="4"/>
        <v>19/05/20233</v>
      </c>
      <c r="B173" s="172">
        <f t="shared" si="5"/>
        <v>3</v>
      </c>
      <c r="C173" s="7" t="s">
        <v>856</v>
      </c>
      <c r="D173" s="41" t="s">
        <v>851</v>
      </c>
      <c r="E173" s="7">
        <v>8</v>
      </c>
      <c r="F173" s="7" t="s">
        <v>1441</v>
      </c>
      <c r="G173" s="19">
        <v>45065</v>
      </c>
      <c r="H173" s="7" t="s">
        <v>686</v>
      </c>
      <c r="I173" s="19" t="s">
        <v>78</v>
      </c>
      <c r="J173" s="7">
        <f>IFERROR(VLOOKUP(I173,Jueces!$A$1:$B$11,2,FALSE),"")</f>
        <v>8</v>
      </c>
      <c r="K173" s="7" t="s">
        <v>809</v>
      </c>
      <c r="L173" s="7" t="s">
        <v>767</v>
      </c>
    </row>
    <row r="174" spans="1:12" ht="30" customHeight="1">
      <c r="A174" s="179" t="str">
        <f t="shared" si="4"/>
        <v>22/05/20231</v>
      </c>
      <c r="B174" s="172">
        <f t="shared" si="5"/>
        <v>1</v>
      </c>
      <c r="C174" s="7" t="s">
        <v>840</v>
      </c>
      <c r="D174" s="41" t="s">
        <v>834</v>
      </c>
      <c r="E174" s="7">
        <v>8</v>
      </c>
      <c r="F174" s="328" t="s">
        <v>568</v>
      </c>
      <c r="G174" s="19">
        <v>45068</v>
      </c>
      <c r="H174" s="7" t="s">
        <v>73</v>
      </c>
      <c r="I174" s="19" t="s">
        <v>33</v>
      </c>
      <c r="J174" s="7">
        <f>IFERROR(VLOOKUP(I174,Jueces!$A$1:$B$11,2,FALSE),"")</f>
        <v>4</v>
      </c>
      <c r="K174" s="7" t="s">
        <v>793</v>
      </c>
      <c r="L174" s="7" t="s">
        <v>723</v>
      </c>
    </row>
    <row r="175" spans="1:12" ht="30" customHeight="1">
      <c r="A175" s="179" t="str">
        <f t="shared" si="4"/>
        <v>22/05/20232</v>
      </c>
      <c r="B175" s="172">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9" t="str">
        <f t="shared" si="4"/>
        <v>22/05/20233</v>
      </c>
      <c r="B176" s="172">
        <f t="shared" si="5"/>
        <v>3</v>
      </c>
      <c r="C176" s="7" t="s">
        <v>828</v>
      </c>
      <c r="D176" s="41" t="s">
        <v>894</v>
      </c>
      <c r="E176" s="7">
        <v>8</v>
      </c>
      <c r="F176" s="7" t="s">
        <v>1441</v>
      </c>
      <c r="G176" s="19">
        <v>45068</v>
      </c>
      <c r="H176" s="7" t="s">
        <v>686</v>
      </c>
      <c r="I176" s="19" t="s">
        <v>78</v>
      </c>
      <c r="J176" s="7">
        <f>IFERROR(VLOOKUP(I176,Jueces!$A$1:$B$11,2,FALSE),"")</f>
        <v>8</v>
      </c>
      <c r="K176" s="7" t="s">
        <v>804</v>
      </c>
      <c r="L176" s="7" t="s">
        <v>767</v>
      </c>
    </row>
    <row r="177" spans="1:12" ht="30" customHeight="1">
      <c r="A177" s="179" t="str">
        <f t="shared" si="4"/>
        <v>22/05/20234</v>
      </c>
      <c r="B177" s="172">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9" t="str">
        <f t="shared" si="4"/>
        <v>23/05/20231</v>
      </c>
      <c r="B178" s="172">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9" t="str">
        <f t="shared" si="4"/>
        <v>23/05/20232</v>
      </c>
      <c r="B179" s="172">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9" t="str">
        <f t="shared" si="4"/>
        <v>23/05/20233</v>
      </c>
      <c r="B180" s="172">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9" t="str">
        <f t="shared" si="4"/>
        <v>23/05/20234</v>
      </c>
      <c r="B181" s="172">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9" t="str">
        <f t="shared" si="4"/>
        <v>24/05/20231</v>
      </c>
      <c r="B182" s="172">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9" t="str">
        <f t="shared" si="4"/>
        <v>24/05/20232</v>
      </c>
      <c r="B183" s="172">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9" t="str">
        <f t="shared" si="4"/>
        <v>24/05/20233</v>
      </c>
      <c r="B184" s="172">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9" t="str">
        <f t="shared" si="4"/>
        <v>24/05/20234</v>
      </c>
      <c r="B185" s="172">
        <f t="shared" si="5"/>
        <v>4</v>
      </c>
      <c r="C185" s="7" t="s">
        <v>876</v>
      </c>
      <c r="D185" s="41" t="s">
        <v>877</v>
      </c>
      <c r="E185" s="7">
        <v>8</v>
      </c>
      <c r="F185" s="7" t="s">
        <v>1441</v>
      </c>
      <c r="G185" s="19">
        <v>45070</v>
      </c>
      <c r="H185" s="7" t="s">
        <v>686</v>
      </c>
      <c r="I185" s="19" t="s">
        <v>78</v>
      </c>
      <c r="J185" s="7">
        <f>IFERROR(VLOOKUP(I185,Jueces!$A$1:$B$11,2,FALSE),"")</f>
        <v>8</v>
      </c>
      <c r="K185" s="7" t="s">
        <v>829</v>
      </c>
      <c r="L185" s="7" t="s">
        <v>887</v>
      </c>
    </row>
    <row r="186" spans="1:12" ht="30" customHeight="1">
      <c r="A186" s="179" t="str">
        <f t="shared" si="4"/>
        <v>24/05/20235</v>
      </c>
      <c r="B186" s="172">
        <f t="shared" si="5"/>
        <v>5</v>
      </c>
      <c r="C186" s="7" t="s">
        <v>933</v>
      </c>
      <c r="D186" s="41" t="s">
        <v>923</v>
      </c>
      <c r="E186" s="7">
        <v>8</v>
      </c>
      <c r="F186" s="7" t="s">
        <v>1441</v>
      </c>
      <c r="G186" s="19">
        <v>45070</v>
      </c>
      <c r="H186" s="7" t="s">
        <v>76</v>
      </c>
      <c r="I186" s="19" t="s">
        <v>78</v>
      </c>
      <c r="J186" s="7">
        <f>IFERROR(VLOOKUP(I186,Jueces!$A$1:$B$11,2,FALSE),"")</f>
        <v>8</v>
      </c>
      <c r="K186" s="7" t="s">
        <v>401</v>
      </c>
      <c r="L186" s="7" t="s">
        <v>887</v>
      </c>
    </row>
    <row r="187" spans="1:12" ht="30" customHeight="1">
      <c r="A187" s="179" t="str">
        <f t="shared" si="4"/>
        <v>29/05/20231</v>
      </c>
      <c r="B187" s="172">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9" t="str">
        <f t="shared" si="4"/>
        <v>29/05/20232</v>
      </c>
      <c r="B188" s="172">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9" t="str">
        <f t="shared" si="4"/>
        <v>29/05/20233</v>
      </c>
      <c r="B189" s="172">
        <f t="shared" si="5"/>
        <v>3</v>
      </c>
      <c r="C189" s="7" t="s">
        <v>873</v>
      </c>
      <c r="D189" s="41" t="s">
        <v>853</v>
      </c>
      <c r="E189" s="7">
        <v>8</v>
      </c>
      <c r="F189" s="7" t="s">
        <v>1441</v>
      </c>
      <c r="G189" s="19">
        <v>45075</v>
      </c>
      <c r="H189" s="7" t="s">
        <v>73</v>
      </c>
      <c r="I189" s="19" t="s">
        <v>31</v>
      </c>
      <c r="J189" s="7">
        <f>IFERROR(VLOOKUP(I189,Jueces!$A$1:$B$11,2,FALSE),"")</f>
        <v>2</v>
      </c>
      <c r="K189" s="7" t="s">
        <v>1033</v>
      </c>
      <c r="L189" s="7" t="s">
        <v>1032</v>
      </c>
    </row>
    <row r="190" spans="1:12" ht="30" customHeight="1">
      <c r="A190" s="179" t="str">
        <f t="shared" si="4"/>
        <v>29/05/20234</v>
      </c>
      <c r="B190" s="172">
        <f t="shared" si="5"/>
        <v>4</v>
      </c>
      <c r="C190" s="7" t="s">
        <v>889</v>
      </c>
      <c r="D190" s="41" t="s">
        <v>890</v>
      </c>
      <c r="E190" s="7">
        <v>8</v>
      </c>
      <c r="F190" s="7" t="s">
        <v>1441</v>
      </c>
      <c r="G190" s="19">
        <v>45075</v>
      </c>
      <c r="H190" s="7" t="s">
        <v>686</v>
      </c>
      <c r="I190" s="19" t="s">
        <v>78</v>
      </c>
      <c r="J190" s="7">
        <f>IFERROR(VLOOKUP(I190,Jueces!$A$1:$B$11,2,FALSE),"")</f>
        <v>8</v>
      </c>
      <c r="K190" s="7" t="s">
        <v>805</v>
      </c>
      <c r="L190" s="7" t="s">
        <v>893</v>
      </c>
    </row>
    <row r="191" spans="1:12" ht="30" customHeight="1">
      <c r="A191" s="179" t="str">
        <f t="shared" si="4"/>
        <v>29/05/20235</v>
      </c>
      <c r="B191" s="172">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9" t="str">
        <f t="shared" si="4"/>
        <v>30/05/20231</v>
      </c>
      <c r="B192" s="172">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9" t="str">
        <f t="shared" si="4"/>
        <v>31/05/20231</v>
      </c>
      <c r="B193" s="172">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9" t="str">
        <f t="shared" si="4"/>
        <v>31/05/20232</v>
      </c>
      <c r="B194" s="172">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9" t="str">
        <f t="shared" ref="A195:A258" si="6">CONCATENATE(TEXT($G195,"dd/mm/yyyy"),$B195)</f>
        <v>31/05/20233</v>
      </c>
      <c r="B195" s="172">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9" t="str">
        <f t="shared" si="6"/>
        <v>31/05/20234</v>
      </c>
      <c r="B196" s="172">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9" t="str">
        <f t="shared" si="6"/>
        <v>01/06/20231</v>
      </c>
      <c r="B197" s="172">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9" t="str">
        <f t="shared" si="6"/>
        <v>01/06/20232</v>
      </c>
      <c r="B198" s="172">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9" t="str">
        <f t="shared" si="6"/>
        <v>01/06/20233</v>
      </c>
      <c r="B199" s="172">
        <f t="shared" si="7"/>
        <v>3</v>
      </c>
      <c r="C199" s="7" t="s">
        <v>958</v>
      </c>
      <c r="D199" s="41" t="s">
        <v>959</v>
      </c>
      <c r="E199" s="7">
        <v>8</v>
      </c>
      <c r="F199" s="7" t="s">
        <v>1441</v>
      </c>
      <c r="G199" s="19">
        <v>45078</v>
      </c>
      <c r="H199" s="7" t="s">
        <v>73</v>
      </c>
      <c r="I199" s="19" t="s">
        <v>78</v>
      </c>
      <c r="J199" s="7">
        <f>IFERROR(VLOOKUP(I199,Jueces!$A$1:$B$11,2,FALSE),"")</f>
        <v>8</v>
      </c>
      <c r="K199" s="7" t="s">
        <v>806</v>
      </c>
      <c r="L199" s="7" t="s">
        <v>1031</v>
      </c>
    </row>
    <row r="200" spans="1:12" ht="30" customHeight="1">
      <c r="A200" s="179" t="str">
        <f t="shared" si="6"/>
        <v>01/06/20234</v>
      </c>
      <c r="B200" s="172">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9" t="str">
        <f t="shared" si="6"/>
        <v>01/06/20235</v>
      </c>
      <c r="B201" s="172">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9" t="str">
        <f t="shared" si="6"/>
        <v>01/06/20236</v>
      </c>
      <c r="B202" s="172">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9" t="str">
        <f t="shared" si="6"/>
        <v>01/06/20237</v>
      </c>
      <c r="B203" s="172">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9" t="str">
        <f t="shared" si="6"/>
        <v>02/06/20231</v>
      </c>
      <c r="B204" s="172">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9" t="str">
        <f t="shared" si="6"/>
        <v>02/06/20232</v>
      </c>
      <c r="B205" s="172">
        <f t="shared" si="7"/>
        <v>2</v>
      </c>
      <c r="C205" s="7" t="s">
        <v>836</v>
      </c>
      <c r="D205" s="41" t="s">
        <v>838</v>
      </c>
      <c r="E205" s="7">
        <v>8</v>
      </c>
      <c r="F205" s="7" t="s">
        <v>1441</v>
      </c>
      <c r="G205" s="19">
        <v>45079</v>
      </c>
      <c r="H205" s="7" t="s">
        <v>73</v>
      </c>
      <c r="I205" s="19" t="s">
        <v>35</v>
      </c>
      <c r="J205" s="7">
        <f>IFERROR(VLOOKUP(I205,Jueces!$A$1:$B$11,2,FALSE),"")</f>
        <v>3</v>
      </c>
      <c r="K205" s="7" t="s">
        <v>799</v>
      </c>
      <c r="L205" s="7" t="s">
        <v>711</v>
      </c>
    </row>
    <row r="206" spans="1:12" ht="30" customHeight="1">
      <c r="A206" s="179" t="str">
        <f t="shared" si="6"/>
        <v>02/06/20233</v>
      </c>
      <c r="B206" s="172">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9" t="str">
        <f t="shared" si="6"/>
        <v>02/06/20234</v>
      </c>
      <c r="B207" s="172">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9" t="str">
        <f t="shared" si="6"/>
        <v>02/06/20235</v>
      </c>
      <c r="B208" s="172">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9" t="str">
        <f t="shared" si="6"/>
        <v>05/06/20231</v>
      </c>
      <c r="B209" s="172">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9" t="str">
        <f t="shared" si="6"/>
        <v>05/06/20232</v>
      </c>
      <c r="B210" s="172">
        <f t="shared" si="7"/>
        <v>2</v>
      </c>
      <c r="C210" s="7" t="s">
        <v>970</v>
      </c>
      <c r="D210" s="41" t="s">
        <v>971</v>
      </c>
      <c r="E210" s="7">
        <v>8</v>
      </c>
      <c r="F210" s="7" t="s">
        <v>1441</v>
      </c>
      <c r="G210" s="19">
        <v>45082</v>
      </c>
      <c r="H210" s="7" t="s">
        <v>73</v>
      </c>
      <c r="I210" s="19" t="s">
        <v>78</v>
      </c>
      <c r="J210" s="7">
        <f>IFERROR(VLOOKUP(I210,Jueces!$A$1:$B$11,2,FALSE),"")</f>
        <v>8</v>
      </c>
      <c r="K210" s="7" t="s">
        <v>569</v>
      </c>
      <c r="L210" s="7" t="s">
        <v>972</v>
      </c>
    </row>
    <row r="211" spans="1:12" ht="30" customHeight="1">
      <c r="A211" s="179" t="str">
        <f t="shared" si="6"/>
        <v>05/06/20233</v>
      </c>
      <c r="B211" s="172">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9" t="str">
        <f t="shared" si="6"/>
        <v>05/06/20234</v>
      </c>
      <c r="B212" s="172">
        <f t="shared" si="7"/>
        <v>4</v>
      </c>
      <c r="C212" s="67" t="s">
        <v>975</v>
      </c>
      <c r="D212" s="68" t="s">
        <v>967</v>
      </c>
      <c r="E212" s="67">
        <v>8</v>
      </c>
      <c r="F212" s="67" t="s">
        <v>283</v>
      </c>
      <c r="G212" s="69">
        <v>45082</v>
      </c>
      <c r="H212" s="67" t="s">
        <v>228</v>
      </c>
      <c r="I212" s="69" t="s">
        <v>78</v>
      </c>
      <c r="J212" s="7">
        <f>IFERROR(VLOOKUP(I212,Jueces!$A$1:$B$11,2,FALSE),"")</f>
        <v>8</v>
      </c>
      <c r="K212" s="67" t="s">
        <v>794</v>
      </c>
      <c r="L212" s="67" t="s">
        <v>1304</v>
      </c>
    </row>
    <row r="213" spans="1:12" ht="30" customHeight="1">
      <c r="A213" s="179" t="str">
        <f t="shared" si="6"/>
        <v>06/06/20231</v>
      </c>
      <c r="B213" s="172">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9" t="str">
        <f t="shared" si="6"/>
        <v>06/06/20232</v>
      </c>
      <c r="B214" s="172">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9" t="str">
        <f t="shared" si="6"/>
        <v>06/06/20233</v>
      </c>
      <c r="B215" s="172">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9" t="str">
        <f t="shared" si="6"/>
        <v>06/06/20234</v>
      </c>
      <c r="B216" s="172">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9" t="str">
        <f t="shared" si="6"/>
        <v>07/06/20231</v>
      </c>
      <c r="B217" s="172">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9" t="str">
        <f t="shared" si="6"/>
        <v>07/06/20232</v>
      </c>
      <c r="B218" s="172">
        <f t="shared" si="7"/>
        <v>2</v>
      </c>
      <c r="C218" s="67" t="s">
        <v>981</v>
      </c>
      <c r="D218" s="68" t="s">
        <v>982</v>
      </c>
      <c r="E218" s="67">
        <v>8</v>
      </c>
      <c r="F218" s="67" t="s">
        <v>1441</v>
      </c>
      <c r="G218" s="69">
        <v>45084</v>
      </c>
      <c r="H218" s="67" t="s">
        <v>73</v>
      </c>
      <c r="I218" s="69" t="s">
        <v>35</v>
      </c>
      <c r="J218" s="7">
        <f>IFERROR(VLOOKUP(I218,Jueces!$A$1:$B$11,2,FALSE),"")</f>
        <v>3</v>
      </c>
      <c r="K218" s="67" t="s">
        <v>813</v>
      </c>
      <c r="L218" s="67" t="s">
        <v>723</v>
      </c>
    </row>
    <row r="219" spans="1:12" ht="30" customHeight="1">
      <c r="A219" s="179" t="str">
        <f t="shared" si="6"/>
        <v>07/06/20233</v>
      </c>
      <c r="B219" s="172">
        <f t="shared" si="7"/>
        <v>3</v>
      </c>
      <c r="C219" s="67" t="s">
        <v>1000</v>
      </c>
      <c r="D219" s="68" t="s">
        <v>997</v>
      </c>
      <c r="E219" s="67">
        <v>8</v>
      </c>
      <c r="F219" s="67" t="s">
        <v>1441</v>
      </c>
      <c r="G219" s="69">
        <v>45084</v>
      </c>
      <c r="H219" s="67" t="s">
        <v>686</v>
      </c>
      <c r="I219" s="69" t="s">
        <v>35</v>
      </c>
      <c r="J219" s="7">
        <f>IFERROR(VLOOKUP(I219,Jueces!$A$1:$B$11,2,FALSE),"")</f>
        <v>3</v>
      </c>
      <c r="K219" s="67" t="s">
        <v>813</v>
      </c>
      <c r="L219" s="67" t="s">
        <v>723</v>
      </c>
    </row>
    <row r="220" spans="1:12" ht="30" customHeight="1">
      <c r="A220" s="179" t="str">
        <f t="shared" si="6"/>
        <v>08/06/20231</v>
      </c>
      <c r="B220" s="172">
        <f t="shared" si="7"/>
        <v>1</v>
      </c>
      <c r="C220" s="67" t="s">
        <v>1054</v>
      </c>
      <c r="D220" s="68" t="s">
        <v>1055</v>
      </c>
      <c r="E220" s="67">
        <v>2</v>
      </c>
      <c r="F220" s="67" t="s">
        <v>1441</v>
      </c>
      <c r="G220" s="69">
        <v>45085</v>
      </c>
      <c r="H220" s="67" t="s">
        <v>73</v>
      </c>
      <c r="I220" s="69" t="s">
        <v>78</v>
      </c>
      <c r="J220" s="7">
        <f>IFERROR(VLOOKUP(I220,Jueces!$A$1:$B$11,2,FALSE),"")</f>
        <v>8</v>
      </c>
      <c r="K220" s="67" t="s">
        <v>812</v>
      </c>
      <c r="L220" s="67" t="s">
        <v>711</v>
      </c>
    </row>
    <row r="221" spans="1:12" ht="30" customHeight="1">
      <c r="A221" s="179" t="str">
        <f t="shared" si="6"/>
        <v>08/06/20232</v>
      </c>
      <c r="B221" s="172">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9" t="str">
        <f t="shared" si="6"/>
        <v>08/06/20233</v>
      </c>
      <c r="B222" s="172">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9" t="str">
        <f t="shared" si="6"/>
        <v>09/06/20231</v>
      </c>
      <c r="B223" s="172">
        <f t="shared" si="7"/>
        <v>1</v>
      </c>
      <c r="C223" s="67" t="s">
        <v>1058</v>
      </c>
      <c r="D223" s="68" t="s">
        <v>1059</v>
      </c>
      <c r="E223" s="67">
        <v>2</v>
      </c>
      <c r="F223" s="67" t="s">
        <v>1441</v>
      </c>
      <c r="G223" s="69">
        <v>45086</v>
      </c>
      <c r="H223" s="67" t="s">
        <v>73</v>
      </c>
      <c r="I223" s="69" t="s">
        <v>78</v>
      </c>
      <c r="J223" s="7">
        <f>IFERROR(VLOOKUP(I223,Jueces!$A$1:$B$11,2,FALSE),"")</f>
        <v>8</v>
      </c>
      <c r="K223" s="67" t="s">
        <v>812</v>
      </c>
      <c r="L223" s="67" t="s">
        <v>314</v>
      </c>
    </row>
    <row r="224" spans="1:12" ht="30" customHeight="1">
      <c r="A224" s="179" t="str">
        <f t="shared" si="6"/>
        <v>09/06/20232</v>
      </c>
      <c r="B224" s="172">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9" t="str">
        <f t="shared" si="6"/>
        <v>09/06/20233</v>
      </c>
      <c r="B225" s="172">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9" t="str">
        <f t="shared" si="6"/>
        <v>12/06/20231</v>
      </c>
      <c r="B226" s="172">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9" t="str">
        <f t="shared" si="6"/>
        <v>13/06/20231</v>
      </c>
      <c r="B227" s="172">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9" t="str">
        <f t="shared" si="6"/>
        <v>13/06/20232</v>
      </c>
      <c r="B228" s="172">
        <f t="shared" si="7"/>
        <v>2</v>
      </c>
      <c r="C228" s="67" t="s">
        <v>1094</v>
      </c>
      <c r="D228" s="68" t="s">
        <v>1093</v>
      </c>
      <c r="E228" s="67">
        <v>2</v>
      </c>
      <c r="F228" s="67" t="s">
        <v>32</v>
      </c>
      <c r="G228" s="69">
        <v>45090</v>
      </c>
      <c r="H228" s="67" t="s">
        <v>73</v>
      </c>
      <c r="I228" s="69" t="s">
        <v>35</v>
      </c>
      <c r="J228" s="7">
        <f>IFERROR(VLOOKUP(I228,Jueces!$A$1:$B$11,2,FALSE),"")</f>
        <v>3</v>
      </c>
      <c r="K228" s="67" t="s">
        <v>1305</v>
      </c>
      <c r="L228" s="67" t="s">
        <v>1179</v>
      </c>
    </row>
    <row r="229" spans="1:12" ht="30" customHeight="1">
      <c r="A229" s="179" t="str">
        <f t="shared" si="6"/>
        <v>14/06/20231</v>
      </c>
      <c r="B229" s="172">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9" t="str">
        <f t="shared" si="6"/>
        <v>14/06/20232</v>
      </c>
      <c r="B230" s="172">
        <f t="shared" si="7"/>
        <v>2</v>
      </c>
      <c r="C230" s="7" t="s">
        <v>1111</v>
      </c>
      <c r="D230" s="41" t="s">
        <v>1112</v>
      </c>
      <c r="E230" s="7">
        <v>2</v>
      </c>
      <c r="F230" s="7" t="s">
        <v>1441</v>
      </c>
      <c r="G230" s="19">
        <v>45091</v>
      </c>
      <c r="H230" s="7" t="s">
        <v>73</v>
      </c>
      <c r="I230" s="19" t="s">
        <v>78</v>
      </c>
      <c r="J230" s="7">
        <f>IFERROR(VLOOKUP(I230,Jueces!$A$1:$B$11,2,FALSE),"")</f>
        <v>8</v>
      </c>
      <c r="K230" s="7" t="s">
        <v>812</v>
      </c>
      <c r="L230" s="7" t="s">
        <v>712</v>
      </c>
    </row>
    <row r="231" spans="1:12" ht="30" customHeight="1">
      <c r="A231" s="179" t="str">
        <f t="shared" si="6"/>
        <v>14/06/20233</v>
      </c>
      <c r="B231" s="172">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9" t="str">
        <f t="shared" si="6"/>
        <v>15/06/20231</v>
      </c>
      <c r="B232" s="172">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9" t="str">
        <f t="shared" si="6"/>
        <v>15/06/20232</v>
      </c>
      <c r="B233" s="172">
        <f t="shared" si="7"/>
        <v>2</v>
      </c>
      <c r="C233" s="67" t="s">
        <v>1088</v>
      </c>
      <c r="D233" s="68" t="s">
        <v>1089</v>
      </c>
      <c r="E233" s="67">
        <v>2</v>
      </c>
      <c r="F233" s="67" t="s">
        <v>1441</v>
      </c>
      <c r="G233" s="69">
        <v>45092</v>
      </c>
      <c r="H233" s="67" t="s">
        <v>73</v>
      </c>
      <c r="I233" s="69" t="s">
        <v>78</v>
      </c>
      <c r="J233" s="7">
        <f>IFERROR(VLOOKUP(I233,Jueces!$A$1:$B$11,2,FALSE),"")</f>
        <v>8</v>
      </c>
      <c r="K233" s="67" t="s">
        <v>1180</v>
      </c>
      <c r="L233" s="67" t="s">
        <v>1179</v>
      </c>
    </row>
    <row r="234" spans="1:12" ht="30" customHeight="1">
      <c r="A234" s="179" t="str">
        <f t="shared" si="6"/>
        <v>15/06/20233</v>
      </c>
      <c r="B234" s="172">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9" t="str">
        <f t="shared" si="6"/>
        <v>15/06/20234</v>
      </c>
      <c r="B235" s="172">
        <f t="shared" si="7"/>
        <v>4</v>
      </c>
      <c r="C235" s="67" t="s">
        <v>1107</v>
      </c>
      <c r="D235" s="68" t="s">
        <v>1192</v>
      </c>
      <c r="E235" s="67">
        <v>2</v>
      </c>
      <c r="F235" s="67" t="s">
        <v>1442</v>
      </c>
      <c r="G235" s="69">
        <v>45092</v>
      </c>
      <c r="H235" s="67" t="s">
        <v>1086</v>
      </c>
      <c r="I235" s="69" t="s">
        <v>35</v>
      </c>
      <c r="J235" s="7">
        <f>IFERROR(VLOOKUP(I235,Jueces!$A$1:$B$11,2,FALSE),"")</f>
        <v>3</v>
      </c>
      <c r="K235" s="67" t="s">
        <v>806</v>
      </c>
      <c r="L235" s="67" t="s">
        <v>1108</v>
      </c>
    </row>
    <row r="236" spans="1:12" ht="30" customHeight="1">
      <c r="A236" s="179" t="str">
        <f t="shared" si="6"/>
        <v>16/06/20231</v>
      </c>
      <c r="B236" s="172">
        <f t="shared" si="7"/>
        <v>1</v>
      </c>
      <c r="C236" s="67" t="s">
        <v>1101</v>
      </c>
      <c r="D236" s="68" t="s">
        <v>1102</v>
      </c>
      <c r="E236" s="67">
        <v>2</v>
      </c>
      <c r="F236" s="67" t="s">
        <v>43</v>
      </c>
      <c r="G236" s="69">
        <v>45093</v>
      </c>
      <c r="H236" s="67" t="s">
        <v>73</v>
      </c>
      <c r="I236" s="69" t="s">
        <v>78</v>
      </c>
      <c r="J236" s="7">
        <f>IFERROR(VLOOKUP(I236,Jueces!$A$1:$B$11,2,FALSE),"")</f>
        <v>8</v>
      </c>
      <c r="K236" s="67" t="s">
        <v>1070</v>
      </c>
      <c r="L236" s="67" t="s">
        <v>712</v>
      </c>
    </row>
    <row r="237" spans="1:12" ht="30" customHeight="1">
      <c r="A237" s="179" t="str">
        <f t="shared" si="6"/>
        <v>16/06/20232</v>
      </c>
      <c r="B237" s="172">
        <f t="shared" si="7"/>
        <v>2</v>
      </c>
      <c r="C237" s="67" t="s">
        <v>1100</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9" t="str">
        <f t="shared" si="6"/>
        <v>16/06/20233</v>
      </c>
      <c r="B238" s="172">
        <f t="shared" si="7"/>
        <v>3</v>
      </c>
      <c r="C238" s="67" t="s">
        <v>1104</v>
      </c>
      <c r="D238" s="68" t="s">
        <v>1105</v>
      </c>
      <c r="E238" s="67">
        <v>2</v>
      </c>
      <c r="F238" s="67" t="s">
        <v>32</v>
      </c>
      <c r="G238" s="69">
        <v>45093</v>
      </c>
      <c r="H238" s="67" t="s">
        <v>1086</v>
      </c>
      <c r="I238" s="69" t="s">
        <v>78</v>
      </c>
      <c r="J238" s="7">
        <f>IFERROR(VLOOKUP(I238,Jueces!$A$1:$B$11,2,FALSE),"")</f>
        <v>8</v>
      </c>
      <c r="K238" s="67" t="s">
        <v>326</v>
      </c>
      <c r="L238" s="67" t="s">
        <v>1106</v>
      </c>
    </row>
    <row r="239" spans="1:12" ht="30" customHeight="1">
      <c r="A239" s="179" t="str">
        <f t="shared" si="6"/>
        <v>16/06/20234</v>
      </c>
      <c r="B239" s="172">
        <f t="shared" si="7"/>
        <v>4</v>
      </c>
      <c r="C239" s="67" t="s">
        <v>1074</v>
      </c>
      <c r="D239" s="68" t="s">
        <v>1062</v>
      </c>
      <c r="E239" s="67">
        <v>4</v>
      </c>
      <c r="F239" s="67" t="s">
        <v>1441</v>
      </c>
      <c r="G239" s="69">
        <v>45093</v>
      </c>
      <c r="H239" s="67" t="s">
        <v>77</v>
      </c>
      <c r="I239" s="69" t="s">
        <v>31</v>
      </c>
      <c r="J239" s="7">
        <f>IFERROR(VLOOKUP(I239,Jueces!$A$1:$B$11,2,FALSE),"")</f>
        <v>2</v>
      </c>
      <c r="K239" s="67" t="s">
        <v>814</v>
      </c>
      <c r="L239" s="67" t="s">
        <v>1066</v>
      </c>
    </row>
    <row r="240" spans="1:12" ht="30" customHeight="1">
      <c r="A240" s="179" t="str">
        <f t="shared" si="6"/>
        <v>16/06/20235</v>
      </c>
      <c r="B240" s="172">
        <f t="shared" si="7"/>
        <v>5</v>
      </c>
      <c r="C240" s="67" t="s">
        <v>1145</v>
      </c>
      <c r="D240" s="68" t="s">
        <v>1142</v>
      </c>
      <c r="E240" s="67">
        <v>2</v>
      </c>
      <c r="F240" s="67" t="s">
        <v>1441</v>
      </c>
      <c r="G240" s="69">
        <v>45093</v>
      </c>
      <c r="H240" s="67" t="s">
        <v>1150</v>
      </c>
      <c r="I240" s="69" t="s">
        <v>31</v>
      </c>
      <c r="J240" s="7">
        <f>IFERROR(VLOOKUP(I240,Jueces!$A$1:$B$11,2,FALSE),"")</f>
        <v>2</v>
      </c>
      <c r="K240" s="67" t="s">
        <v>812</v>
      </c>
      <c r="L240" s="67" t="s">
        <v>712</v>
      </c>
    </row>
    <row r="241" spans="1:12" ht="30" customHeight="1">
      <c r="A241" s="179" t="str">
        <f t="shared" si="6"/>
        <v>21/06/20231</v>
      </c>
      <c r="B241" s="172">
        <f t="shared" si="7"/>
        <v>1</v>
      </c>
      <c r="C241" s="67" t="s">
        <v>1147</v>
      </c>
      <c r="D241" s="68" t="s">
        <v>1216</v>
      </c>
      <c r="E241" s="67">
        <v>8</v>
      </c>
      <c r="F241" s="67" t="s">
        <v>283</v>
      </c>
      <c r="G241" s="69">
        <v>45098</v>
      </c>
      <c r="H241" s="67" t="s">
        <v>73</v>
      </c>
      <c r="I241" s="69" t="s">
        <v>31</v>
      </c>
      <c r="J241" s="7">
        <f>IFERROR(VLOOKUP(I241,Jueces!$A$1:$B$11,2,FALSE),"")</f>
        <v>2</v>
      </c>
      <c r="K241" s="67" t="s">
        <v>1306</v>
      </c>
      <c r="L241" s="67" t="s">
        <v>767</v>
      </c>
    </row>
    <row r="242" spans="1:12" ht="30" customHeight="1">
      <c r="A242" s="179" t="str">
        <f t="shared" si="6"/>
        <v>21/06/20232</v>
      </c>
      <c r="B242" s="172">
        <f t="shared" si="7"/>
        <v>2</v>
      </c>
      <c r="C242" s="67" t="s">
        <v>1110</v>
      </c>
      <c r="D242" s="68" t="s">
        <v>1218</v>
      </c>
      <c r="E242" s="67">
        <v>2</v>
      </c>
      <c r="F242" s="67" t="s">
        <v>1442</v>
      </c>
      <c r="G242" s="69">
        <v>45098</v>
      </c>
      <c r="H242" s="67" t="s">
        <v>73</v>
      </c>
      <c r="I242" s="69" t="s">
        <v>78</v>
      </c>
      <c r="J242" s="7">
        <f>IFERROR(VLOOKUP(I242,Jueces!$A$1:$B$11,2,FALSE),"")</f>
        <v>8</v>
      </c>
      <c r="K242" s="67" t="s">
        <v>1180</v>
      </c>
      <c r="L242" s="67" t="s">
        <v>1179</v>
      </c>
    </row>
    <row r="243" spans="1:12" ht="30" customHeight="1">
      <c r="A243" s="179" t="str">
        <f t="shared" si="6"/>
        <v>21/06/20233</v>
      </c>
      <c r="B243" s="172">
        <f t="shared" si="7"/>
        <v>3</v>
      </c>
      <c r="C243" s="67" t="s">
        <v>1113</v>
      </c>
      <c r="D243" s="68" t="s">
        <v>1217</v>
      </c>
      <c r="E243" s="67">
        <v>2</v>
      </c>
      <c r="F243" s="67" t="s">
        <v>32</v>
      </c>
      <c r="G243" s="69">
        <v>45098</v>
      </c>
      <c r="H243" s="74" t="s">
        <v>1086</v>
      </c>
      <c r="I243" s="69" t="s">
        <v>78</v>
      </c>
      <c r="J243" s="7">
        <f>IFERROR(VLOOKUP(I243,Jueces!$A$1:$B$11,2,FALSE),"")</f>
        <v>8</v>
      </c>
      <c r="K243" s="67" t="s">
        <v>809</v>
      </c>
      <c r="L243" s="67" t="s">
        <v>171</v>
      </c>
    </row>
    <row r="244" spans="1:12" ht="30" customHeight="1">
      <c r="A244" s="179" t="str">
        <f t="shared" si="6"/>
        <v>21/06/20234</v>
      </c>
      <c r="B244" s="172">
        <f t="shared" si="7"/>
        <v>4</v>
      </c>
      <c r="C244" s="67" t="s">
        <v>1201</v>
      </c>
      <c r="D244" s="68" t="s">
        <v>1219</v>
      </c>
      <c r="E244" s="67">
        <v>2</v>
      </c>
      <c r="F244" s="67" t="s">
        <v>1441</v>
      </c>
      <c r="G244" s="69">
        <v>45098</v>
      </c>
      <c r="H244" s="74" t="s">
        <v>1210</v>
      </c>
      <c r="I244" s="69" t="s">
        <v>31</v>
      </c>
      <c r="J244" s="7">
        <f>IFERROR(VLOOKUP(I244,Jueces!$A$1:$B$11,2,FALSE),"")</f>
        <v>2</v>
      </c>
      <c r="K244" s="67" t="s">
        <v>811</v>
      </c>
      <c r="L244" s="67" t="s">
        <v>712</v>
      </c>
    </row>
    <row r="245" spans="1:12" ht="30" customHeight="1">
      <c r="A245" s="179" t="str">
        <f t="shared" si="6"/>
        <v>22/06/20231</v>
      </c>
      <c r="B245" s="172">
        <f t="shared" si="7"/>
        <v>1</v>
      </c>
      <c r="C245" s="67" t="s">
        <v>1114</v>
      </c>
      <c r="D245" s="68" t="s">
        <v>1202</v>
      </c>
      <c r="E245" s="67">
        <v>2</v>
      </c>
      <c r="F245" s="67" t="s">
        <v>283</v>
      </c>
      <c r="G245" s="69">
        <v>45099</v>
      </c>
      <c r="H245" s="67" t="s">
        <v>73</v>
      </c>
      <c r="I245" s="69" t="s">
        <v>31</v>
      </c>
      <c r="J245" s="7">
        <f>IFERROR(VLOOKUP(I245,Jueces!$A$1:$B$11,2,FALSE),"")</f>
        <v>2</v>
      </c>
      <c r="K245" s="67" t="s">
        <v>406</v>
      </c>
      <c r="L245" s="67" t="s">
        <v>171</v>
      </c>
    </row>
    <row r="246" spans="1:12" ht="30" customHeight="1">
      <c r="A246" s="179" t="str">
        <f t="shared" si="6"/>
        <v>22/06/20232</v>
      </c>
      <c r="B246" s="172">
        <f t="shared" si="7"/>
        <v>2</v>
      </c>
      <c r="C246" s="67" t="s">
        <v>1122</v>
      </c>
      <c r="D246" s="68" t="s">
        <v>1117</v>
      </c>
      <c r="E246" s="67">
        <v>2</v>
      </c>
      <c r="F246" s="67" t="s">
        <v>43</v>
      </c>
      <c r="G246" s="69">
        <v>45099</v>
      </c>
      <c r="H246" s="67" t="s">
        <v>73</v>
      </c>
      <c r="I246" s="69" t="s">
        <v>78</v>
      </c>
      <c r="J246" s="7">
        <f>IFERROR(VLOOKUP(I246,Jueces!$A$1:$B$11,2,FALSE),"")</f>
        <v>8</v>
      </c>
      <c r="K246" s="67" t="s">
        <v>789</v>
      </c>
      <c r="L246" s="67" t="s">
        <v>1290</v>
      </c>
    </row>
    <row r="247" spans="1:12" ht="30" customHeight="1">
      <c r="A247" s="179" t="str">
        <f t="shared" si="6"/>
        <v>22/06/20233</v>
      </c>
      <c r="B247" s="172">
        <f t="shared" si="7"/>
        <v>3</v>
      </c>
      <c r="C247" s="67" t="s">
        <v>1120</v>
      </c>
      <c r="D247" s="68" t="s">
        <v>1115</v>
      </c>
      <c r="E247" s="67">
        <v>2</v>
      </c>
      <c r="F247" s="67" t="s">
        <v>1441</v>
      </c>
      <c r="G247" s="69">
        <v>45099</v>
      </c>
      <c r="H247" s="74" t="s">
        <v>1086</v>
      </c>
      <c r="I247" s="69" t="s">
        <v>31</v>
      </c>
      <c r="J247" s="7">
        <f>IFERROR(VLOOKUP(I247,Jueces!$A$1:$B$11,2,FALSE),"")</f>
        <v>2</v>
      </c>
      <c r="K247" s="67" t="s">
        <v>807</v>
      </c>
      <c r="L247" s="67" t="s">
        <v>712</v>
      </c>
    </row>
    <row r="248" spans="1:12" ht="30" customHeight="1">
      <c r="A248" s="179" t="str">
        <f t="shared" si="6"/>
        <v>23/06/20231</v>
      </c>
      <c r="B248" s="172">
        <f t="shared" si="7"/>
        <v>1</v>
      </c>
      <c r="C248" s="67" t="s">
        <v>1121</v>
      </c>
      <c r="D248" s="68" t="s">
        <v>1141</v>
      </c>
      <c r="E248" s="67">
        <v>2</v>
      </c>
      <c r="F248" s="67" t="s">
        <v>43</v>
      </c>
      <c r="G248" s="69">
        <v>45100</v>
      </c>
      <c r="H248" s="67" t="s">
        <v>73</v>
      </c>
      <c r="I248" s="69" t="s">
        <v>31</v>
      </c>
      <c r="J248" s="7">
        <f>IFERROR(VLOOKUP(I248,Jueces!$A$1:$B$11,2,FALSE),"")</f>
        <v>2</v>
      </c>
      <c r="K248" s="67" t="s">
        <v>569</v>
      </c>
      <c r="L248" s="67" t="s">
        <v>1294</v>
      </c>
    </row>
    <row r="249" spans="1:12" ht="30" customHeight="1">
      <c r="A249" s="179" t="str">
        <f t="shared" si="6"/>
        <v>23/06/20232</v>
      </c>
      <c r="B249" s="172">
        <f t="shared" si="7"/>
        <v>2</v>
      </c>
      <c r="C249" s="67" t="s">
        <v>1119</v>
      </c>
      <c r="D249" s="68" t="s">
        <v>1116</v>
      </c>
      <c r="E249" s="67">
        <v>2</v>
      </c>
      <c r="F249" s="67" t="s">
        <v>283</v>
      </c>
      <c r="G249" s="69">
        <v>45100</v>
      </c>
      <c r="H249" s="67" t="s">
        <v>73</v>
      </c>
      <c r="I249" s="69" t="s">
        <v>78</v>
      </c>
      <c r="J249" s="7">
        <f>IFERROR(VLOOKUP(I249,Jueces!$A$1:$B$11,2,FALSE),"")</f>
        <v>8</v>
      </c>
      <c r="K249" s="67" t="s">
        <v>812</v>
      </c>
      <c r="L249" s="67" t="s">
        <v>712</v>
      </c>
    </row>
    <row r="250" spans="1:12" ht="30" customHeight="1">
      <c r="A250" s="179" t="str">
        <f t="shared" si="6"/>
        <v>23/06/20233</v>
      </c>
      <c r="B250" s="172">
        <f t="shared" si="7"/>
        <v>3</v>
      </c>
      <c r="C250" s="67" t="s">
        <v>1144</v>
      </c>
      <c r="D250" s="68" t="s">
        <v>1143</v>
      </c>
      <c r="E250" s="67">
        <v>2</v>
      </c>
      <c r="F250" s="67" t="s">
        <v>32</v>
      </c>
      <c r="G250" s="69">
        <v>45100</v>
      </c>
      <c r="H250" s="67" t="s">
        <v>1086</v>
      </c>
      <c r="I250" s="69" t="s">
        <v>78</v>
      </c>
      <c r="J250" s="7">
        <f>IFERROR(VLOOKUP(I250,Jueces!$A$1:$B$11,2,FALSE),"")</f>
        <v>8</v>
      </c>
      <c r="K250" s="67" t="s">
        <v>807</v>
      </c>
      <c r="L250" s="67" t="s">
        <v>712</v>
      </c>
    </row>
    <row r="251" spans="1:12" ht="30" customHeight="1">
      <c r="A251" s="179" t="str">
        <f t="shared" si="6"/>
        <v>23/06/20234</v>
      </c>
      <c r="B251" s="172">
        <f t="shared" si="7"/>
        <v>4</v>
      </c>
      <c r="C251" s="67" t="s">
        <v>1154</v>
      </c>
      <c r="D251" s="68" t="s">
        <v>1153</v>
      </c>
      <c r="E251" s="67">
        <v>2</v>
      </c>
      <c r="F251" s="67" t="s">
        <v>1442</v>
      </c>
      <c r="G251" s="69">
        <v>45100</v>
      </c>
      <c r="H251" s="67" t="s">
        <v>1086</v>
      </c>
      <c r="I251" s="69" t="s">
        <v>31</v>
      </c>
      <c r="J251" s="7">
        <f>IFERROR(VLOOKUP(I251,Jueces!$A$1:$B$11,2,FALSE),"")</f>
        <v>2</v>
      </c>
      <c r="K251" s="67" t="s">
        <v>809</v>
      </c>
      <c r="L251" s="67" t="s">
        <v>692</v>
      </c>
    </row>
    <row r="252" spans="1:12" ht="30" customHeight="1">
      <c r="A252" s="179" t="str">
        <f t="shared" si="6"/>
        <v>23/06/20235</v>
      </c>
      <c r="B252" s="172">
        <f t="shared" si="7"/>
        <v>5</v>
      </c>
      <c r="C252" s="67" t="s">
        <v>1282</v>
      </c>
      <c r="D252" s="68" t="s">
        <v>3060</v>
      </c>
      <c r="E252" s="67">
        <v>2</v>
      </c>
      <c r="F252" s="67" t="s">
        <v>1441</v>
      </c>
      <c r="G252" s="69">
        <v>45100</v>
      </c>
      <c r="H252" s="67" t="s">
        <v>1210</v>
      </c>
      <c r="I252" s="69" t="s">
        <v>31</v>
      </c>
      <c r="J252" s="7">
        <f>IFERROR(VLOOKUP(I252,Jueces!$A$1:$B$11,2,FALSE),"")</f>
        <v>2</v>
      </c>
      <c r="K252" s="67" t="s">
        <v>806</v>
      </c>
      <c r="L252" s="67" t="s">
        <v>1307</v>
      </c>
    </row>
    <row r="253" spans="1:12" ht="30" customHeight="1">
      <c r="A253" s="179" t="str">
        <f t="shared" si="6"/>
        <v>26/06/20231</v>
      </c>
      <c r="B253" s="172">
        <f t="shared" si="7"/>
        <v>1</v>
      </c>
      <c r="C253" s="67" t="s">
        <v>1109</v>
      </c>
      <c r="D253" s="68" t="s">
        <v>1353</v>
      </c>
      <c r="E253" s="67">
        <v>2</v>
      </c>
      <c r="F253" s="67" t="s">
        <v>283</v>
      </c>
      <c r="G253" s="69">
        <v>45103</v>
      </c>
      <c r="H253" s="74" t="s">
        <v>73</v>
      </c>
      <c r="I253" s="69" t="s">
        <v>33</v>
      </c>
      <c r="J253" s="7">
        <f>IFERROR(VLOOKUP(I253,Jueces!$A$1:$B$11,2,FALSE),"")</f>
        <v>4</v>
      </c>
      <c r="K253" s="67" t="s">
        <v>811</v>
      </c>
      <c r="L253" s="67" t="s">
        <v>711</v>
      </c>
    </row>
    <row r="254" spans="1:12" ht="30" customHeight="1">
      <c r="A254" s="179" t="str">
        <f t="shared" si="6"/>
        <v>26/06/20232</v>
      </c>
      <c r="B254" s="172">
        <f t="shared" si="7"/>
        <v>2</v>
      </c>
      <c r="C254" s="67" t="s">
        <v>1151</v>
      </c>
      <c r="D254" s="68" t="s">
        <v>1152</v>
      </c>
      <c r="E254" s="67">
        <v>2</v>
      </c>
      <c r="F254" s="67" t="s">
        <v>29</v>
      </c>
      <c r="G254" s="69">
        <v>45103</v>
      </c>
      <c r="H254" s="67" t="s">
        <v>73</v>
      </c>
      <c r="I254" s="69" t="s">
        <v>31</v>
      </c>
      <c r="J254" s="7">
        <f>IFERROR(VLOOKUP(I254,Jueces!$A$1:$B$11,2,FALSE),"")</f>
        <v>2</v>
      </c>
      <c r="K254" s="67" t="s">
        <v>806</v>
      </c>
      <c r="L254" s="67" t="s">
        <v>1179</v>
      </c>
    </row>
    <row r="255" spans="1:12" ht="30" customHeight="1">
      <c r="A255" s="179" t="str">
        <f t="shared" si="6"/>
        <v>26/06/20233</v>
      </c>
      <c r="B255" s="172">
        <f t="shared" si="7"/>
        <v>3</v>
      </c>
      <c r="C255" s="67" t="s">
        <v>1212</v>
      </c>
      <c r="D255" s="68" t="s">
        <v>1354</v>
      </c>
      <c r="E255" s="67">
        <v>2</v>
      </c>
      <c r="F255" s="67" t="s">
        <v>32</v>
      </c>
      <c r="G255" s="69">
        <v>45103</v>
      </c>
      <c r="H255" s="67" t="s">
        <v>73</v>
      </c>
      <c r="I255" s="69" t="s">
        <v>1221</v>
      </c>
      <c r="J255" s="7">
        <f>IFERROR(VLOOKUP(I255,Jueces!$A$1:$B$11,2,FALSE),"")</f>
        <v>7</v>
      </c>
      <c r="K255" s="67" t="s">
        <v>812</v>
      </c>
      <c r="L255" s="67" t="s">
        <v>1334</v>
      </c>
    </row>
    <row r="256" spans="1:12" ht="30" customHeight="1">
      <c r="A256" s="179" t="str">
        <f t="shared" si="6"/>
        <v>26/06/20234</v>
      </c>
      <c r="B256" s="172">
        <f t="shared" si="7"/>
        <v>4</v>
      </c>
      <c r="C256" s="67" t="s">
        <v>1248</v>
      </c>
      <c r="D256" s="68" t="s">
        <v>1249</v>
      </c>
      <c r="E256" s="67">
        <v>2</v>
      </c>
      <c r="F256" s="67" t="s">
        <v>1441</v>
      </c>
      <c r="G256" s="69">
        <v>45103</v>
      </c>
      <c r="H256" s="67" t="s">
        <v>73</v>
      </c>
      <c r="I256" s="69" t="s">
        <v>1222</v>
      </c>
      <c r="J256" s="7" t="s">
        <v>1346</v>
      </c>
      <c r="K256" s="67" t="s">
        <v>797</v>
      </c>
      <c r="L256" s="67" t="s">
        <v>1288</v>
      </c>
    </row>
    <row r="257" spans="1:12" ht="30" customHeight="1">
      <c r="A257" s="179" t="str">
        <f t="shared" si="6"/>
        <v>26/06/20235</v>
      </c>
      <c r="B257" s="172">
        <f t="shared" si="7"/>
        <v>5</v>
      </c>
      <c r="C257" s="67" t="s">
        <v>1146</v>
      </c>
      <c r="D257" s="68" t="s">
        <v>1352</v>
      </c>
      <c r="E257" s="67">
        <v>2</v>
      </c>
      <c r="F257" s="67" t="s">
        <v>1442</v>
      </c>
      <c r="G257" s="69">
        <v>45103</v>
      </c>
      <c r="H257" s="67" t="s">
        <v>1086</v>
      </c>
      <c r="I257" s="69" t="s">
        <v>31</v>
      </c>
      <c r="J257" s="7">
        <f>IFERROR(VLOOKUP(I257,Jueces!$A$1:$B$11,2,FALSE),"")</f>
        <v>2</v>
      </c>
      <c r="K257" s="67" t="s">
        <v>811</v>
      </c>
      <c r="L257" s="67" t="s">
        <v>713</v>
      </c>
    </row>
    <row r="258" spans="1:12" ht="30" customHeight="1">
      <c r="A258" s="179" t="str">
        <f t="shared" si="6"/>
        <v>26/06/20236</v>
      </c>
      <c r="B258" s="172">
        <f t="shared" si="7"/>
        <v>6</v>
      </c>
      <c r="C258" s="7" t="s">
        <v>1194</v>
      </c>
      <c r="D258" s="41" t="s">
        <v>1351</v>
      </c>
      <c r="E258" s="7">
        <v>2</v>
      </c>
      <c r="F258" s="7" t="s">
        <v>1443</v>
      </c>
      <c r="G258" s="19">
        <v>45103</v>
      </c>
      <c r="H258" s="7" t="s">
        <v>77</v>
      </c>
      <c r="I258" s="19" t="s">
        <v>33</v>
      </c>
      <c r="J258" s="7">
        <f>IFERROR(VLOOKUP(I258,Jueces!$A$1:$B$11,2,FALSE),"")</f>
        <v>4</v>
      </c>
      <c r="K258" s="7" t="s">
        <v>813</v>
      </c>
      <c r="L258" s="7" t="s">
        <v>1334</v>
      </c>
    </row>
    <row r="259" spans="1:12" ht="30" customHeight="1">
      <c r="A259" s="179" t="str">
        <f t="shared" ref="A259:A322" si="8">CONCATENATE(TEXT($G259,"dd/mm/yyyy"),$B259)</f>
        <v>27/06/20231</v>
      </c>
      <c r="B259" s="172">
        <f t="shared" si="7"/>
        <v>1</v>
      </c>
      <c r="C259" s="67" t="s">
        <v>1162</v>
      </c>
      <c r="D259" s="68" t="s">
        <v>1355</v>
      </c>
      <c r="E259" s="67">
        <v>2</v>
      </c>
      <c r="F259" s="67" t="s">
        <v>32</v>
      </c>
      <c r="G259" s="69">
        <v>45104</v>
      </c>
      <c r="H259" s="67" t="s">
        <v>73</v>
      </c>
      <c r="I259" s="69" t="s">
        <v>31</v>
      </c>
      <c r="J259" s="7">
        <f>IFERROR(VLOOKUP(I259,Jueces!$A$1:$B$11,2,FALSE),"")</f>
        <v>2</v>
      </c>
      <c r="K259" s="67" t="s">
        <v>569</v>
      </c>
      <c r="L259" s="67" t="s">
        <v>712</v>
      </c>
    </row>
    <row r="260" spans="1:12" ht="30" customHeight="1">
      <c r="A260" s="179" t="str">
        <f t="shared" si="8"/>
        <v>27/06/20232</v>
      </c>
      <c r="B260" s="172">
        <f t="shared" ref="B260:B323" si="9">IF($G260=$G259,$B259+1,1)</f>
        <v>2</v>
      </c>
      <c r="C260" s="67" t="s">
        <v>1183</v>
      </c>
      <c r="D260" s="68" t="s">
        <v>1356</v>
      </c>
      <c r="E260" s="67">
        <v>2</v>
      </c>
      <c r="F260" s="67" t="s">
        <v>1442</v>
      </c>
      <c r="G260" s="69">
        <v>45104</v>
      </c>
      <c r="H260" s="67" t="s">
        <v>73</v>
      </c>
      <c r="I260" s="69" t="s">
        <v>33</v>
      </c>
      <c r="J260" s="7">
        <f>IFERROR(VLOOKUP(I260,Jueces!$A$1:$B$11,2,FALSE),"")</f>
        <v>4</v>
      </c>
      <c r="K260" s="67" t="s">
        <v>802</v>
      </c>
      <c r="L260" s="67" t="s">
        <v>711</v>
      </c>
    </row>
    <row r="261" spans="1:12" ht="30" customHeight="1">
      <c r="A261" s="179" t="str">
        <f t="shared" si="8"/>
        <v>27/06/20233</v>
      </c>
      <c r="B261" s="172">
        <f t="shared" si="9"/>
        <v>3</v>
      </c>
      <c r="C261" s="67" t="s">
        <v>1273</v>
      </c>
      <c r="D261" s="68" t="s">
        <v>1373</v>
      </c>
      <c r="E261" s="67">
        <v>3</v>
      </c>
      <c r="F261" s="67" t="s">
        <v>283</v>
      </c>
      <c r="G261" s="69">
        <v>45104</v>
      </c>
      <c r="H261" s="67" t="s">
        <v>73</v>
      </c>
      <c r="I261" s="69" t="s">
        <v>1220</v>
      </c>
      <c r="J261" s="7">
        <f>IFERROR(VLOOKUP(I261,Jueces!$A$1:$B$11,2,FALSE),"")</f>
        <v>1</v>
      </c>
      <c r="K261" s="67" t="s">
        <v>791</v>
      </c>
      <c r="L261" s="67" t="s">
        <v>693</v>
      </c>
    </row>
    <row r="262" spans="1:12" ht="30" customHeight="1">
      <c r="A262" s="179" t="str">
        <f t="shared" si="8"/>
        <v>27/06/20234</v>
      </c>
      <c r="B262" s="172">
        <f t="shared" si="9"/>
        <v>4</v>
      </c>
      <c r="C262" s="67" t="s">
        <v>1269</v>
      </c>
      <c r="D262" s="68" t="s">
        <v>1357</v>
      </c>
      <c r="E262" s="67">
        <v>1</v>
      </c>
      <c r="F262" s="67" t="s">
        <v>1441</v>
      </c>
      <c r="G262" s="69">
        <v>45104</v>
      </c>
      <c r="H262" s="67" t="s">
        <v>73</v>
      </c>
      <c r="I262" s="69" t="s">
        <v>1223</v>
      </c>
      <c r="J262" s="7" t="s">
        <v>1326</v>
      </c>
      <c r="K262" s="67" t="s">
        <v>798</v>
      </c>
      <c r="L262" s="67" t="s">
        <v>692</v>
      </c>
    </row>
    <row r="263" spans="1:12" ht="30" customHeight="1">
      <c r="A263" s="179" t="str">
        <f t="shared" si="8"/>
        <v>27/06/20235</v>
      </c>
      <c r="B263" s="172">
        <f t="shared" si="9"/>
        <v>5</v>
      </c>
      <c r="C263" s="67" t="s">
        <v>1197</v>
      </c>
      <c r="D263" s="68" t="s">
        <v>1358</v>
      </c>
      <c r="E263" s="67">
        <v>2</v>
      </c>
      <c r="F263" s="67" t="s">
        <v>1443</v>
      </c>
      <c r="G263" s="69">
        <v>45104</v>
      </c>
      <c r="H263" s="74" t="s">
        <v>1086</v>
      </c>
      <c r="I263" s="69" t="s">
        <v>78</v>
      </c>
      <c r="J263" s="7">
        <f>IFERROR(VLOOKUP(I263,Jueces!$A$1:$B$11,2,FALSE),"")</f>
        <v>8</v>
      </c>
      <c r="K263" s="67" t="s">
        <v>812</v>
      </c>
      <c r="L263" s="67" t="s">
        <v>1179</v>
      </c>
    </row>
    <row r="264" spans="1:12" ht="30" customHeight="1">
      <c r="A264" s="179" t="str">
        <f t="shared" si="8"/>
        <v>27/06/20236</v>
      </c>
      <c r="B264" s="172">
        <f t="shared" si="9"/>
        <v>6</v>
      </c>
      <c r="C264" s="7" t="s">
        <v>1316</v>
      </c>
      <c r="D264" s="41" t="s">
        <v>1359</v>
      </c>
      <c r="E264" s="7">
        <v>3</v>
      </c>
      <c r="F264" s="7" t="s">
        <v>43</v>
      </c>
      <c r="G264" s="19">
        <v>45104</v>
      </c>
      <c r="H264" s="7" t="s">
        <v>1086</v>
      </c>
      <c r="I264" s="19" t="s">
        <v>1220</v>
      </c>
      <c r="J264" s="7">
        <f>IFERROR(VLOOKUP(I264,Jueces!$A$1:$B$11,2,FALSE),"")</f>
        <v>1</v>
      </c>
      <c r="K264" s="7" t="s">
        <v>810</v>
      </c>
      <c r="L264" s="7" t="s">
        <v>693</v>
      </c>
    </row>
    <row r="265" spans="1:12" ht="30" customHeight="1">
      <c r="A265" s="179" t="str">
        <f t="shared" si="8"/>
        <v>28/06/20231</v>
      </c>
      <c r="B265" s="172">
        <f t="shared" si="9"/>
        <v>1</v>
      </c>
      <c r="C265" s="67" t="s">
        <v>1163</v>
      </c>
      <c r="D265" s="68" t="s">
        <v>1161</v>
      </c>
      <c r="E265" s="67">
        <v>2</v>
      </c>
      <c r="F265" s="67" t="s">
        <v>29</v>
      </c>
      <c r="G265" s="69">
        <v>45105</v>
      </c>
      <c r="H265" s="67" t="s">
        <v>73</v>
      </c>
      <c r="I265" s="69" t="s">
        <v>33</v>
      </c>
      <c r="J265" s="7">
        <f>IFERROR(VLOOKUP(I265,Jueces!$A$1:$B$11,2,FALSE),"")</f>
        <v>4</v>
      </c>
      <c r="K265" s="67" t="s">
        <v>414</v>
      </c>
      <c r="L265" s="67" t="s">
        <v>1179</v>
      </c>
    </row>
    <row r="266" spans="1:12" ht="30" customHeight="1">
      <c r="A266" s="179" t="str">
        <f t="shared" si="8"/>
        <v>28/06/20232</v>
      </c>
      <c r="B266" s="172">
        <f t="shared" si="9"/>
        <v>2</v>
      </c>
      <c r="C266" s="67" t="s">
        <v>1195</v>
      </c>
      <c r="D266" s="68" t="s">
        <v>1196</v>
      </c>
      <c r="E266" s="67">
        <v>8</v>
      </c>
      <c r="F266" s="67" t="s">
        <v>1443</v>
      </c>
      <c r="G266" s="69">
        <v>45105</v>
      </c>
      <c r="H266" s="67" t="s">
        <v>73</v>
      </c>
      <c r="I266" s="69" t="s">
        <v>78</v>
      </c>
      <c r="J266" s="7">
        <f>IFERROR(VLOOKUP(I266,Jueces!$A$1:$B$11,2,FALSE),"")</f>
        <v>8</v>
      </c>
      <c r="K266" s="67" t="s">
        <v>799</v>
      </c>
      <c r="L266" s="67" t="s">
        <v>711</v>
      </c>
    </row>
    <row r="267" spans="1:12" ht="30" customHeight="1">
      <c r="A267" s="179" t="str">
        <f t="shared" si="8"/>
        <v>28/06/20233</v>
      </c>
      <c r="B267" s="172">
        <f t="shared" si="9"/>
        <v>3</v>
      </c>
      <c r="C267" s="67" t="s">
        <v>1264</v>
      </c>
      <c r="D267" s="68" t="s">
        <v>1251</v>
      </c>
      <c r="E267" s="67">
        <v>3</v>
      </c>
      <c r="F267" s="67" t="s">
        <v>1441</v>
      </c>
      <c r="G267" s="69">
        <v>45105</v>
      </c>
      <c r="H267" s="67" t="s">
        <v>73</v>
      </c>
      <c r="I267" s="69" t="s">
        <v>1221</v>
      </c>
      <c r="J267" s="7">
        <f>IFERROR(VLOOKUP(I267,Jueces!$A$1:$B$11,2,FALSE),"")</f>
        <v>7</v>
      </c>
      <c r="K267" s="67" t="s">
        <v>811</v>
      </c>
      <c r="L267" s="67" t="s">
        <v>693</v>
      </c>
    </row>
    <row r="268" spans="1:12" ht="30" customHeight="1">
      <c r="A268" s="179" t="str">
        <f t="shared" si="8"/>
        <v>28/06/20234</v>
      </c>
      <c r="B268" s="172">
        <f t="shared" si="9"/>
        <v>4</v>
      </c>
      <c r="C268" s="67" t="s">
        <v>1270</v>
      </c>
      <c r="D268" s="68" t="s">
        <v>1271</v>
      </c>
      <c r="E268" s="67">
        <v>1</v>
      </c>
      <c r="F268" s="67" t="s">
        <v>32</v>
      </c>
      <c r="G268" s="69">
        <v>45105</v>
      </c>
      <c r="H268" s="67" t="s">
        <v>73</v>
      </c>
      <c r="I268" s="69" t="s">
        <v>31</v>
      </c>
      <c r="J268" s="7">
        <f>IFERROR(VLOOKUP(I268,Jueces!$A$1:$B$11,2,FALSE),"")</f>
        <v>2</v>
      </c>
      <c r="K268" s="67" t="s">
        <v>688</v>
      </c>
      <c r="L268" s="67" t="s">
        <v>723</v>
      </c>
    </row>
    <row r="269" spans="1:12" ht="30" customHeight="1">
      <c r="A269" s="179" t="str">
        <f t="shared" si="8"/>
        <v>28/06/20235</v>
      </c>
      <c r="B269" s="172">
        <f t="shared" si="9"/>
        <v>5</v>
      </c>
      <c r="C269" s="67" t="s">
        <v>1165</v>
      </c>
      <c r="D269" s="68" t="s">
        <v>1164</v>
      </c>
      <c r="E269" s="67">
        <v>2</v>
      </c>
      <c r="F269" s="67" t="s">
        <v>43</v>
      </c>
      <c r="G269" s="69">
        <v>45105</v>
      </c>
      <c r="H269" s="67" t="s">
        <v>1086</v>
      </c>
      <c r="I269" s="69" t="s">
        <v>33</v>
      </c>
      <c r="J269" s="7">
        <f>IFERROR(VLOOKUP(I269,Jueces!$A$1:$B$11,2,FALSE),"")</f>
        <v>4</v>
      </c>
      <c r="K269" s="67" t="s">
        <v>277</v>
      </c>
      <c r="L269" s="67" t="s">
        <v>1179</v>
      </c>
    </row>
    <row r="270" spans="1:12" ht="30" customHeight="1">
      <c r="A270" s="179" t="str">
        <f t="shared" si="8"/>
        <v>28/06/20236</v>
      </c>
      <c r="B270" s="172">
        <f t="shared" si="9"/>
        <v>6</v>
      </c>
      <c r="C270" s="67" t="s">
        <v>1267</v>
      </c>
      <c r="D270" s="68" t="s">
        <v>1268</v>
      </c>
      <c r="E270" s="67">
        <v>3</v>
      </c>
      <c r="F270" s="67" t="s">
        <v>283</v>
      </c>
      <c r="G270" s="69">
        <v>45105</v>
      </c>
      <c r="H270" s="67" t="s">
        <v>1086</v>
      </c>
      <c r="I270" s="69" t="s">
        <v>78</v>
      </c>
      <c r="J270" s="7">
        <f>IFERROR(VLOOKUP(I270,Jueces!$A$1:$B$11,2,FALSE),"")</f>
        <v>8</v>
      </c>
      <c r="K270" s="67" t="s">
        <v>1180</v>
      </c>
      <c r="L270" s="123" t="s">
        <v>697</v>
      </c>
    </row>
    <row r="271" spans="1:12" ht="30" customHeight="1">
      <c r="A271" s="179" t="str">
        <f t="shared" si="8"/>
        <v>29/06/20231</v>
      </c>
      <c r="B271" s="172">
        <f t="shared" si="9"/>
        <v>1</v>
      </c>
      <c r="C271" s="67" t="s">
        <v>1211</v>
      </c>
      <c r="D271" s="68" t="s">
        <v>1422</v>
      </c>
      <c r="E271" s="67">
        <v>2</v>
      </c>
      <c r="F271" s="67" t="s">
        <v>1441</v>
      </c>
      <c r="G271" s="69">
        <v>45106</v>
      </c>
      <c r="H271" s="67" t="s">
        <v>73</v>
      </c>
      <c r="I271" s="69" t="s">
        <v>1220</v>
      </c>
      <c r="J271" s="7">
        <f>IFERROR(VLOOKUP(I271,Jueces!$A$1:$B$11,2,FALSE),"")</f>
        <v>1</v>
      </c>
      <c r="K271" s="67" t="s">
        <v>797</v>
      </c>
      <c r="L271" s="67" t="s">
        <v>782</v>
      </c>
    </row>
    <row r="272" spans="1:12" ht="30" customHeight="1">
      <c r="A272" s="179" t="str">
        <f t="shared" si="8"/>
        <v>29/06/20232</v>
      </c>
      <c r="B272" s="172">
        <f t="shared" si="9"/>
        <v>2</v>
      </c>
      <c r="C272" s="67" t="s">
        <v>1272</v>
      </c>
      <c r="D272" s="68" t="s">
        <v>1423</v>
      </c>
      <c r="E272" s="67">
        <v>2</v>
      </c>
      <c r="F272" s="67" t="s">
        <v>1442</v>
      </c>
      <c r="G272" s="69">
        <v>45106</v>
      </c>
      <c r="H272" s="67" t="s">
        <v>73</v>
      </c>
      <c r="I272" s="69" t="s">
        <v>31</v>
      </c>
      <c r="J272" s="7">
        <f>IFERROR(VLOOKUP(I272,Jueces!$A$1:$B$11,2,FALSE),"")</f>
        <v>2</v>
      </c>
      <c r="K272" s="67" t="s">
        <v>508</v>
      </c>
      <c r="L272" s="67" t="s">
        <v>1285</v>
      </c>
    </row>
    <row r="273" spans="1:12" ht="30" customHeight="1">
      <c r="A273" s="179" t="str">
        <f t="shared" si="8"/>
        <v>29/06/20233</v>
      </c>
      <c r="B273" s="172">
        <f t="shared" si="9"/>
        <v>3</v>
      </c>
      <c r="C273" s="67" t="s">
        <v>1265</v>
      </c>
      <c r="D273" s="68" t="s">
        <v>1425</v>
      </c>
      <c r="E273" s="67">
        <v>2</v>
      </c>
      <c r="F273" s="67" t="s">
        <v>32</v>
      </c>
      <c r="G273" s="69">
        <v>45106</v>
      </c>
      <c r="H273" s="67" t="s">
        <v>73</v>
      </c>
      <c r="I273" s="69" t="s">
        <v>1222</v>
      </c>
      <c r="J273" s="7" t="s">
        <v>1326</v>
      </c>
      <c r="K273" s="67" t="s">
        <v>807</v>
      </c>
      <c r="L273" s="67" t="s">
        <v>1286</v>
      </c>
    </row>
    <row r="274" spans="1:12" ht="30" customHeight="1">
      <c r="A274" s="179" t="str">
        <f t="shared" si="8"/>
        <v>29/06/20234</v>
      </c>
      <c r="B274" s="172">
        <f t="shared" si="9"/>
        <v>4</v>
      </c>
      <c r="C274" s="67" t="s">
        <v>1266</v>
      </c>
      <c r="D274" s="68" t="s">
        <v>1424</v>
      </c>
      <c r="E274" s="67">
        <v>3</v>
      </c>
      <c r="F274" s="67" t="s">
        <v>29</v>
      </c>
      <c r="G274" s="69">
        <v>45106</v>
      </c>
      <c r="H274" s="67" t="s">
        <v>73</v>
      </c>
      <c r="I274" s="69" t="s">
        <v>33</v>
      </c>
      <c r="J274" s="7">
        <f>IFERROR(VLOOKUP(I274,Jueces!$A$1:$B$11,2,FALSE),"")</f>
        <v>4</v>
      </c>
      <c r="K274" s="67" t="s">
        <v>812</v>
      </c>
      <c r="L274" s="67" t="s">
        <v>1290</v>
      </c>
    </row>
    <row r="275" spans="1:12" ht="30" customHeight="1">
      <c r="A275" s="179" t="str">
        <f t="shared" si="8"/>
        <v>29/06/20235</v>
      </c>
      <c r="B275" s="172">
        <f t="shared" si="9"/>
        <v>5</v>
      </c>
      <c r="C275" s="67" t="s">
        <v>1213</v>
      </c>
      <c r="D275" s="68" t="s">
        <v>1426</v>
      </c>
      <c r="E275" s="107">
        <v>2</v>
      </c>
      <c r="F275" s="69" t="s">
        <v>43</v>
      </c>
      <c r="G275" s="69">
        <v>45106</v>
      </c>
      <c r="H275" s="69" t="s">
        <v>1086</v>
      </c>
      <c r="I275" s="69" t="s">
        <v>1221</v>
      </c>
      <c r="J275" s="107">
        <f>IFERROR(VLOOKUP(I275,Jueces!$A$1:$B$11,2,FALSE),"")</f>
        <v>7</v>
      </c>
      <c r="K275" s="69" t="s">
        <v>797</v>
      </c>
      <c r="L275" s="69" t="s">
        <v>712</v>
      </c>
    </row>
    <row r="276" spans="1:12" ht="30" customHeight="1">
      <c r="A276" s="179" t="str">
        <f t="shared" si="8"/>
        <v>29/06/20236</v>
      </c>
      <c r="B276" s="172">
        <f t="shared" si="9"/>
        <v>6</v>
      </c>
      <c r="C276" s="67" t="s">
        <v>1284</v>
      </c>
      <c r="D276" s="68" t="s">
        <v>3061</v>
      </c>
      <c r="E276" s="67">
        <v>2</v>
      </c>
      <c r="F276" s="67" t="s">
        <v>283</v>
      </c>
      <c r="G276" s="69">
        <v>45106</v>
      </c>
      <c r="H276" s="67" t="s">
        <v>1086</v>
      </c>
      <c r="I276" s="69" t="s">
        <v>1223</v>
      </c>
      <c r="J276" s="7" t="s">
        <v>1326</v>
      </c>
      <c r="K276" s="67" t="s">
        <v>791</v>
      </c>
      <c r="L276" s="67" t="s">
        <v>692</v>
      </c>
    </row>
    <row r="277" spans="1:12" ht="30" customHeight="1">
      <c r="A277" s="179" t="str">
        <f t="shared" si="8"/>
        <v>30/06/20231</v>
      </c>
      <c r="B277" s="172">
        <f t="shared" si="9"/>
        <v>1</v>
      </c>
      <c r="C277" s="67" t="s">
        <v>1074</v>
      </c>
      <c r="D277" s="68" t="s">
        <v>1474</v>
      </c>
      <c r="E277" s="67">
        <v>4</v>
      </c>
      <c r="F277" s="67" t="s">
        <v>1443</v>
      </c>
      <c r="G277" s="69">
        <v>45107</v>
      </c>
      <c r="H277" s="74">
        <v>0.33333333333333331</v>
      </c>
      <c r="I277" s="69" t="s">
        <v>31</v>
      </c>
      <c r="J277" s="7">
        <f>IFERROR(VLOOKUP(I277,Jueces!$A$1:$B$11,2,FALSE),"")</f>
        <v>2</v>
      </c>
      <c r="K277" s="67" t="s">
        <v>1453</v>
      </c>
      <c r="L277" s="67" t="s">
        <v>701</v>
      </c>
    </row>
    <row r="278" spans="1:12" ht="30" customHeight="1">
      <c r="A278" s="179" t="str">
        <f t="shared" si="8"/>
        <v>30/06/20232</v>
      </c>
      <c r="B278" s="172">
        <f t="shared" si="9"/>
        <v>2</v>
      </c>
      <c r="C278" s="67" t="s">
        <v>1209</v>
      </c>
      <c r="D278" s="68" t="s">
        <v>1473</v>
      </c>
      <c r="E278" s="67">
        <v>4</v>
      </c>
      <c r="F278" s="67" t="s">
        <v>43</v>
      </c>
      <c r="G278" s="69">
        <v>45107</v>
      </c>
      <c r="H278" s="67" t="s">
        <v>73</v>
      </c>
      <c r="I278" s="69" t="s">
        <v>33</v>
      </c>
      <c r="J278" s="7">
        <f>IFERROR(VLOOKUP(I278,Jueces!$A$1:$B$11,2,FALSE),"")</f>
        <v>4</v>
      </c>
      <c r="K278" s="67" t="s">
        <v>1070</v>
      </c>
      <c r="L278" s="67" t="s">
        <v>783</v>
      </c>
    </row>
    <row r="279" spans="1:12" ht="30" customHeight="1">
      <c r="A279" s="179" t="str">
        <f t="shared" si="8"/>
        <v>30/06/20233</v>
      </c>
      <c r="B279" s="172">
        <f t="shared" si="9"/>
        <v>3</v>
      </c>
      <c r="C279" s="67" t="s">
        <v>1263</v>
      </c>
      <c r="D279" s="68" t="s">
        <v>1472</v>
      </c>
      <c r="E279" s="67">
        <v>3</v>
      </c>
      <c r="F279" s="67" t="s">
        <v>29</v>
      </c>
      <c r="G279" s="69">
        <v>45107</v>
      </c>
      <c r="H279" s="67" t="s">
        <v>73</v>
      </c>
      <c r="I279" s="69" t="s">
        <v>1220</v>
      </c>
      <c r="J279" s="7">
        <f>IFERROR(VLOOKUP(I279,Jueces!$A$1:$B$11,2,FALSE),"")</f>
        <v>1</v>
      </c>
      <c r="K279" s="67" t="s">
        <v>812</v>
      </c>
      <c r="L279" s="67" t="s">
        <v>692</v>
      </c>
    </row>
    <row r="280" spans="1:12" ht="30" customHeight="1">
      <c r="A280" s="179" t="str">
        <f t="shared" si="8"/>
        <v>30/06/20234</v>
      </c>
      <c r="B280" s="172">
        <f t="shared" si="9"/>
        <v>4</v>
      </c>
      <c r="C280" s="67" t="s">
        <v>1289</v>
      </c>
      <c r="D280" s="68" t="s">
        <v>1471</v>
      </c>
      <c r="E280" s="67">
        <v>3</v>
      </c>
      <c r="F280" s="67" t="s">
        <v>1442</v>
      </c>
      <c r="G280" s="69">
        <v>45107</v>
      </c>
      <c r="H280" s="67" t="s">
        <v>73</v>
      </c>
      <c r="I280" s="69" t="s">
        <v>78</v>
      </c>
      <c r="J280" s="67">
        <f>IFERROR(VLOOKUP(I280,Jueces!$A$1:$B$11,2,FALSE),"")</f>
        <v>8</v>
      </c>
      <c r="K280" s="67" t="s">
        <v>807</v>
      </c>
      <c r="L280" s="67" t="s">
        <v>1461</v>
      </c>
    </row>
    <row r="281" spans="1:12" ht="30" customHeight="1">
      <c r="A281" s="179" t="str">
        <f t="shared" si="8"/>
        <v>30/06/20235</v>
      </c>
      <c r="B281" s="172">
        <f t="shared" si="9"/>
        <v>5</v>
      </c>
      <c r="C281" s="67" t="s">
        <v>1365</v>
      </c>
      <c r="D281" s="68" t="s">
        <v>1470</v>
      </c>
      <c r="E281" s="67">
        <v>3</v>
      </c>
      <c r="F281" s="67" t="s">
        <v>283</v>
      </c>
      <c r="G281" s="69">
        <v>45107</v>
      </c>
      <c r="H281" s="67" t="s">
        <v>73</v>
      </c>
      <c r="I281" s="69" t="s">
        <v>1223</v>
      </c>
      <c r="J281" s="67" t="s">
        <v>1326</v>
      </c>
      <c r="K281" s="67" t="s">
        <v>811</v>
      </c>
      <c r="L281" s="67" t="s">
        <v>694</v>
      </c>
    </row>
    <row r="282" spans="1:12" ht="30" customHeight="1">
      <c r="A282" s="179" t="str">
        <f t="shared" si="8"/>
        <v>30/06/20236</v>
      </c>
      <c r="B282" s="172">
        <f t="shared" si="9"/>
        <v>6</v>
      </c>
      <c r="C282" s="67" t="s">
        <v>1250</v>
      </c>
      <c r="D282" s="68" t="s">
        <v>1469</v>
      </c>
      <c r="E282" s="67">
        <v>3</v>
      </c>
      <c r="F282" s="67" t="s">
        <v>32</v>
      </c>
      <c r="G282" s="69">
        <v>45107</v>
      </c>
      <c r="H282" s="67" t="s">
        <v>1086</v>
      </c>
      <c r="I282" s="69" t="s">
        <v>33</v>
      </c>
      <c r="J282" s="67">
        <f>IFERROR(VLOOKUP(I282,Jueces!$A$1:$B$11,2,FALSE),"")</f>
        <v>4</v>
      </c>
      <c r="K282" s="67" t="s">
        <v>1453</v>
      </c>
      <c r="L282" s="67" t="s">
        <v>1467</v>
      </c>
    </row>
    <row r="283" spans="1:12" ht="30" customHeight="1">
      <c r="A283" s="179" t="str">
        <f t="shared" si="8"/>
        <v>30/06/20237</v>
      </c>
      <c r="B283" s="172">
        <f t="shared" si="9"/>
        <v>7</v>
      </c>
      <c r="C283" s="67" t="s">
        <v>1368</v>
      </c>
      <c r="D283" s="68" t="s">
        <v>1369</v>
      </c>
      <c r="E283" s="67">
        <v>3</v>
      </c>
      <c r="F283" s="67" t="s">
        <v>43</v>
      </c>
      <c r="G283" s="69">
        <v>45107</v>
      </c>
      <c r="H283" s="74" t="s">
        <v>75</v>
      </c>
      <c r="I283" s="69" t="s">
        <v>35</v>
      </c>
      <c r="J283" s="67">
        <f>IFERROR(VLOOKUP(I283,Jueces!$A$1:$B$11,2,FALSE),"")</f>
        <v>3</v>
      </c>
      <c r="K283" s="67" t="s">
        <v>812</v>
      </c>
      <c r="L283" s="67" t="s">
        <v>1386</v>
      </c>
    </row>
    <row r="284" spans="1:12" ht="30" customHeight="1">
      <c r="A284" s="179" t="str">
        <f t="shared" si="8"/>
        <v>03/07/20231</v>
      </c>
      <c r="B284" s="172">
        <f t="shared" si="9"/>
        <v>1</v>
      </c>
      <c r="C284" s="67" t="s">
        <v>1318</v>
      </c>
      <c r="D284" s="68" t="s">
        <v>1513</v>
      </c>
      <c r="E284" s="67">
        <v>3</v>
      </c>
      <c r="F284" s="67" t="s">
        <v>1443</v>
      </c>
      <c r="G284" s="69">
        <v>45110</v>
      </c>
      <c r="H284" s="74" t="s">
        <v>73</v>
      </c>
      <c r="I284" s="69" t="s">
        <v>1221</v>
      </c>
      <c r="J284" s="67">
        <f>IFERROR(VLOOKUP(I284,Jueces!$A$1:$B$11,2,FALSE),"")</f>
        <v>7</v>
      </c>
      <c r="K284" s="67" t="s">
        <v>812</v>
      </c>
      <c r="L284" s="67" t="s">
        <v>693</v>
      </c>
    </row>
    <row r="285" spans="1:12" ht="30" customHeight="1">
      <c r="A285" s="179" t="str">
        <f t="shared" si="8"/>
        <v>03/07/20232</v>
      </c>
      <c r="B285" s="172">
        <f t="shared" si="9"/>
        <v>2</v>
      </c>
      <c r="C285" s="67" t="s">
        <v>1312</v>
      </c>
      <c r="D285" s="68" t="s">
        <v>1514</v>
      </c>
      <c r="E285" s="67">
        <v>2</v>
      </c>
      <c r="F285" s="67" t="s">
        <v>568</v>
      </c>
      <c r="G285" s="69">
        <v>45110</v>
      </c>
      <c r="H285" s="67" t="s">
        <v>73</v>
      </c>
      <c r="I285" s="69" t="s">
        <v>78</v>
      </c>
      <c r="J285" s="67">
        <f>IFERROR(VLOOKUP(I285,Jueces!$A$1:$B$11,2,FALSE),"")</f>
        <v>8</v>
      </c>
      <c r="K285" s="67" t="s">
        <v>811</v>
      </c>
      <c r="L285" s="67" t="s">
        <v>1498</v>
      </c>
    </row>
    <row r="286" spans="1:12" ht="30" customHeight="1">
      <c r="A286" s="179" t="str">
        <f t="shared" si="8"/>
        <v>03/07/20233</v>
      </c>
      <c r="B286" s="172">
        <f t="shared" si="9"/>
        <v>3</v>
      </c>
      <c r="C286" s="67" t="s">
        <v>1314</v>
      </c>
      <c r="D286" s="68" t="s">
        <v>1515</v>
      </c>
      <c r="E286" s="67">
        <v>2</v>
      </c>
      <c r="F286" s="67" t="s">
        <v>29</v>
      </c>
      <c r="G286" s="69">
        <v>45110</v>
      </c>
      <c r="H286" s="67" t="s">
        <v>73</v>
      </c>
      <c r="I286" s="69" t="s">
        <v>35</v>
      </c>
      <c r="J286" s="67">
        <f>IFERROR(VLOOKUP(I286,Jueces!$A$1:$B$11,2,FALSE),"")</f>
        <v>3</v>
      </c>
      <c r="K286" s="67" t="s">
        <v>326</v>
      </c>
      <c r="L286" s="67" t="s">
        <v>1179</v>
      </c>
    </row>
    <row r="287" spans="1:12" ht="30" customHeight="1">
      <c r="A287" s="179" t="str">
        <f t="shared" si="8"/>
        <v>03/07/20234</v>
      </c>
      <c r="B287" s="172">
        <f t="shared" si="9"/>
        <v>4</v>
      </c>
      <c r="C287" s="67" t="s">
        <v>1410</v>
      </c>
      <c r="D287" s="68" t="s">
        <v>1516</v>
      </c>
      <c r="E287" s="67">
        <v>2</v>
      </c>
      <c r="F287" s="67" t="s">
        <v>32</v>
      </c>
      <c r="G287" s="69">
        <v>45110</v>
      </c>
      <c r="H287" s="69" t="s">
        <v>73</v>
      </c>
      <c r="I287" s="69" t="s">
        <v>1220</v>
      </c>
      <c r="J287" s="67">
        <f>IFERROR(VLOOKUP(I287,Jueces!$A$1:$B$11,2,FALSE),"")</f>
        <v>1</v>
      </c>
      <c r="K287" s="67" t="s">
        <v>791</v>
      </c>
      <c r="L287" s="67" t="s">
        <v>1434</v>
      </c>
    </row>
    <row r="288" spans="1:12" ht="30" customHeight="1">
      <c r="A288" s="179" t="str">
        <f t="shared" si="8"/>
        <v>03/07/20235</v>
      </c>
      <c r="B288" s="172">
        <f t="shared" si="9"/>
        <v>5</v>
      </c>
      <c r="C288" s="67" t="s">
        <v>1262</v>
      </c>
      <c r="D288" s="68" t="s">
        <v>1517</v>
      </c>
      <c r="E288" s="67">
        <v>2</v>
      </c>
      <c r="F288" s="67" t="s">
        <v>1443</v>
      </c>
      <c r="G288" s="69">
        <v>45110</v>
      </c>
      <c r="H288" s="67" t="s">
        <v>1086</v>
      </c>
      <c r="I288" s="69" t="s">
        <v>1221</v>
      </c>
      <c r="J288" s="67">
        <f>IFERROR(VLOOKUP(I288,Jueces!$A$1:$B$11,2,FALSE),"")</f>
        <v>7</v>
      </c>
      <c r="K288" s="67" t="s">
        <v>813</v>
      </c>
      <c r="L288" s="67" t="s">
        <v>1290</v>
      </c>
    </row>
    <row r="289" spans="1:12" ht="30" customHeight="1">
      <c r="A289" s="179" t="str">
        <f t="shared" si="8"/>
        <v>03/07/20236</v>
      </c>
      <c r="B289" s="172">
        <f t="shared" si="9"/>
        <v>6</v>
      </c>
      <c r="C289" s="7" t="s">
        <v>1320</v>
      </c>
      <c r="D289" s="41" t="s">
        <v>1518</v>
      </c>
      <c r="E289" s="7">
        <v>3</v>
      </c>
      <c r="F289" s="7" t="s">
        <v>43</v>
      </c>
      <c r="G289" s="19">
        <v>45110</v>
      </c>
      <c r="H289" s="7" t="s">
        <v>1086</v>
      </c>
      <c r="I289" s="69" t="s">
        <v>1220</v>
      </c>
      <c r="J289" s="67">
        <f>IFERROR(VLOOKUP(I289,Jueces!$A$1:$B$11,2,FALSE),"")</f>
        <v>1</v>
      </c>
      <c r="K289" s="7" t="s">
        <v>812</v>
      </c>
      <c r="L289" s="7" t="s">
        <v>693</v>
      </c>
    </row>
    <row r="290" spans="1:12" ht="30" customHeight="1">
      <c r="A290" s="179" t="str">
        <f t="shared" si="8"/>
        <v>03/07/20237</v>
      </c>
      <c r="B290" s="172">
        <f t="shared" si="9"/>
        <v>7</v>
      </c>
      <c r="C290" s="112" t="s">
        <v>1343</v>
      </c>
      <c r="D290" s="113" t="s">
        <v>1519</v>
      </c>
      <c r="E290" s="112">
        <v>2</v>
      </c>
      <c r="F290" s="67" t="s">
        <v>1442</v>
      </c>
      <c r="G290" s="267">
        <v>45110</v>
      </c>
      <c r="H290" s="112" t="s">
        <v>1086</v>
      </c>
      <c r="I290" s="69" t="s">
        <v>78</v>
      </c>
      <c r="J290" s="67">
        <f>IFERROR(VLOOKUP(I290,Jueces!$A$1:$B$11,2,FALSE),"")</f>
        <v>8</v>
      </c>
      <c r="K290" s="67" t="s">
        <v>1502</v>
      </c>
      <c r="L290" s="67" t="s">
        <v>1179</v>
      </c>
    </row>
    <row r="291" spans="1:12" ht="30" customHeight="1">
      <c r="A291" s="179" t="str">
        <f t="shared" si="8"/>
        <v>04/07/20231</v>
      </c>
      <c r="B291" s="172">
        <f t="shared" si="9"/>
        <v>1</v>
      </c>
      <c r="C291" s="67" t="s">
        <v>1315</v>
      </c>
      <c r="D291" s="68" t="s">
        <v>1546</v>
      </c>
      <c r="E291" s="67">
        <v>3</v>
      </c>
      <c r="F291" s="67" t="s">
        <v>32</v>
      </c>
      <c r="G291" s="69">
        <v>45111</v>
      </c>
      <c r="H291" s="67" t="s">
        <v>73</v>
      </c>
      <c r="I291" s="69" t="s">
        <v>1221</v>
      </c>
      <c r="J291" s="67">
        <f>IFERROR(VLOOKUP(I291,Jueces!$A$1:$B$11,2,FALSE),"")</f>
        <v>7</v>
      </c>
      <c r="K291" s="67" t="s">
        <v>807</v>
      </c>
      <c r="L291" s="67" t="s">
        <v>1527</v>
      </c>
    </row>
    <row r="292" spans="1:12" ht="30" customHeight="1">
      <c r="A292" s="179" t="str">
        <f t="shared" si="8"/>
        <v>04/07/20232</v>
      </c>
      <c r="B292" s="172">
        <f t="shared" si="9"/>
        <v>2</v>
      </c>
      <c r="C292" s="67" t="s">
        <v>1327</v>
      </c>
      <c r="D292" s="68" t="s">
        <v>1545</v>
      </c>
      <c r="E292" s="67">
        <v>1</v>
      </c>
      <c r="F292" s="67" t="s">
        <v>1441</v>
      </c>
      <c r="G292" s="69">
        <v>45111</v>
      </c>
      <c r="H292" s="67" t="s">
        <v>73</v>
      </c>
      <c r="I292" s="69" t="s">
        <v>35</v>
      </c>
      <c r="J292" s="67">
        <f>IFERROR(VLOOKUP(I292,Jueces!$A$1:$B$11,2,FALSE),"")</f>
        <v>3</v>
      </c>
      <c r="K292" s="67" t="s">
        <v>405</v>
      </c>
      <c r="L292" s="67" t="s">
        <v>1087</v>
      </c>
    </row>
    <row r="293" spans="1:12" ht="30" customHeight="1">
      <c r="A293" s="179" t="str">
        <f t="shared" si="8"/>
        <v>04/07/20233</v>
      </c>
      <c r="B293" s="172">
        <f t="shared" si="9"/>
        <v>3</v>
      </c>
      <c r="C293" s="67" t="s">
        <v>1411</v>
      </c>
      <c r="D293" s="68" t="s">
        <v>1544</v>
      </c>
      <c r="E293" s="67">
        <v>2</v>
      </c>
      <c r="F293" s="67" t="s">
        <v>1442</v>
      </c>
      <c r="G293" s="69">
        <v>45111</v>
      </c>
      <c r="H293" s="67" t="s">
        <v>73</v>
      </c>
      <c r="I293" s="69" t="s">
        <v>1220</v>
      </c>
      <c r="J293" s="67">
        <f>IFERROR(VLOOKUP(I293,Jueces!$A$1:$B$11,2,FALSE),"")</f>
        <v>1</v>
      </c>
      <c r="K293" s="67" t="s">
        <v>185</v>
      </c>
      <c r="L293" s="67" t="s">
        <v>1179</v>
      </c>
    </row>
    <row r="294" spans="1:12" ht="30" customHeight="1">
      <c r="A294" s="179" t="str">
        <f t="shared" si="8"/>
        <v>04/07/20234</v>
      </c>
      <c r="B294" s="172">
        <f t="shared" si="9"/>
        <v>4</v>
      </c>
      <c r="C294" s="67" t="s">
        <v>1385</v>
      </c>
      <c r="D294" s="68" t="s">
        <v>1543</v>
      </c>
      <c r="E294" s="67">
        <v>2</v>
      </c>
      <c r="F294" s="67" t="s">
        <v>29</v>
      </c>
      <c r="G294" s="69">
        <v>45111</v>
      </c>
      <c r="H294" s="69" t="s">
        <v>73</v>
      </c>
      <c r="I294" s="69" t="s">
        <v>78</v>
      </c>
      <c r="J294" s="67">
        <f>IFERROR(VLOOKUP(I294,Jueces!$A$1:$B$11,2,FALSE),"")</f>
        <v>8</v>
      </c>
      <c r="K294" s="67" t="s">
        <v>812</v>
      </c>
      <c r="L294" s="67" t="s">
        <v>783</v>
      </c>
    </row>
    <row r="295" spans="1:12" ht="30" customHeight="1">
      <c r="A295" s="179" t="str">
        <f t="shared" si="8"/>
        <v>04/07/20235</v>
      </c>
      <c r="B295" s="172">
        <f t="shared" si="9"/>
        <v>5</v>
      </c>
      <c r="C295" s="67" t="s">
        <v>1342</v>
      </c>
      <c r="D295" s="68" t="s">
        <v>1542</v>
      </c>
      <c r="E295" s="67">
        <v>3</v>
      </c>
      <c r="F295" s="67" t="s">
        <v>283</v>
      </c>
      <c r="G295" s="69">
        <v>45111</v>
      </c>
      <c r="H295" s="67" t="s">
        <v>1086</v>
      </c>
      <c r="I295" s="69" t="s">
        <v>35</v>
      </c>
      <c r="J295" s="67">
        <f>IFERROR(VLOOKUP(I295,Jueces!$A$1:$B$11,2,FALSE),"")</f>
        <v>3</v>
      </c>
      <c r="K295" s="67" t="s">
        <v>812</v>
      </c>
      <c r="L295" s="67" t="s">
        <v>693</v>
      </c>
    </row>
    <row r="296" spans="1:12" ht="30" customHeight="1">
      <c r="A296" s="179" t="str">
        <f t="shared" si="8"/>
        <v>04/07/20236</v>
      </c>
      <c r="B296" s="172">
        <f t="shared" si="9"/>
        <v>6</v>
      </c>
      <c r="C296" s="67" t="s">
        <v>1345</v>
      </c>
      <c r="D296" s="68" t="s">
        <v>1541</v>
      </c>
      <c r="E296" s="67">
        <v>2</v>
      </c>
      <c r="F296" s="67" t="s">
        <v>1443</v>
      </c>
      <c r="G296" s="69">
        <v>45111</v>
      </c>
      <c r="H296" s="67" t="s">
        <v>1086</v>
      </c>
      <c r="I296" s="69" t="s">
        <v>1222</v>
      </c>
      <c r="J296" s="67" t="s">
        <v>1520</v>
      </c>
      <c r="K296" s="67" t="s">
        <v>810</v>
      </c>
      <c r="L296" s="67" t="s">
        <v>1007</v>
      </c>
    </row>
    <row r="297" spans="1:12" ht="30" customHeight="1">
      <c r="A297" s="179" t="str">
        <f t="shared" si="8"/>
        <v>04/07/20237</v>
      </c>
      <c r="B297" s="172">
        <f t="shared" si="9"/>
        <v>7</v>
      </c>
      <c r="C297" s="67" t="s">
        <v>1383</v>
      </c>
      <c r="D297" s="68" t="s">
        <v>1540</v>
      </c>
      <c r="E297" s="67">
        <v>2</v>
      </c>
      <c r="F297" s="67" t="s">
        <v>43</v>
      </c>
      <c r="G297" s="69">
        <v>45111</v>
      </c>
      <c r="H297" s="67" t="s">
        <v>1086</v>
      </c>
      <c r="I297" s="69" t="s">
        <v>1221</v>
      </c>
      <c r="J297" s="67">
        <f>IFERROR(VLOOKUP(I297,Jueces!$A$1:$B$11,2,FALSE),"")</f>
        <v>7</v>
      </c>
      <c r="K297" s="67" t="s">
        <v>1502</v>
      </c>
      <c r="L297" s="67" t="s">
        <v>1179</v>
      </c>
    </row>
    <row r="298" spans="1:12" ht="30" customHeight="1">
      <c r="A298" s="179" t="str">
        <f t="shared" si="8"/>
        <v>05/07/20231</v>
      </c>
      <c r="B298" s="172">
        <f t="shared" si="9"/>
        <v>1</v>
      </c>
      <c r="C298" s="67" t="s">
        <v>1283</v>
      </c>
      <c r="D298" s="68" t="s">
        <v>1586</v>
      </c>
      <c r="E298" s="67">
        <v>2</v>
      </c>
      <c r="F298" s="67" t="s">
        <v>568</v>
      </c>
      <c r="G298" s="69">
        <v>45112</v>
      </c>
      <c r="H298" s="67" t="s">
        <v>73</v>
      </c>
      <c r="I298" s="69" t="s">
        <v>35</v>
      </c>
      <c r="J298" s="67">
        <f>IFERROR(VLOOKUP(I298,Jueces!$A$1:$B$11,2,FALSE),"")</f>
        <v>3</v>
      </c>
      <c r="K298" s="67" t="s">
        <v>688</v>
      </c>
      <c r="L298" s="67" t="s">
        <v>1179</v>
      </c>
    </row>
    <row r="299" spans="1:12" ht="30" customHeight="1">
      <c r="A299" s="179" t="str">
        <f t="shared" si="8"/>
        <v>05/07/20232</v>
      </c>
      <c r="B299" s="172">
        <f t="shared" si="9"/>
        <v>2</v>
      </c>
      <c r="C299" s="67" t="s">
        <v>1339</v>
      </c>
      <c r="D299" s="68" t="s">
        <v>1590</v>
      </c>
      <c r="E299" s="67">
        <v>3</v>
      </c>
      <c r="F299" s="67" t="s">
        <v>1443</v>
      </c>
      <c r="G299" s="69">
        <v>45112</v>
      </c>
      <c r="H299" s="67" t="s">
        <v>73</v>
      </c>
      <c r="I299" s="69" t="s">
        <v>1221</v>
      </c>
      <c r="J299" s="67">
        <f>IFERROR(VLOOKUP(I299,Jueces!$A$1:$B$11,2,FALSE),"")</f>
        <v>7</v>
      </c>
      <c r="K299" s="67" t="s">
        <v>812</v>
      </c>
      <c r="L299" s="67" t="s">
        <v>1579</v>
      </c>
    </row>
    <row r="300" spans="1:12" ht="30" customHeight="1">
      <c r="A300" s="179" t="str">
        <f t="shared" si="8"/>
        <v>05/07/20233</v>
      </c>
      <c r="B300" s="172">
        <f t="shared" si="9"/>
        <v>3</v>
      </c>
      <c r="C300" s="67" t="s">
        <v>1348</v>
      </c>
      <c r="D300" s="68" t="s">
        <v>1591</v>
      </c>
      <c r="E300" s="67">
        <v>4</v>
      </c>
      <c r="F300" s="67" t="s">
        <v>29</v>
      </c>
      <c r="G300" s="69">
        <v>45112</v>
      </c>
      <c r="H300" s="67" t="s">
        <v>73</v>
      </c>
      <c r="I300" s="69" t="s">
        <v>1222</v>
      </c>
      <c r="J300" s="67" t="s">
        <v>1436</v>
      </c>
      <c r="K300" s="67" t="s">
        <v>814</v>
      </c>
      <c r="L300" s="67" t="s">
        <v>1350</v>
      </c>
    </row>
    <row r="301" spans="1:12" ht="30" customHeight="1">
      <c r="A301" s="179" t="str">
        <f t="shared" si="8"/>
        <v>05/07/20234</v>
      </c>
      <c r="B301" s="172">
        <f t="shared" si="9"/>
        <v>4</v>
      </c>
      <c r="C301" s="67" t="s">
        <v>1319</v>
      </c>
      <c r="D301" s="68" t="s">
        <v>1574</v>
      </c>
      <c r="E301" s="67">
        <v>3</v>
      </c>
      <c r="F301" s="67" t="s">
        <v>1442</v>
      </c>
      <c r="G301" s="69">
        <v>45112</v>
      </c>
      <c r="H301" s="67" t="s">
        <v>1086</v>
      </c>
      <c r="I301" s="69" t="s">
        <v>1220</v>
      </c>
      <c r="J301" s="67">
        <f>IFERROR(VLOOKUP(I301,Jueces!$A$1:$B$11,2,FALSE),"")</f>
        <v>1</v>
      </c>
      <c r="K301" s="67" t="s">
        <v>797</v>
      </c>
      <c r="L301" s="67" t="s">
        <v>1571</v>
      </c>
    </row>
    <row r="302" spans="1:12" ht="30" customHeight="1">
      <c r="A302" s="179" t="str">
        <f t="shared" si="8"/>
        <v>05/07/20235</v>
      </c>
      <c r="B302" s="172">
        <f t="shared" si="9"/>
        <v>5</v>
      </c>
      <c r="C302" s="67" t="s">
        <v>1113</v>
      </c>
      <c r="D302" s="68" t="s">
        <v>1576</v>
      </c>
      <c r="E302" s="67">
        <v>2</v>
      </c>
      <c r="F302" s="67" t="s">
        <v>32</v>
      </c>
      <c r="G302" s="69">
        <v>45112</v>
      </c>
      <c r="H302" s="69" t="s">
        <v>1086</v>
      </c>
      <c r="I302" s="69" t="s">
        <v>78</v>
      </c>
      <c r="J302" s="67">
        <f>IFERROR(VLOOKUP(I302,Jueces!$A$1:$B$11,2,FALSE),"")</f>
        <v>8</v>
      </c>
      <c r="K302" s="67" t="s">
        <v>809</v>
      </c>
      <c r="L302" s="67" t="s">
        <v>713</v>
      </c>
    </row>
    <row r="303" spans="1:12" ht="30" customHeight="1">
      <c r="A303" s="179" t="str">
        <f t="shared" si="8"/>
        <v>06/07/20231</v>
      </c>
      <c r="B303" s="172">
        <f t="shared" si="9"/>
        <v>1</v>
      </c>
      <c r="C303" s="67" t="s">
        <v>1317</v>
      </c>
      <c r="D303" s="68" t="s">
        <v>1615</v>
      </c>
      <c r="E303" s="67">
        <v>2</v>
      </c>
      <c r="F303" s="67" t="s">
        <v>29</v>
      </c>
      <c r="G303" s="69">
        <v>45113</v>
      </c>
      <c r="H303" s="67" t="s">
        <v>73</v>
      </c>
      <c r="I303" s="69" t="s">
        <v>1222</v>
      </c>
      <c r="J303" s="67" t="s">
        <v>1346</v>
      </c>
      <c r="K303" s="67" t="s">
        <v>688</v>
      </c>
      <c r="L303" s="67" t="s">
        <v>1648</v>
      </c>
    </row>
    <row r="304" spans="1:12" ht="30" customHeight="1">
      <c r="A304" s="179" t="str">
        <f t="shared" si="8"/>
        <v>06/07/20232</v>
      </c>
      <c r="B304" s="172">
        <f t="shared" si="9"/>
        <v>2</v>
      </c>
      <c r="C304" s="67" t="s">
        <v>1340</v>
      </c>
      <c r="D304" s="68" t="s">
        <v>1617</v>
      </c>
      <c r="E304" s="67">
        <v>3</v>
      </c>
      <c r="F304" s="67" t="s">
        <v>283</v>
      </c>
      <c r="G304" s="69">
        <v>45113</v>
      </c>
      <c r="H304" s="67" t="s">
        <v>73</v>
      </c>
      <c r="I304" s="69" t="s">
        <v>35</v>
      </c>
      <c r="J304" s="67">
        <f>IFERROR(VLOOKUP(I304,Jueces!$A$1:$B$11,2,FALSE),"")</f>
        <v>3</v>
      </c>
      <c r="K304" s="67" t="s">
        <v>813</v>
      </c>
      <c r="L304" s="67" t="s">
        <v>693</v>
      </c>
    </row>
    <row r="305" spans="1:12" ht="30" customHeight="1">
      <c r="A305" s="179" t="str">
        <f t="shared" si="8"/>
        <v>06/07/20233</v>
      </c>
      <c r="B305" s="172">
        <f t="shared" si="9"/>
        <v>3</v>
      </c>
      <c r="C305" s="67" t="s">
        <v>1412</v>
      </c>
      <c r="D305" s="68" t="s">
        <v>1616</v>
      </c>
      <c r="E305" s="67">
        <v>2</v>
      </c>
      <c r="F305" s="67" t="s">
        <v>43</v>
      </c>
      <c r="G305" s="69">
        <v>45113</v>
      </c>
      <c r="H305" s="69" t="s">
        <v>73</v>
      </c>
      <c r="I305" s="69" t="s">
        <v>1221</v>
      </c>
      <c r="J305" s="67">
        <f>IFERROR(VLOOKUP(I305,Jueces!$A$1:$B$11,2,FALSE),"")</f>
        <v>7</v>
      </c>
      <c r="K305" s="67" t="s">
        <v>807</v>
      </c>
      <c r="L305" s="67" t="s">
        <v>782</v>
      </c>
    </row>
    <row r="306" spans="1:12" ht="30" customHeight="1">
      <c r="A306" s="179" t="str">
        <f t="shared" si="8"/>
        <v>06/07/20234</v>
      </c>
      <c r="B306" s="172">
        <f t="shared" si="9"/>
        <v>4</v>
      </c>
      <c r="C306" s="67" t="s">
        <v>1419</v>
      </c>
      <c r="D306" s="68" t="s">
        <v>1618</v>
      </c>
      <c r="E306" s="67">
        <v>3</v>
      </c>
      <c r="F306" s="67" t="s">
        <v>1443</v>
      </c>
      <c r="G306" s="69">
        <v>45113</v>
      </c>
      <c r="H306" s="69" t="s">
        <v>73</v>
      </c>
      <c r="I306" s="69" t="s">
        <v>78</v>
      </c>
      <c r="J306" s="67">
        <f>IFERROR(VLOOKUP(I306,Jueces!$A$1:$B$11,2,FALSE),"")</f>
        <v>8</v>
      </c>
      <c r="K306" s="67" t="s">
        <v>810</v>
      </c>
      <c r="L306" s="67" t="s">
        <v>692</v>
      </c>
    </row>
    <row r="307" spans="1:12" ht="30" customHeight="1">
      <c r="A307" s="179" t="str">
        <f t="shared" si="8"/>
        <v>06/07/20235</v>
      </c>
      <c r="B307" s="172">
        <f t="shared" si="9"/>
        <v>5</v>
      </c>
      <c r="C307" s="67" t="s">
        <v>1344</v>
      </c>
      <c r="D307" s="68" t="s">
        <v>1605</v>
      </c>
      <c r="E307" s="67">
        <v>2</v>
      </c>
      <c r="F307" s="67" t="s">
        <v>568</v>
      </c>
      <c r="G307" s="69">
        <v>45113</v>
      </c>
      <c r="H307" s="67" t="s">
        <v>1086</v>
      </c>
      <c r="I307" s="69" t="s">
        <v>35</v>
      </c>
      <c r="J307" s="67">
        <f>IFERROR(VLOOKUP(I307,Jueces!$A$1:$B$11,2,FALSE),"")</f>
        <v>3</v>
      </c>
      <c r="K307" s="67" t="s">
        <v>313</v>
      </c>
      <c r="L307" s="67" t="s">
        <v>1347</v>
      </c>
    </row>
    <row r="308" spans="1:12" ht="30" customHeight="1">
      <c r="A308" s="179" t="str">
        <f t="shared" si="8"/>
        <v>06/07/20236</v>
      </c>
      <c r="B308" s="172">
        <f t="shared" si="9"/>
        <v>6</v>
      </c>
      <c r="C308" s="67" t="s">
        <v>1384</v>
      </c>
      <c r="D308" s="68" t="s">
        <v>1606</v>
      </c>
      <c r="E308" s="67">
        <v>2</v>
      </c>
      <c r="F308" s="67" t="s">
        <v>1441</v>
      </c>
      <c r="G308" s="69">
        <v>45113</v>
      </c>
      <c r="H308" s="69" t="s">
        <v>1086</v>
      </c>
      <c r="I308" s="69" t="s">
        <v>78</v>
      </c>
      <c r="J308" s="67">
        <f>IFERROR(VLOOKUP(I308,Jueces!$A$1:$B$11,2,FALSE),"")</f>
        <v>8</v>
      </c>
      <c r="K308" s="67" t="s">
        <v>582</v>
      </c>
      <c r="L308" s="67" t="s">
        <v>693</v>
      </c>
    </row>
    <row r="309" spans="1:12" ht="30" customHeight="1">
      <c r="A309" s="179" t="str">
        <f t="shared" si="8"/>
        <v>06/07/20237</v>
      </c>
      <c r="B309" s="172">
        <f t="shared" si="9"/>
        <v>7</v>
      </c>
      <c r="C309" s="67" t="s">
        <v>1409</v>
      </c>
      <c r="D309" s="68" t="s">
        <v>1607</v>
      </c>
      <c r="E309" s="67">
        <v>2</v>
      </c>
      <c r="F309" s="67" t="s">
        <v>32</v>
      </c>
      <c r="G309" s="69">
        <v>45113</v>
      </c>
      <c r="H309" s="69" t="s">
        <v>1086</v>
      </c>
      <c r="I309" s="69" t="s">
        <v>1220</v>
      </c>
      <c r="J309" s="67">
        <f>IFERROR(VLOOKUP(I309,Jueces!$A$1:$B$11,2,FALSE),"")</f>
        <v>1</v>
      </c>
      <c r="K309" s="67" t="s">
        <v>793</v>
      </c>
      <c r="L309" s="67" t="s">
        <v>1290</v>
      </c>
    </row>
    <row r="310" spans="1:12" ht="30" customHeight="1">
      <c r="A310" s="179" t="str">
        <f t="shared" si="8"/>
        <v>06/07/20238</v>
      </c>
      <c r="B310" s="172">
        <f t="shared" si="9"/>
        <v>8</v>
      </c>
      <c r="C310" s="67" t="s">
        <v>1433</v>
      </c>
      <c r="D310" s="68" t="s">
        <v>1602</v>
      </c>
      <c r="E310" s="67">
        <v>3</v>
      </c>
      <c r="F310" s="67" t="s">
        <v>1442</v>
      </c>
      <c r="G310" s="69">
        <v>45113</v>
      </c>
      <c r="H310" s="69" t="s">
        <v>1086</v>
      </c>
      <c r="I310" s="69" t="s">
        <v>1221</v>
      </c>
      <c r="J310" s="67">
        <f>IFERROR(VLOOKUP(I310,Jueces!$A$1:$B$11,2,FALSE),"")</f>
        <v>7</v>
      </c>
      <c r="K310" s="67" t="s">
        <v>789</v>
      </c>
      <c r="L310" s="67" t="s">
        <v>694</v>
      </c>
    </row>
    <row r="311" spans="1:12" ht="30" customHeight="1">
      <c r="A311" s="179" t="str">
        <f t="shared" si="8"/>
        <v>07/07/20231</v>
      </c>
      <c r="B311" s="172">
        <f t="shared" si="9"/>
        <v>1</v>
      </c>
      <c r="C311" s="67" t="s">
        <v>1313</v>
      </c>
      <c r="D311" s="68" t="s">
        <v>1664</v>
      </c>
      <c r="E311" s="67">
        <v>2</v>
      </c>
      <c r="F311" s="67" t="s">
        <v>1441</v>
      </c>
      <c r="G311" s="69">
        <v>45114</v>
      </c>
      <c r="H311" s="67" t="s">
        <v>73</v>
      </c>
      <c r="I311" s="69" t="s">
        <v>1220</v>
      </c>
      <c r="J311" s="67">
        <v>2</v>
      </c>
      <c r="K311" s="67" t="s">
        <v>791</v>
      </c>
      <c r="L311" s="67" t="s">
        <v>692</v>
      </c>
    </row>
    <row r="312" spans="1:12" ht="30" customHeight="1">
      <c r="A312" s="179" t="str">
        <f t="shared" si="8"/>
        <v>07/07/20232</v>
      </c>
      <c r="B312" s="172">
        <f t="shared" si="9"/>
        <v>2</v>
      </c>
      <c r="C312" s="67" t="s">
        <v>1370</v>
      </c>
      <c r="D312" s="68" t="s">
        <v>1665</v>
      </c>
      <c r="E312" s="67">
        <v>3</v>
      </c>
      <c r="F312" s="67" t="s">
        <v>43</v>
      </c>
      <c r="G312" s="69">
        <v>45114</v>
      </c>
      <c r="H312" s="67" t="s">
        <v>73</v>
      </c>
      <c r="I312" s="69" t="s">
        <v>1222</v>
      </c>
      <c r="J312" s="67" t="s">
        <v>1346</v>
      </c>
      <c r="K312" s="67" t="s">
        <v>799</v>
      </c>
      <c r="L312" s="67" t="s">
        <v>693</v>
      </c>
    </row>
    <row r="313" spans="1:12" ht="30" customHeight="1">
      <c r="A313" s="179" t="str">
        <f t="shared" si="8"/>
        <v>07/07/20233</v>
      </c>
      <c r="B313" s="172">
        <f t="shared" si="9"/>
        <v>3</v>
      </c>
      <c r="C313" s="67" t="s">
        <v>1413</v>
      </c>
      <c r="D313" s="68" t="s">
        <v>1666</v>
      </c>
      <c r="E313" s="67">
        <v>2</v>
      </c>
      <c r="F313" s="67" t="s">
        <v>568</v>
      </c>
      <c r="G313" s="69">
        <v>45114</v>
      </c>
      <c r="H313" s="69" t="s">
        <v>73</v>
      </c>
      <c r="I313" s="69" t="s">
        <v>35</v>
      </c>
      <c r="J313" s="67">
        <f>IFERROR(VLOOKUP(I313,Jueces!$A$1:$B$11,2,FALSE),"")</f>
        <v>3</v>
      </c>
      <c r="K313" s="67" t="s">
        <v>797</v>
      </c>
      <c r="L313" s="67" t="s">
        <v>1179</v>
      </c>
    </row>
    <row r="314" spans="1:12" ht="30" customHeight="1">
      <c r="A314" s="179" t="str">
        <f t="shared" si="8"/>
        <v>07/07/20234</v>
      </c>
      <c r="B314" s="172">
        <f t="shared" si="9"/>
        <v>4</v>
      </c>
      <c r="C314" s="67" t="s">
        <v>1415</v>
      </c>
      <c r="D314" s="68" t="s">
        <v>1667</v>
      </c>
      <c r="E314" s="67">
        <v>3</v>
      </c>
      <c r="F314" s="67" t="s">
        <v>283</v>
      </c>
      <c r="G314" s="69">
        <v>45114</v>
      </c>
      <c r="H314" s="69" t="s">
        <v>73</v>
      </c>
      <c r="I314" s="69" t="s">
        <v>1221</v>
      </c>
      <c r="J314" s="67">
        <f>IFERROR(VLOOKUP(I314,Jueces!$A$1:$B$11,2,FALSE),"")</f>
        <v>7</v>
      </c>
      <c r="K314" s="67" t="s">
        <v>1306</v>
      </c>
      <c r="L314" s="67" t="s">
        <v>1416</v>
      </c>
    </row>
    <row r="315" spans="1:12" ht="30" customHeight="1">
      <c r="A315" s="179" t="str">
        <f t="shared" si="8"/>
        <v>07/07/20235</v>
      </c>
      <c r="B315" s="172">
        <f t="shared" si="9"/>
        <v>5</v>
      </c>
      <c r="C315" s="67" t="s">
        <v>1476</v>
      </c>
      <c r="D315" s="68" t="s">
        <v>1669</v>
      </c>
      <c r="E315" s="67">
        <v>2</v>
      </c>
      <c r="F315" s="67" t="s">
        <v>1443</v>
      </c>
      <c r="G315" s="69">
        <v>45114</v>
      </c>
      <c r="H315" s="69" t="s">
        <v>73</v>
      </c>
      <c r="I315" s="69" t="s">
        <v>78</v>
      </c>
      <c r="J315" s="67">
        <f>IFERROR(VLOOKUP(I315,Jueces!$A$1:$B$11,2,FALSE),"")</f>
        <v>8</v>
      </c>
      <c r="K315" s="67" t="s">
        <v>1656</v>
      </c>
      <c r="L315" s="67" t="s">
        <v>1438</v>
      </c>
    </row>
    <row r="316" spans="1:12" ht="30" customHeight="1">
      <c r="A316" s="179" t="str">
        <f t="shared" si="8"/>
        <v>07/07/20236</v>
      </c>
      <c r="B316" s="172">
        <f t="shared" si="9"/>
        <v>6</v>
      </c>
      <c r="C316" s="67" t="s">
        <v>1366</v>
      </c>
      <c r="D316" s="68" t="s">
        <v>1668</v>
      </c>
      <c r="E316" s="67">
        <v>3</v>
      </c>
      <c r="F316" s="67" t="s">
        <v>32</v>
      </c>
      <c r="G316" s="69">
        <v>45114</v>
      </c>
      <c r="H316" s="67" t="s">
        <v>1086</v>
      </c>
      <c r="I316" s="69" t="s">
        <v>1220</v>
      </c>
      <c r="J316" s="67">
        <f>IFERROR(VLOOKUP(I316,Jueces!$A$1:$B$11,2,FALSE),"")</f>
        <v>1</v>
      </c>
      <c r="K316" s="67" t="s">
        <v>284</v>
      </c>
      <c r="L316" s="67" t="s">
        <v>693</v>
      </c>
    </row>
    <row r="317" spans="1:12" ht="30" customHeight="1">
      <c r="A317" s="179" t="str">
        <f t="shared" si="8"/>
        <v>07/07/20237</v>
      </c>
      <c r="B317" s="172">
        <f t="shared" si="9"/>
        <v>7</v>
      </c>
      <c r="C317" s="67" t="s">
        <v>1401</v>
      </c>
      <c r="D317" s="68" t="s">
        <v>1670</v>
      </c>
      <c r="E317" s="67">
        <v>2</v>
      </c>
      <c r="F317" s="67" t="s">
        <v>1441</v>
      </c>
      <c r="G317" s="69">
        <v>45114</v>
      </c>
      <c r="H317" s="69" t="s">
        <v>1086</v>
      </c>
      <c r="I317" s="69" t="s">
        <v>35</v>
      </c>
      <c r="J317" s="67">
        <f>IFERROR(VLOOKUP(I317,Jueces!$A$1:$B$11,2,FALSE),"")</f>
        <v>3</v>
      </c>
      <c r="K317" s="67" t="s">
        <v>813</v>
      </c>
      <c r="L317" s="67" t="s">
        <v>692</v>
      </c>
    </row>
    <row r="318" spans="1:12" ht="30" customHeight="1">
      <c r="A318" s="179" t="str">
        <f t="shared" si="8"/>
        <v>07/07/20238</v>
      </c>
      <c r="B318" s="172">
        <f t="shared" si="9"/>
        <v>8</v>
      </c>
      <c r="C318" s="67" t="s">
        <v>1430</v>
      </c>
      <c r="D318" s="68" t="s">
        <v>1671</v>
      </c>
      <c r="E318" s="67">
        <v>1</v>
      </c>
      <c r="F318" s="67" t="s">
        <v>1442</v>
      </c>
      <c r="G318" s="69">
        <v>45114</v>
      </c>
      <c r="H318" s="69" t="s">
        <v>1086</v>
      </c>
      <c r="I318" s="69" t="s">
        <v>78</v>
      </c>
      <c r="J318" s="67">
        <f>IFERROR(VLOOKUP(I318,Jueces!$A$1:$B$11,2,FALSE),"")</f>
        <v>8</v>
      </c>
      <c r="K318" s="67" t="s">
        <v>812</v>
      </c>
      <c r="L318" s="67" t="s">
        <v>712</v>
      </c>
    </row>
    <row r="319" spans="1:12" ht="30" customHeight="1">
      <c r="A319" s="179" t="str">
        <f t="shared" si="8"/>
        <v>10/07/20231</v>
      </c>
      <c r="B319" s="172">
        <f t="shared" si="9"/>
        <v>1</v>
      </c>
      <c r="C319" s="67" t="s">
        <v>1478</v>
      </c>
      <c r="D319" s="68" t="s">
        <v>1705</v>
      </c>
      <c r="E319" s="67">
        <v>3</v>
      </c>
      <c r="F319" s="67" t="s">
        <v>1442</v>
      </c>
      <c r="G319" s="69">
        <v>45117</v>
      </c>
      <c r="H319" s="69" t="s">
        <v>76</v>
      </c>
      <c r="I319" s="69" t="s">
        <v>1492</v>
      </c>
      <c r="J319" s="67" t="s">
        <v>1346</v>
      </c>
      <c r="K319" s="67" t="s">
        <v>812</v>
      </c>
      <c r="L319" s="67" t="s">
        <v>692</v>
      </c>
    </row>
    <row r="320" spans="1:12" ht="30" customHeight="1">
      <c r="A320" s="179" t="str">
        <f t="shared" si="8"/>
        <v>10/07/20232</v>
      </c>
      <c r="B320" s="172">
        <f t="shared" si="9"/>
        <v>2</v>
      </c>
      <c r="C320" s="67" t="s">
        <v>1479</v>
      </c>
      <c r="D320" s="68" t="s">
        <v>1706</v>
      </c>
      <c r="E320" s="67">
        <v>3</v>
      </c>
      <c r="F320" s="67" t="s">
        <v>29</v>
      </c>
      <c r="G320" s="69">
        <v>45117</v>
      </c>
      <c r="H320" s="69" t="s">
        <v>76</v>
      </c>
      <c r="I320" s="69" t="s">
        <v>1625</v>
      </c>
      <c r="J320" s="67" t="s">
        <v>1491</v>
      </c>
      <c r="K320" s="67" t="s">
        <v>806</v>
      </c>
      <c r="L320" s="67" t="s">
        <v>694</v>
      </c>
    </row>
    <row r="321" spans="1:12" ht="30" customHeight="1">
      <c r="A321" s="179" t="str">
        <f t="shared" si="8"/>
        <v>10/07/20233</v>
      </c>
      <c r="B321" s="172">
        <f t="shared" si="9"/>
        <v>3</v>
      </c>
      <c r="C321" s="67" t="s">
        <v>1440</v>
      </c>
      <c r="D321" s="68" t="s">
        <v>1707</v>
      </c>
      <c r="E321" s="67">
        <v>2</v>
      </c>
      <c r="F321" s="67" t="s">
        <v>43</v>
      </c>
      <c r="G321" s="69">
        <v>45117</v>
      </c>
      <c r="H321" s="69" t="s">
        <v>1450</v>
      </c>
      <c r="I321" s="69" t="s">
        <v>1625</v>
      </c>
      <c r="J321" s="67" t="s">
        <v>1491</v>
      </c>
      <c r="K321" s="67" t="s">
        <v>793</v>
      </c>
      <c r="L321" s="67" t="s">
        <v>1447</v>
      </c>
    </row>
    <row r="322" spans="1:12" ht="30" customHeight="1">
      <c r="A322" s="179" t="str">
        <f t="shared" si="8"/>
        <v>10/07/20234</v>
      </c>
      <c r="B322" s="172">
        <f t="shared" si="9"/>
        <v>4</v>
      </c>
      <c r="C322" s="67" t="s">
        <v>1480</v>
      </c>
      <c r="D322" s="68" t="s">
        <v>1708</v>
      </c>
      <c r="E322" s="67">
        <v>3</v>
      </c>
      <c r="F322" s="67" t="s">
        <v>568</v>
      </c>
      <c r="G322" s="69">
        <v>45117</v>
      </c>
      <c r="H322" s="69" t="s">
        <v>1450</v>
      </c>
      <c r="I322" s="69" t="s">
        <v>1492</v>
      </c>
      <c r="J322" s="67" t="s">
        <v>1346</v>
      </c>
      <c r="K322" s="67" t="s">
        <v>806</v>
      </c>
      <c r="L322" s="67" t="s">
        <v>694</v>
      </c>
    </row>
    <row r="323" spans="1:12" ht="30" customHeight="1">
      <c r="A323" s="179" t="str">
        <f t="shared" ref="A323:A386" si="10">CONCATENATE(TEXT($G323,"dd/mm/yyyy"),$B323)</f>
        <v>10/07/20235</v>
      </c>
      <c r="B323" s="172">
        <f t="shared" si="9"/>
        <v>5</v>
      </c>
      <c r="C323" s="67" t="s">
        <v>1408</v>
      </c>
      <c r="D323" s="68" t="s">
        <v>1709</v>
      </c>
      <c r="E323" s="67">
        <v>3</v>
      </c>
      <c r="F323" s="67" t="s">
        <v>1441</v>
      </c>
      <c r="G323" s="69">
        <v>45117</v>
      </c>
      <c r="H323" s="69" t="s">
        <v>547</v>
      </c>
      <c r="I323" s="69" t="s">
        <v>1492</v>
      </c>
      <c r="J323" s="67" t="s">
        <v>1346</v>
      </c>
      <c r="K323" s="67" t="s">
        <v>813</v>
      </c>
      <c r="L323" s="67" t="s">
        <v>693</v>
      </c>
    </row>
    <row r="324" spans="1:12" ht="30" customHeight="1">
      <c r="A324" s="179" t="str">
        <f t="shared" si="10"/>
        <v>10/07/20236</v>
      </c>
      <c r="B324" s="172">
        <f t="shared" ref="B324:B387" si="11">IF($G324=$G323,$B323+1,1)</f>
        <v>6</v>
      </c>
      <c r="C324" s="67" t="s">
        <v>1448</v>
      </c>
      <c r="D324" s="68" t="s">
        <v>1710</v>
      </c>
      <c r="E324" s="67">
        <v>1</v>
      </c>
      <c r="F324" s="67" t="s">
        <v>32</v>
      </c>
      <c r="G324" s="69">
        <v>45117</v>
      </c>
      <c r="H324" s="69" t="s">
        <v>547</v>
      </c>
      <c r="I324" s="69" t="s">
        <v>35</v>
      </c>
      <c r="J324" s="67">
        <f>IFERROR(VLOOKUP(I324,Jueces!$A$1:$B$11,2,FALSE),"")</f>
        <v>3</v>
      </c>
      <c r="K324" s="67" t="s">
        <v>811</v>
      </c>
      <c r="L324" s="67" t="s">
        <v>1087</v>
      </c>
    </row>
    <row r="325" spans="1:12" ht="30" customHeight="1">
      <c r="A325" s="179" t="str">
        <f t="shared" si="10"/>
        <v>11/07/20231</v>
      </c>
      <c r="B325" s="172">
        <f t="shared" si="11"/>
        <v>1</v>
      </c>
      <c r="C325" s="67" t="s">
        <v>1418</v>
      </c>
      <c r="D325" s="68" t="s">
        <v>1417</v>
      </c>
      <c r="E325" s="67">
        <v>3</v>
      </c>
      <c r="F325" s="67" t="s">
        <v>1442</v>
      </c>
      <c r="G325" s="69">
        <v>45118</v>
      </c>
      <c r="H325" s="69" t="s">
        <v>76</v>
      </c>
      <c r="I325" s="69" t="s">
        <v>35</v>
      </c>
      <c r="J325" s="67">
        <f>IFERROR(VLOOKUP(I325,Jueces!$A$1:$B$11,2,FALSE),"")</f>
        <v>3</v>
      </c>
      <c r="K325" s="67" t="s">
        <v>813</v>
      </c>
      <c r="L325" s="67" t="s">
        <v>697</v>
      </c>
    </row>
    <row r="326" spans="1:12" ht="30" customHeight="1">
      <c r="A326" s="179" t="str">
        <f t="shared" si="10"/>
        <v>11/07/20232</v>
      </c>
      <c r="B326" s="172">
        <f t="shared" si="11"/>
        <v>2</v>
      </c>
      <c r="C326" s="67" t="s">
        <v>1420</v>
      </c>
      <c r="D326" s="68" t="s">
        <v>1421</v>
      </c>
      <c r="E326" s="67">
        <v>3</v>
      </c>
      <c r="F326" s="67" t="s">
        <v>29</v>
      </c>
      <c r="G326" s="69">
        <v>45118</v>
      </c>
      <c r="H326" s="69" t="s">
        <v>76</v>
      </c>
      <c r="I326" s="69" t="s">
        <v>31</v>
      </c>
      <c r="J326" s="67">
        <f>IFERROR(VLOOKUP(I326,Jueces!$A$1:$B$11,2,FALSE),"")</f>
        <v>2</v>
      </c>
      <c r="K326" s="67" t="s">
        <v>807</v>
      </c>
      <c r="L326" s="67" t="s">
        <v>693</v>
      </c>
    </row>
    <row r="327" spans="1:12" ht="30" customHeight="1">
      <c r="A327" s="179" t="str">
        <f t="shared" si="10"/>
        <v>11/07/20233</v>
      </c>
      <c r="B327" s="172">
        <f t="shared" si="11"/>
        <v>3</v>
      </c>
      <c r="C327" s="67" t="s">
        <v>1482</v>
      </c>
      <c r="D327" s="68" t="s">
        <v>1483</v>
      </c>
      <c r="E327" s="67">
        <v>3</v>
      </c>
      <c r="F327" s="67" t="s">
        <v>32</v>
      </c>
      <c r="G327" s="69">
        <v>45118</v>
      </c>
      <c r="H327" s="69" t="s">
        <v>76</v>
      </c>
      <c r="I327" s="69" t="s">
        <v>1625</v>
      </c>
      <c r="J327" s="67" t="s">
        <v>1491</v>
      </c>
      <c r="K327" s="67" t="s">
        <v>789</v>
      </c>
      <c r="L327" s="67" t="s">
        <v>694</v>
      </c>
    </row>
    <row r="328" spans="1:12" ht="30" customHeight="1">
      <c r="A328" s="179" t="str">
        <f t="shared" si="10"/>
        <v>11/07/20234</v>
      </c>
      <c r="B328" s="172">
        <f t="shared" si="11"/>
        <v>4</v>
      </c>
      <c r="C328" s="67" t="s">
        <v>1407</v>
      </c>
      <c r="D328" s="68" t="s">
        <v>1880</v>
      </c>
      <c r="E328" s="67">
        <v>3</v>
      </c>
      <c r="F328" s="67" t="s">
        <v>283</v>
      </c>
      <c r="G328" s="69">
        <v>45118</v>
      </c>
      <c r="H328" s="69" t="s">
        <v>1450</v>
      </c>
      <c r="I328" s="69" t="s">
        <v>35</v>
      </c>
      <c r="J328" s="67">
        <f>IFERROR(VLOOKUP(I328,Jueces!$A$1:$B$11,2,FALSE),"")</f>
        <v>3</v>
      </c>
      <c r="K328" s="67" t="s">
        <v>813</v>
      </c>
      <c r="L328" s="67" t="s">
        <v>693</v>
      </c>
    </row>
    <row r="329" spans="1:12" ht="30" customHeight="1">
      <c r="A329" s="179" t="str">
        <f t="shared" si="10"/>
        <v>11/07/20235</v>
      </c>
      <c r="B329" s="172">
        <f t="shared" si="11"/>
        <v>5</v>
      </c>
      <c r="C329" s="67" t="s">
        <v>1456</v>
      </c>
      <c r="D329" s="68" t="s">
        <v>1455</v>
      </c>
      <c r="E329" s="67">
        <v>3</v>
      </c>
      <c r="F329" s="67" t="s">
        <v>568</v>
      </c>
      <c r="G329" s="69">
        <v>45118</v>
      </c>
      <c r="H329" s="69" t="s">
        <v>1450</v>
      </c>
      <c r="I329" s="69" t="s">
        <v>35</v>
      </c>
      <c r="J329" s="67">
        <f>IFERROR(VLOOKUP(I329,Jueces!$A$1:$B$11,2,FALSE),"")</f>
        <v>3</v>
      </c>
      <c r="K329" s="67" t="s">
        <v>807</v>
      </c>
      <c r="L329" s="67" t="s">
        <v>694</v>
      </c>
    </row>
    <row r="330" spans="1:12" ht="30" customHeight="1">
      <c r="A330" s="179" t="str">
        <f t="shared" si="10"/>
        <v>11/07/20236</v>
      </c>
      <c r="B330" s="172">
        <f t="shared" si="11"/>
        <v>6</v>
      </c>
      <c r="C330" s="67" t="s">
        <v>1449</v>
      </c>
      <c r="D330" s="68" t="s">
        <v>1452</v>
      </c>
      <c r="E330" s="67">
        <v>2</v>
      </c>
      <c r="F330" s="67" t="s">
        <v>1441</v>
      </c>
      <c r="G330" s="69">
        <v>45118</v>
      </c>
      <c r="H330" s="69" t="s">
        <v>1450</v>
      </c>
      <c r="I330" s="69" t="s">
        <v>31</v>
      </c>
      <c r="J330" s="67">
        <f>IFERROR(VLOOKUP(I330,Jueces!$A$1:$B$11,2,FALSE),"")</f>
        <v>2</v>
      </c>
      <c r="K330" s="67" t="s">
        <v>801</v>
      </c>
      <c r="L330" s="67" t="s">
        <v>692</v>
      </c>
    </row>
    <row r="331" spans="1:12" ht="30" customHeight="1">
      <c r="A331" s="179" t="str">
        <f t="shared" si="10"/>
        <v>11/07/20237</v>
      </c>
      <c r="B331" s="172">
        <f t="shared" si="11"/>
        <v>7</v>
      </c>
      <c r="C331" s="67" t="s">
        <v>1451</v>
      </c>
      <c r="D331" s="68" t="s">
        <v>1477</v>
      </c>
      <c r="E331" s="67">
        <v>3</v>
      </c>
      <c r="F331" s="67" t="s">
        <v>43</v>
      </c>
      <c r="G331" s="69">
        <v>45118</v>
      </c>
      <c r="H331" s="69" t="s">
        <v>1450</v>
      </c>
      <c r="I331" s="69" t="s">
        <v>1492</v>
      </c>
      <c r="J331" s="67" t="s">
        <v>1346</v>
      </c>
      <c r="K331" s="67" t="s">
        <v>801</v>
      </c>
      <c r="L331" s="67" t="s">
        <v>1386</v>
      </c>
    </row>
    <row r="332" spans="1:12" ht="30" customHeight="1">
      <c r="A332" s="179" t="str">
        <f t="shared" si="10"/>
        <v>11/07/20238</v>
      </c>
      <c r="B332" s="172">
        <f t="shared" si="11"/>
        <v>8</v>
      </c>
      <c r="C332" s="67" t="s">
        <v>1678</v>
      </c>
      <c r="D332" s="41" t="s">
        <v>1676</v>
      </c>
      <c r="E332" s="67">
        <v>3</v>
      </c>
      <c r="F332" s="67" t="s">
        <v>1663</v>
      </c>
      <c r="G332" s="69">
        <v>45118</v>
      </c>
      <c r="H332" s="69" t="s">
        <v>1562</v>
      </c>
      <c r="I332" s="69" t="s">
        <v>1625</v>
      </c>
      <c r="J332" s="67" t="s">
        <v>1491</v>
      </c>
      <c r="K332" s="67" t="s">
        <v>789</v>
      </c>
      <c r="L332" s="67" t="s">
        <v>1694</v>
      </c>
    </row>
    <row r="333" spans="1:12" ht="30" customHeight="1">
      <c r="A333" s="179" t="str">
        <f t="shared" si="10"/>
        <v>11/07/20239</v>
      </c>
      <c r="B333" s="172">
        <f t="shared" si="11"/>
        <v>9</v>
      </c>
      <c r="C333" s="67" t="s">
        <v>1481</v>
      </c>
      <c r="D333" s="68" t="s">
        <v>1488</v>
      </c>
      <c r="E333" s="67">
        <v>3</v>
      </c>
      <c r="F333" s="67" t="s">
        <v>283</v>
      </c>
      <c r="G333" s="69">
        <v>45118</v>
      </c>
      <c r="H333" s="69" t="s">
        <v>989</v>
      </c>
      <c r="I333" s="69" t="s">
        <v>1625</v>
      </c>
      <c r="J333" s="67" t="s">
        <v>1491</v>
      </c>
      <c r="K333" s="67" t="s">
        <v>797</v>
      </c>
      <c r="L333" s="67" t="s">
        <v>693</v>
      </c>
    </row>
    <row r="334" spans="1:12" ht="30" customHeight="1">
      <c r="A334" s="179" t="str">
        <f t="shared" si="10"/>
        <v>12/07/20231</v>
      </c>
      <c r="B334" s="172">
        <f t="shared" si="11"/>
        <v>1</v>
      </c>
      <c r="C334" s="67" t="s">
        <v>1552</v>
      </c>
      <c r="D334" s="68" t="s">
        <v>1524</v>
      </c>
      <c r="E334" s="67">
        <v>4</v>
      </c>
      <c r="F334" s="67" t="s">
        <v>1442</v>
      </c>
      <c r="G334" s="69">
        <v>45119</v>
      </c>
      <c r="H334" s="69" t="s">
        <v>76</v>
      </c>
      <c r="I334" s="69" t="s">
        <v>31</v>
      </c>
      <c r="J334" s="67">
        <f>IFERROR(VLOOKUP(I334,Jueces!$A$1:$B$11,2,FALSE),"")</f>
        <v>2</v>
      </c>
      <c r="K334" s="67" t="s">
        <v>807</v>
      </c>
      <c r="L334" s="67" t="s">
        <v>695</v>
      </c>
    </row>
    <row r="335" spans="1:12" ht="30" customHeight="1">
      <c r="A335" s="179" t="str">
        <f t="shared" si="10"/>
        <v>12/07/20232</v>
      </c>
      <c r="B335" s="172">
        <f t="shared" si="11"/>
        <v>2</v>
      </c>
      <c r="C335" s="67" t="s">
        <v>1551</v>
      </c>
      <c r="D335" s="68" t="s">
        <v>1792</v>
      </c>
      <c r="E335" s="67">
        <v>3</v>
      </c>
      <c r="F335" s="67" t="s">
        <v>1441</v>
      </c>
      <c r="G335" s="69">
        <v>45119</v>
      </c>
      <c r="H335" s="69" t="s">
        <v>76</v>
      </c>
      <c r="I335" s="69" t="s">
        <v>1492</v>
      </c>
      <c r="J335" s="67" t="s">
        <v>1346</v>
      </c>
      <c r="K335" s="67" t="s">
        <v>812</v>
      </c>
      <c r="L335" s="67" t="s">
        <v>694</v>
      </c>
    </row>
    <row r="336" spans="1:12" ht="30" customHeight="1">
      <c r="A336" s="179" t="str">
        <f t="shared" si="10"/>
        <v>12/07/20233</v>
      </c>
      <c r="B336" s="172">
        <f t="shared" si="11"/>
        <v>3</v>
      </c>
      <c r="C336" s="67" t="s">
        <v>1548</v>
      </c>
      <c r="D336" s="68" t="s">
        <v>1525</v>
      </c>
      <c r="E336" s="67">
        <v>3</v>
      </c>
      <c r="F336" s="67" t="s">
        <v>283</v>
      </c>
      <c r="G336" s="69">
        <v>45119</v>
      </c>
      <c r="H336" s="69" t="s">
        <v>1450</v>
      </c>
      <c r="I336" s="69" t="s">
        <v>35</v>
      </c>
      <c r="J336" s="67">
        <f>IFERROR(VLOOKUP(I336,Jueces!$A$1:$B$11,2,FALSE),"")</f>
        <v>3</v>
      </c>
      <c r="K336" s="67" t="s">
        <v>807</v>
      </c>
      <c r="L336" s="67" t="s">
        <v>694</v>
      </c>
    </row>
    <row r="337" spans="1:12" ht="30" customHeight="1">
      <c r="A337" s="179" t="str">
        <f t="shared" si="10"/>
        <v>12/07/20234</v>
      </c>
      <c r="B337" s="172">
        <f t="shared" si="11"/>
        <v>4</v>
      </c>
      <c r="C337" s="67" t="s">
        <v>1523</v>
      </c>
      <c r="D337" s="68" t="s">
        <v>1521</v>
      </c>
      <c r="E337" s="67">
        <v>4</v>
      </c>
      <c r="F337" s="67" t="s">
        <v>568</v>
      </c>
      <c r="G337" s="69">
        <v>45119</v>
      </c>
      <c r="H337" s="69" t="s">
        <v>547</v>
      </c>
      <c r="I337" s="69" t="s">
        <v>35</v>
      </c>
      <c r="J337" s="67">
        <f>IFERROR(VLOOKUP(I337,Jueces!$A$1:$B$11,2,FALSE),"")</f>
        <v>3</v>
      </c>
      <c r="K337" s="67" t="s">
        <v>1522</v>
      </c>
      <c r="L337" s="67" t="s">
        <v>1434</v>
      </c>
    </row>
    <row r="338" spans="1:12" ht="30" customHeight="1">
      <c r="A338" s="179" t="str">
        <f t="shared" si="10"/>
        <v>12/07/20235</v>
      </c>
      <c r="B338" s="172">
        <f t="shared" si="11"/>
        <v>5</v>
      </c>
      <c r="C338" s="67" t="s">
        <v>1549</v>
      </c>
      <c r="D338" s="68" t="s">
        <v>1793</v>
      </c>
      <c r="E338" s="67">
        <v>2</v>
      </c>
      <c r="F338" s="67" t="s">
        <v>43</v>
      </c>
      <c r="G338" s="69">
        <v>45119</v>
      </c>
      <c r="H338" s="69" t="s">
        <v>547</v>
      </c>
      <c r="I338" s="69" t="s">
        <v>1625</v>
      </c>
      <c r="J338" s="67" t="s">
        <v>1491</v>
      </c>
      <c r="K338" s="67" t="s">
        <v>798</v>
      </c>
      <c r="L338" s="67" t="s">
        <v>1179</v>
      </c>
    </row>
    <row r="339" spans="1:12" ht="30" customHeight="1">
      <c r="A339" s="179" t="str">
        <f t="shared" si="10"/>
        <v>12/07/20236</v>
      </c>
      <c r="B339" s="172">
        <f t="shared" si="11"/>
        <v>6</v>
      </c>
      <c r="C339" s="67" t="s">
        <v>1557</v>
      </c>
      <c r="D339" s="68" t="s">
        <v>1556</v>
      </c>
      <c r="E339" s="67">
        <v>4</v>
      </c>
      <c r="F339" s="67" t="s">
        <v>29</v>
      </c>
      <c r="G339" s="69">
        <v>45119</v>
      </c>
      <c r="H339" s="69" t="s">
        <v>547</v>
      </c>
      <c r="I339" s="69" t="s">
        <v>1492</v>
      </c>
      <c r="J339" s="67" t="s">
        <v>1346</v>
      </c>
      <c r="K339" s="67" t="s">
        <v>813</v>
      </c>
      <c r="L339" s="67" t="s">
        <v>694</v>
      </c>
    </row>
    <row r="340" spans="1:12" ht="30" customHeight="1">
      <c r="A340" s="179" t="str">
        <f t="shared" si="10"/>
        <v>12/07/20237</v>
      </c>
      <c r="B340" s="172">
        <f t="shared" si="11"/>
        <v>7</v>
      </c>
      <c r="C340" s="67" t="s">
        <v>1559</v>
      </c>
      <c r="D340" s="68" t="s">
        <v>1773</v>
      </c>
      <c r="E340" s="67">
        <v>3</v>
      </c>
      <c r="F340" s="67" t="s">
        <v>43</v>
      </c>
      <c r="G340" s="69">
        <v>45119</v>
      </c>
      <c r="H340" s="69" t="s">
        <v>1562</v>
      </c>
      <c r="I340" s="69" t="s">
        <v>1625</v>
      </c>
      <c r="J340" s="67" t="s">
        <v>1491</v>
      </c>
      <c r="K340" s="67" t="s">
        <v>806</v>
      </c>
      <c r="L340" s="67" t="s">
        <v>694</v>
      </c>
    </row>
    <row r="341" spans="1:12" ht="30" customHeight="1">
      <c r="A341" s="179" t="str">
        <f t="shared" si="10"/>
        <v>13/07/20231</v>
      </c>
      <c r="B341" s="172">
        <f t="shared" si="11"/>
        <v>1</v>
      </c>
      <c r="C341" s="67" t="s">
        <v>1554</v>
      </c>
      <c r="D341" s="68" t="s">
        <v>1794</v>
      </c>
      <c r="E341" s="67">
        <v>4</v>
      </c>
      <c r="F341" s="67" t="s">
        <v>32</v>
      </c>
      <c r="G341" s="69">
        <v>45120</v>
      </c>
      <c r="H341" s="69" t="s">
        <v>76</v>
      </c>
      <c r="I341" s="69" t="s">
        <v>1625</v>
      </c>
      <c r="J341" s="67" t="s">
        <v>1491</v>
      </c>
      <c r="K341" s="67" t="s">
        <v>814</v>
      </c>
      <c r="L341" s="67" t="s">
        <v>1558</v>
      </c>
    </row>
    <row r="342" spans="1:12" ht="30" customHeight="1">
      <c r="A342" s="179" t="str">
        <f t="shared" si="10"/>
        <v>13/07/20232</v>
      </c>
      <c r="B342" s="172">
        <f t="shared" si="11"/>
        <v>2</v>
      </c>
      <c r="C342" s="67" t="s">
        <v>1550</v>
      </c>
      <c r="D342" s="68" t="s">
        <v>1795</v>
      </c>
      <c r="E342" s="67">
        <v>3</v>
      </c>
      <c r="F342" s="67" t="s">
        <v>568</v>
      </c>
      <c r="G342" s="69">
        <v>45120</v>
      </c>
      <c r="H342" s="69" t="s">
        <v>76</v>
      </c>
      <c r="I342" s="69" t="s">
        <v>31</v>
      </c>
      <c r="J342" s="67">
        <f>IFERROR(VLOOKUP(I342,Jueces!$A$1:$B$11,2,FALSE),"")</f>
        <v>2</v>
      </c>
      <c r="K342" s="67" t="s">
        <v>813</v>
      </c>
      <c r="L342" s="67" t="s">
        <v>694</v>
      </c>
    </row>
    <row r="343" spans="1:12" ht="30" customHeight="1">
      <c r="A343" s="179" t="str">
        <f t="shared" si="10"/>
        <v>13/07/20233</v>
      </c>
      <c r="B343" s="172">
        <f t="shared" si="11"/>
        <v>3</v>
      </c>
      <c r="C343" s="67" t="s">
        <v>1565</v>
      </c>
      <c r="D343" s="68" t="s">
        <v>1796</v>
      </c>
      <c r="E343" s="67">
        <v>4</v>
      </c>
      <c r="F343" s="67" t="s">
        <v>43</v>
      </c>
      <c r="G343" s="69">
        <v>45120</v>
      </c>
      <c r="H343" s="69" t="s">
        <v>76</v>
      </c>
      <c r="I343" s="69" t="s">
        <v>1492</v>
      </c>
      <c r="J343" s="67" t="s">
        <v>1346</v>
      </c>
      <c r="K343" s="67" t="s">
        <v>809</v>
      </c>
      <c r="L343" s="67" t="s">
        <v>695</v>
      </c>
    </row>
    <row r="344" spans="1:12" ht="30" customHeight="1">
      <c r="A344" s="179" t="str">
        <f t="shared" si="10"/>
        <v>13/07/20234</v>
      </c>
      <c r="B344" s="172">
        <f t="shared" si="11"/>
        <v>4</v>
      </c>
      <c r="C344" s="67" t="s">
        <v>1555</v>
      </c>
      <c r="D344" s="68" t="s">
        <v>1797</v>
      </c>
      <c r="E344" s="67">
        <v>4</v>
      </c>
      <c r="F344" s="67" t="s">
        <v>29</v>
      </c>
      <c r="G344" s="69">
        <v>45120</v>
      </c>
      <c r="H344" s="69" t="s">
        <v>1450</v>
      </c>
      <c r="I344" s="69" t="s">
        <v>1492</v>
      </c>
      <c r="J344" s="67" t="s">
        <v>1346</v>
      </c>
      <c r="K344" s="67" t="s">
        <v>813</v>
      </c>
      <c r="L344" s="67" t="s">
        <v>695</v>
      </c>
    </row>
    <row r="345" spans="1:12" ht="30" customHeight="1">
      <c r="A345" s="179" t="str">
        <f t="shared" si="10"/>
        <v>13/07/20235</v>
      </c>
      <c r="B345" s="172">
        <f t="shared" si="11"/>
        <v>5</v>
      </c>
      <c r="C345" s="67" t="s">
        <v>1553</v>
      </c>
      <c r="D345" s="68" t="s">
        <v>1798</v>
      </c>
      <c r="E345" s="67">
        <v>3</v>
      </c>
      <c r="F345" s="67" t="s">
        <v>32</v>
      </c>
      <c r="G345" s="69">
        <v>45120</v>
      </c>
      <c r="H345" s="69" t="s">
        <v>1450</v>
      </c>
      <c r="I345" s="69" t="s">
        <v>31</v>
      </c>
      <c r="J345" s="67">
        <f>IFERROR(VLOOKUP(I345,Jueces!$A$1:$B$11,2,FALSE),"")</f>
        <v>2</v>
      </c>
      <c r="K345" s="67" t="s">
        <v>810</v>
      </c>
      <c r="L345" s="67" t="s">
        <v>694</v>
      </c>
    </row>
    <row r="346" spans="1:12" ht="30" customHeight="1">
      <c r="A346" s="179" t="str">
        <f t="shared" si="10"/>
        <v>13/07/20236</v>
      </c>
      <c r="B346" s="172">
        <f t="shared" si="11"/>
        <v>6</v>
      </c>
      <c r="C346" s="67" t="s">
        <v>1561</v>
      </c>
      <c r="D346" s="68" t="s">
        <v>1799</v>
      </c>
      <c r="E346" s="67">
        <v>4</v>
      </c>
      <c r="F346" s="67" t="s">
        <v>1442</v>
      </c>
      <c r="G346" s="69">
        <v>45120</v>
      </c>
      <c r="H346" s="69" t="s">
        <v>547</v>
      </c>
      <c r="I346" s="69" t="s">
        <v>1625</v>
      </c>
      <c r="J346" s="67" t="str">
        <f>IFERROR(VLOOKUP(I346,Jueces!$A$1:$B$13,2,FALSE),"")</f>
        <v>JUI 5</v>
      </c>
      <c r="K346" s="67" t="s">
        <v>806</v>
      </c>
      <c r="L346" s="67" t="s">
        <v>695</v>
      </c>
    </row>
    <row r="347" spans="1:12" ht="30" customHeight="1">
      <c r="A347" s="179" t="str">
        <f t="shared" si="10"/>
        <v>13/07/20237</v>
      </c>
      <c r="B347" s="172">
        <f t="shared" si="11"/>
        <v>7</v>
      </c>
      <c r="C347" s="67" t="s">
        <v>1563</v>
      </c>
      <c r="D347" s="68" t="s">
        <v>1800</v>
      </c>
      <c r="E347" s="67">
        <v>3</v>
      </c>
      <c r="F347" s="67" t="s">
        <v>283</v>
      </c>
      <c r="G347" s="69">
        <v>45120</v>
      </c>
      <c r="H347" s="69" t="s">
        <v>547</v>
      </c>
      <c r="I347" s="69" t="s">
        <v>31</v>
      </c>
      <c r="J347" s="67">
        <f>IFERROR(VLOOKUP(I347,Jueces!$A$1:$B$13,2,FALSE),"")</f>
        <v>2</v>
      </c>
      <c r="K347" s="67" t="s">
        <v>789</v>
      </c>
      <c r="L347" s="67" t="s">
        <v>1829</v>
      </c>
    </row>
    <row r="348" spans="1:12" ht="30" customHeight="1">
      <c r="A348" s="179" t="str">
        <f t="shared" si="10"/>
        <v>14/07/20231</v>
      </c>
      <c r="B348" s="172">
        <f t="shared" si="11"/>
        <v>1</v>
      </c>
      <c r="C348" s="67" t="s">
        <v>1486</v>
      </c>
      <c r="D348" s="68" t="s">
        <v>1487</v>
      </c>
      <c r="E348" s="67">
        <v>3</v>
      </c>
      <c r="F348" s="67" t="s">
        <v>43</v>
      </c>
      <c r="G348" s="69">
        <v>45121</v>
      </c>
      <c r="H348" s="69" t="s">
        <v>76</v>
      </c>
      <c r="I348" s="69" t="s">
        <v>1625</v>
      </c>
      <c r="J348" s="67" t="s">
        <v>1491</v>
      </c>
      <c r="K348" s="67" t="s">
        <v>813</v>
      </c>
      <c r="L348" s="67" t="s">
        <v>693</v>
      </c>
    </row>
    <row r="349" spans="1:12" ht="30" customHeight="1">
      <c r="A349" s="179" t="str">
        <f t="shared" si="10"/>
        <v>14/07/20232</v>
      </c>
      <c r="B349" s="172">
        <f t="shared" si="11"/>
        <v>2</v>
      </c>
      <c r="C349" s="67" t="s">
        <v>1560</v>
      </c>
      <c r="D349" s="68" t="s">
        <v>1526</v>
      </c>
      <c r="E349" s="67">
        <v>4</v>
      </c>
      <c r="F349" s="67" t="s">
        <v>1441</v>
      </c>
      <c r="G349" s="69">
        <v>45121</v>
      </c>
      <c r="H349" s="69" t="s">
        <v>76</v>
      </c>
      <c r="I349" s="69" t="s">
        <v>35</v>
      </c>
      <c r="J349" s="67">
        <f>IFERROR(VLOOKUP(I349,Jueces!$A$1:$B$13,2,FALSE),"")</f>
        <v>3</v>
      </c>
      <c r="K349" s="67" t="s">
        <v>508</v>
      </c>
      <c r="L349" s="67" t="s">
        <v>1824</v>
      </c>
    </row>
    <row r="350" spans="1:12" ht="30" customHeight="1">
      <c r="A350" s="179" t="str">
        <f t="shared" si="10"/>
        <v>14/07/20233</v>
      </c>
      <c r="B350" s="172">
        <f t="shared" si="11"/>
        <v>3</v>
      </c>
      <c r="C350" s="67" t="s">
        <v>1569</v>
      </c>
      <c r="D350" s="68" t="s">
        <v>1582</v>
      </c>
      <c r="E350" s="67">
        <v>4</v>
      </c>
      <c r="F350" s="67" t="s">
        <v>32</v>
      </c>
      <c r="G350" s="69">
        <v>45121</v>
      </c>
      <c r="H350" s="69" t="s">
        <v>76</v>
      </c>
      <c r="I350" s="69" t="s">
        <v>31</v>
      </c>
      <c r="J350" s="67">
        <f>IFERROR(VLOOKUP(I350,Jueces!$A$1:$B$13,2,FALSE),"")</f>
        <v>2</v>
      </c>
      <c r="K350" s="67" t="s">
        <v>809</v>
      </c>
      <c r="L350" s="67" t="s">
        <v>695</v>
      </c>
    </row>
    <row r="351" spans="1:12" ht="30" customHeight="1">
      <c r="A351" s="179" t="str">
        <f t="shared" si="10"/>
        <v>14/07/20234</v>
      </c>
      <c r="B351" s="172">
        <f t="shared" si="11"/>
        <v>4</v>
      </c>
      <c r="C351" s="67" t="s">
        <v>1641</v>
      </c>
      <c r="D351" s="68" t="s">
        <v>1646</v>
      </c>
      <c r="E351" s="67">
        <v>3</v>
      </c>
      <c r="F351" s="67" t="s">
        <v>283</v>
      </c>
      <c r="G351" s="69">
        <v>45121</v>
      </c>
      <c r="H351" s="69" t="s">
        <v>76</v>
      </c>
      <c r="I351" s="69" t="s">
        <v>1492</v>
      </c>
      <c r="J351" s="67" t="s">
        <v>1346</v>
      </c>
      <c r="K351" s="67" t="s">
        <v>793</v>
      </c>
      <c r="L351" s="67" t="s">
        <v>1647</v>
      </c>
    </row>
    <row r="352" spans="1:12" ht="30" customHeight="1">
      <c r="A352" s="179" t="str">
        <f t="shared" si="10"/>
        <v>14/07/20235</v>
      </c>
      <c r="B352" s="172">
        <f t="shared" si="11"/>
        <v>5</v>
      </c>
      <c r="C352" s="67" t="s">
        <v>1567</v>
      </c>
      <c r="D352" s="68" t="s">
        <v>1568</v>
      </c>
      <c r="E352" s="67">
        <v>4</v>
      </c>
      <c r="F352" s="67" t="s">
        <v>29</v>
      </c>
      <c r="G352" s="69">
        <v>45121</v>
      </c>
      <c r="H352" s="69" t="s">
        <v>1450</v>
      </c>
      <c r="I352" s="69" t="s">
        <v>1625</v>
      </c>
      <c r="J352" s="67" t="str">
        <f>IFERROR(VLOOKUP(I352,Jueces!$A$1:$B$13,2,FALSE),"")</f>
        <v>JUI 5</v>
      </c>
      <c r="K352" s="67" t="s">
        <v>807</v>
      </c>
      <c r="L352" s="67" t="s">
        <v>695</v>
      </c>
    </row>
    <row r="353" spans="1:12" ht="30" customHeight="1">
      <c r="A353" s="179" t="str">
        <f t="shared" si="10"/>
        <v>14/07/20236</v>
      </c>
      <c r="B353" s="172">
        <f t="shared" si="11"/>
        <v>6</v>
      </c>
      <c r="C353" s="67" t="s">
        <v>1598</v>
      </c>
      <c r="D353" s="68" t="s">
        <v>1599</v>
      </c>
      <c r="E353" s="67">
        <v>3</v>
      </c>
      <c r="F353" s="67" t="s">
        <v>1442</v>
      </c>
      <c r="G353" s="69">
        <v>45121</v>
      </c>
      <c r="H353" s="69" t="s">
        <v>1450</v>
      </c>
      <c r="I353" s="69" t="s">
        <v>1492</v>
      </c>
      <c r="J353" s="67" t="s">
        <v>1346</v>
      </c>
      <c r="K353" s="67" t="s">
        <v>1835</v>
      </c>
      <c r="L353" s="67" t="s">
        <v>694</v>
      </c>
    </row>
    <row r="354" spans="1:12" ht="30" customHeight="1">
      <c r="A354" s="179" t="str">
        <f t="shared" si="10"/>
        <v>14/07/20237</v>
      </c>
      <c r="B354" s="172">
        <f t="shared" si="11"/>
        <v>7</v>
      </c>
      <c r="C354" s="67" t="s">
        <v>1597</v>
      </c>
      <c r="D354" s="68" t="s">
        <v>1621</v>
      </c>
      <c r="E354" s="67">
        <v>3</v>
      </c>
      <c r="F354" s="67" t="s">
        <v>568</v>
      </c>
      <c r="G354" s="69">
        <v>45121</v>
      </c>
      <c r="H354" s="69" t="s">
        <v>547</v>
      </c>
      <c r="I354" s="69" t="s">
        <v>1492</v>
      </c>
      <c r="J354" s="67" t="s">
        <v>1346</v>
      </c>
      <c r="K354" s="67" t="s">
        <v>809</v>
      </c>
      <c r="L354" s="67" t="s">
        <v>693</v>
      </c>
    </row>
    <row r="355" spans="1:12" ht="30" customHeight="1">
      <c r="A355" s="179" t="str">
        <f t="shared" si="10"/>
        <v>17/07/20231</v>
      </c>
      <c r="B355" s="172">
        <f t="shared" si="11"/>
        <v>1</v>
      </c>
      <c r="C355" s="67" t="s">
        <v>1594</v>
      </c>
      <c r="D355" s="68" t="s">
        <v>1847</v>
      </c>
      <c r="E355" s="67">
        <v>4</v>
      </c>
      <c r="F355" s="67" t="s">
        <v>283</v>
      </c>
      <c r="G355" s="69">
        <v>45124</v>
      </c>
      <c r="H355" s="69" t="s">
        <v>76</v>
      </c>
      <c r="I355" s="69" t="s">
        <v>1689</v>
      </c>
      <c r="J355" s="67" t="s">
        <v>1692</v>
      </c>
      <c r="K355" s="67" t="s">
        <v>806</v>
      </c>
      <c r="L355" s="67" t="s">
        <v>695</v>
      </c>
    </row>
    <row r="356" spans="1:12" ht="30" customHeight="1">
      <c r="A356" s="179" t="str">
        <f t="shared" si="10"/>
        <v>17/07/20232</v>
      </c>
      <c r="B356" s="172">
        <f t="shared" si="11"/>
        <v>2</v>
      </c>
      <c r="C356" s="67" t="s">
        <v>1643</v>
      </c>
      <c r="D356" s="68" t="s">
        <v>1645</v>
      </c>
      <c r="E356" s="67">
        <v>3</v>
      </c>
      <c r="F356" s="67" t="s">
        <v>1441</v>
      </c>
      <c r="G356" s="69">
        <v>45124</v>
      </c>
      <c r="H356" s="69" t="s">
        <v>76</v>
      </c>
      <c r="I356" s="69" t="s">
        <v>1732</v>
      </c>
      <c r="J356" s="67" t="s">
        <v>1346</v>
      </c>
      <c r="K356" s="67" t="s">
        <v>810</v>
      </c>
      <c r="L356" s="67" t="s">
        <v>694</v>
      </c>
    </row>
    <row r="357" spans="1:12" ht="30" customHeight="1">
      <c r="A357" s="179" t="str">
        <f t="shared" si="10"/>
        <v>17/07/20233</v>
      </c>
      <c r="B357" s="172">
        <f t="shared" si="11"/>
        <v>3</v>
      </c>
      <c r="C357" s="67" t="s">
        <v>1638</v>
      </c>
      <c r="D357" s="68" t="s">
        <v>1688</v>
      </c>
      <c r="E357" s="67">
        <v>3</v>
      </c>
      <c r="F357" s="67" t="s">
        <v>1443</v>
      </c>
      <c r="G357" s="69">
        <v>45124</v>
      </c>
      <c r="H357" s="69" t="s">
        <v>76</v>
      </c>
      <c r="I357" s="69" t="s">
        <v>31</v>
      </c>
      <c r="J357" s="67">
        <f>IFERROR(VLOOKUP(I357,Jueces!$A$1:$B$11,2,FALSE),"")</f>
        <v>2</v>
      </c>
      <c r="K357" s="67" t="s">
        <v>797</v>
      </c>
      <c r="L357" s="67" t="s">
        <v>782</v>
      </c>
    </row>
    <row r="358" spans="1:12" ht="30" customHeight="1">
      <c r="A358" s="179" t="str">
        <f t="shared" si="10"/>
        <v>17/07/20234</v>
      </c>
      <c r="B358" s="172">
        <f t="shared" si="11"/>
        <v>4</v>
      </c>
      <c r="C358" s="67" t="s">
        <v>1721</v>
      </c>
      <c r="D358" s="68" t="s">
        <v>1593</v>
      </c>
      <c r="E358" s="67">
        <v>4</v>
      </c>
      <c r="F358" s="67" t="s">
        <v>1663</v>
      </c>
      <c r="G358" s="69">
        <v>45124</v>
      </c>
      <c r="H358" s="69" t="s">
        <v>1450</v>
      </c>
      <c r="I358" s="69" t="s">
        <v>1732</v>
      </c>
      <c r="J358" s="67" t="s">
        <v>1346</v>
      </c>
      <c r="K358" s="67" t="s">
        <v>813</v>
      </c>
      <c r="L358" s="67" t="s">
        <v>695</v>
      </c>
    </row>
    <row r="359" spans="1:12" ht="30" customHeight="1">
      <c r="A359" s="179" t="str">
        <f t="shared" si="10"/>
        <v>17/07/20235</v>
      </c>
      <c r="B359" s="172">
        <f t="shared" si="11"/>
        <v>5</v>
      </c>
      <c r="C359" s="67" t="s">
        <v>1595</v>
      </c>
      <c r="D359" s="68" t="s">
        <v>1644</v>
      </c>
      <c r="E359" s="67">
        <v>4</v>
      </c>
      <c r="F359" s="67" t="s">
        <v>1661</v>
      </c>
      <c r="G359" s="69">
        <v>45124</v>
      </c>
      <c r="H359" s="69" t="s">
        <v>547</v>
      </c>
      <c r="I359" s="69" t="s">
        <v>1625</v>
      </c>
      <c r="J359" s="67" t="s">
        <v>1491</v>
      </c>
      <c r="K359" s="67" t="s">
        <v>810</v>
      </c>
      <c r="L359" s="67" t="s">
        <v>783</v>
      </c>
    </row>
    <row r="360" spans="1:12" ht="30" customHeight="1">
      <c r="A360" s="179" t="str">
        <f t="shared" si="10"/>
        <v>18/07/20231</v>
      </c>
      <c r="B360" s="172">
        <f t="shared" si="11"/>
        <v>1</v>
      </c>
      <c r="C360" s="67" t="s">
        <v>1695</v>
      </c>
      <c r="D360" s="68" t="s">
        <v>1704</v>
      </c>
      <c r="E360" s="67">
        <v>4</v>
      </c>
      <c r="F360" s="67" t="s">
        <v>1443</v>
      </c>
      <c r="G360" s="69">
        <v>45125</v>
      </c>
      <c r="H360" s="69" t="s">
        <v>76</v>
      </c>
      <c r="I360" s="69" t="s">
        <v>1732</v>
      </c>
      <c r="J360" s="67" t="s">
        <v>1326</v>
      </c>
      <c r="K360" s="67" t="s">
        <v>806</v>
      </c>
      <c r="L360" s="67" t="s">
        <v>695</v>
      </c>
    </row>
    <row r="361" spans="1:12" ht="30" customHeight="1">
      <c r="A361" s="179" t="str">
        <f t="shared" si="10"/>
        <v>18/07/20232</v>
      </c>
      <c r="B361" s="172">
        <f t="shared" si="11"/>
        <v>2</v>
      </c>
      <c r="C361" s="67" t="s">
        <v>1697</v>
      </c>
      <c r="D361" s="68" t="s">
        <v>1712</v>
      </c>
      <c r="E361" s="67">
        <v>4</v>
      </c>
      <c r="F361" s="67" t="s">
        <v>1663</v>
      </c>
      <c r="G361" s="69">
        <v>45125</v>
      </c>
      <c r="H361" s="69" t="s">
        <v>76</v>
      </c>
      <c r="I361" s="69" t="s">
        <v>31</v>
      </c>
      <c r="J361" s="67">
        <f>IFERROR(VLOOKUP(I361,Jueces!$A$1:$B$11,2,FALSE),"")</f>
        <v>2</v>
      </c>
      <c r="K361" s="67" t="s">
        <v>812</v>
      </c>
      <c r="L361" s="67" t="s">
        <v>1862</v>
      </c>
    </row>
    <row r="362" spans="1:12" ht="30" customHeight="1">
      <c r="A362" s="179" t="str">
        <f t="shared" si="10"/>
        <v>18/07/20233</v>
      </c>
      <c r="B362" s="172">
        <f t="shared" si="11"/>
        <v>3</v>
      </c>
      <c r="C362" s="67" t="s">
        <v>1700</v>
      </c>
      <c r="D362" s="68" t="s">
        <v>1878</v>
      </c>
      <c r="E362" s="67">
        <v>3</v>
      </c>
      <c r="F362" s="67" t="s">
        <v>1742</v>
      </c>
      <c r="G362" s="69">
        <v>45125</v>
      </c>
      <c r="H362" s="69" t="s">
        <v>76</v>
      </c>
      <c r="I362" s="69" t="s">
        <v>1625</v>
      </c>
      <c r="J362" s="67" t="s">
        <v>1491</v>
      </c>
      <c r="K362" s="67" t="s">
        <v>797</v>
      </c>
      <c r="L362" s="67" t="s">
        <v>693</v>
      </c>
    </row>
    <row r="363" spans="1:12" ht="30" customHeight="1">
      <c r="A363" s="179" t="str">
        <f t="shared" si="10"/>
        <v>18/07/20234</v>
      </c>
      <c r="B363" s="172">
        <f t="shared" si="11"/>
        <v>4</v>
      </c>
      <c r="C363" s="67" t="s">
        <v>1703</v>
      </c>
      <c r="D363" s="68" t="s">
        <v>1877</v>
      </c>
      <c r="E363" s="67">
        <v>3</v>
      </c>
      <c r="F363" s="67" t="s">
        <v>283</v>
      </c>
      <c r="G363" s="69">
        <v>45125</v>
      </c>
      <c r="H363" s="69" t="s">
        <v>1450</v>
      </c>
      <c r="I363" s="69" t="s">
        <v>1625</v>
      </c>
      <c r="J363" s="67" t="s">
        <v>1491</v>
      </c>
      <c r="K363" s="67" t="s">
        <v>802</v>
      </c>
      <c r="L363" s="67" t="s">
        <v>1711</v>
      </c>
    </row>
    <row r="364" spans="1:12" ht="30" customHeight="1">
      <c r="A364" s="179" t="str">
        <f t="shared" si="10"/>
        <v>18/07/20235</v>
      </c>
      <c r="B364" s="172">
        <f t="shared" si="11"/>
        <v>5</v>
      </c>
      <c r="C364" s="67" t="s">
        <v>1725</v>
      </c>
      <c r="D364" s="68" t="s">
        <v>1724</v>
      </c>
      <c r="E364" s="67">
        <v>4</v>
      </c>
      <c r="F364" s="67" t="s">
        <v>1661</v>
      </c>
      <c r="G364" s="69">
        <v>45125</v>
      </c>
      <c r="H364" s="69" t="s">
        <v>1764</v>
      </c>
      <c r="I364" s="69" t="s">
        <v>1732</v>
      </c>
      <c r="J364" s="67" t="s">
        <v>1346</v>
      </c>
      <c r="K364" s="67" t="s">
        <v>806</v>
      </c>
      <c r="L364" s="67" t="s">
        <v>695</v>
      </c>
    </row>
    <row r="365" spans="1:12" ht="30" customHeight="1">
      <c r="A365" s="179" t="str">
        <f t="shared" si="10"/>
        <v>19/07/20231</v>
      </c>
      <c r="B365" s="172">
        <f t="shared" si="11"/>
        <v>1</v>
      </c>
      <c r="C365" s="67" t="s">
        <v>1640</v>
      </c>
      <c r="D365" s="68" t="s">
        <v>1637</v>
      </c>
      <c r="E365" s="67">
        <v>6</v>
      </c>
      <c r="F365" s="67" t="s">
        <v>1441</v>
      </c>
      <c r="G365" s="69">
        <v>45126</v>
      </c>
      <c r="H365" s="69" t="s">
        <v>76</v>
      </c>
      <c r="I365" s="69" t="s">
        <v>1689</v>
      </c>
      <c r="J365" s="67" t="s">
        <v>1692</v>
      </c>
      <c r="K365" s="67" t="s">
        <v>791</v>
      </c>
      <c r="L365" s="67" t="s">
        <v>694</v>
      </c>
    </row>
    <row r="366" spans="1:12" ht="30" customHeight="1">
      <c r="A366" s="179" t="str">
        <f t="shared" si="10"/>
        <v>19/07/20232</v>
      </c>
      <c r="B366" s="172">
        <f t="shared" si="11"/>
        <v>2</v>
      </c>
      <c r="C366" s="67" t="s">
        <v>1731</v>
      </c>
      <c r="D366" s="68" t="s">
        <v>1713</v>
      </c>
      <c r="E366" s="67">
        <v>2</v>
      </c>
      <c r="F366" s="67" t="s">
        <v>283</v>
      </c>
      <c r="G366" s="69">
        <v>45126</v>
      </c>
      <c r="H366" s="69" t="s">
        <v>76</v>
      </c>
      <c r="I366" s="69" t="s">
        <v>1625</v>
      </c>
      <c r="J366" s="67" t="s">
        <v>1491</v>
      </c>
      <c r="K366" s="67" t="s">
        <v>326</v>
      </c>
      <c r="L366" s="67" t="s">
        <v>695</v>
      </c>
    </row>
    <row r="367" spans="1:12" ht="30" customHeight="1">
      <c r="A367" s="179" t="str">
        <f t="shared" si="10"/>
        <v>19/07/20233</v>
      </c>
      <c r="B367" s="172">
        <f t="shared" si="11"/>
        <v>3</v>
      </c>
      <c r="C367" s="67" t="s">
        <v>1733</v>
      </c>
      <c r="D367" s="68" t="s">
        <v>1730</v>
      </c>
      <c r="E367" s="67">
        <v>3</v>
      </c>
      <c r="F367" s="67" t="s">
        <v>1661</v>
      </c>
      <c r="G367" s="69">
        <v>45126</v>
      </c>
      <c r="H367" s="69" t="s">
        <v>76</v>
      </c>
      <c r="I367" s="69" t="s">
        <v>1732</v>
      </c>
      <c r="J367" s="67" t="s">
        <v>1346</v>
      </c>
      <c r="K367" s="67" t="s">
        <v>798</v>
      </c>
      <c r="L367" s="67" t="s">
        <v>693</v>
      </c>
    </row>
    <row r="368" spans="1:12" ht="30" customHeight="1">
      <c r="A368" s="179" t="str">
        <f t="shared" si="10"/>
        <v>19/07/20234</v>
      </c>
      <c r="B368" s="172">
        <f t="shared" si="11"/>
        <v>4</v>
      </c>
      <c r="C368" s="67" t="s">
        <v>1685</v>
      </c>
      <c r="D368" s="68" t="s">
        <v>1684</v>
      </c>
      <c r="E368" s="67">
        <v>4</v>
      </c>
      <c r="F368" s="67" t="s">
        <v>1742</v>
      </c>
      <c r="G368" s="69">
        <v>45126</v>
      </c>
      <c r="H368" s="69" t="s">
        <v>1450</v>
      </c>
      <c r="I368" s="69" t="s">
        <v>31</v>
      </c>
      <c r="J368" s="67">
        <f>IFERROR(VLOOKUP(I368,Jueces!$A$1:$B$11,2,FALSE),"")</f>
        <v>2</v>
      </c>
      <c r="K368" s="67" t="s">
        <v>804</v>
      </c>
      <c r="L368" s="67" t="s">
        <v>695</v>
      </c>
    </row>
    <row r="369" spans="1:12" ht="30" customHeight="1">
      <c r="A369" s="179" t="str">
        <f t="shared" si="10"/>
        <v>19/07/20235</v>
      </c>
      <c r="B369" s="172">
        <f t="shared" si="11"/>
        <v>5</v>
      </c>
      <c r="C369" s="67" t="s">
        <v>1681</v>
      </c>
      <c r="D369" s="68" t="s">
        <v>1679</v>
      </c>
      <c r="E369" s="67">
        <v>3</v>
      </c>
      <c r="F369" s="67" t="s">
        <v>1663</v>
      </c>
      <c r="G369" s="69">
        <v>45126</v>
      </c>
      <c r="H369" s="69" t="s">
        <v>547</v>
      </c>
      <c r="I369" s="69" t="s">
        <v>1732</v>
      </c>
      <c r="J369" s="67" t="s">
        <v>1346</v>
      </c>
      <c r="K369" s="67" t="s">
        <v>1070</v>
      </c>
      <c r="L369" s="67" t="s">
        <v>694</v>
      </c>
    </row>
    <row r="370" spans="1:12" ht="30" customHeight="1">
      <c r="A370" s="179" t="str">
        <f t="shared" si="10"/>
        <v>19/07/20236</v>
      </c>
      <c r="B370" s="172">
        <f t="shared" si="11"/>
        <v>6</v>
      </c>
      <c r="C370" s="67" t="s">
        <v>1722</v>
      </c>
      <c r="D370" s="68" t="s">
        <v>1723</v>
      </c>
      <c r="E370" s="67">
        <v>3</v>
      </c>
      <c r="F370" s="67" t="s">
        <v>1443</v>
      </c>
      <c r="G370" s="69">
        <v>45126</v>
      </c>
      <c r="H370" s="69" t="s">
        <v>547</v>
      </c>
      <c r="I370" s="69" t="s">
        <v>1625</v>
      </c>
      <c r="J370" s="67" t="s">
        <v>1491</v>
      </c>
      <c r="K370" s="67" t="s">
        <v>801</v>
      </c>
      <c r="L370" s="67" t="s">
        <v>693</v>
      </c>
    </row>
    <row r="371" spans="1:12" ht="30" customHeight="1">
      <c r="A371" s="179" t="str">
        <f t="shared" si="10"/>
        <v>20/07/20231</v>
      </c>
      <c r="B371" s="172">
        <f t="shared" si="11"/>
        <v>1</v>
      </c>
      <c r="C371" s="67" t="s">
        <v>604</v>
      </c>
      <c r="D371" s="68" t="s">
        <v>1952</v>
      </c>
      <c r="E371" s="67">
        <v>4</v>
      </c>
      <c r="F371" s="67" t="s">
        <v>1661</v>
      </c>
      <c r="G371" s="69">
        <v>45127</v>
      </c>
      <c r="H371" s="69" t="s">
        <v>76</v>
      </c>
      <c r="I371" s="69" t="s">
        <v>1689</v>
      </c>
      <c r="J371" s="67" t="s">
        <v>1692</v>
      </c>
      <c r="K371" s="67" t="s">
        <v>813</v>
      </c>
      <c r="L371" s="67" t="s">
        <v>783</v>
      </c>
    </row>
    <row r="372" spans="1:12" ht="30" customHeight="1">
      <c r="A372" s="179" t="str">
        <f t="shared" si="10"/>
        <v>20/07/20232</v>
      </c>
      <c r="B372" s="172">
        <f t="shared" si="11"/>
        <v>2</v>
      </c>
      <c r="C372" s="67" t="s">
        <v>1682</v>
      </c>
      <c r="D372" s="68" t="s">
        <v>1951</v>
      </c>
      <c r="E372" s="67">
        <v>3</v>
      </c>
      <c r="F372" s="67" t="s">
        <v>1443</v>
      </c>
      <c r="G372" s="69">
        <v>45127</v>
      </c>
      <c r="H372" s="69" t="s">
        <v>547</v>
      </c>
      <c r="I372" s="69" t="s">
        <v>31</v>
      </c>
      <c r="J372" s="67">
        <f>IFERROR(VLOOKUP(I372,Jueces!$A$1:$B$11,2,FALSE),"")</f>
        <v>2</v>
      </c>
      <c r="K372" s="67" t="s">
        <v>789</v>
      </c>
      <c r="L372" s="67" t="s">
        <v>694</v>
      </c>
    </row>
    <row r="373" spans="1:12" ht="30" customHeight="1">
      <c r="A373" s="179" t="str">
        <f t="shared" si="10"/>
        <v>20/07/20233</v>
      </c>
      <c r="B373" s="172">
        <f t="shared" si="11"/>
        <v>3</v>
      </c>
      <c r="C373" s="67" t="s">
        <v>1687</v>
      </c>
      <c r="D373" s="68" t="s">
        <v>1686</v>
      </c>
      <c r="E373" s="67">
        <v>4</v>
      </c>
      <c r="F373" s="67" t="s">
        <v>1663</v>
      </c>
      <c r="G373" s="69">
        <v>45127</v>
      </c>
      <c r="H373" s="69" t="s">
        <v>547</v>
      </c>
      <c r="I373" s="69" t="s">
        <v>1732</v>
      </c>
      <c r="J373" s="67" t="s">
        <v>1346</v>
      </c>
      <c r="K373" s="67" t="s">
        <v>813</v>
      </c>
      <c r="L373" s="67" t="s">
        <v>695</v>
      </c>
    </row>
    <row r="374" spans="1:12" ht="30" customHeight="1">
      <c r="A374" s="179" t="str">
        <f t="shared" si="10"/>
        <v>20/07/20234</v>
      </c>
      <c r="B374" s="172">
        <f t="shared" si="11"/>
        <v>4</v>
      </c>
      <c r="C374" s="67" t="s">
        <v>1726</v>
      </c>
      <c r="D374" s="68" t="s">
        <v>1911</v>
      </c>
      <c r="E374" s="67">
        <v>4</v>
      </c>
      <c r="F374" s="67" t="s">
        <v>1441</v>
      </c>
      <c r="G374" s="69">
        <v>45127</v>
      </c>
      <c r="H374" s="69" t="s">
        <v>1562</v>
      </c>
      <c r="I374" s="69" t="s">
        <v>1625</v>
      </c>
      <c r="J374" s="67" t="s">
        <v>1491</v>
      </c>
      <c r="K374" s="67" t="s">
        <v>807</v>
      </c>
      <c r="L374" s="67" t="s">
        <v>695</v>
      </c>
    </row>
    <row r="375" spans="1:12" ht="30" customHeight="1">
      <c r="A375" s="179" t="str">
        <f t="shared" si="10"/>
        <v>21/07/20231</v>
      </c>
      <c r="B375" s="172">
        <f t="shared" si="11"/>
        <v>1</v>
      </c>
      <c r="C375" s="67" t="s">
        <v>1736</v>
      </c>
      <c r="D375" s="68" t="s">
        <v>1950</v>
      </c>
      <c r="E375" s="67">
        <v>4</v>
      </c>
      <c r="F375" s="67" t="s">
        <v>1443</v>
      </c>
      <c r="G375" s="69">
        <v>45128</v>
      </c>
      <c r="H375" s="69" t="s">
        <v>76</v>
      </c>
      <c r="I375" s="69" t="s">
        <v>1732</v>
      </c>
      <c r="J375" s="67" t="s">
        <v>1346</v>
      </c>
      <c r="K375" s="67" t="s">
        <v>797</v>
      </c>
      <c r="L375" s="67" t="s">
        <v>1179</v>
      </c>
    </row>
    <row r="376" spans="1:12" ht="30" customHeight="1">
      <c r="A376" s="179" t="str">
        <f t="shared" si="10"/>
        <v>21/07/20232</v>
      </c>
      <c r="B376" s="172">
        <f t="shared" si="11"/>
        <v>2</v>
      </c>
      <c r="C376" s="67" t="s">
        <v>1735</v>
      </c>
      <c r="D376" s="68" t="s">
        <v>1949</v>
      </c>
      <c r="E376" s="67">
        <v>3</v>
      </c>
      <c r="F376" s="67" t="s">
        <v>283</v>
      </c>
      <c r="G376" s="69">
        <v>45128</v>
      </c>
      <c r="H376" s="69" t="s">
        <v>1450</v>
      </c>
      <c r="I376" s="69" t="s">
        <v>1689</v>
      </c>
      <c r="J376" s="67" t="s">
        <v>1692</v>
      </c>
      <c r="K376" s="67" t="s">
        <v>800</v>
      </c>
      <c r="L376" s="67" t="s">
        <v>694</v>
      </c>
    </row>
    <row r="377" spans="1:12" ht="30" customHeight="1">
      <c r="A377" s="179" t="str">
        <f t="shared" si="10"/>
        <v>21/07/20233</v>
      </c>
      <c r="B377" s="172">
        <f t="shared" si="11"/>
        <v>3</v>
      </c>
      <c r="C377" s="67" t="s">
        <v>1762</v>
      </c>
      <c r="D377" s="68" t="s">
        <v>1948</v>
      </c>
      <c r="E377" s="67">
        <v>4</v>
      </c>
      <c r="F377" s="67" t="s">
        <v>1663</v>
      </c>
      <c r="G377" s="69">
        <v>45128</v>
      </c>
      <c r="H377" s="69" t="s">
        <v>1450</v>
      </c>
      <c r="I377" s="69" t="s">
        <v>1732</v>
      </c>
      <c r="J377" s="67" t="s">
        <v>1346</v>
      </c>
      <c r="K377" s="67" t="s">
        <v>1070</v>
      </c>
      <c r="L377" s="67" t="s">
        <v>1763</v>
      </c>
    </row>
    <row r="378" spans="1:12" ht="30" customHeight="1">
      <c r="A378" s="179" t="str">
        <f t="shared" si="10"/>
        <v>21/07/20234</v>
      </c>
      <c r="B378" s="172">
        <f t="shared" si="11"/>
        <v>4</v>
      </c>
      <c r="C378" s="67" t="s">
        <v>1636</v>
      </c>
      <c r="D378" s="68" t="s">
        <v>1947</v>
      </c>
      <c r="E378" s="67">
        <v>4</v>
      </c>
      <c r="F378" s="67" t="s">
        <v>1742</v>
      </c>
      <c r="G378" s="69">
        <v>45128</v>
      </c>
      <c r="H378" s="69" t="s">
        <v>547</v>
      </c>
      <c r="I378" s="69" t="s">
        <v>31</v>
      </c>
      <c r="J378" s="67">
        <f>IFERROR(VLOOKUP(I378,Jueces!$A$1:$B$11,2,FALSE),"")</f>
        <v>2</v>
      </c>
      <c r="K378" s="67" t="s">
        <v>812</v>
      </c>
      <c r="L378" s="67" t="s">
        <v>695</v>
      </c>
    </row>
    <row r="379" spans="1:12" ht="30" customHeight="1">
      <c r="A379" s="179" t="str">
        <f t="shared" si="10"/>
        <v>21/07/20235</v>
      </c>
      <c r="B379" s="172">
        <f t="shared" si="11"/>
        <v>5</v>
      </c>
      <c r="C379" s="67" t="s">
        <v>1734</v>
      </c>
      <c r="D379" s="68" t="s">
        <v>1946</v>
      </c>
      <c r="E379" s="67">
        <v>4</v>
      </c>
      <c r="F379" s="67" t="s">
        <v>283</v>
      </c>
      <c r="G379" s="69">
        <v>45128</v>
      </c>
      <c r="H379" s="69" t="s">
        <v>547</v>
      </c>
      <c r="I379" s="69" t="s">
        <v>1732</v>
      </c>
      <c r="J379" s="67" t="s">
        <v>1346</v>
      </c>
      <c r="K379" s="67" t="s">
        <v>326</v>
      </c>
      <c r="L379" s="67" t="s">
        <v>695</v>
      </c>
    </row>
    <row r="380" spans="1:12" ht="30" customHeight="1">
      <c r="A380" s="179" t="str">
        <f t="shared" si="10"/>
        <v>21/07/20236</v>
      </c>
      <c r="B380" s="172">
        <f t="shared" si="11"/>
        <v>6</v>
      </c>
      <c r="C380" s="67" t="s">
        <v>1752</v>
      </c>
      <c r="D380" s="68" t="s">
        <v>1945</v>
      </c>
      <c r="E380" s="67">
        <v>4</v>
      </c>
      <c r="F380" s="67" t="s">
        <v>1661</v>
      </c>
      <c r="G380" s="69">
        <v>45128</v>
      </c>
      <c r="H380" s="69" t="s">
        <v>1562</v>
      </c>
      <c r="I380" s="69" t="s">
        <v>1625</v>
      </c>
      <c r="J380" s="67" t="s">
        <v>1491</v>
      </c>
      <c r="K380" s="67" t="s">
        <v>802</v>
      </c>
      <c r="L380" s="67"/>
    </row>
    <row r="381" spans="1:12" ht="30" customHeight="1">
      <c r="A381" s="179" t="str">
        <f t="shared" si="10"/>
        <v>21/07/20237</v>
      </c>
      <c r="B381" s="172">
        <f t="shared" si="11"/>
        <v>7</v>
      </c>
      <c r="C381" s="67" t="s">
        <v>1596</v>
      </c>
      <c r="D381" s="68" t="s">
        <v>1944</v>
      </c>
      <c r="E381" s="67">
        <v>4</v>
      </c>
      <c r="F381" s="67" t="s">
        <v>1441</v>
      </c>
      <c r="G381" s="69">
        <v>45128</v>
      </c>
      <c r="H381" s="69" t="s">
        <v>228</v>
      </c>
      <c r="I381" s="69" t="s">
        <v>1625</v>
      </c>
      <c r="J381" s="67" t="s">
        <v>1491</v>
      </c>
      <c r="K381" s="67" t="s">
        <v>804</v>
      </c>
      <c r="L381" s="67" t="s">
        <v>695</v>
      </c>
    </row>
    <row r="382" spans="1:12" ht="30" customHeight="1">
      <c r="A382" s="179" t="str">
        <f t="shared" si="10"/>
        <v>25/07/20231</v>
      </c>
      <c r="B382" s="172">
        <f t="shared" si="11"/>
        <v>1</v>
      </c>
      <c r="C382" s="67" t="s">
        <v>1770</v>
      </c>
      <c r="D382" s="68" t="s">
        <v>1771</v>
      </c>
      <c r="E382" s="67">
        <v>3</v>
      </c>
      <c r="F382" s="67" t="s">
        <v>32</v>
      </c>
      <c r="G382" s="69">
        <v>45132</v>
      </c>
      <c r="H382" s="69" t="s">
        <v>73</v>
      </c>
      <c r="I382" s="69" t="s">
        <v>35</v>
      </c>
      <c r="J382" s="67">
        <f>IFERROR(VLOOKUP(I382,Jueces!$A$1:$B$11,2,FALSE),"")</f>
        <v>3</v>
      </c>
      <c r="K382" s="67" t="s">
        <v>813</v>
      </c>
      <c r="L382" s="67" t="s">
        <v>694</v>
      </c>
    </row>
    <row r="383" spans="1:12" ht="30" customHeight="1">
      <c r="A383" s="179" t="str">
        <f t="shared" si="10"/>
        <v>25/07/20232</v>
      </c>
      <c r="B383" s="172">
        <f t="shared" si="11"/>
        <v>2</v>
      </c>
      <c r="C383" s="67" t="s">
        <v>1808</v>
      </c>
      <c r="D383" s="68" t="s">
        <v>1822</v>
      </c>
      <c r="E383" s="67">
        <v>2</v>
      </c>
      <c r="F383" s="67" t="s">
        <v>29</v>
      </c>
      <c r="G383" s="69">
        <v>45132</v>
      </c>
      <c r="H383" s="69" t="s">
        <v>73</v>
      </c>
      <c r="I383" s="69" t="s">
        <v>33</v>
      </c>
      <c r="J383" s="67">
        <f>IFERROR(VLOOKUP(I383,Jueces!$A$1:$B$11,2,FALSE),"")</f>
        <v>4</v>
      </c>
      <c r="K383" s="67" t="s">
        <v>326</v>
      </c>
      <c r="L383" s="67" t="s">
        <v>695</v>
      </c>
    </row>
    <row r="384" spans="1:12" ht="30" customHeight="1">
      <c r="A384" s="179" t="str">
        <f t="shared" si="10"/>
        <v>25/07/20233</v>
      </c>
      <c r="B384" s="172">
        <f t="shared" si="11"/>
        <v>3</v>
      </c>
      <c r="C384" s="67" t="s">
        <v>1866</v>
      </c>
      <c r="D384" s="68" t="s">
        <v>1865</v>
      </c>
      <c r="E384" s="67">
        <v>5</v>
      </c>
      <c r="F384" s="67" t="s">
        <v>43</v>
      </c>
      <c r="G384" s="69">
        <v>45132</v>
      </c>
      <c r="H384" s="69" t="s">
        <v>73</v>
      </c>
      <c r="I384" s="69" t="s">
        <v>1222</v>
      </c>
      <c r="J384" s="67" t="s">
        <v>1346</v>
      </c>
      <c r="K384" s="67" t="s">
        <v>812</v>
      </c>
      <c r="L384" s="67" t="s">
        <v>1876</v>
      </c>
    </row>
    <row r="385" spans="1:12" ht="30" customHeight="1">
      <c r="A385" s="179" t="str">
        <f t="shared" si="10"/>
        <v>25/07/20234</v>
      </c>
      <c r="B385" s="172">
        <f t="shared" si="11"/>
        <v>4</v>
      </c>
      <c r="C385" s="67" t="s">
        <v>1814</v>
      </c>
      <c r="D385" s="68" t="s">
        <v>1821</v>
      </c>
      <c r="E385" s="67">
        <v>4</v>
      </c>
      <c r="F385" s="67" t="s">
        <v>1443</v>
      </c>
      <c r="G385" s="69">
        <v>45132</v>
      </c>
      <c r="H385" s="69" t="s">
        <v>1086</v>
      </c>
      <c r="I385" s="69" t="s">
        <v>1225</v>
      </c>
      <c r="J385" s="67">
        <f>IFERROR(VLOOKUP(I385,Jueces!$A$1:$B$11,2,FALSE),"")</f>
        <v>6</v>
      </c>
      <c r="K385" s="67" t="s">
        <v>813</v>
      </c>
      <c r="L385" s="67" t="s">
        <v>695</v>
      </c>
    </row>
    <row r="386" spans="1:12" ht="30" customHeight="1">
      <c r="A386" s="179" t="str">
        <f t="shared" si="10"/>
        <v>25/07/20235</v>
      </c>
      <c r="B386" s="172">
        <f t="shared" si="11"/>
        <v>5</v>
      </c>
      <c r="C386" s="67" t="s">
        <v>1818</v>
      </c>
      <c r="D386" s="68" t="s">
        <v>1875</v>
      </c>
      <c r="E386" s="67">
        <v>4</v>
      </c>
      <c r="F386" s="67" t="s">
        <v>32</v>
      </c>
      <c r="G386" s="69">
        <v>45132</v>
      </c>
      <c r="H386" s="69" t="s">
        <v>1086</v>
      </c>
      <c r="I386" s="69" t="s">
        <v>33</v>
      </c>
      <c r="J386" s="67">
        <f>IFERROR(VLOOKUP(I386,Jueces!$A$1:$B$11,2,FALSE),"")</f>
        <v>4</v>
      </c>
      <c r="K386" s="67" t="s">
        <v>1070</v>
      </c>
      <c r="L386" s="67" t="s">
        <v>1854</v>
      </c>
    </row>
    <row r="387" spans="1:12" ht="30" customHeight="1">
      <c r="A387" s="179" t="str">
        <f t="shared" ref="A387:A450" si="12">CONCATENATE(TEXT($G387,"dd/mm/yyyy"),$B387)</f>
        <v>25/07/20236</v>
      </c>
      <c r="B387" s="172">
        <f t="shared" si="11"/>
        <v>6</v>
      </c>
      <c r="C387" s="67" t="s">
        <v>1812</v>
      </c>
      <c r="D387" s="68" t="s">
        <v>1811</v>
      </c>
      <c r="E387" s="67">
        <v>4</v>
      </c>
      <c r="F387" s="67" t="s">
        <v>568</v>
      </c>
      <c r="G387" s="69">
        <v>45132</v>
      </c>
      <c r="H387" s="69" t="s">
        <v>1086</v>
      </c>
      <c r="I387" s="69" t="s">
        <v>1221</v>
      </c>
      <c r="J387" s="67">
        <f>IFERROR(VLOOKUP(I387,Jueces!$A$1:$B$11,2,FALSE),"")</f>
        <v>7</v>
      </c>
      <c r="K387" s="67" t="s">
        <v>791</v>
      </c>
      <c r="L387" s="67" t="s">
        <v>1839</v>
      </c>
    </row>
    <row r="388" spans="1:12" ht="30" customHeight="1">
      <c r="A388" s="179" t="str">
        <f t="shared" si="12"/>
        <v>26/07/20231</v>
      </c>
      <c r="B388" s="172">
        <f t="shared" ref="B388:B451" si="13">IF($G388=$G387,$B387+1,1)</f>
        <v>1</v>
      </c>
      <c r="C388" s="67" t="s">
        <v>1768</v>
      </c>
      <c r="D388" s="68" t="s">
        <v>1769</v>
      </c>
      <c r="E388" s="67">
        <v>4</v>
      </c>
      <c r="F388" s="67" t="s">
        <v>43</v>
      </c>
      <c r="G388" s="69">
        <v>45133</v>
      </c>
      <c r="H388" s="69" t="s">
        <v>73</v>
      </c>
      <c r="I388" s="69" t="s">
        <v>31</v>
      </c>
      <c r="J388" s="67">
        <f>IFERROR(VLOOKUP(I388,Jueces!$A$1:$B$11,2,FALSE),"")</f>
        <v>2</v>
      </c>
      <c r="K388" s="67" t="s">
        <v>1973</v>
      </c>
      <c r="L388" s="67" t="s">
        <v>1839</v>
      </c>
    </row>
    <row r="389" spans="1:12" ht="30" customHeight="1">
      <c r="A389" s="179" t="str">
        <f t="shared" si="12"/>
        <v>26/07/20232</v>
      </c>
      <c r="B389" s="172">
        <f t="shared" si="13"/>
        <v>2</v>
      </c>
      <c r="C389" s="67" t="s">
        <v>1869</v>
      </c>
      <c r="D389" s="68" t="s">
        <v>1864</v>
      </c>
      <c r="E389" s="67">
        <v>2</v>
      </c>
      <c r="F389" s="67" t="s">
        <v>1442</v>
      </c>
      <c r="G389" s="69">
        <v>45133</v>
      </c>
      <c r="H389" s="69" t="s">
        <v>73</v>
      </c>
      <c r="I389" s="69" t="s">
        <v>1224</v>
      </c>
      <c r="J389" s="67" t="s">
        <v>1346</v>
      </c>
      <c r="K389" s="67" t="s">
        <v>813</v>
      </c>
      <c r="L389" s="67" t="s">
        <v>695</v>
      </c>
    </row>
    <row r="390" spans="1:12" ht="30" customHeight="1">
      <c r="A390" s="179" t="str">
        <f t="shared" si="12"/>
        <v>26/07/20233</v>
      </c>
      <c r="B390" s="172">
        <f t="shared" si="13"/>
        <v>3</v>
      </c>
      <c r="C390" s="67" t="s">
        <v>1881</v>
      </c>
      <c r="D390" s="68" t="s">
        <v>1885</v>
      </c>
      <c r="E390" s="67">
        <v>5</v>
      </c>
      <c r="F390" s="67" t="s">
        <v>568</v>
      </c>
      <c r="G390" s="69">
        <v>45133</v>
      </c>
      <c r="H390" s="69" t="s">
        <v>73</v>
      </c>
      <c r="I390" s="69" t="s">
        <v>78</v>
      </c>
      <c r="J390" s="67">
        <f>IFERROR(VLOOKUP(I390,Jueces!$A$1:$B$11,2,FALSE),"")</f>
        <v>8</v>
      </c>
      <c r="K390" s="67" t="s">
        <v>800</v>
      </c>
      <c r="L390" s="67" t="s">
        <v>1876</v>
      </c>
    </row>
    <row r="391" spans="1:12" ht="30" customHeight="1">
      <c r="A391" s="179" t="str">
        <f t="shared" si="12"/>
        <v>26/07/20234</v>
      </c>
      <c r="B391" s="172">
        <f t="shared" si="13"/>
        <v>4</v>
      </c>
      <c r="C391" s="67" t="s">
        <v>1874</v>
      </c>
      <c r="D391" s="68" t="s">
        <v>1978</v>
      </c>
      <c r="E391" s="67">
        <v>5</v>
      </c>
      <c r="F391" s="67" t="s">
        <v>1443</v>
      </c>
      <c r="G391" s="69">
        <v>45133</v>
      </c>
      <c r="H391" s="69" t="s">
        <v>1086</v>
      </c>
      <c r="I391" s="69" t="s">
        <v>31</v>
      </c>
      <c r="J391" s="67" t="s">
        <v>1926</v>
      </c>
      <c r="K391" s="67" t="s">
        <v>789</v>
      </c>
      <c r="L391" s="67" t="s">
        <v>1876</v>
      </c>
    </row>
    <row r="392" spans="1:12" ht="30" customHeight="1">
      <c r="A392" s="179" t="str">
        <f t="shared" si="12"/>
        <v>26/07/20235</v>
      </c>
      <c r="B392" s="172">
        <f t="shared" si="13"/>
        <v>5</v>
      </c>
      <c r="C392" s="67" t="s">
        <v>1817</v>
      </c>
      <c r="D392" s="68" t="s">
        <v>1809</v>
      </c>
      <c r="E392" s="67">
        <v>4</v>
      </c>
      <c r="F392" s="67" t="s">
        <v>283</v>
      </c>
      <c r="G392" s="69">
        <v>45133</v>
      </c>
      <c r="H392" s="69" t="s">
        <v>1210</v>
      </c>
      <c r="I392" s="69" t="s">
        <v>33</v>
      </c>
      <c r="J392" s="67">
        <f>IFERROR(VLOOKUP(I392,Jueces!$A$1:$B$11,2,FALSE),"")</f>
        <v>4</v>
      </c>
      <c r="K392" s="67" t="s">
        <v>812</v>
      </c>
      <c r="L392" s="67" t="s">
        <v>1970</v>
      </c>
    </row>
    <row r="393" spans="1:12" ht="30" customHeight="1">
      <c r="A393" s="179" t="str">
        <f t="shared" si="12"/>
        <v>26/07/20236</v>
      </c>
      <c r="B393" s="172">
        <f t="shared" si="13"/>
        <v>6</v>
      </c>
      <c r="C393" s="67" t="s">
        <v>1888</v>
      </c>
      <c r="D393" s="68" t="s">
        <v>1889</v>
      </c>
      <c r="E393" s="67">
        <v>4</v>
      </c>
      <c r="F393" s="67" t="s">
        <v>1441</v>
      </c>
      <c r="G393" s="69">
        <v>45133</v>
      </c>
      <c r="H393" s="69" t="s">
        <v>1210</v>
      </c>
      <c r="I393" s="69" t="s">
        <v>1221</v>
      </c>
      <c r="J393" s="67">
        <f>IFERROR(VLOOKUP(I393,Jueces!$A$1:$B$11,2,FALSE),"")</f>
        <v>7</v>
      </c>
      <c r="K393" s="67" t="s">
        <v>801</v>
      </c>
      <c r="L393" s="67" t="s">
        <v>695</v>
      </c>
    </row>
    <row r="394" spans="1:12" ht="30" customHeight="1">
      <c r="A394" s="179" t="str">
        <f t="shared" si="12"/>
        <v>27/07/20231</v>
      </c>
      <c r="B394" s="172">
        <f t="shared" si="13"/>
        <v>1</v>
      </c>
      <c r="C394" s="67" t="s">
        <v>1853</v>
      </c>
      <c r="D394" s="68" t="s">
        <v>2012</v>
      </c>
      <c r="E394" s="67">
        <v>3</v>
      </c>
      <c r="F394" s="67" t="s">
        <v>1443</v>
      </c>
      <c r="G394" s="69">
        <v>45134</v>
      </c>
      <c r="H394" s="69" t="s">
        <v>73</v>
      </c>
      <c r="I394" s="69" t="s">
        <v>78</v>
      </c>
      <c r="J394" s="67">
        <f>IFERROR(VLOOKUP(I394,Jueces!$A$1:$B$11,2,FALSE),"")</f>
        <v>8</v>
      </c>
      <c r="K394" s="67" t="s">
        <v>791</v>
      </c>
      <c r="L394" s="67" t="s">
        <v>694</v>
      </c>
    </row>
    <row r="395" spans="1:12" ht="30" customHeight="1">
      <c r="A395" s="179" t="str">
        <f t="shared" si="12"/>
        <v>27/07/20232</v>
      </c>
      <c r="B395" s="172">
        <f t="shared" si="13"/>
        <v>2</v>
      </c>
      <c r="C395" s="67" t="s">
        <v>1883</v>
      </c>
      <c r="D395" s="68" t="s">
        <v>2016</v>
      </c>
      <c r="E395" s="67">
        <v>4</v>
      </c>
      <c r="F395" s="67" t="s">
        <v>1441</v>
      </c>
      <c r="G395" s="69">
        <v>45134</v>
      </c>
      <c r="H395" s="69" t="s">
        <v>73</v>
      </c>
      <c r="I395" s="69" t="s">
        <v>31</v>
      </c>
      <c r="J395" s="67">
        <f>IFERROR(VLOOKUP(I395,Jueces!$A$1:$B$11,2,FALSE),"")</f>
        <v>2</v>
      </c>
      <c r="K395" s="67" t="s">
        <v>789</v>
      </c>
      <c r="L395" s="67" t="s">
        <v>695</v>
      </c>
    </row>
    <row r="396" spans="1:12" ht="30" customHeight="1">
      <c r="A396" s="179" t="str">
        <f t="shared" si="12"/>
        <v>27/07/20233</v>
      </c>
      <c r="B396" s="172">
        <f t="shared" si="13"/>
        <v>3</v>
      </c>
      <c r="C396" s="67" t="s">
        <v>1884</v>
      </c>
      <c r="D396" s="68" t="s">
        <v>2013</v>
      </c>
      <c r="E396" s="67">
        <v>5</v>
      </c>
      <c r="F396" s="67" t="s">
        <v>1442</v>
      </c>
      <c r="G396" s="69">
        <v>45134</v>
      </c>
      <c r="H396" s="69" t="s">
        <v>73</v>
      </c>
      <c r="I396" s="69" t="s">
        <v>35</v>
      </c>
      <c r="J396" s="67">
        <f>IFERROR(VLOOKUP(I396,Jueces!$A$1:$B$11,2,FALSE),"")</f>
        <v>3</v>
      </c>
      <c r="K396" s="67" t="s">
        <v>812</v>
      </c>
      <c r="L396" s="67" t="s">
        <v>1876</v>
      </c>
    </row>
    <row r="397" spans="1:12" ht="30" customHeight="1">
      <c r="A397" s="179" t="str">
        <f t="shared" si="12"/>
        <v>27/07/20234</v>
      </c>
      <c r="B397" s="172">
        <f t="shared" si="13"/>
        <v>4</v>
      </c>
      <c r="C397" s="67" t="s">
        <v>1886</v>
      </c>
      <c r="D397" s="68" t="s">
        <v>2014</v>
      </c>
      <c r="E397" s="67">
        <v>7</v>
      </c>
      <c r="F397" s="67" t="s">
        <v>32</v>
      </c>
      <c r="G397" s="69">
        <v>45134</v>
      </c>
      <c r="H397" s="69" t="s">
        <v>73</v>
      </c>
      <c r="I397" s="69" t="s">
        <v>33</v>
      </c>
      <c r="J397" s="67">
        <f>IFERROR(VLOOKUP(I397,Jueces!$A$1:$B$11,2,FALSE),"")</f>
        <v>4</v>
      </c>
      <c r="K397" s="67" t="s">
        <v>813</v>
      </c>
      <c r="L397" s="67" t="s">
        <v>1887</v>
      </c>
    </row>
    <row r="398" spans="1:12" ht="30" customHeight="1">
      <c r="A398" s="179" t="str">
        <f t="shared" si="12"/>
        <v>27/07/20235</v>
      </c>
      <c r="B398" s="172">
        <f t="shared" si="13"/>
        <v>5</v>
      </c>
      <c r="C398" s="67" t="s">
        <v>1930</v>
      </c>
      <c r="D398" s="68" t="s">
        <v>2015</v>
      </c>
      <c r="E398" s="67">
        <v>4</v>
      </c>
      <c r="F398" s="67" t="s">
        <v>29</v>
      </c>
      <c r="G398" s="69">
        <v>45134</v>
      </c>
      <c r="H398" s="69" t="s">
        <v>1086</v>
      </c>
      <c r="I398" s="69" t="s">
        <v>1223</v>
      </c>
      <c r="J398" s="67" t="s">
        <v>1926</v>
      </c>
      <c r="K398" s="67" t="s">
        <v>2002</v>
      </c>
      <c r="L398" s="67" t="s">
        <v>2001</v>
      </c>
    </row>
    <row r="399" spans="1:12" ht="30" customHeight="1">
      <c r="A399" s="179" t="str">
        <f t="shared" si="12"/>
        <v>28/07/20231</v>
      </c>
      <c r="B399" s="172">
        <f t="shared" si="13"/>
        <v>1</v>
      </c>
      <c r="C399" s="67" t="s">
        <v>1767</v>
      </c>
      <c r="D399" s="68" t="s">
        <v>2017</v>
      </c>
      <c r="E399" s="67">
        <v>3</v>
      </c>
      <c r="F399" s="67" t="s">
        <v>1441</v>
      </c>
      <c r="G399" s="69">
        <v>45135</v>
      </c>
      <c r="H399" s="69" t="s">
        <v>73</v>
      </c>
      <c r="I399" s="69" t="s">
        <v>1224</v>
      </c>
      <c r="J399" s="67" t="s">
        <v>1346</v>
      </c>
      <c r="K399" s="67" t="s">
        <v>803</v>
      </c>
      <c r="L399" s="67" t="s">
        <v>2032</v>
      </c>
    </row>
    <row r="400" spans="1:12" ht="30" customHeight="1">
      <c r="A400" s="179" t="str">
        <f t="shared" si="12"/>
        <v>28/07/20232</v>
      </c>
      <c r="B400" s="172">
        <f t="shared" si="13"/>
        <v>2</v>
      </c>
      <c r="C400" s="67" t="s">
        <v>1882</v>
      </c>
      <c r="D400" s="68" t="s">
        <v>2018</v>
      </c>
      <c r="E400" s="67">
        <v>2</v>
      </c>
      <c r="F400" s="67" t="s">
        <v>283</v>
      </c>
      <c r="G400" s="69">
        <v>45135</v>
      </c>
      <c r="H400" s="69" t="s">
        <v>73</v>
      </c>
      <c r="I400" s="69" t="s">
        <v>31</v>
      </c>
      <c r="J400" s="67">
        <f>IFERROR(VLOOKUP(I400,Jueces!$A$1:$B$11,2,FALSE),"")</f>
        <v>2</v>
      </c>
      <c r="K400" s="67" t="s">
        <v>813</v>
      </c>
      <c r="L400" s="67" t="s">
        <v>1839</v>
      </c>
    </row>
    <row r="401" spans="1:12" ht="30" customHeight="1">
      <c r="A401" s="179" t="str">
        <f t="shared" si="12"/>
        <v>28/07/20233</v>
      </c>
      <c r="B401" s="172">
        <f t="shared" si="13"/>
        <v>3</v>
      </c>
      <c r="C401" s="67" t="s">
        <v>1928</v>
      </c>
      <c r="D401" s="68" t="s">
        <v>2019</v>
      </c>
      <c r="E401" s="67">
        <v>5</v>
      </c>
      <c r="F401" s="67" t="s">
        <v>43</v>
      </c>
      <c r="G401" s="69">
        <v>45135</v>
      </c>
      <c r="H401" s="69" t="s">
        <v>73</v>
      </c>
      <c r="I401" s="69" t="s">
        <v>1225</v>
      </c>
      <c r="J401" s="67">
        <f>IFERROR(VLOOKUP(I401,Jueces!$A$1:$B$11,2,FALSE),"")</f>
        <v>6</v>
      </c>
      <c r="K401" s="67" t="s">
        <v>789</v>
      </c>
      <c r="L401" s="67" t="s">
        <v>1876</v>
      </c>
    </row>
    <row r="402" spans="1:12" ht="30" customHeight="1">
      <c r="A402" s="179" t="str">
        <f t="shared" si="12"/>
        <v>28/07/20234</v>
      </c>
      <c r="B402" s="172">
        <f t="shared" si="13"/>
        <v>4</v>
      </c>
      <c r="C402" s="67" t="s">
        <v>1873</v>
      </c>
      <c r="D402" s="68" t="s">
        <v>2020</v>
      </c>
      <c r="E402" s="67">
        <v>4</v>
      </c>
      <c r="F402" s="67" t="s">
        <v>1443</v>
      </c>
      <c r="G402" s="69">
        <v>45135</v>
      </c>
      <c r="H402" s="69" t="s">
        <v>1086</v>
      </c>
      <c r="I402" s="69" t="s">
        <v>1223</v>
      </c>
      <c r="J402" s="67" t="s">
        <v>1491</v>
      </c>
      <c r="K402" s="67" t="s">
        <v>813</v>
      </c>
      <c r="L402" s="67" t="s">
        <v>695</v>
      </c>
    </row>
    <row r="403" spans="1:12" ht="30" customHeight="1">
      <c r="A403" s="179" t="str">
        <f t="shared" si="12"/>
        <v>28/07/20235</v>
      </c>
      <c r="B403" s="172">
        <f t="shared" si="13"/>
        <v>5</v>
      </c>
      <c r="C403" s="67" t="s">
        <v>1907</v>
      </c>
      <c r="D403" s="68" t="s">
        <v>2074</v>
      </c>
      <c r="E403" s="67">
        <v>4</v>
      </c>
      <c r="F403" s="67" t="s">
        <v>1442</v>
      </c>
      <c r="G403" s="69">
        <v>45135</v>
      </c>
      <c r="H403" s="69" t="s">
        <v>1086</v>
      </c>
      <c r="I403" s="69" t="s">
        <v>1220</v>
      </c>
      <c r="J403" s="67" t="s">
        <v>1926</v>
      </c>
      <c r="K403" s="67" t="s">
        <v>812</v>
      </c>
      <c r="L403" s="67" t="s">
        <v>2023</v>
      </c>
    </row>
    <row r="404" spans="1:12" ht="30" customHeight="1">
      <c r="A404" s="179" t="str">
        <f t="shared" si="12"/>
        <v>28/07/20236</v>
      </c>
      <c r="B404" s="172">
        <f t="shared" si="13"/>
        <v>6</v>
      </c>
      <c r="C404" s="67" t="s">
        <v>1909</v>
      </c>
      <c r="D404" s="68" t="s">
        <v>2073</v>
      </c>
      <c r="E404" s="67">
        <v>3</v>
      </c>
      <c r="F404" s="67" t="s">
        <v>568</v>
      </c>
      <c r="G404" s="69">
        <v>45135</v>
      </c>
      <c r="H404" s="69" t="s">
        <v>1086</v>
      </c>
      <c r="I404" s="69" t="s">
        <v>1221</v>
      </c>
      <c r="J404" s="67">
        <f>IFERROR(VLOOKUP(I404,Jueces!$A$1:$B$11,2,FALSE),"")</f>
        <v>7</v>
      </c>
      <c r="K404" s="67" t="s">
        <v>508</v>
      </c>
      <c r="L404" s="67" t="s">
        <v>1839</v>
      </c>
    </row>
    <row r="405" spans="1:12" ht="30" customHeight="1">
      <c r="A405" s="179" t="str">
        <f t="shared" si="12"/>
        <v>31/07/20231</v>
      </c>
      <c r="B405" s="172">
        <f t="shared" si="13"/>
        <v>1</v>
      </c>
      <c r="C405" s="67" t="s">
        <v>1698</v>
      </c>
      <c r="D405" s="68" t="s">
        <v>1699</v>
      </c>
      <c r="E405" s="67">
        <v>4</v>
      </c>
      <c r="F405" s="67" t="s">
        <v>1441</v>
      </c>
      <c r="G405" s="69">
        <v>45138</v>
      </c>
      <c r="H405" s="69" t="s">
        <v>73</v>
      </c>
      <c r="I405" s="69" t="s">
        <v>31</v>
      </c>
      <c r="J405" s="67">
        <f>IFERROR(VLOOKUP(I405,Jueces!$A$1:$B$11,2,FALSE),"")</f>
        <v>2</v>
      </c>
      <c r="K405" s="67" t="s">
        <v>803</v>
      </c>
      <c r="L405" s="67" t="s">
        <v>695</v>
      </c>
    </row>
    <row r="406" spans="1:12" ht="30" customHeight="1">
      <c r="A406" s="179" t="str">
        <f t="shared" si="12"/>
        <v>31/07/20232</v>
      </c>
      <c r="B406" s="172">
        <f t="shared" si="13"/>
        <v>2</v>
      </c>
      <c r="C406" s="67" t="s">
        <v>1850</v>
      </c>
      <c r="D406" s="68" t="s">
        <v>1849</v>
      </c>
      <c r="E406" s="67">
        <v>3</v>
      </c>
      <c r="F406" s="67" t="s">
        <v>32</v>
      </c>
      <c r="G406" s="69">
        <v>45138</v>
      </c>
      <c r="H406" s="69" t="s">
        <v>73</v>
      </c>
      <c r="I406" s="69" t="s">
        <v>1223</v>
      </c>
      <c r="J406" s="67" t="s">
        <v>1346</v>
      </c>
      <c r="K406" s="67" t="s">
        <v>798</v>
      </c>
      <c r="L406" s="67" t="s">
        <v>2049</v>
      </c>
    </row>
    <row r="407" spans="1:12" ht="30" customHeight="1">
      <c r="A407" s="179" t="str">
        <f t="shared" si="12"/>
        <v>31/07/20233</v>
      </c>
      <c r="B407" s="172">
        <f t="shared" si="13"/>
        <v>3</v>
      </c>
      <c r="C407" s="67" t="s">
        <v>1908</v>
      </c>
      <c r="D407" s="68" t="s">
        <v>1931</v>
      </c>
      <c r="E407" s="67">
        <v>5</v>
      </c>
      <c r="F407" s="67" t="s">
        <v>283</v>
      </c>
      <c r="G407" s="69">
        <v>45138</v>
      </c>
      <c r="H407" s="69" t="s">
        <v>73</v>
      </c>
      <c r="I407" s="69" t="s">
        <v>35</v>
      </c>
      <c r="J407" s="67">
        <f>IFERROR(VLOOKUP(I407,Jueces!$A$1:$B$11,2,FALSE),"")</f>
        <v>3</v>
      </c>
      <c r="K407" s="67" t="s">
        <v>809</v>
      </c>
      <c r="L407" s="67" t="s">
        <v>1876</v>
      </c>
    </row>
    <row r="408" spans="1:12" ht="30" customHeight="1">
      <c r="A408" s="179" t="str">
        <f t="shared" si="12"/>
        <v>31/07/20234</v>
      </c>
      <c r="B408" s="172">
        <f t="shared" si="13"/>
        <v>4</v>
      </c>
      <c r="C408" s="67" t="s">
        <v>1929</v>
      </c>
      <c r="D408" s="68" t="s">
        <v>2075</v>
      </c>
      <c r="E408" s="67">
        <v>4</v>
      </c>
      <c r="F408" s="67" t="s">
        <v>29</v>
      </c>
      <c r="G408" s="69">
        <v>45138</v>
      </c>
      <c r="H408" s="69" t="s">
        <v>73</v>
      </c>
      <c r="I408" s="69" t="s">
        <v>78</v>
      </c>
      <c r="J408" s="67">
        <f>IFERROR(VLOOKUP(I408,Jueces!$A$1:$B$11,2,FALSE),"")</f>
        <v>8</v>
      </c>
      <c r="K408" s="67" t="s">
        <v>793</v>
      </c>
      <c r="L408" s="67" t="s">
        <v>1839</v>
      </c>
    </row>
    <row r="409" spans="1:12" ht="30" customHeight="1">
      <c r="A409" s="179" t="str">
        <f t="shared" si="12"/>
        <v>31/07/20235</v>
      </c>
      <c r="B409" s="172">
        <f t="shared" si="13"/>
        <v>5</v>
      </c>
      <c r="C409" s="67" t="s">
        <v>1910</v>
      </c>
      <c r="D409" s="68" t="s">
        <v>1906</v>
      </c>
      <c r="E409" s="67">
        <v>2</v>
      </c>
      <c r="F409" s="67" t="s">
        <v>43</v>
      </c>
      <c r="G409" s="69">
        <v>45138</v>
      </c>
      <c r="H409" s="69" t="s">
        <v>1086</v>
      </c>
      <c r="I409" s="69" t="s">
        <v>1221</v>
      </c>
      <c r="J409" s="67">
        <f>IFERROR(VLOOKUP(I409,Jueces!$A$1:$B$11,2,FALSE),"")</f>
        <v>7</v>
      </c>
      <c r="K409" s="67" t="s">
        <v>801</v>
      </c>
      <c r="L409" s="201" t="s">
        <v>695</v>
      </c>
    </row>
    <row r="410" spans="1:12" ht="30" customHeight="1">
      <c r="A410" s="179" t="str">
        <f t="shared" si="12"/>
        <v>31/07/20236</v>
      </c>
      <c r="B410" s="172">
        <f t="shared" si="13"/>
        <v>6</v>
      </c>
      <c r="C410" s="67" t="s">
        <v>1937</v>
      </c>
      <c r="D410" s="68" t="s">
        <v>1938</v>
      </c>
      <c r="E410" s="67">
        <v>5</v>
      </c>
      <c r="F410" s="67" t="s">
        <v>1442</v>
      </c>
      <c r="G410" s="69">
        <v>45138</v>
      </c>
      <c r="H410" s="69" t="s">
        <v>1086</v>
      </c>
      <c r="I410" s="69" t="s">
        <v>1224</v>
      </c>
      <c r="J410" s="67" t="s">
        <v>1326</v>
      </c>
      <c r="K410" s="67" t="s">
        <v>791</v>
      </c>
      <c r="L410" s="67" t="s">
        <v>1876</v>
      </c>
    </row>
    <row r="411" spans="1:12" ht="30" customHeight="1">
      <c r="A411" s="179" t="str">
        <f t="shared" si="12"/>
        <v>31/07/20237</v>
      </c>
      <c r="B411" s="172">
        <f t="shared" si="13"/>
        <v>7</v>
      </c>
      <c r="C411" s="67" t="s">
        <v>1941</v>
      </c>
      <c r="D411" s="68" t="s">
        <v>2072</v>
      </c>
      <c r="E411" s="67">
        <v>4</v>
      </c>
      <c r="F411" s="67" t="s">
        <v>568</v>
      </c>
      <c r="G411" s="69">
        <v>45138</v>
      </c>
      <c r="H411" s="69" t="s">
        <v>1086</v>
      </c>
      <c r="I411" s="69" t="s">
        <v>35</v>
      </c>
      <c r="J411" s="67" t="s">
        <v>1520</v>
      </c>
      <c r="K411" s="67" t="s">
        <v>793</v>
      </c>
      <c r="L411" s="67" t="s">
        <v>1839</v>
      </c>
    </row>
    <row r="412" spans="1:12" ht="30" customHeight="1">
      <c r="A412" s="179" t="str">
        <f t="shared" si="12"/>
        <v>01/08/20231</v>
      </c>
      <c r="B412" s="172">
        <f t="shared" si="13"/>
        <v>1</v>
      </c>
      <c r="C412" s="67" t="s">
        <v>1819</v>
      </c>
      <c r="D412" s="68" t="s">
        <v>2133</v>
      </c>
      <c r="E412" s="67">
        <v>4</v>
      </c>
      <c r="F412" s="67" t="s">
        <v>43</v>
      </c>
      <c r="G412" s="69">
        <v>45139</v>
      </c>
      <c r="H412" s="69" t="s">
        <v>73</v>
      </c>
      <c r="I412" s="69" t="s">
        <v>1220</v>
      </c>
      <c r="J412" s="67">
        <f>IFERROR(VLOOKUP(I412,Jueces!$A$1:$B$11,2,FALSE),"")</f>
        <v>1</v>
      </c>
      <c r="K412" s="67" t="s">
        <v>804</v>
      </c>
      <c r="L412" s="67" t="s">
        <v>1970</v>
      </c>
    </row>
    <row r="413" spans="1:12" ht="30" customHeight="1">
      <c r="A413" s="179" t="str">
        <f t="shared" si="12"/>
        <v>01/08/20232</v>
      </c>
      <c r="B413" s="172">
        <f t="shared" si="13"/>
        <v>2</v>
      </c>
      <c r="C413" s="67" t="s">
        <v>1927</v>
      </c>
      <c r="D413" s="68" t="s">
        <v>2132</v>
      </c>
      <c r="E413" s="67">
        <v>4</v>
      </c>
      <c r="F413" s="67" t="s">
        <v>1442</v>
      </c>
      <c r="G413" s="69">
        <v>45139</v>
      </c>
      <c r="H413" s="69" t="s">
        <v>73</v>
      </c>
      <c r="I413" s="69" t="s">
        <v>31</v>
      </c>
      <c r="J413" s="67">
        <f>IFERROR(VLOOKUP(I413,Jueces!$A$1:$B$11,2,FALSE),"")</f>
        <v>2</v>
      </c>
      <c r="K413" s="67" t="s">
        <v>1702</v>
      </c>
      <c r="L413" s="67" t="s">
        <v>695</v>
      </c>
    </row>
    <row r="414" spans="1:12" ht="30" customHeight="1">
      <c r="A414" s="179" t="str">
        <f t="shared" si="12"/>
        <v>01/08/20233</v>
      </c>
      <c r="B414" s="172">
        <f t="shared" si="13"/>
        <v>3</v>
      </c>
      <c r="C414" s="67" t="s">
        <v>1816</v>
      </c>
      <c r="D414" s="68" t="s">
        <v>2131</v>
      </c>
      <c r="E414" s="67">
        <v>4</v>
      </c>
      <c r="F414" s="67" t="s">
        <v>1443</v>
      </c>
      <c r="G414" s="69">
        <v>45139</v>
      </c>
      <c r="H414" s="69" t="s">
        <v>1086</v>
      </c>
      <c r="I414" s="69" t="s">
        <v>33</v>
      </c>
      <c r="J414" s="67">
        <f>IFERROR(VLOOKUP(I414,Jueces!$A$1:$B$11,2,FALSE),"")</f>
        <v>4</v>
      </c>
      <c r="K414" s="67" t="s">
        <v>802</v>
      </c>
      <c r="L414" s="67" t="s">
        <v>1839</v>
      </c>
    </row>
    <row r="415" spans="1:12" ht="30" customHeight="1">
      <c r="A415" s="179" t="str">
        <f t="shared" si="12"/>
        <v>01/08/20234</v>
      </c>
      <c r="B415" s="172">
        <f t="shared" si="13"/>
        <v>4</v>
      </c>
      <c r="C415" s="67" t="s">
        <v>1813</v>
      </c>
      <c r="D415" s="68" t="s">
        <v>2130</v>
      </c>
      <c r="E415" s="67">
        <v>4</v>
      </c>
      <c r="F415" s="67" t="s">
        <v>29</v>
      </c>
      <c r="G415" s="69">
        <v>45139</v>
      </c>
      <c r="H415" s="69" t="s">
        <v>1086</v>
      </c>
      <c r="I415" s="69" t="s">
        <v>1224</v>
      </c>
      <c r="J415" s="67" t="s">
        <v>1326</v>
      </c>
      <c r="K415" s="67" t="s">
        <v>811</v>
      </c>
      <c r="L415" s="67" t="s">
        <v>695</v>
      </c>
    </row>
    <row r="416" spans="1:12" ht="30" customHeight="1">
      <c r="A416" s="179" t="str">
        <f t="shared" si="12"/>
        <v>01/08/20235</v>
      </c>
      <c r="B416" s="172">
        <f t="shared" si="13"/>
        <v>5</v>
      </c>
      <c r="C416" s="67" t="s">
        <v>1963</v>
      </c>
      <c r="D416" s="68" t="s">
        <v>2129</v>
      </c>
      <c r="E416" s="67">
        <v>4</v>
      </c>
      <c r="F416" s="67" t="s">
        <v>32</v>
      </c>
      <c r="G416" s="69">
        <v>45139</v>
      </c>
      <c r="H416" s="69" t="s">
        <v>1450</v>
      </c>
      <c r="I416" s="69" t="s">
        <v>1224</v>
      </c>
      <c r="J416" s="67" t="s">
        <v>1326</v>
      </c>
      <c r="K416" s="67" t="s">
        <v>811</v>
      </c>
      <c r="L416" s="67" t="s">
        <v>1839</v>
      </c>
    </row>
    <row r="417" spans="1:12" ht="30" customHeight="1">
      <c r="A417" s="179" t="str">
        <f t="shared" si="12"/>
        <v>02/08/20231</v>
      </c>
      <c r="B417" s="172">
        <f t="shared" si="13"/>
        <v>1</v>
      </c>
      <c r="C417" s="67" t="s">
        <v>1940</v>
      </c>
      <c r="D417" s="68" t="s">
        <v>2128</v>
      </c>
      <c r="E417" s="67">
        <v>4</v>
      </c>
      <c r="F417" s="67" t="s">
        <v>568</v>
      </c>
      <c r="G417" s="69">
        <v>45140</v>
      </c>
      <c r="H417" s="69" t="s">
        <v>73</v>
      </c>
      <c r="I417" s="69" t="s">
        <v>1220</v>
      </c>
      <c r="J417" s="67">
        <f>IFERROR(VLOOKUP(I417,Jueces!$A$1:$B$11,2,FALSE),"")</f>
        <v>1</v>
      </c>
      <c r="K417" s="67" t="s">
        <v>789</v>
      </c>
      <c r="L417" s="67" t="s">
        <v>2122</v>
      </c>
    </row>
    <row r="418" spans="1:12" ht="30" customHeight="1">
      <c r="A418" s="179" t="str">
        <f t="shared" si="12"/>
        <v>02/08/20232</v>
      </c>
      <c r="B418" s="172">
        <f t="shared" si="13"/>
        <v>2</v>
      </c>
      <c r="C418" s="67" t="s">
        <v>1960</v>
      </c>
      <c r="D418" s="68" t="s">
        <v>2127</v>
      </c>
      <c r="E418" s="67">
        <v>4</v>
      </c>
      <c r="F418" s="67" t="s">
        <v>29</v>
      </c>
      <c r="G418" s="69">
        <v>45140</v>
      </c>
      <c r="H418" s="69" t="s">
        <v>73</v>
      </c>
      <c r="I418" s="69" t="s">
        <v>33</v>
      </c>
      <c r="J418" s="67">
        <f>IFERROR(VLOOKUP(I418,Jueces!$A$1:$B$11,2,FALSE),"")</f>
        <v>4</v>
      </c>
      <c r="K418" s="67" t="s">
        <v>813</v>
      </c>
      <c r="L418" s="67" t="s">
        <v>695</v>
      </c>
    </row>
    <row r="419" spans="1:12" ht="30" customHeight="1">
      <c r="A419" s="179" t="str">
        <f t="shared" si="12"/>
        <v>02/08/20233</v>
      </c>
      <c r="B419" s="172">
        <f t="shared" si="13"/>
        <v>3</v>
      </c>
      <c r="C419" s="67" t="s">
        <v>1942</v>
      </c>
      <c r="D419" s="68" t="s">
        <v>1980</v>
      </c>
      <c r="E419" s="67">
        <v>4</v>
      </c>
      <c r="F419" s="67" t="s">
        <v>32</v>
      </c>
      <c r="G419" s="69">
        <v>45140</v>
      </c>
      <c r="H419" s="69" t="s">
        <v>73</v>
      </c>
      <c r="I419" s="69" t="s">
        <v>1222</v>
      </c>
      <c r="J419" s="67" t="s">
        <v>1520</v>
      </c>
      <c r="K419" s="67" t="s">
        <v>811</v>
      </c>
      <c r="L419" s="67" t="s">
        <v>1839</v>
      </c>
    </row>
    <row r="420" spans="1:12" ht="30" customHeight="1">
      <c r="A420" s="179" t="str">
        <f t="shared" si="12"/>
        <v>02/08/20234</v>
      </c>
      <c r="B420" s="172">
        <f t="shared" si="13"/>
        <v>4</v>
      </c>
      <c r="C420" s="67" t="s">
        <v>1964</v>
      </c>
      <c r="D420" s="68" t="s">
        <v>1965</v>
      </c>
      <c r="E420" s="67">
        <v>5</v>
      </c>
      <c r="F420" s="67" t="s">
        <v>1443</v>
      </c>
      <c r="G420" s="69">
        <v>45140</v>
      </c>
      <c r="H420" s="69" t="s">
        <v>73</v>
      </c>
      <c r="I420" s="69" t="s">
        <v>78</v>
      </c>
      <c r="J420" s="67">
        <f>IFERROR(VLOOKUP(I420,Jueces!$A$1:$B$11,2,FALSE),"")</f>
        <v>8</v>
      </c>
      <c r="K420" s="67" t="s">
        <v>1522</v>
      </c>
      <c r="L420" s="67" t="s">
        <v>1966</v>
      </c>
    </row>
    <row r="421" spans="1:12" ht="30" customHeight="1">
      <c r="A421" s="179" t="str">
        <f t="shared" si="12"/>
        <v>02/08/20235</v>
      </c>
      <c r="B421" s="172">
        <f t="shared" si="13"/>
        <v>5</v>
      </c>
      <c r="C421" s="67" t="s">
        <v>1959</v>
      </c>
      <c r="D421" s="68" t="s">
        <v>2040</v>
      </c>
      <c r="E421" s="67">
        <v>4</v>
      </c>
      <c r="F421" s="67" t="s">
        <v>1442</v>
      </c>
      <c r="G421" s="69">
        <v>45140</v>
      </c>
      <c r="H421" s="69" t="s">
        <v>1086</v>
      </c>
      <c r="I421" s="69" t="s">
        <v>33</v>
      </c>
      <c r="J421" s="67">
        <f>IFERROR(VLOOKUP(I421,Jueces!$A$1:$B$11,2,FALSE),"")</f>
        <v>4</v>
      </c>
      <c r="K421" s="67" t="s">
        <v>806</v>
      </c>
      <c r="L421" s="67" t="s">
        <v>2036</v>
      </c>
    </row>
    <row r="422" spans="1:12" ht="30" customHeight="1">
      <c r="A422" s="179" t="str">
        <f t="shared" si="12"/>
        <v>02/08/20236</v>
      </c>
      <c r="B422" s="172">
        <f t="shared" si="13"/>
        <v>6</v>
      </c>
      <c r="C422" s="67" t="s">
        <v>1752</v>
      </c>
      <c r="D422" s="68" t="s">
        <v>1990</v>
      </c>
      <c r="E422" s="67">
        <v>4</v>
      </c>
      <c r="F422" s="67" t="s">
        <v>283</v>
      </c>
      <c r="G422" s="69">
        <v>45140</v>
      </c>
      <c r="H422" s="69" t="s">
        <v>1086</v>
      </c>
      <c r="I422" s="69" t="s">
        <v>1223</v>
      </c>
      <c r="J422" s="67" t="s">
        <v>1346</v>
      </c>
      <c r="K422" s="67" t="s">
        <v>2111</v>
      </c>
      <c r="L422" s="67" t="s">
        <v>1991</v>
      </c>
    </row>
    <row r="423" spans="1:12" ht="30" customHeight="1">
      <c r="A423" s="179" t="str">
        <f t="shared" si="12"/>
        <v>03/08/20231</v>
      </c>
      <c r="B423" s="172">
        <f t="shared" si="13"/>
        <v>1</v>
      </c>
      <c r="C423" s="67" t="s">
        <v>1840</v>
      </c>
      <c r="D423" s="68" t="s">
        <v>1979</v>
      </c>
      <c r="E423" s="67">
        <v>4</v>
      </c>
      <c r="F423" s="67" t="s">
        <v>32</v>
      </c>
      <c r="G423" s="69">
        <v>45141</v>
      </c>
      <c r="H423" s="69" t="s">
        <v>73</v>
      </c>
      <c r="I423" s="69" t="s">
        <v>1223</v>
      </c>
      <c r="J423" s="67" t="s">
        <v>1326</v>
      </c>
      <c r="K423" s="67" t="s">
        <v>812</v>
      </c>
      <c r="L423" s="67" t="s">
        <v>1839</v>
      </c>
    </row>
    <row r="424" spans="1:12" ht="30" customHeight="1">
      <c r="A424" s="179" t="str">
        <f t="shared" si="12"/>
        <v>03/08/20232</v>
      </c>
      <c r="B424" s="172">
        <f t="shared" si="13"/>
        <v>2</v>
      </c>
      <c r="C424" s="67" t="s">
        <v>1867</v>
      </c>
      <c r="D424" s="68" t="s">
        <v>2144</v>
      </c>
      <c r="E424" s="67">
        <v>2</v>
      </c>
      <c r="F424" s="67" t="s">
        <v>1443</v>
      </c>
      <c r="G424" s="69">
        <v>45141</v>
      </c>
      <c r="H424" s="69" t="s">
        <v>73</v>
      </c>
      <c r="I424" s="69" t="s">
        <v>33</v>
      </c>
      <c r="J424" s="67">
        <f>IFERROR(VLOOKUP(I424,Jueces!$A$1:$B$11,2,FALSE),"")</f>
        <v>4</v>
      </c>
      <c r="K424" s="67" t="s">
        <v>804</v>
      </c>
      <c r="L424" s="67" t="s">
        <v>695</v>
      </c>
    </row>
    <row r="425" spans="1:12" ht="30" customHeight="1">
      <c r="A425" s="179" t="str">
        <f t="shared" si="12"/>
        <v>03/08/20233</v>
      </c>
      <c r="B425" s="172">
        <f t="shared" si="13"/>
        <v>3</v>
      </c>
      <c r="C425" s="67" t="s">
        <v>2009</v>
      </c>
      <c r="D425" s="68" t="s">
        <v>2010</v>
      </c>
      <c r="E425" s="67">
        <v>5</v>
      </c>
      <c r="F425" s="67" t="s">
        <v>1442</v>
      </c>
      <c r="G425" s="69">
        <v>45141</v>
      </c>
      <c r="H425" s="69" t="s">
        <v>73</v>
      </c>
      <c r="I425" s="69" t="s">
        <v>1220</v>
      </c>
      <c r="J425" s="67" t="s">
        <v>1926</v>
      </c>
      <c r="K425" s="67" t="s">
        <v>813</v>
      </c>
      <c r="L425" s="67" t="s">
        <v>1966</v>
      </c>
    </row>
    <row r="426" spans="1:12" ht="30" customHeight="1">
      <c r="A426" s="179" t="str">
        <f t="shared" si="12"/>
        <v>03/08/20234</v>
      </c>
      <c r="B426" s="172">
        <f t="shared" si="13"/>
        <v>4</v>
      </c>
      <c r="C426" s="67" t="s">
        <v>1958</v>
      </c>
      <c r="D426" s="68" t="s">
        <v>1981</v>
      </c>
      <c r="E426" s="67">
        <v>4</v>
      </c>
      <c r="F426" s="67" t="s">
        <v>283</v>
      </c>
      <c r="G426" s="69">
        <v>45141</v>
      </c>
      <c r="H426" s="69" t="s">
        <v>1086</v>
      </c>
      <c r="I426" s="69" t="s">
        <v>35</v>
      </c>
      <c r="J426" s="67">
        <f>IFERROR(VLOOKUP(I426,Jueces!$A$1:$B$11,2,FALSE),"")</f>
        <v>3</v>
      </c>
      <c r="K426" s="67" t="s">
        <v>807</v>
      </c>
      <c r="L426" s="67" t="s">
        <v>1839</v>
      </c>
    </row>
    <row r="427" spans="1:12" ht="30" customHeight="1">
      <c r="A427" s="179" t="str">
        <f t="shared" si="12"/>
        <v>03/08/20235</v>
      </c>
      <c r="B427" s="172">
        <f t="shared" si="13"/>
        <v>5</v>
      </c>
      <c r="C427" s="67" t="s">
        <v>2039</v>
      </c>
      <c r="D427" s="68" t="s">
        <v>2086</v>
      </c>
      <c r="E427" s="67">
        <v>5</v>
      </c>
      <c r="F427" s="67" t="s">
        <v>43</v>
      </c>
      <c r="G427" s="69">
        <v>45141</v>
      </c>
      <c r="H427" s="69" t="s">
        <v>1086</v>
      </c>
      <c r="I427" s="69" t="s">
        <v>1221</v>
      </c>
      <c r="J427" s="67">
        <f>IFERROR(VLOOKUP(I427,Jueces!$A$1:$B$11,2,FALSE),"")</f>
        <v>7</v>
      </c>
      <c r="K427" s="67" t="s">
        <v>789</v>
      </c>
      <c r="L427" s="67" t="s">
        <v>1966</v>
      </c>
    </row>
    <row r="428" spans="1:12" ht="30" customHeight="1">
      <c r="A428" s="179" t="str">
        <f t="shared" si="12"/>
        <v>03/08/20236</v>
      </c>
      <c r="B428" s="172">
        <f t="shared" si="13"/>
        <v>6</v>
      </c>
      <c r="C428" s="67" t="s">
        <v>2029</v>
      </c>
      <c r="D428" s="68" t="s">
        <v>2030</v>
      </c>
      <c r="E428" s="67">
        <v>5</v>
      </c>
      <c r="F428" s="67" t="s">
        <v>1443</v>
      </c>
      <c r="G428" s="69">
        <v>45141</v>
      </c>
      <c r="H428" s="69" t="s">
        <v>1450</v>
      </c>
      <c r="I428" s="69" t="s">
        <v>31</v>
      </c>
      <c r="J428" s="67" t="s">
        <v>1926</v>
      </c>
      <c r="K428" s="67" t="s">
        <v>569</v>
      </c>
      <c r="L428" s="67" t="s">
        <v>1693</v>
      </c>
    </row>
    <row r="429" spans="1:12" ht="30" customHeight="1">
      <c r="A429" s="179" t="str">
        <f t="shared" si="12"/>
        <v>04/08/20231</v>
      </c>
      <c r="B429" s="172">
        <f t="shared" si="13"/>
        <v>1</v>
      </c>
      <c r="C429" s="67" t="s">
        <v>1961</v>
      </c>
      <c r="D429" s="68" t="s">
        <v>2145</v>
      </c>
      <c r="E429" s="67">
        <v>4</v>
      </c>
      <c r="F429" s="67" t="s">
        <v>32</v>
      </c>
      <c r="G429" s="69">
        <v>45142</v>
      </c>
      <c r="H429" s="69" t="s">
        <v>73</v>
      </c>
      <c r="I429" s="69" t="s">
        <v>1223</v>
      </c>
      <c r="J429" s="67" t="s">
        <v>1346</v>
      </c>
      <c r="K429" s="67" t="s">
        <v>802</v>
      </c>
      <c r="L429" s="67" t="s">
        <v>1839</v>
      </c>
    </row>
    <row r="430" spans="1:12" ht="30" customHeight="1">
      <c r="A430" s="179" t="str">
        <f t="shared" si="12"/>
        <v>04/08/20232</v>
      </c>
      <c r="B430" s="172">
        <f t="shared" si="13"/>
        <v>2</v>
      </c>
      <c r="C430" s="67" t="s">
        <v>1997</v>
      </c>
      <c r="D430" s="68" t="s">
        <v>2146</v>
      </c>
      <c r="E430" s="67">
        <v>1</v>
      </c>
      <c r="F430" s="67" t="s">
        <v>29</v>
      </c>
      <c r="G430" s="69">
        <v>45142</v>
      </c>
      <c r="H430" s="69" t="s">
        <v>73</v>
      </c>
      <c r="I430" s="69" t="s">
        <v>1221</v>
      </c>
      <c r="J430" s="67">
        <f>IFERROR(VLOOKUP(I430,Jueces!$A$1:$B$11,2,FALSE),"")</f>
        <v>7</v>
      </c>
      <c r="K430" s="67" t="s">
        <v>582</v>
      </c>
      <c r="L430" s="67" t="s">
        <v>767</v>
      </c>
    </row>
    <row r="431" spans="1:12" ht="30" customHeight="1">
      <c r="A431" s="179" t="str">
        <f t="shared" si="12"/>
        <v>04/08/20233</v>
      </c>
      <c r="B431" s="172">
        <f t="shared" si="13"/>
        <v>3</v>
      </c>
      <c r="C431" s="67" t="s">
        <v>2033</v>
      </c>
      <c r="D431" s="68" t="s">
        <v>2147</v>
      </c>
      <c r="E431" s="67">
        <v>5</v>
      </c>
      <c r="F431" s="67" t="s">
        <v>1442</v>
      </c>
      <c r="G431" s="69">
        <v>45142</v>
      </c>
      <c r="H431" s="69" t="s">
        <v>73</v>
      </c>
      <c r="I431" s="69" t="s">
        <v>1222</v>
      </c>
      <c r="J431" s="67" t="s">
        <v>1326</v>
      </c>
      <c r="K431" s="67" t="s">
        <v>812</v>
      </c>
      <c r="L431" s="67" t="s">
        <v>1966</v>
      </c>
    </row>
    <row r="432" spans="1:12" ht="30" customHeight="1">
      <c r="A432" s="179" t="str">
        <f t="shared" si="12"/>
        <v>04/08/20234</v>
      </c>
      <c r="B432" s="172">
        <f t="shared" si="13"/>
        <v>4</v>
      </c>
      <c r="C432" s="67" t="s">
        <v>2052</v>
      </c>
      <c r="D432" s="68" t="s">
        <v>2148</v>
      </c>
      <c r="E432" s="67">
        <v>5</v>
      </c>
      <c r="F432" s="67" t="s">
        <v>43</v>
      </c>
      <c r="G432" s="69">
        <v>45142</v>
      </c>
      <c r="H432" s="69" t="s">
        <v>73</v>
      </c>
      <c r="I432" s="69" t="s">
        <v>35</v>
      </c>
      <c r="J432" s="67" t="s">
        <v>1520</v>
      </c>
      <c r="K432" s="67" t="s">
        <v>797</v>
      </c>
      <c r="L432" s="67" t="s">
        <v>1994</v>
      </c>
    </row>
    <row r="433" spans="1:12" ht="30" customHeight="1">
      <c r="A433" s="179" t="str">
        <f t="shared" si="12"/>
        <v>04/08/20235</v>
      </c>
      <c r="B433" s="172">
        <f t="shared" si="13"/>
        <v>5</v>
      </c>
      <c r="C433" s="67" t="s">
        <v>1988</v>
      </c>
      <c r="D433" s="68" t="s">
        <v>2149</v>
      </c>
      <c r="E433" s="67">
        <v>4</v>
      </c>
      <c r="F433" s="67" t="s">
        <v>1443</v>
      </c>
      <c r="G433" s="69">
        <v>45142</v>
      </c>
      <c r="H433" s="69" t="s">
        <v>1086</v>
      </c>
      <c r="I433" s="69" t="s">
        <v>1223</v>
      </c>
      <c r="J433" s="67" t="s">
        <v>1926</v>
      </c>
      <c r="K433" s="67" t="s">
        <v>1453</v>
      </c>
      <c r="L433" s="67" t="s">
        <v>2004</v>
      </c>
    </row>
    <row r="434" spans="1:12" ht="30" customHeight="1">
      <c r="A434" s="179" t="str">
        <f t="shared" si="12"/>
        <v>04/08/20236</v>
      </c>
      <c r="B434" s="172">
        <f t="shared" si="13"/>
        <v>6</v>
      </c>
      <c r="C434" s="67" t="s">
        <v>2003</v>
      </c>
      <c r="D434" s="68" t="s">
        <v>2150</v>
      </c>
      <c r="E434" s="67">
        <v>4</v>
      </c>
      <c r="F434" s="67" t="s">
        <v>1441</v>
      </c>
      <c r="G434" s="69">
        <v>45142</v>
      </c>
      <c r="H434" s="69" t="s">
        <v>1086</v>
      </c>
      <c r="I434" s="69" t="s">
        <v>78</v>
      </c>
      <c r="J434" s="67">
        <f>IFERROR(VLOOKUP(I434,Jueces!$A$1:$B$11,2,FALSE),"")</f>
        <v>8</v>
      </c>
      <c r="K434" s="67" t="s">
        <v>797</v>
      </c>
      <c r="L434" s="67" t="s">
        <v>1970</v>
      </c>
    </row>
    <row r="435" spans="1:12" ht="30" customHeight="1">
      <c r="A435" s="179" t="str">
        <f t="shared" si="12"/>
        <v>04/08/20237</v>
      </c>
      <c r="B435" s="172">
        <f t="shared" si="13"/>
        <v>7</v>
      </c>
      <c r="C435" s="67" t="s">
        <v>1989</v>
      </c>
      <c r="D435" s="68" t="s">
        <v>2151</v>
      </c>
      <c r="E435" s="67">
        <v>4</v>
      </c>
      <c r="F435" s="67" t="s">
        <v>568</v>
      </c>
      <c r="G435" s="69">
        <v>45142</v>
      </c>
      <c r="H435" s="69" t="s">
        <v>2021</v>
      </c>
      <c r="I435" s="69" t="s">
        <v>33</v>
      </c>
      <c r="J435" s="67">
        <f>IFERROR(VLOOKUP(I435,Jueces!$A$1:$B$11,2,FALSE),"")</f>
        <v>4</v>
      </c>
      <c r="K435" s="67" t="s">
        <v>797</v>
      </c>
      <c r="L435" s="67" t="s">
        <v>1839</v>
      </c>
    </row>
    <row r="436" spans="1:12" ht="30" customHeight="1">
      <c r="A436" s="179" t="str">
        <f t="shared" si="12"/>
        <v>07/08/20231</v>
      </c>
      <c r="B436" s="172">
        <f t="shared" si="13"/>
        <v>1</v>
      </c>
      <c r="C436" s="7" t="s">
        <v>1996</v>
      </c>
      <c r="D436" s="41" t="s">
        <v>1962</v>
      </c>
      <c r="E436" s="7">
        <v>2</v>
      </c>
      <c r="F436" s="7" t="s">
        <v>29</v>
      </c>
      <c r="G436" s="19">
        <v>45145</v>
      </c>
      <c r="H436" s="19" t="s">
        <v>73</v>
      </c>
      <c r="I436" s="19" t="s">
        <v>33</v>
      </c>
      <c r="J436" s="7">
        <v>4</v>
      </c>
      <c r="K436" s="7" t="s">
        <v>1070</v>
      </c>
      <c r="L436" s="7" t="s">
        <v>1986</v>
      </c>
    </row>
    <row r="437" spans="1:12" ht="30" customHeight="1">
      <c r="A437" s="179" t="str">
        <f t="shared" si="12"/>
        <v>07/08/20232</v>
      </c>
      <c r="B437" s="172">
        <f t="shared" si="13"/>
        <v>2</v>
      </c>
      <c r="C437" s="67" t="s">
        <v>2037</v>
      </c>
      <c r="D437" s="68" t="s">
        <v>2038</v>
      </c>
      <c r="E437" s="67">
        <v>5</v>
      </c>
      <c r="F437" s="67" t="s">
        <v>43</v>
      </c>
      <c r="G437" s="69">
        <v>45145</v>
      </c>
      <c r="H437" s="69" t="s">
        <v>73</v>
      </c>
      <c r="I437" s="69" t="s">
        <v>1220</v>
      </c>
      <c r="J437" s="67">
        <f>IFERROR(VLOOKUP(I437,Jueces!$A$1:$B$11,2,FALSE),"")</f>
        <v>1</v>
      </c>
      <c r="K437" s="67" t="s">
        <v>813</v>
      </c>
      <c r="L437" s="67" t="s">
        <v>1966</v>
      </c>
    </row>
    <row r="438" spans="1:12" ht="30" customHeight="1">
      <c r="A438" s="179" t="str">
        <f t="shared" si="12"/>
        <v>07/08/20233</v>
      </c>
      <c r="B438" s="172">
        <f t="shared" si="13"/>
        <v>3</v>
      </c>
      <c r="C438" s="67" t="s">
        <v>2053</v>
      </c>
      <c r="D438" s="68" t="s">
        <v>2054</v>
      </c>
      <c r="E438" s="67">
        <v>5</v>
      </c>
      <c r="F438" s="67" t="s">
        <v>568</v>
      </c>
      <c r="G438" s="69">
        <v>45145</v>
      </c>
      <c r="H438" s="69" t="s">
        <v>73</v>
      </c>
      <c r="I438" s="69" t="s">
        <v>1222</v>
      </c>
      <c r="J438" s="67" t="s">
        <v>1326</v>
      </c>
      <c r="K438" s="67" t="s">
        <v>812</v>
      </c>
      <c r="L438" s="67" t="s">
        <v>1876</v>
      </c>
    </row>
    <row r="439" spans="1:12" ht="30" customHeight="1">
      <c r="A439" s="179" t="str">
        <f t="shared" si="12"/>
        <v>07/08/20234</v>
      </c>
      <c r="B439" s="172">
        <f t="shared" si="13"/>
        <v>4</v>
      </c>
      <c r="C439" s="67" t="s">
        <v>2079</v>
      </c>
      <c r="D439" s="68" t="s">
        <v>2080</v>
      </c>
      <c r="E439" s="67">
        <v>5</v>
      </c>
      <c r="F439" s="67" t="s">
        <v>283</v>
      </c>
      <c r="G439" s="69">
        <v>45145</v>
      </c>
      <c r="H439" s="69" t="s">
        <v>73</v>
      </c>
      <c r="I439" s="69" t="s">
        <v>31</v>
      </c>
      <c r="J439" s="67">
        <f>IFERROR(VLOOKUP(I439,Jueces!$A$1:$B$11,2,FALSE),"")</f>
        <v>2</v>
      </c>
      <c r="K439" s="67" t="s">
        <v>807</v>
      </c>
      <c r="L439" s="67" t="s">
        <v>2081</v>
      </c>
    </row>
    <row r="440" spans="1:12" ht="30" customHeight="1">
      <c r="A440" s="179" t="str">
        <f t="shared" si="12"/>
        <v>07/08/20235</v>
      </c>
      <c r="B440" s="172">
        <f t="shared" si="13"/>
        <v>5</v>
      </c>
      <c r="C440" s="67" t="s">
        <v>2085</v>
      </c>
      <c r="D440" s="68" t="s">
        <v>2102</v>
      </c>
      <c r="E440" s="67">
        <v>5</v>
      </c>
      <c r="F440" s="67" t="s">
        <v>1441</v>
      </c>
      <c r="G440" s="69">
        <v>45145</v>
      </c>
      <c r="H440" s="69" t="s">
        <v>73</v>
      </c>
      <c r="I440" s="69" t="s">
        <v>78</v>
      </c>
      <c r="J440" s="67">
        <f>IFERROR(VLOOKUP(I440,Jueces!$A$1:$B$11,2,FALSE),"")</f>
        <v>8</v>
      </c>
      <c r="K440" s="67" t="s">
        <v>798</v>
      </c>
      <c r="L440" s="67" t="s">
        <v>2098</v>
      </c>
    </row>
    <row r="441" spans="1:12" ht="30" customHeight="1">
      <c r="A441" s="179" t="str">
        <f t="shared" si="12"/>
        <v>07/08/20236</v>
      </c>
      <c r="B441" s="172">
        <f t="shared" si="13"/>
        <v>6</v>
      </c>
      <c r="C441" s="67" t="s">
        <v>2068</v>
      </c>
      <c r="D441" s="68" t="s">
        <v>2069</v>
      </c>
      <c r="E441" s="67">
        <v>2</v>
      </c>
      <c r="F441" s="67" t="s">
        <v>32</v>
      </c>
      <c r="G441" s="69">
        <v>45145</v>
      </c>
      <c r="H441" s="69" t="s">
        <v>1086</v>
      </c>
      <c r="I441" s="69" t="s">
        <v>35</v>
      </c>
      <c r="J441" s="67">
        <v>1</v>
      </c>
      <c r="K441" s="67" t="s">
        <v>807</v>
      </c>
      <c r="L441" s="67" t="s">
        <v>1966</v>
      </c>
    </row>
    <row r="442" spans="1:12" ht="30" customHeight="1">
      <c r="A442" s="179" t="str">
        <f t="shared" si="12"/>
        <v>07/08/20237</v>
      </c>
      <c r="B442" s="172">
        <f t="shared" si="13"/>
        <v>7</v>
      </c>
      <c r="C442" s="67" t="s">
        <v>1701</v>
      </c>
      <c r="D442" s="68" t="s">
        <v>2195</v>
      </c>
      <c r="E442" s="67">
        <v>3</v>
      </c>
      <c r="F442" s="67" t="s">
        <v>1441</v>
      </c>
      <c r="G442" s="69">
        <v>45145</v>
      </c>
      <c r="H442" s="69" t="s">
        <v>2021</v>
      </c>
      <c r="I442" s="69" t="s">
        <v>35</v>
      </c>
      <c r="J442" s="67" t="s">
        <v>1520</v>
      </c>
      <c r="K442" s="67" t="s">
        <v>1702</v>
      </c>
      <c r="L442" s="67" t="s">
        <v>694</v>
      </c>
    </row>
    <row r="443" spans="1:12" ht="30" customHeight="1">
      <c r="A443" s="179" t="str">
        <f t="shared" si="12"/>
        <v>08/08/20231</v>
      </c>
      <c r="B443" s="172">
        <f t="shared" si="13"/>
        <v>1</v>
      </c>
      <c r="C443" s="67" t="s">
        <v>2071</v>
      </c>
      <c r="D443" s="68" t="s">
        <v>2070</v>
      </c>
      <c r="E443" s="67">
        <v>5</v>
      </c>
      <c r="F443" s="67" t="s">
        <v>32</v>
      </c>
      <c r="G443" s="69">
        <v>45146</v>
      </c>
      <c r="H443" s="69" t="s">
        <v>73</v>
      </c>
      <c r="I443" s="69" t="s">
        <v>1223</v>
      </c>
      <c r="J443" s="67" t="s">
        <v>1326</v>
      </c>
      <c r="K443" s="67" t="s">
        <v>811</v>
      </c>
      <c r="L443" s="67" t="s">
        <v>1876</v>
      </c>
    </row>
    <row r="444" spans="1:12" ht="30" customHeight="1">
      <c r="A444" s="179" t="str">
        <f t="shared" si="12"/>
        <v>08/08/20232</v>
      </c>
      <c r="B444" s="172">
        <f t="shared" si="13"/>
        <v>2</v>
      </c>
      <c r="C444" s="67" t="s">
        <v>2100</v>
      </c>
      <c r="D444" s="68" t="s">
        <v>2101</v>
      </c>
      <c r="E444" s="67">
        <v>5</v>
      </c>
      <c r="F444" s="67" t="s">
        <v>43</v>
      </c>
      <c r="G444" s="69">
        <v>45146</v>
      </c>
      <c r="H444" s="69" t="s">
        <v>73</v>
      </c>
      <c r="I444" s="69" t="s">
        <v>1220</v>
      </c>
      <c r="J444" s="67" t="s">
        <v>1520</v>
      </c>
      <c r="K444" s="67" t="s">
        <v>809</v>
      </c>
      <c r="L444" s="67" t="s">
        <v>1966</v>
      </c>
    </row>
    <row r="445" spans="1:12" ht="30" customHeight="1">
      <c r="A445" s="179" t="str">
        <f t="shared" si="12"/>
        <v>08/08/20233</v>
      </c>
      <c r="B445" s="172">
        <f t="shared" si="13"/>
        <v>3</v>
      </c>
      <c r="C445" s="67" t="s">
        <v>2107</v>
      </c>
      <c r="D445" s="68" t="s">
        <v>2103</v>
      </c>
      <c r="E445" s="67">
        <v>7</v>
      </c>
      <c r="F445" s="67" t="s">
        <v>1442</v>
      </c>
      <c r="G445" s="69">
        <v>45146</v>
      </c>
      <c r="H445" s="69" t="s">
        <v>73</v>
      </c>
      <c r="I445" s="69" t="s">
        <v>78</v>
      </c>
      <c r="J445" s="67">
        <f>IFERROR(VLOOKUP(I445,Jueces!$A$1:$B$11,2,FALSE),"")</f>
        <v>8</v>
      </c>
      <c r="K445" s="67" t="s">
        <v>1306</v>
      </c>
      <c r="L445" s="67" t="s">
        <v>2104</v>
      </c>
    </row>
    <row r="446" spans="1:12" ht="30" customHeight="1">
      <c r="A446" s="179" t="str">
        <f t="shared" si="12"/>
        <v>08/08/20234</v>
      </c>
      <c r="B446" s="172">
        <f t="shared" si="13"/>
        <v>4</v>
      </c>
      <c r="C446" s="67" t="s">
        <v>2105</v>
      </c>
      <c r="D446" s="68" t="s">
        <v>2106</v>
      </c>
      <c r="E446" s="67">
        <v>5</v>
      </c>
      <c r="F446" s="67" t="s">
        <v>1443</v>
      </c>
      <c r="G446" s="69">
        <v>45146</v>
      </c>
      <c r="H446" s="69" t="s">
        <v>73</v>
      </c>
      <c r="I446" s="69" t="s">
        <v>1221</v>
      </c>
      <c r="J446" s="67">
        <f>IFERROR(VLOOKUP(I446,Jueces!$A$1:$B$11,2,FALSE),"")</f>
        <v>7</v>
      </c>
      <c r="K446" s="67" t="s">
        <v>813</v>
      </c>
      <c r="L446" s="67" t="s">
        <v>2126</v>
      </c>
    </row>
    <row r="447" spans="1:12" ht="30" customHeight="1">
      <c r="A447" s="179" t="str">
        <f t="shared" si="12"/>
        <v>08/08/20235</v>
      </c>
      <c r="B447" s="172">
        <f t="shared" si="13"/>
        <v>5</v>
      </c>
      <c r="C447" s="67" t="s">
        <v>2066</v>
      </c>
      <c r="D447" s="68" t="s">
        <v>2138</v>
      </c>
      <c r="E447" s="67">
        <v>4</v>
      </c>
      <c r="F447" s="67" t="s">
        <v>568</v>
      </c>
      <c r="G447" s="69">
        <v>45146</v>
      </c>
      <c r="H447" s="69" t="s">
        <v>73</v>
      </c>
      <c r="I447" s="69" t="s">
        <v>33</v>
      </c>
      <c r="J447" s="67">
        <f>IFERROR(VLOOKUP(I447,Jueces!$A$1:$B$11,2,FALSE),"")</f>
        <v>4</v>
      </c>
      <c r="K447" s="67" t="s">
        <v>802</v>
      </c>
      <c r="L447" s="67" t="s">
        <v>1839</v>
      </c>
    </row>
    <row r="448" spans="1:12" ht="30" customHeight="1">
      <c r="A448" s="179" t="str">
        <f t="shared" si="12"/>
        <v>08/08/20236</v>
      </c>
      <c r="B448" s="172">
        <f t="shared" si="13"/>
        <v>6</v>
      </c>
      <c r="C448" s="67" t="s">
        <v>1936</v>
      </c>
      <c r="D448" s="68" t="s">
        <v>2223</v>
      </c>
      <c r="E448" s="67">
        <v>4</v>
      </c>
      <c r="F448" s="67" t="s">
        <v>1441</v>
      </c>
      <c r="G448" s="69">
        <v>45146</v>
      </c>
      <c r="H448" s="69" t="s">
        <v>1086</v>
      </c>
      <c r="I448" s="69" t="s">
        <v>1221</v>
      </c>
      <c r="J448" s="67">
        <f>IFERROR(VLOOKUP(I448,Jueces!$A$1:$B$11,2,FALSE),"")</f>
        <v>7</v>
      </c>
      <c r="K448" s="67" t="s">
        <v>796</v>
      </c>
      <c r="L448" s="67" t="s">
        <v>1998</v>
      </c>
    </row>
    <row r="449" spans="1:12" ht="30" customHeight="1">
      <c r="A449" s="179" t="str">
        <f t="shared" si="12"/>
        <v>09/08/20231</v>
      </c>
      <c r="B449" s="172">
        <f t="shared" si="13"/>
        <v>1</v>
      </c>
      <c r="C449" s="67" t="s">
        <v>1815</v>
      </c>
      <c r="D449" s="68" t="s">
        <v>1820</v>
      </c>
      <c r="E449" s="67">
        <v>4</v>
      </c>
      <c r="F449" s="67" t="s">
        <v>283</v>
      </c>
      <c r="G449" s="69">
        <v>45147</v>
      </c>
      <c r="H449" s="69" t="s">
        <v>73</v>
      </c>
      <c r="I449" s="69" t="s">
        <v>33</v>
      </c>
      <c r="J449" s="67">
        <v>4</v>
      </c>
      <c r="K449" s="67" t="s">
        <v>803</v>
      </c>
      <c r="L449" s="67" t="s">
        <v>1839</v>
      </c>
    </row>
    <row r="450" spans="1:12" ht="30" customHeight="1">
      <c r="A450" s="179" t="str">
        <f t="shared" si="12"/>
        <v>09/08/20232</v>
      </c>
      <c r="B450" s="172">
        <f t="shared" si="13"/>
        <v>2</v>
      </c>
      <c r="C450" s="217" t="s">
        <v>2055</v>
      </c>
      <c r="D450" s="68" t="s">
        <v>2099</v>
      </c>
      <c r="E450" s="67">
        <v>1</v>
      </c>
      <c r="F450" s="67" t="s">
        <v>43</v>
      </c>
      <c r="G450" s="69">
        <v>45147</v>
      </c>
      <c r="H450" s="69" t="s">
        <v>73</v>
      </c>
      <c r="I450" s="69" t="s">
        <v>1220</v>
      </c>
      <c r="J450" s="67">
        <f>IFERROR(VLOOKUP(I450,Jueces!$A$1:$B$11,2,FALSE),"")</f>
        <v>1</v>
      </c>
      <c r="K450" s="67" t="s">
        <v>791</v>
      </c>
      <c r="L450" s="67" t="s">
        <v>694</v>
      </c>
    </row>
    <row r="451" spans="1:12" ht="30" customHeight="1">
      <c r="A451" s="179" t="str">
        <f t="shared" ref="A451:A514" si="14">CONCATENATE(TEXT($G451,"dd/mm/yyyy"),$B451)</f>
        <v>09/08/20233</v>
      </c>
      <c r="B451" s="172">
        <f t="shared" si="13"/>
        <v>3</v>
      </c>
      <c r="C451" s="67" t="s">
        <v>2114</v>
      </c>
      <c r="D451" s="68" t="s">
        <v>2310</v>
      </c>
      <c r="E451" s="67">
        <v>5</v>
      </c>
      <c r="F451" s="67" t="s">
        <v>32</v>
      </c>
      <c r="G451" s="69">
        <v>45147</v>
      </c>
      <c r="H451" s="69" t="s">
        <v>73</v>
      </c>
      <c r="I451" s="69" t="s">
        <v>35</v>
      </c>
      <c r="J451" s="67">
        <v>3</v>
      </c>
      <c r="K451" s="67" t="s">
        <v>809</v>
      </c>
      <c r="L451" s="67" t="s">
        <v>1966</v>
      </c>
    </row>
    <row r="452" spans="1:12" ht="30" customHeight="1">
      <c r="A452" s="179" t="str">
        <f t="shared" si="14"/>
        <v>09/08/20234</v>
      </c>
      <c r="B452" s="172">
        <f t="shared" ref="B452:B515" si="15">IF($G452=$G451,$B451+1,1)</f>
        <v>4</v>
      </c>
      <c r="C452" s="67" t="s">
        <v>1109</v>
      </c>
      <c r="D452" s="68" t="s">
        <v>2134</v>
      </c>
      <c r="E452" s="67">
        <v>2</v>
      </c>
      <c r="F452" s="67" t="s">
        <v>1443</v>
      </c>
      <c r="G452" s="69">
        <v>45147</v>
      </c>
      <c r="H452" s="69" t="s">
        <v>73</v>
      </c>
      <c r="I452" s="69" t="s">
        <v>31</v>
      </c>
      <c r="J452" s="67">
        <v>8</v>
      </c>
      <c r="K452" s="67" t="s">
        <v>811</v>
      </c>
      <c r="L452" s="67" t="s">
        <v>711</v>
      </c>
    </row>
    <row r="453" spans="1:12" ht="30" customHeight="1">
      <c r="A453" s="179" t="str">
        <f t="shared" si="14"/>
        <v>09/08/20235</v>
      </c>
      <c r="B453" s="172">
        <f t="shared" si="15"/>
        <v>5</v>
      </c>
      <c r="C453" s="67" t="s">
        <v>2124</v>
      </c>
      <c r="D453" s="68" t="s">
        <v>2125</v>
      </c>
      <c r="E453" s="67">
        <v>5</v>
      </c>
      <c r="F453" s="67" t="s">
        <v>1442</v>
      </c>
      <c r="G453" s="69">
        <v>45147</v>
      </c>
      <c r="H453" s="69" t="s">
        <v>1086</v>
      </c>
      <c r="I453" s="69" t="s">
        <v>1224</v>
      </c>
      <c r="J453" s="67" t="s">
        <v>1346</v>
      </c>
      <c r="K453" s="67" t="s">
        <v>807</v>
      </c>
      <c r="L453" s="67" t="s">
        <v>2143</v>
      </c>
    </row>
    <row r="454" spans="1:12" ht="30" customHeight="1">
      <c r="A454" s="179" t="str">
        <f t="shared" si="14"/>
        <v>09/08/20236</v>
      </c>
      <c r="B454" s="172">
        <f t="shared" si="15"/>
        <v>6</v>
      </c>
      <c r="C454" s="67" t="s">
        <v>2136</v>
      </c>
      <c r="D454" s="68" t="s">
        <v>2137</v>
      </c>
      <c r="E454" s="67">
        <v>6</v>
      </c>
      <c r="F454" s="67" t="s">
        <v>29</v>
      </c>
      <c r="G454" s="69">
        <v>45147</v>
      </c>
      <c r="H454" s="69" t="s">
        <v>1210</v>
      </c>
      <c r="I454" s="69" t="s">
        <v>1224</v>
      </c>
      <c r="J454" s="67">
        <v>2</v>
      </c>
      <c r="K454" s="67" t="s">
        <v>807</v>
      </c>
      <c r="L454" s="67" t="s">
        <v>2126</v>
      </c>
    </row>
    <row r="455" spans="1:12" ht="30" customHeight="1">
      <c r="A455" s="179" t="str">
        <f t="shared" si="14"/>
        <v>10/08/20231</v>
      </c>
      <c r="B455" s="172">
        <f t="shared" si="15"/>
        <v>1</v>
      </c>
      <c r="C455" s="67" t="s">
        <v>2115</v>
      </c>
      <c r="D455" s="68" t="s">
        <v>2248</v>
      </c>
      <c r="E455" s="67">
        <v>5</v>
      </c>
      <c r="F455" s="67" t="s">
        <v>1443</v>
      </c>
      <c r="G455" s="69">
        <v>45148</v>
      </c>
      <c r="H455" s="69" t="s">
        <v>73</v>
      </c>
      <c r="I455" s="69" t="s">
        <v>31</v>
      </c>
      <c r="J455" s="67">
        <f>IFERROR(VLOOKUP(I455,Jueces!$A$1:$B$11,2,FALSE),"")</f>
        <v>2</v>
      </c>
      <c r="K455" s="67" t="s">
        <v>809</v>
      </c>
      <c r="L455" s="67" t="s">
        <v>2255</v>
      </c>
    </row>
    <row r="456" spans="1:12" ht="30" customHeight="1">
      <c r="A456" s="179" t="str">
        <f t="shared" si="14"/>
        <v>10/08/20232</v>
      </c>
      <c r="B456" s="172">
        <f t="shared" si="15"/>
        <v>2</v>
      </c>
      <c r="C456" s="67" t="s">
        <v>2158</v>
      </c>
      <c r="D456" s="68" t="s">
        <v>2249</v>
      </c>
      <c r="E456" s="67">
        <v>7</v>
      </c>
      <c r="F456" s="67" t="s">
        <v>1441</v>
      </c>
      <c r="G456" s="69">
        <v>45148</v>
      </c>
      <c r="H456" s="69" t="s">
        <v>73</v>
      </c>
      <c r="I456" s="69" t="s">
        <v>35</v>
      </c>
      <c r="J456" s="67">
        <f>IFERROR(VLOOKUP(I456,Jueces!$A$1:$B$11,2,FALSE),"")</f>
        <v>3</v>
      </c>
      <c r="K456" s="67" t="s">
        <v>807</v>
      </c>
      <c r="L456" s="67" t="s">
        <v>2049</v>
      </c>
    </row>
    <row r="457" spans="1:12" ht="30" customHeight="1">
      <c r="A457" s="179" t="str">
        <f t="shared" si="14"/>
        <v>10/08/20233</v>
      </c>
      <c r="B457" s="172">
        <f t="shared" si="15"/>
        <v>3</v>
      </c>
      <c r="C457" s="67" t="s">
        <v>2179</v>
      </c>
      <c r="D457" s="68" t="s">
        <v>2250</v>
      </c>
      <c r="E457" s="67">
        <v>5</v>
      </c>
      <c r="F457" s="67" t="s">
        <v>29</v>
      </c>
      <c r="G457" s="69">
        <v>45148</v>
      </c>
      <c r="H457" s="69" t="s">
        <v>73</v>
      </c>
      <c r="I457" s="69" t="s">
        <v>1222</v>
      </c>
      <c r="J457" s="67" t="s">
        <v>2183</v>
      </c>
      <c r="K457" s="67" t="s">
        <v>812</v>
      </c>
      <c r="L457" s="67" t="s">
        <v>1966</v>
      </c>
    </row>
    <row r="458" spans="1:12" ht="30" customHeight="1">
      <c r="A458" s="179" t="str">
        <f t="shared" si="14"/>
        <v>10/08/20234</v>
      </c>
      <c r="B458" s="172">
        <f t="shared" si="15"/>
        <v>4</v>
      </c>
      <c r="C458" s="67" t="s">
        <v>2175</v>
      </c>
      <c r="D458" s="68" t="s">
        <v>2251</v>
      </c>
      <c r="E458" s="67">
        <v>5</v>
      </c>
      <c r="F458" s="67" t="s">
        <v>1442</v>
      </c>
      <c r="G458" s="69">
        <v>45148</v>
      </c>
      <c r="H458" s="74" t="s">
        <v>1086</v>
      </c>
      <c r="I458" s="69" t="s">
        <v>1220</v>
      </c>
      <c r="J458" s="67">
        <f>IFERROR(VLOOKUP(I458,Jueces!$A$1:$B$11,2,FALSE),"")</f>
        <v>1</v>
      </c>
      <c r="K458" s="67" t="s">
        <v>813</v>
      </c>
      <c r="L458" s="67" t="s">
        <v>2261</v>
      </c>
    </row>
    <row r="459" spans="1:12" ht="30" customHeight="1">
      <c r="A459" s="179" t="str">
        <f t="shared" si="14"/>
        <v>11/08/20231</v>
      </c>
      <c r="B459" s="172">
        <f t="shared" si="15"/>
        <v>1</v>
      </c>
      <c r="C459" s="67" t="s">
        <v>2087</v>
      </c>
      <c r="D459" s="68" t="s">
        <v>2088</v>
      </c>
      <c r="E459" s="67">
        <v>4</v>
      </c>
      <c r="F459" s="67" t="s">
        <v>568</v>
      </c>
      <c r="G459" s="69">
        <v>45149</v>
      </c>
      <c r="H459" s="69" t="s">
        <v>73</v>
      </c>
      <c r="I459" s="69" t="s">
        <v>35</v>
      </c>
      <c r="J459" s="67">
        <f>IFERROR(VLOOKUP(I459,Jueces!$A$1:$B$11,2,FALSE),"")</f>
        <v>3</v>
      </c>
      <c r="K459" s="67" t="s">
        <v>801</v>
      </c>
      <c r="L459" s="67" t="s">
        <v>1876</v>
      </c>
    </row>
    <row r="460" spans="1:12" ht="30" customHeight="1">
      <c r="A460" s="179" t="str">
        <f t="shared" si="14"/>
        <v>11/08/20232</v>
      </c>
      <c r="B460" s="172">
        <f t="shared" si="15"/>
        <v>2</v>
      </c>
      <c r="C460" s="67" t="s">
        <v>2159</v>
      </c>
      <c r="D460" s="68" t="s">
        <v>2240</v>
      </c>
      <c r="E460" s="67">
        <v>4</v>
      </c>
      <c r="F460" s="67" t="s">
        <v>32</v>
      </c>
      <c r="G460" s="69">
        <v>45149</v>
      </c>
      <c r="H460" s="69" t="s">
        <v>73</v>
      </c>
      <c r="I460" s="69" t="s">
        <v>1220</v>
      </c>
      <c r="J460" s="67">
        <f>IFERROR(VLOOKUP(I460,Jueces!$A$1:$B$11,2,FALSE),"")</f>
        <v>1</v>
      </c>
      <c r="K460" s="67" t="s">
        <v>789</v>
      </c>
      <c r="L460" s="67" t="s">
        <v>1839</v>
      </c>
    </row>
    <row r="461" spans="1:12" ht="30" customHeight="1">
      <c r="A461" s="179" t="str">
        <f t="shared" si="14"/>
        <v>11/08/20233</v>
      </c>
      <c r="B461" s="172">
        <f t="shared" si="15"/>
        <v>3</v>
      </c>
      <c r="C461" s="67" t="s">
        <v>2163</v>
      </c>
      <c r="D461" s="68" t="s">
        <v>2189</v>
      </c>
      <c r="E461" s="67">
        <v>6</v>
      </c>
      <c r="F461" s="67" t="s">
        <v>29</v>
      </c>
      <c r="G461" s="69">
        <v>45149</v>
      </c>
      <c r="H461" s="69" t="s">
        <v>73</v>
      </c>
      <c r="I461" s="69" t="s">
        <v>31</v>
      </c>
      <c r="J461" s="67">
        <f>IFERROR(VLOOKUP(I461,Jueces!$A$1:$B$11,2,FALSE),"")</f>
        <v>2</v>
      </c>
      <c r="K461" s="67" t="s">
        <v>812</v>
      </c>
      <c r="L461" s="67" t="s">
        <v>2126</v>
      </c>
    </row>
    <row r="462" spans="1:12" ht="30" customHeight="1">
      <c r="A462" s="179" t="str">
        <f t="shared" si="14"/>
        <v>11/08/20234</v>
      </c>
      <c r="B462" s="172">
        <f t="shared" si="15"/>
        <v>4</v>
      </c>
      <c r="C462" s="67" t="s">
        <v>2173</v>
      </c>
      <c r="D462" s="68" t="s">
        <v>2174</v>
      </c>
      <c r="E462" s="67">
        <v>5</v>
      </c>
      <c r="F462" s="67" t="s">
        <v>43</v>
      </c>
      <c r="G462" s="69">
        <v>45149</v>
      </c>
      <c r="H462" s="69" t="s">
        <v>73</v>
      </c>
      <c r="I462" s="69" t="s">
        <v>1221</v>
      </c>
      <c r="J462" s="67">
        <f>IFERROR(VLOOKUP(I462,Jueces!$A$1:$B$11,2,FALSE),"")</f>
        <v>7</v>
      </c>
      <c r="K462" s="67" t="s">
        <v>811</v>
      </c>
      <c r="L462" s="67" t="s">
        <v>1966</v>
      </c>
    </row>
    <row r="463" spans="1:12" ht="30" customHeight="1">
      <c r="A463" s="179" t="str">
        <f t="shared" si="14"/>
        <v>11/08/20235</v>
      </c>
      <c r="B463" s="172">
        <f t="shared" si="15"/>
        <v>5</v>
      </c>
      <c r="C463" s="67" t="s">
        <v>2209</v>
      </c>
      <c r="D463" s="68" t="s">
        <v>2210</v>
      </c>
      <c r="E463" s="67">
        <v>6</v>
      </c>
      <c r="F463" s="67" t="s">
        <v>1443</v>
      </c>
      <c r="G463" s="69">
        <v>45149</v>
      </c>
      <c r="H463" s="74" t="s">
        <v>73</v>
      </c>
      <c r="I463" s="69" t="s">
        <v>1223</v>
      </c>
      <c r="J463" s="67" t="s">
        <v>2267</v>
      </c>
      <c r="K463" s="67" t="s">
        <v>508</v>
      </c>
      <c r="L463" s="67" t="s">
        <v>2126</v>
      </c>
    </row>
    <row r="464" spans="1:12" ht="30" customHeight="1">
      <c r="A464" s="179" t="str">
        <f t="shared" si="14"/>
        <v>11/08/20236</v>
      </c>
      <c r="B464" s="172">
        <f t="shared" si="15"/>
        <v>6</v>
      </c>
      <c r="C464" s="67" t="s">
        <v>2164</v>
      </c>
      <c r="D464" s="68" t="s">
        <v>2252</v>
      </c>
      <c r="E464" s="67">
        <v>6</v>
      </c>
      <c r="F464" s="67" t="s">
        <v>283</v>
      </c>
      <c r="G464" s="69">
        <v>45149</v>
      </c>
      <c r="H464" s="69" t="s">
        <v>1086</v>
      </c>
      <c r="I464" s="69" t="s">
        <v>1223</v>
      </c>
      <c r="J464" s="67" t="s">
        <v>1520</v>
      </c>
      <c r="K464" s="67" t="s">
        <v>788</v>
      </c>
      <c r="L464" s="67" t="s">
        <v>2126</v>
      </c>
    </row>
    <row r="465" spans="1:12" ht="30" customHeight="1">
      <c r="A465" s="179" t="str">
        <f t="shared" si="14"/>
        <v>11/08/20237</v>
      </c>
      <c r="B465" s="172">
        <f t="shared" si="15"/>
        <v>7</v>
      </c>
      <c r="C465" s="67" t="s">
        <v>2177</v>
      </c>
      <c r="D465" s="68" t="s">
        <v>2178</v>
      </c>
      <c r="E465" s="67">
        <v>5</v>
      </c>
      <c r="F465" s="67" t="s">
        <v>1441</v>
      </c>
      <c r="G465" s="69">
        <v>45149</v>
      </c>
      <c r="H465" s="69" t="s">
        <v>1086</v>
      </c>
      <c r="I465" s="69" t="s">
        <v>33</v>
      </c>
      <c r="J465" s="67">
        <f>IFERROR(VLOOKUP(I465,Jueces!$A$1:$B$11,2,FALSE),"")</f>
        <v>4</v>
      </c>
      <c r="K465" s="67" t="s">
        <v>811</v>
      </c>
      <c r="L465" s="67" t="s">
        <v>1966</v>
      </c>
    </row>
    <row r="466" spans="1:12" ht="30" customHeight="1">
      <c r="A466" s="179" t="str">
        <f t="shared" si="14"/>
        <v>14/08/20231</v>
      </c>
      <c r="B466" s="172">
        <f t="shared" si="15"/>
        <v>1</v>
      </c>
      <c r="C466" s="67" t="s">
        <v>2161</v>
      </c>
      <c r="D466" s="68" t="s">
        <v>2162</v>
      </c>
      <c r="E466" s="67">
        <v>6</v>
      </c>
      <c r="F466" s="67" t="s">
        <v>1441</v>
      </c>
      <c r="G466" s="69">
        <v>45152</v>
      </c>
      <c r="H466" s="69" t="s">
        <v>73</v>
      </c>
      <c r="I466" s="69" t="s">
        <v>35</v>
      </c>
      <c r="J466" s="67">
        <f>IFERROR(VLOOKUP(I466,Jueces!$A$1:$B$11,2,FALSE),"")</f>
        <v>3</v>
      </c>
      <c r="K466" s="67" t="s">
        <v>811</v>
      </c>
      <c r="L466" s="67" t="s">
        <v>2126</v>
      </c>
    </row>
    <row r="467" spans="1:12" ht="30" customHeight="1">
      <c r="A467" s="179" t="str">
        <f t="shared" si="14"/>
        <v>14/08/20232</v>
      </c>
      <c r="B467" s="172">
        <f t="shared" si="15"/>
        <v>2</v>
      </c>
      <c r="C467" s="67" t="s">
        <v>2181</v>
      </c>
      <c r="D467" s="68" t="s">
        <v>2182</v>
      </c>
      <c r="E467" s="67">
        <v>5</v>
      </c>
      <c r="F467" s="67" t="s">
        <v>1443</v>
      </c>
      <c r="G467" s="69">
        <v>45152</v>
      </c>
      <c r="H467" s="69" t="s">
        <v>73</v>
      </c>
      <c r="I467" s="69" t="s">
        <v>78</v>
      </c>
      <c r="J467" s="67">
        <v>8</v>
      </c>
      <c r="K467" s="67" t="s">
        <v>1702</v>
      </c>
      <c r="L467" s="67" t="s">
        <v>1028</v>
      </c>
    </row>
    <row r="468" spans="1:12" ht="30" customHeight="1">
      <c r="A468" s="179" t="str">
        <f t="shared" si="14"/>
        <v>14/08/20233</v>
      </c>
      <c r="B468" s="172">
        <f t="shared" si="15"/>
        <v>3</v>
      </c>
      <c r="C468" s="67" t="s">
        <v>2201</v>
      </c>
      <c r="D468" s="68" t="s">
        <v>2221</v>
      </c>
      <c r="E468" s="67">
        <v>6</v>
      </c>
      <c r="F468" s="67" t="s">
        <v>32</v>
      </c>
      <c r="G468" s="69">
        <v>45152</v>
      </c>
      <c r="H468" s="69" t="s">
        <v>73</v>
      </c>
      <c r="I468" s="69" t="s">
        <v>1222</v>
      </c>
      <c r="J468" s="67">
        <v>5</v>
      </c>
      <c r="K468" s="67" t="s">
        <v>809</v>
      </c>
      <c r="L468" s="67" t="s">
        <v>2220</v>
      </c>
    </row>
    <row r="469" spans="1:12" ht="30" customHeight="1">
      <c r="A469" s="179" t="str">
        <f t="shared" si="14"/>
        <v>14/08/20234</v>
      </c>
      <c r="B469" s="172">
        <f t="shared" si="15"/>
        <v>4</v>
      </c>
      <c r="C469" s="67" t="s">
        <v>1932</v>
      </c>
      <c r="D469" s="68" t="s">
        <v>2165</v>
      </c>
      <c r="E469" s="67">
        <v>4</v>
      </c>
      <c r="F469" s="67" t="s">
        <v>568</v>
      </c>
      <c r="G469" s="69">
        <v>45152</v>
      </c>
      <c r="H469" s="69" t="s">
        <v>1086</v>
      </c>
      <c r="I469" s="69" t="s">
        <v>33</v>
      </c>
      <c r="J469" s="67">
        <f>IFERROR(VLOOKUP(I469,Jueces!$A$1:$B$11,2,FALSE),"")</f>
        <v>4</v>
      </c>
      <c r="K469" s="67" t="s">
        <v>811</v>
      </c>
      <c r="L469" s="67" t="s">
        <v>1839</v>
      </c>
    </row>
    <row r="470" spans="1:12" ht="30" customHeight="1">
      <c r="A470" s="179" t="str">
        <f t="shared" si="14"/>
        <v>14/08/20235</v>
      </c>
      <c r="B470" s="172">
        <f t="shared" si="15"/>
        <v>5</v>
      </c>
      <c r="C470" s="67" t="s">
        <v>2186</v>
      </c>
      <c r="D470" s="68" t="s">
        <v>2185</v>
      </c>
      <c r="E470" s="67">
        <v>5</v>
      </c>
      <c r="F470" s="67" t="s">
        <v>43</v>
      </c>
      <c r="G470" s="69">
        <v>45152</v>
      </c>
      <c r="H470" s="69" t="s">
        <v>1086</v>
      </c>
      <c r="I470" s="69" t="s">
        <v>1224</v>
      </c>
      <c r="J470" s="67">
        <v>2</v>
      </c>
      <c r="K470" s="67" t="s">
        <v>2091</v>
      </c>
      <c r="L470" s="67" t="s">
        <v>783</v>
      </c>
    </row>
    <row r="471" spans="1:12" ht="30" customHeight="1">
      <c r="A471" s="179" t="str">
        <f t="shared" si="14"/>
        <v>14/08/20236</v>
      </c>
      <c r="B471" s="172">
        <f t="shared" si="15"/>
        <v>6</v>
      </c>
      <c r="C471" s="67" t="s">
        <v>2193</v>
      </c>
      <c r="D471" s="68" t="s">
        <v>2194</v>
      </c>
      <c r="E471" s="67">
        <v>6</v>
      </c>
      <c r="F471" s="67" t="s">
        <v>1442</v>
      </c>
      <c r="G471" s="69">
        <v>45152</v>
      </c>
      <c r="H471" s="69" t="s">
        <v>1086</v>
      </c>
      <c r="I471" s="69" t="s">
        <v>1223</v>
      </c>
      <c r="J471" s="67" t="s">
        <v>1926</v>
      </c>
      <c r="K471" s="67" t="s">
        <v>2091</v>
      </c>
      <c r="L471" s="67" t="s">
        <v>2126</v>
      </c>
    </row>
    <row r="472" spans="1:12" ht="30" customHeight="1">
      <c r="A472" s="179" t="str">
        <f t="shared" si="14"/>
        <v>15/08/20231</v>
      </c>
      <c r="B472" s="172">
        <f t="shared" si="15"/>
        <v>1</v>
      </c>
      <c r="C472" s="67" t="s">
        <v>2187</v>
      </c>
      <c r="D472" s="68" t="s">
        <v>2188</v>
      </c>
      <c r="E472" s="67">
        <v>4</v>
      </c>
      <c r="F472" s="67" t="s">
        <v>29</v>
      </c>
      <c r="G472" s="69">
        <v>45153</v>
      </c>
      <c r="H472" s="69" t="s">
        <v>73</v>
      </c>
      <c r="I472" s="69" t="s">
        <v>31</v>
      </c>
      <c r="J472" s="67">
        <f>IFERROR(VLOOKUP(I472,Jueces!$A$1:$B$11,2,FALSE),"")</f>
        <v>2</v>
      </c>
      <c r="K472" s="67" t="s">
        <v>798</v>
      </c>
      <c r="L472" s="67" t="s">
        <v>695</v>
      </c>
    </row>
    <row r="473" spans="1:12" ht="30" customHeight="1">
      <c r="A473" s="179" t="str">
        <f t="shared" si="14"/>
        <v>15/08/20232</v>
      </c>
      <c r="B473" s="172">
        <f t="shared" si="15"/>
        <v>2</v>
      </c>
      <c r="C473" s="67" t="s">
        <v>2219</v>
      </c>
      <c r="D473" s="68" t="s">
        <v>2200</v>
      </c>
      <c r="E473" s="67">
        <v>6</v>
      </c>
      <c r="F473" s="67" t="s">
        <v>283</v>
      </c>
      <c r="G473" s="69">
        <v>45153</v>
      </c>
      <c r="H473" s="69" t="s">
        <v>73</v>
      </c>
      <c r="I473" s="69" t="s">
        <v>1221</v>
      </c>
      <c r="J473" s="67" t="s">
        <v>2305</v>
      </c>
      <c r="K473" s="67" t="s">
        <v>1070</v>
      </c>
      <c r="L473" s="67" t="s">
        <v>2126</v>
      </c>
    </row>
    <row r="474" spans="1:12" ht="30" customHeight="1">
      <c r="A474" s="179" t="str">
        <f t="shared" si="14"/>
        <v>15/08/20233</v>
      </c>
      <c r="B474" s="172">
        <f t="shared" si="15"/>
        <v>3</v>
      </c>
      <c r="C474" s="67" t="s">
        <v>2212</v>
      </c>
      <c r="D474" s="68" t="s">
        <v>2213</v>
      </c>
      <c r="E474" s="67">
        <v>2</v>
      </c>
      <c r="F474" s="67" t="s">
        <v>43</v>
      </c>
      <c r="G474" s="69">
        <v>45153</v>
      </c>
      <c r="H474" s="69" t="s">
        <v>73</v>
      </c>
      <c r="I474" s="69" t="s">
        <v>1222</v>
      </c>
      <c r="J474" s="67" t="s">
        <v>1926</v>
      </c>
      <c r="K474" s="67" t="s">
        <v>809</v>
      </c>
      <c r="L474" s="67" t="s">
        <v>1966</v>
      </c>
    </row>
    <row r="475" spans="1:12" ht="30" customHeight="1">
      <c r="A475" s="179" t="str">
        <f t="shared" si="14"/>
        <v>15/08/20234</v>
      </c>
      <c r="B475" s="172">
        <f t="shared" si="15"/>
        <v>4</v>
      </c>
      <c r="C475" s="67" t="s">
        <v>2227</v>
      </c>
      <c r="D475" s="68" t="s">
        <v>2224</v>
      </c>
      <c r="E475" s="67">
        <v>5</v>
      </c>
      <c r="F475" s="67" t="s">
        <v>568</v>
      </c>
      <c r="G475" s="69">
        <v>45153</v>
      </c>
      <c r="H475" s="69" t="s">
        <v>73</v>
      </c>
      <c r="I475" s="69" t="s">
        <v>35</v>
      </c>
      <c r="J475" s="67">
        <f>IFERROR(VLOOKUP(I475,Jueces!$A$1:$B$11,2,FALSE),"")</f>
        <v>3</v>
      </c>
      <c r="K475" s="67" t="s">
        <v>806</v>
      </c>
      <c r="L475" s="67" t="s">
        <v>1876</v>
      </c>
    </row>
    <row r="476" spans="1:12" ht="30" customHeight="1">
      <c r="A476" s="179" t="str">
        <f t="shared" si="14"/>
        <v>15/08/20235</v>
      </c>
      <c r="B476" s="172">
        <f t="shared" si="15"/>
        <v>5</v>
      </c>
      <c r="C476" s="67" t="s">
        <v>2214</v>
      </c>
      <c r="D476" s="68" t="s">
        <v>2215</v>
      </c>
      <c r="E476" s="67">
        <v>6</v>
      </c>
      <c r="F476" s="67" t="s">
        <v>32</v>
      </c>
      <c r="G476" s="69">
        <v>45153</v>
      </c>
      <c r="H476" s="69" t="s">
        <v>547</v>
      </c>
      <c r="I476" s="69" t="s">
        <v>1220</v>
      </c>
      <c r="J476" s="67">
        <f>IFERROR(VLOOKUP(I476,Jueces!$A$1:$B$11,2,FALSE),"")</f>
        <v>1</v>
      </c>
      <c r="K476" s="67" t="s">
        <v>809</v>
      </c>
      <c r="L476" s="67" t="s">
        <v>2126</v>
      </c>
    </row>
    <row r="477" spans="1:12" ht="30" customHeight="1">
      <c r="A477" s="179" t="str">
        <f t="shared" si="14"/>
        <v>16/08/20231</v>
      </c>
      <c r="B477" s="172">
        <f t="shared" si="15"/>
        <v>1</v>
      </c>
      <c r="C477" s="67" t="s">
        <v>2160</v>
      </c>
      <c r="D477" s="68" t="s">
        <v>2218</v>
      </c>
      <c r="E477" s="67">
        <v>6</v>
      </c>
      <c r="F477" s="67" t="s">
        <v>29</v>
      </c>
      <c r="G477" s="69">
        <v>45154</v>
      </c>
      <c r="H477" s="69" t="s">
        <v>73</v>
      </c>
      <c r="I477" s="69" t="s">
        <v>1220</v>
      </c>
      <c r="J477" s="67">
        <f>IFERROR(VLOOKUP(I477,Jueces!$A$1:$B$11,2,FALSE),"")</f>
        <v>1</v>
      </c>
      <c r="K477" s="67" t="s">
        <v>812</v>
      </c>
      <c r="L477" s="67" t="s">
        <v>2126</v>
      </c>
    </row>
    <row r="478" spans="1:12" ht="30" customHeight="1">
      <c r="A478" s="179" t="str">
        <f t="shared" si="14"/>
        <v>16/08/20232</v>
      </c>
      <c r="B478" s="172">
        <f t="shared" si="15"/>
        <v>2</v>
      </c>
      <c r="C478" s="67" t="s">
        <v>2228</v>
      </c>
      <c r="D478" s="68" t="s">
        <v>2225</v>
      </c>
      <c r="E478" s="67">
        <v>5</v>
      </c>
      <c r="F478" s="67" t="s">
        <v>1442</v>
      </c>
      <c r="G478" s="69">
        <v>45154</v>
      </c>
      <c r="H478" s="69" t="s">
        <v>73</v>
      </c>
      <c r="I478" s="69" t="s">
        <v>78</v>
      </c>
      <c r="J478" s="67">
        <f>IFERROR(VLOOKUP(I478,Jueces!$A$1:$B$11,2,FALSE),"")</f>
        <v>8</v>
      </c>
      <c r="K478" s="67" t="s">
        <v>813</v>
      </c>
      <c r="L478" s="67" t="s">
        <v>1966</v>
      </c>
    </row>
    <row r="479" spans="1:12" ht="30" customHeight="1">
      <c r="A479" s="179" t="str">
        <f t="shared" si="14"/>
        <v>16/08/20233</v>
      </c>
      <c r="B479" s="172">
        <f t="shared" si="15"/>
        <v>3</v>
      </c>
      <c r="C479" s="67" t="s">
        <v>2237</v>
      </c>
      <c r="D479" s="68" t="s">
        <v>2362</v>
      </c>
      <c r="E479" s="67">
        <v>6</v>
      </c>
      <c r="F479" s="67" t="s">
        <v>283</v>
      </c>
      <c r="G479" s="69">
        <v>45154</v>
      </c>
      <c r="H479" s="69" t="s">
        <v>73</v>
      </c>
      <c r="I479" s="69" t="s">
        <v>31</v>
      </c>
      <c r="J479" s="67">
        <f>IFERROR(VLOOKUP(I479,Jueces!$A$1:$B$11,2,FALSE),"")</f>
        <v>2</v>
      </c>
      <c r="K479" s="67" t="s">
        <v>1414</v>
      </c>
      <c r="L479" s="67" t="s">
        <v>2220</v>
      </c>
    </row>
    <row r="480" spans="1:12" ht="30" customHeight="1">
      <c r="A480" s="179" t="str">
        <f t="shared" si="14"/>
        <v>16/08/20234</v>
      </c>
      <c r="B480" s="172">
        <f t="shared" si="15"/>
        <v>4</v>
      </c>
      <c r="C480" s="67" t="s">
        <v>2235</v>
      </c>
      <c r="D480" s="68" t="s">
        <v>2217</v>
      </c>
      <c r="E480" s="67">
        <v>6</v>
      </c>
      <c r="F480" s="67" t="s">
        <v>32</v>
      </c>
      <c r="G480" s="69">
        <v>45154</v>
      </c>
      <c r="H480" s="69" t="s">
        <v>1086</v>
      </c>
      <c r="I480" s="69" t="s">
        <v>1222</v>
      </c>
      <c r="J480" s="67" t="s">
        <v>1346</v>
      </c>
      <c r="K480" s="67" t="s">
        <v>812</v>
      </c>
      <c r="L480" s="67" t="s">
        <v>2126</v>
      </c>
    </row>
    <row r="481" spans="1:12" ht="30" customHeight="1">
      <c r="A481" s="179" t="str">
        <f t="shared" si="14"/>
        <v>16/08/20235</v>
      </c>
      <c r="B481" s="172">
        <f t="shared" si="15"/>
        <v>5</v>
      </c>
      <c r="C481" s="67" t="s">
        <v>2202</v>
      </c>
      <c r="D481" s="68" t="s">
        <v>2203</v>
      </c>
      <c r="E481" s="67">
        <v>2</v>
      </c>
      <c r="F481" s="67" t="s">
        <v>568</v>
      </c>
      <c r="G481" s="69">
        <v>45154</v>
      </c>
      <c r="H481" s="69" t="s">
        <v>1086</v>
      </c>
      <c r="I481" s="69" t="s">
        <v>33</v>
      </c>
      <c r="J481" s="67">
        <f>IFERROR(VLOOKUP(I481,Jueces!$A$1:$B$11,2,FALSE),"")</f>
        <v>4</v>
      </c>
      <c r="K481" s="67" t="s">
        <v>803</v>
      </c>
      <c r="L481" s="67" t="s">
        <v>2266</v>
      </c>
    </row>
    <row r="482" spans="1:12" ht="30" customHeight="1">
      <c r="A482" s="179" t="str">
        <f t="shared" si="14"/>
        <v>16/08/20236</v>
      </c>
      <c r="B482" s="172">
        <f t="shared" si="15"/>
        <v>6</v>
      </c>
      <c r="C482" s="67" t="s">
        <v>2264</v>
      </c>
      <c r="D482" s="68" t="s">
        <v>2363</v>
      </c>
      <c r="E482" s="67">
        <v>6</v>
      </c>
      <c r="F482" s="67" t="s">
        <v>1441</v>
      </c>
      <c r="G482" s="69">
        <v>45154</v>
      </c>
      <c r="H482" s="69" t="s">
        <v>1086</v>
      </c>
      <c r="I482" s="69" t="s">
        <v>1224</v>
      </c>
      <c r="J482" s="67" t="s">
        <v>1926</v>
      </c>
      <c r="K482" s="67" t="s">
        <v>813</v>
      </c>
      <c r="L482" s="67" t="s">
        <v>2220</v>
      </c>
    </row>
    <row r="483" spans="1:12" ht="30" customHeight="1">
      <c r="A483" s="179" t="str">
        <f t="shared" si="14"/>
        <v>16/08/20237</v>
      </c>
      <c r="B483" s="172">
        <f t="shared" si="15"/>
        <v>7</v>
      </c>
      <c r="C483" s="67" t="s">
        <v>2112</v>
      </c>
      <c r="D483" s="68" t="s">
        <v>2139</v>
      </c>
      <c r="E483" s="67">
        <v>1</v>
      </c>
      <c r="F483" s="67" t="s">
        <v>1441</v>
      </c>
      <c r="G483" s="69">
        <v>45154</v>
      </c>
      <c r="H483" s="69" t="s">
        <v>547</v>
      </c>
      <c r="I483" s="69" t="s">
        <v>1220</v>
      </c>
      <c r="J483" s="67">
        <f>IFERROR(VLOOKUP(I483,Jueces!$A$1:$B$11,2,FALSE),"")</f>
        <v>1</v>
      </c>
      <c r="K483" s="67" t="s">
        <v>192</v>
      </c>
      <c r="L483" s="67" t="s">
        <v>1286</v>
      </c>
    </row>
    <row r="484" spans="1:12" ht="30" customHeight="1">
      <c r="A484" s="179" t="str">
        <f t="shared" si="14"/>
        <v>17/08/20231</v>
      </c>
      <c r="B484" s="172">
        <f t="shared" si="15"/>
        <v>1</v>
      </c>
      <c r="C484" s="67" t="s">
        <v>2216</v>
      </c>
      <c r="D484" s="68" t="s">
        <v>2377</v>
      </c>
      <c r="E484" s="67">
        <v>6</v>
      </c>
      <c r="F484" s="67" t="s">
        <v>283</v>
      </c>
      <c r="G484" s="69">
        <v>45155</v>
      </c>
      <c r="H484" s="69" t="s">
        <v>73</v>
      </c>
      <c r="I484" s="69" t="s">
        <v>78</v>
      </c>
      <c r="J484" s="67">
        <v>8</v>
      </c>
      <c r="K484" s="67" t="s">
        <v>802</v>
      </c>
      <c r="L484" s="67" t="s">
        <v>2126</v>
      </c>
    </row>
    <row r="485" spans="1:12" ht="30" customHeight="1">
      <c r="A485" s="179" t="str">
        <f t="shared" si="14"/>
        <v>17/08/20232</v>
      </c>
      <c r="B485" s="172">
        <f t="shared" si="15"/>
        <v>2</v>
      </c>
      <c r="C485" s="67" t="s">
        <v>2258</v>
      </c>
      <c r="D485" s="68" t="s">
        <v>2378</v>
      </c>
      <c r="E485" s="67">
        <v>5</v>
      </c>
      <c r="F485" s="67" t="s">
        <v>1441</v>
      </c>
      <c r="G485" s="69">
        <v>45155</v>
      </c>
      <c r="H485" s="69" t="s">
        <v>73</v>
      </c>
      <c r="I485" s="69" t="s">
        <v>33</v>
      </c>
      <c r="J485" s="67">
        <f>IFERROR(VLOOKUP(I485,Jueces!$A$1:$B$11,2,FALSE),"")</f>
        <v>4</v>
      </c>
      <c r="K485" s="67" t="s">
        <v>812</v>
      </c>
      <c r="L485" s="67" t="s">
        <v>1966</v>
      </c>
    </row>
    <row r="486" spans="1:12" ht="30" customHeight="1">
      <c r="A486" s="179" t="str">
        <f t="shared" si="14"/>
        <v>17/08/20233</v>
      </c>
      <c r="B486" s="172">
        <f t="shared" si="15"/>
        <v>3</v>
      </c>
      <c r="C486" s="67" t="s">
        <v>2265</v>
      </c>
      <c r="D486" s="68" t="s">
        <v>2379</v>
      </c>
      <c r="E486" s="67">
        <v>1</v>
      </c>
      <c r="F486" s="67" t="s">
        <v>29</v>
      </c>
      <c r="G486" s="69">
        <v>45155</v>
      </c>
      <c r="H486" s="69" t="s">
        <v>73</v>
      </c>
      <c r="I486" s="69" t="s">
        <v>1223</v>
      </c>
      <c r="J486" s="67" t="s">
        <v>1346</v>
      </c>
      <c r="K486" s="67" t="s">
        <v>813</v>
      </c>
      <c r="L486" s="67" t="s">
        <v>767</v>
      </c>
    </row>
    <row r="487" spans="1:12" ht="30" customHeight="1">
      <c r="A487" s="179" t="str">
        <f t="shared" si="14"/>
        <v>17/08/20234</v>
      </c>
      <c r="B487" s="172">
        <f t="shared" si="15"/>
        <v>4</v>
      </c>
      <c r="C487" s="67" t="s">
        <v>2229</v>
      </c>
      <c r="D487" s="68" t="s">
        <v>2380</v>
      </c>
      <c r="E487" s="67">
        <v>5</v>
      </c>
      <c r="F487" s="67" t="s">
        <v>43</v>
      </c>
      <c r="G487" s="69">
        <v>45155</v>
      </c>
      <c r="H487" s="69" t="s">
        <v>1086</v>
      </c>
      <c r="I487" s="69" t="s">
        <v>31</v>
      </c>
      <c r="J487" s="67">
        <f>IFERROR(VLOOKUP(I487,Jueces!$A$1:$B$11,2,FALSE),"")</f>
        <v>2</v>
      </c>
      <c r="K487" s="67" t="s">
        <v>812</v>
      </c>
      <c r="L487" s="67" t="s">
        <v>700</v>
      </c>
    </row>
    <row r="488" spans="1:12" ht="30" customHeight="1">
      <c r="A488" s="179" t="str">
        <f t="shared" si="14"/>
        <v>17/08/20235</v>
      </c>
      <c r="B488" s="172">
        <f t="shared" si="15"/>
        <v>5</v>
      </c>
      <c r="C488" s="7" t="s">
        <v>2263</v>
      </c>
      <c r="D488" s="41" t="s">
        <v>2381</v>
      </c>
      <c r="E488" s="7">
        <v>5</v>
      </c>
      <c r="F488" s="7" t="s">
        <v>1443</v>
      </c>
      <c r="G488" s="19">
        <v>45155</v>
      </c>
      <c r="H488" s="19" t="s">
        <v>1086</v>
      </c>
      <c r="I488" s="19" t="s">
        <v>1220</v>
      </c>
      <c r="J488" s="7">
        <f>IFERROR(VLOOKUP(I488,Jueces!$A$1:$B$11,2,FALSE),"")</f>
        <v>1</v>
      </c>
      <c r="K488" s="7" t="s">
        <v>811</v>
      </c>
      <c r="L488" s="7" t="s">
        <v>2373</v>
      </c>
    </row>
    <row r="489" spans="1:12" ht="30" customHeight="1">
      <c r="A489" s="179" t="str">
        <f t="shared" si="14"/>
        <v>18/08/20231</v>
      </c>
      <c r="B489" s="172">
        <f t="shared" si="15"/>
        <v>1</v>
      </c>
      <c r="C489" s="67" t="s">
        <v>2204</v>
      </c>
      <c r="D489" s="68" t="s">
        <v>2394</v>
      </c>
      <c r="E489" s="67">
        <v>8</v>
      </c>
      <c r="F489" s="67" t="s">
        <v>1442</v>
      </c>
      <c r="G489" s="69">
        <v>45156</v>
      </c>
      <c r="H489" s="69" t="s">
        <v>73</v>
      </c>
      <c r="I489" s="69" t="s">
        <v>35</v>
      </c>
      <c r="J489" s="67">
        <f>IFERROR(VLOOKUP(I489,Jueces!$A$1:$B$11,2,FALSE),"")</f>
        <v>3</v>
      </c>
      <c r="K489" s="67" t="s">
        <v>1070</v>
      </c>
      <c r="L489" s="67" t="s">
        <v>2231</v>
      </c>
    </row>
    <row r="490" spans="1:12" ht="30" customHeight="1">
      <c r="A490" s="179" t="str">
        <f t="shared" si="14"/>
        <v>18/08/20232</v>
      </c>
      <c r="B490" s="172">
        <f t="shared" si="15"/>
        <v>2</v>
      </c>
      <c r="C490" s="67" t="s">
        <v>2246</v>
      </c>
      <c r="D490" s="68" t="s">
        <v>2226</v>
      </c>
      <c r="E490" s="67">
        <v>5</v>
      </c>
      <c r="F490" s="67" t="s">
        <v>568</v>
      </c>
      <c r="G490" s="69">
        <v>45156</v>
      </c>
      <c r="H490" s="69" t="s">
        <v>73</v>
      </c>
      <c r="I490" s="69" t="s">
        <v>78</v>
      </c>
      <c r="J490" s="67">
        <f>IFERROR(VLOOKUP(I490,Jueces!$A$1:$B$11,2,FALSE),"")</f>
        <v>8</v>
      </c>
      <c r="K490" s="67" t="s">
        <v>508</v>
      </c>
      <c r="L490" s="67" t="s">
        <v>2373</v>
      </c>
    </row>
    <row r="491" spans="1:12" ht="30" customHeight="1">
      <c r="A491" s="179" t="str">
        <f t="shared" si="14"/>
        <v>18/08/20233</v>
      </c>
      <c r="B491" s="172">
        <f t="shared" si="15"/>
        <v>3</v>
      </c>
      <c r="C491" s="67" t="s">
        <v>2232</v>
      </c>
      <c r="D491" s="68" t="s">
        <v>2233</v>
      </c>
      <c r="E491" s="67">
        <v>5</v>
      </c>
      <c r="F491" s="67" t="s">
        <v>1441</v>
      </c>
      <c r="G491" s="69">
        <v>45156</v>
      </c>
      <c r="H491" s="69" t="s">
        <v>73</v>
      </c>
      <c r="I491" s="69" t="s">
        <v>31</v>
      </c>
      <c r="J491" s="67">
        <f>IFERROR(VLOOKUP(I491,Jueces!$A$1:$B$11,2,FALSE),"")</f>
        <v>2</v>
      </c>
      <c r="K491" s="67" t="s">
        <v>2095</v>
      </c>
      <c r="L491" s="67" t="s">
        <v>1571</v>
      </c>
    </row>
    <row r="492" spans="1:12" ht="30" customHeight="1">
      <c r="A492" s="179" t="str">
        <f t="shared" si="14"/>
        <v>18/08/20234</v>
      </c>
      <c r="B492" s="172">
        <f t="shared" si="15"/>
        <v>4</v>
      </c>
      <c r="C492" s="67" t="s">
        <v>2268</v>
      </c>
      <c r="D492" s="68" t="s">
        <v>2270</v>
      </c>
      <c r="E492" s="67">
        <v>5</v>
      </c>
      <c r="F492" s="67" t="s">
        <v>43</v>
      </c>
      <c r="G492" s="69">
        <v>45156</v>
      </c>
      <c r="H492" s="69" t="s">
        <v>73</v>
      </c>
      <c r="I492" s="69" t="s">
        <v>33</v>
      </c>
      <c r="J492" s="67">
        <f>IFERROR(VLOOKUP(I492,Jueces!$A$1:$B$11,2,FALSE),"")</f>
        <v>4</v>
      </c>
      <c r="K492" s="67" t="s">
        <v>812</v>
      </c>
      <c r="L492" s="67" t="s">
        <v>2269</v>
      </c>
    </row>
    <row r="493" spans="1:12" ht="30" customHeight="1">
      <c r="A493" s="179" t="str">
        <f t="shared" si="14"/>
        <v>18/08/20235</v>
      </c>
      <c r="B493" s="172">
        <f t="shared" si="15"/>
        <v>5</v>
      </c>
      <c r="C493" s="67" t="s">
        <v>2281</v>
      </c>
      <c r="D493" s="68" t="s">
        <v>2299</v>
      </c>
      <c r="E493" s="67">
        <v>6</v>
      </c>
      <c r="F493" s="67" t="s">
        <v>29</v>
      </c>
      <c r="G493" s="69">
        <v>45156</v>
      </c>
      <c r="H493" s="69" t="s">
        <v>73</v>
      </c>
      <c r="I493" s="69" t="s">
        <v>1223</v>
      </c>
      <c r="J493" s="67" t="s">
        <v>1346</v>
      </c>
      <c r="K493" s="67" t="s">
        <v>806</v>
      </c>
      <c r="L493" s="67" t="s">
        <v>2388</v>
      </c>
    </row>
    <row r="494" spans="1:12" ht="30" customHeight="1">
      <c r="A494" s="179" t="str">
        <f t="shared" si="14"/>
        <v>18/08/20236</v>
      </c>
      <c r="B494" s="172">
        <f t="shared" si="15"/>
        <v>6</v>
      </c>
      <c r="C494" s="67" t="s">
        <v>2234</v>
      </c>
      <c r="D494" s="68" t="s">
        <v>2236</v>
      </c>
      <c r="E494" s="67">
        <v>5</v>
      </c>
      <c r="F494" s="67" t="s">
        <v>1443</v>
      </c>
      <c r="G494" s="69">
        <v>45156</v>
      </c>
      <c r="H494" s="69" t="s">
        <v>1086</v>
      </c>
      <c r="I494" s="69" t="s">
        <v>1222</v>
      </c>
      <c r="J494" s="67">
        <v>3</v>
      </c>
      <c r="K494" s="67" t="s">
        <v>793</v>
      </c>
      <c r="L494" s="67" t="s">
        <v>1876</v>
      </c>
    </row>
    <row r="495" spans="1:12" ht="30" customHeight="1">
      <c r="A495" s="179" t="str">
        <f t="shared" si="14"/>
        <v>18/08/20237</v>
      </c>
      <c r="B495" s="172">
        <f t="shared" si="15"/>
        <v>7</v>
      </c>
      <c r="C495" s="67" t="s">
        <v>2279</v>
      </c>
      <c r="D495" s="68" t="s">
        <v>2280</v>
      </c>
      <c r="E495" s="67">
        <v>6</v>
      </c>
      <c r="F495" s="67" t="s">
        <v>32</v>
      </c>
      <c r="G495" s="69">
        <v>45156</v>
      </c>
      <c r="H495" s="69" t="s">
        <v>1086</v>
      </c>
      <c r="I495" s="69" t="s">
        <v>1220</v>
      </c>
      <c r="J495" s="67">
        <f>IFERROR(VLOOKUP(I495,Jueces!$A$1:$B$11,2,FALSE),"")</f>
        <v>1</v>
      </c>
      <c r="K495" s="67" t="s">
        <v>812</v>
      </c>
      <c r="L495" s="67" t="s">
        <v>2388</v>
      </c>
    </row>
    <row r="496" spans="1:12" ht="30" customHeight="1">
      <c r="A496" s="179" t="str">
        <f t="shared" si="14"/>
        <v>18/08/20238</v>
      </c>
      <c r="B496" s="172">
        <f t="shared" si="15"/>
        <v>8</v>
      </c>
      <c r="C496" s="67" t="s">
        <v>2326</v>
      </c>
      <c r="D496" s="68" t="s">
        <v>2324</v>
      </c>
      <c r="E496" s="67">
        <v>5</v>
      </c>
      <c r="F496" s="67" t="s">
        <v>283</v>
      </c>
      <c r="G496" s="69">
        <v>45156</v>
      </c>
      <c r="H496" s="69" t="s">
        <v>1086</v>
      </c>
      <c r="I496" s="69" t="s">
        <v>1224</v>
      </c>
      <c r="J496" s="67" t="s">
        <v>1520</v>
      </c>
      <c r="K496" s="67" t="s">
        <v>2091</v>
      </c>
      <c r="L496" s="67" t="s">
        <v>2373</v>
      </c>
    </row>
    <row r="497" spans="1:12" ht="30" customHeight="1">
      <c r="A497" s="179" t="str">
        <f t="shared" si="14"/>
        <v>22/08/20231</v>
      </c>
      <c r="B497" s="172">
        <f t="shared" si="15"/>
        <v>1</v>
      </c>
      <c r="C497" s="67" t="s">
        <v>2192</v>
      </c>
      <c r="D497" s="68" t="s">
        <v>2222</v>
      </c>
      <c r="E497" s="67">
        <v>6</v>
      </c>
      <c r="F497" s="67" t="s">
        <v>1442</v>
      </c>
      <c r="G497" s="69">
        <v>45160</v>
      </c>
      <c r="H497" s="69" t="s">
        <v>73</v>
      </c>
      <c r="I497" s="69" t="s">
        <v>31</v>
      </c>
      <c r="J497" s="67" t="s">
        <v>2344</v>
      </c>
      <c r="K497" s="67" t="s">
        <v>809</v>
      </c>
      <c r="L497" s="67" t="s">
        <v>2126</v>
      </c>
    </row>
    <row r="498" spans="1:12" ht="30" customHeight="1">
      <c r="A498" s="179" t="str">
        <f t="shared" si="14"/>
        <v>22/08/20232</v>
      </c>
      <c r="B498" s="172">
        <f t="shared" si="15"/>
        <v>2</v>
      </c>
      <c r="C498" s="67" t="s">
        <v>2286</v>
      </c>
      <c r="D498" s="68" t="s">
        <v>2288</v>
      </c>
      <c r="E498" s="67">
        <v>4</v>
      </c>
      <c r="F498" s="67" t="s">
        <v>283</v>
      </c>
      <c r="G498" s="69">
        <v>45160</v>
      </c>
      <c r="H498" s="69" t="s">
        <v>73</v>
      </c>
      <c r="I498" s="69" t="s">
        <v>35</v>
      </c>
      <c r="J498" s="67">
        <f>IFERROR(VLOOKUP(I498,Jueces!$A$1:$B$11,2,FALSE),"")</f>
        <v>3</v>
      </c>
      <c r="K498" s="67" t="s">
        <v>814</v>
      </c>
      <c r="L498" s="67" t="s">
        <v>2287</v>
      </c>
    </row>
    <row r="499" spans="1:12" ht="30" customHeight="1">
      <c r="A499" s="179" t="str">
        <f t="shared" si="14"/>
        <v>22/08/20233</v>
      </c>
      <c r="B499" s="172">
        <f t="shared" si="15"/>
        <v>3</v>
      </c>
      <c r="C499" s="67" t="s">
        <v>2308</v>
      </c>
      <c r="D499" s="68" t="s">
        <v>2314</v>
      </c>
      <c r="E499" s="67">
        <v>4</v>
      </c>
      <c r="F499" s="67" t="s">
        <v>568</v>
      </c>
      <c r="G499" s="69">
        <v>45160</v>
      </c>
      <c r="H499" s="69" t="s">
        <v>73</v>
      </c>
      <c r="I499" s="69" t="s">
        <v>33</v>
      </c>
      <c r="J499" s="67">
        <f>IFERROR(VLOOKUP(I499,Jueces!$A$1:$B$11,2,FALSE),"")</f>
        <v>4</v>
      </c>
      <c r="K499" s="67" t="s">
        <v>800</v>
      </c>
      <c r="L499" s="67" t="s">
        <v>2220</v>
      </c>
    </row>
    <row r="500" spans="1:12" ht="30" customHeight="1">
      <c r="A500" s="179" t="str">
        <f t="shared" si="14"/>
        <v>22/08/20234</v>
      </c>
      <c r="B500" s="172">
        <f t="shared" si="15"/>
        <v>4</v>
      </c>
      <c r="C500" s="67" t="s">
        <v>2282</v>
      </c>
      <c r="D500" s="68" t="s">
        <v>2329</v>
      </c>
      <c r="E500" s="67">
        <v>6</v>
      </c>
      <c r="F500" s="67" t="s">
        <v>1441</v>
      </c>
      <c r="G500" s="69">
        <v>45160</v>
      </c>
      <c r="H500" s="69" t="s">
        <v>749</v>
      </c>
      <c r="I500" s="69" t="s">
        <v>1222</v>
      </c>
      <c r="J500" s="67" t="s">
        <v>2395</v>
      </c>
      <c r="K500" s="67" t="s">
        <v>791</v>
      </c>
      <c r="L500" s="67" t="s">
        <v>2306</v>
      </c>
    </row>
    <row r="501" spans="1:12" ht="30" customHeight="1">
      <c r="A501" s="179" t="str">
        <f t="shared" si="14"/>
        <v>22/08/20235</v>
      </c>
      <c r="B501" s="172">
        <f t="shared" si="15"/>
        <v>5</v>
      </c>
      <c r="C501" s="67" t="s">
        <v>2304</v>
      </c>
      <c r="D501" s="68" t="s">
        <v>2309</v>
      </c>
      <c r="E501" s="67">
        <v>5</v>
      </c>
      <c r="F501" s="67" t="s">
        <v>29</v>
      </c>
      <c r="G501" s="69">
        <v>45160</v>
      </c>
      <c r="H501" s="69" t="s">
        <v>1086</v>
      </c>
      <c r="I501" s="69" t="s">
        <v>1220</v>
      </c>
      <c r="J501" s="67">
        <f>IFERROR(VLOOKUP(I501,Jueces!$A$1:$B$11,2,FALSE),"")</f>
        <v>1</v>
      </c>
      <c r="K501" s="67" t="s">
        <v>811</v>
      </c>
      <c r="L501" s="67" t="s">
        <v>2126</v>
      </c>
    </row>
    <row r="502" spans="1:12" ht="30" customHeight="1">
      <c r="A502" s="179" t="str">
        <f t="shared" si="14"/>
        <v>23/08/20231</v>
      </c>
      <c r="B502" s="172">
        <f t="shared" si="15"/>
        <v>1</v>
      </c>
      <c r="C502" s="67" t="s">
        <v>2283</v>
      </c>
      <c r="D502" s="68" t="s">
        <v>2414</v>
      </c>
      <c r="E502" s="67">
        <v>4</v>
      </c>
      <c r="F502" s="67" t="s">
        <v>283</v>
      </c>
      <c r="G502" s="69">
        <v>45161</v>
      </c>
      <c r="H502" s="69" t="s">
        <v>73</v>
      </c>
      <c r="I502" s="69" t="s">
        <v>1223</v>
      </c>
      <c r="J502" s="67" t="s">
        <v>1326</v>
      </c>
      <c r="K502" s="67" t="s">
        <v>807</v>
      </c>
      <c r="L502" s="67" t="s">
        <v>2285</v>
      </c>
    </row>
    <row r="503" spans="1:12" ht="30" customHeight="1">
      <c r="A503" s="179" t="str">
        <f t="shared" si="14"/>
        <v>23/08/20232</v>
      </c>
      <c r="B503" s="172">
        <f t="shared" si="15"/>
        <v>2</v>
      </c>
      <c r="C503" s="67" t="s">
        <v>2302</v>
      </c>
      <c r="D503" s="68" t="s">
        <v>2415</v>
      </c>
      <c r="E503" s="67">
        <v>7</v>
      </c>
      <c r="F503" s="67" t="s">
        <v>1443</v>
      </c>
      <c r="G503" s="69">
        <v>45161</v>
      </c>
      <c r="H503" s="69" t="s">
        <v>73</v>
      </c>
      <c r="I503" s="69" t="s">
        <v>1222</v>
      </c>
      <c r="J503" s="67" t="s">
        <v>1346</v>
      </c>
      <c r="K503" s="68" t="s">
        <v>192</v>
      </c>
      <c r="L503" s="67" t="s">
        <v>2126</v>
      </c>
    </row>
    <row r="504" spans="1:12" ht="30" customHeight="1">
      <c r="A504" s="179" t="str">
        <f t="shared" si="14"/>
        <v>23/08/20233</v>
      </c>
      <c r="B504" s="172">
        <f t="shared" si="15"/>
        <v>3</v>
      </c>
      <c r="C504" s="67" t="s">
        <v>2316</v>
      </c>
      <c r="D504" s="68" t="s">
        <v>2416</v>
      </c>
      <c r="E504" s="67">
        <v>5</v>
      </c>
      <c r="F504" s="67" t="s">
        <v>568</v>
      </c>
      <c r="G504" s="69">
        <v>45161</v>
      </c>
      <c r="H504" s="69" t="s">
        <v>73</v>
      </c>
      <c r="I504" s="69" t="s">
        <v>1220</v>
      </c>
      <c r="J504" s="67" t="s">
        <v>1520</v>
      </c>
      <c r="K504" s="67" t="s">
        <v>2432</v>
      </c>
      <c r="L504" s="7" t="s">
        <v>2431</v>
      </c>
    </row>
    <row r="505" spans="1:12" ht="30" customHeight="1">
      <c r="A505" s="179" t="str">
        <f t="shared" si="14"/>
        <v>23/08/20234</v>
      </c>
      <c r="B505" s="172">
        <f t="shared" si="15"/>
        <v>4</v>
      </c>
      <c r="C505" s="67" t="s">
        <v>2323</v>
      </c>
      <c r="D505" s="68" t="s">
        <v>2417</v>
      </c>
      <c r="E505" s="67">
        <v>6</v>
      </c>
      <c r="F505" s="67" t="s">
        <v>43</v>
      </c>
      <c r="G505" s="69">
        <v>45161</v>
      </c>
      <c r="H505" s="69" t="s">
        <v>73</v>
      </c>
      <c r="I505" s="69" t="s">
        <v>1224</v>
      </c>
      <c r="J505" s="67" t="s">
        <v>2395</v>
      </c>
      <c r="K505" s="67" t="s">
        <v>829</v>
      </c>
      <c r="L505" s="7" t="s">
        <v>2220</v>
      </c>
    </row>
    <row r="506" spans="1:12" ht="30" customHeight="1">
      <c r="A506" s="179" t="str">
        <f t="shared" si="14"/>
        <v>23/08/20235</v>
      </c>
      <c r="B506" s="172">
        <f t="shared" si="15"/>
        <v>5</v>
      </c>
      <c r="C506" s="67" t="s">
        <v>2259</v>
      </c>
      <c r="D506" s="68" t="s">
        <v>2418</v>
      </c>
      <c r="E506" s="67">
        <v>5</v>
      </c>
      <c r="F506" s="67" t="s">
        <v>1442</v>
      </c>
      <c r="G506" s="69">
        <v>45161</v>
      </c>
      <c r="H506" s="69" t="s">
        <v>1086</v>
      </c>
      <c r="I506" s="69" t="s">
        <v>31</v>
      </c>
      <c r="J506" s="67" t="s">
        <v>1346</v>
      </c>
      <c r="K506" s="67" t="s">
        <v>813</v>
      </c>
      <c r="L506" s="7" t="s">
        <v>2126</v>
      </c>
    </row>
    <row r="507" spans="1:12" ht="30" customHeight="1">
      <c r="A507" s="179" t="str">
        <f t="shared" si="14"/>
        <v>23/08/20236</v>
      </c>
      <c r="B507" s="172">
        <f t="shared" si="15"/>
        <v>6</v>
      </c>
      <c r="C507" s="67" t="s">
        <v>2361</v>
      </c>
      <c r="D507" s="68" t="s">
        <v>2419</v>
      </c>
      <c r="E507" s="67">
        <v>5</v>
      </c>
      <c r="F507" s="67" t="s">
        <v>32</v>
      </c>
      <c r="G507" s="69">
        <v>45161</v>
      </c>
      <c r="H507" s="69" t="s">
        <v>1086</v>
      </c>
      <c r="I507" s="69" t="s">
        <v>33</v>
      </c>
      <c r="J507" s="67">
        <f>IFERROR(VLOOKUP(I507,Jueces!$A$1:$B$11,2,FALSE),"")</f>
        <v>4</v>
      </c>
      <c r="K507" s="67" t="s">
        <v>801</v>
      </c>
      <c r="L507" s="7" t="s">
        <v>1966</v>
      </c>
    </row>
    <row r="508" spans="1:12" ht="30" customHeight="1">
      <c r="A508" s="179" t="str">
        <f t="shared" si="14"/>
        <v>23/08/20237</v>
      </c>
      <c r="B508" s="172">
        <f t="shared" si="15"/>
        <v>7</v>
      </c>
      <c r="C508" s="67" t="s">
        <v>2307</v>
      </c>
      <c r="D508" s="68" t="s">
        <v>2420</v>
      </c>
      <c r="E508" s="67">
        <v>6</v>
      </c>
      <c r="F508" s="67" t="s">
        <v>29</v>
      </c>
      <c r="G508" s="69">
        <v>45161</v>
      </c>
      <c r="H508" s="69" t="s">
        <v>77</v>
      </c>
      <c r="I508" s="69" t="s">
        <v>31</v>
      </c>
      <c r="J508" s="67" t="s">
        <v>1491</v>
      </c>
      <c r="K508" s="67" t="s">
        <v>811</v>
      </c>
      <c r="L508" s="7" t="s">
        <v>2126</v>
      </c>
    </row>
    <row r="509" spans="1:12" ht="30" customHeight="1">
      <c r="A509" s="179" t="str">
        <f t="shared" si="14"/>
        <v>24/08/20231</v>
      </c>
      <c r="B509" s="172">
        <f t="shared" si="15"/>
        <v>1</v>
      </c>
      <c r="C509" s="67" t="s">
        <v>2284</v>
      </c>
      <c r="D509" s="68" t="s">
        <v>2454</v>
      </c>
      <c r="E509" s="67">
        <v>7</v>
      </c>
      <c r="F509" s="67" t="s">
        <v>1443</v>
      </c>
      <c r="G509" s="69">
        <v>45162</v>
      </c>
      <c r="H509" s="69" t="s">
        <v>73</v>
      </c>
      <c r="I509" s="69" t="s">
        <v>1222</v>
      </c>
      <c r="J509" s="67" t="s">
        <v>1346</v>
      </c>
      <c r="K509" s="67" t="s">
        <v>2095</v>
      </c>
      <c r="L509" s="67" t="s">
        <v>2325</v>
      </c>
    </row>
    <row r="510" spans="1:12" ht="30" customHeight="1">
      <c r="A510" s="179" t="str">
        <f t="shared" si="14"/>
        <v>24/08/20232</v>
      </c>
      <c r="B510" s="172">
        <f t="shared" si="15"/>
        <v>2</v>
      </c>
      <c r="C510" s="67" t="s">
        <v>2301</v>
      </c>
      <c r="D510" s="68" t="s">
        <v>2448</v>
      </c>
      <c r="E510" s="67">
        <v>8</v>
      </c>
      <c r="F510" s="67" t="s">
        <v>43</v>
      </c>
      <c r="G510" s="69">
        <v>45162</v>
      </c>
      <c r="H510" s="69" t="s">
        <v>73</v>
      </c>
      <c r="I510" s="69" t="s">
        <v>33</v>
      </c>
      <c r="J510" s="67">
        <f>IFERROR(VLOOKUP(I510,Jueces!$A$1:$B$11,2,FALSE),"")</f>
        <v>4</v>
      </c>
      <c r="K510" s="67" t="s">
        <v>1070</v>
      </c>
      <c r="L510" s="67" t="s">
        <v>2315</v>
      </c>
    </row>
    <row r="511" spans="1:12" ht="30" customHeight="1">
      <c r="A511" s="179" t="str">
        <f t="shared" si="14"/>
        <v>24/08/20233</v>
      </c>
      <c r="B511" s="172">
        <f t="shared" si="15"/>
        <v>3</v>
      </c>
      <c r="C511" s="67" t="s">
        <v>2317</v>
      </c>
      <c r="D511" s="68" t="s">
        <v>2470</v>
      </c>
      <c r="E511" s="67">
        <v>5</v>
      </c>
      <c r="F511" s="67" t="s">
        <v>29</v>
      </c>
      <c r="G511" s="69">
        <v>45162</v>
      </c>
      <c r="H511" s="69" t="s">
        <v>73</v>
      </c>
      <c r="I511" s="69" t="s">
        <v>78</v>
      </c>
      <c r="J511" s="67">
        <f>IFERROR(VLOOKUP(I511,Jueces!$A$1:$B$11,2,FALSE),"")</f>
        <v>8</v>
      </c>
      <c r="K511" s="67" t="s">
        <v>796</v>
      </c>
      <c r="L511" s="67" t="s">
        <v>2318</v>
      </c>
    </row>
    <row r="512" spans="1:12" ht="30" customHeight="1">
      <c r="A512" s="179" t="str">
        <f t="shared" si="14"/>
        <v>24/08/20234</v>
      </c>
      <c r="B512" s="172">
        <f t="shared" si="15"/>
        <v>4</v>
      </c>
      <c r="C512" s="67" t="s">
        <v>2322</v>
      </c>
      <c r="D512" s="68" t="s">
        <v>2343</v>
      </c>
      <c r="E512" s="67">
        <v>6</v>
      </c>
      <c r="F512" s="67" t="s">
        <v>1442</v>
      </c>
      <c r="G512" s="69">
        <v>45162</v>
      </c>
      <c r="H512" s="69" t="s">
        <v>73</v>
      </c>
      <c r="I512" s="69" t="s">
        <v>1223</v>
      </c>
      <c r="J512" s="67" t="s">
        <v>1926</v>
      </c>
      <c r="K512" s="67" t="s">
        <v>806</v>
      </c>
      <c r="L512" s="67" t="s">
        <v>725</v>
      </c>
    </row>
    <row r="513" spans="1:12" ht="30" customHeight="1">
      <c r="A513" s="179" t="str">
        <f t="shared" si="14"/>
        <v>24/08/20235</v>
      </c>
      <c r="B513" s="172">
        <f t="shared" si="15"/>
        <v>5</v>
      </c>
      <c r="C513" s="67" t="s">
        <v>2327</v>
      </c>
      <c r="D513" s="68" t="s">
        <v>2354</v>
      </c>
      <c r="E513" s="67">
        <v>5</v>
      </c>
      <c r="F513" s="67" t="s">
        <v>1441</v>
      </c>
      <c r="G513" s="69">
        <v>45162</v>
      </c>
      <c r="H513" s="69" t="s">
        <v>73</v>
      </c>
      <c r="I513" s="69" t="s">
        <v>1223</v>
      </c>
      <c r="J513" s="67" t="s">
        <v>1926</v>
      </c>
      <c r="K513" s="67" t="s">
        <v>812</v>
      </c>
      <c r="L513" s="67" t="s">
        <v>1966</v>
      </c>
    </row>
    <row r="514" spans="1:12" ht="30" customHeight="1">
      <c r="A514" s="179" t="str">
        <f t="shared" si="14"/>
        <v>24/08/20236</v>
      </c>
      <c r="B514" s="172">
        <f t="shared" si="15"/>
        <v>6</v>
      </c>
      <c r="C514" s="67" t="s">
        <v>2351</v>
      </c>
      <c r="D514" s="68" t="s">
        <v>2352</v>
      </c>
      <c r="E514" s="67">
        <v>6</v>
      </c>
      <c r="F514" s="67" t="s">
        <v>568</v>
      </c>
      <c r="G514" s="69">
        <v>45162</v>
      </c>
      <c r="H514" s="69" t="s">
        <v>73</v>
      </c>
      <c r="I514" s="69" t="s">
        <v>1220</v>
      </c>
      <c r="J514" s="67" t="s">
        <v>1520</v>
      </c>
      <c r="K514" s="67" t="s">
        <v>829</v>
      </c>
      <c r="L514" s="67" t="s">
        <v>2126</v>
      </c>
    </row>
    <row r="515" spans="1:12" ht="30" customHeight="1">
      <c r="A515" s="179" t="str">
        <f t="shared" ref="A515:A578" si="16">CONCATENATE(TEXT($G515,"dd/mm/yyyy"),$B515)</f>
        <v>24/08/20237</v>
      </c>
      <c r="B515" s="172">
        <f t="shared" si="15"/>
        <v>7</v>
      </c>
      <c r="C515" s="67" t="s">
        <v>2349</v>
      </c>
      <c r="D515" s="68" t="s">
        <v>2360</v>
      </c>
      <c r="E515" s="67">
        <v>5</v>
      </c>
      <c r="F515" s="67" t="s">
        <v>283</v>
      </c>
      <c r="G515" s="69">
        <v>45162</v>
      </c>
      <c r="H515" s="69" t="s">
        <v>1086</v>
      </c>
      <c r="I515" s="69" t="s">
        <v>1224</v>
      </c>
      <c r="J515" s="67" t="s">
        <v>1520</v>
      </c>
      <c r="K515" s="67" t="s">
        <v>2091</v>
      </c>
      <c r="L515" s="67" t="s">
        <v>2126</v>
      </c>
    </row>
    <row r="516" spans="1:12" ht="30" customHeight="1">
      <c r="A516" s="179" t="str">
        <f t="shared" si="16"/>
        <v>25/08/20231</v>
      </c>
      <c r="B516" s="172">
        <f t="shared" ref="B516:B579" si="17">IF($G516=$G515,$B515+1,1)</f>
        <v>1</v>
      </c>
      <c r="C516" s="67" t="s">
        <v>2303</v>
      </c>
      <c r="D516" s="68" t="s">
        <v>2398</v>
      </c>
      <c r="E516" s="67">
        <v>6</v>
      </c>
      <c r="F516" s="67" t="s">
        <v>1443</v>
      </c>
      <c r="G516" s="69">
        <v>45163</v>
      </c>
      <c r="H516" s="69" t="s">
        <v>73</v>
      </c>
      <c r="I516" s="69" t="s">
        <v>1223</v>
      </c>
      <c r="J516" s="67" t="s">
        <v>1926</v>
      </c>
      <c r="K516" s="67" t="s">
        <v>1070</v>
      </c>
      <c r="L516" s="67" t="s">
        <v>1416</v>
      </c>
    </row>
    <row r="517" spans="1:12" ht="30" customHeight="1">
      <c r="A517" s="179" t="str">
        <f t="shared" si="16"/>
        <v>25/08/20232</v>
      </c>
      <c r="B517" s="172">
        <f t="shared" si="17"/>
        <v>2</v>
      </c>
      <c r="C517" s="67" t="s">
        <v>2357</v>
      </c>
      <c r="D517" s="68" t="s">
        <v>2473</v>
      </c>
      <c r="E517" s="67">
        <v>6</v>
      </c>
      <c r="F517" s="67" t="s">
        <v>568</v>
      </c>
      <c r="G517" s="69">
        <v>45163</v>
      </c>
      <c r="H517" s="69" t="s">
        <v>73</v>
      </c>
      <c r="I517" s="69" t="s">
        <v>1220</v>
      </c>
      <c r="J517" s="67" t="s">
        <v>1520</v>
      </c>
      <c r="K517" s="67" t="s">
        <v>812</v>
      </c>
      <c r="L517" s="67" t="s">
        <v>725</v>
      </c>
    </row>
    <row r="518" spans="1:12" ht="30" customHeight="1">
      <c r="A518" s="179" t="str">
        <f t="shared" si="16"/>
        <v>25/08/20233</v>
      </c>
      <c r="B518" s="172">
        <f t="shared" si="17"/>
        <v>3</v>
      </c>
      <c r="C518" s="67" t="s">
        <v>2369</v>
      </c>
      <c r="D518" s="68" t="s">
        <v>2474</v>
      </c>
      <c r="E518" s="67">
        <v>6</v>
      </c>
      <c r="F518" s="67" t="s">
        <v>43</v>
      </c>
      <c r="G518" s="69">
        <v>45163</v>
      </c>
      <c r="H518" s="69" t="s">
        <v>73</v>
      </c>
      <c r="I518" s="69" t="s">
        <v>1222</v>
      </c>
      <c r="J518" s="67" t="s">
        <v>1346</v>
      </c>
      <c r="K518" s="67" t="s">
        <v>798</v>
      </c>
      <c r="L518" s="67" t="s">
        <v>2126</v>
      </c>
    </row>
    <row r="519" spans="1:12" ht="30" customHeight="1">
      <c r="A519" s="179" t="str">
        <f t="shared" si="16"/>
        <v>25/08/20234</v>
      </c>
      <c r="B519" s="172">
        <f t="shared" si="17"/>
        <v>4</v>
      </c>
      <c r="C519" s="67" t="s">
        <v>2397</v>
      </c>
      <c r="D519" s="68" t="s">
        <v>2475</v>
      </c>
      <c r="E519" s="67">
        <v>6</v>
      </c>
      <c r="F519" s="67" t="s">
        <v>32</v>
      </c>
      <c r="G519" s="69">
        <v>45163</v>
      </c>
      <c r="H519" s="69" t="s">
        <v>73</v>
      </c>
      <c r="I519" s="69" t="s">
        <v>78</v>
      </c>
      <c r="J519" s="67" t="s">
        <v>1491</v>
      </c>
      <c r="K519" s="67" t="s">
        <v>811</v>
      </c>
      <c r="L519" s="67" t="s">
        <v>2220</v>
      </c>
    </row>
    <row r="520" spans="1:12" ht="30" customHeight="1">
      <c r="A520" s="179" t="str">
        <f t="shared" si="16"/>
        <v>25/08/20235</v>
      </c>
      <c r="B520" s="172">
        <f t="shared" si="17"/>
        <v>5</v>
      </c>
      <c r="C520" s="67" t="s">
        <v>2367</v>
      </c>
      <c r="D520" s="68" t="s">
        <v>2476</v>
      </c>
      <c r="E520" s="67">
        <v>4</v>
      </c>
      <c r="F520" s="67" t="s">
        <v>29</v>
      </c>
      <c r="G520" s="69">
        <v>45163</v>
      </c>
      <c r="H520" s="69" t="s">
        <v>1086</v>
      </c>
      <c r="I520" s="69" t="s">
        <v>1224</v>
      </c>
      <c r="J520" s="67" t="s">
        <v>1326</v>
      </c>
      <c r="K520" s="67" t="s">
        <v>796</v>
      </c>
      <c r="L520" s="67" t="s">
        <v>2371</v>
      </c>
    </row>
    <row r="521" spans="1:12" ht="30" customHeight="1">
      <c r="A521" s="179" t="str">
        <f t="shared" si="16"/>
        <v>25/08/20236</v>
      </c>
      <c r="B521" s="172">
        <f t="shared" si="17"/>
        <v>6</v>
      </c>
      <c r="C521" s="67" t="s">
        <v>2370</v>
      </c>
      <c r="D521" s="68" t="s">
        <v>2477</v>
      </c>
      <c r="E521" s="67">
        <v>5</v>
      </c>
      <c r="F521" s="67" t="s">
        <v>1442</v>
      </c>
      <c r="G521" s="69">
        <v>45163</v>
      </c>
      <c r="H521" s="69" t="s">
        <v>1086</v>
      </c>
      <c r="I521" s="69" t="s">
        <v>33</v>
      </c>
      <c r="J521" s="67" t="s">
        <v>1520</v>
      </c>
      <c r="K521" s="67" t="s">
        <v>798</v>
      </c>
      <c r="L521" s="67" t="s">
        <v>1966</v>
      </c>
    </row>
    <row r="522" spans="1:12" ht="30" customHeight="1">
      <c r="A522" s="179" t="str">
        <f t="shared" si="16"/>
        <v>29/08/20231</v>
      </c>
      <c r="B522" s="172">
        <f t="shared" si="17"/>
        <v>1</v>
      </c>
      <c r="C522" s="67" t="s">
        <v>2300</v>
      </c>
      <c r="D522" s="68" t="s">
        <v>2502</v>
      </c>
      <c r="E522" s="67">
        <v>7</v>
      </c>
      <c r="F522" s="67" t="s">
        <v>32</v>
      </c>
      <c r="G522" s="69">
        <v>45167</v>
      </c>
      <c r="H522" s="69" t="s">
        <v>73</v>
      </c>
      <c r="I522" s="69" t="s">
        <v>1224</v>
      </c>
      <c r="J522" s="67" t="s">
        <v>1326</v>
      </c>
      <c r="K522" s="67" t="s">
        <v>796</v>
      </c>
      <c r="L522" s="67"/>
    </row>
    <row r="523" spans="1:12" ht="30" customHeight="1">
      <c r="A523" s="179" t="str">
        <f t="shared" si="16"/>
        <v>29/08/20232</v>
      </c>
      <c r="B523" s="172">
        <f t="shared" si="17"/>
        <v>2</v>
      </c>
      <c r="C523" s="67" t="s">
        <v>2328</v>
      </c>
      <c r="D523" s="68" t="s">
        <v>2505</v>
      </c>
      <c r="E523" s="67">
        <v>6</v>
      </c>
      <c r="F523" s="67" t="s">
        <v>43</v>
      </c>
      <c r="G523" s="69">
        <v>45167</v>
      </c>
      <c r="H523" s="69" t="s">
        <v>73</v>
      </c>
      <c r="I523" s="69" t="s">
        <v>31</v>
      </c>
      <c r="J523" s="67">
        <f>IFERROR(VLOOKUP(I523,Jueces!$A$1:$B$11,2,FALSE),"")</f>
        <v>2</v>
      </c>
      <c r="K523" s="67" t="s">
        <v>812</v>
      </c>
      <c r="L523" s="67" t="s">
        <v>2220</v>
      </c>
    </row>
    <row r="524" spans="1:12" ht="30" customHeight="1">
      <c r="A524" s="179" t="str">
        <f t="shared" si="16"/>
        <v>29/08/20233</v>
      </c>
      <c r="B524" s="172">
        <f t="shared" si="17"/>
        <v>3</v>
      </c>
      <c r="C524" s="67" t="s">
        <v>2348</v>
      </c>
      <c r="D524" s="68" t="s">
        <v>2504</v>
      </c>
      <c r="E524" s="67">
        <v>5</v>
      </c>
      <c r="F524" s="67" t="s">
        <v>29</v>
      </c>
      <c r="G524" s="69">
        <v>45167</v>
      </c>
      <c r="H524" s="69" t="s">
        <v>73</v>
      </c>
      <c r="I524" s="69" t="s">
        <v>1223</v>
      </c>
      <c r="J524" s="67" t="s">
        <v>1346</v>
      </c>
      <c r="K524" s="67" t="s">
        <v>569</v>
      </c>
      <c r="L524" s="67"/>
    </row>
    <row r="525" spans="1:12" ht="30" customHeight="1">
      <c r="A525" s="179" t="str">
        <f t="shared" si="16"/>
        <v>29/08/20234</v>
      </c>
      <c r="B525" s="172">
        <f t="shared" si="17"/>
        <v>4</v>
      </c>
      <c r="C525" s="67" t="s">
        <v>2353</v>
      </c>
      <c r="D525" s="68" t="s">
        <v>2503</v>
      </c>
      <c r="E525" s="67">
        <v>5</v>
      </c>
      <c r="F525" s="67" t="s">
        <v>1441</v>
      </c>
      <c r="G525" s="69">
        <v>45167</v>
      </c>
      <c r="H525" s="69" t="s">
        <v>73</v>
      </c>
      <c r="I525" s="69" t="s">
        <v>1222</v>
      </c>
      <c r="J525" s="67" t="s">
        <v>1926</v>
      </c>
      <c r="K525" s="67" t="s">
        <v>791</v>
      </c>
      <c r="L525" s="67" t="s">
        <v>2126</v>
      </c>
    </row>
    <row r="526" spans="1:12" ht="30" customHeight="1">
      <c r="A526" s="179" t="str">
        <f t="shared" si="16"/>
        <v>29/08/20235</v>
      </c>
      <c r="B526" s="172">
        <f t="shared" si="17"/>
        <v>5</v>
      </c>
      <c r="C526" s="67" t="s">
        <v>2404</v>
      </c>
      <c r="D526" s="68" t="s">
        <v>2506</v>
      </c>
      <c r="E526" s="67">
        <v>6</v>
      </c>
      <c r="F526" s="67" t="s">
        <v>568</v>
      </c>
      <c r="G526" s="69">
        <v>45167</v>
      </c>
      <c r="H526" s="69" t="s">
        <v>73</v>
      </c>
      <c r="I526" s="69" t="s">
        <v>78</v>
      </c>
      <c r="J526" s="67">
        <f>IFERROR(VLOOKUP(I526,Jueces!$A$1:$B$11,2,FALSE),"")</f>
        <v>8</v>
      </c>
      <c r="K526" s="67" t="s">
        <v>811</v>
      </c>
      <c r="L526" s="67" t="s">
        <v>725</v>
      </c>
    </row>
    <row r="527" spans="1:12" ht="30" customHeight="1">
      <c r="A527" s="179" t="str">
        <f t="shared" si="16"/>
        <v>29/08/20236</v>
      </c>
      <c r="B527" s="172">
        <f t="shared" si="17"/>
        <v>6</v>
      </c>
      <c r="C527" s="67" t="s">
        <v>2402</v>
      </c>
      <c r="D527" s="68" t="s">
        <v>2508</v>
      </c>
      <c r="E527" s="67">
        <v>6</v>
      </c>
      <c r="F527" s="67" t="s">
        <v>283</v>
      </c>
      <c r="G527" s="69">
        <v>45167</v>
      </c>
      <c r="H527" s="69" t="s">
        <v>1086</v>
      </c>
      <c r="I527" s="69" t="s">
        <v>1223</v>
      </c>
      <c r="J527" s="67" t="s">
        <v>2424</v>
      </c>
      <c r="K527" s="67" t="s">
        <v>798</v>
      </c>
      <c r="L527" s="67" t="s">
        <v>2126</v>
      </c>
    </row>
    <row r="528" spans="1:12" ht="30" customHeight="1">
      <c r="A528" s="179" t="str">
        <f t="shared" si="16"/>
        <v>30/08/20231</v>
      </c>
      <c r="B528" s="172">
        <f t="shared" si="17"/>
        <v>1</v>
      </c>
      <c r="C528" s="67" t="s">
        <v>2358</v>
      </c>
      <c r="D528" s="68" t="s">
        <v>2359</v>
      </c>
      <c r="E528" s="67">
        <v>6</v>
      </c>
      <c r="F528" s="67" t="s">
        <v>32</v>
      </c>
      <c r="G528" s="69">
        <v>45168</v>
      </c>
      <c r="H528" s="69" t="s">
        <v>73</v>
      </c>
      <c r="I528" s="69" t="s">
        <v>78</v>
      </c>
      <c r="J528" s="67">
        <v>1</v>
      </c>
      <c r="K528" s="67" t="s">
        <v>813</v>
      </c>
      <c r="L528" s="67" t="s">
        <v>725</v>
      </c>
    </row>
    <row r="529" spans="1:12" ht="30" customHeight="1">
      <c r="A529" s="179" t="str">
        <f t="shared" si="16"/>
        <v>30/08/20232</v>
      </c>
      <c r="B529" s="172">
        <f t="shared" si="17"/>
        <v>2</v>
      </c>
      <c r="C529" s="67" t="s">
        <v>2396</v>
      </c>
      <c r="D529" s="68" t="s">
        <v>2471</v>
      </c>
      <c r="E529" s="67">
        <v>6</v>
      </c>
      <c r="F529" s="67" t="s">
        <v>1442</v>
      </c>
      <c r="G529" s="69">
        <v>45168</v>
      </c>
      <c r="H529" s="69" t="s">
        <v>73</v>
      </c>
      <c r="I529" s="69" t="s">
        <v>33</v>
      </c>
      <c r="J529" s="67">
        <f>IFERROR(VLOOKUP(I529,Jueces!$A$1:$B$11,2,FALSE),"")</f>
        <v>4</v>
      </c>
      <c r="K529" s="67" t="s">
        <v>791</v>
      </c>
      <c r="L529" s="67" t="s">
        <v>2220</v>
      </c>
    </row>
    <row r="530" spans="1:12" ht="30" customHeight="1">
      <c r="A530" s="179" t="str">
        <f t="shared" si="16"/>
        <v>30/08/20233</v>
      </c>
      <c r="B530" s="172">
        <f t="shared" si="17"/>
        <v>3</v>
      </c>
      <c r="C530" s="67" t="s">
        <v>2190</v>
      </c>
      <c r="D530" s="68" t="s">
        <v>2191</v>
      </c>
      <c r="E530" s="67">
        <v>5</v>
      </c>
      <c r="F530" s="67" t="s">
        <v>1443</v>
      </c>
      <c r="G530" s="69">
        <v>45168</v>
      </c>
      <c r="H530" s="69" t="s">
        <v>1086</v>
      </c>
      <c r="I530" s="69" t="s">
        <v>1224</v>
      </c>
      <c r="J530" s="67" t="s">
        <v>1926</v>
      </c>
      <c r="K530" s="67" t="s">
        <v>796</v>
      </c>
      <c r="L530" s="67" t="s">
        <v>2208</v>
      </c>
    </row>
    <row r="531" spans="1:12" ht="30" customHeight="1">
      <c r="A531" s="179" t="str">
        <f t="shared" si="16"/>
        <v>30/08/20234</v>
      </c>
      <c r="B531" s="172">
        <f t="shared" si="17"/>
        <v>4</v>
      </c>
      <c r="C531" s="67" t="s">
        <v>2425</v>
      </c>
      <c r="D531" s="68" t="s">
        <v>2488</v>
      </c>
      <c r="E531" s="67">
        <v>7</v>
      </c>
      <c r="F531" s="67" t="s">
        <v>43</v>
      </c>
      <c r="G531" s="69">
        <v>45168</v>
      </c>
      <c r="H531" s="69" t="s">
        <v>1086</v>
      </c>
      <c r="I531" s="69" t="s">
        <v>35</v>
      </c>
      <c r="J531" s="67" t="s">
        <v>1520</v>
      </c>
      <c r="K531" s="67" t="s">
        <v>813</v>
      </c>
      <c r="L531" s="67" t="s">
        <v>723</v>
      </c>
    </row>
    <row r="532" spans="1:12" ht="30" customHeight="1">
      <c r="A532" s="179" t="str">
        <f t="shared" si="16"/>
        <v>30/08/20235</v>
      </c>
      <c r="B532" s="172">
        <f t="shared" si="17"/>
        <v>5</v>
      </c>
      <c r="C532" s="67" t="s">
        <v>2426</v>
      </c>
      <c r="D532" s="68" t="s">
        <v>2461</v>
      </c>
      <c r="E532" s="67">
        <v>7</v>
      </c>
      <c r="F532" s="67" t="s">
        <v>1441</v>
      </c>
      <c r="G532" s="69">
        <v>45168</v>
      </c>
      <c r="H532" s="69" t="s">
        <v>1086</v>
      </c>
      <c r="I532" s="69" t="s">
        <v>1220</v>
      </c>
      <c r="J532" s="67">
        <f>IFERROR(VLOOKUP(I532,Jueces!$A$1:$B$11,2,FALSE),"")</f>
        <v>1</v>
      </c>
      <c r="K532" s="67" t="s">
        <v>802</v>
      </c>
      <c r="L532" s="67" t="s">
        <v>725</v>
      </c>
    </row>
    <row r="533" spans="1:12" ht="30" customHeight="1">
      <c r="A533" s="179" t="str">
        <f t="shared" si="16"/>
        <v>31/08/20231</v>
      </c>
      <c r="B533" s="172">
        <f t="shared" si="17"/>
        <v>1</v>
      </c>
      <c r="C533" s="67" t="s">
        <v>2401</v>
      </c>
      <c r="D533" s="68" t="s">
        <v>2543</v>
      </c>
      <c r="E533" s="67">
        <v>6</v>
      </c>
      <c r="F533" s="67" t="s">
        <v>283</v>
      </c>
      <c r="G533" s="69">
        <v>45169</v>
      </c>
      <c r="H533" s="69" t="s">
        <v>73</v>
      </c>
      <c r="I533" s="69" t="s">
        <v>31</v>
      </c>
      <c r="J533" s="67" t="s">
        <v>1346</v>
      </c>
      <c r="K533" s="67" t="s">
        <v>810</v>
      </c>
      <c r="L533" s="67" t="s">
        <v>725</v>
      </c>
    </row>
    <row r="534" spans="1:12" ht="30" customHeight="1">
      <c r="A534" s="179" t="str">
        <f t="shared" si="16"/>
        <v>31/08/20232</v>
      </c>
      <c r="B534" s="172">
        <f t="shared" si="17"/>
        <v>2</v>
      </c>
      <c r="C534" s="67" t="s">
        <v>2449</v>
      </c>
      <c r="D534" s="68" t="s">
        <v>2544</v>
      </c>
      <c r="E534" s="67">
        <v>7</v>
      </c>
      <c r="F534" s="67" t="s">
        <v>1442</v>
      </c>
      <c r="G534" s="69">
        <v>45169</v>
      </c>
      <c r="H534" s="69" t="s">
        <v>73</v>
      </c>
      <c r="I534" s="69" t="s">
        <v>35</v>
      </c>
      <c r="J534" s="67" t="s">
        <v>1520</v>
      </c>
      <c r="K534" s="67" t="s">
        <v>2089</v>
      </c>
      <c r="L534" s="67" t="s">
        <v>783</v>
      </c>
    </row>
    <row r="535" spans="1:12" ht="30" customHeight="1">
      <c r="A535" s="179" t="str">
        <f t="shared" si="16"/>
        <v>31/08/20233</v>
      </c>
      <c r="B535" s="172">
        <f t="shared" si="17"/>
        <v>3</v>
      </c>
      <c r="C535" s="67" t="s">
        <v>2464</v>
      </c>
      <c r="D535" s="68" t="s">
        <v>2545</v>
      </c>
      <c r="E535" s="67">
        <v>7</v>
      </c>
      <c r="F535" s="67" t="s">
        <v>43</v>
      </c>
      <c r="G535" s="69">
        <v>45169</v>
      </c>
      <c r="H535" s="69" t="s">
        <v>73</v>
      </c>
      <c r="I535" s="69" t="s">
        <v>78</v>
      </c>
      <c r="J535" s="67">
        <f>IFERROR(VLOOKUP(I535,Jueces!$A$1:$B$11,2,FALSE),"")</f>
        <v>8</v>
      </c>
      <c r="K535" s="67" t="s">
        <v>811</v>
      </c>
      <c r="L535" s="67" t="s">
        <v>723</v>
      </c>
    </row>
    <row r="536" spans="1:12" ht="30" customHeight="1">
      <c r="A536" s="179" t="str">
        <f t="shared" si="16"/>
        <v>31/08/20234</v>
      </c>
      <c r="B536" s="172">
        <f t="shared" si="17"/>
        <v>4</v>
      </c>
      <c r="C536" s="67" t="s">
        <v>2438</v>
      </c>
      <c r="D536" s="68" t="s">
        <v>2546</v>
      </c>
      <c r="E536" s="67">
        <v>7</v>
      </c>
      <c r="F536" s="67" t="s">
        <v>1441</v>
      </c>
      <c r="G536" s="69">
        <v>45169</v>
      </c>
      <c r="H536" s="69" t="s">
        <v>1086</v>
      </c>
      <c r="I536" s="69" t="s">
        <v>1225</v>
      </c>
      <c r="J536" s="67">
        <f>IFERROR(VLOOKUP(I536,Jueces!$A$1:$B$11,2,FALSE),"")</f>
        <v>6</v>
      </c>
      <c r="K536" s="67" t="s">
        <v>812</v>
      </c>
      <c r="L536" s="67" t="s">
        <v>725</v>
      </c>
    </row>
    <row r="537" spans="1:12" ht="30" customHeight="1">
      <c r="A537" s="179" t="str">
        <f t="shared" si="16"/>
        <v>31/08/20235</v>
      </c>
      <c r="B537" s="172">
        <f t="shared" si="17"/>
        <v>5</v>
      </c>
      <c r="C537" s="67" t="s">
        <v>2452</v>
      </c>
      <c r="D537" s="68" t="s">
        <v>2547</v>
      </c>
      <c r="E537" s="67">
        <v>6</v>
      </c>
      <c r="F537" s="67" t="s">
        <v>32</v>
      </c>
      <c r="G537" s="69">
        <v>45169</v>
      </c>
      <c r="H537" s="69" t="s">
        <v>1086</v>
      </c>
      <c r="I537" s="69" t="s">
        <v>1224</v>
      </c>
      <c r="J537" s="67" t="s">
        <v>2344</v>
      </c>
      <c r="K537" s="67" t="s">
        <v>789</v>
      </c>
      <c r="L537" s="67" t="s">
        <v>725</v>
      </c>
    </row>
    <row r="538" spans="1:12" ht="30" customHeight="1">
      <c r="A538" s="179" t="str">
        <f t="shared" si="16"/>
        <v>31/08/20236</v>
      </c>
      <c r="B538" s="172">
        <f t="shared" si="17"/>
        <v>6</v>
      </c>
      <c r="C538" s="67" t="s">
        <v>2465</v>
      </c>
      <c r="D538" s="68" t="s">
        <v>2548</v>
      </c>
      <c r="E538" s="67">
        <v>7</v>
      </c>
      <c r="F538" s="67" t="s">
        <v>29</v>
      </c>
      <c r="G538" s="69">
        <v>45169</v>
      </c>
      <c r="H538" s="69" t="s">
        <v>1086</v>
      </c>
      <c r="I538" s="69" t="s">
        <v>1222</v>
      </c>
      <c r="J538" s="67" t="s">
        <v>1926</v>
      </c>
      <c r="K538" s="67" t="s">
        <v>809</v>
      </c>
      <c r="L538" s="67" t="s">
        <v>723</v>
      </c>
    </row>
    <row r="539" spans="1:12" ht="30" customHeight="1">
      <c r="A539" s="179" t="str">
        <f t="shared" si="16"/>
        <v>31/08/20237</v>
      </c>
      <c r="B539" s="172">
        <f t="shared" si="17"/>
        <v>7</v>
      </c>
      <c r="C539" s="67" t="s">
        <v>2467</v>
      </c>
      <c r="D539" s="68" t="s">
        <v>2549</v>
      </c>
      <c r="E539" s="67">
        <v>7</v>
      </c>
      <c r="F539" s="67" t="s">
        <v>568</v>
      </c>
      <c r="G539" s="69">
        <v>45169</v>
      </c>
      <c r="H539" s="69" t="s">
        <v>989</v>
      </c>
      <c r="I539" s="69" t="s">
        <v>31</v>
      </c>
      <c r="J539" s="67" t="s">
        <v>1926</v>
      </c>
      <c r="K539" s="67" t="s">
        <v>811</v>
      </c>
      <c r="L539" s="67" t="s">
        <v>725</v>
      </c>
    </row>
    <row r="540" spans="1:12" ht="30" customHeight="1">
      <c r="A540" s="179" t="str">
        <f t="shared" si="16"/>
        <v>01/09/20231</v>
      </c>
      <c r="B540" s="172">
        <f t="shared" si="17"/>
        <v>1</v>
      </c>
      <c r="C540" s="67" t="s">
        <v>2403</v>
      </c>
      <c r="D540" s="68" t="s">
        <v>2462</v>
      </c>
      <c r="E540" s="67">
        <v>7</v>
      </c>
      <c r="F540" s="67" t="s">
        <v>1441</v>
      </c>
      <c r="G540" s="69">
        <v>45170</v>
      </c>
      <c r="H540" s="69" t="s">
        <v>73</v>
      </c>
      <c r="I540" s="69" t="s">
        <v>31</v>
      </c>
      <c r="J540" s="67">
        <f>IFERROR(VLOOKUP(I540,Jueces!$A$1:$B$11,2,FALSE),"")</f>
        <v>2</v>
      </c>
      <c r="K540" s="67" t="s">
        <v>812</v>
      </c>
      <c r="L540" s="67" t="s">
        <v>2569</v>
      </c>
    </row>
    <row r="541" spans="1:12" ht="30" customHeight="1">
      <c r="A541" s="179" t="str">
        <f t="shared" si="16"/>
        <v>01/09/20232</v>
      </c>
      <c r="B541" s="172">
        <f t="shared" si="17"/>
        <v>2</v>
      </c>
      <c r="C541" s="67" t="s">
        <v>2490</v>
      </c>
      <c r="D541" s="68" t="s">
        <v>2491</v>
      </c>
      <c r="E541" s="67">
        <v>6</v>
      </c>
      <c r="F541" s="67" t="s">
        <v>1443</v>
      </c>
      <c r="G541" s="69">
        <v>45170</v>
      </c>
      <c r="H541" s="69" t="s">
        <v>73</v>
      </c>
      <c r="I541" s="69" t="s">
        <v>1221</v>
      </c>
      <c r="J541" s="67" t="s">
        <v>1346</v>
      </c>
      <c r="K541" s="67" t="s">
        <v>806</v>
      </c>
      <c r="L541" s="67" t="s">
        <v>2220</v>
      </c>
    </row>
    <row r="542" spans="1:12" ht="30" customHeight="1">
      <c r="A542" s="179" t="str">
        <f t="shared" si="16"/>
        <v>01/09/20233</v>
      </c>
      <c r="B542" s="172">
        <f t="shared" si="17"/>
        <v>3</v>
      </c>
      <c r="C542" s="67" t="s">
        <v>2493</v>
      </c>
      <c r="D542" s="68" t="s">
        <v>2494</v>
      </c>
      <c r="E542" s="67">
        <v>6</v>
      </c>
      <c r="F542" s="67" t="s">
        <v>568</v>
      </c>
      <c r="G542" s="69">
        <v>45170</v>
      </c>
      <c r="H542" s="69" t="s">
        <v>73</v>
      </c>
      <c r="I542" s="69" t="s">
        <v>35</v>
      </c>
      <c r="J542" s="67">
        <f>IFERROR(VLOOKUP(I542,Jueces!$A$1:$B$11,2,FALSE),"")</f>
        <v>3</v>
      </c>
      <c r="K542" s="67" t="s">
        <v>798</v>
      </c>
      <c r="L542" s="67" t="s">
        <v>696</v>
      </c>
    </row>
    <row r="543" spans="1:12" ht="30" customHeight="1">
      <c r="A543" s="179" t="str">
        <f t="shared" si="16"/>
        <v>01/09/20234</v>
      </c>
      <c r="B543" s="172">
        <f t="shared" si="17"/>
        <v>4</v>
      </c>
      <c r="C543" s="67" t="s">
        <v>2442</v>
      </c>
      <c r="D543" s="68" t="s">
        <v>2460</v>
      </c>
      <c r="E543" s="67">
        <v>7</v>
      </c>
      <c r="F543" s="67" t="s">
        <v>283</v>
      </c>
      <c r="G543" s="69">
        <v>45170</v>
      </c>
      <c r="H543" s="69" t="s">
        <v>749</v>
      </c>
      <c r="I543" s="69" t="s">
        <v>1225</v>
      </c>
      <c r="J543" s="67">
        <f>IFERROR(VLOOKUP(I543,Jueces!$A$1:$B$11,2,FALSE),"")</f>
        <v>6</v>
      </c>
      <c r="K543" s="67" t="s">
        <v>802</v>
      </c>
      <c r="L543" s="67" t="s">
        <v>723</v>
      </c>
    </row>
    <row r="544" spans="1:12" ht="30" customHeight="1">
      <c r="A544" s="179" t="str">
        <f t="shared" si="16"/>
        <v>01/09/20235</v>
      </c>
      <c r="B544" s="172">
        <f t="shared" si="17"/>
        <v>5</v>
      </c>
      <c r="C544" s="67" t="s">
        <v>2405</v>
      </c>
      <c r="D544" s="68" t="s">
        <v>2459</v>
      </c>
      <c r="E544" s="67">
        <v>7</v>
      </c>
      <c r="F544" s="67" t="s">
        <v>43</v>
      </c>
      <c r="G544" s="69">
        <v>45170</v>
      </c>
      <c r="H544" s="69" t="s">
        <v>1086</v>
      </c>
      <c r="I544" s="69" t="s">
        <v>1222</v>
      </c>
      <c r="J544" s="67" t="s">
        <v>1520</v>
      </c>
      <c r="K544" s="67" t="s">
        <v>791</v>
      </c>
      <c r="L544" s="67" t="s">
        <v>2569</v>
      </c>
    </row>
    <row r="545" spans="1:12" ht="30" customHeight="1">
      <c r="A545" s="179" t="str">
        <f t="shared" si="16"/>
        <v>01/09/20236</v>
      </c>
      <c r="B545" s="172">
        <f t="shared" si="17"/>
        <v>6</v>
      </c>
      <c r="C545" s="67" t="s">
        <v>2446</v>
      </c>
      <c r="D545" s="68" t="s">
        <v>2487</v>
      </c>
      <c r="E545" s="67">
        <v>7</v>
      </c>
      <c r="F545" s="67" t="s">
        <v>1442</v>
      </c>
      <c r="G545" s="69">
        <v>45170</v>
      </c>
      <c r="H545" s="69" t="s">
        <v>1086</v>
      </c>
      <c r="I545" s="69" t="s">
        <v>1224</v>
      </c>
      <c r="J545" s="67" t="s">
        <v>1926</v>
      </c>
      <c r="K545" s="67" t="s">
        <v>809</v>
      </c>
      <c r="L545" s="67" t="s">
        <v>723</v>
      </c>
    </row>
    <row r="546" spans="1:12" ht="30" customHeight="1">
      <c r="A546" s="179" t="str">
        <f t="shared" si="16"/>
        <v>01/09/20237</v>
      </c>
      <c r="B546" s="172">
        <f t="shared" si="17"/>
        <v>7</v>
      </c>
      <c r="C546" s="67" t="s">
        <v>2500</v>
      </c>
      <c r="D546" s="68" t="s">
        <v>2501</v>
      </c>
      <c r="E546" s="67">
        <v>5</v>
      </c>
      <c r="F546" s="67" t="s">
        <v>32</v>
      </c>
      <c r="G546" s="69">
        <v>45170</v>
      </c>
      <c r="H546" s="69" t="s">
        <v>1086</v>
      </c>
      <c r="I546" s="69" t="s">
        <v>35</v>
      </c>
      <c r="J546" s="67">
        <v>4</v>
      </c>
      <c r="K546" s="67" t="s">
        <v>830</v>
      </c>
      <c r="L546" s="67" t="s">
        <v>1876</v>
      </c>
    </row>
    <row r="547" spans="1:12" ht="30" customHeight="1">
      <c r="A547" s="179" t="str">
        <f t="shared" si="16"/>
        <v>04/09/20231</v>
      </c>
      <c r="B547" s="172">
        <f t="shared" si="17"/>
        <v>1</v>
      </c>
      <c r="C547" s="67" t="s">
        <v>2468</v>
      </c>
      <c r="D547" s="68" t="s">
        <v>2619</v>
      </c>
      <c r="E547" s="67">
        <v>7</v>
      </c>
      <c r="F547" s="67" t="s">
        <v>568</v>
      </c>
      <c r="G547" s="69">
        <v>45173</v>
      </c>
      <c r="H547" s="69" t="s">
        <v>73</v>
      </c>
      <c r="I547" s="69" t="s">
        <v>35</v>
      </c>
      <c r="J547" s="67">
        <f>IFERROR(VLOOKUP(I547,Jueces!$A$1:$B$11,2,FALSE),"")</f>
        <v>3</v>
      </c>
      <c r="K547" s="67" t="s">
        <v>809</v>
      </c>
      <c r="L547" s="67" t="s">
        <v>723</v>
      </c>
    </row>
    <row r="548" spans="1:12" ht="30" customHeight="1">
      <c r="A548" s="179" t="str">
        <f t="shared" si="16"/>
        <v>04/09/20232</v>
      </c>
      <c r="B548" s="172">
        <f t="shared" si="17"/>
        <v>2</v>
      </c>
      <c r="C548" s="67" t="s">
        <v>2511</v>
      </c>
      <c r="D548" s="68" t="s">
        <v>2620</v>
      </c>
      <c r="E548" s="67">
        <v>7</v>
      </c>
      <c r="F548" s="67" t="s">
        <v>1442</v>
      </c>
      <c r="G548" s="69">
        <v>45173</v>
      </c>
      <c r="H548" s="69" t="s">
        <v>73</v>
      </c>
      <c r="I548" s="69" t="s">
        <v>1221</v>
      </c>
      <c r="J548" s="67">
        <f>IFERROR(VLOOKUP(I548,Jueces!$A$1:$B$11,2,FALSE),"")</f>
        <v>7</v>
      </c>
      <c r="K548" s="67" t="s">
        <v>569</v>
      </c>
      <c r="L548" s="67" t="s">
        <v>782</v>
      </c>
    </row>
    <row r="549" spans="1:12" ht="30" customHeight="1">
      <c r="A549" s="179" t="str">
        <f t="shared" si="16"/>
        <v>04/09/20233</v>
      </c>
      <c r="B549" s="172">
        <f t="shared" si="17"/>
        <v>3</v>
      </c>
      <c r="C549" s="67" t="s">
        <v>1383</v>
      </c>
      <c r="D549" s="68" t="s">
        <v>2621</v>
      </c>
      <c r="E549" s="67">
        <v>2</v>
      </c>
      <c r="F549" s="67" t="s">
        <v>43</v>
      </c>
      <c r="G549" s="69">
        <v>45173</v>
      </c>
      <c r="H549" s="69" t="s">
        <v>73</v>
      </c>
      <c r="I549" s="69" t="s">
        <v>1220</v>
      </c>
      <c r="J549" s="67" t="s">
        <v>1926</v>
      </c>
      <c r="K549" s="67" t="s">
        <v>791</v>
      </c>
      <c r="L549" s="67" t="s">
        <v>712</v>
      </c>
    </row>
    <row r="550" spans="1:12" ht="30" customHeight="1">
      <c r="A550" s="179" t="str">
        <f t="shared" si="16"/>
        <v>04/09/20234</v>
      </c>
      <c r="B550" s="172">
        <f t="shared" si="17"/>
        <v>4</v>
      </c>
      <c r="C550" s="67" t="s">
        <v>2469</v>
      </c>
      <c r="D550" s="68" t="s">
        <v>2622</v>
      </c>
      <c r="E550" s="67">
        <v>7</v>
      </c>
      <c r="F550" s="67" t="s">
        <v>32</v>
      </c>
      <c r="G550" s="69">
        <v>45173</v>
      </c>
      <c r="H550" s="69" t="s">
        <v>1086</v>
      </c>
      <c r="I550" s="69" t="s">
        <v>1224</v>
      </c>
      <c r="J550" s="67" t="s">
        <v>1520</v>
      </c>
      <c r="K550" s="67" t="s">
        <v>801</v>
      </c>
      <c r="L550" s="67" t="s">
        <v>723</v>
      </c>
    </row>
    <row r="551" spans="1:12" ht="30" customHeight="1">
      <c r="A551" s="179" t="str">
        <f t="shared" si="16"/>
        <v>04/09/20235</v>
      </c>
      <c r="B551" s="172">
        <f t="shared" si="17"/>
        <v>5</v>
      </c>
      <c r="C551" s="67" t="s">
        <v>2520</v>
      </c>
      <c r="D551" s="68" t="s">
        <v>2623</v>
      </c>
      <c r="E551" s="67">
        <v>6</v>
      </c>
      <c r="F551" s="67" t="s">
        <v>283</v>
      </c>
      <c r="G551" s="69">
        <v>45173</v>
      </c>
      <c r="H551" s="69" t="s">
        <v>1086</v>
      </c>
      <c r="I551" s="69" t="s">
        <v>1222</v>
      </c>
      <c r="J551" s="67" t="s">
        <v>1926</v>
      </c>
      <c r="K551" s="67" t="s">
        <v>2089</v>
      </c>
      <c r="L551" s="67" t="s">
        <v>2388</v>
      </c>
    </row>
    <row r="552" spans="1:12" ht="30" customHeight="1">
      <c r="A552" s="179" t="str">
        <f t="shared" si="16"/>
        <v>05/09/20231</v>
      </c>
      <c r="B552" s="172">
        <f t="shared" si="17"/>
        <v>1</v>
      </c>
      <c r="C552" s="67" t="s">
        <v>2466</v>
      </c>
      <c r="D552" s="68" t="s">
        <v>2606</v>
      </c>
      <c r="E552" s="67">
        <v>7</v>
      </c>
      <c r="F552" s="67" t="s">
        <v>32</v>
      </c>
      <c r="G552" s="69">
        <v>45174</v>
      </c>
      <c r="H552" s="69" t="s">
        <v>73</v>
      </c>
      <c r="I552" s="69" t="s">
        <v>33</v>
      </c>
      <c r="J552" s="67">
        <f>IFERROR(VLOOKUP(I552,Jueces!$A$1:$B$11,2,FALSE),"")</f>
        <v>4</v>
      </c>
      <c r="K552" s="67" t="s">
        <v>789</v>
      </c>
      <c r="L552" s="67" t="s">
        <v>723</v>
      </c>
    </row>
    <row r="553" spans="1:12" ht="30" customHeight="1">
      <c r="A553" s="179" t="str">
        <f t="shared" si="16"/>
        <v>05/09/20232</v>
      </c>
      <c r="B553" s="172">
        <f t="shared" si="17"/>
        <v>2</v>
      </c>
      <c r="C553" s="67" t="s">
        <v>2495</v>
      </c>
      <c r="D553" s="68" t="s">
        <v>2628</v>
      </c>
      <c r="E553" s="67">
        <v>6</v>
      </c>
      <c r="F553" s="67" t="s">
        <v>1442</v>
      </c>
      <c r="G553" s="69">
        <v>45174</v>
      </c>
      <c r="H553" s="69" t="s">
        <v>73</v>
      </c>
      <c r="I553" s="69" t="s">
        <v>35</v>
      </c>
      <c r="J553" s="67">
        <f>IFERROR(VLOOKUP(I553,Jueces!$A$1:$B$11,2,FALSE),"")</f>
        <v>3</v>
      </c>
      <c r="K553" s="67" t="s">
        <v>793</v>
      </c>
      <c r="L553" s="67" t="s">
        <v>2220</v>
      </c>
    </row>
    <row r="554" spans="1:12" ht="30" customHeight="1">
      <c r="A554" s="179" t="str">
        <f t="shared" si="16"/>
        <v>05/09/20233</v>
      </c>
      <c r="B554" s="172">
        <f t="shared" si="17"/>
        <v>3</v>
      </c>
      <c r="C554" s="67" t="s">
        <v>2498</v>
      </c>
      <c r="D554" s="68" t="s">
        <v>2624</v>
      </c>
      <c r="E554" s="67">
        <v>7</v>
      </c>
      <c r="F554" s="67" t="s">
        <v>29</v>
      </c>
      <c r="G554" s="69">
        <v>45174</v>
      </c>
      <c r="H554" s="69" t="s">
        <v>73</v>
      </c>
      <c r="I554" s="69" t="s">
        <v>1221</v>
      </c>
      <c r="J554" s="67">
        <f>IFERROR(VLOOKUP(I554,Jueces!$A$1:$B$11,2,FALSE),"")</f>
        <v>7</v>
      </c>
      <c r="K554" s="67" t="s">
        <v>569</v>
      </c>
      <c r="L554" s="67" t="s">
        <v>782</v>
      </c>
    </row>
    <row r="555" spans="1:12" ht="30" customHeight="1">
      <c r="A555" s="179" t="str">
        <f t="shared" si="16"/>
        <v>05/09/20234</v>
      </c>
      <c r="B555" s="172">
        <f t="shared" si="17"/>
        <v>4</v>
      </c>
      <c r="C555" s="67" t="s">
        <v>2521</v>
      </c>
      <c r="D555" s="68" t="s">
        <v>2625</v>
      </c>
      <c r="E555" s="67">
        <v>5</v>
      </c>
      <c r="F555" s="67" t="s">
        <v>568</v>
      </c>
      <c r="G555" s="69">
        <v>45174</v>
      </c>
      <c r="H555" s="69" t="s">
        <v>73</v>
      </c>
      <c r="I555" s="69" t="s">
        <v>1222</v>
      </c>
      <c r="J555" s="67" t="s">
        <v>1520</v>
      </c>
      <c r="K555" s="67" t="s">
        <v>569</v>
      </c>
      <c r="L555" s="67" t="s">
        <v>2126</v>
      </c>
    </row>
    <row r="556" spans="1:12" ht="30" customHeight="1">
      <c r="A556" s="179" t="str">
        <f t="shared" si="16"/>
        <v>05/09/20235</v>
      </c>
      <c r="B556" s="172">
        <f t="shared" si="17"/>
        <v>5</v>
      </c>
      <c r="C556" s="67" t="s">
        <v>2478</v>
      </c>
      <c r="D556" s="68" t="s">
        <v>2626</v>
      </c>
      <c r="E556" s="67">
        <v>7</v>
      </c>
      <c r="F556" s="67" t="s">
        <v>1441</v>
      </c>
      <c r="G556" s="69">
        <v>45174</v>
      </c>
      <c r="H556" s="69" t="s">
        <v>1086</v>
      </c>
      <c r="I556" s="69" t="s">
        <v>1222</v>
      </c>
      <c r="J556" s="67" t="s">
        <v>1520</v>
      </c>
      <c r="K556" s="67" t="s">
        <v>800</v>
      </c>
      <c r="L556" s="67" t="s">
        <v>725</v>
      </c>
    </row>
    <row r="557" spans="1:12" ht="30" customHeight="1">
      <c r="A557" s="179" t="str">
        <f t="shared" si="16"/>
        <v>05/09/20236</v>
      </c>
      <c r="B557" s="172">
        <f t="shared" si="17"/>
        <v>6</v>
      </c>
      <c r="C557" s="67" t="s">
        <v>2497</v>
      </c>
      <c r="D557" s="68" t="s">
        <v>2627</v>
      </c>
      <c r="E557" s="67">
        <v>7</v>
      </c>
      <c r="F557" s="67" t="s">
        <v>1443</v>
      </c>
      <c r="G557" s="69">
        <v>45174</v>
      </c>
      <c r="H557" s="69" t="s">
        <v>1086</v>
      </c>
      <c r="I557" s="69" t="s">
        <v>1225</v>
      </c>
      <c r="J557" s="67">
        <f>IFERROR(VLOOKUP(I557,Jueces!$A$1:$B$11,2,FALSE),"")</f>
        <v>6</v>
      </c>
      <c r="K557" s="67" t="s">
        <v>807</v>
      </c>
      <c r="L557" s="67" t="s">
        <v>723</v>
      </c>
    </row>
    <row r="558" spans="1:12" ht="30" customHeight="1">
      <c r="A558" s="179" t="str">
        <f t="shared" si="16"/>
        <v>06/09/20231</v>
      </c>
      <c r="B558" s="172">
        <f t="shared" si="17"/>
        <v>1</v>
      </c>
      <c r="C558" s="67" t="s">
        <v>2400</v>
      </c>
      <c r="D558" s="68" t="s">
        <v>2629</v>
      </c>
      <c r="E558" s="67">
        <v>6</v>
      </c>
      <c r="F558" s="67" t="s">
        <v>29</v>
      </c>
      <c r="G558" s="69">
        <v>45175</v>
      </c>
      <c r="H558" s="69" t="s">
        <v>73</v>
      </c>
      <c r="I558" s="69" t="s">
        <v>35</v>
      </c>
      <c r="J558" s="67">
        <f>IFERROR(VLOOKUP(I558,Jueces!$A$1:$B$11,2,FALSE),"")</f>
        <v>3</v>
      </c>
      <c r="K558" s="67" t="s">
        <v>1149</v>
      </c>
      <c r="L558" s="67" t="s">
        <v>2486</v>
      </c>
    </row>
    <row r="559" spans="1:12" ht="30" customHeight="1">
      <c r="A559" s="179" t="str">
        <f t="shared" si="16"/>
        <v>06/09/20232</v>
      </c>
      <c r="B559" s="172">
        <f t="shared" si="17"/>
        <v>2</v>
      </c>
      <c r="C559" s="67" t="s">
        <v>2492</v>
      </c>
      <c r="D559" s="68" t="s">
        <v>2631</v>
      </c>
      <c r="E559" s="67">
        <v>4</v>
      </c>
      <c r="F559" s="67" t="s">
        <v>1441</v>
      </c>
      <c r="G559" s="69">
        <v>45175</v>
      </c>
      <c r="H559" s="69" t="s">
        <v>73</v>
      </c>
      <c r="I559" s="69" t="s">
        <v>1221</v>
      </c>
      <c r="J559" s="67">
        <f>IFERROR(VLOOKUP(I559,Jueces!$A$1:$B$11,2,FALSE),"")</f>
        <v>7</v>
      </c>
      <c r="K559" s="67" t="s">
        <v>569</v>
      </c>
      <c r="L559" s="67" t="s">
        <v>2220</v>
      </c>
    </row>
    <row r="560" spans="1:12" ht="30" customHeight="1">
      <c r="A560" s="179" t="str">
        <f t="shared" si="16"/>
        <v>06/09/20233</v>
      </c>
      <c r="B560" s="172">
        <f t="shared" si="17"/>
        <v>3</v>
      </c>
      <c r="C560" s="67" t="s">
        <v>2512</v>
      </c>
      <c r="D560" s="68" t="s">
        <v>2630</v>
      </c>
      <c r="E560" s="67">
        <v>7</v>
      </c>
      <c r="F560" s="67" t="s">
        <v>43</v>
      </c>
      <c r="G560" s="69">
        <v>45175</v>
      </c>
      <c r="H560" s="69" t="s">
        <v>73</v>
      </c>
      <c r="I560" s="69" t="s">
        <v>33</v>
      </c>
      <c r="J560" s="67">
        <f>IFERROR(VLOOKUP(I560,Jueces!$A$1:$B$11,2,FALSE),"")</f>
        <v>4</v>
      </c>
      <c r="K560" s="67" t="s">
        <v>812</v>
      </c>
      <c r="L560" s="67" t="s">
        <v>723</v>
      </c>
    </row>
    <row r="561" spans="1:12" ht="30" customHeight="1">
      <c r="A561" s="179" t="str">
        <f t="shared" si="16"/>
        <v>06/09/20234</v>
      </c>
      <c r="B561" s="172">
        <f t="shared" si="17"/>
        <v>4</v>
      </c>
      <c r="C561" s="67" t="s">
        <v>2510</v>
      </c>
      <c r="D561" s="68" t="s">
        <v>2632</v>
      </c>
      <c r="E561" s="67">
        <v>7</v>
      </c>
      <c r="F561" s="67" t="s">
        <v>283</v>
      </c>
      <c r="G561" s="69">
        <v>45175</v>
      </c>
      <c r="H561" s="69" t="s">
        <v>1086</v>
      </c>
      <c r="I561" s="69" t="s">
        <v>1222</v>
      </c>
      <c r="J561" s="67" t="s">
        <v>1926</v>
      </c>
      <c r="K561" s="67" t="s">
        <v>789</v>
      </c>
      <c r="L561" s="67" t="s">
        <v>723</v>
      </c>
    </row>
    <row r="562" spans="1:12" ht="30" customHeight="1">
      <c r="A562" s="179" t="str">
        <f t="shared" si="16"/>
        <v>06/09/20235</v>
      </c>
      <c r="B562" s="172">
        <f t="shared" si="17"/>
        <v>5</v>
      </c>
      <c r="C562" s="67" t="s">
        <v>2513</v>
      </c>
      <c r="D562" s="68" t="s">
        <v>2633</v>
      </c>
      <c r="E562" s="67">
        <v>6</v>
      </c>
      <c r="F562" s="67" t="s">
        <v>1442</v>
      </c>
      <c r="G562" s="69">
        <v>45175</v>
      </c>
      <c r="H562" s="69" t="s">
        <v>1086</v>
      </c>
      <c r="I562" s="69" t="s">
        <v>1221</v>
      </c>
      <c r="J562" s="67">
        <f>IFERROR(VLOOKUP(I562,Jueces!$A$1:$B$11,2,FALSE),"")</f>
        <v>7</v>
      </c>
      <c r="K562" s="67" t="s">
        <v>807</v>
      </c>
      <c r="L562" s="67" t="s">
        <v>725</v>
      </c>
    </row>
    <row r="563" spans="1:12" ht="30" customHeight="1">
      <c r="A563" s="179" t="str">
        <f t="shared" si="16"/>
        <v>07/09/20231</v>
      </c>
      <c r="B563" s="172">
        <f t="shared" si="17"/>
        <v>1</v>
      </c>
      <c r="C563" s="67" t="s">
        <v>2451</v>
      </c>
      <c r="D563" s="68" t="s">
        <v>2655</v>
      </c>
      <c r="E563" s="67">
        <v>7</v>
      </c>
      <c r="F563" s="67" t="s">
        <v>43</v>
      </c>
      <c r="G563" s="69">
        <v>45176</v>
      </c>
      <c r="H563" s="69" t="s">
        <v>73</v>
      </c>
      <c r="I563" s="69" t="s">
        <v>31</v>
      </c>
      <c r="J563" s="67">
        <f>IFERROR(VLOOKUP(I563,Jueces!$A$1:$B$11,2,FALSE),"")</f>
        <v>2</v>
      </c>
      <c r="K563" s="272" t="s">
        <v>2432</v>
      </c>
      <c r="L563" s="67" t="s">
        <v>723</v>
      </c>
    </row>
    <row r="564" spans="1:12" ht="30" customHeight="1">
      <c r="A564" s="179" t="str">
        <f t="shared" si="16"/>
        <v>07/09/20232</v>
      </c>
      <c r="B564" s="172">
        <f t="shared" si="17"/>
        <v>2</v>
      </c>
      <c r="C564" s="67" t="s">
        <v>2534</v>
      </c>
      <c r="D564" s="68" t="s">
        <v>2656</v>
      </c>
      <c r="E564" s="67">
        <v>6</v>
      </c>
      <c r="F564" s="67" t="s">
        <v>568</v>
      </c>
      <c r="G564" s="69">
        <v>45176</v>
      </c>
      <c r="H564" s="69" t="s">
        <v>73</v>
      </c>
      <c r="I564" s="69" t="s">
        <v>1222</v>
      </c>
      <c r="J564" s="67" t="s">
        <v>1326</v>
      </c>
      <c r="K564" s="67" t="s">
        <v>814</v>
      </c>
      <c r="L564" s="67" t="s">
        <v>725</v>
      </c>
    </row>
    <row r="565" spans="1:12" ht="30" customHeight="1">
      <c r="A565" s="179" t="str">
        <f t="shared" si="16"/>
        <v>07/09/20233</v>
      </c>
      <c r="B565" s="172">
        <f t="shared" si="17"/>
        <v>3</v>
      </c>
      <c r="C565" s="67" t="s">
        <v>2554</v>
      </c>
      <c r="D565" s="68" t="s">
        <v>2657</v>
      </c>
      <c r="E565" s="67">
        <v>7</v>
      </c>
      <c r="F565" s="67" t="s">
        <v>283</v>
      </c>
      <c r="G565" s="69">
        <v>45176</v>
      </c>
      <c r="H565" s="69" t="s">
        <v>73</v>
      </c>
      <c r="I565" s="69" t="s">
        <v>33</v>
      </c>
      <c r="J565" s="67">
        <f>IFERROR(VLOOKUP(I565,Jueces!$A$1:$B$11,2,FALSE),"")</f>
        <v>4</v>
      </c>
      <c r="K565" s="67" t="s">
        <v>806</v>
      </c>
      <c r="L565" s="67" t="s">
        <v>767</v>
      </c>
    </row>
    <row r="566" spans="1:12" ht="30" customHeight="1">
      <c r="A566" s="179" t="str">
        <f t="shared" si="16"/>
        <v>07/09/20234</v>
      </c>
      <c r="B566" s="172">
        <f t="shared" si="17"/>
        <v>4</v>
      </c>
      <c r="C566" s="7" t="s">
        <v>2496</v>
      </c>
      <c r="D566" s="41" t="s">
        <v>2661</v>
      </c>
      <c r="E566" s="7">
        <v>4</v>
      </c>
      <c r="F566" s="7" t="s">
        <v>1442</v>
      </c>
      <c r="G566" s="19">
        <v>45176</v>
      </c>
      <c r="H566" s="19" t="s">
        <v>1086</v>
      </c>
      <c r="I566" s="19" t="s">
        <v>1220</v>
      </c>
      <c r="J566" s="7" t="s">
        <v>1926</v>
      </c>
      <c r="K566" s="7" t="s">
        <v>798</v>
      </c>
      <c r="L566" s="7" t="s">
        <v>695</v>
      </c>
    </row>
    <row r="567" spans="1:12" ht="30" customHeight="1">
      <c r="A567" s="179" t="str">
        <f t="shared" si="16"/>
        <v>07/09/20235</v>
      </c>
      <c r="B567" s="172">
        <f t="shared" si="17"/>
        <v>5</v>
      </c>
      <c r="C567" s="268" t="s">
        <v>2518</v>
      </c>
      <c r="D567" s="269" t="s">
        <v>2658</v>
      </c>
      <c r="E567" s="268">
        <v>6</v>
      </c>
      <c r="F567" s="268" t="s">
        <v>1443</v>
      </c>
      <c r="G567" s="271">
        <v>45176</v>
      </c>
      <c r="H567" s="271" t="s">
        <v>1086</v>
      </c>
      <c r="I567" s="271" t="s">
        <v>1221</v>
      </c>
      <c r="J567" s="268">
        <f>IFERROR(VLOOKUP(I567,Jueces!$A$1:$B$11,2,FALSE),"")</f>
        <v>7</v>
      </c>
      <c r="K567" s="7" t="s">
        <v>800</v>
      </c>
      <c r="L567" s="7" t="s">
        <v>725</v>
      </c>
    </row>
    <row r="568" spans="1:12" ht="30" customHeight="1">
      <c r="A568" s="179" t="str">
        <f t="shared" si="16"/>
        <v>07/09/20236</v>
      </c>
      <c r="B568" s="172">
        <f t="shared" si="17"/>
        <v>6</v>
      </c>
      <c r="C568" s="112" t="s">
        <v>2555</v>
      </c>
      <c r="D568" s="113" t="s">
        <v>2659</v>
      </c>
      <c r="E568" s="112">
        <v>7</v>
      </c>
      <c r="F568" s="112" t="s">
        <v>32</v>
      </c>
      <c r="G568" s="267">
        <v>45176</v>
      </c>
      <c r="H568" s="267" t="s">
        <v>1086</v>
      </c>
      <c r="I568" s="267" t="s">
        <v>35</v>
      </c>
      <c r="J568" s="112" t="s">
        <v>1491</v>
      </c>
      <c r="K568" s="67" t="s">
        <v>809</v>
      </c>
      <c r="L568" s="67" t="s">
        <v>767</v>
      </c>
    </row>
    <row r="569" spans="1:12" ht="30" customHeight="1">
      <c r="A569" s="179" t="str">
        <f t="shared" si="16"/>
        <v>07/09/20237</v>
      </c>
      <c r="B569" s="172">
        <f t="shared" si="17"/>
        <v>7</v>
      </c>
      <c r="C569" s="67" t="s">
        <v>2567</v>
      </c>
      <c r="D569" s="68" t="s">
        <v>2660</v>
      </c>
      <c r="E569" s="67">
        <v>7</v>
      </c>
      <c r="F569" s="69" t="s">
        <v>29</v>
      </c>
      <c r="G569" s="69">
        <v>45176</v>
      </c>
      <c r="H569" s="69" t="s">
        <v>547</v>
      </c>
      <c r="I569" s="67" t="s">
        <v>33</v>
      </c>
      <c r="J569" s="67" t="s">
        <v>2589</v>
      </c>
      <c r="K569" s="67" t="s">
        <v>811</v>
      </c>
      <c r="L569" s="67" t="s">
        <v>725</v>
      </c>
    </row>
    <row r="570" spans="1:12" ht="30" customHeight="1">
      <c r="A570" s="179" t="str">
        <f t="shared" si="16"/>
        <v>08/09/20231</v>
      </c>
      <c r="B570" s="172">
        <f t="shared" si="17"/>
        <v>1</v>
      </c>
      <c r="C570" s="67" t="s">
        <v>2440</v>
      </c>
      <c r="D570" s="68" t="s">
        <v>2441</v>
      </c>
      <c r="E570" s="67">
        <v>5</v>
      </c>
      <c r="F570" s="67" t="s">
        <v>43</v>
      </c>
      <c r="G570" s="69">
        <v>45177</v>
      </c>
      <c r="H570" s="69" t="s">
        <v>73</v>
      </c>
      <c r="I570" s="69" t="s">
        <v>33</v>
      </c>
      <c r="J570" s="67">
        <f>IFERROR(VLOOKUP(I570,Jueces!$A$1:$B$11,2,FALSE),"")</f>
        <v>4</v>
      </c>
      <c r="K570" s="67" t="s">
        <v>2095</v>
      </c>
      <c r="L570" s="67" t="s">
        <v>697</v>
      </c>
    </row>
    <row r="571" spans="1:12" ht="30" customHeight="1">
      <c r="A571" s="179" t="str">
        <f t="shared" si="16"/>
        <v>08/09/20232</v>
      </c>
      <c r="B571" s="172">
        <f t="shared" si="17"/>
        <v>2</v>
      </c>
      <c r="C571" s="67" t="s">
        <v>2529</v>
      </c>
      <c r="D571" s="68" t="s">
        <v>2553</v>
      </c>
      <c r="E571" s="67">
        <v>7</v>
      </c>
      <c r="F571" s="67" t="s">
        <v>29</v>
      </c>
      <c r="G571" s="69">
        <v>45177</v>
      </c>
      <c r="H571" s="69" t="s">
        <v>73</v>
      </c>
      <c r="I571" s="69" t="s">
        <v>1221</v>
      </c>
      <c r="J571" s="67">
        <f>IFERROR(VLOOKUP(I571,Jueces!$A$1:$B$11,2,FALSE),"")</f>
        <v>7</v>
      </c>
      <c r="K571" s="67" t="s">
        <v>806</v>
      </c>
      <c r="L571" s="67" t="s">
        <v>723</v>
      </c>
    </row>
    <row r="572" spans="1:12" ht="30" customHeight="1">
      <c r="A572" s="179" t="str">
        <f t="shared" si="16"/>
        <v>08/09/20233</v>
      </c>
      <c r="B572" s="172">
        <f t="shared" si="17"/>
        <v>3</v>
      </c>
      <c r="C572" s="67" t="s">
        <v>2532</v>
      </c>
      <c r="D572" s="68" t="s">
        <v>2533</v>
      </c>
      <c r="E572" s="67">
        <v>6</v>
      </c>
      <c r="F572" s="67" t="s">
        <v>32</v>
      </c>
      <c r="G572" s="69">
        <v>45177</v>
      </c>
      <c r="H572" s="69" t="s">
        <v>73</v>
      </c>
      <c r="I572" s="69" t="s">
        <v>31</v>
      </c>
      <c r="J572" s="67">
        <v>3</v>
      </c>
      <c r="K572" s="67" t="s">
        <v>799</v>
      </c>
      <c r="L572" s="67" t="s">
        <v>725</v>
      </c>
    </row>
    <row r="573" spans="1:12" ht="30" customHeight="1">
      <c r="A573" s="179" t="str">
        <f t="shared" si="16"/>
        <v>08/09/20234</v>
      </c>
      <c r="B573" s="172">
        <f t="shared" si="17"/>
        <v>4</v>
      </c>
      <c r="C573" s="67" t="s">
        <v>2527</v>
      </c>
      <c r="D573" s="68" t="s">
        <v>2528</v>
      </c>
      <c r="E573" s="67">
        <v>7</v>
      </c>
      <c r="F573" s="67" t="s">
        <v>283</v>
      </c>
      <c r="G573" s="69">
        <v>45177</v>
      </c>
      <c r="H573" s="69" t="s">
        <v>1210</v>
      </c>
      <c r="I573" s="69" t="s">
        <v>1221</v>
      </c>
      <c r="J573" s="67">
        <f>IFERROR(VLOOKUP(I573,Jueces!$A$1:$B$11,2,FALSE),"")</f>
        <v>7</v>
      </c>
      <c r="K573" s="67" t="s">
        <v>809</v>
      </c>
      <c r="L573" s="67" t="s">
        <v>723</v>
      </c>
    </row>
    <row r="574" spans="1:12" ht="30" customHeight="1">
      <c r="A574" s="179" t="str">
        <f t="shared" si="16"/>
        <v>11/09/20231</v>
      </c>
      <c r="B574" s="172">
        <f t="shared" si="17"/>
        <v>1</v>
      </c>
      <c r="C574" s="67" t="s">
        <v>2408</v>
      </c>
      <c r="D574" s="68" t="s">
        <v>2507</v>
      </c>
      <c r="E574" s="67">
        <v>6</v>
      </c>
      <c r="F574" s="67" t="s">
        <v>1443</v>
      </c>
      <c r="G574" s="69">
        <v>45180</v>
      </c>
      <c r="H574" s="69" t="s">
        <v>73</v>
      </c>
      <c r="I574" s="69" t="s">
        <v>33</v>
      </c>
      <c r="J574" s="7">
        <f>IFERROR(VLOOKUP(I574,Jueces!$A$1:$B$11,2,FALSE),"")</f>
        <v>4</v>
      </c>
      <c r="K574" s="67" t="s">
        <v>796</v>
      </c>
      <c r="L574" s="67" t="s">
        <v>783</v>
      </c>
    </row>
    <row r="575" spans="1:12" ht="30" customHeight="1">
      <c r="A575" s="179" t="str">
        <f t="shared" si="16"/>
        <v>11/09/20232</v>
      </c>
      <c r="B575" s="172">
        <f t="shared" si="17"/>
        <v>2</v>
      </c>
      <c r="C575" s="67" t="s">
        <v>2444</v>
      </c>
      <c r="D575" s="68" t="s">
        <v>2445</v>
      </c>
      <c r="E575" s="67">
        <v>7</v>
      </c>
      <c r="F575" s="67" t="s">
        <v>29</v>
      </c>
      <c r="G575" s="69">
        <v>45180</v>
      </c>
      <c r="H575" s="69" t="s">
        <v>73</v>
      </c>
      <c r="I575" s="69" t="s">
        <v>31</v>
      </c>
      <c r="J575" s="67">
        <f>IFERROR(VLOOKUP(I575,Jueces!$A$1:$B$11,2,FALSE),"")</f>
        <v>2</v>
      </c>
      <c r="K575" s="67" t="s">
        <v>2095</v>
      </c>
      <c r="L575" s="67" t="s">
        <v>723</v>
      </c>
    </row>
    <row r="576" spans="1:12" ht="30" customHeight="1">
      <c r="A576" s="179" t="str">
        <f t="shared" si="16"/>
        <v>11/09/20233</v>
      </c>
      <c r="B576" s="172">
        <f t="shared" si="17"/>
        <v>3</v>
      </c>
      <c r="C576" s="67" t="s">
        <v>2524</v>
      </c>
      <c r="D576" s="68" t="s">
        <v>2525</v>
      </c>
      <c r="E576" s="67">
        <v>7</v>
      </c>
      <c r="F576" s="67" t="s">
        <v>1441</v>
      </c>
      <c r="G576" s="69">
        <v>45180</v>
      </c>
      <c r="H576" s="69" t="s">
        <v>73</v>
      </c>
      <c r="I576" s="69" t="s">
        <v>35</v>
      </c>
      <c r="J576" s="67">
        <f>IFERROR(VLOOKUP(I576,Jueces!$A$1:$B$11,2,FALSE),"")</f>
        <v>3</v>
      </c>
      <c r="K576" s="67" t="s">
        <v>582</v>
      </c>
      <c r="L576" s="67" t="s">
        <v>697</v>
      </c>
    </row>
    <row r="577" spans="1:12" ht="30" customHeight="1">
      <c r="A577" s="179" t="str">
        <f t="shared" si="16"/>
        <v>11/09/20234</v>
      </c>
      <c r="B577" s="172">
        <f t="shared" si="17"/>
        <v>4</v>
      </c>
      <c r="C577" s="67" t="s">
        <v>2536</v>
      </c>
      <c r="D577" s="68" t="s">
        <v>2537</v>
      </c>
      <c r="E577" s="67">
        <v>1</v>
      </c>
      <c r="F577" s="67" t="s">
        <v>283</v>
      </c>
      <c r="G577" s="69">
        <v>45180</v>
      </c>
      <c r="H577" s="69" t="s">
        <v>73</v>
      </c>
      <c r="I577" s="69" t="s">
        <v>1220</v>
      </c>
      <c r="J577" s="67" t="s">
        <v>1491</v>
      </c>
      <c r="K577" s="67" t="s">
        <v>791</v>
      </c>
      <c r="L577" s="67" t="s">
        <v>725</v>
      </c>
    </row>
    <row r="578" spans="1:12" ht="30" customHeight="1">
      <c r="A578" s="179" t="str">
        <f t="shared" si="16"/>
        <v>11/09/20235</v>
      </c>
      <c r="B578" s="172">
        <f t="shared" si="17"/>
        <v>5</v>
      </c>
      <c r="C578" s="67" t="s">
        <v>2583</v>
      </c>
      <c r="D578" s="68" t="s">
        <v>2584</v>
      </c>
      <c r="E578" s="67">
        <v>6</v>
      </c>
      <c r="F578" s="67" t="s">
        <v>1442</v>
      </c>
      <c r="G578" s="69">
        <v>45180</v>
      </c>
      <c r="H578" s="69" t="s">
        <v>73</v>
      </c>
      <c r="I578" s="69" t="s">
        <v>1221</v>
      </c>
      <c r="J578" s="67">
        <f>IFERROR(VLOOKUP(I578,Jueces!$A$1:$B$11,2,FALSE),"")</f>
        <v>7</v>
      </c>
      <c r="K578" s="67" t="s">
        <v>1306</v>
      </c>
      <c r="L578" s="67" t="s">
        <v>2126</v>
      </c>
    </row>
    <row r="579" spans="1:12" ht="30" customHeight="1">
      <c r="A579" s="179" t="str">
        <f t="shared" ref="A579:A642" si="18">CONCATENATE(TEXT($G579,"dd/mm/yyyy"),$B579)</f>
        <v>11/09/20236</v>
      </c>
      <c r="B579" s="172">
        <f t="shared" si="17"/>
        <v>6</v>
      </c>
      <c r="C579" s="67" t="s">
        <v>2585</v>
      </c>
      <c r="D579" s="68" t="s">
        <v>2586</v>
      </c>
      <c r="E579" s="67">
        <v>6</v>
      </c>
      <c r="F579" s="67" t="s">
        <v>568</v>
      </c>
      <c r="G579" s="69">
        <v>45180</v>
      </c>
      <c r="H579" s="69" t="s">
        <v>73</v>
      </c>
      <c r="I579" s="69" t="s">
        <v>1222</v>
      </c>
      <c r="J579" s="67" t="s">
        <v>1926</v>
      </c>
      <c r="K579" s="67" t="s">
        <v>2091</v>
      </c>
      <c r="L579" s="67" t="s">
        <v>2599</v>
      </c>
    </row>
    <row r="580" spans="1:12" ht="30" customHeight="1">
      <c r="A580" s="179" t="str">
        <f t="shared" si="18"/>
        <v>11/09/20237</v>
      </c>
      <c r="B580" s="172">
        <f t="shared" ref="B580:B643" si="19">IF($G580=$G579,$B579+1,1)</f>
        <v>7</v>
      </c>
      <c r="C580" s="67" t="s">
        <v>2530</v>
      </c>
      <c r="D580" s="68" t="s">
        <v>2531</v>
      </c>
      <c r="E580" s="67">
        <v>7</v>
      </c>
      <c r="F580" s="67" t="s">
        <v>43</v>
      </c>
      <c r="G580" s="69">
        <v>45180</v>
      </c>
      <c r="H580" s="69" t="s">
        <v>1086</v>
      </c>
      <c r="I580" s="69" t="s">
        <v>33</v>
      </c>
      <c r="J580" s="67">
        <f>IFERROR(VLOOKUP(I580,Jueces!$A$1:$B$11,2,FALSE),"")</f>
        <v>4</v>
      </c>
      <c r="K580" s="67" t="s">
        <v>807</v>
      </c>
      <c r="L580" s="67" t="s">
        <v>767</v>
      </c>
    </row>
    <row r="581" spans="1:12" ht="30" customHeight="1">
      <c r="A581" s="179" t="str">
        <f t="shared" si="18"/>
        <v>12/09/20231</v>
      </c>
      <c r="B581" s="172">
        <f t="shared" si="19"/>
        <v>1</v>
      </c>
      <c r="C581" s="67" t="s">
        <v>2595</v>
      </c>
      <c r="D581" s="68" t="s">
        <v>2728</v>
      </c>
      <c r="E581" s="67">
        <v>8</v>
      </c>
      <c r="F581" s="67" t="s">
        <v>283</v>
      </c>
      <c r="G581" s="69">
        <v>45181</v>
      </c>
      <c r="H581" s="69" t="s">
        <v>73</v>
      </c>
      <c r="I581" s="69" t="s">
        <v>1222</v>
      </c>
      <c r="J581" s="67" t="s">
        <v>1326</v>
      </c>
      <c r="K581" s="67" t="s">
        <v>809</v>
      </c>
      <c r="L581" s="67" t="s">
        <v>767</v>
      </c>
    </row>
    <row r="582" spans="1:12" ht="30" customHeight="1">
      <c r="A582" s="179" t="str">
        <f t="shared" si="18"/>
        <v>12/09/20232</v>
      </c>
      <c r="B582" s="172">
        <f t="shared" si="19"/>
        <v>2</v>
      </c>
      <c r="C582" s="67" t="s">
        <v>2602</v>
      </c>
      <c r="D582" s="68" t="s">
        <v>2603</v>
      </c>
      <c r="E582" s="67">
        <v>7</v>
      </c>
      <c r="F582" s="67" t="s">
        <v>43</v>
      </c>
      <c r="G582" s="69">
        <v>45181</v>
      </c>
      <c r="H582" s="69" t="s">
        <v>73</v>
      </c>
      <c r="I582" s="69" t="s">
        <v>31</v>
      </c>
      <c r="J582" s="67">
        <f>IFERROR(VLOOKUP(I582,Jueces!$A$1:$B$11,2,FALSE),"")</f>
        <v>2</v>
      </c>
      <c r="K582" s="67" t="s">
        <v>796</v>
      </c>
      <c r="L582" s="67" t="s">
        <v>725</v>
      </c>
    </row>
    <row r="583" spans="1:12" ht="30" customHeight="1">
      <c r="A583" s="179" t="str">
        <f t="shared" si="18"/>
        <v>12/09/20233</v>
      </c>
      <c r="B583" s="172">
        <f t="shared" si="19"/>
        <v>3</v>
      </c>
      <c r="C583" s="67" t="s">
        <v>2604</v>
      </c>
      <c r="D583" s="68" t="s">
        <v>2605</v>
      </c>
      <c r="E583" s="67">
        <v>7</v>
      </c>
      <c r="F583" s="67" t="s">
        <v>1443</v>
      </c>
      <c r="G583" s="69">
        <v>45181</v>
      </c>
      <c r="H583" s="69" t="s">
        <v>73</v>
      </c>
      <c r="I583" s="69" t="s">
        <v>1221</v>
      </c>
      <c r="J583" s="67">
        <f>IFERROR(VLOOKUP(I583,Jueces!$A$1:$B$11,2,FALSE),"")</f>
        <v>7</v>
      </c>
      <c r="K583" s="67" t="s">
        <v>2738</v>
      </c>
      <c r="L583" s="67" t="s">
        <v>723</v>
      </c>
    </row>
    <row r="584" spans="1:12" ht="30" customHeight="1">
      <c r="A584" s="179" t="str">
        <f t="shared" si="18"/>
        <v>12/09/20234</v>
      </c>
      <c r="B584" s="172">
        <f t="shared" si="19"/>
        <v>4</v>
      </c>
      <c r="C584" s="67" t="s">
        <v>2600</v>
      </c>
      <c r="D584" s="68" t="s">
        <v>2601</v>
      </c>
      <c r="E584" s="67">
        <v>7</v>
      </c>
      <c r="F584" s="67" t="s">
        <v>568</v>
      </c>
      <c r="G584" s="69">
        <v>45181</v>
      </c>
      <c r="H584" s="69" t="s">
        <v>1086</v>
      </c>
      <c r="I584" s="69" t="s">
        <v>33</v>
      </c>
      <c r="J584" s="67">
        <f>IFERROR(VLOOKUP(I584,Jueces!$A$1:$B$11,2,FALSE),"")</f>
        <v>4</v>
      </c>
      <c r="K584" s="67" t="s">
        <v>801</v>
      </c>
      <c r="L584" s="67" t="s">
        <v>2569</v>
      </c>
    </row>
    <row r="585" spans="1:12" ht="30" customHeight="1">
      <c r="A585" s="179" t="str">
        <f t="shared" si="18"/>
        <v>12/09/20235</v>
      </c>
      <c r="B585" s="172">
        <f t="shared" si="19"/>
        <v>5</v>
      </c>
      <c r="C585" s="67" t="s">
        <v>2610</v>
      </c>
      <c r="D585" s="68" t="s">
        <v>2611</v>
      </c>
      <c r="E585" s="67">
        <v>7</v>
      </c>
      <c r="F585" s="67" t="s">
        <v>1441</v>
      </c>
      <c r="G585" s="69">
        <v>45181</v>
      </c>
      <c r="H585" s="69" t="s">
        <v>1086</v>
      </c>
      <c r="I585" s="69" t="s">
        <v>35</v>
      </c>
      <c r="J585" s="67">
        <f>IFERROR(VLOOKUP(I585,Jueces!$A$1:$B$11,2,FALSE),"")</f>
        <v>3</v>
      </c>
      <c r="K585" s="67" t="s">
        <v>813</v>
      </c>
      <c r="L585" s="67" t="s">
        <v>723</v>
      </c>
    </row>
    <row r="586" spans="1:12" ht="30" customHeight="1">
      <c r="A586" s="179" t="str">
        <f t="shared" si="18"/>
        <v>18/09/20231</v>
      </c>
      <c r="B586" s="172">
        <f t="shared" si="19"/>
        <v>1</v>
      </c>
      <c r="C586" s="67" t="s">
        <v>2565</v>
      </c>
      <c r="D586" s="68" t="s">
        <v>2566</v>
      </c>
      <c r="E586" s="67">
        <v>7</v>
      </c>
      <c r="F586" s="67" t="s">
        <v>1442</v>
      </c>
      <c r="G586" s="69">
        <v>45187</v>
      </c>
      <c r="H586" s="69" t="s">
        <v>73</v>
      </c>
      <c r="I586" s="69" t="s">
        <v>31</v>
      </c>
      <c r="J586" s="67">
        <f>IFERROR(VLOOKUP(I586,Jueces!$A$1:$B$11,2,FALSE),"")</f>
        <v>2</v>
      </c>
      <c r="K586" s="67" t="s">
        <v>814</v>
      </c>
      <c r="L586" s="67" t="s">
        <v>2220</v>
      </c>
    </row>
    <row r="587" spans="1:12" ht="30" customHeight="1">
      <c r="A587" s="179" t="str">
        <f t="shared" si="18"/>
        <v>18/09/20232</v>
      </c>
      <c r="B587" s="172">
        <f t="shared" si="19"/>
        <v>2</v>
      </c>
      <c r="C587" s="67" t="s">
        <v>2597</v>
      </c>
      <c r="D587" s="68" t="s">
        <v>2598</v>
      </c>
      <c r="E587" s="67">
        <v>7</v>
      </c>
      <c r="F587" s="67" t="s">
        <v>29</v>
      </c>
      <c r="G587" s="69">
        <v>45187</v>
      </c>
      <c r="H587" s="69" t="s">
        <v>73</v>
      </c>
      <c r="I587" s="69" t="s">
        <v>33</v>
      </c>
      <c r="J587" s="67">
        <f>IFERROR(VLOOKUP(I587,Jueces!$A$1:$B$11,2,FALSE),"")</f>
        <v>4</v>
      </c>
      <c r="K587" s="67" t="s">
        <v>806</v>
      </c>
      <c r="L587" s="67" t="s">
        <v>723</v>
      </c>
    </row>
    <row r="588" spans="1:12" ht="30" customHeight="1">
      <c r="A588" s="179" t="str">
        <f t="shared" si="18"/>
        <v>18/09/20233</v>
      </c>
      <c r="B588" s="172">
        <f t="shared" si="19"/>
        <v>3</v>
      </c>
      <c r="C588" s="67" t="s">
        <v>2612</v>
      </c>
      <c r="D588" s="68" t="s">
        <v>2636</v>
      </c>
      <c r="E588" s="67">
        <v>7</v>
      </c>
      <c r="F588" s="67" t="s">
        <v>43</v>
      </c>
      <c r="G588" s="69">
        <v>45187</v>
      </c>
      <c r="H588" s="69" t="s">
        <v>73</v>
      </c>
      <c r="I588" s="69" t="s">
        <v>35</v>
      </c>
      <c r="J588" s="67">
        <f>IFERROR(VLOOKUP(I588,Jueces!$A$1:$B$11,2,FALSE),"")</f>
        <v>3</v>
      </c>
      <c r="K588" s="67" t="s">
        <v>811</v>
      </c>
      <c r="L588" s="67" t="s">
        <v>1032</v>
      </c>
    </row>
    <row r="589" spans="1:12" ht="30" customHeight="1">
      <c r="A589" s="179" t="str">
        <f t="shared" si="18"/>
        <v>18/09/20234</v>
      </c>
      <c r="B589" s="172">
        <f t="shared" si="19"/>
        <v>4</v>
      </c>
      <c r="C589" s="67" t="s">
        <v>2648</v>
      </c>
      <c r="D589" s="68" t="s">
        <v>2665</v>
      </c>
      <c r="E589" s="67">
        <v>4</v>
      </c>
      <c r="F589" s="67" t="s">
        <v>1443</v>
      </c>
      <c r="G589" s="69">
        <v>45187</v>
      </c>
      <c r="H589" s="69" t="s">
        <v>73</v>
      </c>
      <c r="I589" s="69" t="s">
        <v>1223</v>
      </c>
      <c r="J589" s="67" t="s">
        <v>1346</v>
      </c>
      <c r="K589" s="67" t="s">
        <v>1835</v>
      </c>
      <c r="L589" s="67" t="s">
        <v>2666</v>
      </c>
    </row>
    <row r="590" spans="1:12" ht="30" customHeight="1">
      <c r="A590" s="179" t="str">
        <f t="shared" si="18"/>
        <v>19/09/20231</v>
      </c>
      <c r="B590" s="172">
        <f t="shared" si="19"/>
        <v>1</v>
      </c>
      <c r="C590" s="67" t="s">
        <v>2526</v>
      </c>
      <c r="D590" s="68" t="s">
        <v>2552</v>
      </c>
      <c r="E590" s="67">
        <v>7</v>
      </c>
      <c r="F590" s="67" t="s">
        <v>568</v>
      </c>
      <c r="G590" s="69">
        <v>45188</v>
      </c>
      <c r="H590" s="69" t="s">
        <v>73</v>
      </c>
      <c r="I590" s="69" t="s">
        <v>1221</v>
      </c>
      <c r="J590" s="67">
        <v>7</v>
      </c>
      <c r="K590" s="67" t="s">
        <v>809</v>
      </c>
      <c r="L590" s="67" t="s">
        <v>723</v>
      </c>
    </row>
    <row r="591" spans="1:12" ht="30" customHeight="1">
      <c r="A591" s="179" t="str">
        <f t="shared" si="18"/>
        <v>19/09/20232</v>
      </c>
      <c r="B591" s="172">
        <f t="shared" si="19"/>
        <v>2</v>
      </c>
      <c r="C591" s="67" t="s">
        <v>2609</v>
      </c>
      <c r="D591" s="68" t="s">
        <v>2634</v>
      </c>
      <c r="E591" s="67">
        <v>8</v>
      </c>
      <c r="F591" s="67" t="s">
        <v>29</v>
      </c>
      <c r="G591" s="69">
        <v>45188</v>
      </c>
      <c r="H591" s="69" t="s">
        <v>73</v>
      </c>
      <c r="I591" s="69" t="s">
        <v>35</v>
      </c>
      <c r="J591" s="67">
        <f>IFERROR(VLOOKUP(I591,Jueces!$A$1:$B$11,2,FALSE),"")</f>
        <v>3</v>
      </c>
      <c r="K591" s="67" t="s">
        <v>569</v>
      </c>
      <c r="L591" s="67" t="s">
        <v>767</v>
      </c>
    </row>
    <row r="592" spans="1:12" ht="30" customHeight="1">
      <c r="A592" s="179" t="str">
        <f t="shared" si="18"/>
        <v>19/09/20233</v>
      </c>
      <c r="B592" s="172">
        <f t="shared" si="19"/>
        <v>3</v>
      </c>
      <c r="C592" s="67" t="s">
        <v>2613</v>
      </c>
      <c r="D592" s="68" t="s">
        <v>2651</v>
      </c>
      <c r="E592" s="67">
        <v>8</v>
      </c>
      <c r="F592" s="67" t="s">
        <v>283</v>
      </c>
      <c r="G592" s="69">
        <v>45188</v>
      </c>
      <c r="H592" s="107" t="s">
        <v>73</v>
      </c>
      <c r="I592" s="69" t="s">
        <v>31</v>
      </c>
      <c r="J592" s="67">
        <f>IFERROR(VLOOKUP(I592,Jueces!$A$1:$B$11,2,FALSE),"")</f>
        <v>2</v>
      </c>
      <c r="K592" s="67" t="s">
        <v>812</v>
      </c>
      <c r="L592" s="67" t="s">
        <v>887</v>
      </c>
    </row>
    <row r="593" spans="1:12" ht="30" customHeight="1">
      <c r="A593" s="179" t="str">
        <f t="shared" si="18"/>
        <v>19/09/20234</v>
      </c>
      <c r="B593" s="172">
        <f t="shared" si="19"/>
        <v>4</v>
      </c>
      <c r="C593" s="67" t="s">
        <v>2577</v>
      </c>
      <c r="D593" s="68" t="s">
        <v>2578</v>
      </c>
      <c r="E593" s="67">
        <v>7</v>
      </c>
      <c r="F593" s="67" t="s">
        <v>1441</v>
      </c>
      <c r="G593" s="69">
        <v>45188</v>
      </c>
      <c r="H593" s="69" t="s">
        <v>1086</v>
      </c>
      <c r="I593" s="69" t="s">
        <v>1225</v>
      </c>
      <c r="J593" s="67">
        <f>IFERROR(VLOOKUP(I593,Jueces!$A$1:$B$11,2,FALSE),"")</f>
        <v>6</v>
      </c>
      <c r="K593" s="67" t="s">
        <v>813</v>
      </c>
      <c r="L593" s="67" t="s">
        <v>767</v>
      </c>
    </row>
    <row r="594" spans="1:12" ht="30" customHeight="1">
      <c r="A594" s="179" t="str">
        <f t="shared" si="18"/>
        <v>19/09/20235</v>
      </c>
      <c r="B594" s="172">
        <f t="shared" si="19"/>
        <v>5</v>
      </c>
      <c r="C594" s="67" t="s">
        <v>2643</v>
      </c>
      <c r="D594" s="68" t="s">
        <v>2644</v>
      </c>
      <c r="E594" s="67">
        <v>7</v>
      </c>
      <c r="F594" s="67" t="s">
        <v>43</v>
      </c>
      <c r="G594" s="69">
        <v>45188</v>
      </c>
      <c r="H594" s="69" t="s">
        <v>1210</v>
      </c>
      <c r="I594" s="69" t="s">
        <v>1224</v>
      </c>
      <c r="J594" s="67" t="s">
        <v>1491</v>
      </c>
      <c r="K594" s="67" t="s">
        <v>811</v>
      </c>
      <c r="L594" s="67" t="s">
        <v>767</v>
      </c>
    </row>
    <row r="595" spans="1:12" ht="30" customHeight="1">
      <c r="A595" s="179" t="str">
        <f t="shared" si="18"/>
        <v>19/09/20236</v>
      </c>
      <c r="B595" s="172">
        <f t="shared" si="19"/>
        <v>6</v>
      </c>
      <c r="C595" s="67" t="s">
        <v>2649</v>
      </c>
      <c r="D595" s="68" t="s">
        <v>2667</v>
      </c>
      <c r="E595" s="67">
        <v>4</v>
      </c>
      <c r="F595" s="67" t="s">
        <v>2776</v>
      </c>
      <c r="G595" s="69">
        <v>45188</v>
      </c>
      <c r="H595" s="69" t="s">
        <v>77</v>
      </c>
      <c r="I595" s="69" t="s">
        <v>1223</v>
      </c>
      <c r="J595" s="67" t="s">
        <v>1520</v>
      </c>
      <c r="K595" s="67" t="s">
        <v>2091</v>
      </c>
      <c r="L595" s="67" t="s">
        <v>2668</v>
      </c>
    </row>
    <row r="596" spans="1:12" ht="30" customHeight="1">
      <c r="A596" s="179" t="str">
        <f t="shared" si="18"/>
        <v>19/09/20237</v>
      </c>
      <c r="B596" s="172">
        <f t="shared" si="19"/>
        <v>7</v>
      </c>
      <c r="C596" s="67" t="s">
        <v>2573</v>
      </c>
      <c r="D596" s="68" t="s">
        <v>2574</v>
      </c>
      <c r="E596" s="67">
        <v>7</v>
      </c>
      <c r="F596" s="67" t="s">
        <v>1443</v>
      </c>
      <c r="G596" s="69">
        <v>45188</v>
      </c>
      <c r="H596" s="69" t="s">
        <v>228</v>
      </c>
      <c r="I596" s="69" t="s">
        <v>1221</v>
      </c>
      <c r="J596" s="67">
        <f>IFERROR(VLOOKUP(I596,Jueces!$A$1:$B$11,2,FALSE),"")</f>
        <v>7</v>
      </c>
      <c r="K596" s="67" t="s">
        <v>812</v>
      </c>
      <c r="L596" s="67" t="s">
        <v>767</v>
      </c>
    </row>
    <row r="597" spans="1:12" ht="30" customHeight="1">
      <c r="A597" s="179" t="str">
        <f t="shared" si="18"/>
        <v>20/09/20231</v>
      </c>
      <c r="B597" s="172">
        <f t="shared" si="19"/>
        <v>1</v>
      </c>
      <c r="C597" s="67" t="s">
        <v>2559</v>
      </c>
      <c r="D597" s="68" t="s">
        <v>2830</v>
      </c>
      <c r="E597" s="67">
        <v>6</v>
      </c>
      <c r="F597" s="67" t="s">
        <v>1443</v>
      </c>
      <c r="G597" s="69">
        <v>45189</v>
      </c>
      <c r="H597" s="69" t="s">
        <v>73</v>
      </c>
      <c r="I597" s="69" t="s">
        <v>33</v>
      </c>
      <c r="J597" s="67" t="s">
        <v>1346</v>
      </c>
      <c r="K597" s="67" t="s">
        <v>796</v>
      </c>
      <c r="L597" s="67" t="s">
        <v>725</v>
      </c>
    </row>
    <row r="598" spans="1:12" ht="30" customHeight="1">
      <c r="A598" s="179" t="str">
        <f t="shared" si="18"/>
        <v>20/09/20232</v>
      </c>
      <c r="B598" s="172">
        <f t="shared" si="19"/>
        <v>2</v>
      </c>
      <c r="C598" s="67" t="s">
        <v>2642</v>
      </c>
      <c r="D598" s="68" t="s">
        <v>2831</v>
      </c>
      <c r="E598" s="67">
        <v>7</v>
      </c>
      <c r="F598" s="67" t="s">
        <v>568</v>
      </c>
      <c r="G598" s="69">
        <v>45189</v>
      </c>
      <c r="H598" s="69" t="s">
        <v>73</v>
      </c>
      <c r="I598" s="69" t="s">
        <v>78</v>
      </c>
      <c r="J598" s="67">
        <f>IFERROR(VLOOKUP(I598,Jueces!$A$1:$B$11,2,FALSE),"")</f>
        <v>8</v>
      </c>
      <c r="K598" s="67" t="s">
        <v>799</v>
      </c>
      <c r="L598" s="67" t="s">
        <v>723</v>
      </c>
    </row>
    <row r="599" spans="1:12" ht="30" customHeight="1">
      <c r="A599" s="179" t="str">
        <f t="shared" si="18"/>
        <v>20/09/20233</v>
      </c>
      <c r="B599" s="172">
        <f t="shared" si="19"/>
        <v>3</v>
      </c>
      <c r="C599" s="67" t="s">
        <v>2652</v>
      </c>
      <c r="D599" s="68" t="s">
        <v>2832</v>
      </c>
      <c r="E599" s="67">
        <v>8</v>
      </c>
      <c r="F599" s="67" t="s">
        <v>2774</v>
      </c>
      <c r="G599" s="69">
        <v>45189</v>
      </c>
      <c r="H599" s="69" t="s">
        <v>73</v>
      </c>
      <c r="I599" s="69" t="s">
        <v>1223</v>
      </c>
      <c r="J599" s="67" t="s">
        <v>1326</v>
      </c>
      <c r="K599" s="67" t="s">
        <v>1414</v>
      </c>
      <c r="L599" s="67" t="s">
        <v>1031</v>
      </c>
    </row>
    <row r="600" spans="1:12" ht="30" customHeight="1">
      <c r="A600" s="179" t="str">
        <f t="shared" si="18"/>
        <v>20/09/20234</v>
      </c>
      <c r="B600" s="172">
        <f t="shared" si="19"/>
        <v>4</v>
      </c>
      <c r="C600" s="67" t="s">
        <v>2698</v>
      </c>
      <c r="D600" s="68" t="s">
        <v>2833</v>
      </c>
      <c r="E600" s="67">
        <v>6</v>
      </c>
      <c r="F600" s="67" t="s">
        <v>1441</v>
      </c>
      <c r="G600" s="69">
        <v>45189</v>
      </c>
      <c r="H600" s="69" t="s">
        <v>73</v>
      </c>
      <c r="I600" s="69" t="s">
        <v>31</v>
      </c>
      <c r="J600" s="67">
        <f>IFERROR(VLOOKUP(I600,Jueces!$A$1:$B$11,2,FALSE),"")</f>
        <v>2</v>
      </c>
      <c r="K600" s="67" t="s">
        <v>1306</v>
      </c>
      <c r="L600" s="67" t="s">
        <v>2702</v>
      </c>
    </row>
    <row r="601" spans="1:12" ht="30" customHeight="1">
      <c r="A601" s="179" t="str">
        <f t="shared" si="18"/>
        <v>20/09/20235</v>
      </c>
      <c r="B601" s="172">
        <f t="shared" si="19"/>
        <v>5</v>
      </c>
      <c r="C601" s="67" t="s">
        <v>2617</v>
      </c>
      <c r="D601" s="68" t="s">
        <v>2834</v>
      </c>
      <c r="E601" s="67">
        <v>7</v>
      </c>
      <c r="F601" s="67" t="s">
        <v>283</v>
      </c>
      <c r="G601" s="69">
        <v>45189</v>
      </c>
      <c r="H601" s="69" t="s">
        <v>749</v>
      </c>
      <c r="I601" s="69" t="s">
        <v>1225</v>
      </c>
      <c r="J601" s="67">
        <f>IFERROR(VLOOKUP(I601,Jueces!$A$1:$B$11,2,FALSE),"")</f>
        <v>6</v>
      </c>
      <c r="K601" s="67" t="s">
        <v>582</v>
      </c>
      <c r="L601" s="67" t="s">
        <v>767</v>
      </c>
    </row>
    <row r="602" spans="1:12" ht="30" customHeight="1">
      <c r="A602" s="179" t="str">
        <f t="shared" si="18"/>
        <v>20/09/20236</v>
      </c>
      <c r="B602" s="172">
        <f t="shared" si="19"/>
        <v>6</v>
      </c>
      <c r="C602" s="67" t="s">
        <v>2639</v>
      </c>
      <c r="D602" s="68" t="s">
        <v>2835</v>
      </c>
      <c r="E602" s="67">
        <v>8</v>
      </c>
      <c r="F602" s="67" t="s">
        <v>1442</v>
      </c>
      <c r="G602" s="69">
        <v>45189</v>
      </c>
      <c r="H602" s="69" t="s">
        <v>1086</v>
      </c>
      <c r="I602" s="69" t="s">
        <v>1223</v>
      </c>
      <c r="J602" s="67" t="s">
        <v>1326</v>
      </c>
      <c r="K602" s="67" t="s">
        <v>809</v>
      </c>
      <c r="L602" s="67" t="s">
        <v>767</v>
      </c>
    </row>
    <row r="603" spans="1:12" ht="30" customHeight="1">
      <c r="A603" s="179" t="str">
        <f t="shared" si="18"/>
        <v>20/09/20237</v>
      </c>
      <c r="B603" s="172">
        <f t="shared" si="19"/>
        <v>7</v>
      </c>
      <c r="C603" s="67" t="s">
        <v>2731</v>
      </c>
      <c r="D603" s="68" t="s">
        <v>2836</v>
      </c>
      <c r="E603" s="67">
        <v>8</v>
      </c>
      <c r="F603" s="67" t="s">
        <v>29</v>
      </c>
      <c r="G603" s="69">
        <v>45189</v>
      </c>
      <c r="H603" s="69" t="s">
        <v>1086</v>
      </c>
      <c r="I603" s="69" t="s">
        <v>1221</v>
      </c>
      <c r="J603" s="67">
        <f>IFERROR(VLOOKUP(I603,Jueces!$A$1:$B$11,2,FALSE),"")</f>
        <v>7</v>
      </c>
      <c r="K603" s="67" t="s">
        <v>791</v>
      </c>
      <c r="L603" s="67" t="s">
        <v>887</v>
      </c>
    </row>
    <row r="604" spans="1:12" ht="30" customHeight="1">
      <c r="A604" s="179" t="str">
        <f t="shared" si="18"/>
        <v>20/09/20238</v>
      </c>
      <c r="B604" s="172">
        <f t="shared" si="19"/>
        <v>8</v>
      </c>
      <c r="C604" s="67" t="s">
        <v>2690</v>
      </c>
      <c r="D604" s="68" t="s">
        <v>2837</v>
      </c>
      <c r="E604" s="67">
        <v>7</v>
      </c>
      <c r="F604" s="67" t="s">
        <v>43</v>
      </c>
      <c r="G604" s="69">
        <v>45189</v>
      </c>
      <c r="H604" s="69" t="s">
        <v>2021</v>
      </c>
      <c r="I604" s="69" t="s">
        <v>33</v>
      </c>
      <c r="J604" s="67" t="s">
        <v>1346</v>
      </c>
      <c r="K604" s="67" t="s">
        <v>813</v>
      </c>
      <c r="L604" s="67" t="s">
        <v>767</v>
      </c>
    </row>
    <row r="605" spans="1:12" ht="30" customHeight="1">
      <c r="A605" s="179" t="str">
        <f t="shared" si="18"/>
        <v>21/09/20231</v>
      </c>
      <c r="B605" s="172">
        <f t="shared" si="19"/>
        <v>1</v>
      </c>
      <c r="C605" s="67" t="s">
        <v>2575</v>
      </c>
      <c r="D605" s="68" t="s">
        <v>2576</v>
      </c>
      <c r="E605" s="67">
        <v>7</v>
      </c>
      <c r="F605" s="67" t="s">
        <v>568</v>
      </c>
      <c r="G605" s="69">
        <v>45190</v>
      </c>
      <c r="H605" s="69" t="s">
        <v>73</v>
      </c>
      <c r="I605" s="69" t="s">
        <v>1223</v>
      </c>
      <c r="J605" s="67" t="s">
        <v>1346</v>
      </c>
      <c r="K605" s="67" t="s">
        <v>802</v>
      </c>
      <c r="L605" s="67" t="s">
        <v>725</v>
      </c>
    </row>
    <row r="606" spans="1:12" ht="30" customHeight="1">
      <c r="A606" s="179" t="str">
        <f t="shared" si="18"/>
        <v>21/09/20232</v>
      </c>
      <c r="B606" s="172">
        <f t="shared" si="19"/>
        <v>2</v>
      </c>
      <c r="C606" s="67" t="s">
        <v>2640</v>
      </c>
      <c r="D606" s="68" t="s">
        <v>2641</v>
      </c>
      <c r="E606" s="67">
        <v>7</v>
      </c>
      <c r="F606" s="67" t="s">
        <v>1441</v>
      </c>
      <c r="G606" s="69">
        <v>45190</v>
      </c>
      <c r="H606" s="69" t="s">
        <v>73</v>
      </c>
      <c r="I606" s="69" t="s">
        <v>35</v>
      </c>
      <c r="J606" s="67">
        <f>IFERROR(VLOOKUP(I606,Jueces!$A$1:$B$11,2,FALSE),"")</f>
        <v>3</v>
      </c>
      <c r="K606" s="67" t="s">
        <v>807</v>
      </c>
      <c r="L606" s="67" t="s">
        <v>723</v>
      </c>
    </row>
    <row r="607" spans="1:12" ht="30" customHeight="1">
      <c r="A607" s="179" t="str">
        <f t="shared" si="18"/>
        <v>21/09/20233</v>
      </c>
      <c r="B607" s="172">
        <f t="shared" si="19"/>
        <v>3</v>
      </c>
      <c r="C607" s="67" t="s">
        <v>2688</v>
      </c>
      <c r="D607" s="68" t="s">
        <v>2801</v>
      </c>
      <c r="E607" s="67">
        <v>8</v>
      </c>
      <c r="F607" s="67" t="s">
        <v>2776</v>
      </c>
      <c r="G607" s="69">
        <v>45190</v>
      </c>
      <c r="H607" s="69" t="s">
        <v>73</v>
      </c>
      <c r="I607" s="69" t="s">
        <v>31</v>
      </c>
      <c r="J607" s="67">
        <f>IFERROR(VLOOKUP(I607,Jueces!$A$1:$B$11,2,FALSE),"")</f>
        <v>2</v>
      </c>
      <c r="K607" s="67" t="s">
        <v>791</v>
      </c>
      <c r="L607" s="67" t="s">
        <v>2695</v>
      </c>
    </row>
    <row r="608" spans="1:12" ht="30" customHeight="1">
      <c r="A608" s="179" t="str">
        <f t="shared" si="18"/>
        <v>21/09/20234</v>
      </c>
      <c r="B608" s="172">
        <f t="shared" si="19"/>
        <v>4</v>
      </c>
      <c r="C608" s="67" t="s">
        <v>2701</v>
      </c>
      <c r="D608" s="68" t="s">
        <v>2844</v>
      </c>
      <c r="E608" s="67">
        <v>6</v>
      </c>
      <c r="F608" s="67" t="s">
        <v>43</v>
      </c>
      <c r="G608" s="69">
        <v>45190</v>
      </c>
      <c r="H608" s="69" t="s">
        <v>73</v>
      </c>
      <c r="I608" s="69" t="s">
        <v>1221</v>
      </c>
      <c r="J608" s="67">
        <f>IFERROR(VLOOKUP(I608,Jueces!$A$1:$B$11,2,FALSE),"")</f>
        <v>7</v>
      </c>
      <c r="K608" s="67" t="s">
        <v>789</v>
      </c>
      <c r="L608" s="67" t="s">
        <v>2703</v>
      </c>
    </row>
    <row r="609" spans="1:12" ht="30" customHeight="1">
      <c r="A609" s="179" t="str">
        <f t="shared" si="18"/>
        <v>21/09/20235</v>
      </c>
      <c r="B609" s="172">
        <f t="shared" si="19"/>
        <v>5</v>
      </c>
      <c r="C609" s="7" t="s">
        <v>2676</v>
      </c>
      <c r="D609" s="41" t="s">
        <v>2870</v>
      </c>
      <c r="E609" s="73">
        <v>8</v>
      </c>
      <c r="F609" s="67" t="s">
        <v>1442</v>
      </c>
      <c r="G609" s="69">
        <v>45190</v>
      </c>
      <c r="H609" s="69" t="s">
        <v>749</v>
      </c>
      <c r="I609" s="69" t="s">
        <v>1225</v>
      </c>
      <c r="J609" s="67">
        <f>IFERROR(VLOOKUP(I609,Jueces!$A$1:$B$11,2,FALSE),"")</f>
        <v>6</v>
      </c>
      <c r="K609" s="67" t="s">
        <v>812</v>
      </c>
      <c r="L609" s="67" t="s">
        <v>887</v>
      </c>
    </row>
    <row r="610" spans="1:12" ht="30" customHeight="1">
      <c r="A610" s="179" t="str">
        <f t="shared" si="18"/>
        <v>21/09/20236</v>
      </c>
      <c r="B610" s="172">
        <f t="shared" si="19"/>
        <v>6</v>
      </c>
      <c r="C610" s="112" t="s">
        <v>2675</v>
      </c>
      <c r="D610" s="113" t="s">
        <v>2729</v>
      </c>
      <c r="E610" s="67">
        <v>7</v>
      </c>
      <c r="F610" s="67" t="s">
        <v>1443</v>
      </c>
      <c r="G610" s="69">
        <v>45190</v>
      </c>
      <c r="H610" s="69" t="s">
        <v>1086</v>
      </c>
      <c r="I610" s="69" t="s">
        <v>33</v>
      </c>
      <c r="J610" s="67">
        <f>IFERROR(VLOOKUP(I610,Jueces!$A$1:$B$11,2,FALSE),"")</f>
        <v>4</v>
      </c>
      <c r="K610" s="67" t="s">
        <v>811</v>
      </c>
      <c r="L610" s="67" t="s">
        <v>725</v>
      </c>
    </row>
    <row r="611" spans="1:12" ht="30" customHeight="1">
      <c r="A611" s="179" t="str">
        <f t="shared" si="18"/>
        <v>21/09/20237</v>
      </c>
      <c r="B611" s="172">
        <f t="shared" si="19"/>
        <v>7</v>
      </c>
      <c r="C611" s="67" t="s">
        <v>2689</v>
      </c>
      <c r="D611" s="68" t="s">
        <v>2871</v>
      </c>
      <c r="E611" s="67">
        <v>7</v>
      </c>
      <c r="F611" s="67" t="s">
        <v>29</v>
      </c>
      <c r="G611" s="69">
        <v>45190</v>
      </c>
      <c r="H611" s="69" t="s">
        <v>1086</v>
      </c>
      <c r="I611" s="69" t="s">
        <v>78</v>
      </c>
      <c r="J611" s="67">
        <f>IFERROR(VLOOKUP(I611,Jueces!$A$1:$B$11,2,FALSE),"")</f>
        <v>8</v>
      </c>
      <c r="K611" s="67" t="s">
        <v>798</v>
      </c>
      <c r="L611" s="67" t="s">
        <v>723</v>
      </c>
    </row>
    <row r="612" spans="1:12" ht="30" customHeight="1">
      <c r="A612" s="179" t="str">
        <f t="shared" si="18"/>
        <v>22/09/20231</v>
      </c>
      <c r="B612" s="172">
        <f t="shared" si="19"/>
        <v>1</v>
      </c>
      <c r="C612" s="67" t="s">
        <v>2677</v>
      </c>
      <c r="D612" s="68" t="s">
        <v>2694</v>
      </c>
      <c r="E612" s="67">
        <v>7</v>
      </c>
      <c r="F612" s="67" t="s">
        <v>2775</v>
      </c>
      <c r="G612" s="69">
        <v>45191</v>
      </c>
      <c r="H612" s="69" t="s">
        <v>73</v>
      </c>
      <c r="I612" s="69" t="s">
        <v>35</v>
      </c>
      <c r="J612" s="67">
        <f>IFERROR(VLOOKUP(I612,Jueces!$A$1:$B$11,2,FALSE),"")</f>
        <v>3</v>
      </c>
      <c r="K612" s="67" t="s">
        <v>793</v>
      </c>
      <c r="L612" s="67" t="s">
        <v>697</v>
      </c>
    </row>
    <row r="613" spans="1:12" ht="30" customHeight="1">
      <c r="A613" s="179" t="str">
        <f t="shared" si="18"/>
        <v>22/09/20232</v>
      </c>
      <c r="B613" s="172">
        <f t="shared" si="19"/>
        <v>2</v>
      </c>
      <c r="C613" s="67" t="s">
        <v>2692</v>
      </c>
      <c r="D613" s="68" t="s">
        <v>2693</v>
      </c>
      <c r="E613" s="67">
        <v>7</v>
      </c>
      <c r="F613" s="67" t="s">
        <v>1443</v>
      </c>
      <c r="G613" s="69">
        <v>45191</v>
      </c>
      <c r="H613" s="69" t="s">
        <v>73</v>
      </c>
      <c r="I613" s="69" t="s">
        <v>1221</v>
      </c>
      <c r="J613" s="67">
        <f>IFERROR(VLOOKUP(I613,Jueces!$A$1:$B$11,2,FALSE),"")</f>
        <v>7</v>
      </c>
      <c r="K613" s="67" t="s">
        <v>806</v>
      </c>
      <c r="L613" s="67" t="s">
        <v>2736</v>
      </c>
    </row>
    <row r="614" spans="1:12" ht="30" customHeight="1">
      <c r="A614" s="179" t="str">
        <f t="shared" si="18"/>
        <v>22/09/20233</v>
      </c>
      <c r="B614" s="172">
        <f t="shared" si="19"/>
        <v>3</v>
      </c>
      <c r="C614" s="7" t="s">
        <v>2699</v>
      </c>
      <c r="D614" s="41" t="s">
        <v>2700</v>
      </c>
      <c r="E614" s="7">
        <v>7</v>
      </c>
      <c r="F614" s="7" t="s">
        <v>2776</v>
      </c>
      <c r="G614" s="19">
        <v>45191</v>
      </c>
      <c r="H614" s="19" t="s">
        <v>73</v>
      </c>
      <c r="I614" s="19" t="s">
        <v>78</v>
      </c>
      <c r="J614" s="7">
        <f>IFERROR(VLOOKUP(I614,Jueces!$A$1:$B$11,2,FALSE),"")</f>
        <v>8</v>
      </c>
      <c r="K614" s="7" t="s">
        <v>809</v>
      </c>
      <c r="L614" s="7" t="s">
        <v>725</v>
      </c>
    </row>
    <row r="615" spans="1:12" ht="30" customHeight="1">
      <c r="A615" s="179" t="str">
        <f t="shared" si="18"/>
        <v>22/09/20234</v>
      </c>
      <c r="B615" s="172">
        <f t="shared" si="19"/>
        <v>4</v>
      </c>
      <c r="C615" s="67" t="s">
        <v>2037</v>
      </c>
      <c r="D615" s="68" t="s">
        <v>2038</v>
      </c>
      <c r="E615" s="67">
        <v>5</v>
      </c>
      <c r="F615" s="67" t="s">
        <v>1442</v>
      </c>
      <c r="G615" s="69">
        <v>45191</v>
      </c>
      <c r="H615" s="69" t="s">
        <v>73</v>
      </c>
      <c r="I615" s="69" t="s">
        <v>31</v>
      </c>
      <c r="J615" s="67">
        <f>IFERROR(VLOOKUP(I615,Jueces!$A$1:$B$11,2,FALSE),"")</f>
        <v>2</v>
      </c>
      <c r="K615" s="67" t="s">
        <v>813</v>
      </c>
      <c r="L615" s="67" t="s">
        <v>1966</v>
      </c>
    </row>
    <row r="616" spans="1:12" ht="30" customHeight="1">
      <c r="A616" s="179" t="str">
        <f t="shared" si="18"/>
        <v>22/09/20235</v>
      </c>
      <c r="B616" s="172">
        <f t="shared" si="19"/>
        <v>5</v>
      </c>
      <c r="C616" s="67" t="s">
        <v>2752</v>
      </c>
      <c r="D616" s="68" t="s">
        <v>2753</v>
      </c>
      <c r="E616" s="67">
        <v>5</v>
      </c>
      <c r="F616" s="67" t="s">
        <v>1441</v>
      </c>
      <c r="G616" s="69">
        <v>45191</v>
      </c>
      <c r="H616" s="69" t="s">
        <v>73</v>
      </c>
      <c r="I616" s="69" t="s">
        <v>33</v>
      </c>
      <c r="J616" s="67">
        <f>IFERROR(VLOOKUP(I616,Jueces!$A$1:$B$11,2,FALSE),"")</f>
        <v>4</v>
      </c>
      <c r="K616" s="67" t="s">
        <v>803</v>
      </c>
      <c r="L616" s="67" t="s">
        <v>700</v>
      </c>
    </row>
    <row r="617" spans="1:12" ht="30" customHeight="1">
      <c r="A617" s="179" t="str">
        <f t="shared" si="18"/>
        <v>22/09/20236</v>
      </c>
      <c r="B617" s="172">
        <f t="shared" si="19"/>
        <v>6</v>
      </c>
      <c r="C617" s="67" t="s">
        <v>2838</v>
      </c>
      <c r="D617" s="68" t="s">
        <v>2614</v>
      </c>
      <c r="E617" s="67">
        <v>4</v>
      </c>
      <c r="F617" s="67" t="s">
        <v>283</v>
      </c>
      <c r="G617" s="69">
        <v>45191</v>
      </c>
      <c r="H617" s="69" t="s">
        <v>1086</v>
      </c>
      <c r="I617" s="69" t="s">
        <v>33</v>
      </c>
      <c r="J617" s="67">
        <f>IFERROR(VLOOKUP(I617,Jueces!$A$1:$B$11,2,FALSE),"")</f>
        <v>4</v>
      </c>
      <c r="K617" s="67" t="s">
        <v>1702</v>
      </c>
      <c r="L617" s="67" t="s">
        <v>2650</v>
      </c>
    </row>
    <row r="618" spans="1:12" ht="30" customHeight="1">
      <c r="A618" s="179" t="str">
        <f t="shared" si="18"/>
        <v>22/09/20237</v>
      </c>
      <c r="B618" s="172">
        <f t="shared" si="19"/>
        <v>7</v>
      </c>
      <c r="C618" s="67" t="s">
        <v>2717</v>
      </c>
      <c r="D618" s="68" t="s">
        <v>2718</v>
      </c>
      <c r="E618" s="67">
        <v>7</v>
      </c>
      <c r="F618" s="67" t="s">
        <v>568</v>
      </c>
      <c r="G618" s="69">
        <v>45191</v>
      </c>
      <c r="H618" s="69" t="s">
        <v>1086</v>
      </c>
      <c r="I618" s="69" t="s">
        <v>31</v>
      </c>
      <c r="J618" s="67" t="s">
        <v>1346</v>
      </c>
      <c r="K618" s="67" t="s">
        <v>688</v>
      </c>
      <c r="L618" s="67" t="s">
        <v>887</v>
      </c>
    </row>
    <row r="619" spans="1:12" ht="30" customHeight="1">
      <c r="A619" s="179" t="str">
        <f t="shared" si="18"/>
        <v>25/09/20231</v>
      </c>
      <c r="B619" s="172">
        <f t="shared" si="19"/>
        <v>1</v>
      </c>
      <c r="C619" s="67" t="s">
        <v>2055</v>
      </c>
      <c r="D619" s="68" t="s">
        <v>2697</v>
      </c>
      <c r="E619" s="67">
        <v>1</v>
      </c>
      <c r="F619" s="67" t="s">
        <v>43</v>
      </c>
      <c r="G619" s="69">
        <v>45194</v>
      </c>
      <c r="H619" s="69" t="s">
        <v>73</v>
      </c>
      <c r="I619" s="69" t="s">
        <v>31</v>
      </c>
      <c r="J619" s="67">
        <f>IFERROR(VLOOKUP(I619,Jueces!$A$1:$B$11,2,FALSE),"")</f>
        <v>2</v>
      </c>
      <c r="K619" s="67" t="s">
        <v>791</v>
      </c>
      <c r="L619" s="67" t="s">
        <v>2704</v>
      </c>
    </row>
    <row r="620" spans="1:12" ht="30" customHeight="1">
      <c r="A620" s="179" t="str">
        <f t="shared" si="18"/>
        <v>25/09/20232</v>
      </c>
      <c r="B620" s="172">
        <f t="shared" si="19"/>
        <v>2</v>
      </c>
      <c r="C620" s="67" t="s">
        <v>2713</v>
      </c>
      <c r="D620" s="68" t="s">
        <v>2714</v>
      </c>
      <c r="E620" s="67">
        <v>7</v>
      </c>
      <c r="F620" s="67" t="s">
        <v>283</v>
      </c>
      <c r="G620" s="69">
        <v>45194</v>
      </c>
      <c r="H620" s="69" t="s">
        <v>73</v>
      </c>
      <c r="I620" s="69" t="s">
        <v>33</v>
      </c>
      <c r="J620" s="67">
        <f>IFERROR(VLOOKUP(I620,Jueces!$A$1:$B$11,2,FALSE),"")</f>
        <v>4</v>
      </c>
      <c r="K620" s="67" t="s">
        <v>809</v>
      </c>
      <c r="L620" s="67" t="s">
        <v>700</v>
      </c>
    </row>
    <row r="621" spans="1:12" ht="30" customHeight="1">
      <c r="A621" s="179" t="str">
        <f t="shared" si="18"/>
        <v>25/09/20233</v>
      </c>
      <c r="B621" s="172">
        <f t="shared" si="19"/>
        <v>3</v>
      </c>
      <c r="C621" s="67" t="s">
        <v>2720</v>
      </c>
      <c r="D621" s="68" t="s">
        <v>2721</v>
      </c>
      <c r="E621" s="67">
        <v>7</v>
      </c>
      <c r="F621" s="67" t="s">
        <v>1441</v>
      </c>
      <c r="G621" s="69">
        <v>45194</v>
      </c>
      <c r="H621" s="69" t="s">
        <v>73</v>
      </c>
      <c r="I621" s="69" t="s">
        <v>35</v>
      </c>
      <c r="J621" s="67">
        <f>IFERROR(VLOOKUP(I621,Jueces!$A$1:$B$11,2,FALSE),"")</f>
        <v>3</v>
      </c>
      <c r="K621" s="67" t="s">
        <v>326</v>
      </c>
      <c r="L621" s="67" t="s">
        <v>723</v>
      </c>
    </row>
    <row r="622" spans="1:12" ht="30" customHeight="1">
      <c r="A622" s="179" t="str">
        <f t="shared" si="18"/>
        <v>25/09/20234</v>
      </c>
      <c r="B622" s="172">
        <f t="shared" si="19"/>
        <v>4</v>
      </c>
      <c r="C622" s="67" t="s">
        <v>2723</v>
      </c>
      <c r="D622" s="68" t="s">
        <v>2724</v>
      </c>
      <c r="E622" s="67">
        <v>5</v>
      </c>
      <c r="F622" s="67" t="s">
        <v>1443</v>
      </c>
      <c r="G622" s="69">
        <v>45194</v>
      </c>
      <c r="H622" s="69" t="s">
        <v>73</v>
      </c>
      <c r="I622" s="69" t="s">
        <v>78</v>
      </c>
      <c r="J622" s="67">
        <f>IFERROR(VLOOKUP(I622,Jueces!$A$1:$B$11,2,FALSE),"")</f>
        <v>8</v>
      </c>
      <c r="K622" s="67" t="s">
        <v>813</v>
      </c>
      <c r="L622" s="67" t="s">
        <v>783</v>
      </c>
    </row>
    <row r="623" spans="1:12" ht="30" customHeight="1">
      <c r="A623" s="179" t="str">
        <f t="shared" si="18"/>
        <v>25/09/20235</v>
      </c>
      <c r="B623" s="172">
        <f t="shared" si="19"/>
        <v>5</v>
      </c>
      <c r="C623" s="67" t="s">
        <v>2732</v>
      </c>
      <c r="D623" s="68" t="s">
        <v>2733</v>
      </c>
      <c r="E623" s="67">
        <v>8</v>
      </c>
      <c r="F623" s="67" t="s">
        <v>2774</v>
      </c>
      <c r="G623" s="69">
        <v>45194</v>
      </c>
      <c r="H623" s="69" t="s">
        <v>73</v>
      </c>
      <c r="I623" s="69" t="s">
        <v>1221</v>
      </c>
      <c r="J623" s="214" t="s">
        <v>1926</v>
      </c>
      <c r="K623" s="67" t="s">
        <v>799</v>
      </c>
      <c r="L623" s="67" t="s">
        <v>887</v>
      </c>
    </row>
    <row r="624" spans="1:12" ht="30" customHeight="1">
      <c r="A624" s="179" t="str">
        <f t="shared" si="18"/>
        <v>25/09/20236</v>
      </c>
      <c r="B624" s="172">
        <f t="shared" si="19"/>
        <v>6</v>
      </c>
      <c r="C624" s="67" t="s">
        <v>2754</v>
      </c>
      <c r="D624" s="68" t="s">
        <v>2755</v>
      </c>
      <c r="E624" s="67">
        <v>8</v>
      </c>
      <c r="F624" s="67" t="s">
        <v>29</v>
      </c>
      <c r="G624" s="69">
        <v>45194</v>
      </c>
      <c r="H624" s="69" t="s">
        <v>1086</v>
      </c>
      <c r="I624" s="69" t="s">
        <v>1221</v>
      </c>
      <c r="J624" s="214" t="s">
        <v>1926</v>
      </c>
      <c r="K624" s="67" t="s">
        <v>812</v>
      </c>
      <c r="L624" s="67" t="s">
        <v>1087</v>
      </c>
    </row>
    <row r="625" spans="1:12" ht="30" customHeight="1">
      <c r="A625" s="179" t="str">
        <f t="shared" si="18"/>
        <v>25/09/20237</v>
      </c>
      <c r="B625" s="172">
        <f t="shared" si="19"/>
        <v>7</v>
      </c>
      <c r="C625" s="67" t="s">
        <v>2770</v>
      </c>
      <c r="D625" s="68" t="s">
        <v>2771</v>
      </c>
      <c r="E625" s="67">
        <v>7</v>
      </c>
      <c r="F625" s="67" t="s">
        <v>2789</v>
      </c>
      <c r="G625" s="69">
        <v>45194</v>
      </c>
      <c r="H625" s="69" t="s">
        <v>1086</v>
      </c>
      <c r="I625" s="69" t="s">
        <v>33</v>
      </c>
      <c r="J625" s="67">
        <f>IFERROR(VLOOKUP(I625,Jueces!$A$1:$B$11,2,FALSE),"")</f>
        <v>4</v>
      </c>
      <c r="K625" s="67" t="s">
        <v>806</v>
      </c>
      <c r="L625" s="67" t="s">
        <v>767</v>
      </c>
    </row>
    <row r="626" spans="1:12" ht="30" customHeight="1">
      <c r="A626" s="179" t="str">
        <f t="shared" si="18"/>
        <v>25/09/20238</v>
      </c>
      <c r="B626" s="172">
        <f t="shared" si="19"/>
        <v>8</v>
      </c>
      <c r="C626" s="67" t="s">
        <v>2370</v>
      </c>
      <c r="D626" s="68" t="s">
        <v>2928</v>
      </c>
      <c r="E626" s="67">
        <v>5</v>
      </c>
      <c r="F626" s="67" t="s">
        <v>2839</v>
      </c>
      <c r="G626" s="69">
        <v>45194</v>
      </c>
      <c r="H626" s="69" t="s">
        <v>1086</v>
      </c>
      <c r="I626" s="69" t="s">
        <v>31</v>
      </c>
      <c r="J626" s="67">
        <f>IFERROR(VLOOKUP(I626,Jueces!$A$1:$B$11,2,FALSE),"")</f>
        <v>2</v>
      </c>
      <c r="K626" s="67" t="s">
        <v>405</v>
      </c>
      <c r="L626" s="67" t="s">
        <v>1966</v>
      </c>
    </row>
    <row r="627" spans="1:12" ht="30" customHeight="1">
      <c r="A627" s="179" t="str">
        <f t="shared" si="18"/>
        <v>26/09/20231</v>
      </c>
      <c r="B627" s="172">
        <f t="shared" si="19"/>
        <v>1</v>
      </c>
      <c r="C627" s="67" t="s">
        <v>2715</v>
      </c>
      <c r="D627" s="68" t="s">
        <v>2716</v>
      </c>
      <c r="E627" s="67">
        <v>7</v>
      </c>
      <c r="F627" s="67" t="s">
        <v>1443</v>
      </c>
      <c r="G627" s="69">
        <v>45195</v>
      </c>
      <c r="H627" s="69" t="s">
        <v>73</v>
      </c>
      <c r="I627" s="69" t="s">
        <v>78</v>
      </c>
      <c r="J627" s="67">
        <f>IFERROR(VLOOKUP(I627,Jueces!$A$1:$B$11,2,FALSE),"")</f>
        <v>8</v>
      </c>
      <c r="K627" s="67" t="s">
        <v>688</v>
      </c>
      <c r="L627" s="67" t="s">
        <v>2778</v>
      </c>
    </row>
    <row r="628" spans="1:12" ht="30" customHeight="1">
      <c r="A628" s="179" t="str">
        <f t="shared" si="18"/>
        <v>26/09/20232</v>
      </c>
      <c r="B628" s="172">
        <f t="shared" si="19"/>
        <v>2</v>
      </c>
      <c r="C628" s="67" t="s">
        <v>2727</v>
      </c>
      <c r="D628" s="68" t="s">
        <v>2918</v>
      </c>
      <c r="E628" s="67">
        <v>7</v>
      </c>
      <c r="F628" s="67" t="s">
        <v>1441</v>
      </c>
      <c r="G628" s="69">
        <v>45195</v>
      </c>
      <c r="H628" s="69" t="s">
        <v>73</v>
      </c>
      <c r="I628" s="69" t="s">
        <v>31</v>
      </c>
      <c r="J628" s="67">
        <f>IFERROR(VLOOKUP(I628,Jueces!$A$1:$B$11,2,FALSE),"")</f>
        <v>2</v>
      </c>
      <c r="K628" s="67" t="s">
        <v>789</v>
      </c>
      <c r="L628" s="67" t="s">
        <v>711</v>
      </c>
    </row>
    <row r="629" spans="1:12" ht="30" customHeight="1">
      <c r="A629" s="179" t="str">
        <f t="shared" si="18"/>
        <v>26/09/20233</v>
      </c>
      <c r="B629" s="172">
        <f t="shared" si="19"/>
        <v>3</v>
      </c>
      <c r="C629" s="67" t="s">
        <v>2740</v>
      </c>
      <c r="D629" s="68" t="s">
        <v>2741</v>
      </c>
      <c r="E629" s="67">
        <v>7</v>
      </c>
      <c r="F629" s="67" t="s">
        <v>29</v>
      </c>
      <c r="G629" s="69">
        <v>45195</v>
      </c>
      <c r="H629" s="69" t="s">
        <v>73</v>
      </c>
      <c r="I629" s="69" t="s">
        <v>33</v>
      </c>
      <c r="J629" s="67">
        <f>IFERROR(VLOOKUP(I629,Jueces!$A$1:$B$11,2,FALSE),"")</f>
        <v>4</v>
      </c>
      <c r="K629" s="67" t="s">
        <v>807</v>
      </c>
      <c r="L629" s="67" t="s">
        <v>767</v>
      </c>
    </row>
    <row r="630" spans="1:12" ht="30" customHeight="1">
      <c r="A630" s="179" t="str">
        <f t="shared" si="18"/>
        <v>26/09/20234</v>
      </c>
      <c r="B630" s="172">
        <f t="shared" si="19"/>
        <v>4</v>
      </c>
      <c r="C630" s="67" t="s">
        <v>2742</v>
      </c>
      <c r="D630" s="68" t="s">
        <v>2743</v>
      </c>
      <c r="E630" s="67">
        <v>5</v>
      </c>
      <c r="F630" s="67" t="s">
        <v>43</v>
      </c>
      <c r="G630" s="69">
        <v>45195</v>
      </c>
      <c r="H630" s="69" t="s">
        <v>73</v>
      </c>
      <c r="I630" s="69" t="s">
        <v>1221</v>
      </c>
      <c r="J630" s="214" t="s">
        <v>1926</v>
      </c>
      <c r="K630" s="67" t="s">
        <v>829</v>
      </c>
      <c r="L630" s="67" t="s">
        <v>2704</v>
      </c>
    </row>
    <row r="631" spans="1:12" ht="30" customHeight="1">
      <c r="A631" s="179" t="str">
        <f t="shared" si="18"/>
        <v>26/09/20235</v>
      </c>
      <c r="B631" s="172">
        <f t="shared" si="19"/>
        <v>5</v>
      </c>
      <c r="C631" s="67" t="s">
        <v>2790</v>
      </c>
      <c r="D631" s="68" t="s">
        <v>2898</v>
      </c>
      <c r="E631" s="67">
        <v>8</v>
      </c>
      <c r="F631" s="67" t="s">
        <v>1442</v>
      </c>
      <c r="G631" s="69">
        <v>45195</v>
      </c>
      <c r="H631" s="69" t="s">
        <v>73</v>
      </c>
      <c r="I631" s="69" t="s">
        <v>35</v>
      </c>
      <c r="J631" s="67">
        <f>IFERROR(VLOOKUP(I631,Jueces!$A$1:$B$11,2,FALSE),"")</f>
        <v>3</v>
      </c>
      <c r="K631" s="67" t="s">
        <v>2089</v>
      </c>
      <c r="L631" s="67" t="s">
        <v>887</v>
      </c>
    </row>
    <row r="632" spans="1:12" ht="30" customHeight="1">
      <c r="A632" s="179" t="str">
        <f t="shared" si="18"/>
        <v>26/09/20236</v>
      </c>
      <c r="B632" s="172">
        <f t="shared" si="19"/>
        <v>6</v>
      </c>
      <c r="C632" s="67" t="s">
        <v>2745</v>
      </c>
      <c r="D632" s="68" t="s">
        <v>2799</v>
      </c>
      <c r="E632" s="67">
        <v>8</v>
      </c>
      <c r="F632" s="67" t="s">
        <v>2776</v>
      </c>
      <c r="G632" s="69">
        <v>45195</v>
      </c>
      <c r="H632" s="69" t="s">
        <v>1086</v>
      </c>
      <c r="I632" s="69" t="s">
        <v>1221</v>
      </c>
      <c r="J632" s="214" t="s">
        <v>1926</v>
      </c>
      <c r="K632" s="67" t="s">
        <v>790</v>
      </c>
      <c r="L632" s="67" t="s">
        <v>1087</v>
      </c>
    </row>
    <row r="633" spans="1:12" ht="30" customHeight="1">
      <c r="A633" s="179" t="str">
        <f t="shared" si="18"/>
        <v>26/09/20237</v>
      </c>
      <c r="B633" s="172">
        <f t="shared" si="19"/>
        <v>7</v>
      </c>
      <c r="C633" s="67" t="s">
        <v>2763</v>
      </c>
      <c r="D633" s="68" t="s">
        <v>2764</v>
      </c>
      <c r="E633" s="67">
        <v>8</v>
      </c>
      <c r="F633" s="67" t="s">
        <v>283</v>
      </c>
      <c r="G633" s="69">
        <v>45195</v>
      </c>
      <c r="H633" s="69" t="s">
        <v>1086</v>
      </c>
      <c r="I633" s="69" t="s">
        <v>33</v>
      </c>
      <c r="J633" s="67">
        <f>IFERROR(VLOOKUP(I633,Jueces!$A$1:$B$11,2,FALSE),"")</f>
        <v>4</v>
      </c>
      <c r="K633" s="67" t="s">
        <v>806</v>
      </c>
      <c r="L633" s="67" t="s">
        <v>887</v>
      </c>
    </row>
    <row r="634" spans="1:12" ht="30" customHeight="1">
      <c r="A634" s="179" t="str">
        <f t="shared" si="18"/>
        <v>26/09/20238</v>
      </c>
      <c r="B634" s="172">
        <f t="shared" si="19"/>
        <v>8</v>
      </c>
      <c r="C634" s="67" t="s">
        <v>2779</v>
      </c>
      <c r="D634" s="68" t="s">
        <v>2780</v>
      </c>
      <c r="E634" s="67">
        <v>7</v>
      </c>
      <c r="F634" s="67" t="s">
        <v>2775</v>
      </c>
      <c r="G634" s="69">
        <v>45195</v>
      </c>
      <c r="H634" s="69" t="s">
        <v>1086</v>
      </c>
      <c r="I634" s="69" t="s">
        <v>31</v>
      </c>
      <c r="J634" s="67">
        <f>IFERROR(VLOOKUP(I634,Jueces!$A$1:$B$11,2,FALSE),"")</f>
        <v>2</v>
      </c>
      <c r="K634" s="67" t="s">
        <v>405</v>
      </c>
      <c r="L634" s="67" t="s">
        <v>725</v>
      </c>
    </row>
    <row r="635" spans="1:12" ht="30" customHeight="1">
      <c r="A635" s="179" t="str">
        <f t="shared" si="18"/>
        <v>27/09/20231</v>
      </c>
      <c r="B635" s="172">
        <f t="shared" si="19"/>
        <v>1</v>
      </c>
      <c r="C635" s="67" t="s">
        <v>2747</v>
      </c>
      <c r="D635" s="68" t="s">
        <v>2760</v>
      </c>
      <c r="E635" s="67">
        <v>7</v>
      </c>
      <c r="F635" s="67" t="s">
        <v>1441</v>
      </c>
      <c r="G635" s="69">
        <v>45196</v>
      </c>
      <c r="H635" s="69" t="s">
        <v>73</v>
      </c>
      <c r="I635" s="69" t="s">
        <v>1221</v>
      </c>
      <c r="J635" s="67" t="s">
        <v>2395</v>
      </c>
      <c r="K635" s="67" t="s">
        <v>688</v>
      </c>
      <c r="L635" s="67" t="s">
        <v>2759</v>
      </c>
    </row>
    <row r="636" spans="1:12" ht="30" customHeight="1">
      <c r="A636" s="179" t="str">
        <f t="shared" si="18"/>
        <v>27/09/20232</v>
      </c>
      <c r="B636" s="172">
        <f t="shared" si="19"/>
        <v>2</v>
      </c>
      <c r="C636" s="67" t="s">
        <v>2782</v>
      </c>
      <c r="D636" s="68" t="s">
        <v>2798</v>
      </c>
      <c r="E636" s="67">
        <v>8</v>
      </c>
      <c r="F636" s="67" t="s">
        <v>2789</v>
      </c>
      <c r="G636" s="69">
        <v>45196</v>
      </c>
      <c r="H636" s="69" t="s">
        <v>73</v>
      </c>
      <c r="I636" s="69" t="s">
        <v>31</v>
      </c>
      <c r="J636" s="67">
        <f>IFERROR(VLOOKUP(I636,Jueces!$A$1:$B$11,2,FALSE),"")</f>
        <v>2</v>
      </c>
      <c r="K636" s="67" t="s">
        <v>3021</v>
      </c>
      <c r="L636" s="67" t="s">
        <v>3020</v>
      </c>
    </row>
    <row r="637" spans="1:12" ht="30" customHeight="1">
      <c r="A637" s="179" t="str">
        <f t="shared" si="18"/>
        <v>27/09/20233</v>
      </c>
      <c r="B637" s="172">
        <f t="shared" si="19"/>
        <v>3</v>
      </c>
      <c r="C637" s="67" t="s">
        <v>2805</v>
      </c>
      <c r="D637" s="68" t="s">
        <v>2806</v>
      </c>
      <c r="E637" s="67">
        <v>7</v>
      </c>
      <c r="F637" s="67" t="s">
        <v>43</v>
      </c>
      <c r="G637" s="69">
        <v>45196</v>
      </c>
      <c r="H637" s="69" t="s">
        <v>73</v>
      </c>
      <c r="I637" s="69" t="s">
        <v>78</v>
      </c>
      <c r="J637" s="67">
        <f>IFERROR(VLOOKUP(I637,Jueces!$A$1:$B$11,2,FALSE),"")</f>
        <v>8</v>
      </c>
      <c r="K637" s="67" t="s">
        <v>807</v>
      </c>
      <c r="L637" s="67" t="s">
        <v>767</v>
      </c>
    </row>
    <row r="638" spans="1:12" ht="30" customHeight="1">
      <c r="A638" s="179" t="str">
        <f t="shared" si="18"/>
        <v>27/09/20234</v>
      </c>
      <c r="B638" s="172">
        <f t="shared" si="19"/>
        <v>4</v>
      </c>
      <c r="C638" s="67" t="s">
        <v>2826</v>
      </c>
      <c r="D638" s="68" t="s">
        <v>2827</v>
      </c>
      <c r="E638" s="67">
        <v>7</v>
      </c>
      <c r="F638" s="67" t="s">
        <v>2776</v>
      </c>
      <c r="G638" s="69">
        <v>45196</v>
      </c>
      <c r="H638" s="69" t="s">
        <v>73</v>
      </c>
      <c r="I638" s="69" t="s">
        <v>2952</v>
      </c>
      <c r="J638" s="67" t="s">
        <v>1926</v>
      </c>
      <c r="K638" s="67" t="s">
        <v>2738</v>
      </c>
      <c r="L638" s="67" t="s">
        <v>1027</v>
      </c>
    </row>
    <row r="639" spans="1:12" ht="30" customHeight="1">
      <c r="A639" s="179" t="str">
        <f t="shared" si="18"/>
        <v>27/09/20235</v>
      </c>
      <c r="B639" s="172">
        <f t="shared" si="19"/>
        <v>5</v>
      </c>
      <c r="C639" s="67" t="s">
        <v>2781</v>
      </c>
      <c r="D639" s="68" t="s">
        <v>2816</v>
      </c>
      <c r="E639" s="67">
        <v>8</v>
      </c>
      <c r="F639" s="67" t="s">
        <v>2774</v>
      </c>
      <c r="G639" s="69">
        <v>45196</v>
      </c>
      <c r="H639" s="69" t="s">
        <v>1086</v>
      </c>
      <c r="I639" s="69" t="s">
        <v>33</v>
      </c>
      <c r="J639" s="67">
        <f>IFERROR(VLOOKUP(I639,Jueces!$A$1:$B$11,2,FALSE),"")</f>
        <v>4</v>
      </c>
      <c r="K639" s="67" t="s">
        <v>809</v>
      </c>
      <c r="L639" s="67" t="s">
        <v>1087</v>
      </c>
    </row>
    <row r="640" spans="1:12" ht="30" customHeight="1">
      <c r="A640" s="179" t="str">
        <f t="shared" si="18"/>
        <v>27/09/20236</v>
      </c>
      <c r="B640" s="172">
        <f t="shared" si="19"/>
        <v>6</v>
      </c>
      <c r="C640" s="67" t="s">
        <v>2785</v>
      </c>
      <c r="D640" s="68" t="s">
        <v>2786</v>
      </c>
      <c r="E640" s="67">
        <v>7</v>
      </c>
      <c r="F640" s="67" t="s">
        <v>568</v>
      </c>
      <c r="G640" s="69">
        <v>45196</v>
      </c>
      <c r="H640" s="69" t="s">
        <v>1086</v>
      </c>
      <c r="I640" s="69" t="s">
        <v>31</v>
      </c>
      <c r="J640" s="67">
        <f>IFERROR(VLOOKUP(I640,Jueces!$A$1:$B$11,2,FALSE),"")</f>
        <v>2</v>
      </c>
      <c r="K640" s="67" t="s">
        <v>806</v>
      </c>
      <c r="L640" s="67" t="s">
        <v>2778</v>
      </c>
    </row>
    <row r="641" spans="1:12" ht="30" customHeight="1">
      <c r="A641" s="179" t="str">
        <f t="shared" si="18"/>
        <v>27/09/20237</v>
      </c>
      <c r="B641" s="172">
        <f t="shared" si="19"/>
        <v>7</v>
      </c>
      <c r="C641" s="67" t="s">
        <v>2824</v>
      </c>
      <c r="D641" s="68" t="s">
        <v>2825</v>
      </c>
      <c r="E641" s="67">
        <v>7</v>
      </c>
      <c r="F641" s="67" t="s">
        <v>2775</v>
      </c>
      <c r="G641" s="69">
        <v>45196</v>
      </c>
      <c r="H641" s="69" t="s">
        <v>1086</v>
      </c>
      <c r="I641" s="69" t="s">
        <v>35</v>
      </c>
      <c r="J641" s="67">
        <f>IFERROR(VLOOKUP(I641,Jueces!$A$1:$B$11,2,FALSE),"")</f>
        <v>3</v>
      </c>
      <c r="K641" s="67" t="s">
        <v>812</v>
      </c>
      <c r="L641" s="67" t="s">
        <v>767</v>
      </c>
    </row>
    <row r="642" spans="1:12" ht="30" customHeight="1">
      <c r="A642" s="179" t="str">
        <f t="shared" si="18"/>
        <v>27/09/20238</v>
      </c>
      <c r="B642" s="172">
        <f t="shared" si="19"/>
        <v>8</v>
      </c>
      <c r="C642" s="67" t="s">
        <v>2767</v>
      </c>
      <c r="D642" s="68" t="s">
        <v>2768</v>
      </c>
      <c r="E642" s="67">
        <v>8</v>
      </c>
      <c r="F642" s="67" t="s">
        <v>29</v>
      </c>
      <c r="G642" s="69">
        <v>45196</v>
      </c>
      <c r="H642" s="69" t="s">
        <v>989</v>
      </c>
      <c r="I642" s="69" t="s">
        <v>1221</v>
      </c>
      <c r="J642" s="67" t="s">
        <v>1926</v>
      </c>
      <c r="K642" s="67" t="s">
        <v>2091</v>
      </c>
      <c r="L642" s="67" t="s">
        <v>1087</v>
      </c>
    </row>
    <row r="643" spans="1:12" ht="30" customHeight="1">
      <c r="A643" s="179" t="str">
        <f t="shared" ref="A643:A706" si="20">CONCATENATE(TEXT($G643,"dd/mm/yyyy"),$B643)</f>
        <v>28/09/20231</v>
      </c>
      <c r="B643" s="172">
        <f t="shared" si="19"/>
        <v>1</v>
      </c>
      <c r="C643" s="67" t="s">
        <v>2784</v>
      </c>
      <c r="D643" s="68" t="s">
        <v>2828</v>
      </c>
      <c r="E643" s="67">
        <v>8</v>
      </c>
      <c r="F643" s="67" t="s">
        <v>2839</v>
      </c>
      <c r="G643" s="69">
        <v>45197</v>
      </c>
      <c r="H643" s="69" t="s">
        <v>73</v>
      </c>
      <c r="I643" s="69" t="s">
        <v>78</v>
      </c>
      <c r="J643" s="67">
        <f>IFERROR(VLOOKUP(I643,Jueces!$A$1:$B$11,2,FALSE),"")</f>
        <v>8</v>
      </c>
      <c r="K643" s="67" t="s">
        <v>812</v>
      </c>
      <c r="L643" s="67" t="s">
        <v>3020</v>
      </c>
    </row>
    <row r="644" spans="1:12" ht="30" customHeight="1">
      <c r="A644" s="179" t="str">
        <f t="shared" si="20"/>
        <v>28/09/20232</v>
      </c>
      <c r="B644" s="172">
        <f t="shared" ref="B644:B707" si="21">IF($G644=$G643,$B643+1,1)</f>
        <v>2</v>
      </c>
      <c r="C644" s="67" t="s">
        <v>2746</v>
      </c>
      <c r="D644" s="68" t="s">
        <v>2791</v>
      </c>
      <c r="E644" s="67">
        <v>8</v>
      </c>
      <c r="F644" s="67" t="s">
        <v>1441</v>
      </c>
      <c r="G644" s="69">
        <v>45197</v>
      </c>
      <c r="H644" s="69" t="s">
        <v>1086</v>
      </c>
      <c r="I644" s="69" t="s">
        <v>1225</v>
      </c>
      <c r="J644" s="67">
        <f>IFERROR(VLOOKUP(I644,Jueces!$A$1:$B$11,2,FALSE),"")</f>
        <v>6</v>
      </c>
      <c r="K644" s="67" t="s">
        <v>813</v>
      </c>
      <c r="L644" s="67" t="s">
        <v>1087</v>
      </c>
    </row>
    <row r="645" spans="1:12" ht="30" customHeight="1">
      <c r="A645" s="179" t="str">
        <f t="shared" si="20"/>
        <v>28/09/20233</v>
      </c>
      <c r="B645" s="172">
        <f t="shared" si="21"/>
        <v>3</v>
      </c>
      <c r="C645" s="67" t="s">
        <v>2915</v>
      </c>
      <c r="D645" s="68" t="s">
        <v>2927</v>
      </c>
      <c r="E645" s="67">
        <v>1</v>
      </c>
      <c r="F645" s="67" t="s">
        <v>43</v>
      </c>
      <c r="G645" s="69">
        <v>45197</v>
      </c>
      <c r="H645" s="69" t="s">
        <v>1086</v>
      </c>
      <c r="I645" s="69" t="s">
        <v>31</v>
      </c>
      <c r="J645" s="67">
        <f>IFERROR(VLOOKUP(I645,Jueces!$A$1:$B$11,2,FALSE),"")</f>
        <v>2</v>
      </c>
      <c r="K645" s="67" t="s">
        <v>2738</v>
      </c>
      <c r="L645" s="67" t="s">
        <v>711</v>
      </c>
    </row>
    <row r="646" spans="1:12" ht="30" customHeight="1">
      <c r="A646" s="179" t="str">
        <f t="shared" si="20"/>
        <v>28/09/20234</v>
      </c>
      <c r="B646" s="172">
        <f t="shared" si="21"/>
        <v>4</v>
      </c>
      <c r="C646" s="67" t="s">
        <v>2808</v>
      </c>
      <c r="D646" s="68" t="s">
        <v>2809</v>
      </c>
      <c r="E646" s="67">
        <v>8</v>
      </c>
      <c r="F646" s="67" t="s">
        <v>283</v>
      </c>
      <c r="G646" s="69">
        <v>45197</v>
      </c>
      <c r="H646" s="69" t="s">
        <v>1210</v>
      </c>
      <c r="I646" s="69" t="s">
        <v>78</v>
      </c>
      <c r="J646" s="67">
        <f>IFERROR(VLOOKUP(I646,Jueces!$A$1:$B$11,2,FALSE),"")</f>
        <v>8</v>
      </c>
      <c r="K646" s="67" t="s">
        <v>813</v>
      </c>
      <c r="L646" s="67" t="s">
        <v>2935</v>
      </c>
    </row>
    <row r="647" spans="1:12" ht="30" customHeight="1">
      <c r="A647" s="179" t="str">
        <f t="shared" si="20"/>
        <v>28/09/20235</v>
      </c>
      <c r="B647" s="172">
        <f t="shared" si="21"/>
        <v>5</v>
      </c>
      <c r="C647" s="67" t="s">
        <v>2802</v>
      </c>
      <c r="D647" s="68" t="s">
        <v>2960</v>
      </c>
      <c r="E647" s="67">
        <v>8</v>
      </c>
      <c r="F647" s="67" t="s">
        <v>1443</v>
      </c>
      <c r="G647" s="69">
        <v>45197</v>
      </c>
      <c r="H647" s="69" t="s">
        <v>989</v>
      </c>
      <c r="I647" s="69" t="s">
        <v>1221</v>
      </c>
      <c r="J647" s="67">
        <f>IFERROR(VLOOKUP(I647,Jueces!$A$1:$B$11,2,FALSE),"")</f>
        <v>7</v>
      </c>
      <c r="K647" s="67" t="s">
        <v>3072</v>
      </c>
      <c r="L647" s="67" t="s">
        <v>1087</v>
      </c>
    </row>
    <row r="648" spans="1:12" ht="30" customHeight="1">
      <c r="A648" s="179" t="str">
        <f t="shared" si="20"/>
        <v>29/09/20231</v>
      </c>
      <c r="B648" s="172">
        <f t="shared" si="21"/>
        <v>1</v>
      </c>
      <c r="C648" s="67" t="s">
        <v>2761</v>
      </c>
      <c r="D648" s="68" t="s">
        <v>2635</v>
      </c>
      <c r="E648" s="67">
        <v>8</v>
      </c>
      <c r="F648" s="67" t="s">
        <v>2774</v>
      </c>
      <c r="G648" s="69">
        <v>45198</v>
      </c>
      <c r="H648" s="69" t="s">
        <v>73</v>
      </c>
      <c r="I648" s="69" t="s">
        <v>33</v>
      </c>
      <c r="J648" s="67">
        <f>IFERROR(VLOOKUP(I648,Jueces!$A$1:$B$11,2,FALSE),"")</f>
        <v>4</v>
      </c>
      <c r="K648" s="67" t="s">
        <v>813</v>
      </c>
      <c r="L648" s="67" t="s">
        <v>1032</v>
      </c>
    </row>
    <row r="649" spans="1:12" ht="30" customHeight="1">
      <c r="A649" s="179" t="str">
        <f t="shared" si="20"/>
        <v>29/09/20232</v>
      </c>
      <c r="B649" s="172">
        <f t="shared" si="21"/>
        <v>2</v>
      </c>
      <c r="C649" s="67" t="s">
        <v>2719</v>
      </c>
      <c r="D649" s="68" t="s">
        <v>2734</v>
      </c>
      <c r="E649" s="67">
        <v>3</v>
      </c>
      <c r="F649" s="67" t="s">
        <v>2789</v>
      </c>
      <c r="G649" s="69">
        <v>45198</v>
      </c>
      <c r="H649" s="69" t="s">
        <v>73</v>
      </c>
      <c r="I649" s="69" t="s">
        <v>35</v>
      </c>
      <c r="J649" s="67">
        <f>IFERROR(VLOOKUP(I649,Jueces!$A$1:$B$11,2,FALSE),"")</f>
        <v>3</v>
      </c>
      <c r="K649" s="67" t="s">
        <v>802</v>
      </c>
      <c r="L649" s="67" t="s">
        <v>2735</v>
      </c>
    </row>
    <row r="650" spans="1:12" ht="30" customHeight="1">
      <c r="A650" s="179" t="str">
        <f t="shared" si="20"/>
        <v>29/09/20233</v>
      </c>
      <c r="B650" s="172">
        <f t="shared" si="21"/>
        <v>3</v>
      </c>
      <c r="C650" s="67" t="s">
        <v>2811</v>
      </c>
      <c r="D650" s="68" t="s">
        <v>2872</v>
      </c>
      <c r="E650" s="67">
        <v>4</v>
      </c>
      <c r="F650" s="67" t="s">
        <v>283</v>
      </c>
      <c r="G650" s="69">
        <v>45198</v>
      </c>
      <c r="H650" s="69" t="s">
        <v>73</v>
      </c>
      <c r="I650" s="69" t="s">
        <v>31</v>
      </c>
      <c r="J650" s="67">
        <f>IFERROR(VLOOKUP(I650,Jueces!$A$1:$B$11,2,FALSE),"")</f>
        <v>2</v>
      </c>
      <c r="K650" s="67" t="s">
        <v>798</v>
      </c>
      <c r="L650" s="67" t="s">
        <v>887</v>
      </c>
    </row>
    <row r="651" spans="1:12" ht="30" customHeight="1">
      <c r="A651" s="179" t="str">
        <f t="shared" si="20"/>
        <v>29/09/20234</v>
      </c>
      <c r="B651" s="172">
        <f t="shared" si="21"/>
        <v>4</v>
      </c>
      <c r="C651" s="67" t="s">
        <v>2848</v>
      </c>
      <c r="D651" s="68" t="s">
        <v>3062</v>
      </c>
      <c r="E651" s="67">
        <v>8</v>
      </c>
      <c r="F651" s="67" t="s">
        <v>29</v>
      </c>
      <c r="G651" s="69">
        <v>45198</v>
      </c>
      <c r="H651" s="69" t="s">
        <v>73</v>
      </c>
      <c r="I651" s="69" t="s">
        <v>78</v>
      </c>
      <c r="J651" s="67">
        <f>IFERROR(VLOOKUP(I651,Jueces!$A$1:$B$11,2,FALSE),"")</f>
        <v>8</v>
      </c>
      <c r="K651" s="67" t="s">
        <v>791</v>
      </c>
      <c r="L651" s="67" t="s">
        <v>1087</v>
      </c>
    </row>
    <row r="652" spans="1:12" ht="30" customHeight="1">
      <c r="A652" s="179" t="str">
        <f t="shared" si="20"/>
        <v>29/09/20235</v>
      </c>
      <c r="B652" s="172">
        <f t="shared" si="21"/>
        <v>5</v>
      </c>
      <c r="C652" s="67" t="s">
        <v>2787</v>
      </c>
      <c r="D652" s="68" t="s">
        <v>2788</v>
      </c>
      <c r="E652" s="67">
        <v>8</v>
      </c>
      <c r="F652" s="67" t="s">
        <v>1443</v>
      </c>
      <c r="G652" s="69">
        <v>45198</v>
      </c>
      <c r="H652" s="69" t="s">
        <v>1086</v>
      </c>
      <c r="I652" s="69" t="s">
        <v>1225</v>
      </c>
      <c r="J652" s="67">
        <f>IFERROR(VLOOKUP(I652,Jueces!$A$1:$B$11,2,FALSE),"")</f>
        <v>6</v>
      </c>
      <c r="K652" s="67" t="s">
        <v>2095</v>
      </c>
      <c r="L652" s="67" t="s">
        <v>2829</v>
      </c>
    </row>
    <row r="653" spans="1:12" ht="30" customHeight="1">
      <c r="A653" s="179" t="str">
        <f t="shared" si="20"/>
        <v>29/09/20236</v>
      </c>
      <c r="B653" s="172">
        <f t="shared" si="21"/>
        <v>6</v>
      </c>
      <c r="C653" s="67" t="s">
        <v>2810</v>
      </c>
      <c r="D653" s="68" t="s">
        <v>2891</v>
      </c>
      <c r="E653" s="67">
        <v>8</v>
      </c>
      <c r="F653" s="67" t="s">
        <v>43</v>
      </c>
      <c r="G653" s="69">
        <v>45198</v>
      </c>
      <c r="H653" s="69" t="s">
        <v>1086</v>
      </c>
      <c r="I653" s="69" t="s">
        <v>2952</v>
      </c>
      <c r="J653" s="67" t="s">
        <v>1520</v>
      </c>
      <c r="K653" s="67" t="s">
        <v>789</v>
      </c>
      <c r="L653" s="67" t="s">
        <v>767</v>
      </c>
    </row>
    <row r="654" spans="1:12" ht="30" customHeight="1">
      <c r="A654" s="179" t="str">
        <f t="shared" si="20"/>
        <v>29/09/20237</v>
      </c>
      <c r="B654" s="172">
        <f t="shared" si="21"/>
        <v>7</v>
      </c>
      <c r="C654" s="67" t="s">
        <v>2852</v>
      </c>
      <c r="D654" s="68" t="s">
        <v>2854</v>
      </c>
      <c r="E654" s="67">
        <v>8</v>
      </c>
      <c r="F654" s="67" t="s">
        <v>2839</v>
      </c>
      <c r="G654" s="69">
        <v>45198</v>
      </c>
      <c r="H654" s="69" t="s">
        <v>1086</v>
      </c>
      <c r="I654" s="69" t="s">
        <v>1732</v>
      </c>
      <c r="J654" s="67" t="s">
        <v>2305</v>
      </c>
      <c r="K654" s="67" t="s">
        <v>2738</v>
      </c>
      <c r="L654" s="67" t="s">
        <v>887</v>
      </c>
    </row>
    <row r="655" spans="1:12" ht="30" customHeight="1">
      <c r="A655" s="179" t="str">
        <f t="shared" si="20"/>
        <v>29/09/20238</v>
      </c>
      <c r="B655" s="172">
        <f t="shared" si="21"/>
        <v>8</v>
      </c>
      <c r="C655" s="67" t="s">
        <v>2818</v>
      </c>
      <c r="D655" s="68" t="s">
        <v>2890</v>
      </c>
      <c r="E655" s="67">
        <v>8</v>
      </c>
      <c r="F655" s="67" t="s">
        <v>1442</v>
      </c>
      <c r="G655" s="69">
        <v>45198</v>
      </c>
      <c r="H655" s="69" t="s">
        <v>989</v>
      </c>
      <c r="I655" s="69" t="s">
        <v>31</v>
      </c>
      <c r="J655" s="67">
        <f>IFERROR(VLOOKUP(I655,Jueces!$A$1:$B$11,2,FALSE),"")</f>
        <v>2</v>
      </c>
      <c r="K655" s="67" t="s">
        <v>807</v>
      </c>
      <c r="L655" s="67" t="s">
        <v>887</v>
      </c>
    </row>
    <row r="656" spans="1:12" ht="30" customHeight="1">
      <c r="A656" s="179" t="str">
        <f t="shared" si="20"/>
        <v>29/09/20239</v>
      </c>
      <c r="B656" s="172">
        <f t="shared" si="21"/>
        <v>9</v>
      </c>
      <c r="C656" s="67" t="s">
        <v>2849</v>
      </c>
      <c r="D656" s="68" t="s">
        <v>2850</v>
      </c>
      <c r="E656" s="67">
        <v>8</v>
      </c>
      <c r="F656" s="67" t="s">
        <v>2776</v>
      </c>
      <c r="G656" s="69">
        <v>45198</v>
      </c>
      <c r="H656" s="69" t="s">
        <v>2021</v>
      </c>
      <c r="I656" s="69" t="s">
        <v>33</v>
      </c>
      <c r="J656" s="67">
        <f>IFERROR(VLOOKUP(I656,Jueces!$A$1:$B$11,2,FALSE),"")</f>
        <v>4</v>
      </c>
      <c r="K656" s="67" t="s">
        <v>800</v>
      </c>
      <c r="L656" s="67" t="s">
        <v>2992</v>
      </c>
    </row>
    <row r="657" spans="1:12" ht="30" customHeight="1">
      <c r="A657" s="179" t="str">
        <f t="shared" si="20"/>
        <v>02/10/20231</v>
      </c>
      <c r="B657" s="172">
        <f t="shared" si="21"/>
        <v>1</v>
      </c>
      <c r="C657" s="83" t="s">
        <v>2725</v>
      </c>
      <c r="D657" s="84" t="s">
        <v>2726</v>
      </c>
      <c r="E657" s="83">
        <v>7</v>
      </c>
      <c r="F657" s="83" t="s">
        <v>2776</v>
      </c>
      <c r="G657" s="85">
        <v>45201</v>
      </c>
      <c r="H657" s="85" t="s">
        <v>73</v>
      </c>
      <c r="I657" s="85" t="s">
        <v>35</v>
      </c>
      <c r="J657" s="83">
        <f>IFERROR(VLOOKUP(I657,Jueces!$A$1:$B$11,2,FALSE),"")</f>
        <v>3</v>
      </c>
      <c r="K657" s="83" t="s">
        <v>810</v>
      </c>
      <c r="L657" s="83" t="s">
        <v>2769</v>
      </c>
    </row>
    <row r="658" spans="1:12" ht="30" customHeight="1">
      <c r="A658" s="179" t="str">
        <f t="shared" si="20"/>
        <v>02/10/20232</v>
      </c>
      <c r="B658" s="172">
        <f t="shared" si="21"/>
        <v>2</v>
      </c>
      <c r="C658" s="83" t="s">
        <v>2847</v>
      </c>
      <c r="D658" s="84" t="s">
        <v>2889</v>
      </c>
      <c r="E658" s="83">
        <v>1</v>
      </c>
      <c r="F658" s="83" t="s">
        <v>2774</v>
      </c>
      <c r="G658" s="85">
        <v>45201</v>
      </c>
      <c r="H658" s="85" t="s">
        <v>73</v>
      </c>
      <c r="I658" s="85" t="s">
        <v>33</v>
      </c>
      <c r="J658" s="83">
        <f>IFERROR(VLOOKUP(I658,Jueces!$A$1:$B$11,2,FALSE),"")</f>
        <v>4</v>
      </c>
      <c r="K658" s="83" t="s">
        <v>809</v>
      </c>
      <c r="L658" s="83" t="s">
        <v>1087</v>
      </c>
    </row>
    <row r="659" spans="1:12" ht="30" customHeight="1">
      <c r="A659" s="179" t="str">
        <f t="shared" si="20"/>
        <v>02/10/20233</v>
      </c>
      <c r="B659" s="172">
        <f t="shared" si="21"/>
        <v>3</v>
      </c>
      <c r="C659" s="83" t="s">
        <v>2883</v>
      </c>
      <c r="D659" s="84" t="s">
        <v>2884</v>
      </c>
      <c r="E659" s="83">
        <v>8</v>
      </c>
      <c r="F659" s="83" t="s">
        <v>29</v>
      </c>
      <c r="G659" s="85">
        <v>45201</v>
      </c>
      <c r="H659" s="85" t="s">
        <v>73</v>
      </c>
      <c r="I659" s="85" t="s">
        <v>1221</v>
      </c>
      <c r="J659" s="83" t="s">
        <v>1926</v>
      </c>
      <c r="K659" s="83" t="s">
        <v>807</v>
      </c>
      <c r="L659" s="83" t="s">
        <v>887</v>
      </c>
    </row>
    <row r="660" spans="1:12" ht="30" customHeight="1">
      <c r="A660" s="179" t="str">
        <f t="shared" si="20"/>
        <v>02/10/20234</v>
      </c>
      <c r="B660" s="172">
        <f t="shared" si="21"/>
        <v>4</v>
      </c>
      <c r="C660" s="83" t="s">
        <v>2930</v>
      </c>
      <c r="D660" s="84" t="s">
        <v>3027</v>
      </c>
      <c r="E660" s="83">
        <v>5</v>
      </c>
      <c r="F660" s="83" t="s">
        <v>1443</v>
      </c>
      <c r="G660" s="85">
        <v>45201</v>
      </c>
      <c r="H660" s="85" t="s">
        <v>73</v>
      </c>
      <c r="I660" s="85" t="s">
        <v>78</v>
      </c>
      <c r="J660" s="83">
        <f>IFERROR(VLOOKUP(I660,Jueces!$A$1:$B$11,2,FALSE),"")</f>
        <v>8</v>
      </c>
      <c r="K660" s="83" t="s">
        <v>789</v>
      </c>
      <c r="L660" s="83" t="s">
        <v>767</v>
      </c>
    </row>
    <row r="661" spans="1:12" ht="30" customHeight="1">
      <c r="A661" s="179" t="str">
        <f t="shared" si="20"/>
        <v>02/10/20235</v>
      </c>
      <c r="B661" s="172">
        <f t="shared" si="21"/>
        <v>5</v>
      </c>
      <c r="C661" s="83" t="s">
        <v>2972</v>
      </c>
      <c r="D661" s="84" t="s">
        <v>3108</v>
      </c>
      <c r="E661" s="83">
        <v>7</v>
      </c>
      <c r="F661" s="83" t="s">
        <v>43</v>
      </c>
      <c r="G661" s="85">
        <v>45201</v>
      </c>
      <c r="H661" s="85" t="s">
        <v>73</v>
      </c>
      <c r="I661" s="85" t="s">
        <v>1732</v>
      </c>
      <c r="J661" s="83" t="s">
        <v>1346</v>
      </c>
      <c r="K661" s="83" t="s">
        <v>791</v>
      </c>
      <c r="L661" s="83" t="s">
        <v>725</v>
      </c>
    </row>
    <row r="662" spans="1:12" ht="30" customHeight="1">
      <c r="A662" s="179" t="str">
        <f t="shared" si="20"/>
        <v>02/10/20236</v>
      </c>
      <c r="B662" s="172">
        <f t="shared" si="21"/>
        <v>6</v>
      </c>
      <c r="C662" s="83" t="s">
        <v>2756</v>
      </c>
      <c r="D662" s="84" t="s">
        <v>2757</v>
      </c>
      <c r="E662" s="83">
        <v>8</v>
      </c>
      <c r="F662" s="83" t="s">
        <v>2789</v>
      </c>
      <c r="G662" s="85">
        <v>45201</v>
      </c>
      <c r="H662" s="85" t="s">
        <v>1086</v>
      </c>
      <c r="I662" s="85" t="s">
        <v>33</v>
      </c>
      <c r="J662" s="83">
        <f>IFERROR(VLOOKUP(I662,Jueces!$A$1:$B$11,2,FALSE),"")</f>
        <v>4</v>
      </c>
      <c r="K662" s="83" t="s">
        <v>800</v>
      </c>
      <c r="L662" s="83" t="s">
        <v>887</v>
      </c>
    </row>
    <row r="663" spans="1:12" ht="30" customHeight="1">
      <c r="A663" s="179" t="str">
        <f t="shared" si="20"/>
        <v>02/10/20237</v>
      </c>
      <c r="B663" s="172">
        <f t="shared" si="21"/>
        <v>7</v>
      </c>
      <c r="C663" s="83" t="s">
        <v>2929</v>
      </c>
      <c r="D663" s="84" t="s">
        <v>2881</v>
      </c>
      <c r="E663" s="83">
        <v>1</v>
      </c>
      <c r="F663" s="83" t="s">
        <v>2839</v>
      </c>
      <c r="G663" s="85">
        <v>45201</v>
      </c>
      <c r="H663" s="85" t="s">
        <v>1086</v>
      </c>
      <c r="I663" s="85" t="s">
        <v>35</v>
      </c>
      <c r="J663" s="83">
        <f>IFERROR(VLOOKUP(I663,Jueces!$A$1:$B$11,2,FALSE),"")</f>
        <v>3</v>
      </c>
      <c r="K663" s="83" t="s">
        <v>326</v>
      </c>
      <c r="L663" s="83" t="s">
        <v>711</v>
      </c>
    </row>
    <row r="664" spans="1:12" ht="30" customHeight="1">
      <c r="A664" s="179" t="str">
        <f t="shared" si="20"/>
        <v>02/10/20238</v>
      </c>
      <c r="B664" s="172">
        <f t="shared" si="21"/>
        <v>8</v>
      </c>
      <c r="C664" s="83" t="s">
        <v>2819</v>
      </c>
      <c r="D664" s="84" t="s">
        <v>2820</v>
      </c>
      <c r="E664" s="83">
        <v>8</v>
      </c>
      <c r="F664" s="83" t="s">
        <v>1441</v>
      </c>
      <c r="G664" s="85">
        <v>45201</v>
      </c>
      <c r="H664" s="85" t="s">
        <v>1086</v>
      </c>
      <c r="I664" s="85" t="s">
        <v>2952</v>
      </c>
      <c r="J664" s="83" t="s">
        <v>2344</v>
      </c>
      <c r="K664" s="83" t="s">
        <v>813</v>
      </c>
      <c r="L664" s="83" t="s">
        <v>1087</v>
      </c>
    </row>
    <row r="665" spans="1:12" ht="30" customHeight="1">
      <c r="A665" s="179" t="str">
        <f t="shared" si="20"/>
        <v>03/10/20231</v>
      </c>
      <c r="B665" s="172">
        <f t="shared" si="21"/>
        <v>1</v>
      </c>
      <c r="C665" s="83" t="s">
        <v>2750</v>
      </c>
      <c r="D665" s="84" t="s">
        <v>2751</v>
      </c>
      <c r="E665" s="83">
        <v>8</v>
      </c>
      <c r="F665" s="83" t="s">
        <v>2839</v>
      </c>
      <c r="G665" s="85">
        <v>45202</v>
      </c>
      <c r="H665" s="85" t="s">
        <v>73</v>
      </c>
      <c r="I665" s="85" t="s">
        <v>1221</v>
      </c>
      <c r="J665" s="83">
        <f>IFERROR(VLOOKUP(I665,Jueces!$A$1:$B$11,2,FALSE),"")</f>
        <v>7</v>
      </c>
      <c r="K665" s="83" t="s">
        <v>813</v>
      </c>
      <c r="L665" s="83" t="s">
        <v>767</v>
      </c>
    </row>
    <row r="666" spans="1:12" ht="30" customHeight="1">
      <c r="A666" s="179" t="str">
        <f t="shared" si="20"/>
        <v>03/10/20232</v>
      </c>
      <c r="B666" s="172">
        <f t="shared" si="21"/>
        <v>2</v>
      </c>
      <c r="C666" s="83" t="s">
        <v>2772</v>
      </c>
      <c r="D666" s="84" t="s">
        <v>2773</v>
      </c>
      <c r="E666" s="83">
        <v>8</v>
      </c>
      <c r="F666" s="83" t="s">
        <v>29</v>
      </c>
      <c r="G666" s="85">
        <v>45202</v>
      </c>
      <c r="H666" s="85" t="s">
        <v>73</v>
      </c>
      <c r="I666" s="85" t="s">
        <v>78</v>
      </c>
      <c r="J666" s="83">
        <f>IFERROR(VLOOKUP(I666,Jueces!$A$1:$B$11,2,FALSE),"")</f>
        <v>8</v>
      </c>
      <c r="K666" s="83" t="s">
        <v>244</v>
      </c>
      <c r="L666" s="83" t="s">
        <v>887</v>
      </c>
    </row>
    <row r="667" spans="1:12" ht="30" customHeight="1">
      <c r="A667" s="179" t="str">
        <f t="shared" si="20"/>
        <v>03/10/20233</v>
      </c>
      <c r="B667" s="172">
        <f t="shared" si="21"/>
        <v>3</v>
      </c>
      <c r="C667" s="83" t="s">
        <v>2902</v>
      </c>
      <c r="D667" s="84" t="s">
        <v>2903</v>
      </c>
      <c r="E667" s="83">
        <v>1</v>
      </c>
      <c r="F667" s="83" t="s">
        <v>2775</v>
      </c>
      <c r="G667" s="85">
        <v>45202</v>
      </c>
      <c r="H667" s="85" t="s">
        <v>73</v>
      </c>
      <c r="I667" s="85" t="s">
        <v>33</v>
      </c>
      <c r="J667" s="83">
        <f>IFERROR(VLOOKUP(I667,Jueces!$A$1:$B$11,2,FALSE),"")</f>
        <v>4</v>
      </c>
      <c r="K667" s="83" t="s">
        <v>803</v>
      </c>
      <c r="L667" s="83" t="s">
        <v>1386</v>
      </c>
    </row>
    <row r="668" spans="1:12" ht="30" customHeight="1">
      <c r="A668" s="179" t="str">
        <f t="shared" si="20"/>
        <v>03/10/20234</v>
      </c>
      <c r="B668" s="172">
        <f t="shared" si="21"/>
        <v>4</v>
      </c>
      <c r="C668" s="83" t="s">
        <v>2938</v>
      </c>
      <c r="D668" s="84" t="s">
        <v>2978</v>
      </c>
      <c r="E668" s="83">
        <v>8</v>
      </c>
      <c r="F668" s="83" t="s">
        <v>283</v>
      </c>
      <c r="G668" s="85">
        <v>45202</v>
      </c>
      <c r="H668" s="85" t="s">
        <v>73</v>
      </c>
      <c r="I668" s="85" t="s">
        <v>1220</v>
      </c>
      <c r="J668" s="83">
        <f>IFERROR(VLOOKUP(I668,Jueces!$A$1:$B$11,2,FALSE),"")</f>
        <v>1</v>
      </c>
      <c r="K668" s="83" t="s">
        <v>798</v>
      </c>
      <c r="L668" s="83" t="s">
        <v>1087</v>
      </c>
    </row>
    <row r="669" spans="1:12" ht="30" customHeight="1">
      <c r="A669" s="179" t="str">
        <f t="shared" si="20"/>
        <v>03/10/20235</v>
      </c>
      <c r="B669" s="172">
        <f t="shared" si="21"/>
        <v>5</v>
      </c>
      <c r="C669" s="83" t="s">
        <v>2841</v>
      </c>
      <c r="D669" s="84" t="s">
        <v>3010</v>
      </c>
      <c r="E669" s="83">
        <v>1</v>
      </c>
      <c r="F669" s="83" t="s">
        <v>1443</v>
      </c>
      <c r="G669" s="85">
        <v>45202</v>
      </c>
      <c r="H669" s="85" t="s">
        <v>73</v>
      </c>
      <c r="I669" s="85" t="s">
        <v>2952</v>
      </c>
      <c r="J669" s="83" t="s">
        <v>1926</v>
      </c>
      <c r="K669" s="83" t="s">
        <v>807</v>
      </c>
      <c r="L669" s="83"/>
    </row>
    <row r="670" spans="1:12" ht="30" customHeight="1">
      <c r="A670" s="179" t="str">
        <f t="shared" si="20"/>
        <v>03/10/20236</v>
      </c>
      <c r="B670" s="172">
        <f t="shared" si="21"/>
        <v>6</v>
      </c>
      <c r="C670" s="83" t="s">
        <v>2803</v>
      </c>
      <c r="D670" s="84" t="s">
        <v>2804</v>
      </c>
      <c r="E670" s="83">
        <v>8</v>
      </c>
      <c r="F670" s="83" t="s">
        <v>2774</v>
      </c>
      <c r="G670" s="85">
        <v>45202</v>
      </c>
      <c r="H670" s="85" t="s">
        <v>1086</v>
      </c>
      <c r="I670" s="85" t="s">
        <v>33</v>
      </c>
      <c r="J670" s="83">
        <f>IFERROR(VLOOKUP(I670,Jueces!$A$1:$B$11,2,FALSE),"")</f>
        <v>4</v>
      </c>
      <c r="K670" s="83" t="s">
        <v>789</v>
      </c>
      <c r="L670" s="83" t="s">
        <v>1087</v>
      </c>
    </row>
    <row r="671" spans="1:12" ht="30" customHeight="1">
      <c r="A671" s="179" t="str">
        <f t="shared" si="20"/>
        <v>03/10/20237</v>
      </c>
      <c r="B671" s="172">
        <f t="shared" si="21"/>
        <v>7</v>
      </c>
      <c r="C671" s="83" t="s">
        <v>2840</v>
      </c>
      <c r="D671" s="84" t="s">
        <v>2926</v>
      </c>
      <c r="E671" s="83">
        <v>1</v>
      </c>
      <c r="F671" s="83" t="s">
        <v>2789</v>
      </c>
      <c r="G671" s="85">
        <v>45202</v>
      </c>
      <c r="H671" s="85" t="s">
        <v>1086</v>
      </c>
      <c r="I671" s="85" t="s">
        <v>35</v>
      </c>
      <c r="J671" s="83">
        <f>IFERROR(VLOOKUP(I671,Jueces!$A$1:$B$11,2,FALSE),"")</f>
        <v>3</v>
      </c>
      <c r="K671" s="83" t="s">
        <v>813</v>
      </c>
      <c r="L671" s="83" t="s">
        <v>711</v>
      </c>
    </row>
    <row r="672" spans="1:12" ht="30" customHeight="1">
      <c r="A672" s="179" t="str">
        <f t="shared" si="20"/>
        <v>03/10/20238</v>
      </c>
      <c r="B672" s="172">
        <f t="shared" si="21"/>
        <v>8</v>
      </c>
      <c r="C672" s="83" t="s">
        <v>2722</v>
      </c>
      <c r="D672" s="84" t="s">
        <v>2817</v>
      </c>
      <c r="E672" s="83">
        <v>8</v>
      </c>
      <c r="F672" s="83" t="s">
        <v>568</v>
      </c>
      <c r="G672" s="85">
        <v>45202</v>
      </c>
      <c r="H672" s="85" t="s">
        <v>1086</v>
      </c>
      <c r="I672" s="85" t="s">
        <v>78</v>
      </c>
      <c r="J672" s="83">
        <f>IFERROR(VLOOKUP(I672,Jueces!$A$1:$B$11,2,FALSE),"")</f>
        <v>8</v>
      </c>
      <c r="K672" s="83" t="s">
        <v>791</v>
      </c>
      <c r="L672" s="83" t="s">
        <v>887</v>
      </c>
    </row>
    <row r="673" spans="1:12" ht="30" customHeight="1">
      <c r="A673" s="179" t="str">
        <f t="shared" si="20"/>
        <v>03/10/20239</v>
      </c>
      <c r="B673" s="172">
        <f t="shared" si="21"/>
        <v>9</v>
      </c>
      <c r="C673" s="83" t="s">
        <v>2917</v>
      </c>
      <c r="D673" s="84" t="s">
        <v>2919</v>
      </c>
      <c r="E673" s="83">
        <v>8</v>
      </c>
      <c r="F673" s="83" t="s">
        <v>1441</v>
      </c>
      <c r="G673" s="85">
        <v>45202</v>
      </c>
      <c r="H673" s="85" t="s">
        <v>989</v>
      </c>
      <c r="I673" s="85" t="s">
        <v>1221</v>
      </c>
      <c r="J673" s="83" t="s">
        <v>1926</v>
      </c>
      <c r="K673" s="83" t="s">
        <v>811</v>
      </c>
      <c r="L673" s="83" t="s">
        <v>1087</v>
      </c>
    </row>
    <row r="674" spans="1:12" ht="30" customHeight="1">
      <c r="A674" s="179" t="str">
        <f t="shared" si="20"/>
        <v>04/10/20231</v>
      </c>
      <c r="B674" s="172">
        <f t="shared" si="21"/>
        <v>1</v>
      </c>
      <c r="C674" s="83" t="s">
        <v>2882</v>
      </c>
      <c r="D674" s="84" t="s">
        <v>2925</v>
      </c>
      <c r="E674" s="83">
        <v>1</v>
      </c>
      <c r="F674" s="83" t="s">
        <v>568</v>
      </c>
      <c r="G674" s="85">
        <v>45203</v>
      </c>
      <c r="H674" s="85" t="s">
        <v>73</v>
      </c>
      <c r="I674" s="85" t="s">
        <v>1221</v>
      </c>
      <c r="J674" s="83" t="s">
        <v>1926</v>
      </c>
      <c r="K674" s="83" t="s">
        <v>813</v>
      </c>
      <c r="L674" s="83" t="s">
        <v>711</v>
      </c>
    </row>
    <row r="675" spans="1:12" ht="30" customHeight="1">
      <c r="A675" s="179" t="str">
        <f t="shared" si="20"/>
        <v>04/10/20232</v>
      </c>
      <c r="B675" s="172">
        <f t="shared" si="21"/>
        <v>2</v>
      </c>
      <c r="C675" s="83" t="s">
        <v>2916</v>
      </c>
      <c r="D675" s="84" t="s">
        <v>2924</v>
      </c>
      <c r="E675" s="83">
        <v>6</v>
      </c>
      <c r="F675" s="83" t="s">
        <v>43</v>
      </c>
      <c r="G675" s="85">
        <v>45203</v>
      </c>
      <c r="H675" s="85" t="s">
        <v>73</v>
      </c>
      <c r="I675" s="85" t="s">
        <v>78</v>
      </c>
      <c r="J675" s="83">
        <f>IFERROR(VLOOKUP(I675,Jueces!$A$1:$B$11,2,FALSE),"")</f>
        <v>8</v>
      </c>
      <c r="K675" s="83" t="s">
        <v>789</v>
      </c>
      <c r="L675" s="83" t="s">
        <v>887</v>
      </c>
    </row>
    <row r="676" spans="1:12" ht="30" customHeight="1">
      <c r="A676" s="179" t="str">
        <f t="shared" si="20"/>
        <v>04/10/20233</v>
      </c>
      <c r="B676" s="172">
        <f t="shared" si="21"/>
        <v>3</v>
      </c>
      <c r="C676" s="83" t="s">
        <v>2975</v>
      </c>
      <c r="D676" s="84" t="s">
        <v>2997</v>
      </c>
      <c r="E676" s="83">
        <v>8</v>
      </c>
      <c r="F676" s="83" t="s">
        <v>2789</v>
      </c>
      <c r="G676" s="85">
        <v>45203</v>
      </c>
      <c r="H676" s="85" t="s">
        <v>73</v>
      </c>
      <c r="I676" s="85" t="s">
        <v>35</v>
      </c>
      <c r="J676" s="83">
        <f>IFERROR(VLOOKUP(I676,Jueces!$A$1:$B$11,2,FALSE),"")</f>
        <v>3</v>
      </c>
      <c r="K676" s="83" t="s">
        <v>796</v>
      </c>
      <c r="L676" s="83" t="s">
        <v>1087</v>
      </c>
    </row>
    <row r="677" spans="1:12" ht="30" customHeight="1">
      <c r="A677" s="179" t="str">
        <f t="shared" si="20"/>
        <v>04/10/20234</v>
      </c>
      <c r="B677" s="172">
        <f t="shared" si="21"/>
        <v>4</v>
      </c>
      <c r="C677" s="83" t="s">
        <v>2886</v>
      </c>
      <c r="D677" s="84" t="s">
        <v>3008</v>
      </c>
      <c r="E677" s="83">
        <v>8</v>
      </c>
      <c r="F677" s="83" t="s">
        <v>283</v>
      </c>
      <c r="G677" s="85">
        <v>45203</v>
      </c>
      <c r="H677" s="85" t="s">
        <v>73</v>
      </c>
      <c r="I677" s="85" t="s">
        <v>2955</v>
      </c>
      <c r="J677" s="83" t="s">
        <v>2305</v>
      </c>
      <c r="K677" s="83" t="s">
        <v>791</v>
      </c>
      <c r="L677" s="83" t="s">
        <v>3009</v>
      </c>
    </row>
    <row r="678" spans="1:12" ht="30" customHeight="1">
      <c r="A678" s="179" t="str">
        <f t="shared" si="20"/>
        <v>04/10/20235</v>
      </c>
      <c r="B678" s="172">
        <f t="shared" si="21"/>
        <v>5</v>
      </c>
      <c r="C678" s="83" t="s">
        <v>2876</v>
      </c>
      <c r="D678" s="84" t="s">
        <v>2877</v>
      </c>
      <c r="E678" s="83">
        <v>8</v>
      </c>
      <c r="F678" s="83" t="s">
        <v>2839</v>
      </c>
      <c r="G678" s="85">
        <v>45203</v>
      </c>
      <c r="H678" s="85" t="s">
        <v>1086</v>
      </c>
      <c r="I678" s="85" t="s">
        <v>33</v>
      </c>
      <c r="J678" s="83">
        <f>IFERROR(VLOOKUP(I678,Jueces!$A$1:$B$11,2,FALSE),"")</f>
        <v>4</v>
      </c>
      <c r="K678" s="83" t="s">
        <v>807</v>
      </c>
      <c r="L678" s="83" t="s">
        <v>887</v>
      </c>
    </row>
    <row r="679" spans="1:12" ht="30" customHeight="1">
      <c r="A679" s="179" t="str">
        <f t="shared" si="20"/>
        <v>04/10/20236</v>
      </c>
      <c r="B679" s="172">
        <f t="shared" si="21"/>
        <v>6</v>
      </c>
      <c r="C679" s="83" t="s">
        <v>2943</v>
      </c>
      <c r="D679" s="84" t="s">
        <v>2944</v>
      </c>
      <c r="E679" s="83">
        <v>8</v>
      </c>
      <c r="F679" s="83" t="s">
        <v>2776</v>
      </c>
      <c r="G679" s="85">
        <v>45203</v>
      </c>
      <c r="H679" s="85" t="s">
        <v>1086</v>
      </c>
      <c r="I679" s="85" t="s">
        <v>2952</v>
      </c>
      <c r="J679" s="83" t="s">
        <v>1926</v>
      </c>
      <c r="K679" s="83" t="s">
        <v>2091</v>
      </c>
      <c r="L679" s="83" t="s">
        <v>1087</v>
      </c>
    </row>
    <row r="680" spans="1:12" ht="30" customHeight="1">
      <c r="A680" s="179" t="str">
        <f t="shared" si="20"/>
        <v>04/10/20237</v>
      </c>
      <c r="B680" s="172">
        <f t="shared" si="21"/>
        <v>7</v>
      </c>
      <c r="C680" s="83" t="s">
        <v>2939</v>
      </c>
      <c r="D680" s="84" t="s">
        <v>2940</v>
      </c>
      <c r="E680" s="83">
        <v>1</v>
      </c>
      <c r="F680" s="83" t="s">
        <v>29</v>
      </c>
      <c r="G680" s="85">
        <v>45203</v>
      </c>
      <c r="H680" s="85" t="s">
        <v>1086</v>
      </c>
      <c r="I680" s="85" t="s">
        <v>35</v>
      </c>
      <c r="J680" s="83">
        <f>IFERROR(VLOOKUP(I680,Jueces!$A$1:$B$11,2,FALSE),"")</f>
        <v>3</v>
      </c>
      <c r="K680" s="83" t="s">
        <v>813</v>
      </c>
      <c r="L680" s="83" t="s">
        <v>711</v>
      </c>
    </row>
    <row r="681" spans="1:12" ht="30" customHeight="1">
      <c r="A681" s="179" t="str">
        <f t="shared" si="20"/>
        <v>04/10/20238</v>
      </c>
      <c r="B681" s="172">
        <f t="shared" si="21"/>
        <v>8</v>
      </c>
      <c r="C681" s="83" t="s">
        <v>2807</v>
      </c>
      <c r="D681" s="84" t="s">
        <v>2971</v>
      </c>
      <c r="E681" s="83">
        <v>8</v>
      </c>
      <c r="F681" s="83" t="s">
        <v>1441</v>
      </c>
      <c r="G681" s="85">
        <v>45203</v>
      </c>
      <c r="H681" s="85" t="s">
        <v>2976</v>
      </c>
      <c r="I681" s="85" t="s">
        <v>1220</v>
      </c>
      <c r="J681" s="83">
        <f>IFERROR(VLOOKUP(I681,Jueces!$A$1:$B$11,2,FALSE),"")</f>
        <v>1</v>
      </c>
      <c r="K681" s="83" t="s">
        <v>1070</v>
      </c>
      <c r="L681" s="83" t="s">
        <v>1087</v>
      </c>
    </row>
    <row r="682" spans="1:12" ht="30" customHeight="1">
      <c r="A682" s="179" t="str">
        <f t="shared" si="20"/>
        <v>05/10/20231</v>
      </c>
      <c r="B682" s="172">
        <f t="shared" si="21"/>
        <v>1</v>
      </c>
      <c r="C682" s="83" t="s">
        <v>3001</v>
      </c>
      <c r="D682" s="84" t="s">
        <v>3002</v>
      </c>
      <c r="E682" s="83">
        <v>8</v>
      </c>
      <c r="F682" s="83" t="s">
        <v>2775</v>
      </c>
      <c r="G682" s="85">
        <v>45204</v>
      </c>
      <c r="H682" s="85" t="s">
        <v>360</v>
      </c>
      <c r="I682" s="85" t="s">
        <v>2955</v>
      </c>
      <c r="J682" s="83" t="s">
        <v>1926</v>
      </c>
      <c r="K682" s="83" t="s">
        <v>807</v>
      </c>
      <c r="L682" s="83" t="s">
        <v>3035</v>
      </c>
    </row>
    <row r="683" spans="1:12" ht="30" customHeight="1">
      <c r="A683" s="179" t="str">
        <f t="shared" si="20"/>
        <v>05/10/20232</v>
      </c>
      <c r="B683" s="172">
        <f t="shared" si="21"/>
        <v>2</v>
      </c>
      <c r="C683" s="215" t="s">
        <v>2559</v>
      </c>
      <c r="D683" s="216" t="s">
        <v>2830</v>
      </c>
      <c r="E683" s="215">
        <v>6</v>
      </c>
      <c r="F683" s="215" t="s">
        <v>1443</v>
      </c>
      <c r="G683" s="323">
        <v>45204</v>
      </c>
      <c r="H683" s="323" t="s">
        <v>73</v>
      </c>
      <c r="I683" s="323" t="s">
        <v>33</v>
      </c>
      <c r="J683" s="215">
        <f>IFERROR(VLOOKUP(I683,Jueces!$A$1:$B$11,2,FALSE),"")</f>
        <v>4</v>
      </c>
      <c r="K683" s="215" t="s">
        <v>796</v>
      </c>
      <c r="L683" s="215" t="s">
        <v>725</v>
      </c>
    </row>
    <row r="684" spans="1:12" ht="30" customHeight="1">
      <c r="A684" s="179" t="str">
        <f t="shared" si="20"/>
        <v>05/10/20233</v>
      </c>
      <c r="B684" s="172">
        <f t="shared" si="21"/>
        <v>3</v>
      </c>
      <c r="C684" s="215" t="s">
        <v>2911</v>
      </c>
      <c r="D684" s="216" t="s">
        <v>2912</v>
      </c>
      <c r="E684" s="215">
        <v>8</v>
      </c>
      <c r="F684" s="215" t="s">
        <v>2774</v>
      </c>
      <c r="G684" s="323">
        <v>45204</v>
      </c>
      <c r="H684" s="323" t="s">
        <v>73</v>
      </c>
      <c r="I684" s="323" t="s">
        <v>2955</v>
      </c>
      <c r="J684" s="215" t="s">
        <v>1926</v>
      </c>
      <c r="K684" s="215" t="s">
        <v>793</v>
      </c>
      <c r="L684" s="215" t="s">
        <v>2122</v>
      </c>
    </row>
    <row r="685" spans="1:12" ht="30" customHeight="1">
      <c r="A685" s="179" t="str">
        <f t="shared" si="20"/>
        <v>05/10/20234</v>
      </c>
      <c r="B685" s="172">
        <f t="shared" si="21"/>
        <v>4</v>
      </c>
      <c r="C685" s="83" t="s">
        <v>2874</v>
      </c>
      <c r="D685" s="84" t="s">
        <v>2875</v>
      </c>
      <c r="E685" s="83">
        <v>7</v>
      </c>
      <c r="F685" s="83" t="s">
        <v>283</v>
      </c>
      <c r="G685" s="85">
        <v>45204</v>
      </c>
      <c r="H685" s="85" t="s">
        <v>73</v>
      </c>
      <c r="I685" s="85" t="s">
        <v>78</v>
      </c>
      <c r="J685" s="83">
        <f>IFERROR(VLOOKUP(I685,Jueces!$A$1:$B$11,2,FALSE),"")</f>
        <v>8</v>
      </c>
      <c r="K685" s="83" t="s">
        <v>814</v>
      </c>
      <c r="L685" s="83" t="s">
        <v>701</v>
      </c>
    </row>
    <row r="686" spans="1:12" ht="30" customHeight="1">
      <c r="A686" s="179" t="str">
        <f t="shared" si="20"/>
        <v>05/10/20235</v>
      </c>
      <c r="B686" s="172">
        <f t="shared" si="21"/>
        <v>5</v>
      </c>
      <c r="C686" s="83" t="s">
        <v>2945</v>
      </c>
      <c r="D686" s="84" t="s">
        <v>3003</v>
      </c>
      <c r="E686" s="83">
        <v>1</v>
      </c>
      <c r="F686" s="83" t="s">
        <v>29</v>
      </c>
      <c r="G686" s="85">
        <v>45204</v>
      </c>
      <c r="H686" s="85" t="s">
        <v>73</v>
      </c>
      <c r="I686" s="85" t="s">
        <v>1221</v>
      </c>
      <c r="J686" s="83" t="s">
        <v>1346</v>
      </c>
      <c r="K686" s="83" t="s">
        <v>807</v>
      </c>
      <c r="L686" s="83" t="s">
        <v>1087</v>
      </c>
    </row>
    <row r="687" spans="1:12" ht="30" customHeight="1">
      <c r="A687" s="179" t="str">
        <f t="shared" si="20"/>
        <v>05/10/20236</v>
      </c>
      <c r="B687" s="172">
        <f t="shared" si="21"/>
        <v>6</v>
      </c>
      <c r="C687" s="83" t="s">
        <v>2783</v>
      </c>
      <c r="D687" s="84" t="s">
        <v>2797</v>
      </c>
      <c r="E687" s="83">
        <v>7</v>
      </c>
      <c r="F687" s="83" t="s">
        <v>568</v>
      </c>
      <c r="G687" s="85">
        <v>45204</v>
      </c>
      <c r="H687" s="85" t="s">
        <v>73</v>
      </c>
      <c r="I687" s="85" t="s">
        <v>35</v>
      </c>
      <c r="J687" s="83">
        <f>IFERROR(VLOOKUP(I687,Jueces!$A$1:$B$11,2,FALSE),"")</f>
        <v>3</v>
      </c>
      <c r="K687" s="83" t="s">
        <v>581</v>
      </c>
      <c r="L687" s="83" t="s">
        <v>783</v>
      </c>
    </row>
    <row r="688" spans="1:12" ht="30" customHeight="1">
      <c r="A688" s="179" t="str">
        <f t="shared" si="20"/>
        <v>05/10/20237</v>
      </c>
      <c r="B688" s="172">
        <f t="shared" si="21"/>
        <v>7</v>
      </c>
      <c r="C688" s="83" t="s">
        <v>2913</v>
      </c>
      <c r="D688" s="84" t="s">
        <v>2914</v>
      </c>
      <c r="E688" s="83">
        <v>8</v>
      </c>
      <c r="F688" s="83" t="s">
        <v>1441</v>
      </c>
      <c r="G688" s="85">
        <v>45204</v>
      </c>
      <c r="H688" s="85" t="s">
        <v>749</v>
      </c>
      <c r="I688" s="85" t="s">
        <v>1225</v>
      </c>
      <c r="J688" s="83">
        <f>IFERROR(VLOOKUP(I688,Jueces!$A$1:$B$11,2,FALSE),"")</f>
        <v>6</v>
      </c>
      <c r="K688" s="83" t="s">
        <v>801</v>
      </c>
      <c r="L688" s="83" t="s">
        <v>887</v>
      </c>
    </row>
    <row r="689" spans="1:12" ht="30" customHeight="1">
      <c r="A689" s="179" t="str">
        <f t="shared" si="20"/>
        <v>05/10/20238</v>
      </c>
      <c r="B689" s="172">
        <f t="shared" si="21"/>
        <v>8</v>
      </c>
      <c r="C689" s="83" t="s">
        <v>2885</v>
      </c>
      <c r="D689" s="84" t="s">
        <v>2977</v>
      </c>
      <c r="E689" s="83">
        <v>8</v>
      </c>
      <c r="F689" s="83" t="s">
        <v>2776</v>
      </c>
      <c r="G689" s="85">
        <v>45204</v>
      </c>
      <c r="H689" s="85" t="s">
        <v>1086</v>
      </c>
      <c r="I689" s="85" t="s">
        <v>33</v>
      </c>
      <c r="J689" s="83">
        <f>IFERROR(VLOOKUP(I689,Jueces!$A$1:$B$11,2,FALSE),"")</f>
        <v>4</v>
      </c>
      <c r="K689" s="83" t="s">
        <v>807</v>
      </c>
      <c r="L689" s="83" t="s">
        <v>887</v>
      </c>
    </row>
    <row r="690" spans="1:12" ht="30" customHeight="1">
      <c r="A690" s="179" t="str">
        <f t="shared" si="20"/>
        <v>05/10/20239</v>
      </c>
      <c r="B690" s="172">
        <f t="shared" si="21"/>
        <v>9</v>
      </c>
      <c r="C690" s="83" t="s">
        <v>2878</v>
      </c>
      <c r="D690" s="84" t="s">
        <v>2879</v>
      </c>
      <c r="E690" s="83">
        <v>8</v>
      </c>
      <c r="F690" s="83" t="s">
        <v>43</v>
      </c>
      <c r="G690" s="85">
        <v>45204</v>
      </c>
      <c r="H690" s="85" t="s">
        <v>1086</v>
      </c>
      <c r="I690" s="85" t="s">
        <v>1220</v>
      </c>
      <c r="J690" s="83">
        <f>IFERROR(VLOOKUP(I690,Jueces!$A$1:$B$11,2,FALSE),"")</f>
        <v>1</v>
      </c>
      <c r="K690" s="83" t="s">
        <v>813</v>
      </c>
      <c r="L690" s="83"/>
    </row>
    <row r="691" spans="1:12" ht="30" customHeight="1">
      <c r="A691" s="179" t="str">
        <f t="shared" si="20"/>
        <v>06/10/20231</v>
      </c>
      <c r="B691" s="172">
        <f t="shared" si="21"/>
        <v>1</v>
      </c>
      <c r="C691" s="83" t="s">
        <v>2842</v>
      </c>
      <c r="D691" s="84" t="s">
        <v>2843</v>
      </c>
      <c r="E691" s="83">
        <v>8</v>
      </c>
      <c r="F691" s="83" t="s">
        <v>568</v>
      </c>
      <c r="G691" s="85">
        <v>45205</v>
      </c>
      <c r="H691" s="85" t="s">
        <v>73</v>
      </c>
      <c r="I691" s="85" t="s">
        <v>33</v>
      </c>
      <c r="J691" s="83">
        <f>IFERROR(VLOOKUP(I691,Jueces!$A$1:$B$11,2,FALSE),"")</f>
        <v>4</v>
      </c>
      <c r="K691" s="83" t="s">
        <v>802</v>
      </c>
      <c r="L691" s="83" t="s">
        <v>887</v>
      </c>
    </row>
    <row r="692" spans="1:12" ht="30" customHeight="1">
      <c r="A692" s="179" t="str">
        <f t="shared" si="20"/>
        <v>06/10/20232</v>
      </c>
      <c r="B692" s="172">
        <f t="shared" si="21"/>
        <v>2</v>
      </c>
      <c r="C692" s="83" t="s">
        <v>2941</v>
      </c>
      <c r="D692" s="84" t="s">
        <v>2942</v>
      </c>
      <c r="E692" s="83">
        <v>3</v>
      </c>
      <c r="F692" s="83" t="s">
        <v>1442</v>
      </c>
      <c r="G692" s="85">
        <v>45205</v>
      </c>
      <c r="H692" s="85" t="s">
        <v>73</v>
      </c>
      <c r="I692" s="85" t="s">
        <v>1732</v>
      </c>
      <c r="J692" s="83" t="s">
        <v>1326</v>
      </c>
      <c r="K692" s="83" t="s">
        <v>192</v>
      </c>
      <c r="L692" s="83" t="s">
        <v>2968</v>
      </c>
    </row>
    <row r="693" spans="1:12" ht="30" customHeight="1">
      <c r="A693" s="179" t="str">
        <f t="shared" si="20"/>
        <v>06/10/20233</v>
      </c>
      <c r="B693" s="172">
        <f t="shared" si="21"/>
        <v>3</v>
      </c>
      <c r="C693" s="83" t="s">
        <v>3040</v>
      </c>
      <c r="D693" s="84" t="s">
        <v>3041</v>
      </c>
      <c r="E693" s="83">
        <v>8</v>
      </c>
      <c r="F693" s="83" t="s">
        <v>2776</v>
      </c>
      <c r="G693" s="85">
        <v>45205</v>
      </c>
      <c r="H693" s="85" t="s">
        <v>73</v>
      </c>
      <c r="I693" s="85" t="s">
        <v>1220</v>
      </c>
      <c r="J693" s="83">
        <f>IFERROR(VLOOKUP(I693,Jueces!$A$1:$B$11,2,FALSE),"")</f>
        <v>1</v>
      </c>
      <c r="K693" s="83" t="s">
        <v>796</v>
      </c>
      <c r="L693" s="83" t="s">
        <v>1087</v>
      </c>
    </row>
    <row r="694" spans="1:12" ht="30" customHeight="1">
      <c r="A694" s="179" t="str">
        <f t="shared" si="20"/>
        <v>06/10/20234</v>
      </c>
      <c r="B694" s="172">
        <f t="shared" si="21"/>
        <v>4</v>
      </c>
      <c r="C694" s="83" t="s">
        <v>2999</v>
      </c>
      <c r="D694" s="84" t="s">
        <v>3031</v>
      </c>
      <c r="E694" s="83">
        <v>1</v>
      </c>
      <c r="F694" s="83" t="s">
        <v>2839</v>
      </c>
      <c r="G694" s="85">
        <v>45205</v>
      </c>
      <c r="H694" s="85" t="s">
        <v>73</v>
      </c>
      <c r="I694" s="85" t="s">
        <v>2955</v>
      </c>
      <c r="J694" s="83" t="s">
        <v>1926</v>
      </c>
      <c r="K694" s="83" t="s">
        <v>812</v>
      </c>
      <c r="L694" s="83" t="s">
        <v>711</v>
      </c>
    </row>
    <row r="695" spans="1:12" ht="30" customHeight="1">
      <c r="A695" s="179" t="str">
        <f t="shared" si="20"/>
        <v>06/10/20235</v>
      </c>
      <c r="B695" s="172">
        <f t="shared" si="21"/>
        <v>5</v>
      </c>
      <c r="C695" s="83" t="s">
        <v>3004</v>
      </c>
      <c r="D695" s="84" t="s">
        <v>3112</v>
      </c>
      <c r="E695" s="83">
        <v>8</v>
      </c>
      <c r="F695" s="83" t="s">
        <v>283</v>
      </c>
      <c r="G695" s="85">
        <v>45205</v>
      </c>
      <c r="H695" s="85" t="s">
        <v>749</v>
      </c>
      <c r="I695" s="85" t="s">
        <v>1225</v>
      </c>
      <c r="J695" s="83">
        <f>IFERROR(VLOOKUP(I695,Jueces!$A$1:$B$11,2,FALSE),"")</f>
        <v>6</v>
      </c>
      <c r="K695" s="83" t="s">
        <v>790</v>
      </c>
      <c r="L695" s="83" t="s">
        <v>767</v>
      </c>
    </row>
    <row r="696" spans="1:12" ht="30" customHeight="1">
      <c r="A696" s="179" t="str">
        <f t="shared" si="20"/>
        <v>06/10/20236</v>
      </c>
      <c r="B696" s="172">
        <f t="shared" si="21"/>
        <v>6</v>
      </c>
      <c r="C696" s="83" t="s">
        <v>2922</v>
      </c>
      <c r="D696" s="84" t="s">
        <v>2969</v>
      </c>
      <c r="E696" s="83">
        <v>8</v>
      </c>
      <c r="F696" s="83" t="s">
        <v>2789</v>
      </c>
      <c r="G696" s="85">
        <v>45205</v>
      </c>
      <c r="H696" s="85" t="s">
        <v>1086</v>
      </c>
      <c r="I696" s="85" t="s">
        <v>1221</v>
      </c>
      <c r="J696" s="83" t="s">
        <v>1926</v>
      </c>
      <c r="K696" s="83" t="s">
        <v>807</v>
      </c>
      <c r="L696" s="83" t="s">
        <v>887</v>
      </c>
    </row>
    <row r="697" spans="1:12" ht="30" customHeight="1">
      <c r="A697" s="179" t="str">
        <f t="shared" si="20"/>
        <v>06/10/20237</v>
      </c>
      <c r="B697" s="172">
        <f t="shared" si="21"/>
        <v>7</v>
      </c>
      <c r="C697" s="83" t="s">
        <v>2936</v>
      </c>
      <c r="D697" s="84" t="s">
        <v>2937</v>
      </c>
      <c r="E697" s="83">
        <v>1</v>
      </c>
      <c r="F697" s="83" t="s">
        <v>1441</v>
      </c>
      <c r="G697" s="85">
        <v>45205</v>
      </c>
      <c r="H697" s="85" t="s">
        <v>1086</v>
      </c>
      <c r="I697" s="85" t="s">
        <v>33</v>
      </c>
      <c r="J697" s="83">
        <f>IFERROR(VLOOKUP(I697,Jueces!$A$1:$B$11,2,FALSE),"")</f>
        <v>4</v>
      </c>
      <c r="K697" s="83" t="s">
        <v>508</v>
      </c>
      <c r="L697" s="83" t="s">
        <v>711</v>
      </c>
    </row>
    <row r="698" spans="1:12" ht="30" customHeight="1">
      <c r="A698" s="179" t="str">
        <f t="shared" si="20"/>
        <v>06/10/20238</v>
      </c>
      <c r="B698" s="172">
        <f t="shared" si="21"/>
        <v>8</v>
      </c>
      <c r="C698" s="83" t="s">
        <v>3069</v>
      </c>
      <c r="D698" s="84" t="s">
        <v>3070</v>
      </c>
      <c r="E698" s="83">
        <v>8</v>
      </c>
      <c r="F698" s="83" t="s">
        <v>43</v>
      </c>
      <c r="G698" s="85">
        <v>45205</v>
      </c>
      <c r="H698" s="85" t="s">
        <v>1086</v>
      </c>
      <c r="I698" s="85" t="s">
        <v>35</v>
      </c>
      <c r="J698" s="83">
        <f>IFERROR(VLOOKUP(I698,Jueces!$A$1:$B$11,2,FALSE),"")</f>
        <v>3</v>
      </c>
      <c r="K698" s="83" t="s">
        <v>811</v>
      </c>
      <c r="L698" s="83" t="s">
        <v>1087</v>
      </c>
    </row>
    <row r="699" spans="1:12" ht="30" customHeight="1">
      <c r="A699" s="179" t="str">
        <f t="shared" si="20"/>
        <v>06/10/20239</v>
      </c>
      <c r="B699" s="172">
        <f t="shared" si="21"/>
        <v>9</v>
      </c>
      <c r="C699" s="83" t="s">
        <v>2923</v>
      </c>
      <c r="D699" s="84" t="s">
        <v>3007</v>
      </c>
      <c r="E699" s="83">
        <v>8</v>
      </c>
      <c r="F699" s="83" t="s">
        <v>2774</v>
      </c>
      <c r="G699" s="85">
        <v>45205</v>
      </c>
      <c r="H699" s="85" t="s">
        <v>228</v>
      </c>
      <c r="I699" s="85" t="s">
        <v>78</v>
      </c>
      <c r="J699" s="83">
        <f>IFERROR(VLOOKUP(I699,Jueces!$A$1:$B$11,2,FALSE),"")</f>
        <v>8</v>
      </c>
      <c r="K699" s="83" t="s">
        <v>801</v>
      </c>
      <c r="L699" s="83" t="s">
        <v>887</v>
      </c>
    </row>
    <row r="700" spans="1:12" ht="30" customHeight="1">
      <c r="A700" s="179" t="str">
        <f t="shared" si="20"/>
        <v>09/10/20231</v>
      </c>
      <c r="B700" s="172">
        <f t="shared" si="21"/>
        <v>1</v>
      </c>
      <c r="C700" s="83" t="s">
        <v>2931</v>
      </c>
      <c r="D700" s="84" t="s">
        <v>2970</v>
      </c>
      <c r="E700" s="83">
        <v>8</v>
      </c>
      <c r="F700" s="83" t="s">
        <v>29</v>
      </c>
      <c r="G700" s="85">
        <v>45208</v>
      </c>
      <c r="H700" s="85" t="s">
        <v>73</v>
      </c>
      <c r="I700" s="85" t="s">
        <v>1221</v>
      </c>
      <c r="J700" s="83" t="s">
        <v>1926</v>
      </c>
      <c r="K700" s="83" t="s">
        <v>807</v>
      </c>
      <c r="L700" s="83" t="s">
        <v>887</v>
      </c>
    </row>
    <row r="701" spans="1:12" ht="30" customHeight="1">
      <c r="A701" s="179" t="str">
        <f t="shared" si="20"/>
        <v>09/10/20232</v>
      </c>
      <c r="B701" s="172">
        <f t="shared" si="21"/>
        <v>2</v>
      </c>
      <c r="C701" s="83" t="s">
        <v>2946</v>
      </c>
      <c r="D701" s="84" t="s">
        <v>2947</v>
      </c>
      <c r="E701" s="83">
        <v>1</v>
      </c>
      <c r="F701" s="83" t="s">
        <v>43</v>
      </c>
      <c r="G701" s="85">
        <v>45208</v>
      </c>
      <c r="H701" s="85" t="s">
        <v>73</v>
      </c>
      <c r="I701" s="85" t="s">
        <v>78</v>
      </c>
      <c r="J701" s="83">
        <f>IFERROR(VLOOKUP(I701,Jueces!$A$1:$B$11,2,FALSE),"")</f>
        <v>8</v>
      </c>
      <c r="K701" s="83" t="s">
        <v>569</v>
      </c>
      <c r="L701" s="83" t="s">
        <v>711</v>
      </c>
    </row>
    <row r="702" spans="1:12" ht="30" customHeight="1">
      <c r="A702" s="179" t="str">
        <f t="shared" si="20"/>
        <v>09/10/20233</v>
      </c>
      <c r="B702" s="172">
        <f t="shared" si="21"/>
        <v>3</v>
      </c>
      <c r="C702" s="83" t="s">
        <v>3046</v>
      </c>
      <c r="D702" s="84" t="s">
        <v>3066</v>
      </c>
      <c r="E702" s="83">
        <v>1</v>
      </c>
      <c r="F702" s="83" t="s">
        <v>283</v>
      </c>
      <c r="G702" s="85">
        <v>45208</v>
      </c>
      <c r="H702" s="85" t="s">
        <v>73</v>
      </c>
      <c r="I702" s="85" t="s">
        <v>33</v>
      </c>
      <c r="J702" s="83">
        <f>IFERROR(VLOOKUP(I702,Jueces!$A$1:$B$11,2,FALSE),"")</f>
        <v>4</v>
      </c>
      <c r="K702" s="83" t="s">
        <v>809</v>
      </c>
      <c r="L702" s="83" t="s">
        <v>712</v>
      </c>
    </row>
    <row r="703" spans="1:12" ht="30" customHeight="1">
      <c r="A703" s="179" t="str">
        <f t="shared" si="20"/>
        <v>09/10/20234</v>
      </c>
      <c r="B703" s="172">
        <f t="shared" si="21"/>
        <v>4</v>
      </c>
      <c r="C703" s="83" t="s">
        <v>2600</v>
      </c>
      <c r="D703" s="84" t="s">
        <v>3068</v>
      </c>
      <c r="E703" s="83">
        <v>7</v>
      </c>
      <c r="F703" s="83" t="s">
        <v>2776</v>
      </c>
      <c r="G703" s="85">
        <v>45208</v>
      </c>
      <c r="H703" s="85" t="s">
        <v>73</v>
      </c>
      <c r="I703" s="85" t="s">
        <v>35</v>
      </c>
      <c r="J703" s="83">
        <f>IFERROR(VLOOKUP(I703,Jueces!$A$1:$B$11,2,FALSE),"")</f>
        <v>3</v>
      </c>
      <c r="K703" s="83" t="s">
        <v>801</v>
      </c>
      <c r="L703" s="83" t="s">
        <v>725</v>
      </c>
    </row>
    <row r="704" spans="1:12" ht="30" customHeight="1">
      <c r="A704" s="179" t="str">
        <f t="shared" si="20"/>
        <v>09/10/20235</v>
      </c>
      <c r="B704" s="172">
        <f t="shared" si="21"/>
        <v>5</v>
      </c>
      <c r="C704" s="83" t="s">
        <v>3090</v>
      </c>
      <c r="D704" s="84" t="s">
        <v>3110</v>
      </c>
      <c r="E704" s="83">
        <v>8</v>
      </c>
      <c r="F704" s="83" t="s">
        <v>1443</v>
      </c>
      <c r="G704" s="85">
        <v>45208</v>
      </c>
      <c r="H704" s="85" t="s">
        <v>73</v>
      </c>
      <c r="I704" s="85" t="s">
        <v>1220</v>
      </c>
      <c r="J704" s="83">
        <f>IFERROR(VLOOKUP(I704,Jueces!$A$1:$B$11,2,FALSE),"")</f>
        <v>1</v>
      </c>
      <c r="K704" s="83" t="s">
        <v>829</v>
      </c>
      <c r="L704" s="83" t="s">
        <v>783</v>
      </c>
    </row>
    <row r="705" spans="1:12" ht="30" customHeight="1">
      <c r="A705" s="179" t="str">
        <f t="shared" si="20"/>
        <v>09/10/20236</v>
      </c>
      <c r="B705" s="172">
        <f t="shared" si="21"/>
        <v>6</v>
      </c>
      <c r="C705" s="83" t="s">
        <v>2993</v>
      </c>
      <c r="D705" s="84" t="s">
        <v>2994</v>
      </c>
      <c r="E705" s="83">
        <v>8</v>
      </c>
      <c r="F705" s="83" t="s">
        <v>2774</v>
      </c>
      <c r="G705" s="85">
        <v>45208</v>
      </c>
      <c r="H705" s="85" t="s">
        <v>749</v>
      </c>
      <c r="I705" s="85" t="s">
        <v>1225</v>
      </c>
      <c r="J705" s="83">
        <f>IFERROR(VLOOKUP(I705,Jueces!$A$1:$B$11,2,FALSE),"")</f>
        <v>6</v>
      </c>
      <c r="K705" s="83" t="s">
        <v>802</v>
      </c>
      <c r="L705" s="83" t="s">
        <v>1087</v>
      </c>
    </row>
    <row r="706" spans="1:12" ht="30" customHeight="1">
      <c r="A706" s="179" t="str">
        <f t="shared" si="20"/>
        <v>09/10/20237</v>
      </c>
      <c r="B706" s="172">
        <f t="shared" si="21"/>
        <v>7</v>
      </c>
      <c r="C706" s="83" t="s">
        <v>2766</v>
      </c>
      <c r="D706" s="84" t="s">
        <v>3037</v>
      </c>
      <c r="E706" s="83">
        <v>4</v>
      </c>
      <c r="F706" s="83" t="s">
        <v>568</v>
      </c>
      <c r="G706" s="85">
        <v>45208</v>
      </c>
      <c r="H706" s="85" t="s">
        <v>1086</v>
      </c>
      <c r="I706" s="85" t="s">
        <v>2952</v>
      </c>
      <c r="J706" s="83" t="s">
        <v>2344</v>
      </c>
      <c r="K706" s="83" t="s">
        <v>800</v>
      </c>
      <c r="L706" s="83" t="s">
        <v>700</v>
      </c>
    </row>
    <row r="707" spans="1:12" ht="30" customHeight="1">
      <c r="A707" s="179" t="str">
        <f t="shared" ref="A707:A770" si="22">CONCATENATE(TEXT($G707,"dd/mm/yyyy"),$B707)</f>
        <v>09/10/20238</v>
      </c>
      <c r="B707" s="172">
        <f t="shared" si="21"/>
        <v>8</v>
      </c>
      <c r="C707" s="83" t="s">
        <v>3013</v>
      </c>
      <c r="D707" s="84" t="s">
        <v>3014</v>
      </c>
      <c r="E707" s="83">
        <v>8</v>
      </c>
      <c r="F707" s="83" t="s">
        <v>2839</v>
      </c>
      <c r="G707" s="85">
        <v>45208</v>
      </c>
      <c r="H707" s="85" t="s">
        <v>1086</v>
      </c>
      <c r="I707" s="85" t="s">
        <v>33</v>
      </c>
      <c r="J707" s="83">
        <f>IFERROR(VLOOKUP(I707,Jueces!$A$1:$B$11,2,FALSE),"")</f>
        <v>4</v>
      </c>
      <c r="K707" s="83" t="s">
        <v>1070</v>
      </c>
      <c r="L707" s="83" t="s">
        <v>1087</v>
      </c>
    </row>
    <row r="708" spans="1:12" ht="30" customHeight="1">
      <c r="A708" s="179" t="str">
        <f t="shared" si="22"/>
        <v>10/10/20231</v>
      </c>
      <c r="B708" s="172">
        <f t="shared" ref="B708:B771" si="23">IF($G708=$G707,$B707+1,1)</f>
        <v>1</v>
      </c>
      <c r="C708" s="83" t="s">
        <v>2845</v>
      </c>
      <c r="D708" s="84" t="s">
        <v>2846</v>
      </c>
      <c r="E708" s="83">
        <v>1</v>
      </c>
      <c r="F708" s="83" t="s">
        <v>2776</v>
      </c>
      <c r="G708" s="85">
        <v>45209</v>
      </c>
      <c r="H708" s="85" t="s">
        <v>999</v>
      </c>
      <c r="I708" s="85" t="s">
        <v>33</v>
      </c>
      <c r="J708" s="83">
        <f>IFERROR(VLOOKUP(I708,Jueces!$A$1:$B$11,2,FALSE),"")</f>
        <v>4</v>
      </c>
      <c r="K708" s="83" t="s">
        <v>811</v>
      </c>
      <c r="L708" s="83" t="s">
        <v>711</v>
      </c>
    </row>
    <row r="709" spans="1:12" ht="30" customHeight="1">
      <c r="A709" s="179" t="str">
        <f t="shared" si="22"/>
        <v>10/10/20232</v>
      </c>
      <c r="B709" s="172">
        <f t="shared" si="23"/>
        <v>2</v>
      </c>
      <c r="C709" s="83" t="s">
        <v>2920</v>
      </c>
      <c r="D709" s="84" t="s">
        <v>2921</v>
      </c>
      <c r="E709" s="83">
        <v>8</v>
      </c>
      <c r="F709" s="83" t="s">
        <v>29</v>
      </c>
      <c r="G709" s="85">
        <v>45209</v>
      </c>
      <c r="H709" s="85" t="s">
        <v>73</v>
      </c>
      <c r="I709" s="85" t="s">
        <v>1221</v>
      </c>
      <c r="J709" s="83" t="s">
        <v>1926</v>
      </c>
      <c r="K709" s="83" t="s">
        <v>802</v>
      </c>
      <c r="L709" s="83" t="s">
        <v>3024</v>
      </c>
    </row>
    <row r="710" spans="1:12" ht="30" customHeight="1">
      <c r="A710" s="179" t="str">
        <f t="shared" si="22"/>
        <v>10/10/20233</v>
      </c>
      <c r="B710" s="172">
        <f t="shared" si="23"/>
        <v>3</v>
      </c>
      <c r="C710" s="83" t="s">
        <v>3095</v>
      </c>
      <c r="D710" s="84" t="s">
        <v>3096</v>
      </c>
      <c r="E710" s="83">
        <v>8</v>
      </c>
      <c r="F710" s="83" t="s">
        <v>1441</v>
      </c>
      <c r="G710" s="85">
        <v>45209</v>
      </c>
      <c r="H710" s="85" t="s">
        <v>73</v>
      </c>
      <c r="I710" s="85" t="s">
        <v>35</v>
      </c>
      <c r="J710" s="83">
        <f>IFERROR(VLOOKUP(I710,Jueces!$A$1:$B$11,2,FALSE),"")</f>
        <v>3</v>
      </c>
      <c r="K710" s="83" t="s">
        <v>809</v>
      </c>
      <c r="L710" s="83" t="s">
        <v>1416</v>
      </c>
    </row>
    <row r="711" spans="1:12" ht="30" customHeight="1">
      <c r="A711" s="179" t="str">
        <f t="shared" si="22"/>
        <v>10/10/20234</v>
      </c>
      <c r="B711" s="172">
        <f t="shared" si="23"/>
        <v>4</v>
      </c>
      <c r="C711" s="83" t="s">
        <v>3038</v>
      </c>
      <c r="D711" s="84" t="s">
        <v>3109</v>
      </c>
      <c r="E711" s="83">
        <v>1</v>
      </c>
      <c r="F711" s="83" t="s">
        <v>43</v>
      </c>
      <c r="G711" s="85">
        <v>45209</v>
      </c>
      <c r="H711" s="85" t="s">
        <v>73</v>
      </c>
      <c r="I711" s="85" t="s">
        <v>2955</v>
      </c>
      <c r="J711" s="83" t="s">
        <v>2344</v>
      </c>
      <c r="K711" s="83" t="s">
        <v>789</v>
      </c>
      <c r="L711" s="83" t="s">
        <v>700</v>
      </c>
    </row>
    <row r="712" spans="1:12" ht="30" customHeight="1">
      <c r="A712" s="179" t="str">
        <f t="shared" si="22"/>
        <v>10/10/20235</v>
      </c>
      <c r="B712" s="172">
        <f t="shared" si="23"/>
        <v>5</v>
      </c>
      <c r="C712" s="83" t="s">
        <v>3078</v>
      </c>
      <c r="D712" s="84" t="s">
        <v>3103</v>
      </c>
      <c r="E712" s="83">
        <v>1</v>
      </c>
      <c r="F712" s="83" t="s">
        <v>2839</v>
      </c>
      <c r="G712" s="85">
        <v>45209</v>
      </c>
      <c r="H712" s="85" t="s">
        <v>73</v>
      </c>
      <c r="I712" s="85" t="s">
        <v>1220</v>
      </c>
      <c r="J712" s="83">
        <f>IFERROR(VLOOKUP(I712,Jueces!$A$1:$B$11,2,FALSE),"")</f>
        <v>1</v>
      </c>
      <c r="K712" s="83" t="s">
        <v>799</v>
      </c>
      <c r="L712" s="83" t="s">
        <v>712</v>
      </c>
    </row>
    <row r="713" spans="1:12" ht="30" customHeight="1">
      <c r="A713" s="179" t="str">
        <f t="shared" si="22"/>
        <v>10/10/20236</v>
      </c>
      <c r="B713" s="172">
        <f t="shared" si="23"/>
        <v>6</v>
      </c>
      <c r="C713" s="83" t="s">
        <v>3091</v>
      </c>
      <c r="D713" s="84" t="s">
        <v>3092</v>
      </c>
      <c r="E713" s="83">
        <v>8</v>
      </c>
      <c r="F713" s="83" t="s">
        <v>283</v>
      </c>
      <c r="G713" s="85">
        <v>45209</v>
      </c>
      <c r="H713" s="85" t="s">
        <v>749</v>
      </c>
      <c r="I713" s="85" t="s">
        <v>1225</v>
      </c>
      <c r="J713" s="83">
        <f>IFERROR(VLOOKUP(I713,Jueces!$A$1:$B$11,2,FALSE),"")</f>
        <v>6</v>
      </c>
      <c r="K713" s="83" t="s">
        <v>799</v>
      </c>
      <c r="L713" s="83" t="s">
        <v>711</v>
      </c>
    </row>
    <row r="714" spans="1:12" ht="30" customHeight="1">
      <c r="A714" s="179" t="str">
        <f t="shared" si="22"/>
        <v>10/10/20237</v>
      </c>
      <c r="B714" s="172">
        <f t="shared" si="23"/>
        <v>7</v>
      </c>
      <c r="C714" s="83" t="s">
        <v>3045</v>
      </c>
      <c r="D714" s="84" t="s">
        <v>3067</v>
      </c>
      <c r="E714" s="83">
        <v>1</v>
      </c>
      <c r="F714" s="83" t="s">
        <v>2774</v>
      </c>
      <c r="G714" s="85">
        <v>45209</v>
      </c>
      <c r="H714" s="85" t="s">
        <v>1086</v>
      </c>
      <c r="I714" s="85" t="s">
        <v>33</v>
      </c>
      <c r="J714" s="83">
        <f>IFERROR(VLOOKUP(I714,Jueces!$A$1:$B$11,2,FALSE),"")</f>
        <v>4</v>
      </c>
      <c r="K714" s="83" t="s">
        <v>791</v>
      </c>
      <c r="L714" s="83" t="s">
        <v>711</v>
      </c>
    </row>
    <row r="715" spans="1:12" ht="30" customHeight="1">
      <c r="A715" s="179" t="str">
        <f t="shared" si="22"/>
        <v>10/10/20238</v>
      </c>
      <c r="B715" s="172">
        <f t="shared" si="23"/>
        <v>8</v>
      </c>
      <c r="C715" s="83" t="s">
        <v>3028</v>
      </c>
      <c r="D715" s="84" t="s">
        <v>3071</v>
      </c>
      <c r="E715" s="83">
        <v>8</v>
      </c>
      <c r="F715" s="83" t="s">
        <v>1443</v>
      </c>
      <c r="G715" s="85">
        <v>45209</v>
      </c>
      <c r="H715" s="85" t="s">
        <v>1086</v>
      </c>
      <c r="I715" s="85" t="s">
        <v>2952</v>
      </c>
      <c r="J715" s="83" t="s">
        <v>1926</v>
      </c>
      <c r="K715" s="83" t="s">
        <v>798</v>
      </c>
      <c r="L715" s="83" t="s">
        <v>1087</v>
      </c>
    </row>
    <row r="716" spans="1:12" ht="30" customHeight="1">
      <c r="A716" s="179" t="str">
        <f t="shared" si="22"/>
        <v>10/10/20239</v>
      </c>
      <c r="B716" s="172">
        <f t="shared" si="23"/>
        <v>9</v>
      </c>
      <c r="C716" s="83" t="s">
        <v>3012</v>
      </c>
      <c r="D716" s="84" t="s">
        <v>3101</v>
      </c>
      <c r="E716" s="83">
        <v>1</v>
      </c>
      <c r="F716" s="83" t="s">
        <v>2789</v>
      </c>
      <c r="G716" s="85">
        <v>45209</v>
      </c>
      <c r="H716" s="85" t="s">
        <v>1086</v>
      </c>
      <c r="I716" s="85" t="s">
        <v>1221</v>
      </c>
      <c r="J716" s="83" t="s">
        <v>2344</v>
      </c>
      <c r="K716" s="83" t="s">
        <v>812</v>
      </c>
      <c r="L716" s="83" t="s">
        <v>712</v>
      </c>
    </row>
    <row r="717" spans="1:12" ht="30" customHeight="1">
      <c r="A717" s="179" t="str">
        <f t="shared" si="22"/>
        <v>11/10/20231</v>
      </c>
      <c r="B717" s="172">
        <f t="shared" si="23"/>
        <v>1</v>
      </c>
      <c r="C717" s="83" t="s">
        <v>3039</v>
      </c>
      <c r="D717" s="84" t="s">
        <v>3105</v>
      </c>
      <c r="E717" s="83">
        <v>8</v>
      </c>
      <c r="F717" s="83" t="s">
        <v>2839</v>
      </c>
      <c r="G717" s="85">
        <v>45210</v>
      </c>
      <c r="H717" s="85" t="s">
        <v>73</v>
      </c>
      <c r="I717" s="85" t="s">
        <v>1732</v>
      </c>
      <c r="J717" s="83" t="s">
        <v>1346</v>
      </c>
      <c r="K717" s="83" t="s">
        <v>809</v>
      </c>
      <c r="L717" s="83" t="s">
        <v>1087</v>
      </c>
    </row>
    <row r="718" spans="1:12" ht="30" customHeight="1">
      <c r="A718" s="179" t="str">
        <f t="shared" si="22"/>
        <v>11/10/20232</v>
      </c>
      <c r="B718" s="172">
        <f t="shared" si="23"/>
        <v>2</v>
      </c>
      <c r="C718" s="83" t="s">
        <v>2979</v>
      </c>
      <c r="D718" s="84" t="s">
        <v>3106</v>
      </c>
      <c r="E718" s="83">
        <v>1</v>
      </c>
      <c r="F718" s="83" t="s">
        <v>2774</v>
      </c>
      <c r="G718" s="85">
        <v>45210</v>
      </c>
      <c r="H718" s="85" t="s">
        <v>73</v>
      </c>
      <c r="I718" s="85" t="s">
        <v>2955</v>
      </c>
      <c r="J718" s="83" t="s">
        <v>2395</v>
      </c>
      <c r="K718" s="83" t="s">
        <v>791</v>
      </c>
      <c r="L718" s="83" t="s">
        <v>711</v>
      </c>
    </row>
    <row r="719" spans="1:12" ht="30" customHeight="1">
      <c r="A719" s="179" t="str">
        <f t="shared" si="22"/>
        <v>11/10/20233</v>
      </c>
      <c r="B719" s="172">
        <f t="shared" si="23"/>
        <v>3</v>
      </c>
      <c r="C719" s="83" t="s">
        <v>3025</v>
      </c>
      <c r="D719" s="84" t="s">
        <v>3026</v>
      </c>
      <c r="E719" s="83">
        <v>1</v>
      </c>
      <c r="F719" s="83" t="s">
        <v>568</v>
      </c>
      <c r="G719" s="85">
        <v>45210</v>
      </c>
      <c r="H719" s="85" t="s">
        <v>73</v>
      </c>
      <c r="I719" s="85" t="s">
        <v>35</v>
      </c>
      <c r="J719" s="83">
        <f>IFERROR(VLOOKUP(I719,Jueces!$A$1:$B$11,2,FALSE),"")</f>
        <v>3</v>
      </c>
      <c r="K719" s="83" t="s">
        <v>2089</v>
      </c>
      <c r="L719" s="83" t="s">
        <v>712</v>
      </c>
    </row>
    <row r="720" spans="1:12" ht="30" customHeight="1">
      <c r="A720" s="179" t="str">
        <f t="shared" si="22"/>
        <v>11/10/20234</v>
      </c>
      <c r="B720" s="172">
        <f t="shared" si="23"/>
        <v>4</v>
      </c>
      <c r="C720" s="83" t="s">
        <v>3076</v>
      </c>
      <c r="D720" s="84" t="s">
        <v>3064</v>
      </c>
      <c r="E720" s="83">
        <v>4</v>
      </c>
      <c r="F720" s="83" t="s">
        <v>2789</v>
      </c>
      <c r="G720" s="85">
        <v>45210</v>
      </c>
      <c r="H720" s="85" t="s">
        <v>1086</v>
      </c>
      <c r="I720" s="85" t="s">
        <v>1220</v>
      </c>
      <c r="J720" s="83">
        <f>IFERROR(VLOOKUP(I720,Jueces!$A$1:$B$11,2,FALSE),"")</f>
        <v>1</v>
      </c>
      <c r="K720" s="83" t="s">
        <v>1070</v>
      </c>
      <c r="L720" s="83" t="s">
        <v>3065</v>
      </c>
    </row>
    <row r="721" spans="1:12" ht="30" customHeight="1">
      <c r="A721" s="179" t="str">
        <f t="shared" si="22"/>
        <v>11/10/20235</v>
      </c>
      <c r="B721" s="172">
        <f t="shared" si="23"/>
        <v>5</v>
      </c>
      <c r="C721" s="83" t="s">
        <v>2973</v>
      </c>
      <c r="D721" s="84" t="s">
        <v>2974</v>
      </c>
      <c r="E721" s="83">
        <v>8</v>
      </c>
      <c r="F721" s="83" t="s">
        <v>2775</v>
      </c>
      <c r="G721" s="85">
        <v>45210</v>
      </c>
      <c r="H721" s="85" t="s">
        <v>1086</v>
      </c>
      <c r="I721" s="85" t="s">
        <v>1221</v>
      </c>
      <c r="J721" s="83">
        <f>IFERROR(VLOOKUP(I721,Jueces!$A$1:$B$11,2,FALSE),"")</f>
        <v>7</v>
      </c>
      <c r="K721" s="83" t="s">
        <v>796</v>
      </c>
      <c r="L721" s="83" t="s">
        <v>3104</v>
      </c>
    </row>
    <row r="722" spans="1:12" ht="30" customHeight="1">
      <c r="A722" s="179" t="str">
        <f t="shared" si="22"/>
        <v>11/10/20236</v>
      </c>
      <c r="B722" s="172">
        <f t="shared" si="23"/>
        <v>6</v>
      </c>
      <c r="C722" s="83" t="s">
        <v>2998</v>
      </c>
      <c r="D722" s="84" t="s">
        <v>3102</v>
      </c>
      <c r="E722" s="83">
        <v>1</v>
      </c>
      <c r="F722" s="83" t="s">
        <v>1442</v>
      </c>
      <c r="G722" s="85">
        <v>45210</v>
      </c>
      <c r="H722" s="85" t="s">
        <v>1086</v>
      </c>
      <c r="I722" s="85" t="s">
        <v>2952</v>
      </c>
      <c r="J722" s="83" t="s">
        <v>1926</v>
      </c>
      <c r="K722" s="83" t="s">
        <v>789</v>
      </c>
      <c r="L722" s="83" t="s">
        <v>712</v>
      </c>
    </row>
    <row r="723" spans="1:12" ht="30" customHeight="1">
      <c r="A723" s="179" t="str">
        <f t="shared" si="22"/>
        <v>11/10/20237</v>
      </c>
      <c r="B723" s="172">
        <f t="shared" si="23"/>
        <v>7</v>
      </c>
      <c r="C723" s="83" t="s">
        <v>3107</v>
      </c>
      <c r="D723" s="84" t="s">
        <v>3114</v>
      </c>
      <c r="E723" s="83">
        <v>1</v>
      </c>
      <c r="F723" s="83" t="s">
        <v>1441</v>
      </c>
      <c r="G723" s="85">
        <v>45210</v>
      </c>
      <c r="H723" s="85" t="s">
        <v>1086</v>
      </c>
      <c r="I723" s="85" t="s">
        <v>1225</v>
      </c>
      <c r="J723" s="83">
        <f>IFERROR(VLOOKUP(I723,Jueces!$A$1:$B$11,2,FALSE),"")</f>
        <v>6</v>
      </c>
      <c r="K723" s="83" t="s">
        <v>799</v>
      </c>
      <c r="L723" s="83" t="s">
        <v>711</v>
      </c>
    </row>
    <row r="724" spans="1:12" ht="30" customHeight="1">
      <c r="A724" s="179" t="str">
        <f t="shared" si="22"/>
        <v>11/10/20238</v>
      </c>
      <c r="B724" s="172">
        <f t="shared" si="23"/>
        <v>8</v>
      </c>
      <c r="C724" s="83" t="s">
        <v>3000</v>
      </c>
      <c r="D724" s="84" t="s">
        <v>3113</v>
      </c>
      <c r="E724" s="83">
        <v>1</v>
      </c>
      <c r="F724" s="83" t="s">
        <v>283</v>
      </c>
      <c r="G724" s="85">
        <v>45210</v>
      </c>
      <c r="H724" s="85" t="s">
        <v>547</v>
      </c>
      <c r="I724" s="85" t="s">
        <v>33</v>
      </c>
      <c r="J724" s="83">
        <f>IFERROR(VLOOKUP(I724,Jueces!$A$1:$B$11,2,FALSE),"")</f>
        <v>4</v>
      </c>
      <c r="K724" s="83" t="s">
        <v>812</v>
      </c>
      <c r="L724" s="83" t="s">
        <v>711</v>
      </c>
    </row>
    <row r="725" spans="1:12" ht="30" customHeight="1">
      <c r="A725" s="179" t="str">
        <f t="shared" si="22"/>
        <v>12/10/20231</v>
      </c>
      <c r="B725" s="172">
        <f t="shared" si="23"/>
        <v>1</v>
      </c>
      <c r="C725" s="83" t="s">
        <v>3093</v>
      </c>
      <c r="D725" s="84" t="s">
        <v>3094</v>
      </c>
      <c r="E725" s="83">
        <v>8</v>
      </c>
      <c r="F725" s="83" t="s">
        <v>43</v>
      </c>
      <c r="G725" s="85">
        <v>45211</v>
      </c>
      <c r="H725" s="85" t="s">
        <v>73</v>
      </c>
      <c r="I725" s="85" t="s">
        <v>1220</v>
      </c>
      <c r="J725" s="83">
        <f>IFERROR(VLOOKUP(I725,Jueces!$A$1:$B$11,2,FALSE),"")</f>
        <v>1</v>
      </c>
      <c r="K725" s="83" t="s">
        <v>811</v>
      </c>
      <c r="L725" s="83" t="s">
        <v>1087</v>
      </c>
    </row>
    <row r="726" spans="1:12" ht="30" customHeight="1">
      <c r="A726" s="179" t="str">
        <f t="shared" si="22"/>
        <v>12/10/20232</v>
      </c>
      <c r="B726" s="172">
        <f t="shared" si="23"/>
        <v>2</v>
      </c>
      <c r="C726" s="83" t="s">
        <v>3005</v>
      </c>
      <c r="D726" s="84" t="s">
        <v>3006</v>
      </c>
      <c r="E726" s="83">
        <v>1</v>
      </c>
      <c r="F726" s="83" t="s">
        <v>29</v>
      </c>
      <c r="G726" s="85">
        <v>45211</v>
      </c>
      <c r="H726" s="85" t="s">
        <v>73</v>
      </c>
      <c r="I726" s="85" t="s">
        <v>33</v>
      </c>
      <c r="J726" s="83">
        <f>IFERROR(VLOOKUP(I726,Jueces!$A$1:$B$11,2,FALSE),"")</f>
        <v>4</v>
      </c>
      <c r="K726" s="83" t="s">
        <v>793</v>
      </c>
      <c r="L726" s="83" t="s">
        <v>711</v>
      </c>
    </row>
    <row r="727" spans="1:12" ht="30" customHeight="1">
      <c r="A727" s="179" t="str">
        <f t="shared" si="22"/>
        <v>00/01/19001</v>
      </c>
      <c r="B727" s="172">
        <f t="shared" si="23"/>
        <v>1</v>
      </c>
      <c r="C727" s="245" t="s">
        <v>2530</v>
      </c>
      <c r="D727" s="248" t="s">
        <v>2579</v>
      </c>
      <c r="E727" s="245">
        <v>7</v>
      </c>
      <c r="F727" s="245"/>
      <c r="G727" s="330"/>
      <c r="H727" s="330"/>
      <c r="I727" s="330"/>
      <c r="J727" s="245" t="str">
        <f>IFERROR(VLOOKUP(I727,Jueces!$A$1:$B$11,2,FALSE),"")</f>
        <v/>
      </c>
      <c r="K727" s="245" t="s">
        <v>807</v>
      </c>
      <c r="L727" s="245" t="s">
        <v>767</v>
      </c>
    </row>
    <row r="728" spans="1:12" ht="30" customHeight="1">
      <c r="A728" s="179" t="str">
        <f t="shared" si="22"/>
        <v>00/01/19002</v>
      </c>
      <c r="B728" s="172">
        <f t="shared" si="23"/>
        <v>2</v>
      </c>
      <c r="C728" s="173" t="s">
        <v>2615</v>
      </c>
      <c r="D728" s="174" t="s">
        <v>2616</v>
      </c>
      <c r="E728" s="173">
        <v>7</v>
      </c>
      <c r="F728" s="173"/>
      <c r="G728" s="332"/>
      <c r="H728" s="332"/>
      <c r="I728" s="332"/>
      <c r="J728" s="173" t="str">
        <f>IFERROR(VLOOKUP(I728,Jueces!$A$1:$B$11,2,FALSE),"")</f>
        <v/>
      </c>
      <c r="K728" s="173" t="s">
        <v>812</v>
      </c>
      <c r="L728" s="173" t="s">
        <v>767</v>
      </c>
    </row>
    <row r="729" spans="1:12" ht="30" customHeight="1">
      <c r="A729" s="179" t="str">
        <f t="shared" si="22"/>
        <v>00/01/19003</v>
      </c>
      <c r="B729" s="172">
        <f t="shared" si="23"/>
        <v>3</v>
      </c>
      <c r="C729" s="245" t="s">
        <v>2851</v>
      </c>
      <c r="D729" s="248" t="s">
        <v>2888</v>
      </c>
      <c r="E729" s="245">
        <v>7</v>
      </c>
      <c r="F729" s="245"/>
      <c r="G729" s="330"/>
      <c r="H729" s="330"/>
      <c r="I729" s="330"/>
      <c r="J729" s="245" t="str">
        <f>IFERROR(VLOOKUP(I729,Jueces!$A$1:$B$11,2,FALSE),"")</f>
        <v/>
      </c>
      <c r="K729" s="245" t="s">
        <v>1070</v>
      </c>
      <c r="L729" s="245" t="s">
        <v>2887</v>
      </c>
    </row>
    <row r="730" spans="1:12" ht="30" customHeight="1">
      <c r="A730" s="179" t="str">
        <f t="shared" si="22"/>
        <v>00/01/19004</v>
      </c>
      <c r="B730" s="172">
        <f t="shared" si="23"/>
        <v>4</v>
      </c>
      <c r="C730" s="173" t="s">
        <v>1840</v>
      </c>
      <c r="D730" s="174" t="s">
        <v>2880</v>
      </c>
      <c r="E730" s="173">
        <v>4</v>
      </c>
      <c r="F730" s="173"/>
      <c r="G730" s="332"/>
      <c r="H730" s="332"/>
      <c r="I730" s="332"/>
      <c r="J730" s="173" t="str">
        <f>IFERROR(VLOOKUP(I730,Jueces!$A$1:$B$11,2,FALSE),"")</f>
        <v/>
      </c>
      <c r="K730" s="173" t="s">
        <v>812</v>
      </c>
      <c r="L730" s="173"/>
    </row>
    <row r="731" spans="1:12" ht="30" customHeight="1">
      <c r="A731" s="179" t="str">
        <f t="shared" si="22"/>
        <v>00/01/19005</v>
      </c>
      <c r="B731" s="172">
        <f t="shared" si="23"/>
        <v>5</v>
      </c>
      <c r="C731" s="173" t="s">
        <v>2995</v>
      </c>
      <c r="D731" s="174" t="s">
        <v>2996</v>
      </c>
      <c r="E731" s="173">
        <v>8</v>
      </c>
      <c r="F731" s="173"/>
      <c r="G731" s="332"/>
      <c r="H731" s="332"/>
      <c r="I731" s="332"/>
      <c r="J731" s="173" t="str">
        <f>IFERROR(VLOOKUP(I731,Jueces!$A$1:$B$11,2,FALSE),"")</f>
        <v/>
      </c>
      <c r="K731" s="173" t="s">
        <v>796</v>
      </c>
      <c r="L731" s="173"/>
    </row>
    <row r="732" spans="1:12" ht="30" customHeight="1">
      <c r="A732" s="179" t="str">
        <f t="shared" si="22"/>
        <v>00/01/19006</v>
      </c>
      <c r="B732" s="172">
        <f t="shared" si="23"/>
        <v>6</v>
      </c>
      <c r="C732" s="173" t="s">
        <v>3029</v>
      </c>
      <c r="D732" s="174" t="s">
        <v>3030</v>
      </c>
      <c r="E732" s="173">
        <v>1</v>
      </c>
      <c r="F732" s="173"/>
      <c r="G732" s="332"/>
      <c r="H732" s="332"/>
      <c r="I732" s="332"/>
      <c r="J732" s="173" t="str">
        <f>IFERROR(VLOOKUP(I732,Jueces!$A$1:$B$11,2,FALSE),"")</f>
        <v/>
      </c>
      <c r="K732" s="173" t="s">
        <v>811</v>
      </c>
      <c r="L732" s="173"/>
    </row>
    <row r="733" spans="1:12" ht="30" customHeight="1">
      <c r="A733" s="179" t="str">
        <f t="shared" si="22"/>
        <v>00/01/19007</v>
      </c>
      <c r="B733" s="172">
        <f t="shared" si="23"/>
        <v>7</v>
      </c>
      <c r="C733" s="245" t="s">
        <v>3044</v>
      </c>
      <c r="D733" s="248" t="s">
        <v>3111</v>
      </c>
      <c r="E733" s="245">
        <v>4</v>
      </c>
      <c r="F733" s="245"/>
      <c r="G733" s="330"/>
      <c r="H733" s="330"/>
      <c r="I733" s="330"/>
      <c r="J733" s="245" t="str">
        <f>IFERROR(VLOOKUP(I733,Jueces!$A$1:$B$11,2,FALSE),"")</f>
        <v/>
      </c>
      <c r="K733" s="245" t="s">
        <v>806</v>
      </c>
      <c r="L733" s="245" t="s">
        <v>711</v>
      </c>
    </row>
    <row r="734" spans="1:12" ht="30" customHeight="1">
      <c r="A734" s="179" t="str">
        <f t="shared" si="22"/>
        <v>00/01/19008</v>
      </c>
      <c r="B734" s="172">
        <f t="shared" si="23"/>
        <v>8</v>
      </c>
      <c r="C734" s="245" t="s">
        <v>3077</v>
      </c>
      <c r="D734" s="248" t="s">
        <v>3100</v>
      </c>
      <c r="E734" s="245">
        <v>1</v>
      </c>
      <c r="F734" s="245"/>
      <c r="G734" s="330"/>
      <c r="H734" s="330"/>
      <c r="I734" s="330"/>
      <c r="J734" s="245" t="str">
        <f>IFERROR(VLOOKUP(I734,Jueces!$A$1:$B$11,2,FALSE),"")</f>
        <v/>
      </c>
      <c r="K734" s="245" t="s">
        <v>813</v>
      </c>
      <c r="L734" s="245" t="s">
        <v>711</v>
      </c>
    </row>
    <row r="735" spans="1:12" ht="30" customHeight="1">
      <c r="A735" s="179" t="str">
        <f t="shared" si="22"/>
        <v>00/01/19009</v>
      </c>
      <c r="B735" s="172">
        <f t="shared" si="23"/>
        <v>9</v>
      </c>
    </row>
    <row r="736" spans="1:12" ht="30" customHeight="1">
      <c r="A736" s="179" t="str">
        <f t="shared" si="22"/>
        <v>00/01/190010</v>
      </c>
      <c r="B736" s="172">
        <f t="shared" si="23"/>
        <v>10</v>
      </c>
    </row>
    <row r="737" spans="1:2" ht="30" customHeight="1">
      <c r="A737" s="179" t="str">
        <f t="shared" si="22"/>
        <v>00/01/190011</v>
      </c>
      <c r="B737" s="172">
        <f t="shared" si="23"/>
        <v>11</v>
      </c>
    </row>
    <row r="738" spans="1:2" ht="30" customHeight="1">
      <c r="A738" s="179" t="str">
        <f t="shared" si="22"/>
        <v>00/01/190012</v>
      </c>
      <c r="B738" s="172">
        <f t="shared" si="23"/>
        <v>12</v>
      </c>
    </row>
    <row r="739" spans="1:2" ht="30" customHeight="1">
      <c r="A739" s="179" t="str">
        <f t="shared" si="22"/>
        <v>00/01/190013</v>
      </c>
      <c r="B739" s="172">
        <f t="shared" si="23"/>
        <v>13</v>
      </c>
    </row>
    <row r="740" spans="1:2" ht="30" customHeight="1">
      <c r="A740" s="179" t="str">
        <f t="shared" si="22"/>
        <v>00/01/190014</v>
      </c>
      <c r="B740" s="172">
        <f t="shared" si="23"/>
        <v>14</v>
      </c>
    </row>
    <row r="741" spans="1:2" ht="30" customHeight="1">
      <c r="A741" s="179" t="str">
        <f t="shared" si="22"/>
        <v>00/01/190015</v>
      </c>
      <c r="B741" s="172">
        <f t="shared" si="23"/>
        <v>15</v>
      </c>
    </row>
    <row r="742" spans="1:2" ht="30" customHeight="1">
      <c r="A742" s="179" t="str">
        <f t="shared" si="22"/>
        <v>00/01/190016</v>
      </c>
      <c r="B742" s="172">
        <f t="shared" si="23"/>
        <v>16</v>
      </c>
    </row>
    <row r="743" spans="1:2" ht="30" customHeight="1">
      <c r="A743" s="179" t="str">
        <f t="shared" si="22"/>
        <v>00/01/190017</v>
      </c>
      <c r="B743" s="172">
        <f t="shared" si="23"/>
        <v>17</v>
      </c>
    </row>
    <row r="744" spans="1:2" ht="30" customHeight="1">
      <c r="A744" s="179" t="str">
        <f t="shared" si="22"/>
        <v>00/01/190018</v>
      </c>
      <c r="B744" s="172">
        <f t="shared" si="23"/>
        <v>18</v>
      </c>
    </row>
    <row r="745" spans="1:2" ht="30" customHeight="1">
      <c r="A745" s="179" t="str">
        <f t="shared" si="22"/>
        <v>00/01/190019</v>
      </c>
      <c r="B745" s="172">
        <f t="shared" si="23"/>
        <v>19</v>
      </c>
    </row>
    <row r="746" spans="1:2" ht="30" customHeight="1">
      <c r="A746" s="179" t="str">
        <f t="shared" si="22"/>
        <v>00/01/190020</v>
      </c>
      <c r="B746" s="172">
        <f t="shared" si="23"/>
        <v>20</v>
      </c>
    </row>
    <row r="747" spans="1:2" ht="30" customHeight="1">
      <c r="A747" s="179" t="str">
        <f t="shared" si="22"/>
        <v>00/01/190021</v>
      </c>
      <c r="B747" s="172">
        <f t="shared" si="23"/>
        <v>21</v>
      </c>
    </row>
    <row r="748" spans="1:2" ht="30" customHeight="1">
      <c r="A748" s="179" t="str">
        <f t="shared" si="22"/>
        <v>00/01/190022</v>
      </c>
      <c r="B748" s="172">
        <f t="shared" si="23"/>
        <v>22</v>
      </c>
    </row>
    <row r="749" spans="1:2" ht="30" customHeight="1">
      <c r="A749" s="179" t="str">
        <f t="shared" si="22"/>
        <v>00/01/190023</v>
      </c>
      <c r="B749" s="172">
        <f t="shared" si="23"/>
        <v>23</v>
      </c>
    </row>
    <row r="750" spans="1:2" ht="30" customHeight="1">
      <c r="A750" s="179" t="str">
        <f t="shared" si="22"/>
        <v>00/01/190024</v>
      </c>
      <c r="B750" s="172">
        <f t="shared" si="23"/>
        <v>24</v>
      </c>
    </row>
    <row r="751" spans="1:2" ht="30" customHeight="1">
      <c r="A751" s="179" t="str">
        <f t="shared" si="22"/>
        <v>00/01/190025</v>
      </c>
      <c r="B751" s="172">
        <f t="shared" si="23"/>
        <v>25</v>
      </c>
    </row>
    <row r="752" spans="1:2" ht="30" customHeight="1">
      <c r="A752" s="179" t="str">
        <f t="shared" si="22"/>
        <v>00/01/190026</v>
      </c>
      <c r="B752" s="172">
        <f t="shared" si="23"/>
        <v>26</v>
      </c>
    </row>
    <row r="753" spans="1:2" ht="30" customHeight="1">
      <c r="A753" s="179" t="str">
        <f t="shared" si="22"/>
        <v>00/01/190027</v>
      </c>
      <c r="B753" s="172">
        <f t="shared" si="23"/>
        <v>27</v>
      </c>
    </row>
    <row r="754" spans="1:2" ht="30" customHeight="1">
      <c r="A754" s="179" t="str">
        <f t="shared" si="22"/>
        <v>00/01/190028</v>
      </c>
      <c r="B754" s="172">
        <f t="shared" si="23"/>
        <v>28</v>
      </c>
    </row>
    <row r="755" spans="1:2" ht="30" customHeight="1">
      <c r="A755" s="179" t="str">
        <f t="shared" si="22"/>
        <v>00/01/190029</v>
      </c>
      <c r="B755" s="172">
        <f t="shared" si="23"/>
        <v>29</v>
      </c>
    </row>
    <row r="756" spans="1:2" ht="30" customHeight="1">
      <c r="A756" s="179" t="str">
        <f t="shared" si="22"/>
        <v>00/01/190030</v>
      </c>
      <c r="B756" s="172">
        <f t="shared" si="23"/>
        <v>30</v>
      </c>
    </row>
    <row r="757" spans="1:2" ht="30" customHeight="1">
      <c r="A757" s="179" t="str">
        <f t="shared" si="22"/>
        <v>00/01/190031</v>
      </c>
      <c r="B757" s="172">
        <f t="shared" si="23"/>
        <v>31</v>
      </c>
    </row>
    <row r="758" spans="1:2" ht="30" customHeight="1">
      <c r="A758" s="179" t="str">
        <f t="shared" si="22"/>
        <v>00/01/190032</v>
      </c>
      <c r="B758" s="172">
        <f t="shared" si="23"/>
        <v>32</v>
      </c>
    </row>
    <row r="759" spans="1:2" ht="30" customHeight="1">
      <c r="A759" s="179" t="str">
        <f t="shared" si="22"/>
        <v>00/01/190033</v>
      </c>
      <c r="B759" s="172">
        <f t="shared" si="23"/>
        <v>33</v>
      </c>
    </row>
    <row r="760" spans="1:2" ht="30" customHeight="1">
      <c r="A760" s="179" t="str">
        <f t="shared" si="22"/>
        <v>00/01/190034</v>
      </c>
      <c r="B760" s="172">
        <f t="shared" si="23"/>
        <v>34</v>
      </c>
    </row>
    <row r="761" spans="1:2" ht="30" customHeight="1">
      <c r="A761" s="179" t="str">
        <f t="shared" si="22"/>
        <v>00/01/190035</v>
      </c>
      <c r="B761" s="172">
        <f t="shared" si="23"/>
        <v>35</v>
      </c>
    </row>
    <row r="762" spans="1:2" ht="30" customHeight="1">
      <c r="A762" s="179" t="str">
        <f t="shared" si="22"/>
        <v>00/01/190036</v>
      </c>
      <c r="B762" s="172">
        <f t="shared" si="23"/>
        <v>36</v>
      </c>
    </row>
    <row r="763" spans="1:2" ht="30" customHeight="1">
      <c r="A763" s="179" t="str">
        <f t="shared" si="22"/>
        <v>00/01/190037</v>
      </c>
      <c r="B763" s="172">
        <f t="shared" si="23"/>
        <v>37</v>
      </c>
    </row>
    <row r="764" spans="1:2" ht="30" customHeight="1">
      <c r="A764" s="179" t="str">
        <f t="shared" si="22"/>
        <v>00/01/190038</v>
      </c>
      <c r="B764" s="172">
        <f t="shared" si="23"/>
        <v>38</v>
      </c>
    </row>
    <row r="765" spans="1:2" ht="30" customHeight="1">
      <c r="A765" s="179" t="str">
        <f t="shared" si="22"/>
        <v>00/01/190039</v>
      </c>
      <c r="B765" s="172">
        <f t="shared" si="23"/>
        <v>39</v>
      </c>
    </row>
    <row r="766" spans="1:2" ht="30" customHeight="1">
      <c r="A766" s="179" t="str">
        <f t="shared" si="22"/>
        <v>00/01/190040</v>
      </c>
      <c r="B766" s="172">
        <f t="shared" si="23"/>
        <v>40</v>
      </c>
    </row>
    <row r="767" spans="1:2" ht="30" customHeight="1">
      <c r="A767" s="179" t="str">
        <f t="shared" si="22"/>
        <v>00/01/190041</v>
      </c>
      <c r="B767" s="172">
        <f t="shared" si="23"/>
        <v>41</v>
      </c>
    </row>
    <row r="768" spans="1:2" ht="30" customHeight="1">
      <c r="A768" s="179" t="str">
        <f t="shared" si="22"/>
        <v>00/01/190042</v>
      </c>
      <c r="B768" s="172">
        <f t="shared" si="23"/>
        <v>42</v>
      </c>
    </row>
    <row r="769" spans="1:2" ht="30" customHeight="1">
      <c r="A769" s="179" t="str">
        <f t="shared" si="22"/>
        <v>00/01/190043</v>
      </c>
      <c r="B769" s="172">
        <f t="shared" si="23"/>
        <v>43</v>
      </c>
    </row>
    <row r="770" spans="1:2" ht="30" customHeight="1">
      <c r="A770" s="179" t="str">
        <f t="shared" si="22"/>
        <v>00/01/190044</v>
      </c>
      <c r="B770" s="172">
        <f t="shared" si="23"/>
        <v>44</v>
      </c>
    </row>
    <row r="771" spans="1:2" ht="30" customHeight="1">
      <c r="A771" s="179" t="str">
        <f t="shared" ref="A771:A834" si="24">CONCATENATE(TEXT($G771,"dd/mm/yyyy"),$B771)</f>
        <v>00/01/190045</v>
      </c>
      <c r="B771" s="172">
        <f t="shared" si="23"/>
        <v>45</v>
      </c>
    </row>
    <row r="772" spans="1:2" ht="30" customHeight="1">
      <c r="A772" s="179" t="str">
        <f t="shared" si="24"/>
        <v>00/01/190046</v>
      </c>
      <c r="B772" s="172">
        <f t="shared" ref="B772:B835" si="25">IF($G772=$G771,$B771+1,1)</f>
        <v>46</v>
      </c>
    </row>
    <row r="773" spans="1:2" ht="30" customHeight="1">
      <c r="A773" s="179" t="str">
        <f t="shared" si="24"/>
        <v>00/01/190047</v>
      </c>
      <c r="B773" s="172">
        <f t="shared" si="25"/>
        <v>47</v>
      </c>
    </row>
    <row r="774" spans="1:2" ht="30" customHeight="1">
      <c r="A774" s="179" t="str">
        <f t="shared" si="24"/>
        <v>00/01/190048</v>
      </c>
      <c r="B774" s="172">
        <f t="shared" si="25"/>
        <v>48</v>
      </c>
    </row>
    <row r="775" spans="1:2" ht="30" customHeight="1">
      <c r="A775" s="179" t="str">
        <f t="shared" si="24"/>
        <v>00/01/190049</v>
      </c>
      <c r="B775" s="172">
        <f t="shared" si="25"/>
        <v>49</v>
      </c>
    </row>
    <row r="776" spans="1:2" ht="30" customHeight="1">
      <c r="A776" s="179" t="str">
        <f t="shared" si="24"/>
        <v>00/01/190050</v>
      </c>
      <c r="B776" s="172">
        <f t="shared" si="25"/>
        <v>50</v>
      </c>
    </row>
    <row r="777" spans="1:2" ht="30" customHeight="1">
      <c r="A777" s="179" t="str">
        <f t="shared" si="24"/>
        <v>00/01/190051</v>
      </c>
      <c r="B777" s="172">
        <f t="shared" si="25"/>
        <v>51</v>
      </c>
    </row>
    <row r="778" spans="1:2" ht="30" customHeight="1">
      <c r="A778" s="179" t="str">
        <f t="shared" si="24"/>
        <v>00/01/190052</v>
      </c>
      <c r="B778" s="172">
        <f t="shared" si="25"/>
        <v>52</v>
      </c>
    </row>
    <row r="779" spans="1:2" ht="30" customHeight="1">
      <c r="A779" s="179" t="str">
        <f t="shared" si="24"/>
        <v>00/01/190053</v>
      </c>
      <c r="B779" s="172">
        <f t="shared" si="25"/>
        <v>53</v>
      </c>
    </row>
    <row r="780" spans="1:2" ht="30" customHeight="1">
      <c r="A780" s="179" t="str">
        <f t="shared" si="24"/>
        <v>00/01/190054</v>
      </c>
      <c r="B780" s="172">
        <f t="shared" si="25"/>
        <v>54</v>
      </c>
    </row>
    <row r="781" spans="1:2" ht="30" customHeight="1">
      <c r="A781" s="179" t="str">
        <f t="shared" si="24"/>
        <v>00/01/190055</v>
      </c>
      <c r="B781" s="172">
        <f t="shared" si="25"/>
        <v>55</v>
      </c>
    </row>
    <row r="782" spans="1:2" ht="30" customHeight="1">
      <c r="A782" s="179" t="str">
        <f t="shared" si="24"/>
        <v>00/01/190056</v>
      </c>
      <c r="B782" s="172">
        <f t="shared" si="25"/>
        <v>56</v>
      </c>
    </row>
    <row r="783" spans="1:2" ht="30" customHeight="1">
      <c r="A783" s="179" t="str">
        <f t="shared" si="24"/>
        <v>00/01/190057</v>
      </c>
      <c r="B783" s="172">
        <f t="shared" si="25"/>
        <v>57</v>
      </c>
    </row>
    <row r="784" spans="1:2" ht="30" customHeight="1">
      <c r="A784" s="179" t="str">
        <f t="shared" si="24"/>
        <v>00/01/190058</v>
      </c>
      <c r="B784" s="172">
        <f t="shared" si="25"/>
        <v>58</v>
      </c>
    </row>
    <row r="785" spans="1:2" ht="30" customHeight="1">
      <c r="A785" s="179" t="str">
        <f t="shared" si="24"/>
        <v>00/01/190059</v>
      </c>
      <c r="B785" s="172">
        <f t="shared" si="25"/>
        <v>59</v>
      </c>
    </row>
    <row r="786" spans="1:2" ht="30" customHeight="1">
      <c r="A786" s="179" t="str">
        <f t="shared" si="24"/>
        <v>00/01/190060</v>
      </c>
      <c r="B786" s="172">
        <f t="shared" si="25"/>
        <v>60</v>
      </c>
    </row>
    <row r="787" spans="1:2" ht="30" customHeight="1">
      <c r="A787" s="179" t="str">
        <f t="shared" si="24"/>
        <v>00/01/190061</v>
      </c>
      <c r="B787" s="172">
        <f t="shared" si="25"/>
        <v>61</v>
      </c>
    </row>
    <row r="788" spans="1:2" ht="30" customHeight="1">
      <c r="A788" s="179" t="str">
        <f t="shared" si="24"/>
        <v>00/01/190062</v>
      </c>
      <c r="B788" s="172">
        <f t="shared" si="25"/>
        <v>62</v>
      </c>
    </row>
    <row r="789" spans="1:2" ht="30" customHeight="1">
      <c r="A789" s="179" t="str">
        <f t="shared" si="24"/>
        <v>00/01/190063</v>
      </c>
      <c r="B789" s="172">
        <f t="shared" si="25"/>
        <v>63</v>
      </c>
    </row>
    <row r="790" spans="1:2" ht="30" customHeight="1">
      <c r="A790" s="179" t="str">
        <f t="shared" si="24"/>
        <v>00/01/190064</v>
      </c>
      <c r="B790" s="172">
        <f t="shared" si="25"/>
        <v>64</v>
      </c>
    </row>
    <row r="791" spans="1:2" ht="30" customHeight="1">
      <c r="A791" s="179" t="str">
        <f t="shared" si="24"/>
        <v>00/01/190065</v>
      </c>
      <c r="B791" s="172">
        <f t="shared" si="25"/>
        <v>65</v>
      </c>
    </row>
    <row r="792" spans="1:2" ht="30" customHeight="1">
      <c r="A792" s="179" t="str">
        <f t="shared" si="24"/>
        <v>00/01/190066</v>
      </c>
      <c r="B792" s="172">
        <f t="shared" si="25"/>
        <v>66</v>
      </c>
    </row>
    <row r="793" spans="1:2" ht="30" customHeight="1">
      <c r="A793" s="179" t="str">
        <f t="shared" si="24"/>
        <v>00/01/190067</v>
      </c>
      <c r="B793" s="172">
        <f t="shared" si="25"/>
        <v>67</v>
      </c>
    </row>
    <row r="794" spans="1:2" ht="30" customHeight="1">
      <c r="A794" s="179" t="str">
        <f t="shared" si="24"/>
        <v>00/01/190068</v>
      </c>
      <c r="B794" s="172">
        <f t="shared" si="25"/>
        <v>68</v>
      </c>
    </row>
    <row r="795" spans="1:2" ht="30" customHeight="1">
      <c r="A795" s="179" t="str">
        <f t="shared" si="24"/>
        <v>00/01/190069</v>
      </c>
      <c r="B795" s="172">
        <f t="shared" si="25"/>
        <v>69</v>
      </c>
    </row>
    <row r="796" spans="1:2" ht="30" customHeight="1">
      <c r="A796" s="179" t="str">
        <f t="shared" si="24"/>
        <v>00/01/190070</v>
      </c>
      <c r="B796" s="172">
        <f t="shared" si="25"/>
        <v>70</v>
      </c>
    </row>
    <row r="797" spans="1:2" ht="30" customHeight="1">
      <c r="A797" s="179" t="str">
        <f t="shared" si="24"/>
        <v>00/01/190071</v>
      </c>
      <c r="B797" s="172">
        <f t="shared" si="25"/>
        <v>71</v>
      </c>
    </row>
    <row r="798" spans="1:2" ht="30" customHeight="1">
      <c r="A798" s="179" t="str">
        <f t="shared" si="24"/>
        <v>00/01/190072</v>
      </c>
      <c r="B798" s="172">
        <f t="shared" si="25"/>
        <v>72</v>
      </c>
    </row>
    <row r="799" spans="1:2" ht="30" customHeight="1">
      <c r="A799" s="179" t="str">
        <f t="shared" si="24"/>
        <v>00/01/190073</v>
      </c>
      <c r="B799" s="172">
        <f t="shared" si="25"/>
        <v>73</v>
      </c>
    </row>
    <row r="800" spans="1:2" ht="30" customHeight="1">
      <c r="A800" s="179" t="str">
        <f t="shared" si="24"/>
        <v>00/01/190074</v>
      </c>
      <c r="B800" s="172">
        <f t="shared" si="25"/>
        <v>74</v>
      </c>
    </row>
    <row r="801" spans="1:2" ht="30" customHeight="1">
      <c r="A801" s="179" t="str">
        <f t="shared" si="24"/>
        <v>00/01/190075</v>
      </c>
      <c r="B801" s="172">
        <f t="shared" si="25"/>
        <v>75</v>
      </c>
    </row>
    <row r="802" spans="1:2" ht="30" customHeight="1">
      <c r="A802" s="179" t="str">
        <f t="shared" si="24"/>
        <v>00/01/190076</v>
      </c>
      <c r="B802" s="172">
        <f t="shared" si="25"/>
        <v>76</v>
      </c>
    </row>
    <row r="803" spans="1:2" ht="30" customHeight="1">
      <c r="A803" s="179" t="str">
        <f t="shared" si="24"/>
        <v>00/01/190077</v>
      </c>
      <c r="B803" s="172">
        <f t="shared" si="25"/>
        <v>77</v>
      </c>
    </row>
    <row r="804" spans="1:2" ht="30" customHeight="1">
      <c r="A804" s="179" t="str">
        <f t="shared" si="24"/>
        <v>00/01/190078</v>
      </c>
      <c r="B804" s="172">
        <f t="shared" si="25"/>
        <v>78</v>
      </c>
    </row>
    <row r="805" spans="1:2" ht="30" customHeight="1">
      <c r="A805" s="179" t="str">
        <f t="shared" si="24"/>
        <v>00/01/190079</v>
      </c>
      <c r="B805" s="172">
        <f t="shared" si="25"/>
        <v>79</v>
      </c>
    </row>
    <row r="806" spans="1:2" ht="30" customHeight="1">
      <c r="A806" s="179" t="str">
        <f t="shared" si="24"/>
        <v>00/01/190080</v>
      </c>
      <c r="B806" s="172">
        <f t="shared" si="25"/>
        <v>80</v>
      </c>
    </row>
    <row r="807" spans="1:2" ht="30" customHeight="1">
      <c r="A807" s="179" t="str">
        <f t="shared" si="24"/>
        <v>00/01/190081</v>
      </c>
      <c r="B807" s="172">
        <f t="shared" si="25"/>
        <v>81</v>
      </c>
    </row>
    <row r="808" spans="1:2" ht="30" customHeight="1">
      <c r="A808" s="179" t="str">
        <f t="shared" si="24"/>
        <v>00/01/190082</v>
      </c>
      <c r="B808" s="172">
        <f t="shared" si="25"/>
        <v>82</v>
      </c>
    </row>
    <row r="809" spans="1:2" ht="30" customHeight="1">
      <c r="A809" s="179" t="str">
        <f t="shared" si="24"/>
        <v>00/01/190083</v>
      </c>
      <c r="B809" s="172">
        <f t="shared" si="25"/>
        <v>83</v>
      </c>
    </row>
    <row r="810" spans="1:2" ht="30" customHeight="1">
      <c r="A810" s="179" t="str">
        <f t="shared" si="24"/>
        <v>00/01/190084</v>
      </c>
      <c r="B810" s="172">
        <f t="shared" si="25"/>
        <v>84</v>
      </c>
    </row>
    <row r="811" spans="1:2" ht="30" customHeight="1">
      <c r="A811" s="179" t="str">
        <f t="shared" si="24"/>
        <v>00/01/190085</v>
      </c>
      <c r="B811" s="172">
        <f t="shared" si="25"/>
        <v>85</v>
      </c>
    </row>
    <row r="812" spans="1:2" ht="30" customHeight="1">
      <c r="A812" s="179" t="str">
        <f t="shared" si="24"/>
        <v>00/01/190086</v>
      </c>
      <c r="B812" s="172">
        <f t="shared" si="25"/>
        <v>86</v>
      </c>
    </row>
    <row r="813" spans="1:2" ht="30" customHeight="1">
      <c r="A813" s="179" t="str">
        <f t="shared" si="24"/>
        <v>00/01/190087</v>
      </c>
      <c r="B813" s="172">
        <f t="shared" si="25"/>
        <v>87</v>
      </c>
    </row>
    <row r="814" spans="1:2" ht="30" customHeight="1">
      <c r="A814" s="179" t="str">
        <f t="shared" si="24"/>
        <v>00/01/190088</v>
      </c>
      <c r="B814" s="172">
        <f t="shared" si="25"/>
        <v>88</v>
      </c>
    </row>
    <row r="815" spans="1:2" ht="30" customHeight="1">
      <c r="A815" s="179" t="str">
        <f t="shared" si="24"/>
        <v>00/01/190089</v>
      </c>
      <c r="B815" s="172">
        <f t="shared" si="25"/>
        <v>89</v>
      </c>
    </row>
    <row r="816" spans="1:2" ht="30" customHeight="1">
      <c r="A816" s="179" t="str">
        <f t="shared" si="24"/>
        <v>00/01/190090</v>
      </c>
      <c r="B816" s="172">
        <f t="shared" si="25"/>
        <v>90</v>
      </c>
    </row>
    <row r="817" spans="1:2" ht="30" customHeight="1">
      <c r="A817" s="179" t="str">
        <f t="shared" si="24"/>
        <v>00/01/190091</v>
      </c>
      <c r="B817" s="172">
        <f t="shared" si="25"/>
        <v>91</v>
      </c>
    </row>
    <row r="818" spans="1:2" ht="30" customHeight="1">
      <c r="A818" s="179" t="str">
        <f t="shared" si="24"/>
        <v>00/01/190092</v>
      </c>
      <c r="B818" s="172">
        <f t="shared" si="25"/>
        <v>92</v>
      </c>
    </row>
    <row r="819" spans="1:2" ht="30" customHeight="1">
      <c r="A819" s="179" t="str">
        <f t="shared" si="24"/>
        <v>00/01/190093</v>
      </c>
      <c r="B819" s="172">
        <f t="shared" si="25"/>
        <v>93</v>
      </c>
    </row>
    <row r="820" spans="1:2" ht="30" customHeight="1">
      <c r="A820" s="179" t="str">
        <f t="shared" si="24"/>
        <v>00/01/190094</v>
      </c>
      <c r="B820" s="172">
        <f t="shared" si="25"/>
        <v>94</v>
      </c>
    </row>
    <row r="821" spans="1:2" ht="30" customHeight="1">
      <c r="A821" s="179" t="str">
        <f t="shared" si="24"/>
        <v>00/01/190095</v>
      </c>
      <c r="B821" s="172">
        <f t="shared" si="25"/>
        <v>95</v>
      </c>
    </row>
    <row r="822" spans="1:2" ht="30" customHeight="1">
      <c r="A822" s="179" t="str">
        <f t="shared" si="24"/>
        <v>00/01/190096</v>
      </c>
      <c r="B822" s="172">
        <f t="shared" si="25"/>
        <v>96</v>
      </c>
    </row>
    <row r="823" spans="1:2" ht="30" customHeight="1">
      <c r="A823" s="179" t="str">
        <f t="shared" si="24"/>
        <v>00/01/190097</v>
      </c>
      <c r="B823" s="172">
        <f t="shared" si="25"/>
        <v>97</v>
      </c>
    </row>
    <row r="824" spans="1:2" ht="30" customHeight="1">
      <c r="A824" s="179" t="str">
        <f t="shared" si="24"/>
        <v>00/01/190098</v>
      </c>
      <c r="B824" s="172">
        <f t="shared" si="25"/>
        <v>98</v>
      </c>
    </row>
    <row r="825" spans="1:2" ht="30" customHeight="1">
      <c r="A825" s="179" t="str">
        <f t="shared" si="24"/>
        <v>00/01/190099</v>
      </c>
      <c r="B825" s="172">
        <f t="shared" si="25"/>
        <v>99</v>
      </c>
    </row>
    <row r="826" spans="1:2" ht="30" customHeight="1">
      <c r="A826" s="179" t="str">
        <f t="shared" si="24"/>
        <v>00/01/1900100</v>
      </c>
      <c r="B826" s="172">
        <f t="shared" si="25"/>
        <v>100</v>
      </c>
    </row>
    <row r="827" spans="1:2" ht="30" customHeight="1">
      <c r="A827" s="179" t="str">
        <f t="shared" si="24"/>
        <v>00/01/1900101</v>
      </c>
      <c r="B827" s="172">
        <f t="shared" si="25"/>
        <v>101</v>
      </c>
    </row>
    <row r="828" spans="1:2" ht="30" customHeight="1">
      <c r="A828" s="179" t="str">
        <f t="shared" si="24"/>
        <v>00/01/1900102</v>
      </c>
      <c r="B828" s="172">
        <f t="shared" si="25"/>
        <v>102</v>
      </c>
    </row>
    <row r="829" spans="1:2" ht="30" customHeight="1">
      <c r="A829" s="179" t="str">
        <f t="shared" si="24"/>
        <v>00/01/1900103</v>
      </c>
      <c r="B829" s="172">
        <f t="shared" si="25"/>
        <v>103</v>
      </c>
    </row>
    <row r="830" spans="1:2" ht="30" customHeight="1">
      <c r="A830" s="179" t="str">
        <f t="shared" si="24"/>
        <v>00/01/1900104</v>
      </c>
      <c r="B830" s="172">
        <f t="shared" si="25"/>
        <v>104</v>
      </c>
    </row>
    <row r="831" spans="1:2" ht="30" customHeight="1">
      <c r="A831" s="179" t="str">
        <f t="shared" si="24"/>
        <v>00/01/1900105</v>
      </c>
      <c r="B831" s="172">
        <f t="shared" si="25"/>
        <v>105</v>
      </c>
    </row>
    <row r="832" spans="1:2" ht="30" customHeight="1">
      <c r="A832" s="179" t="str">
        <f t="shared" si="24"/>
        <v>00/01/1900106</v>
      </c>
      <c r="B832" s="172">
        <f t="shared" si="25"/>
        <v>106</v>
      </c>
    </row>
    <row r="833" spans="1:2" ht="30" customHeight="1">
      <c r="A833" s="179" t="str">
        <f t="shared" si="24"/>
        <v>00/01/1900107</v>
      </c>
      <c r="B833" s="172">
        <f t="shared" si="25"/>
        <v>107</v>
      </c>
    </row>
    <row r="834" spans="1:2" ht="30" customHeight="1">
      <c r="A834" s="179" t="str">
        <f t="shared" si="24"/>
        <v>00/01/1900108</v>
      </c>
      <c r="B834" s="172">
        <f t="shared" si="25"/>
        <v>108</v>
      </c>
    </row>
    <row r="835" spans="1:2" ht="30" customHeight="1">
      <c r="A835" s="179" t="str">
        <f t="shared" ref="A835:A898" si="26">CONCATENATE(TEXT($G835,"dd/mm/yyyy"),$B835)</f>
        <v>00/01/1900109</v>
      </c>
      <c r="B835" s="172">
        <f t="shared" si="25"/>
        <v>109</v>
      </c>
    </row>
    <row r="836" spans="1:2" ht="30" customHeight="1">
      <c r="A836" s="179" t="str">
        <f t="shared" si="26"/>
        <v>00/01/1900110</v>
      </c>
      <c r="B836" s="172">
        <f t="shared" ref="B836:B899" si="27">IF($G836=$G835,$B835+1,1)</f>
        <v>110</v>
      </c>
    </row>
    <row r="837" spans="1:2" ht="30" customHeight="1">
      <c r="A837" s="179" t="str">
        <f t="shared" si="26"/>
        <v>00/01/1900111</v>
      </c>
      <c r="B837" s="172">
        <f t="shared" si="27"/>
        <v>111</v>
      </c>
    </row>
    <row r="838" spans="1:2" ht="30" customHeight="1">
      <c r="A838" s="179" t="str">
        <f t="shared" si="26"/>
        <v>00/01/1900112</v>
      </c>
      <c r="B838" s="172">
        <f t="shared" si="27"/>
        <v>112</v>
      </c>
    </row>
    <row r="839" spans="1:2" ht="30" customHeight="1">
      <c r="A839" s="179" t="str">
        <f t="shared" si="26"/>
        <v>00/01/1900113</v>
      </c>
      <c r="B839" s="172">
        <f t="shared" si="27"/>
        <v>113</v>
      </c>
    </row>
    <row r="840" spans="1:2" ht="30" customHeight="1">
      <c r="A840" s="179" t="str">
        <f t="shared" si="26"/>
        <v>00/01/1900114</v>
      </c>
      <c r="B840" s="172">
        <f t="shared" si="27"/>
        <v>114</v>
      </c>
    </row>
    <row r="841" spans="1:2" ht="30" customHeight="1">
      <c r="A841" s="179" t="str">
        <f t="shared" si="26"/>
        <v>00/01/1900115</v>
      </c>
      <c r="B841" s="172">
        <f t="shared" si="27"/>
        <v>115</v>
      </c>
    </row>
    <row r="842" spans="1:2" ht="30" customHeight="1">
      <c r="A842" s="179" t="str">
        <f t="shared" si="26"/>
        <v>00/01/1900116</v>
      </c>
      <c r="B842" s="172">
        <f t="shared" si="27"/>
        <v>116</v>
      </c>
    </row>
    <row r="843" spans="1:2" ht="30" customHeight="1">
      <c r="A843" s="179" t="str">
        <f t="shared" si="26"/>
        <v>00/01/1900117</v>
      </c>
      <c r="B843" s="172">
        <f t="shared" si="27"/>
        <v>117</v>
      </c>
    </row>
    <row r="844" spans="1:2" ht="30" customHeight="1">
      <c r="A844" s="179" t="str">
        <f t="shared" si="26"/>
        <v>00/01/1900118</v>
      </c>
      <c r="B844" s="172">
        <f t="shared" si="27"/>
        <v>118</v>
      </c>
    </row>
    <row r="845" spans="1:2" ht="30" customHeight="1">
      <c r="A845" s="179" t="str">
        <f t="shared" si="26"/>
        <v>00/01/1900119</v>
      </c>
      <c r="B845" s="172">
        <f t="shared" si="27"/>
        <v>119</v>
      </c>
    </row>
    <row r="846" spans="1:2" ht="30" customHeight="1">
      <c r="A846" s="179" t="str">
        <f t="shared" si="26"/>
        <v>00/01/1900120</v>
      </c>
      <c r="B846" s="172">
        <f t="shared" si="27"/>
        <v>120</v>
      </c>
    </row>
    <row r="847" spans="1:2" ht="30" customHeight="1">
      <c r="A847" s="179" t="str">
        <f t="shared" si="26"/>
        <v>00/01/1900121</v>
      </c>
      <c r="B847" s="172">
        <f t="shared" si="27"/>
        <v>121</v>
      </c>
    </row>
    <row r="848" spans="1:2" ht="30" customHeight="1">
      <c r="A848" s="179" t="str">
        <f t="shared" si="26"/>
        <v>00/01/1900122</v>
      </c>
      <c r="B848" s="172">
        <f t="shared" si="27"/>
        <v>122</v>
      </c>
    </row>
    <row r="849" spans="1:2" ht="30" customHeight="1">
      <c r="A849" s="179" t="str">
        <f t="shared" si="26"/>
        <v>00/01/1900123</v>
      </c>
      <c r="B849" s="172">
        <f t="shared" si="27"/>
        <v>123</v>
      </c>
    </row>
    <row r="850" spans="1:2" ht="30" customHeight="1">
      <c r="A850" s="179" t="str">
        <f t="shared" si="26"/>
        <v>00/01/1900124</v>
      </c>
      <c r="B850" s="172">
        <f t="shared" si="27"/>
        <v>124</v>
      </c>
    </row>
    <row r="851" spans="1:2" ht="30" customHeight="1">
      <c r="A851" s="179" t="str">
        <f t="shared" si="26"/>
        <v>00/01/1900125</v>
      </c>
      <c r="B851" s="172">
        <f t="shared" si="27"/>
        <v>125</v>
      </c>
    </row>
    <row r="852" spans="1:2" ht="30" customHeight="1">
      <c r="A852" s="179" t="str">
        <f t="shared" si="26"/>
        <v>00/01/1900126</v>
      </c>
      <c r="B852" s="172">
        <f t="shared" si="27"/>
        <v>126</v>
      </c>
    </row>
    <row r="853" spans="1:2" ht="30" customHeight="1">
      <c r="A853" s="179" t="str">
        <f t="shared" si="26"/>
        <v>00/01/1900127</v>
      </c>
      <c r="B853" s="172">
        <f t="shared" si="27"/>
        <v>127</v>
      </c>
    </row>
    <row r="854" spans="1:2" ht="30" customHeight="1">
      <c r="A854" s="179" t="str">
        <f t="shared" si="26"/>
        <v>00/01/1900128</v>
      </c>
      <c r="B854" s="172">
        <f t="shared" si="27"/>
        <v>128</v>
      </c>
    </row>
    <row r="855" spans="1:2" ht="30" customHeight="1">
      <c r="A855" s="179" t="str">
        <f t="shared" si="26"/>
        <v>00/01/1900129</v>
      </c>
      <c r="B855" s="172">
        <f t="shared" si="27"/>
        <v>129</v>
      </c>
    </row>
    <row r="856" spans="1:2" ht="30" customHeight="1">
      <c r="A856" s="179" t="str">
        <f t="shared" si="26"/>
        <v>00/01/1900130</v>
      </c>
      <c r="B856" s="172">
        <f t="shared" si="27"/>
        <v>130</v>
      </c>
    </row>
    <row r="857" spans="1:2" ht="30" customHeight="1">
      <c r="A857" s="179" t="str">
        <f t="shared" si="26"/>
        <v>00/01/1900131</v>
      </c>
      <c r="B857" s="172">
        <f t="shared" si="27"/>
        <v>131</v>
      </c>
    </row>
    <row r="858" spans="1:2" ht="30" customHeight="1">
      <c r="A858" s="179" t="str">
        <f t="shared" si="26"/>
        <v>00/01/1900132</v>
      </c>
      <c r="B858" s="172">
        <f t="shared" si="27"/>
        <v>132</v>
      </c>
    </row>
    <row r="859" spans="1:2" ht="30" customHeight="1">
      <c r="A859" s="179" t="str">
        <f t="shared" si="26"/>
        <v>00/01/1900133</v>
      </c>
      <c r="B859" s="172">
        <f t="shared" si="27"/>
        <v>133</v>
      </c>
    </row>
    <row r="860" spans="1:2" ht="30" customHeight="1">
      <c r="A860" s="179" t="str">
        <f t="shared" si="26"/>
        <v>00/01/1900134</v>
      </c>
      <c r="B860" s="172">
        <f t="shared" si="27"/>
        <v>134</v>
      </c>
    </row>
    <row r="861" spans="1:2" ht="30" customHeight="1">
      <c r="A861" s="179" t="str">
        <f t="shared" si="26"/>
        <v>00/01/1900135</v>
      </c>
      <c r="B861" s="172">
        <f t="shared" si="27"/>
        <v>135</v>
      </c>
    </row>
    <row r="862" spans="1:2" ht="30" customHeight="1">
      <c r="A862" s="179" t="str">
        <f t="shared" si="26"/>
        <v>00/01/1900136</v>
      </c>
      <c r="B862" s="172">
        <f t="shared" si="27"/>
        <v>136</v>
      </c>
    </row>
    <row r="863" spans="1:2" ht="30" customHeight="1">
      <c r="A863" s="179" t="str">
        <f t="shared" si="26"/>
        <v>00/01/1900137</v>
      </c>
      <c r="B863" s="172">
        <f t="shared" si="27"/>
        <v>137</v>
      </c>
    </row>
    <row r="864" spans="1:2" ht="30" customHeight="1">
      <c r="A864" s="179" t="str">
        <f t="shared" si="26"/>
        <v>00/01/1900138</v>
      </c>
      <c r="B864" s="172">
        <f t="shared" si="27"/>
        <v>138</v>
      </c>
    </row>
    <row r="865" spans="1:2" ht="30" customHeight="1">
      <c r="A865" s="179" t="str">
        <f t="shared" si="26"/>
        <v>00/01/1900139</v>
      </c>
      <c r="B865" s="172">
        <f t="shared" si="27"/>
        <v>139</v>
      </c>
    </row>
    <row r="866" spans="1:2" ht="30" customHeight="1">
      <c r="A866" s="179" t="str">
        <f t="shared" si="26"/>
        <v>00/01/1900140</v>
      </c>
      <c r="B866" s="172">
        <f t="shared" si="27"/>
        <v>140</v>
      </c>
    </row>
    <row r="867" spans="1:2" ht="30" customHeight="1">
      <c r="A867" s="179" t="str">
        <f t="shared" si="26"/>
        <v>00/01/1900141</v>
      </c>
      <c r="B867" s="172">
        <f t="shared" si="27"/>
        <v>141</v>
      </c>
    </row>
    <row r="868" spans="1:2" ht="30" customHeight="1">
      <c r="A868" s="179" t="str">
        <f t="shared" si="26"/>
        <v>00/01/1900142</v>
      </c>
      <c r="B868" s="172">
        <f t="shared" si="27"/>
        <v>142</v>
      </c>
    </row>
    <row r="869" spans="1:2" ht="30" customHeight="1">
      <c r="A869" s="179" t="str">
        <f t="shared" si="26"/>
        <v>00/01/1900143</v>
      </c>
      <c r="B869" s="172">
        <f t="shared" si="27"/>
        <v>143</v>
      </c>
    </row>
    <row r="870" spans="1:2" ht="30" customHeight="1">
      <c r="A870" s="179" t="str">
        <f t="shared" si="26"/>
        <v>00/01/1900144</v>
      </c>
      <c r="B870" s="172">
        <f t="shared" si="27"/>
        <v>144</v>
      </c>
    </row>
    <row r="871" spans="1:2" ht="30" customHeight="1">
      <c r="A871" s="179" t="str">
        <f t="shared" si="26"/>
        <v>00/01/1900145</v>
      </c>
      <c r="B871" s="172">
        <f t="shared" si="27"/>
        <v>145</v>
      </c>
    </row>
    <row r="872" spans="1:2" ht="30" customHeight="1">
      <c r="A872" s="179" t="str">
        <f t="shared" si="26"/>
        <v>00/01/1900146</v>
      </c>
      <c r="B872" s="172">
        <f t="shared" si="27"/>
        <v>146</v>
      </c>
    </row>
    <row r="873" spans="1:2" ht="30" customHeight="1">
      <c r="A873" s="179" t="str">
        <f t="shared" si="26"/>
        <v>00/01/1900147</v>
      </c>
      <c r="B873" s="172">
        <f t="shared" si="27"/>
        <v>147</v>
      </c>
    </row>
    <row r="874" spans="1:2" ht="30" customHeight="1">
      <c r="A874" s="179" t="str">
        <f t="shared" si="26"/>
        <v>00/01/1900148</v>
      </c>
      <c r="B874" s="172">
        <f t="shared" si="27"/>
        <v>148</v>
      </c>
    </row>
    <row r="875" spans="1:2" ht="30" customHeight="1">
      <c r="A875" s="179" t="str">
        <f t="shared" si="26"/>
        <v>00/01/1900149</v>
      </c>
      <c r="B875" s="172">
        <f t="shared" si="27"/>
        <v>149</v>
      </c>
    </row>
    <row r="876" spans="1:2" ht="30" customHeight="1">
      <c r="A876" s="179" t="str">
        <f t="shared" si="26"/>
        <v>00/01/1900150</v>
      </c>
      <c r="B876" s="172">
        <f t="shared" si="27"/>
        <v>150</v>
      </c>
    </row>
    <row r="877" spans="1:2" ht="30" customHeight="1">
      <c r="A877" s="179" t="str">
        <f t="shared" si="26"/>
        <v>00/01/1900151</v>
      </c>
      <c r="B877" s="172">
        <f t="shared" si="27"/>
        <v>151</v>
      </c>
    </row>
    <row r="878" spans="1:2" ht="30" customHeight="1">
      <c r="A878" s="179" t="str">
        <f t="shared" si="26"/>
        <v>00/01/1900152</v>
      </c>
      <c r="B878" s="172">
        <f t="shared" si="27"/>
        <v>152</v>
      </c>
    </row>
    <row r="879" spans="1:2" ht="30" customHeight="1">
      <c r="A879" s="179" t="str">
        <f t="shared" si="26"/>
        <v>00/01/1900153</v>
      </c>
      <c r="B879" s="172">
        <f t="shared" si="27"/>
        <v>153</v>
      </c>
    </row>
    <row r="880" spans="1:2" ht="30" customHeight="1">
      <c r="A880" s="179" t="str">
        <f t="shared" si="26"/>
        <v>00/01/1900154</v>
      </c>
      <c r="B880" s="172">
        <f t="shared" si="27"/>
        <v>154</v>
      </c>
    </row>
    <row r="881" spans="1:2" ht="30" customHeight="1">
      <c r="A881" s="179" t="str">
        <f t="shared" si="26"/>
        <v>00/01/1900155</v>
      </c>
      <c r="B881" s="172">
        <f t="shared" si="27"/>
        <v>155</v>
      </c>
    </row>
    <row r="882" spans="1:2" ht="30" customHeight="1">
      <c r="A882" s="179" t="str">
        <f t="shared" si="26"/>
        <v>00/01/1900156</v>
      </c>
      <c r="B882" s="172">
        <f t="shared" si="27"/>
        <v>156</v>
      </c>
    </row>
    <row r="883" spans="1:2" ht="30" customHeight="1">
      <c r="A883" s="179" t="str">
        <f t="shared" si="26"/>
        <v>00/01/1900157</v>
      </c>
      <c r="B883" s="172">
        <f t="shared" si="27"/>
        <v>157</v>
      </c>
    </row>
    <row r="884" spans="1:2" ht="30" customHeight="1">
      <c r="A884" s="179" t="str">
        <f t="shared" si="26"/>
        <v>00/01/1900158</v>
      </c>
      <c r="B884" s="172">
        <f t="shared" si="27"/>
        <v>158</v>
      </c>
    </row>
    <row r="885" spans="1:2" ht="30" customHeight="1">
      <c r="A885" s="179" t="str">
        <f t="shared" si="26"/>
        <v>00/01/1900159</v>
      </c>
      <c r="B885" s="172">
        <f t="shared" si="27"/>
        <v>159</v>
      </c>
    </row>
    <row r="886" spans="1:2" ht="30" customHeight="1">
      <c r="A886" s="179" t="str">
        <f t="shared" si="26"/>
        <v>00/01/1900160</v>
      </c>
      <c r="B886" s="172">
        <f t="shared" si="27"/>
        <v>160</v>
      </c>
    </row>
    <row r="887" spans="1:2" ht="30" customHeight="1">
      <c r="A887" s="179" t="str">
        <f t="shared" si="26"/>
        <v>00/01/1900161</v>
      </c>
      <c r="B887" s="172">
        <f t="shared" si="27"/>
        <v>161</v>
      </c>
    </row>
    <row r="888" spans="1:2" ht="30" customHeight="1">
      <c r="A888" s="179" t="str">
        <f t="shared" si="26"/>
        <v>00/01/1900162</v>
      </c>
      <c r="B888" s="172">
        <f t="shared" si="27"/>
        <v>162</v>
      </c>
    </row>
    <row r="889" spans="1:2" ht="30" customHeight="1">
      <c r="A889" s="179" t="str">
        <f t="shared" si="26"/>
        <v>00/01/1900163</v>
      </c>
      <c r="B889" s="172">
        <f t="shared" si="27"/>
        <v>163</v>
      </c>
    </row>
    <row r="890" spans="1:2" ht="30" customHeight="1">
      <c r="A890" s="179" t="str">
        <f t="shared" si="26"/>
        <v>00/01/1900164</v>
      </c>
      <c r="B890" s="172">
        <f t="shared" si="27"/>
        <v>164</v>
      </c>
    </row>
    <row r="891" spans="1:2" ht="30" customHeight="1">
      <c r="A891" s="179" t="str">
        <f t="shared" si="26"/>
        <v>00/01/1900165</v>
      </c>
      <c r="B891" s="172">
        <f t="shared" si="27"/>
        <v>165</v>
      </c>
    </row>
    <row r="892" spans="1:2" ht="30" customHeight="1">
      <c r="A892" s="179" t="str">
        <f t="shared" si="26"/>
        <v>00/01/1900166</v>
      </c>
      <c r="B892" s="172">
        <f t="shared" si="27"/>
        <v>166</v>
      </c>
    </row>
    <row r="893" spans="1:2" ht="30" customHeight="1">
      <c r="A893" s="179" t="str">
        <f t="shared" si="26"/>
        <v>00/01/1900167</v>
      </c>
      <c r="B893" s="172">
        <f t="shared" si="27"/>
        <v>167</v>
      </c>
    </row>
    <row r="894" spans="1:2" ht="30" customHeight="1">
      <c r="A894" s="179" t="str">
        <f t="shared" si="26"/>
        <v>00/01/1900168</v>
      </c>
      <c r="B894" s="172">
        <f t="shared" si="27"/>
        <v>168</v>
      </c>
    </row>
    <row r="895" spans="1:2" ht="30" customHeight="1">
      <c r="A895" s="179" t="str">
        <f t="shared" si="26"/>
        <v>00/01/1900169</v>
      </c>
      <c r="B895" s="172">
        <f t="shared" si="27"/>
        <v>169</v>
      </c>
    </row>
    <row r="896" spans="1:2" ht="30" customHeight="1">
      <c r="A896" s="179" t="str">
        <f t="shared" si="26"/>
        <v>00/01/1900170</v>
      </c>
      <c r="B896" s="172">
        <f t="shared" si="27"/>
        <v>170</v>
      </c>
    </row>
    <row r="897" spans="1:2" ht="30" customHeight="1">
      <c r="A897" s="179" t="str">
        <f t="shared" si="26"/>
        <v>00/01/1900171</v>
      </c>
      <c r="B897" s="172">
        <f t="shared" si="27"/>
        <v>171</v>
      </c>
    </row>
    <row r="898" spans="1:2" ht="30" customHeight="1">
      <c r="A898" s="179" t="str">
        <f t="shared" si="26"/>
        <v>00/01/1900172</v>
      </c>
      <c r="B898" s="172">
        <f t="shared" si="27"/>
        <v>172</v>
      </c>
    </row>
    <row r="899" spans="1:2" ht="30" customHeight="1">
      <c r="A899" s="179" t="str">
        <f t="shared" ref="A899:A962" si="28">CONCATENATE(TEXT($G899,"dd/mm/yyyy"),$B899)</f>
        <v>00/01/1900173</v>
      </c>
      <c r="B899" s="172">
        <f t="shared" si="27"/>
        <v>173</v>
      </c>
    </row>
    <row r="900" spans="1:2" ht="30" customHeight="1">
      <c r="A900" s="179" t="str">
        <f t="shared" si="28"/>
        <v>00/01/1900174</v>
      </c>
      <c r="B900" s="172">
        <f t="shared" ref="B900:B963" si="29">IF($G900=$G899,$B899+1,1)</f>
        <v>174</v>
      </c>
    </row>
    <row r="901" spans="1:2" ht="30" customHeight="1">
      <c r="A901" s="179" t="str">
        <f t="shared" si="28"/>
        <v>00/01/1900175</v>
      </c>
      <c r="B901" s="172">
        <f t="shared" si="29"/>
        <v>175</v>
      </c>
    </row>
    <row r="902" spans="1:2" ht="30" customHeight="1">
      <c r="A902" s="179" t="str">
        <f t="shared" si="28"/>
        <v>00/01/1900176</v>
      </c>
      <c r="B902" s="172">
        <f t="shared" si="29"/>
        <v>176</v>
      </c>
    </row>
    <row r="903" spans="1:2" ht="30" customHeight="1">
      <c r="A903" s="179" t="str">
        <f t="shared" si="28"/>
        <v>00/01/1900177</v>
      </c>
      <c r="B903" s="172">
        <f t="shared" si="29"/>
        <v>177</v>
      </c>
    </row>
    <row r="904" spans="1:2" ht="30" customHeight="1">
      <c r="A904" s="179" t="str">
        <f t="shared" si="28"/>
        <v>00/01/1900178</v>
      </c>
      <c r="B904" s="172">
        <f t="shared" si="29"/>
        <v>178</v>
      </c>
    </row>
    <row r="905" spans="1:2" ht="30" customHeight="1">
      <c r="A905" s="179" t="str">
        <f t="shared" si="28"/>
        <v>00/01/1900179</v>
      </c>
      <c r="B905" s="172">
        <f t="shared" si="29"/>
        <v>179</v>
      </c>
    </row>
    <row r="906" spans="1:2" ht="30" customHeight="1">
      <c r="A906" s="179" t="str">
        <f t="shared" si="28"/>
        <v>00/01/1900180</v>
      </c>
      <c r="B906" s="172">
        <f t="shared" si="29"/>
        <v>180</v>
      </c>
    </row>
    <row r="907" spans="1:2" ht="30" customHeight="1">
      <c r="A907" s="179" t="str">
        <f t="shared" si="28"/>
        <v>00/01/1900181</v>
      </c>
      <c r="B907" s="172">
        <f t="shared" si="29"/>
        <v>181</v>
      </c>
    </row>
    <row r="908" spans="1:2" ht="30" customHeight="1">
      <c r="A908" s="179" t="str">
        <f t="shared" si="28"/>
        <v>00/01/1900182</v>
      </c>
      <c r="B908" s="172">
        <f t="shared" si="29"/>
        <v>182</v>
      </c>
    </row>
    <row r="909" spans="1:2" ht="30" customHeight="1">
      <c r="A909" s="179" t="str">
        <f t="shared" si="28"/>
        <v>00/01/1900183</v>
      </c>
      <c r="B909" s="172">
        <f t="shared" si="29"/>
        <v>183</v>
      </c>
    </row>
    <row r="910" spans="1:2" ht="30" customHeight="1">
      <c r="A910" s="179" t="str">
        <f t="shared" si="28"/>
        <v>00/01/1900184</v>
      </c>
      <c r="B910" s="172">
        <f t="shared" si="29"/>
        <v>184</v>
      </c>
    </row>
    <row r="911" spans="1:2" ht="30" customHeight="1">
      <c r="A911" s="179" t="str">
        <f t="shared" si="28"/>
        <v>00/01/1900185</v>
      </c>
      <c r="B911" s="172">
        <f t="shared" si="29"/>
        <v>185</v>
      </c>
    </row>
    <row r="912" spans="1:2" ht="30" customHeight="1">
      <c r="A912" s="179" t="str">
        <f t="shared" si="28"/>
        <v>00/01/1900186</v>
      </c>
      <c r="B912" s="172">
        <f t="shared" si="29"/>
        <v>186</v>
      </c>
    </row>
    <row r="913" spans="1:2" ht="30" customHeight="1">
      <c r="A913" s="179" t="str">
        <f t="shared" si="28"/>
        <v>00/01/1900187</v>
      </c>
      <c r="B913" s="172">
        <f t="shared" si="29"/>
        <v>187</v>
      </c>
    </row>
    <row r="914" spans="1:2" ht="30" customHeight="1">
      <c r="A914" s="179" t="str">
        <f t="shared" si="28"/>
        <v>00/01/1900188</v>
      </c>
      <c r="B914" s="172">
        <f t="shared" si="29"/>
        <v>188</v>
      </c>
    </row>
    <row r="915" spans="1:2" ht="30" customHeight="1">
      <c r="A915" s="179" t="str">
        <f t="shared" si="28"/>
        <v>00/01/1900189</v>
      </c>
      <c r="B915" s="172">
        <f t="shared" si="29"/>
        <v>189</v>
      </c>
    </row>
    <row r="916" spans="1:2" ht="30" customHeight="1">
      <c r="A916" s="179" t="str">
        <f t="shared" si="28"/>
        <v>00/01/1900190</v>
      </c>
      <c r="B916" s="172">
        <f t="shared" si="29"/>
        <v>190</v>
      </c>
    </row>
    <row r="917" spans="1:2" ht="30" customHeight="1">
      <c r="A917" s="179" t="str">
        <f t="shared" si="28"/>
        <v>00/01/1900191</v>
      </c>
      <c r="B917" s="172">
        <f t="shared" si="29"/>
        <v>191</v>
      </c>
    </row>
    <row r="918" spans="1:2" ht="30" customHeight="1">
      <c r="A918" s="179" t="str">
        <f t="shared" si="28"/>
        <v>00/01/1900192</v>
      </c>
      <c r="B918" s="172">
        <f t="shared" si="29"/>
        <v>192</v>
      </c>
    </row>
    <row r="919" spans="1:2" ht="30" customHeight="1">
      <c r="A919" s="179" t="str">
        <f t="shared" si="28"/>
        <v>00/01/1900193</v>
      </c>
      <c r="B919" s="172">
        <f t="shared" si="29"/>
        <v>193</v>
      </c>
    </row>
    <row r="920" spans="1:2" ht="30" customHeight="1">
      <c r="A920" s="179" t="str">
        <f t="shared" si="28"/>
        <v>00/01/1900194</v>
      </c>
      <c r="B920" s="172">
        <f t="shared" si="29"/>
        <v>194</v>
      </c>
    </row>
    <row r="921" spans="1:2" ht="30" customHeight="1">
      <c r="A921" s="179" t="str">
        <f t="shared" si="28"/>
        <v>00/01/1900195</v>
      </c>
      <c r="B921" s="172">
        <f t="shared" si="29"/>
        <v>195</v>
      </c>
    </row>
    <row r="922" spans="1:2" ht="30" customHeight="1">
      <c r="A922" s="179" t="str">
        <f t="shared" si="28"/>
        <v>00/01/1900196</v>
      </c>
      <c r="B922" s="172">
        <f t="shared" si="29"/>
        <v>196</v>
      </c>
    </row>
    <row r="923" spans="1:2" ht="30" customHeight="1">
      <c r="A923" s="179" t="str">
        <f t="shared" si="28"/>
        <v>00/01/1900197</v>
      </c>
      <c r="B923" s="172">
        <f t="shared" si="29"/>
        <v>197</v>
      </c>
    </row>
    <row r="924" spans="1:2" ht="30" customHeight="1">
      <c r="A924" s="179" t="str">
        <f t="shared" si="28"/>
        <v>00/01/1900198</v>
      </c>
      <c r="B924" s="172">
        <f t="shared" si="29"/>
        <v>198</v>
      </c>
    </row>
    <row r="925" spans="1:2" ht="30" customHeight="1">
      <c r="A925" s="179" t="str">
        <f t="shared" si="28"/>
        <v>00/01/1900199</v>
      </c>
      <c r="B925" s="172">
        <f t="shared" si="29"/>
        <v>199</v>
      </c>
    </row>
    <row r="926" spans="1:2" ht="30" customHeight="1">
      <c r="A926" s="179" t="str">
        <f t="shared" si="28"/>
        <v>00/01/1900200</v>
      </c>
      <c r="B926" s="172">
        <f t="shared" si="29"/>
        <v>200</v>
      </c>
    </row>
    <row r="927" spans="1:2" ht="30" customHeight="1">
      <c r="A927" s="179" t="str">
        <f t="shared" si="28"/>
        <v>00/01/1900201</v>
      </c>
      <c r="B927" s="172">
        <f t="shared" si="29"/>
        <v>201</v>
      </c>
    </row>
    <row r="928" spans="1:2" ht="30" customHeight="1">
      <c r="A928" s="179" t="str">
        <f t="shared" si="28"/>
        <v>00/01/1900202</v>
      </c>
      <c r="B928" s="172">
        <f t="shared" si="29"/>
        <v>202</v>
      </c>
    </row>
    <row r="929" spans="1:2" ht="30" customHeight="1">
      <c r="A929" s="179" t="str">
        <f t="shared" si="28"/>
        <v>00/01/1900203</v>
      </c>
      <c r="B929" s="172">
        <f t="shared" si="29"/>
        <v>203</v>
      </c>
    </row>
    <row r="930" spans="1:2" ht="30" customHeight="1">
      <c r="A930" s="179" t="str">
        <f t="shared" si="28"/>
        <v>00/01/1900204</v>
      </c>
      <c r="B930" s="172">
        <f t="shared" si="29"/>
        <v>204</v>
      </c>
    </row>
    <row r="931" spans="1:2" ht="30" customHeight="1">
      <c r="A931" s="179" t="str">
        <f t="shared" si="28"/>
        <v>00/01/1900205</v>
      </c>
      <c r="B931" s="172">
        <f t="shared" si="29"/>
        <v>205</v>
      </c>
    </row>
    <row r="932" spans="1:2" ht="30" customHeight="1">
      <c r="A932" s="179" t="str">
        <f t="shared" si="28"/>
        <v>00/01/1900206</v>
      </c>
      <c r="B932" s="172">
        <f t="shared" si="29"/>
        <v>206</v>
      </c>
    </row>
    <row r="933" spans="1:2" ht="30" customHeight="1">
      <c r="A933" s="179" t="str">
        <f t="shared" si="28"/>
        <v>00/01/1900207</v>
      </c>
      <c r="B933" s="172">
        <f t="shared" si="29"/>
        <v>207</v>
      </c>
    </row>
    <row r="934" spans="1:2" ht="30" customHeight="1">
      <c r="A934" s="179" t="str">
        <f t="shared" si="28"/>
        <v>00/01/1900208</v>
      </c>
      <c r="B934" s="172">
        <f t="shared" si="29"/>
        <v>208</v>
      </c>
    </row>
    <row r="935" spans="1:2" ht="30" customHeight="1">
      <c r="A935" s="179" t="str">
        <f t="shared" si="28"/>
        <v>00/01/1900209</v>
      </c>
      <c r="B935" s="172">
        <f t="shared" si="29"/>
        <v>209</v>
      </c>
    </row>
    <row r="936" spans="1:2" ht="30" customHeight="1">
      <c r="A936" s="179" t="str">
        <f t="shared" si="28"/>
        <v>00/01/1900210</v>
      </c>
      <c r="B936" s="172">
        <f t="shared" si="29"/>
        <v>210</v>
      </c>
    </row>
    <row r="937" spans="1:2" ht="30" customHeight="1">
      <c r="A937" s="179" t="str">
        <f t="shared" si="28"/>
        <v>00/01/1900211</v>
      </c>
      <c r="B937" s="172">
        <f t="shared" si="29"/>
        <v>211</v>
      </c>
    </row>
    <row r="938" spans="1:2" ht="30" customHeight="1">
      <c r="A938" s="179" t="str">
        <f t="shared" si="28"/>
        <v>00/01/1900212</v>
      </c>
      <c r="B938" s="172">
        <f t="shared" si="29"/>
        <v>212</v>
      </c>
    </row>
    <row r="939" spans="1:2" ht="30" customHeight="1">
      <c r="A939" s="179" t="str">
        <f t="shared" si="28"/>
        <v>00/01/1900213</v>
      </c>
      <c r="B939" s="172">
        <f t="shared" si="29"/>
        <v>213</v>
      </c>
    </row>
    <row r="940" spans="1:2" ht="30" customHeight="1">
      <c r="A940" s="179" t="str">
        <f t="shared" si="28"/>
        <v>00/01/1900214</v>
      </c>
      <c r="B940" s="172">
        <f t="shared" si="29"/>
        <v>214</v>
      </c>
    </row>
    <row r="941" spans="1:2" ht="30" customHeight="1">
      <c r="A941" s="179" t="str">
        <f t="shared" si="28"/>
        <v>00/01/1900215</v>
      </c>
      <c r="B941" s="172">
        <f t="shared" si="29"/>
        <v>215</v>
      </c>
    </row>
    <row r="942" spans="1:2" ht="30" customHeight="1">
      <c r="A942" s="179" t="str">
        <f t="shared" si="28"/>
        <v>00/01/1900216</v>
      </c>
      <c r="B942" s="172">
        <f t="shared" si="29"/>
        <v>216</v>
      </c>
    </row>
    <row r="943" spans="1:2" ht="30" customHeight="1">
      <c r="A943" s="179" t="str">
        <f t="shared" si="28"/>
        <v>00/01/1900217</v>
      </c>
      <c r="B943" s="172">
        <f t="shared" si="29"/>
        <v>217</v>
      </c>
    </row>
    <row r="944" spans="1:2" ht="30" customHeight="1">
      <c r="A944" s="179" t="str">
        <f t="shared" si="28"/>
        <v>00/01/1900218</v>
      </c>
      <c r="B944" s="172">
        <f t="shared" si="29"/>
        <v>218</v>
      </c>
    </row>
    <row r="945" spans="1:2" ht="30" customHeight="1">
      <c r="A945" s="179" t="str">
        <f t="shared" si="28"/>
        <v>00/01/1900219</v>
      </c>
      <c r="B945" s="172">
        <f t="shared" si="29"/>
        <v>219</v>
      </c>
    </row>
    <row r="946" spans="1:2" ht="30" customHeight="1">
      <c r="A946" s="179" t="str">
        <f t="shared" si="28"/>
        <v>00/01/1900220</v>
      </c>
      <c r="B946" s="172">
        <f t="shared" si="29"/>
        <v>220</v>
      </c>
    </row>
    <row r="947" spans="1:2" ht="30" customHeight="1">
      <c r="A947" s="179" t="str">
        <f t="shared" si="28"/>
        <v>00/01/1900221</v>
      </c>
      <c r="B947" s="172">
        <f t="shared" si="29"/>
        <v>221</v>
      </c>
    </row>
    <row r="948" spans="1:2" ht="30" customHeight="1">
      <c r="A948" s="179" t="str">
        <f t="shared" si="28"/>
        <v>00/01/1900222</v>
      </c>
      <c r="B948" s="172">
        <f t="shared" si="29"/>
        <v>222</v>
      </c>
    </row>
    <row r="949" spans="1:2" ht="30" customHeight="1">
      <c r="A949" s="179" t="str">
        <f t="shared" si="28"/>
        <v>00/01/1900223</v>
      </c>
      <c r="B949" s="172">
        <f t="shared" si="29"/>
        <v>223</v>
      </c>
    </row>
    <row r="950" spans="1:2" ht="30" customHeight="1">
      <c r="A950" s="179" t="str">
        <f t="shared" si="28"/>
        <v>00/01/1900224</v>
      </c>
      <c r="B950" s="172">
        <f t="shared" si="29"/>
        <v>224</v>
      </c>
    </row>
    <row r="951" spans="1:2" ht="30" customHeight="1">
      <c r="A951" s="179" t="str">
        <f t="shared" si="28"/>
        <v>00/01/1900225</v>
      </c>
      <c r="B951" s="172">
        <f t="shared" si="29"/>
        <v>225</v>
      </c>
    </row>
    <row r="952" spans="1:2" ht="30" customHeight="1">
      <c r="A952" s="179" t="str">
        <f t="shared" si="28"/>
        <v>00/01/1900226</v>
      </c>
      <c r="B952" s="172">
        <f t="shared" si="29"/>
        <v>226</v>
      </c>
    </row>
    <row r="953" spans="1:2" ht="30" customHeight="1">
      <c r="A953" s="179" t="str">
        <f t="shared" si="28"/>
        <v>00/01/1900227</v>
      </c>
      <c r="B953" s="172">
        <f t="shared" si="29"/>
        <v>227</v>
      </c>
    </row>
    <row r="954" spans="1:2" ht="30" customHeight="1">
      <c r="A954" s="179" t="str">
        <f t="shared" si="28"/>
        <v>00/01/1900228</v>
      </c>
      <c r="B954" s="172">
        <f t="shared" si="29"/>
        <v>228</v>
      </c>
    </row>
    <row r="955" spans="1:2" ht="30" customHeight="1">
      <c r="A955" s="179" t="str">
        <f t="shared" si="28"/>
        <v>00/01/1900229</v>
      </c>
      <c r="B955" s="172">
        <f t="shared" si="29"/>
        <v>229</v>
      </c>
    </row>
    <row r="956" spans="1:2" ht="30" customHeight="1">
      <c r="A956" s="179" t="str">
        <f t="shared" si="28"/>
        <v>00/01/1900230</v>
      </c>
      <c r="B956" s="172">
        <f t="shared" si="29"/>
        <v>230</v>
      </c>
    </row>
    <row r="957" spans="1:2" ht="30" customHeight="1">
      <c r="A957" s="179" t="str">
        <f t="shared" si="28"/>
        <v>00/01/1900231</v>
      </c>
      <c r="B957" s="172">
        <f t="shared" si="29"/>
        <v>231</v>
      </c>
    </row>
    <row r="958" spans="1:2" ht="30" customHeight="1">
      <c r="A958" s="179" t="str">
        <f t="shared" si="28"/>
        <v>00/01/1900232</v>
      </c>
      <c r="B958" s="172">
        <f t="shared" si="29"/>
        <v>232</v>
      </c>
    </row>
    <row r="959" spans="1:2" ht="30" customHeight="1">
      <c r="A959" s="179" t="str">
        <f t="shared" si="28"/>
        <v>00/01/1900233</v>
      </c>
      <c r="B959" s="172">
        <f t="shared" si="29"/>
        <v>233</v>
      </c>
    </row>
    <row r="960" spans="1:2" ht="30" customHeight="1">
      <c r="A960" s="179" t="str">
        <f t="shared" si="28"/>
        <v>00/01/1900234</v>
      </c>
      <c r="B960" s="172">
        <f t="shared" si="29"/>
        <v>234</v>
      </c>
    </row>
    <row r="961" spans="1:2" ht="30" customHeight="1">
      <c r="A961" s="179" t="str">
        <f t="shared" si="28"/>
        <v>00/01/1900235</v>
      </c>
      <c r="B961" s="172">
        <f t="shared" si="29"/>
        <v>235</v>
      </c>
    </row>
    <row r="962" spans="1:2" ht="30" customHeight="1">
      <c r="A962" s="179" t="str">
        <f t="shared" si="28"/>
        <v>00/01/1900236</v>
      </c>
      <c r="B962" s="172">
        <f t="shared" si="29"/>
        <v>236</v>
      </c>
    </row>
    <row r="963" spans="1:2" ht="30" customHeight="1">
      <c r="A963" s="179" t="str">
        <f t="shared" ref="A963:A1026" si="30">CONCATENATE(TEXT($G963,"dd/mm/yyyy"),$B963)</f>
        <v>00/01/1900237</v>
      </c>
      <c r="B963" s="172">
        <f t="shared" si="29"/>
        <v>237</v>
      </c>
    </row>
    <row r="964" spans="1:2" ht="30" customHeight="1">
      <c r="A964" s="179" t="str">
        <f t="shared" si="30"/>
        <v>00/01/1900238</v>
      </c>
      <c r="B964" s="172">
        <f t="shared" ref="B964:B1027" si="31">IF($G964=$G963,$B963+1,1)</f>
        <v>238</v>
      </c>
    </row>
    <row r="965" spans="1:2" ht="30" customHeight="1">
      <c r="A965" s="179" t="str">
        <f t="shared" si="30"/>
        <v>00/01/1900239</v>
      </c>
      <c r="B965" s="172">
        <f t="shared" si="31"/>
        <v>239</v>
      </c>
    </row>
    <row r="966" spans="1:2" ht="30" customHeight="1">
      <c r="A966" s="179" t="str">
        <f t="shared" si="30"/>
        <v>00/01/1900240</v>
      </c>
      <c r="B966" s="172">
        <f t="shared" si="31"/>
        <v>240</v>
      </c>
    </row>
    <row r="967" spans="1:2" ht="30" customHeight="1">
      <c r="A967" s="179" t="str">
        <f t="shared" si="30"/>
        <v>00/01/1900241</v>
      </c>
      <c r="B967" s="172">
        <f t="shared" si="31"/>
        <v>241</v>
      </c>
    </row>
    <row r="968" spans="1:2" ht="30" customHeight="1">
      <c r="A968" s="179" t="str">
        <f t="shared" si="30"/>
        <v>00/01/1900242</v>
      </c>
      <c r="B968" s="172">
        <f t="shared" si="31"/>
        <v>242</v>
      </c>
    </row>
    <row r="969" spans="1:2" ht="30" customHeight="1">
      <c r="A969" s="179" t="str">
        <f t="shared" si="30"/>
        <v>00/01/1900243</v>
      </c>
      <c r="B969" s="172">
        <f t="shared" si="31"/>
        <v>243</v>
      </c>
    </row>
    <row r="970" spans="1:2" ht="30" customHeight="1">
      <c r="A970" s="179" t="str">
        <f t="shared" si="30"/>
        <v>00/01/1900244</v>
      </c>
      <c r="B970" s="172">
        <f t="shared" si="31"/>
        <v>244</v>
      </c>
    </row>
    <row r="971" spans="1:2" ht="30" customHeight="1">
      <c r="A971" s="179" t="str">
        <f t="shared" si="30"/>
        <v>00/01/1900245</v>
      </c>
      <c r="B971" s="172">
        <f t="shared" si="31"/>
        <v>245</v>
      </c>
    </row>
    <row r="972" spans="1:2" ht="30" customHeight="1">
      <c r="A972" s="179" t="str">
        <f t="shared" si="30"/>
        <v>00/01/1900246</v>
      </c>
      <c r="B972" s="172">
        <f t="shared" si="31"/>
        <v>246</v>
      </c>
    </row>
    <row r="973" spans="1:2" ht="30" customHeight="1">
      <c r="A973" s="179" t="str">
        <f t="shared" si="30"/>
        <v>00/01/1900247</v>
      </c>
      <c r="B973" s="172">
        <f t="shared" si="31"/>
        <v>247</v>
      </c>
    </row>
    <row r="974" spans="1:2" ht="30" customHeight="1">
      <c r="A974" s="179" t="str">
        <f t="shared" si="30"/>
        <v>00/01/1900248</v>
      </c>
      <c r="B974" s="172">
        <f t="shared" si="31"/>
        <v>248</v>
      </c>
    </row>
    <row r="975" spans="1:2" ht="30" customHeight="1">
      <c r="A975" s="179" t="str">
        <f t="shared" si="30"/>
        <v>00/01/1900249</v>
      </c>
      <c r="B975" s="172">
        <f t="shared" si="31"/>
        <v>249</v>
      </c>
    </row>
    <row r="976" spans="1:2" ht="30" customHeight="1">
      <c r="A976" s="179" t="str">
        <f t="shared" si="30"/>
        <v>00/01/1900250</v>
      </c>
      <c r="B976" s="172">
        <f t="shared" si="31"/>
        <v>250</v>
      </c>
    </row>
    <row r="977" spans="1:2" ht="30" customHeight="1">
      <c r="A977" s="179" t="str">
        <f t="shared" si="30"/>
        <v>00/01/1900251</v>
      </c>
      <c r="B977" s="172">
        <f t="shared" si="31"/>
        <v>251</v>
      </c>
    </row>
    <row r="978" spans="1:2" ht="30" customHeight="1">
      <c r="A978" s="179" t="str">
        <f t="shared" si="30"/>
        <v>00/01/1900252</v>
      </c>
      <c r="B978" s="172">
        <f t="shared" si="31"/>
        <v>252</v>
      </c>
    </row>
    <row r="979" spans="1:2" ht="30" customHeight="1">
      <c r="A979" s="179" t="str">
        <f t="shared" si="30"/>
        <v>00/01/1900253</v>
      </c>
      <c r="B979" s="172">
        <f t="shared" si="31"/>
        <v>253</v>
      </c>
    </row>
    <row r="980" spans="1:2" ht="30" customHeight="1">
      <c r="A980" s="179" t="str">
        <f t="shared" si="30"/>
        <v>00/01/1900254</v>
      </c>
      <c r="B980" s="172">
        <f t="shared" si="31"/>
        <v>254</v>
      </c>
    </row>
    <row r="981" spans="1:2" ht="30" customHeight="1">
      <c r="A981" s="179" t="str">
        <f t="shared" si="30"/>
        <v>00/01/1900255</v>
      </c>
      <c r="B981" s="172">
        <f t="shared" si="31"/>
        <v>255</v>
      </c>
    </row>
    <row r="982" spans="1:2" ht="30" customHeight="1">
      <c r="A982" s="179" t="str">
        <f t="shared" si="30"/>
        <v>00/01/1900256</v>
      </c>
      <c r="B982" s="172">
        <f t="shared" si="31"/>
        <v>256</v>
      </c>
    </row>
    <row r="983" spans="1:2" ht="30" customHeight="1">
      <c r="A983" s="179" t="str">
        <f t="shared" si="30"/>
        <v>00/01/1900257</v>
      </c>
      <c r="B983" s="172">
        <f t="shared" si="31"/>
        <v>257</v>
      </c>
    </row>
    <row r="984" spans="1:2" ht="30" customHeight="1">
      <c r="A984" s="179" t="str">
        <f t="shared" si="30"/>
        <v>00/01/1900258</v>
      </c>
      <c r="B984" s="172">
        <f t="shared" si="31"/>
        <v>258</v>
      </c>
    </row>
    <row r="985" spans="1:2" ht="30" customHeight="1">
      <c r="A985" s="179" t="str">
        <f t="shared" si="30"/>
        <v>00/01/1900259</v>
      </c>
      <c r="B985" s="172">
        <f t="shared" si="31"/>
        <v>259</v>
      </c>
    </row>
    <row r="986" spans="1:2" ht="30" customHeight="1">
      <c r="A986" s="179" t="str">
        <f t="shared" si="30"/>
        <v>00/01/1900260</v>
      </c>
      <c r="B986" s="172">
        <f t="shared" si="31"/>
        <v>260</v>
      </c>
    </row>
    <row r="987" spans="1:2" ht="30" customHeight="1">
      <c r="A987" s="179" t="str">
        <f t="shared" si="30"/>
        <v>00/01/1900261</v>
      </c>
      <c r="B987" s="172">
        <f t="shared" si="31"/>
        <v>261</v>
      </c>
    </row>
    <row r="988" spans="1:2" ht="30" customHeight="1">
      <c r="A988" s="179" t="str">
        <f t="shared" si="30"/>
        <v>00/01/1900262</v>
      </c>
      <c r="B988" s="172">
        <f t="shared" si="31"/>
        <v>262</v>
      </c>
    </row>
    <row r="989" spans="1:2" ht="30" customHeight="1">
      <c r="A989" s="179" t="str">
        <f t="shared" si="30"/>
        <v>00/01/1900263</v>
      </c>
      <c r="B989" s="172">
        <f t="shared" si="31"/>
        <v>263</v>
      </c>
    </row>
    <row r="990" spans="1:2" ht="30" customHeight="1">
      <c r="A990" s="179" t="str">
        <f t="shared" si="30"/>
        <v>00/01/1900264</v>
      </c>
      <c r="B990" s="172">
        <f t="shared" si="31"/>
        <v>264</v>
      </c>
    </row>
    <row r="991" spans="1:2" ht="30" customHeight="1">
      <c r="A991" s="179" t="str">
        <f t="shared" si="30"/>
        <v>00/01/1900265</v>
      </c>
      <c r="B991" s="172">
        <f t="shared" si="31"/>
        <v>265</v>
      </c>
    </row>
    <row r="992" spans="1:2" ht="30" customHeight="1">
      <c r="A992" s="179" t="str">
        <f t="shared" si="30"/>
        <v>00/01/1900266</v>
      </c>
      <c r="B992" s="172">
        <f t="shared" si="31"/>
        <v>266</v>
      </c>
    </row>
    <row r="993" spans="1:2" ht="30" customHeight="1">
      <c r="A993" s="179" t="str">
        <f t="shared" si="30"/>
        <v>00/01/1900267</v>
      </c>
      <c r="B993" s="172">
        <f t="shared" si="31"/>
        <v>267</v>
      </c>
    </row>
    <row r="994" spans="1:2" ht="30" customHeight="1">
      <c r="A994" s="179" t="str">
        <f t="shared" si="30"/>
        <v>00/01/1900268</v>
      </c>
      <c r="B994" s="172">
        <f t="shared" si="31"/>
        <v>268</v>
      </c>
    </row>
    <row r="995" spans="1:2" ht="30" customHeight="1">
      <c r="A995" s="179" t="str">
        <f t="shared" si="30"/>
        <v>00/01/1900269</v>
      </c>
      <c r="B995" s="172">
        <f t="shared" si="31"/>
        <v>269</v>
      </c>
    </row>
    <row r="996" spans="1:2" ht="30" customHeight="1">
      <c r="A996" s="179" t="str">
        <f t="shared" si="30"/>
        <v>00/01/1900270</v>
      </c>
      <c r="B996" s="172">
        <f t="shared" si="31"/>
        <v>270</v>
      </c>
    </row>
    <row r="997" spans="1:2" ht="30" customHeight="1">
      <c r="A997" s="179" t="str">
        <f t="shared" si="30"/>
        <v>00/01/1900271</v>
      </c>
      <c r="B997" s="172">
        <f t="shared" si="31"/>
        <v>271</v>
      </c>
    </row>
    <row r="998" spans="1:2" ht="30" customHeight="1">
      <c r="A998" s="179" t="str">
        <f t="shared" si="30"/>
        <v>00/01/1900272</v>
      </c>
      <c r="B998" s="172">
        <f t="shared" si="31"/>
        <v>272</v>
      </c>
    </row>
    <row r="999" spans="1:2" ht="30" customHeight="1">
      <c r="A999" s="179" t="str">
        <f t="shared" si="30"/>
        <v>00/01/1900273</v>
      </c>
      <c r="B999" s="172">
        <f t="shared" si="31"/>
        <v>273</v>
      </c>
    </row>
    <row r="1000" spans="1:2" ht="30" customHeight="1">
      <c r="A1000" s="179" t="str">
        <f t="shared" si="30"/>
        <v>00/01/1900274</v>
      </c>
      <c r="B1000" s="172">
        <f t="shared" si="31"/>
        <v>274</v>
      </c>
    </row>
    <row r="1001" spans="1:2" ht="30" customHeight="1">
      <c r="A1001" s="179" t="str">
        <f t="shared" si="30"/>
        <v>00/01/1900275</v>
      </c>
      <c r="B1001" s="172">
        <f t="shared" si="31"/>
        <v>275</v>
      </c>
    </row>
    <row r="1002" spans="1:2" ht="30" customHeight="1">
      <c r="A1002" s="179" t="str">
        <f t="shared" si="30"/>
        <v>00/01/1900276</v>
      </c>
      <c r="B1002" s="172">
        <f t="shared" si="31"/>
        <v>276</v>
      </c>
    </row>
    <row r="1003" spans="1:2" ht="30" customHeight="1">
      <c r="A1003" s="179" t="str">
        <f t="shared" si="30"/>
        <v>00/01/1900277</v>
      </c>
      <c r="B1003" s="172">
        <f t="shared" si="31"/>
        <v>277</v>
      </c>
    </row>
    <row r="1004" spans="1:2" ht="30" customHeight="1">
      <c r="A1004" s="179" t="str">
        <f t="shared" si="30"/>
        <v>00/01/1900278</v>
      </c>
      <c r="B1004" s="172">
        <f t="shared" si="31"/>
        <v>278</v>
      </c>
    </row>
    <row r="1005" spans="1:2" ht="30" customHeight="1">
      <c r="A1005" s="179" t="str">
        <f t="shared" si="30"/>
        <v>00/01/1900279</v>
      </c>
      <c r="B1005" s="172">
        <f t="shared" si="31"/>
        <v>279</v>
      </c>
    </row>
    <row r="1006" spans="1:2" ht="30" customHeight="1">
      <c r="A1006" s="179" t="str">
        <f t="shared" si="30"/>
        <v>00/01/1900280</v>
      </c>
      <c r="B1006" s="172">
        <f t="shared" si="31"/>
        <v>280</v>
      </c>
    </row>
    <row r="1007" spans="1:2" ht="30" customHeight="1">
      <c r="A1007" s="179" t="str">
        <f t="shared" si="30"/>
        <v>00/01/1900281</v>
      </c>
      <c r="B1007" s="172">
        <f t="shared" si="31"/>
        <v>281</v>
      </c>
    </row>
    <row r="1008" spans="1:2" ht="30" customHeight="1">
      <c r="A1008" s="179" t="str">
        <f t="shared" si="30"/>
        <v>00/01/1900282</v>
      </c>
      <c r="B1008" s="172">
        <f t="shared" si="31"/>
        <v>282</v>
      </c>
    </row>
    <row r="1009" spans="1:2" ht="30" customHeight="1">
      <c r="A1009" s="179" t="str">
        <f t="shared" si="30"/>
        <v>00/01/1900283</v>
      </c>
      <c r="B1009" s="172">
        <f t="shared" si="31"/>
        <v>283</v>
      </c>
    </row>
    <row r="1010" spans="1:2" ht="30" customHeight="1">
      <c r="A1010" s="179" t="str">
        <f t="shared" si="30"/>
        <v>00/01/1900284</v>
      </c>
      <c r="B1010" s="172">
        <f t="shared" si="31"/>
        <v>284</v>
      </c>
    </row>
    <row r="1011" spans="1:2" ht="30" customHeight="1">
      <c r="A1011" s="179" t="str">
        <f t="shared" si="30"/>
        <v>00/01/1900285</v>
      </c>
      <c r="B1011" s="172">
        <f t="shared" si="31"/>
        <v>285</v>
      </c>
    </row>
    <row r="1012" spans="1:2" ht="30" customHeight="1">
      <c r="A1012" s="179" t="str">
        <f t="shared" si="30"/>
        <v>00/01/1900286</v>
      </c>
      <c r="B1012" s="172">
        <f t="shared" si="31"/>
        <v>286</v>
      </c>
    </row>
    <row r="1013" spans="1:2" ht="30" customHeight="1">
      <c r="A1013" s="179" t="str">
        <f t="shared" si="30"/>
        <v>00/01/1900287</v>
      </c>
      <c r="B1013" s="172">
        <f t="shared" si="31"/>
        <v>287</v>
      </c>
    </row>
    <row r="1014" spans="1:2" ht="30" customHeight="1">
      <c r="A1014" s="179" t="str">
        <f t="shared" si="30"/>
        <v>00/01/1900288</v>
      </c>
      <c r="B1014" s="172">
        <f t="shared" si="31"/>
        <v>288</v>
      </c>
    </row>
    <row r="1015" spans="1:2" ht="30" customHeight="1">
      <c r="A1015" s="179" t="str">
        <f t="shared" si="30"/>
        <v>00/01/1900289</v>
      </c>
      <c r="B1015" s="172">
        <f t="shared" si="31"/>
        <v>289</v>
      </c>
    </row>
    <row r="1016" spans="1:2" ht="30" customHeight="1">
      <c r="A1016" s="179" t="str">
        <f t="shared" si="30"/>
        <v>00/01/1900290</v>
      </c>
      <c r="B1016" s="172">
        <f t="shared" si="31"/>
        <v>290</v>
      </c>
    </row>
    <row r="1017" spans="1:2" ht="30" customHeight="1">
      <c r="A1017" s="179" t="str">
        <f t="shared" si="30"/>
        <v>00/01/1900291</v>
      </c>
      <c r="B1017" s="172">
        <f t="shared" si="31"/>
        <v>291</v>
      </c>
    </row>
    <row r="1018" spans="1:2" ht="30" customHeight="1">
      <c r="A1018" s="179" t="str">
        <f t="shared" si="30"/>
        <v>00/01/1900292</v>
      </c>
      <c r="B1018" s="172">
        <f t="shared" si="31"/>
        <v>292</v>
      </c>
    </row>
    <row r="1019" spans="1:2" ht="30" customHeight="1">
      <c r="A1019" s="179" t="str">
        <f t="shared" si="30"/>
        <v>00/01/1900293</v>
      </c>
      <c r="B1019" s="172">
        <f t="shared" si="31"/>
        <v>293</v>
      </c>
    </row>
    <row r="1020" spans="1:2" ht="30" customHeight="1">
      <c r="A1020" s="179" t="str">
        <f t="shared" si="30"/>
        <v>00/01/1900294</v>
      </c>
      <c r="B1020" s="172">
        <f t="shared" si="31"/>
        <v>294</v>
      </c>
    </row>
    <row r="1021" spans="1:2" ht="30" customHeight="1">
      <c r="A1021" s="179" t="str">
        <f t="shared" si="30"/>
        <v>00/01/1900295</v>
      </c>
      <c r="B1021" s="172">
        <f t="shared" si="31"/>
        <v>295</v>
      </c>
    </row>
    <row r="1022" spans="1:2" ht="30" customHeight="1">
      <c r="A1022" s="179" t="str">
        <f t="shared" si="30"/>
        <v>00/01/1900296</v>
      </c>
      <c r="B1022" s="172">
        <f t="shared" si="31"/>
        <v>296</v>
      </c>
    </row>
    <row r="1023" spans="1:2" ht="30" customHeight="1">
      <c r="A1023" s="179" t="str">
        <f t="shared" si="30"/>
        <v>00/01/1900297</v>
      </c>
      <c r="B1023" s="172">
        <f t="shared" si="31"/>
        <v>297</v>
      </c>
    </row>
    <row r="1024" spans="1:2" ht="30" customHeight="1">
      <c r="A1024" s="179" t="str">
        <f t="shared" si="30"/>
        <v>00/01/1900298</v>
      </c>
      <c r="B1024" s="172">
        <f t="shared" si="31"/>
        <v>298</v>
      </c>
    </row>
    <row r="1025" spans="1:2" ht="30" customHeight="1">
      <c r="A1025" s="179" t="str">
        <f t="shared" si="30"/>
        <v>00/01/1900299</v>
      </c>
      <c r="B1025" s="172">
        <f t="shared" si="31"/>
        <v>299</v>
      </c>
    </row>
    <row r="1026" spans="1:2" ht="30" customHeight="1">
      <c r="A1026" s="179" t="str">
        <f t="shared" si="30"/>
        <v>00/01/1900300</v>
      </c>
      <c r="B1026" s="172">
        <f t="shared" si="31"/>
        <v>300</v>
      </c>
    </row>
    <row r="1027" spans="1:2" ht="30" customHeight="1">
      <c r="A1027" s="179" t="str">
        <f t="shared" ref="A1027:A1090" si="32">CONCATENATE(TEXT($G1027,"dd/mm/yyyy"),$B1027)</f>
        <v>00/01/1900301</v>
      </c>
      <c r="B1027" s="172">
        <f t="shared" si="31"/>
        <v>301</v>
      </c>
    </row>
    <row r="1028" spans="1:2" ht="30" customHeight="1">
      <c r="A1028" s="179" t="str">
        <f t="shared" si="32"/>
        <v>00/01/1900302</v>
      </c>
      <c r="B1028" s="172">
        <f t="shared" ref="B1028:B1091" si="33">IF($G1028=$G1027,$B1027+1,1)</f>
        <v>302</v>
      </c>
    </row>
    <row r="1029" spans="1:2" ht="30" customHeight="1">
      <c r="A1029" s="179" t="str">
        <f t="shared" si="32"/>
        <v>00/01/1900303</v>
      </c>
      <c r="B1029" s="172">
        <f t="shared" si="33"/>
        <v>303</v>
      </c>
    </row>
    <row r="1030" spans="1:2" ht="30" customHeight="1">
      <c r="A1030" s="179" t="str">
        <f t="shared" si="32"/>
        <v>00/01/1900304</v>
      </c>
      <c r="B1030" s="172">
        <f t="shared" si="33"/>
        <v>304</v>
      </c>
    </row>
    <row r="1031" spans="1:2" ht="30" customHeight="1">
      <c r="A1031" s="179" t="str">
        <f t="shared" si="32"/>
        <v>00/01/1900305</v>
      </c>
      <c r="B1031" s="172">
        <f t="shared" si="33"/>
        <v>305</v>
      </c>
    </row>
    <row r="1032" spans="1:2" ht="30" customHeight="1">
      <c r="A1032" s="179" t="str">
        <f t="shared" si="32"/>
        <v>00/01/1900306</v>
      </c>
      <c r="B1032" s="172">
        <f t="shared" si="33"/>
        <v>306</v>
      </c>
    </row>
    <row r="1033" spans="1:2" ht="30" customHeight="1">
      <c r="A1033" s="179" t="str">
        <f t="shared" si="32"/>
        <v>00/01/1900307</v>
      </c>
      <c r="B1033" s="172">
        <f t="shared" si="33"/>
        <v>307</v>
      </c>
    </row>
    <row r="1034" spans="1:2" ht="30" customHeight="1">
      <c r="A1034" s="179" t="str">
        <f t="shared" si="32"/>
        <v>00/01/1900308</v>
      </c>
      <c r="B1034" s="172">
        <f t="shared" si="33"/>
        <v>308</v>
      </c>
    </row>
    <row r="1035" spans="1:2" ht="30" customHeight="1">
      <c r="A1035" s="179" t="str">
        <f t="shared" si="32"/>
        <v>00/01/1900309</v>
      </c>
      <c r="B1035" s="172">
        <f t="shared" si="33"/>
        <v>309</v>
      </c>
    </row>
    <row r="1036" spans="1:2" ht="30" customHeight="1">
      <c r="A1036" s="179" t="str">
        <f t="shared" si="32"/>
        <v>00/01/1900310</v>
      </c>
      <c r="B1036" s="172">
        <f t="shared" si="33"/>
        <v>310</v>
      </c>
    </row>
    <row r="1037" spans="1:2" ht="30" customHeight="1">
      <c r="A1037" s="179" t="str">
        <f t="shared" si="32"/>
        <v>00/01/1900311</v>
      </c>
      <c r="B1037" s="172">
        <f t="shared" si="33"/>
        <v>311</v>
      </c>
    </row>
    <row r="1038" spans="1:2" ht="30" customHeight="1">
      <c r="A1038" s="179" t="str">
        <f t="shared" si="32"/>
        <v>00/01/1900312</v>
      </c>
      <c r="B1038" s="172">
        <f t="shared" si="33"/>
        <v>312</v>
      </c>
    </row>
    <row r="1039" spans="1:2" ht="30" customHeight="1">
      <c r="A1039" s="179" t="str">
        <f t="shared" si="32"/>
        <v>00/01/1900313</v>
      </c>
      <c r="B1039" s="172">
        <f t="shared" si="33"/>
        <v>313</v>
      </c>
    </row>
    <row r="1040" spans="1:2" ht="30" customHeight="1">
      <c r="A1040" s="179" t="str">
        <f t="shared" si="32"/>
        <v>00/01/1900314</v>
      </c>
      <c r="B1040" s="172">
        <f t="shared" si="33"/>
        <v>314</v>
      </c>
    </row>
    <row r="1041" spans="1:2" ht="30" customHeight="1">
      <c r="A1041" s="179" t="str">
        <f t="shared" si="32"/>
        <v>00/01/1900315</v>
      </c>
      <c r="B1041" s="172">
        <f t="shared" si="33"/>
        <v>315</v>
      </c>
    </row>
    <row r="1042" spans="1:2" ht="30" customHeight="1">
      <c r="A1042" s="179" t="str">
        <f t="shared" si="32"/>
        <v>00/01/1900316</v>
      </c>
      <c r="B1042" s="172">
        <f t="shared" si="33"/>
        <v>316</v>
      </c>
    </row>
    <row r="1043" spans="1:2" ht="30" customHeight="1">
      <c r="A1043" s="179" t="str">
        <f t="shared" si="32"/>
        <v>00/01/1900317</v>
      </c>
      <c r="B1043" s="172">
        <f t="shared" si="33"/>
        <v>317</v>
      </c>
    </row>
    <row r="1044" spans="1:2" ht="30" customHeight="1">
      <c r="A1044" s="179" t="str">
        <f t="shared" si="32"/>
        <v>00/01/1900318</v>
      </c>
      <c r="B1044" s="172">
        <f t="shared" si="33"/>
        <v>318</v>
      </c>
    </row>
    <row r="1045" spans="1:2" ht="30" customHeight="1">
      <c r="A1045" s="179" t="str">
        <f t="shared" si="32"/>
        <v>00/01/1900319</v>
      </c>
      <c r="B1045" s="172">
        <f t="shared" si="33"/>
        <v>319</v>
      </c>
    </row>
    <row r="1046" spans="1:2" ht="30" customHeight="1">
      <c r="A1046" s="179" t="str">
        <f t="shared" si="32"/>
        <v>00/01/1900320</v>
      </c>
      <c r="B1046" s="172">
        <f t="shared" si="33"/>
        <v>320</v>
      </c>
    </row>
    <row r="1047" spans="1:2" ht="30" customHeight="1">
      <c r="A1047" s="179" t="str">
        <f t="shared" si="32"/>
        <v>00/01/1900321</v>
      </c>
      <c r="B1047" s="172">
        <f t="shared" si="33"/>
        <v>321</v>
      </c>
    </row>
    <row r="1048" spans="1:2" ht="30" customHeight="1">
      <c r="A1048" s="179" t="str">
        <f t="shared" si="32"/>
        <v>00/01/1900322</v>
      </c>
      <c r="B1048" s="172">
        <f t="shared" si="33"/>
        <v>322</v>
      </c>
    </row>
    <row r="1049" spans="1:2" ht="30" customHeight="1">
      <c r="A1049" s="179" t="str">
        <f t="shared" si="32"/>
        <v>00/01/1900323</v>
      </c>
      <c r="B1049" s="172">
        <f t="shared" si="33"/>
        <v>323</v>
      </c>
    </row>
    <row r="1050" spans="1:2" ht="30" customHeight="1">
      <c r="A1050" s="179" t="str">
        <f t="shared" si="32"/>
        <v>00/01/1900324</v>
      </c>
      <c r="B1050" s="172">
        <f t="shared" si="33"/>
        <v>324</v>
      </c>
    </row>
    <row r="1051" spans="1:2" ht="30" customHeight="1">
      <c r="A1051" s="179" t="str">
        <f t="shared" si="32"/>
        <v>00/01/1900325</v>
      </c>
      <c r="B1051" s="172">
        <f t="shared" si="33"/>
        <v>325</v>
      </c>
    </row>
    <row r="1052" spans="1:2" ht="30" customHeight="1">
      <c r="A1052" s="179" t="str">
        <f t="shared" si="32"/>
        <v>00/01/1900326</v>
      </c>
      <c r="B1052" s="172">
        <f t="shared" si="33"/>
        <v>326</v>
      </c>
    </row>
    <row r="1053" spans="1:2" ht="30" customHeight="1">
      <c r="A1053" s="179" t="str">
        <f t="shared" si="32"/>
        <v>00/01/1900327</v>
      </c>
      <c r="B1053" s="172">
        <f t="shared" si="33"/>
        <v>327</v>
      </c>
    </row>
    <row r="1054" spans="1:2" ht="30" customHeight="1">
      <c r="A1054" s="179" t="str">
        <f t="shared" si="32"/>
        <v>00/01/1900328</v>
      </c>
      <c r="B1054" s="172">
        <f t="shared" si="33"/>
        <v>328</v>
      </c>
    </row>
    <row r="1055" spans="1:2" ht="30" customHeight="1">
      <c r="A1055" s="179" t="str">
        <f t="shared" si="32"/>
        <v>00/01/1900329</v>
      </c>
      <c r="B1055" s="172">
        <f t="shared" si="33"/>
        <v>329</v>
      </c>
    </row>
    <row r="1056" spans="1:2" ht="30" customHeight="1">
      <c r="A1056" s="179" t="str">
        <f t="shared" si="32"/>
        <v>00/01/1900330</v>
      </c>
      <c r="B1056" s="172">
        <f t="shared" si="33"/>
        <v>330</v>
      </c>
    </row>
    <row r="1057" spans="1:2" ht="30" customHeight="1">
      <c r="A1057" s="179" t="str">
        <f t="shared" si="32"/>
        <v>00/01/1900331</v>
      </c>
      <c r="B1057" s="172">
        <f t="shared" si="33"/>
        <v>331</v>
      </c>
    </row>
    <row r="1058" spans="1:2" ht="30" customHeight="1">
      <c r="A1058" s="179" t="str">
        <f t="shared" si="32"/>
        <v>00/01/1900332</v>
      </c>
      <c r="B1058" s="172">
        <f t="shared" si="33"/>
        <v>332</v>
      </c>
    </row>
    <row r="1059" spans="1:2" ht="30" customHeight="1">
      <c r="A1059" s="179" t="str">
        <f t="shared" si="32"/>
        <v>00/01/1900333</v>
      </c>
      <c r="B1059" s="172">
        <f t="shared" si="33"/>
        <v>333</v>
      </c>
    </row>
    <row r="1060" spans="1:2" ht="30" customHeight="1">
      <c r="A1060" s="179" t="str">
        <f t="shared" si="32"/>
        <v>00/01/1900334</v>
      </c>
      <c r="B1060" s="172">
        <f t="shared" si="33"/>
        <v>334</v>
      </c>
    </row>
    <row r="1061" spans="1:2" ht="30" customHeight="1">
      <c r="A1061" s="179" t="str">
        <f t="shared" si="32"/>
        <v>00/01/1900335</v>
      </c>
      <c r="B1061" s="172">
        <f t="shared" si="33"/>
        <v>335</v>
      </c>
    </row>
    <row r="1062" spans="1:2" ht="30" customHeight="1">
      <c r="A1062" s="179" t="str">
        <f t="shared" si="32"/>
        <v>00/01/1900336</v>
      </c>
      <c r="B1062" s="172">
        <f t="shared" si="33"/>
        <v>336</v>
      </c>
    </row>
    <row r="1063" spans="1:2" ht="30" customHeight="1">
      <c r="A1063" s="179" t="str">
        <f t="shared" si="32"/>
        <v>00/01/1900337</v>
      </c>
      <c r="B1063" s="172">
        <f t="shared" si="33"/>
        <v>337</v>
      </c>
    </row>
    <row r="1064" spans="1:2" ht="30" customHeight="1">
      <c r="A1064" s="179" t="str">
        <f t="shared" si="32"/>
        <v>00/01/1900338</v>
      </c>
      <c r="B1064" s="172">
        <f t="shared" si="33"/>
        <v>338</v>
      </c>
    </row>
    <row r="1065" spans="1:2" ht="30" customHeight="1">
      <c r="A1065" s="179" t="str">
        <f t="shared" si="32"/>
        <v>00/01/1900339</v>
      </c>
      <c r="B1065" s="172">
        <f t="shared" si="33"/>
        <v>339</v>
      </c>
    </row>
    <row r="1066" spans="1:2" ht="30" customHeight="1">
      <c r="A1066" s="179" t="str">
        <f t="shared" si="32"/>
        <v>00/01/1900340</v>
      </c>
      <c r="B1066" s="172">
        <f t="shared" si="33"/>
        <v>340</v>
      </c>
    </row>
    <row r="1067" spans="1:2" ht="30" customHeight="1">
      <c r="A1067" s="179" t="str">
        <f t="shared" si="32"/>
        <v>00/01/1900341</v>
      </c>
      <c r="B1067" s="172">
        <f t="shared" si="33"/>
        <v>341</v>
      </c>
    </row>
    <row r="1068" spans="1:2" ht="30" customHeight="1">
      <c r="A1068" s="179" t="str">
        <f t="shared" si="32"/>
        <v>00/01/1900342</v>
      </c>
      <c r="B1068" s="172">
        <f t="shared" si="33"/>
        <v>342</v>
      </c>
    </row>
    <row r="1069" spans="1:2" ht="30" customHeight="1">
      <c r="A1069" s="179" t="str">
        <f t="shared" si="32"/>
        <v>00/01/1900343</v>
      </c>
      <c r="B1069" s="172">
        <f t="shared" si="33"/>
        <v>343</v>
      </c>
    </row>
    <row r="1070" spans="1:2" ht="30" customHeight="1">
      <c r="A1070" s="179" t="str">
        <f t="shared" si="32"/>
        <v>00/01/1900344</v>
      </c>
      <c r="B1070" s="172">
        <f t="shared" si="33"/>
        <v>344</v>
      </c>
    </row>
    <row r="1071" spans="1:2" ht="30" customHeight="1">
      <c r="A1071" s="179" t="str">
        <f t="shared" si="32"/>
        <v>00/01/1900345</v>
      </c>
      <c r="B1071" s="172">
        <f t="shared" si="33"/>
        <v>345</v>
      </c>
    </row>
    <row r="1072" spans="1:2" ht="30" customHeight="1">
      <c r="A1072" s="179" t="str">
        <f t="shared" si="32"/>
        <v>00/01/1900346</v>
      </c>
      <c r="B1072" s="172">
        <f t="shared" si="33"/>
        <v>346</v>
      </c>
    </row>
    <row r="1073" spans="1:2" ht="30" customHeight="1">
      <c r="A1073" s="179" t="str">
        <f t="shared" si="32"/>
        <v>00/01/1900347</v>
      </c>
      <c r="B1073" s="172">
        <f t="shared" si="33"/>
        <v>347</v>
      </c>
    </row>
    <row r="1074" spans="1:2" ht="30" customHeight="1">
      <c r="A1074" s="179" t="str">
        <f t="shared" si="32"/>
        <v>00/01/1900348</v>
      </c>
      <c r="B1074" s="172">
        <f t="shared" si="33"/>
        <v>348</v>
      </c>
    </row>
    <row r="1075" spans="1:2" ht="30" customHeight="1">
      <c r="A1075" s="179" t="str">
        <f t="shared" si="32"/>
        <v>00/01/1900349</v>
      </c>
      <c r="B1075" s="172">
        <f t="shared" si="33"/>
        <v>349</v>
      </c>
    </row>
    <row r="1076" spans="1:2" ht="30" customHeight="1">
      <c r="A1076" s="179" t="str">
        <f t="shared" si="32"/>
        <v>00/01/1900350</v>
      </c>
      <c r="B1076" s="172">
        <f t="shared" si="33"/>
        <v>350</v>
      </c>
    </row>
    <row r="1077" spans="1:2" ht="30" customHeight="1">
      <c r="A1077" s="179" t="str">
        <f t="shared" si="32"/>
        <v>00/01/1900351</v>
      </c>
      <c r="B1077" s="172">
        <f t="shared" si="33"/>
        <v>351</v>
      </c>
    </row>
    <row r="1078" spans="1:2" ht="30" customHeight="1">
      <c r="A1078" s="179" t="str">
        <f t="shared" si="32"/>
        <v>00/01/1900352</v>
      </c>
      <c r="B1078" s="172">
        <f t="shared" si="33"/>
        <v>352</v>
      </c>
    </row>
    <row r="1079" spans="1:2" ht="30" customHeight="1">
      <c r="A1079" s="179" t="str">
        <f t="shared" si="32"/>
        <v>00/01/1900353</v>
      </c>
      <c r="B1079" s="172">
        <f t="shared" si="33"/>
        <v>353</v>
      </c>
    </row>
    <row r="1080" spans="1:2" ht="30" customHeight="1">
      <c r="A1080" s="179" t="str">
        <f t="shared" si="32"/>
        <v>00/01/1900354</v>
      </c>
      <c r="B1080" s="172">
        <f t="shared" si="33"/>
        <v>354</v>
      </c>
    </row>
    <row r="1081" spans="1:2" ht="30" customHeight="1">
      <c r="A1081" s="179" t="str">
        <f t="shared" si="32"/>
        <v>00/01/1900355</v>
      </c>
      <c r="B1081" s="172">
        <f t="shared" si="33"/>
        <v>355</v>
      </c>
    </row>
    <row r="1082" spans="1:2" ht="30" customHeight="1">
      <c r="A1082" s="179" t="str">
        <f t="shared" si="32"/>
        <v>00/01/1900356</v>
      </c>
      <c r="B1082" s="172">
        <f t="shared" si="33"/>
        <v>356</v>
      </c>
    </row>
    <row r="1083" spans="1:2" ht="30" customHeight="1">
      <c r="A1083" s="179" t="str">
        <f t="shared" si="32"/>
        <v>00/01/1900357</v>
      </c>
      <c r="B1083" s="172">
        <f t="shared" si="33"/>
        <v>357</v>
      </c>
    </row>
    <row r="1084" spans="1:2" ht="30" customHeight="1">
      <c r="A1084" s="179" t="str">
        <f t="shared" si="32"/>
        <v>00/01/1900358</v>
      </c>
      <c r="B1084" s="172">
        <f t="shared" si="33"/>
        <v>358</v>
      </c>
    </row>
    <row r="1085" spans="1:2" ht="30" customHeight="1">
      <c r="A1085" s="179" t="str">
        <f t="shared" si="32"/>
        <v>00/01/1900359</v>
      </c>
      <c r="B1085" s="172">
        <f t="shared" si="33"/>
        <v>359</v>
      </c>
    </row>
    <row r="1086" spans="1:2" ht="30" customHeight="1">
      <c r="A1086" s="179" t="str">
        <f t="shared" si="32"/>
        <v>00/01/1900360</v>
      </c>
      <c r="B1086" s="172">
        <f t="shared" si="33"/>
        <v>360</v>
      </c>
    </row>
    <row r="1087" spans="1:2" ht="30" customHeight="1">
      <c r="A1087" s="179" t="str">
        <f t="shared" si="32"/>
        <v>00/01/1900361</v>
      </c>
      <c r="B1087" s="172">
        <f t="shared" si="33"/>
        <v>361</v>
      </c>
    </row>
    <row r="1088" spans="1:2" ht="30" customHeight="1">
      <c r="A1088" s="179" t="str">
        <f t="shared" si="32"/>
        <v>00/01/1900362</v>
      </c>
      <c r="B1088" s="172">
        <f t="shared" si="33"/>
        <v>362</v>
      </c>
    </row>
    <row r="1089" spans="1:2" ht="30" customHeight="1">
      <c r="A1089" s="179" t="str">
        <f t="shared" si="32"/>
        <v>00/01/1900363</v>
      </c>
      <c r="B1089" s="172">
        <f t="shared" si="33"/>
        <v>363</v>
      </c>
    </row>
    <row r="1090" spans="1:2" ht="30" customHeight="1">
      <c r="A1090" s="179" t="str">
        <f t="shared" si="32"/>
        <v>00/01/1900364</v>
      </c>
      <c r="B1090" s="172">
        <f t="shared" si="33"/>
        <v>364</v>
      </c>
    </row>
    <row r="1091" spans="1:2" ht="30" customHeight="1">
      <c r="A1091" s="179" t="str">
        <f t="shared" ref="A1091:A1154" si="34">CONCATENATE(TEXT($G1091,"dd/mm/yyyy"),$B1091)</f>
        <v>00/01/1900365</v>
      </c>
      <c r="B1091" s="172">
        <f t="shared" si="33"/>
        <v>365</v>
      </c>
    </row>
    <row r="1092" spans="1:2" ht="30" customHeight="1">
      <c r="A1092" s="179" t="str">
        <f t="shared" si="34"/>
        <v>00/01/1900366</v>
      </c>
      <c r="B1092" s="172">
        <f t="shared" ref="B1092:B1155" si="35">IF($G1092=$G1091,$B1091+1,1)</f>
        <v>366</v>
      </c>
    </row>
    <row r="1093" spans="1:2" ht="30" customHeight="1">
      <c r="A1093" s="179" t="str">
        <f t="shared" si="34"/>
        <v>00/01/1900367</v>
      </c>
      <c r="B1093" s="172">
        <f t="shared" si="35"/>
        <v>367</v>
      </c>
    </row>
    <row r="1094" spans="1:2" ht="30" customHeight="1">
      <c r="A1094" s="179" t="str">
        <f t="shared" si="34"/>
        <v>00/01/1900368</v>
      </c>
      <c r="B1094" s="172">
        <f t="shared" si="35"/>
        <v>368</v>
      </c>
    </row>
    <row r="1095" spans="1:2" ht="30" customHeight="1">
      <c r="A1095" s="179" t="str">
        <f t="shared" si="34"/>
        <v>00/01/1900369</v>
      </c>
      <c r="B1095" s="172">
        <f t="shared" si="35"/>
        <v>369</v>
      </c>
    </row>
    <row r="1096" spans="1:2" ht="30" customHeight="1">
      <c r="A1096" s="179" t="str">
        <f t="shared" si="34"/>
        <v>00/01/1900370</v>
      </c>
      <c r="B1096" s="172">
        <f t="shared" si="35"/>
        <v>370</v>
      </c>
    </row>
    <row r="1097" spans="1:2" ht="30" customHeight="1">
      <c r="A1097" s="179" t="str">
        <f t="shared" si="34"/>
        <v>00/01/1900371</v>
      </c>
      <c r="B1097" s="172">
        <f t="shared" si="35"/>
        <v>371</v>
      </c>
    </row>
    <row r="1098" spans="1:2" ht="30" customHeight="1">
      <c r="A1098" s="179" t="str">
        <f t="shared" si="34"/>
        <v>00/01/1900372</v>
      </c>
      <c r="B1098" s="172">
        <f t="shared" si="35"/>
        <v>372</v>
      </c>
    </row>
    <row r="1099" spans="1:2" ht="30" customHeight="1">
      <c r="A1099" s="179" t="str">
        <f t="shared" si="34"/>
        <v>00/01/1900373</v>
      </c>
      <c r="B1099" s="172">
        <f t="shared" si="35"/>
        <v>373</v>
      </c>
    </row>
    <row r="1100" spans="1:2" ht="30" customHeight="1">
      <c r="A1100" s="179" t="str">
        <f t="shared" si="34"/>
        <v>00/01/1900374</v>
      </c>
      <c r="B1100" s="172">
        <f t="shared" si="35"/>
        <v>374</v>
      </c>
    </row>
    <row r="1101" spans="1:2" ht="30" customHeight="1">
      <c r="A1101" s="179" t="str">
        <f t="shared" si="34"/>
        <v>00/01/1900375</v>
      </c>
      <c r="B1101" s="172">
        <f t="shared" si="35"/>
        <v>375</v>
      </c>
    </row>
    <row r="1102" spans="1:2" ht="30" customHeight="1">
      <c r="A1102" s="179" t="str">
        <f t="shared" si="34"/>
        <v>00/01/1900376</v>
      </c>
      <c r="B1102" s="172">
        <f t="shared" si="35"/>
        <v>376</v>
      </c>
    </row>
    <row r="1103" spans="1:2" ht="30" customHeight="1">
      <c r="A1103" s="179" t="str">
        <f t="shared" si="34"/>
        <v>00/01/1900377</v>
      </c>
      <c r="B1103" s="172">
        <f t="shared" si="35"/>
        <v>377</v>
      </c>
    </row>
    <row r="1104" spans="1:2" ht="30" customHeight="1">
      <c r="A1104" s="179" t="str">
        <f t="shared" si="34"/>
        <v>00/01/1900378</v>
      </c>
      <c r="B1104" s="172">
        <f t="shared" si="35"/>
        <v>378</v>
      </c>
    </row>
    <row r="1105" spans="1:2" ht="30" customHeight="1">
      <c r="A1105" s="179" t="str">
        <f t="shared" si="34"/>
        <v>00/01/1900379</v>
      </c>
      <c r="B1105" s="172">
        <f t="shared" si="35"/>
        <v>379</v>
      </c>
    </row>
    <row r="1106" spans="1:2" ht="30" customHeight="1">
      <c r="A1106" s="179" t="str">
        <f t="shared" si="34"/>
        <v>00/01/1900380</v>
      </c>
      <c r="B1106" s="172">
        <f t="shared" si="35"/>
        <v>380</v>
      </c>
    </row>
    <row r="1107" spans="1:2" ht="30" customHeight="1">
      <c r="A1107" s="179" t="str">
        <f t="shared" si="34"/>
        <v>00/01/1900381</v>
      </c>
      <c r="B1107" s="172">
        <f t="shared" si="35"/>
        <v>381</v>
      </c>
    </row>
    <row r="1108" spans="1:2" ht="30" customHeight="1">
      <c r="A1108" s="179" t="str">
        <f t="shared" si="34"/>
        <v>00/01/1900382</v>
      </c>
      <c r="B1108" s="172">
        <f t="shared" si="35"/>
        <v>382</v>
      </c>
    </row>
    <row r="1109" spans="1:2" ht="30" customHeight="1">
      <c r="A1109" s="179" t="str">
        <f t="shared" si="34"/>
        <v>00/01/1900383</v>
      </c>
      <c r="B1109" s="172">
        <f t="shared" si="35"/>
        <v>383</v>
      </c>
    </row>
    <row r="1110" spans="1:2" ht="30" customHeight="1">
      <c r="A1110" s="179" t="str">
        <f t="shared" si="34"/>
        <v>00/01/1900384</v>
      </c>
      <c r="B1110" s="172">
        <f t="shared" si="35"/>
        <v>384</v>
      </c>
    </row>
    <row r="1111" spans="1:2" ht="30" customHeight="1">
      <c r="A1111" s="179" t="str">
        <f t="shared" si="34"/>
        <v>00/01/1900385</v>
      </c>
      <c r="B1111" s="172">
        <f t="shared" si="35"/>
        <v>385</v>
      </c>
    </row>
    <row r="1112" spans="1:2" ht="30" customHeight="1">
      <c r="A1112" s="179" t="str">
        <f t="shared" si="34"/>
        <v>00/01/1900386</v>
      </c>
      <c r="B1112" s="172">
        <f t="shared" si="35"/>
        <v>386</v>
      </c>
    </row>
    <row r="1113" spans="1:2" ht="30" customHeight="1">
      <c r="A1113" s="179" t="str">
        <f t="shared" si="34"/>
        <v>00/01/1900387</v>
      </c>
      <c r="B1113" s="172">
        <f t="shared" si="35"/>
        <v>387</v>
      </c>
    </row>
    <row r="1114" spans="1:2" ht="30" customHeight="1">
      <c r="A1114" s="179" t="str">
        <f t="shared" si="34"/>
        <v>00/01/1900388</v>
      </c>
      <c r="B1114" s="172">
        <f t="shared" si="35"/>
        <v>388</v>
      </c>
    </row>
    <row r="1115" spans="1:2" ht="30" customHeight="1">
      <c r="A1115" s="179" t="str">
        <f t="shared" si="34"/>
        <v>00/01/1900389</v>
      </c>
      <c r="B1115" s="172">
        <f t="shared" si="35"/>
        <v>389</v>
      </c>
    </row>
    <row r="1116" spans="1:2" ht="30" customHeight="1">
      <c r="A1116" s="179" t="str">
        <f t="shared" si="34"/>
        <v>00/01/1900390</v>
      </c>
      <c r="B1116" s="172">
        <f t="shared" si="35"/>
        <v>390</v>
      </c>
    </row>
    <row r="1117" spans="1:2" ht="30" customHeight="1">
      <c r="A1117" s="179" t="str">
        <f t="shared" si="34"/>
        <v>00/01/1900391</v>
      </c>
      <c r="B1117" s="172">
        <f t="shared" si="35"/>
        <v>391</v>
      </c>
    </row>
    <row r="1118" spans="1:2" ht="30" customHeight="1">
      <c r="A1118" s="179" t="str">
        <f t="shared" si="34"/>
        <v>00/01/1900392</v>
      </c>
      <c r="B1118" s="172">
        <f t="shared" si="35"/>
        <v>392</v>
      </c>
    </row>
    <row r="1119" spans="1:2" ht="30" customHeight="1">
      <c r="A1119" s="179" t="str">
        <f t="shared" si="34"/>
        <v>00/01/1900393</v>
      </c>
      <c r="B1119" s="172">
        <f t="shared" si="35"/>
        <v>393</v>
      </c>
    </row>
    <row r="1120" spans="1:2" ht="30" customHeight="1">
      <c r="A1120" s="179" t="str">
        <f t="shared" si="34"/>
        <v>00/01/1900394</v>
      </c>
      <c r="B1120" s="172">
        <f t="shared" si="35"/>
        <v>394</v>
      </c>
    </row>
    <row r="1121" spans="1:2" ht="30" customHeight="1">
      <c r="A1121" s="179" t="str">
        <f t="shared" si="34"/>
        <v>00/01/1900395</v>
      </c>
      <c r="B1121" s="172">
        <f t="shared" si="35"/>
        <v>395</v>
      </c>
    </row>
    <row r="1122" spans="1:2" ht="30" customHeight="1">
      <c r="A1122" s="179" t="str">
        <f t="shared" si="34"/>
        <v>00/01/1900396</v>
      </c>
      <c r="B1122" s="172">
        <f t="shared" si="35"/>
        <v>396</v>
      </c>
    </row>
    <row r="1123" spans="1:2" ht="30" customHeight="1">
      <c r="A1123" s="179" t="str">
        <f t="shared" si="34"/>
        <v>00/01/1900397</v>
      </c>
      <c r="B1123" s="172">
        <f t="shared" si="35"/>
        <v>397</v>
      </c>
    </row>
    <row r="1124" spans="1:2" ht="30" customHeight="1">
      <c r="A1124" s="179" t="str">
        <f t="shared" si="34"/>
        <v>00/01/1900398</v>
      </c>
      <c r="B1124" s="172">
        <f t="shared" si="35"/>
        <v>398</v>
      </c>
    </row>
    <row r="1125" spans="1:2" ht="30" customHeight="1">
      <c r="A1125" s="179" t="str">
        <f t="shared" si="34"/>
        <v>00/01/1900399</v>
      </c>
      <c r="B1125" s="172">
        <f t="shared" si="35"/>
        <v>399</v>
      </c>
    </row>
    <row r="1126" spans="1:2" ht="30" customHeight="1">
      <c r="A1126" s="179" t="str">
        <f t="shared" si="34"/>
        <v>00/01/1900400</v>
      </c>
      <c r="B1126" s="172">
        <f t="shared" si="35"/>
        <v>400</v>
      </c>
    </row>
    <row r="1127" spans="1:2" ht="30" customHeight="1">
      <c r="A1127" s="179" t="str">
        <f t="shared" si="34"/>
        <v>00/01/1900401</v>
      </c>
      <c r="B1127" s="172">
        <f t="shared" si="35"/>
        <v>401</v>
      </c>
    </row>
    <row r="1128" spans="1:2" ht="30" customHeight="1">
      <c r="A1128" s="179" t="str">
        <f t="shared" si="34"/>
        <v>00/01/1900402</v>
      </c>
      <c r="B1128" s="172">
        <f t="shared" si="35"/>
        <v>402</v>
      </c>
    </row>
    <row r="1129" spans="1:2" ht="30" customHeight="1">
      <c r="A1129" s="179" t="str">
        <f t="shared" si="34"/>
        <v>00/01/1900403</v>
      </c>
      <c r="B1129" s="172">
        <f t="shared" si="35"/>
        <v>403</v>
      </c>
    </row>
    <row r="1130" spans="1:2" ht="30" customHeight="1">
      <c r="A1130" s="179" t="str">
        <f t="shared" si="34"/>
        <v>00/01/1900404</v>
      </c>
      <c r="B1130" s="172">
        <f t="shared" si="35"/>
        <v>404</v>
      </c>
    </row>
    <row r="1131" spans="1:2" ht="30" customHeight="1">
      <c r="A1131" s="179" t="str">
        <f t="shared" si="34"/>
        <v>00/01/1900405</v>
      </c>
      <c r="B1131" s="172">
        <f t="shared" si="35"/>
        <v>405</v>
      </c>
    </row>
    <row r="1132" spans="1:2" ht="30" customHeight="1">
      <c r="A1132" s="179" t="str">
        <f t="shared" si="34"/>
        <v>00/01/1900406</v>
      </c>
      <c r="B1132" s="172">
        <f t="shared" si="35"/>
        <v>406</v>
      </c>
    </row>
    <row r="1133" spans="1:2" ht="30" customHeight="1">
      <c r="A1133" s="179" t="str">
        <f t="shared" si="34"/>
        <v>00/01/1900407</v>
      </c>
      <c r="B1133" s="172">
        <f t="shared" si="35"/>
        <v>407</v>
      </c>
    </row>
    <row r="1134" spans="1:2" ht="30" customHeight="1">
      <c r="A1134" s="179" t="str">
        <f t="shared" si="34"/>
        <v>00/01/1900408</v>
      </c>
      <c r="B1134" s="172">
        <f t="shared" si="35"/>
        <v>408</v>
      </c>
    </row>
    <row r="1135" spans="1:2" ht="30" customHeight="1">
      <c r="A1135" s="179" t="str">
        <f t="shared" si="34"/>
        <v>00/01/1900409</v>
      </c>
      <c r="B1135" s="172">
        <f t="shared" si="35"/>
        <v>409</v>
      </c>
    </row>
    <row r="1136" spans="1:2" ht="30" customHeight="1">
      <c r="A1136" s="179" t="str">
        <f t="shared" si="34"/>
        <v>00/01/1900410</v>
      </c>
      <c r="B1136" s="172">
        <f t="shared" si="35"/>
        <v>410</v>
      </c>
    </row>
    <row r="1137" spans="1:2" ht="30" customHeight="1">
      <c r="A1137" s="179" t="str">
        <f t="shared" si="34"/>
        <v>00/01/1900411</v>
      </c>
      <c r="B1137" s="172">
        <f t="shared" si="35"/>
        <v>411</v>
      </c>
    </row>
    <row r="1138" spans="1:2" ht="30" customHeight="1">
      <c r="A1138" s="179" t="str">
        <f t="shared" si="34"/>
        <v>00/01/1900412</v>
      </c>
      <c r="B1138" s="172">
        <f t="shared" si="35"/>
        <v>412</v>
      </c>
    </row>
    <row r="1139" spans="1:2" ht="30" customHeight="1">
      <c r="A1139" s="179" t="str">
        <f t="shared" si="34"/>
        <v>00/01/1900413</v>
      </c>
      <c r="B1139" s="172">
        <f t="shared" si="35"/>
        <v>413</v>
      </c>
    </row>
    <row r="1140" spans="1:2" ht="30" customHeight="1">
      <c r="A1140" s="179" t="str">
        <f t="shared" si="34"/>
        <v>00/01/1900414</v>
      </c>
      <c r="B1140" s="172">
        <f t="shared" si="35"/>
        <v>414</v>
      </c>
    </row>
    <row r="1141" spans="1:2" ht="30" customHeight="1">
      <c r="A1141" s="179" t="str">
        <f t="shared" si="34"/>
        <v>00/01/1900415</v>
      </c>
      <c r="B1141" s="172">
        <f t="shared" si="35"/>
        <v>415</v>
      </c>
    </row>
    <row r="1142" spans="1:2" ht="30" customHeight="1">
      <c r="A1142" s="179" t="str">
        <f t="shared" si="34"/>
        <v>00/01/1900416</v>
      </c>
      <c r="B1142" s="172">
        <f t="shared" si="35"/>
        <v>416</v>
      </c>
    </row>
    <row r="1143" spans="1:2" ht="30" customHeight="1">
      <c r="A1143" s="179" t="str">
        <f t="shared" si="34"/>
        <v>00/01/1900417</v>
      </c>
      <c r="B1143" s="172">
        <f t="shared" si="35"/>
        <v>417</v>
      </c>
    </row>
    <row r="1144" spans="1:2" ht="30" customHeight="1">
      <c r="A1144" s="179" t="str">
        <f t="shared" si="34"/>
        <v>00/01/1900418</v>
      </c>
      <c r="B1144" s="172">
        <f t="shared" si="35"/>
        <v>418</v>
      </c>
    </row>
    <row r="1145" spans="1:2" ht="30" customHeight="1">
      <c r="A1145" s="179" t="str">
        <f t="shared" si="34"/>
        <v>00/01/1900419</v>
      </c>
      <c r="B1145" s="172">
        <f t="shared" si="35"/>
        <v>419</v>
      </c>
    </row>
    <row r="1146" spans="1:2" ht="30" customHeight="1">
      <c r="A1146" s="179" t="str">
        <f t="shared" si="34"/>
        <v>00/01/1900420</v>
      </c>
      <c r="B1146" s="172">
        <f t="shared" si="35"/>
        <v>420</v>
      </c>
    </row>
    <row r="1147" spans="1:2" ht="30" customHeight="1">
      <c r="A1147" s="179" t="str">
        <f t="shared" si="34"/>
        <v>00/01/1900421</v>
      </c>
      <c r="B1147" s="172">
        <f t="shared" si="35"/>
        <v>421</v>
      </c>
    </row>
    <row r="1148" spans="1:2" ht="30" customHeight="1">
      <c r="A1148" s="179" t="str">
        <f t="shared" si="34"/>
        <v>00/01/1900422</v>
      </c>
      <c r="B1148" s="172">
        <f t="shared" si="35"/>
        <v>422</v>
      </c>
    </row>
    <row r="1149" spans="1:2" ht="30" customHeight="1">
      <c r="A1149" s="179" t="str">
        <f t="shared" si="34"/>
        <v>00/01/1900423</v>
      </c>
      <c r="B1149" s="172">
        <f t="shared" si="35"/>
        <v>423</v>
      </c>
    </row>
    <row r="1150" spans="1:2" ht="30" customHeight="1">
      <c r="A1150" s="179" t="str">
        <f t="shared" si="34"/>
        <v>00/01/1900424</v>
      </c>
      <c r="B1150" s="172">
        <f t="shared" si="35"/>
        <v>424</v>
      </c>
    </row>
    <row r="1151" spans="1:2" ht="30" customHeight="1">
      <c r="A1151" s="179" t="str">
        <f t="shared" si="34"/>
        <v>00/01/1900425</v>
      </c>
      <c r="B1151" s="172">
        <f t="shared" si="35"/>
        <v>425</v>
      </c>
    </row>
    <row r="1152" spans="1:2" ht="30" customHeight="1">
      <c r="A1152" s="179" t="str">
        <f t="shared" si="34"/>
        <v>00/01/1900426</v>
      </c>
      <c r="B1152" s="172">
        <f t="shared" si="35"/>
        <v>426</v>
      </c>
    </row>
    <row r="1153" spans="1:2" ht="30" customHeight="1">
      <c r="A1153" s="179" t="str">
        <f t="shared" si="34"/>
        <v>00/01/1900427</v>
      </c>
      <c r="B1153" s="172">
        <f t="shared" si="35"/>
        <v>427</v>
      </c>
    </row>
    <row r="1154" spans="1:2" ht="30" customHeight="1">
      <c r="A1154" s="179" t="str">
        <f t="shared" si="34"/>
        <v>00/01/1900428</v>
      </c>
      <c r="B1154" s="172">
        <f t="shared" si="35"/>
        <v>428</v>
      </c>
    </row>
    <row r="1155" spans="1:2" ht="30" customHeight="1">
      <c r="A1155" s="179" t="str">
        <f t="shared" ref="A1155:A1218" si="36">CONCATENATE(TEXT($G1155,"dd/mm/yyyy"),$B1155)</f>
        <v>00/01/1900429</v>
      </c>
      <c r="B1155" s="172">
        <f t="shared" si="35"/>
        <v>429</v>
      </c>
    </row>
    <row r="1156" spans="1:2" ht="30" customHeight="1">
      <c r="A1156" s="179" t="str">
        <f t="shared" si="36"/>
        <v>00/01/1900430</v>
      </c>
      <c r="B1156" s="172">
        <f t="shared" ref="B1156:B1219" si="37">IF($G1156=$G1155,$B1155+1,1)</f>
        <v>430</v>
      </c>
    </row>
    <row r="1157" spans="1:2" ht="30" customHeight="1">
      <c r="A1157" s="179" t="str">
        <f t="shared" si="36"/>
        <v>00/01/1900431</v>
      </c>
      <c r="B1157" s="172">
        <f t="shared" si="37"/>
        <v>431</v>
      </c>
    </row>
    <row r="1158" spans="1:2" ht="30" customHeight="1">
      <c r="A1158" s="179" t="str">
        <f t="shared" si="36"/>
        <v>00/01/1900432</v>
      </c>
      <c r="B1158" s="172">
        <f t="shared" si="37"/>
        <v>432</v>
      </c>
    </row>
    <row r="1159" spans="1:2" ht="30" customHeight="1">
      <c r="A1159" s="179" t="str">
        <f t="shared" si="36"/>
        <v>00/01/1900433</v>
      </c>
      <c r="B1159" s="172">
        <f t="shared" si="37"/>
        <v>433</v>
      </c>
    </row>
    <row r="1160" spans="1:2" ht="30" customHeight="1">
      <c r="A1160" s="179" t="str">
        <f t="shared" si="36"/>
        <v>00/01/1900434</v>
      </c>
      <c r="B1160" s="172">
        <f t="shared" si="37"/>
        <v>434</v>
      </c>
    </row>
    <row r="1161" spans="1:2" ht="30" customHeight="1">
      <c r="A1161" s="179" t="str">
        <f t="shared" si="36"/>
        <v>00/01/1900435</v>
      </c>
      <c r="B1161" s="172">
        <f t="shared" si="37"/>
        <v>435</v>
      </c>
    </row>
    <row r="1162" spans="1:2" ht="30" customHeight="1">
      <c r="A1162" s="179" t="str">
        <f t="shared" si="36"/>
        <v>00/01/1900436</v>
      </c>
      <c r="B1162" s="172">
        <f t="shared" si="37"/>
        <v>436</v>
      </c>
    </row>
    <row r="1163" spans="1:2" ht="30" customHeight="1">
      <c r="A1163" s="179" t="str">
        <f t="shared" si="36"/>
        <v>00/01/1900437</v>
      </c>
      <c r="B1163" s="172">
        <f t="shared" si="37"/>
        <v>437</v>
      </c>
    </row>
    <row r="1164" spans="1:2" ht="30" customHeight="1">
      <c r="A1164" s="179" t="str">
        <f t="shared" si="36"/>
        <v>00/01/1900438</v>
      </c>
      <c r="B1164" s="172">
        <f t="shared" si="37"/>
        <v>438</v>
      </c>
    </row>
    <row r="1165" spans="1:2" ht="30" customHeight="1">
      <c r="A1165" s="179" t="str">
        <f t="shared" si="36"/>
        <v>00/01/1900439</v>
      </c>
      <c r="B1165" s="172">
        <f t="shared" si="37"/>
        <v>439</v>
      </c>
    </row>
    <row r="1166" spans="1:2" ht="30" customHeight="1">
      <c r="A1166" s="179" t="str">
        <f t="shared" si="36"/>
        <v>00/01/1900440</v>
      </c>
      <c r="B1166" s="172">
        <f t="shared" si="37"/>
        <v>440</v>
      </c>
    </row>
    <row r="1167" spans="1:2" ht="30" customHeight="1">
      <c r="A1167" s="179" t="str">
        <f t="shared" si="36"/>
        <v>00/01/1900441</v>
      </c>
      <c r="B1167" s="172">
        <f t="shared" si="37"/>
        <v>441</v>
      </c>
    </row>
    <row r="1168" spans="1:2" ht="30" customHeight="1">
      <c r="A1168" s="179" t="str">
        <f t="shared" si="36"/>
        <v>00/01/1900442</v>
      </c>
      <c r="B1168" s="172">
        <f t="shared" si="37"/>
        <v>442</v>
      </c>
    </row>
    <row r="1169" spans="1:2" ht="30" customHeight="1">
      <c r="A1169" s="179" t="str">
        <f t="shared" si="36"/>
        <v>00/01/1900443</v>
      </c>
      <c r="B1169" s="172">
        <f t="shared" si="37"/>
        <v>443</v>
      </c>
    </row>
    <row r="1170" spans="1:2" ht="30" customHeight="1">
      <c r="A1170" s="179" t="str">
        <f t="shared" si="36"/>
        <v>00/01/1900444</v>
      </c>
      <c r="B1170" s="172">
        <f t="shared" si="37"/>
        <v>444</v>
      </c>
    </row>
    <row r="1171" spans="1:2" ht="30" customHeight="1">
      <c r="A1171" s="179" t="str">
        <f t="shared" si="36"/>
        <v>00/01/1900445</v>
      </c>
      <c r="B1171" s="172">
        <f t="shared" si="37"/>
        <v>445</v>
      </c>
    </row>
    <row r="1172" spans="1:2" ht="30" customHeight="1">
      <c r="A1172" s="179" t="str">
        <f t="shared" si="36"/>
        <v>00/01/1900446</v>
      </c>
      <c r="B1172" s="172">
        <f t="shared" si="37"/>
        <v>446</v>
      </c>
    </row>
    <row r="1173" spans="1:2" ht="30" customHeight="1">
      <c r="A1173" s="179" t="str">
        <f t="shared" si="36"/>
        <v>00/01/1900447</v>
      </c>
      <c r="B1173" s="172">
        <f t="shared" si="37"/>
        <v>447</v>
      </c>
    </row>
    <row r="1174" spans="1:2" ht="30" customHeight="1">
      <c r="A1174" s="179" t="str">
        <f t="shared" si="36"/>
        <v>00/01/1900448</v>
      </c>
      <c r="B1174" s="172">
        <f t="shared" si="37"/>
        <v>448</v>
      </c>
    </row>
    <row r="1175" spans="1:2" ht="30" customHeight="1">
      <c r="A1175" s="179" t="str">
        <f t="shared" si="36"/>
        <v>00/01/1900449</v>
      </c>
      <c r="B1175" s="172">
        <f t="shared" si="37"/>
        <v>449</v>
      </c>
    </row>
    <row r="1176" spans="1:2" ht="30" customHeight="1">
      <c r="A1176" s="179" t="str">
        <f t="shared" si="36"/>
        <v>00/01/1900450</v>
      </c>
      <c r="B1176" s="172">
        <f t="shared" si="37"/>
        <v>450</v>
      </c>
    </row>
    <row r="1177" spans="1:2" ht="30" customHeight="1">
      <c r="A1177" s="179" t="str">
        <f t="shared" si="36"/>
        <v>00/01/1900451</v>
      </c>
      <c r="B1177" s="172">
        <f t="shared" si="37"/>
        <v>451</v>
      </c>
    </row>
    <row r="1178" spans="1:2" ht="30" customHeight="1">
      <c r="A1178" s="179" t="str">
        <f t="shared" si="36"/>
        <v>00/01/1900452</v>
      </c>
      <c r="B1178" s="172">
        <f t="shared" si="37"/>
        <v>452</v>
      </c>
    </row>
    <row r="1179" spans="1:2" ht="30" customHeight="1">
      <c r="A1179" s="179" t="str">
        <f t="shared" si="36"/>
        <v>00/01/1900453</v>
      </c>
      <c r="B1179" s="172">
        <f t="shared" si="37"/>
        <v>453</v>
      </c>
    </row>
    <row r="1180" spans="1:2" ht="30" customHeight="1">
      <c r="A1180" s="179" t="str">
        <f t="shared" si="36"/>
        <v>00/01/1900454</v>
      </c>
      <c r="B1180" s="172">
        <f t="shared" si="37"/>
        <v>454</v>
      </c>
    </row>
    <row r="1181" spans="1:2" ht="30" customHeight="1">
      <c r="A1181" s="179" t="str">
        <f t="shared" si="36"/>
        <v>00/01/1900455</v>
      </c>
      <c r="B1181" s="172">
        <f t="shared" si="37"/>
        <v>455</v>
      </c>
    </row>
    <row r="1182" spans="1:2" ht="30" customHeight="1">
      <c r="A1182" s="179" t="str">
        <f t="shared" si="36"/>
        <v>00/01/1900456</v>
      </c>
      <c r="B1182" s="172">
        <f t="shared" si="37"/>
        <v>456</v>
      </c>
    </row>
    <row r="1183" spans="1:2" ht="30" customHeight="1">
      <c r="A1183" s="179" t="str">
        <f t="shared" si="36"/>
        <v>00/01/1900457</v>
      </c>
      <c r="B1183" s="172">
        <f t="shared" si="37"/>
        <v>457</v>
      </c>
    </row>
    <row r="1184" spans="1:2" ht="30" customHeight="1">
      <c r="A1184" s="179" t="str">
        <f t="shared" si="36"/>
        <v>00/01/1900458</v>
      </c>
      <c r="B1184" s="172">
        <f t="shared" si="37"/>
        <v>458</v>
      </c>
    </row>
    <row r="1185" spans="1:2" ht="30" customHeight="1">
      <c r="A1185" s="179" t="str">
        <f t="shared" si="36"/>
        <v>00/01/1900459</v>
      </c>
      <c r="B1185" s="172">
        <f t="shared" si="37"/>
        <v>459</v>
      </c>
    </row>
    <row r="1186" spans="1:2" ht="30" customHeight="1">
      <c r="A1186" s="179" t="str">
        <f t="shared" si="36"/>
        <v>00/01/1900460</v>
      </c>
      <c r="B1186" s="172">
        <f t="shared" si="37"/>
        <v>460</v>
      </c>
    </row>
    <row r="1187" spans="1:2" ht="30" customHeight="1">
      <c r="A1187" s="179" t="str">
        <f t="shared" si="36"/>
        <v>00/01/1900461</v>
      </c>
      <c r="B1187" s="172">
        <f t="shared" si="37"/>
        <v>461</v>
      </c>
    </row>
    <row r="1188" spans="1:2" ht="30" customHeight="1">
      <c r="A1188" s="179" t="str">
        <f t="shared" si="36"/>
        <v>00/01/1900462</v>
      </c>
      <c r="B1188" s="172">
        <f t="shared" si="37"/>
        <v>462</v>
      </c>
    </row>
    <row r="1189" spans="1:2" ht="30" customHeight="1">
      <c r="A1189" s="179" t="str">
        <f t="shared" si="36"/>
        <v>00/01/1900463</v>
      </c>
      <c r="B1189" s="172">
        <f t="shared" si="37"/>
        <v>463</v>
      </c>
    </row>
    <row r="1190" spans="1:2" ht="30" customHeight="1">
      <c r="A1190" s="179" t="str">
        <f t="shared" si="36"/>
        <v>00/01/1900464</v>
      </c>
      <c r="B1190" s="172">
        <f t="shared" si="37"/>
        <v>464</v>
      </c>
    </row>
    <row r="1191" spans="1:2" ht="30" customHeight="1">
      <c r="A1191" s="179" t="str">
        <f t="shared" si="36"/>
        <v>00/01/1900465</v>
      </c>
      <c r="B1191" s="172">
        <f t="shared" si="37"/>
        <v>465</v>
      </c>
    </row>
    <row r="1192" spans="1:2" ht="30" customHeight="1">
      <c r="A1192" s="179" t="str">
        <f t="shared" si="36"/>
        <v>00/01/1900466</v>
      </c>
      <c r="B1192" s="172">
        <f t="shared" si="37"/>
        <v>466</v>
      </c>
    </row>
    <row r="1193" spans="1:2" ht="30" customHeight="1">
      <c r="A1193" s="179" t="str">
        <f t="shared" si="36"/>
        <v>00/01/1900467</v>
      </c>
      <c r="B1193" s="172">
        <f t="shared" si="37"/>
        <v>467</v>
      </c>
    </row>
    <row r="1194" spans="1:2" ht="30" customHeight="1">
      <c r="A1194" s="179" t="str">
        <f t="shared" si="36"/>
        <v>00/01/1900468</v>
      </c>
      <c r="B1194" s="172">
        <f t="shared" si="37"/>
        <v>468</v>
      </c>
    </row>
    <row r="1195" spans="1:2" ht="30" customHeight="1">
      <c r="A1195" s="179" t="str">
        <f t="shared" si="36"/>
        <v>00/01/1900469</v>
      </c>
      <c r="B1195" s="172">
        <f t="shared" si="37"/>
        <v>469</v>
      </c>
    </row>
    <row r="1196" spans="1:2" ht="30" customHeight="1">
      <c r="A1196" s="179" t="str">
        <f t="shared" si="36"/>
        <v>00/01/1900470</v>
      </c>
      <c r="B1196" s="172">
        <f t="shared" si="37"/>
        <v>470</v>
      </c>
    </row>
    <row r="1197" spans="1:2" ht="30" customHeight="1">
      <c r="A1197" s="179" t="str">
        <f t="shared" si="36"/>
        <v>00/01/1900471</v>
      </c>
      <c r="B1197" s="172">
        <f t="shared" si="37"/>
        <v>471</v>
      </c>
    </row>
    <row r="1198" spans="1:2" ht="30" customHeight="1">
      <c r="A1198" s="179" t="str">
        <f t="shared" si="36"/>
        <v>00/01/1900472</v>
      </c>
      <c r="B1198" s="172">
        <f t="shared" si="37"/>
        <v>472</v>
      </c>
    </row>
    <row r="1199" spans="1:2" ht="30" customHeight="1">
      <c r="A1199" s="179" t="str">
        <f t="shared" si="36"/>
        <v>00/01/1900473</v>
      </c>
      <c r="B1199" s="172">
        <f t="shared" si="37"/>
        <v>473</v>
      </c>
    </row>
    <row r="1200" spans="1:2" ht="30" customHeight="1">
      <c r="A1200" s="179" t="str">
        <f t="shared" si="36"/>
        <v>00/01/1900474</v>
      </c>
      <c r="B1200" s="172">
        <f t="shared" si="37"/>
        <v>474</v>
      </c>
    </row>
    <row r="1201" spans="1:2" ht="30" customHeight="1">
      <c r="A1201" s="179" t="str">
        <f t="shared" si="36"/>
        <v>00/01/1900475</v>
      </c>
      <c r="B1201" s="172">
        <f t="shared" si="37"/>
        <v>475</v>
      </c>
    </row>
    <row r="1202" spans="1:2" ht="30" customHeight="1">
      <c r="A1202" s="179" t="str">
        <f t="shared" si="36"/>
        <v>00/01/1900476</v>
      </c>
      <c r="B1202" s="172">
        <f t="shared" si="37"/>
        <v>476</v>
      </c>
    </row>
    <row r="1203" spans="1:2" ht="30" customHeight="1">
      <c r="A1203" s="179" t="str">
        <f t="shared" si="36"/>
        <v>00/01/1900477</v>
      </c>
      <c r="B1203" s="172">
        <f t="shared" si="37"/>
        <v>477</v>
      </c>
    </row>
    <row r="1204" spans="1:2" ht="30" customHeight="1">
      <c r="A1204" s="179" t="str">
        <f t="shared" si="36"/>
        <v>00/01/1900478</v>
      </c>
      <c r="B1204" s="172">
        <f t="shared" si="37"/>
        <v>478</v>
      </c>
    </row>
    <row r="1205" spans="1:2" ht="30" customHeight="1">
      <c r="A1205" s="179" t="str">
        <f t="shared" si="36"/>
        <v>00/01/1900479</v>
      </c>
      <c r="B1205" s="172">
        <f t="shared" si="37"/>
        <v>479</v>
      </c>
    </row>
    <row r="1206" spans="1:2" ht="30" customHeight="1">
      <c r="A1206" s="179" t="str">
        <f t="shared" si="36"/>
        <v>00/01/1900480</v>
      </c>
      <c r="B1206" s="172">
        <f t="shared" si="37"/>
        <v>480</v>
      </c>
    </row>
    <row r="1207" spans="1:2" ht="30" customHeight="1">
      <c r="A1207" s="179" t="str">
        <f t="shared" si="36"/>
        <v>00/01/1900481</v>
      </c>
      <c r="B1207" s="172">
        <f t="shared" si="37"/>
        <v>481</v>
      </c>
    </row>
    <row r="1208" spans="1:2" ht="30" customHeight="1">
      <c r="A1208" s="179" t="str">
        <f t="shared" si="36"/>
        <v>00/01/1900482</v>
      </c>
      <c r="B1208" s="172">
        <f t="shared" si="37"/>
        <v>482</v>
      </c>
    </row>
    <row r="1209" spans="1:2" ht="30" customHeight="1">
      <c r="A1209" s="179" t="str">
        <f t="shared" si="36"/>
        <v>00/01/1900483</v>
      </c>
      <c r="B1209" s="172">
        <f t="shared" si="37"/>
        <v>483</v>
      </c>
    </row>
    <row r="1210" spans="1:2" ht="30" customHeight="1">
      <c r="A1210" s="179" t="str">
        <f t="shared" si="36"/>
        <v>00/01/1900484</v>
      </c>
      <c r="B1210" s="172">
        <f t="shared" si="37"/>
        <v>484</v>
      </c>
    </row>
    <row r="1211" spans="1:2" ht="30" customHeight="1">
      <c r="A1211" s="179" t="str">
        <f t="shared" si="36"/>
        <v>00/01/1900485</v>
      </c>
      <c r="B1211" s="172">
        <f t="shared" si="37"/>
        <v>485</v>
      </c>
    </row>
    <row r="1212" spans="1:2" ht="30" customHeight="1">
      <c r="A1212" s="179" t="str">
        <f t="shared" si="36"/>
        <v>00/01/1900486</v>
      </c>
      <c r="B1212" s="172">
        <f t="shared" si="37"/>
        <v>486</v>
      </c>
    </row>
    <row r="1213" spans="1:2" ht="30" customHeight="1">
      <c r="A1213" s="179" t="str">
        <f t="shared" si="36"/>
        <v>00/01/1900487</v>
      </c>
      <c r="B1213" s="172">
        <f t="shared" si="37"/>
        <v>487</v>
      </c>
    </row>
    <row r="1214" spans="1:2" ht="30" customHeight="1">
      <c r="A1214" s="179" t="str">
        <f t="shared" si="36"/>
        <v>00/01/1900488</v>
      </c>
      <c r="B1214" s="172">
        <f t="shared" si="37"/>
        <v>488</v>
      </c>
    </row>
    <row r="1215" spans="1:2" ht="30" customHeight="1">
      <c r="A1215" s="179" t="str">
        <f t="shared" si="36"/>
        <v>00/01/1900489</v>
      </c>
      <c r="B1215" s="172">
        <f t="shared" si="37"/>
        <v>489</v>
      </c>
    </row>
    <row r="1216" spans="1:2" ht="30" customHeight="1">
      <c r="A1216" s="179" t="str">
        <f t="shared" si="36"/>
        <v>00/01/1900490</v>
      </c>
      <c r="B1216" s="172">
        <f t="shared" si="37"/>
        <v>490</v>
      </c>
    </row>
    <row r="1217" spans="1:2" ht="30" customHeight="1">
      <c r="A1217" s="179" t="str">
        <f t="shared" si="36"/>
        <v>00/01/1900491</v>
      </c>
      <c r="B1217" s="172">
        <f t="shared" si="37"/>
        <v>491</v>
      </c>
    </row>
    <row r="1218" spans="1:2" ht="30" customHeight="1">
      <c r="A1218" s="179" t="str">
        <f t="shared" si="36"/>
        <v>00/01/1900492</v>
      </c>
      <c r="B1218" s="172">
        <f t="shared" si="37"/>
        <v>492</v>
      </c>
    </row>
    <row r="1219" spans="1:2" ht="30" customHeight="1">
      <c r="A1219" s="179" t="str">
        <f t="shared" ref="A1219:A1282" si="38">CONCATENATE(TEXT($G1219,"dd/mm/yyyy"),$B1219)</f>
        <v>00/01/1900493</v>
      </c>
      <c r="B1219" s="172">
        <f t="shared" si="37"/>
        <v>493</v>
      </c>
    </row>
    <row r="1220" spans="1:2" ht="30" customHeight="1">
      <c r="A1220" s="179" t="str">
        <f t="shared" si="38"/>
        <v>00/01/1900494</v>
      </c>
      <c r="B1220" s="172">
        <f t="shared" ref="B1220:B1283" si="39">IF($G1220=$G1219,$B1219+1,1)</f>
        <v>494</v>
      </c>
    </row>
    <row r="1221" spans="1:2" ht="30" customHeight="1">
      <c r="A1221" s="179" t="str">
        <f t="shared" si="38"/>
        <v>00/01/1900495</v>
      </c>
      <c r="B1221" s="172">
        <f t="shared" si="39"/>
        <v>495</v>
      </c>
    </row>
    <row r="1222" spans="1:2" ht="30" customHeight="1">
      <c r="A1222" s="179" t="str">
        <f t="shared" si="38"/>
        <v>00/01/1900496</v>
      </c>
      <c r="B1222" s="172">
        <f t="shared" si="39"/>
        <v>496</v>
      </c>
    </row>
    <row r="1223" spans="1:2" ht="30" customHeight="1">
      <c r="A1223" s="179" t="str">
        <f t="shared" si="38"/>
        <v>00/01/1900497</v>
      </c>
      <c r="B1223" s="172">
        <f t="shared" si="39"/>
        <v>497</v>
      </c>
    </row>
    <row r="1224" spans="1:2" ht="30" customHeight="1">
      <c r="A1224" s="179" t="str">
        <f t="shared" si="38"/>
        <v>00/01/1900498</v>
      </c>
      <c r="B1224" s="172">
        <f t="shared" si="39"/>
        <v>498</v>
      </c>
    </row>
    <row r="1225" spans="1:2" ht="30" customHeight="1">
      <c r="A1225" s="179" t="str">
        <f t="shared" si="38"/>
        <v>00/01/1900499</v>
      </c>
      <c r="B1225" s="172">
        <f t="shared" si="39"/>
        <v>499</v>
      </c>
    </row>
    <row r="1226" spans="1:2" ht="30" customHeight="1">
      <c r="A1226" s="179" t="str">
        <f t="shared" si="38"/>
        <v>00/01/1900500</v>
      </c>
      <c r="B1226" s="172">
        <f t="shared" si="39"/>
        <v>500</v>
      </c>
    </row>
    <row r="1227" spans="1:2" ht="30" customHeight="1">
      <c r="A1227" s="179" t="str">
        <f t="shared" si="38"/>
        <v>00/01/1900501</v>
      </c>
      <c r="B1227" s="172">
        <f t="shared" si="39"/>
        <v>501</v>
      </c>
    </row>
    <row r="1228" spans="1:2" ht="30" customHeight="1">
      <c r="A1228" s="179" t="str">
        <f t="shared" si="38"/>
        <v>00/01/1900502</v>
      </c>
      <c r="B1228" s="172">
        <f t="shared" si="39"/>
        <v>502</v>
      </c>
    </row>
    <row r="1229" spans="1:2" ht="30" customHeight="1">
      <c r="A1229" s="179" t="str">
        <f t="shared" si="38"/>
        <v>00/01/1900503</v>
      </c>
      <c r="B1229" s="172">
        <f t="shared" si="39"/>
        <v>503</v>
      </c>
    </row>
    <row r="1230" spans="1:2" ht="30" customHeight="1">
      <c r="A1230" s="179" t="str">
        <f t="shared" si="38"/>
        <v>00/01/1900504</v>
      </c>
      <c r="B1230" s="172">
        <f t="shared" si="39"/>
        <v>504</v>
      </c>
    </row>
    <row r="1231" spans="1:2" ht="30" customHeight="1">
      <c r="A1231" s="179" t="str">
        <f t="shared" si="38"/>
        <v>00/01/1900505</v>
      </c>
      <c r="B1231" s="172">
        <f t="shared" si="39"/>
        <v>505</v>
      </c>
    </row>
    <row r="1232" spans="1:2" ht="30" customHeight="1">
      <c r="A1232" s="179" t="str">
        <f t="shared" si="38"/>
        <v>00/01/1900506</v>
      </c>
      <c r="B1232" s="172">
        <f t="shared" si="39"/>
        <v>506</v>
      </c>
    </row>
    <row r="1233" spans="1:2" ht="30" customHeight="1">
      <c r="A1233" s="179" t="str">
        <f t="shared" si="38"/>
        <v>00/01/1900507</v>
      </c>
      <c r="B1233" s="172">
        <f t="shared" si="39"/>
        <v>507</v>
      </c>
    </row>
    <row r="1234" spans="1:2" ht="30" customHeight="1">
      <c r="A1234" s="179" t="str">
        <f t="shared" si="38"/>
        <v>00/01/1900508</v>
      </c>
      <c r="B1234" s="172">
        <f t="shared" si="39"/>
        <v>508</v>
      </c>
    </row>
    <row r="1235" spans="1:2" ht="30" customHeight="1">
      <c r="A1235" s="179" t="str">
        <f t="shared" si="38"/>
        <v>00/01/1900509</v>
      </c>
      <c r="B1235" s="172">
        <f t="shared" si="39"/>
        <v>509</v>
      </c>
    </row>
    <row r="1236" spans="1:2" ht="30" customHeight="1">
      <c r="A1236" s="179" t="str">
        <f t="shared" si="38"/>
        <v>00/01/1900510</v>
      </c>
      <c r="B1236" s="172">
        <f t="shared" si="39"/>
        <v>510</v>
      </c>
    </row>
    <row r="1237" spans="1:2" ht="30" customHeight="1">
      <c r="A1237" s="179" t="str">
        <f t="shared" si="38"/>
        <v>00/01/1900511</v>
      </c>
      <c r="B1237" s="172">
        <f t="shared" si="39"/>
        <v>511</v>
      </c>
    </row>
    <row r="1238" spans="1:2" ht="30" customHeight="1">
      <c r="A1238" s="179" t="str">
        <f t="shared" si="38"/>
        <v>00/01/1900512</v>
      </c>
      <c r="B1238" s="172">
        <f t="shared" si="39"/>
        <v>512</v>
      </c>
    </row>
    <row r="1239" spans="1:2" ht="30" customHeight="1">
      <c r="A1239" s="179" t="str">
        <f t="shared" si="38"/>
        <v>00/01/1900513</v>
      </c>
      <c r="B1239" s="172">
        <f t="shared" si="39"/>
        <v>513</v>
      </c>
    </row>
    <row r="1240" spans="1:2" ht="30" customHeight="1">
      <c r="A1240" s="179" t="str">
        <f t="shared" si="38"/>
        <v>00/01/1900514</v>
      </c>
      <c r="B1240" s="172">
        <f t="shared" si="39"/>
        <v>514</v>
      </c>
    </row>
    <row r="1241" spans="1:2" ht="30" customHeight="1">
      <c r="A1241" s="179" t="str">
        <f t="shared" si="38"/>
        <v>00/01/1900515</v>
      </c>
      <c r="B1241" s="172">
        <f t="shared" si="39"/>
        <v>515</v>
      </c>
    </row>
    <row r="1242" spans="1:2" ht="30" customHeight="1">
      <c r="A1242" s="179" t="str">
        <f t="shared" si="38"/>
        <v>00/01/1900516</v>
      </c>
      <c r="B1242" s="172">
        <f t="shared" si="39"/>
        <v>516</v>
      </c>
    </row>
    <row r="1243" spans="1:2" ht="30" customHeight="1">
      <c r="A1243" s="179" t="str">
        <f t="shared" si="38"/>
        <v>00/01/1900517</v>
      </c>
      <c r="B1243" s="172">
        <f t="shared" si="39"/>
        <v>517</v>
      </c>
    </row>
    <row r="1244" spans="1:2" ht="30" customHeight="1">
      <c r="A1244" s="179" t="str">
        <f t="shared" si="38"/>
        <v>00/01/1900518</v>
      </c>
      <c r="B1244" s="172">
        <f t="shared" si="39"/>
        <v>518</v>
      </c>
    </row>
    <row r="1245" spans="1:2" ht="30" customHeight="1">
      <c r="A1245" s="179" t="str">
        <f t="shared" si="38"/>
        <v>00/01/1900519</v>
      </c>
      <c r="B1245" s="172">
        <f t="shared" si="39"/>
        <v>519</v>
      </c>
    </row>
    <row r="1246" spans="1:2" ht="30" customHeight="1">
      <c r="A1246" s="179" t="str">
        <f t="shared" si="38"/>
        <v>00/01/1900520</v>
      </c>
      <c r="B1246" s="172">
        <f t="shared" si="39"/>
        <v>520</v>
      </c>
    </row>
    <row r="1247" spans="1:2" ht="30" customHeight="1">
      <c r="A1247" s="179" t="str">
        <f t="shared" si="38"/>
        <v>00/01/1900521</v>
      </c>
      <c r="B1247" s="172">
        <f t="shared" si="39"/>
        <v>521</v>
      </c>
    </row>
    <row r="1248" spans="1:2" ht="30" customHeight="1">
      <c r="A1248" s="179" t="str">
        <f t="shared" si="38"/>
        <v>00/01/1900522</v>
      </c>
      <c r="B1248" s="172">
        <f t="shared" si="39"/>
        <v>522</v>
      </c>
    </row>
    <row r="1249" spans="1:2" ht="30" customHeight="1">
      <c r="A1249" s="179" t="str">
        <f t="shared" si="38"/>
        <v>00/01/1900523</v>
      </c>
      <c r="B1249" s="172">
        <f t="shared" si="39"/>
        <v>523</v>
      </c>
    </row>
    <row r="1250" spans="1:2" ht="30" customHeight="1">
      <c r="A1250" s="179" t="str">
        <f t="shared" si="38"/>
        <v>00/01/1900524</v>
      </c>
      <c r="B1250" s="172">
        <f t="shared" si="39"/>
        <v>524</v>
      </c>
    </row>
    <row r="1251" spans="1:2" ht="30" customHeight="1">
      <c r="A1251" s="179" t="str">
        <f t="shared" si="38"/>
        <v>00/01/1900525</v>
      </c>
      <c r="B1251" s="172">
        <f t="shared" si="39"/>
        <v>525</v>
      </c>
    </row>
    <row r="1252" spans="1:2" ht="30" customHeight="1">
      <c r="A1252" s="179" t="str">
        <f t="shared" si="38"/>
        <v>00/01/1900526</v>
      </c>
      <c r="B1252" s="172">
        <f t="shared" si="39"/>
        <v>526</v>
      </c>
    </row>
    <row r="1253" spans="1:2" ht="30" customHeight="1">
      <c r="A1253" s="179" t="str">
        <f t="shared" si="38"/>
        <v>00/01/1900527</v>
      </c>
      <c r="B1253" s="172">
        <f t="shared" si="39"/>
        <v>527</v>
      </c>
    </row>
    <row r="1254" spans="1:2" ht="30" customHeight="1">
      <c r="A1254" s="179" t="str">
        <f t="shared" si="38"/>
        <v>00/01/1900528</v>
      </c>
      <c r="B1254" s="172">
        <f t="shared" si="39"/>
        <v>528</v>
      </c>
    </row>
    <row r="1255" spans="1:2" ht="30" customHeight="1">
      <c r="A1255" s="179" t="str">
        <f t="shared" si="38"/>
        <v>00/01/1900529</v>
      </c>
      <c r="B1255" s="172">
        <f t="shared" si="39"/>
        <v>529</v>
      </c>
    </row>
    <row r="1256" spans="1:2" ht="30" customHeight="1">
      <c r="A1256" s="179" t="str">
        <f t="shared" si="38"/>
        <v>00/01/1900530</v>
      </c>
      <c r="B1256" s="172">
        <f t="shared" si="39"/>
        <v>530</v>
      </c>
    </row>
    <row r="1257" spans="1:2" ht="30" customHeight="1">
      <c r="A1257" s="179" t="str">
        <f t="shared" si="38"/>
        <v>00/01/1900531</v>
      </c>
      <c r="B1257" s="172">
        <f t="shared" si="39"/>
        <v>531</v>
      </c>
    </row>
    <row r="1258" spans="1:2" ht="30" customHeight="1">
      <c r="A1258" s="179" t="str">
        <f t="shared" si="38"/>
        <v>00/01/1900532</v>
      </c>
      <c r="B1258" s="172">
        <f t="shared" si="39"/>
        <v>532</v>
      </c>
    </row>
    <row r="1259" spans="1:2" ht="30" customHeight="1">
      <c r="A1259" s="179" t="str">
        <f t="shared" si="38"/>
        <v>00/01/1900533</v>
      </c>
      <c r="B1259" s="172">
        <f t="shared" si="39"/>
        <v>533</v>
      </c>
    </row>
    <row r="1260" spans="1:2" ht="30" customHeight="1">
      <c r="A1260" s="179" t="str">
        <f t="shared" si="38"/>
        <v>00/01/1900534</v>
      </c>
      <c r="B1260" s="172">
        <f t="shared" si="39"/>
        <v>534</v>
      </c>
    </row>
    <row r="1261" spans="1:2" ht="30" customHeight="1">
      <c r="A1261" s="179" t="str">
        <f t="shared" si="38"/>
        <v>00/01/1900535</v>
      </c>
      <c r="B1261" s="172">
        <f t="shared" si="39"/>
        <v>535</v>
      </c>
    </row>
    <row r="1262" spans="1:2" ht="30" customHeight="1">
      <c r="A1262" s="179" t="str">
        <f t="shared" si="38"/>
        <v>00/01/1900536</v>
      </c>
      <c r="B1262" s="172">
        <f t="shared" si="39"/>
        <v>536</v>
      </c>
    </row>
    <row r="1263" spans="1:2" ht="30" customHeight="1">
      <c r="A1263" s="179" t="str">
        <f t="shared" si="38"/>
        <v>00/01/1900537</v>
      </c>
      <c r="B1263" s="172">
        <f t="shared" si="39"/>
        <v>537</v>
      </c>
    </row>
    <row r="1264" spans="1:2" ht="30" customHeight="1">
      <c r="A1264" s="179" t="str">
        <f t="shared" si="38"/>
        <v>00/01/1900538</v>
      </c>
      <c r="B1264" s="172">
        <f t="shared" si="39"/>
        <v>538</v>
      </c>
    </row>
    <row r="1265" spans="1:2" ht="30" customHeight="1">
      <c r="A1265" s="179" t="str">
        <f t="shared" si="38"/>
        <v>00/01/1900539</v>
      </c>
      <c r="B1265" s="172">
        <f t="shared" si="39"/>
        <v>539</v>
      </c>
    </row>
    <row r="1266" spans="1:2" ht="30" customHeight="1">
      <c r="A1266" s="179" t="str">
        <f t="shared" si="38"/>
        <v>00/01/1900540</v>
      </c>
      <c r="B1266" s="172">
        <f t="shared" si="39"/>
        <v>540</v>
      </c>
    </row>
    <row r="1267" spans="1:2" ht="30" customHeight="1">
      <c r="A1267" s="179" t="str">
        <f t="shared" si="38"/>
        <v>00/01/1900541</v>
      </c>
      <c r="B1267" s="172">
        <f t="shared" si="39"/>
        <v>541</v>
      </c>
    </row>
    <row r="1268" spans="1:2" ht="30" customHeight="1">
      <c r="A1268" s="179" t="str">
        <f t="shared" si="38"/>
        <v>00/01/1900542</v>
      </c>
      <c r="B1268" s="172">
        <f t="shared" si="39"/>
        <v>542</v>
      </c>
    </row>
    <row r="1269" spans="1:2" ht="30" customHeight="1">
      <c r="A1269" s="179" t="str">
        <f t="shared" si="38"/>
        <v>00/01/1900543</v>
      </c>
      <c r="B1269" s="172">
        <f t="shared" si="39"/>
        <v>543</v>
      </c>
    </row>
    <row r="1270" spans="1:2" ht="30" customHeight="1">
      <c r="A1270" s="179" t="str">
        <f t="shared" si="38"/>
        <v>00/01/1900544</v>
      </c>
      <c r="B1270" s="172">
        <f t="shared" si="39"/>
        <v>544</v>
      </c>
    </row>
    <row r="1271" spans="1:2" ht="30" customHeight="1">
      <c r="A1271" s="179" t="str">
        <f t="shared" si="38"/>
        <v>00/01/1900545</v>
      </c>
      <c r="B1271" s="172">
        <f t="shared" si="39"/>
        <v>545</v>
      </c>
    </row>
    <row r="1272" spans="1:2" ht="30" customHeight="1">
      <c r="A1272" s="179" t="str">
        <f t="shared" si="38"/>
        <v>00/01/1900546</v>
      </c>
      <c r="B1272" s="172">
        <f t="shared" si="39"/>
        <v>546</v>
      </c>
    </row>
    <row r="1273" spans="1:2" ht="30" customHeight="1">
      <c r="A1273" s="179" t="str">
        <f t="shared" si="38"/>
        <v>00/01/1900547</v>
      </c>
      <c r="B1273" s="172">
        <f t="shared" si="39"/>
        <v>547</v>
      </c>
    </row>
    <row r="1274" spans="1:2" ht="30" customHeight="1">
      <c r="A1274" s="179" t="str">
        <f t="shared" si="38"/>
        <v>00/01/1900548</v>
      </c>
      <c r="B1274" s="172">
        <f t="shared" si="39"/>
        <v>548</v>
      </c>
    </row>
    <row r="1275" spans="1:2" ht="30" customHeight="1">
      <c r="A1275" s="179" t="str">
        <f t="shared" si="38"/>
        <v>00/01/1900549</v>
      </c>
      <c r="B1275" s="172">
        <f t="shared" si="39"/>
        <v>549</v>
      </c>
    </row>
    <row r="1276" spans="1:2" ht="30" customHeight="1">
      <c r="A1276" s="179" t="str">
        <f t="shared" si="38"/>
        <v>00/01/1900550</v>
      </c>
      <c r="B1276" s="172">
        <f t="shared" si="39"/>
        <v>550</v>
      </c>
    </row>
    <row r="1277" spans="1:2" ht="30" customHeight="1">
      <c r="A1277" s="179" t="str">
        <f t="shared" si="38"/>
        <v>00/01/1900551</v>
      </c>
      <c r="B1277" s="172">
        <f t="shared" si="39"/>
        <v>551</v>
      </c>
    </row>
    <row r="1278" spans="1:2" ht="30" customHeight="1">
      <c r="A1278" s="179" t="str">
        <f t="shared" si="38"/>
        <v>00/01/1900552</v>
      </c>
      <c r="B1278" s="172">
        <f t="shared" si="39"/>
        <v>552</v>
      </c>
    </row>
    <row r="1279" spans="1:2" ht="30" customHeight="1">
      <c r="A1279" s="179" t="str">
        <f t="shared" si="38"/>
        <v>00/01/1900553</v>
      </c>
      <c r="B1279" s="172">
        <f t="shared" si="39"/>
        <v>553</v>
      </c>
    </row>
    <row r="1280" spans="1:2" ht="30" customHeight="1">
      <c r="A1280" s="179" t="str">
        <f t="shared" si="38"/>
        <v>00/01/1900554</v>
      </c>
      <c r="B1280" s="172">
        <f t="shared" si="39"/>
        <v>554</v>
      </c>
    </row>
    <row r="1281" spans="1:2" ht="30" customHeight="1">
      <c r="A1281" s="179" t="str">
        <f t="shared" si="38"/>
        <v>00/01/1900555</v>
      </c>
      <c r="B1281" s="172">
        <f t="shared" si="39"/>
        <v>555</v>
      </c>
    </row>
    <row r="1282" spans="1:2" ht="30" customHeight="1">
      <c r="A1282" s="179" t="str">
        <f t="shared" si="38"/>
        <v>00/01/1900556</v>
      </c>
      <c r="B1282" s="172">
        <f t="shared" si="39"/>
        <v>556</v>
      </c>
    </row>
    <row r="1283" spans="1:2" ht="30" customHeight="1">
      <c r="A1283" s="179" t="str">
        <f t="shared" ref="A1283:A1346" si="40">CONCATENATE(TEXT($G1283,"dd/mm/yyyy"),$B1283)</f>
        <v>00/01/1900557</v>
      </c>
      <c r="B1283" s="172">
        <f t="shared" si="39"/>
        <v>557</v>
      </c>
    </row>
    <row r="1284" spans="1:2" ht="30" customHeight="1">
      <c r="A1284" s="179" t="str">
        <f t="shared" si="40"/>
        <v>00/01/1900558</v>
      </c>
      <c r="B1284" s="172">
        <f t="shared" ref="B1284:B1347" si="41">IF($G1284=$G1283,$B1283+1,1)</f>
        <v>558</v>
      </c>
    </row>
    <row r="1285" spans="1:2" ht="30" customHeight="1">
      <c r="A1285" s="179" t="str">
        <f t="shared" si="40"/>
        <v>00/01/1900559</v>
      </c>
      <c r="B1285" s="172">
        <f t="shared" si="41"/>
        <v>559</v>
      </c>
    </row>
    <row r="1286" spans="1:2" ht="30" customHeight="1">
      <c r="A1286" s="179" t="str">
        <f t="shared" si="40"/>
        <v>00/01/1900560</v>
      </c>
      <c r="B1286" s="172">
        <f t="shared" si="41"/>
        <v>560</v>
      </c>
    </row>
    <row r="1287" spans="1:2" ht="30" customHeight="1">
      <c r="A1287" s="179" t="str">
        <f t="shared" si="40"/>
        <v>00/01/1900561</v>
      </c>
      <c r="B1287" s="172">
        <f t="shared" si="41"/>
        <v>561</v>
      </c>
    </row>
    <row r="1288" spans="1:2" ht="30" customHeight="1">
      <c r="A1288" s="179" t="str">
        <f t="shared" si="40"/>
        <v>00/01/1900562</v>
      </c>
      <c r="B1288" s="172">
        <f t="shared" si="41"/>
        <v>562</v>
      </c>
    </row>
    <row r="1289" spans="1:2" ht="30" customHeight="1">
      <c r="A1289" s="179" t="str">
        <f t="shared" si="40"/>
        <v>00/01/1900563</v>
      </c>
      <c r="B1289" s="172">
        <f t="shared" si="41"/>
        <v>563</v>
      </c>
    </row>
    <row r="1290" spans="1:2" ht="30" customHeight="1">
      <c r="A1290" s="179" t="str">
        <f t="shared" si="40"/>
        <v>00/01/1900564</v>
      </c>
      <c r="B1290" s="172">
        <f t="shared" si="41"/>
        <v>564</v>
      </c>
    </row>
    <row r="1291" spans="1:2" ht="30" customHeight="1">
      <c r="A1291" s="179" t="str">
        <f t="shared" si="40"/>
        <v>00/01/1900565</v>
      </c>
      <c r="B1291" s="172">
        <f t="shared" si="41"/>
        <v>565</v>
      </c>
    </row>
    <row r="1292" spans="1:2" ht="30" customHeight="1">
      <c r="A1292" s="179" t="str">
        <f t="shared" si="40"/>
        <v>00/01/1900566</v>
      </c>
      <c r="B1292" s="172">
        <f t="shared" si="41"/>
        <v>566</v>
      </c>
    </row>
    <row r="1293" spans="1:2" ht="30" customHeight="1">
      <c r="A1293" s="179" t="str">
        <f t="shared" si="40"/>
        <v>00/01/1900567</v>
      </c>
      <c r="B1293" s="172">
        <f t="shared" si="41"/>
        <v>567</v>
      </c>
    </row>
    <row r="1294" spans="1:2" ht="30" customHeight="1">
      <c r="A1294" s="179" t="str">
        <f t="shared" si="40"/>
        <v>00/01/1900568</v>
      </c>
      <c r="B1294" s="172">
        <f t="shared" si="41"/>
        <v>568</v>
      </c>
    </row>
    <row r="1295" spans="1:2" ht="30" customHeight="1">
      <c r="A1295" s="179" t="str">
        <f t="shared" si="40"/>
        <v>00/01/1900569</v>
      </c>
      <c r="B1295" s="172">
        <f t="shared" si="41"/>
        <v>569</v>
      </c>
    </row>
    <row r="1296" spans="1:2" ht="30" customHeight="1">
      <c r="A1296" s="179" t="str">
        <f t="shared" si="40"/>
        <v>00/01/1900570</v>
      </c>
      <c r="B1296" s="172">
        <f t="shared" si="41"/>
        <v>570</v>
      </c>
    </row>
    <row r="1297" spans="1:2" ht="30" customHeight="1">
      <c r="A1297" s="179" t="str">
        <f t="shared" si="40"/>
        <v>00/01/1900571</v>
      </c>
      <c r="B1297" s="172">
        <f t="shared" si="41"/>
        <v>571</v>
      </c>
    </row>
    <row r="1298" spans="1:2" ht="30" customHeight="1">
      <c r="A1298" s="179" t="str">
        <f t="shared" si="40"/>
        <v>00/01/1900572</v>
      </c>
      <c r="B1298" s="172">
        <f t="shared" si="41"/>
        <v>572</v>
      </c>
    </row>
    <row r="1299" spans="1:2" ht="30" customHeight="1">
      <c r="A1299" s="179" t="str">
        <f t="shared" si="40"/>
        <v>00/01/1900573</v>
      </c>
      <c r="B1299" s="172">
        <f t="shared" si="41"/>
        <v>573</v>
      </c>
    </row>
    <row r="1300" spans="1:2" ht="30" customHeight="1">
      <c r="A1300" s="179" t="str">
        <f t="shared" si="40"/>
        <v>00/01/1900574</v>
      </c>
      <c r="B1300" s="172">
        <f t="shared" si="41"/>
        <v>574</v>
      </c>
    </row>
    <row r="1301" spans="1:2" ht="30" customHeight="1">
      <c r="A1301" s="179" t="str">
        <f t="shared" si="40"/>
        <v>00/01/1900575</v>
      </c>
      <c r="B1301" s="172">
        <f t="shared" si="41"/>
        <v>575</v>
      </c>
    </row>
    <row r="1302" spans="1:2" ht="30" customHeight="1">
      <c r="A1302" s="179" t="str">
        <f t="shared" si="40"/>
        <v>00/01/1900576</v>
      </c>
      <c r="B1302" s="172">
        <f t="shared" si="41"/>
        <v>576</v>
      </c>
    </row>
    <row r="1303" spans="1:2" ht="30" customHeight="1">
      <c r="A1303" s="179" t="str">
        <f t="shared" si="40"/>
        <v>00/01/1900577</v>
      </c>
      <c r="B1303" s="172">
        <f t="shared" si="41"/>
        <v>577</v>
      </c>
    </row>
    <row r="1304" spans="1:2" ht="30" customHeight="1">
      <c r="A1304" s="179" t="str">
        <f t="shared" si="40"/>
        <v>00/01/1900578</v>
      </c>
      <c r="B1304" s="172">
        <f t="shared" si="41"/>
        <v>578</v>
      </c>
    </row>
    <row r="1305" spans="1:2" ht="30" customHeight="1">
      <c r="A1305" s="179" t="str">
        <f t="shared" si="40"/>
        <v>00/01/1900579</v>
      </c>
      <c r="B1305" s="172">
        <f t="shared" si="41"/>
        <v>579</v>
      </c>
    </row>
    <row r="1306" spans="1:2" ht="30" customHeight="1">
      <c r="A1306" s="179" t="str">
        <f t="shared" si="40"/>
        <v>00/01/1900580</v>
      </c>
      <c r="B1306" s="172">
        <f t="shared" si="41"/>
        <v>580</v>
      </c>
    </row>
    <row r="1307" spans="1:2" ht="30" customHeight="1">
      <c r="A1307" s="179" t="str">
        <f t="shared" si="40"/>
        <v>00/01/1900581</v>
      </c>
      <c r="B1307" s="172">
        <f t="shared" si="41"/>
        <v>581</v>
      </c>
    </row>
    <row r="1308" spans="1:2" ht="30" customHeight="1">
      <c r="A1308" s="179" t="str">
        <f t="shared" si="40"/>
        <v>00/01/1900582</v>
      </c>
      <c r="B1308" s="172">
        <f t="shared" si="41"/>
        <v>582</v>
      </c>
    </row>
    <row r="1309" spans="1:2" ht="30" customHeight="1">
      <c r="A1309" s="179" t="str">
        <f t="shared" si="40"/>
        <v>00/01/1900583</v>
      </c>
      <c r="B1309" s="172">
        <f t="shared" si="41"/>
        <v>583</v>
      </c>
    </row>
    <row r="1310" spans="1:2" ht="30" customHeight="1">
      <c r="A1310" s="179" t="str">
        <f t="shared" si="40"/>
        <v>00/01/1900584</v>
      </c>
      <c r="B1310" s="172">
        <f t="shared" si="41"/>
        <v>584</v>
      </c>
    </row>
    <row r="1311" spans="1:2" ht="30" customHeight="1">
      <c r="A1311" s="179" t="str">
        <f t="shared" si="40"/>
        <v>00/01/1900585</v>
      </c>
      <c r="B1311" s="172">
        <f t="shared" si="41"/>
        <v>585</v>
      </c>
    </row>
    <row r="1312" spans="1:2" ht="30" customHeight="1">
      <c r="A1312" s="179" t="str">
        <f t="shared" si="40"/>
        <v>00/01/1900586</v>
      </c>
      <c r="B1312" s="172">
        <f t="shared" si="41"/>
        <v>586</v>
      </c>
    </row>
    <row r="1313" spans="1:2" ht="30" customHeight="1">
      <c r="A1313" s="179" t="str">
        <f t="shared" si="40"/>
        <v>00/01/1900587</v>
      </c>
      <c r="B1313" s="172">
        <f t="shared" si="41"/>
        <v>587</v>
      </c>
    </row>
    <row r="1314" spans="1:2" ht="30" customHeight="1">
      <c r="A1314" s="179" t="str">
        <f t="shared" si="40"/>
        <v>00/01/1900588</v>
      </c>
      <c r="B1314" s="172">
        <f t="shared" si="41"/>
        <v>588</v>
      </c>
    </row>
    <row r="1315" spans="1:2" ht="30" customHeight="1">
      <c r="A1315" s="179" t="str">
        <f t="shared" si="40"/>
        <v>00/01/1900589</v>
      </c>
      <c r="B1315" s="172">
        <f t="shared" si="41"/>
        <v>589</v>
      </c>
    </row>
    <row r="1316" spans="1:2" ht="30" customHeight="1">
      <c r="A1316" s="179" t="str">
        <f t="shared" si="40"/>
        <v>00/01/1900590</v>
      </c>
      <c r="B1316" s="172">
        <f t="shared" si="41"/>
        <v>590</v>
      </c>
    </row>
    <row r="1317" spans="1:2" ht="30" customHeight="1">
      <c r="A1317" s="179" t="str">
        <f t="shared" si="40"/>
        <v>00/01/1900591</v>
      </c>
      <c r="B1317" s="172">
        <f t="shared" si="41"/>
        <v>591</v>
      </c>
    </row>
    <row r="1318" spans="1:2" ht="30" customHeight="1">
      <c r="A1318" s="179" t="str">
        <f t="shared" si="40"/>
        <v>00/01/1900592</v>
      </c>
      <c r="B1318" s="172">
        <f t="shared" si="41"/>
        <v>592</v>
      </c>
    </row>
    <row r="1319" spans="1:2" ht="30" customHeight="1">
      <c r="A1319" s="179" t="str">
        <f t="shared" si="40"/>
        <v>00/01/1900593</v>
      </c>
      <c r="B1319" s="172">
        <f t="shared" si="41"/>
        <v>593</v>
      </c>
    </row>
    <row r="1320" spans="1:2" ht="30" customHeight="1">
      <c r="A1320" s="179" t="str">
        <f t="shared" si="40"/>
        <v>00/01/1900594</v>
      </c>
      <c r="B1320" s="172">
        <f t="shared" si="41"/>
        <v>594</v>
      </c>
    </row>
    <row r="1321" spans="1:2" ht="30" customHeight="1">
      <c r="A1321" s="179" t="str">
        <f t="shared" si="40"/>
        <v>00/01/1900595</v>
      </c>
      <c r="B1321" s="172">
        <f t="shared" si="41"/>
        <v>595</v>
      </c>
    </row>
    <row r="1322" spans="1:2" ht="30" customHeight="1">
      <c r="A1322" s="179" t="str">
        <f t="shared" si="40"/>
        <v>00/01/1900596</v>
      </c>
      <c r="B1322" s="172">
        <f t="shared" si="41"/>
        <v>596</v>
      </c>
    </row>
    <row r="1323" spans="1:2" ht="30" customHeight="1">
      <c r="A1323" s="179" t="str">
        <f t="shared" si="40"/>
        <v>00/01/1900597</v>
      </c>
      <c r="B1323" s="172">
        <f t="shared" si="41"/>
        <v>597</v>
      </c>
    </row>
    <row r="1324" spans="1:2" ht="30" customHeight="1">
      <c r="A1324" s="179" t="str">
        <f t="shared" si="40"/>
        <v>00/01/1900598</v>
      </c>
      <c r="B1324" s="172">
        <f t="shared" si="41"/>
        <v>598</v>
      </c>
    </row>
    <row r="1325" spans="1:2" ht="30" customHeight="1">
      <c r="A1325" s="179" t="str">
        <f t="shared" si="40"/>
        <v>00/01/1900599</v>
      </c>
      <c r="B1325" s="172">
        <f t="shared" si="41"/>
        <v>599</v>
      </c>
    </row>
    <row r="1326" spans="1:2" ht="30" customHeight="1">
      <c r="A1326" s="179" t="str">
        <f t="shared" si="40"/>
        <v>00/01/1900600</v>
      </c>
      <c r="B1326" s="172">
        <f t="shared" si="41"/>
        <v>600</v>
      </c>
    </row>
    <row r="1327" spans="1:2" ht="30" customHeight="1">
      <c r="A1327" s="179" t="str">
        <f t="shared" si="40"/>
        <v>00/01/1900601</v>
      </c>
      <c r="B1327" s="172">
        <f t="shared" si="41"/>
        <v>601</v>
      </c>
    </row>
    <row r="1328" spans="1:2" ht="30" customHeight="1">
      <c r="A1328" s="179" t="str">
        <f t="shared" si="40"/>
        <v>00/01/1900602</v>
      </c>
      <c r="B1328" s="172">
        <f t="shared" si="41"/>
        <v>602</v>
      </c>
    </row>
    <row r="1329" spans="1:2" ht="30" customHeight="1">
      <c r="A1329" s="179" t="str">
        <f t="shared" si="40"/>
        <v>00/01/1900603</v>
      </c>
      <c r="B1329" s="172">
        <f t="shared" si="41"/>
        <v>603</v>
      </c>
    </row>
    <row r="1330" spans="1:2" ht="30" customHeight="1">
      <c r="A1330" s="179" t="str">
        <f t="shared" si="40"/>
        <v>00/01/1900604</v>
      </c>
      <c r="B1330" s="172">
        <f t="shared" si="41"/>
        <v>604</v>
      </c>
    </row>
    <row r="1331" spans="1:2" ht="30" customHeight="1">
      <c r="A1331" s="179" t="str">
        <f t="shared" si="40"/>
        <v>00/01/1900605</v>
      </c>
      <c r="B1331" s="172">
        <f t="shared" si="41"/>
        <v>605</v>
      </c>
    </row>
    <row r="1332" spans="1:2" ht="30" customHeight="1">
      <c r="A1332" s="179" t="str">
        <f t="shared" si="40"/>
        <v>00/01/1900606</v>
      </c>
      <c r="B1332" s="172">
        <f t="shared" si="41"/>
        <v>606</v>
      </c>
    </row>
    <row r="1333" spans="1:2" ht="30" customHeight="1">
      <c r="A1333" s="179" t="str">
        <f t="shared" si="40"/>
        <v>00/01/1900607</v>
      </c>
      <c r="B1333" s="172">
        <f t="shared" si="41"/>
        <v>607</v>
      </c>
    </row>
    <row r="1334" spans="1:2" ht="30" customHeight="1">
      <c r="A1334" s="179" t="str">
        <f t="shared" si="40"/>
        <v>00/01/1900608</v>
      </c>
      <c r="B1334" s="172">
        <f t="shared" si="41"/>
        <v>608</v>
      </c>
    </row>
    <row r="1335" spans="1:2" ht="30" customHeight="1">
      <c r="A1335" s="179" t="str">
        <f t="shared" si="40"/>
        <v>00/01/1900609</v>
      </c>
      <c r="B1335" s="172">
        <f t="shared" si="41"/>
        <v>609</v>
      </c>
    </row>
    <row r="1336" spans="1:2" ht="30" customHeight="1">
      <c r="A1336" s="179" t="str">
        <f t="shared" si="40"/>
        <v>00/01/1900610</v>
      </c>
      <c r="B1336" s="172">
        <f t="shared" si="41"/>
        <v>610</v>
      </c>
    </row>
    <row r="1337" spans="1:2" ht="30" customHeight="1">
      <c r="A1337" s="179" t="str">
        <f t="shared" si="40"/>
        <v>00/01/1900611</v>
      </c>
      <c r="B1337" s="172">
        <f t="shared" si="41"/>
        <v>611</v>
      </c>
    </row>
    <row r="1338" spans="1:2" ht="30" customHeight="1">
      <c r="A1338" s="179" t="str">
        <f t="shared" si="40"/>
        <v>00/01/1900612</v>
      </c>
      <c r="B1338" s="172">
        <f t="shared" si="41"/>
        <v>612</v>
      </c>
    </row>
    <row r="1339" spans="1:2" ht="30" customHeight="1">
      <c r="A1339" s="179" t="str">
        <f t="shared" si="40"/>
        <v>00/01/1900613</v>
      </c>
      <c r="B1339" s="172">
        <f t="shared" si="41"/>
        <v>613</v>
      </c>
    </row>
    <row r="1340" spans="1:2" ht="30" customHeight="1">
      <c r="A1340" s="179" t="str">
        <f t="shared" si="40"/>
        <v>00/01/1900614</v>
      </c>
      <c r="B1340" s="172">
        <f t="shared" si="41"/>
        <v>614</v>
      </c>
    </row>
    <row r="1341" spans="1:2" ht="30" customHeight="1">
      <c r="A1341" s="179" t="str">
        <f t="shared" si="40"/>
        <v>00/01/1900615</v>
      </c>
      <c r="B1341" s="172">
        <f t="shared" si="41"/>
        <v>615</v>
      </c>
    </row>
    <row r="1342" spans="1:2" ht="30" customHeight="1">
      <c r="A1342" s="179" t="str">
        <f t="shared" si="40"/>
        <v>00/01/1900616</v>
      </c>
      <c r="B1342" s="172">
        <f t="shared" si="41"/>
        <v>616</v>
      </c>
    </row>
    <row r="1343" spans="1:2" ht="30" customHeight="1">
      <c r="A1343" s="179" t="str">
        <f t="shared" si="40"/>
        <v>00/01/1900617</v>
      </c>
      <c r="B1343" s="172">
        <f t="shared" si="41"/>
        <v>617</v>
      </c>
    </row>
    <row r="1344" spans="1:2" ht="30" customHeight="1">
      <c r="A1344" s="179" t="str">
        <f t="shared" si="40"/>
        <v>00/01/1900618</v>
      </c>
      <c r="B1344" s="172">
        <f t="shared" si="41"/>
        <v>618</v>
      </c>
    </row>
    <row r="1345" spans="1:2" ht="30" customHeight="1">
      <c r="A1345" s="179" t="str">
        <f t="shared" si="40"/>
        <v>00/01/1900619</v>
      </c>
      <c r="B1345" s="172">
        <f t="shared" si="41"/>
        <v>619</v>
      </c>
    </row>
    <row r="1346" spans="1:2" ht="30" customHeight="1">
      <c r="A1346" s="179" t="str">
        <f t="shared" si="40"/>
        <v>00/01/1900620</v>
      </c>
      <c r="B1346" s="172">
        <f t="shared" si="41"/>
        <v>620</v>
      </c>
    </row>
    <row r="1347" spans="1:2" ht="30" customHeight="1">
      <c r="A1347" s="179" t="str">
        <f t="shared" ref="A1347:A1410" si="42">CONCATENATE(TEXT($G1347,"dd/mm/yyyy"),$B1347)</f>
        <v>00/01/1900621</v>
      </c>
      <c r="B1347" s="172">
        <f t="shared" si="41"/>
        <v>621</v>
      </c>
    </row>
    <row r="1348" spans="1:2" ht="30" customHeight="1">
      <c r="A1348" s="179" t="str">
        <f t="shared" si="42"/>
        <v>00/01/1900622</v>
      </c>
      <c r="B1348" s="172">
        <f t="shared" ref="B1348:B1411" si="43">IF($G1348=$G1347,$B1347+1,1)</f>
        <v>622</v>
      </c>
    </row>
    <row r="1349" spans="1:2" ht="30" customHeight="1">
      <c r="A1349" s="179" t="str">
        <f t="shared" si="42"/>
        <v>00/01/1900623</v>
      </c>
      <c r="B1349" s="172">
        <f t="shared" si="43"/>
        <v>623</v>
      </c>
    </row>
    <row r="1350" spans="1:2" ht="30" customHeight="1">
      <c r="A1350" s="179" t="str">
        <f t="shared" si="42"/>
        <v>00/01/1900624</v>
      </c>
      <c r="B1350" s="172">
        <f t="shared" si="43"/>
        <v>624</v>
      </c>
    </row>
    <row r="1351" spans="1:2" ht="30" customHeight="1">
      <c r="A1351" s="179" t="str">
        <f t="shared" si="42"/>
        <v>00/01/1900625</v>
      </c>
      <c r="B1351" s="172">
        <f t="shared" si="43"/>
        <v>625</v>
      </c>
    </row>
    <row r="1352" spans="1:2" ht="30" customHeight="1">
      <c r="A1352" s="179" t="str">
        <f t="shared" si="42"/>
        <v>00/01/1900626</v>
      </c>
      <c r="B1352" s="172">
        <f t="shared" si="43"/>
        <v>626</v>
      </c>
    </row>
    <row r="1353" spans="1:2" ht="30" customHeight="1">
      <c r="A1353" s="179" t="str">
        <f t="shared" si="42"/>
        <v>00/01/1900627</v>
      </c>
      <c r="B1353" s="172">
        <f t="shared" si="43"/>
        <v>627</v>
      </c>
    </row>
    <row r="1354" spans="1:2" ht="30" customHeight="1">
      <c r="A1354" s="179" t="str">
        <f t="shared" si="42"/>
        <v>00/01/1900628</v>
      </c>
      <c r="B1354" s="172">
        <f t="shared" si="43"/>
        <v>628</v>
      </c>
    </row>
    <row r="1355" spans="1:2" ht="30" customHeight="1">
      <c r="A1355" s="179" t="str">
        <f t="shared" si="42"/>
        <v>00/01/1900629</v>
      </c>
      <c r="B1355" s="172">
        <f t="shared" si="43"/>
        <v>629</v>
      </c>
    </row>
    <row r="1356" spans="1:2" ht="30" customHeight="1">
      <c r="A1356" s="179" t="str">
        <f t="shared" si="42"/>
        <v>00/01/1900630</v>
      </c>
      <c r="B1356" s="172">
        <f t="shared" si="43"/>
        <v>630</v>
      </c>
    </row>
    <row r="1357" spans="1:2" ht="30" customHeight="1">
      <c r="A1357" s="179" t="str">
        <f t="shared" si="42"/>
        <v>00/01/1900631</v>
      </c>
      <c r="B1357" s="172">
        <f t="shared" si="43"/>
        <v>631</v>
      </c>
    </row>
    <row r="1358" spans="1:2" ht="30" customHeight="1">
      <c r="A1358" s="179" t="str">
        <f t="shared" si="42"/>
        <v>00/01/1900632</v>
      </c>
      <c r="B1358" s="172">
        <f t="shared" si="43"/>
        <v>632</v>
      </c>
    </row>
    <row r="1359" spans="1:2" ht="30" customHeight="1">
      <c r="A1359" s="179" t="str">
        <f t="shared" si="42"/>
        <v>00/01/1900633</v>
      </c>
      <c r="B1359" s="172">
        <f t="shared" si="43"/>
        <v>633</v>
      </c>
    </row>
    <row r="1360" spans="1:2" ht="30" customHeight="1">
      <c r="A1360" s="179" t="str">
        <f t="shared" si="42"/>
        <v>00/01/1900634</v>
      </c>
      <c r="B1360" s="172">
        <f t="shared" si="43"/>
        <v>634</v>
      </c>
    </row>
    <row r="1361" spans="1:2" ht="30" customHeight="1">
      <c r="A1361" s="179" t="str">
        <f t="shared" si="42"/>
        <v>00/01/1900635</v>
      </c>
      <c r="B1361" s="172">
        <f t="shared" si="43"/>
        <v>635</v>
      </c>
    </row>
    <row r="1362" spans="1:2" ht="30" customHeight="1">
      <c r="A1362" s="179" t="str">
        <f t="shared" si="42"/>
        <v>00/01/1900636</v>
      </c>
      <c r="B1362" s="172">
        <f t="shared" si="43"/>
        <v>636</v>
      </c>
    </row>
    <row r="1363" spans="1:2" ht="30" customHeight="1">
      <c r="A1363" s="179" t="str">
        <f t="shared" si="42"/>
        <v>00/01/1900637</v>
      </c>
      <c r="B1363" s="172">
        <f t="shared" si="43"/>
        <v>637</v>
      </c>
    </row>
    <row r="1364" spans="1:2" ht="30" customHeight="1">
      <c r="A1364" s="179" t="str">
        <f t="shared" si="42"/>
        <v>00/01/1900638</v>
      </c>
      <c r="B1364" s="172">
        <f t="shared" si="43"/>
        <v>638</v>
      </c>
    </row>
    <row r="1365" spans="1:2" ht="30" customHeight="1">
      <c r="A1365" s="179" t="str">
        <f t="shared" si="42"/>
        <v>00/01/1900639</v>
      </c>
      <c r="B1365" s="172">
        <f t="shared" si="43"/>
        <v>639</v>
      </c>
    </row>
    <row r="1366" spans="1:2" ht="30" customHeight="1">
      <c r="A1366" s="179" t="str">
        <f t="shared" si="42"/>
        <v>00/01/1900640</v>
      </c>
      <c r="B1366" s="172">
        <f t="shared" si="43"/>
        <v>640</v>
      </c>
    </row>
    <row r="1367" spans="1:2" ht="30" customHeight="1">
      <c r="A1367" s="179" t="str">
        <f t="shared" si="42"/>
        <v>00/01/1900641</v>
      </c>
      <c r="B1367" s="172">
        <f t="shared" si="43"/>
        <v>641</v>
      </c>
    </row>
    <row r="1368" spans="1:2" ht="30" customHeight="1">
      <c r="A1368" s="179" t="str">
        <f t="shared" si="42"/>
        <v>00/01/1900642</v>
      </c>
      <c r="B1368" s="172">
        <f t="shared" si="43"/>
        <v>642</v>
      </c>
    </row>
    <row r="1369" spans="1:2" ht="30" customHeight="1">
      <c r="A1369" s="179" t="str">
        <f t="shared" si="42"/>
        <v>00/01/1900643</v>
      </c>
      <c r="B1369" s="172">
        <f t="shared" si="43"/>
        <v>643</v>
      </c>
    </row>
    <row r="1370" spans="1:2" ht="30" customHeight="1">
      <c r="A1370" s="179" t="str">
        <f t="shared" si="42"/>
        <v>00/01/1900644</v>
      </c>
      <c r="B1370" s="172">
        <f t="shared" si="43"/>
        <v>644</v>
      </c>
    </row>
    <row r="1371" spans="1:2" ht="30" customHeight="1">
      <c r="A1371" s="179" t="str">
        <f t="shared" si="42"/>
        <v>00/01/1900645</v>
      </c>
      <c r="B1371" s="172">
        <f t="shared" si="43"/>
        <v>645</v>
      </c>
    </row>
    <row r="1372" spans="1:2" ht="30" customHeight="1">
      <c r="A1372" s="179" t="str">
        <f t="shared" si="42"/>
        <v>00/01/1900646</v>
      </c>
      <c r="B1372" s="172">
        <f t="shared" si="43"/>
        <v>646</v>
      </c>
    </row>
    <row r="1373" spans="1:2" ht="30" customHeight="1">
      <c r="A1373" s="179" t="str">
        <f t="shared" si="42"/>
        <v>00/01/1900647</v>
      </c>
      <c r="B1373" s="172">
        <f t="shared" si="43"/>
        <v>647</v>
      </c>
    </row>
    <row r="1374" spans="1:2" ht="30" customHeight="1">
      <c r="A1374" s="179" t="str">
        <f t="shared" si="42"/>
        <v>00/01/1900648</v>
      </c>
      <c r="B1374" s="172">
        <f t="shared" si="43"/>
        <v>648</v>
      </c>
    </row>
    <row r="1375" spans="1:2" ht="30" customHeight="1">
      <c r="A1375" s="179" t="str">
        <f t="shared" si="42"/>
        <v>00/01/1900649</v>
      </c>
      <c r="B1375" s="172">
        <f t="shared" si="43"/>
        <v>649</v>
      </c>
    </row>
    <row r="1376" spans="1:2" ht="30" customHeight="1">
      <c r="A1376" s="179" t="str">
        <f t="shared" si="42"/>
        <v>00/01/1900650</v>
      </c>
      <c r="B1376" s="172">
        <f t="shared" si="43"/>
        <v>650</v>
      </c>
    </row>
    <row r="1377" spans="1:2" ht="30" customHeight="1">
      <c r="A1377" s="179" t="str">
        <f t="shared" si="42"/>
        <v>00/01/1900651</v>
      </c>
      <c r="B1377" s="172">
        <f t="shared" si="43"/>
        <v>651</v>
      </c>
    </row>
    <row r="1378" spans="1:2" ht="30" customHeight="1">
      <c r="A1378" s="179" t="str">
        <f t="shared" si="42"/>
        <v>00/01/1900652</v>
      </c>
      <c r="B1378" s="172">
        <f t="shared" si="43"/>
        <v>652</v>
      </c>
    </row>
    <row r="1379" spans="1:2" ht="30" customHeight="1">
      <c r="A1379" s="179" t="str">
        <f t="shared" si="42"/>
        <v>00/01/1900653</v>
      </c>
      <c r="B1379" s="172">
        <f t="shared" si="43"/>
        <v>653</v>
      </c>
    </row>
    <row r="1380" spans="1:2" ht="30" customHeight="1">
      <c r="A1380" s="179" t="str">
        <f t="shared" si="42"/>
        <v>00/01/1900654</v>
      </c>
      <c r="B1380" s="172">
        <f t="shared" si="43"/>
        <v>654</v>
      </c>
    </row>
    <row r="1381" spans="1:2" ht="30" customHeight="1">
      <c r="A1381" s="179" t="str">
        <f t="shared" si="42"/>
        <v>00/01/1900655</v>
      </c>
      <c r="B1381" s="172">
        <f t="shared" si="43"/>
        <v>655</v>
      </c>
    </row>
    <row r="1382" spans="1:2" ht="30" customHeight="1">
      <c r="A1382" s="179" t="str">
        <f t="shared" si="42"/>
        <v>00/01/1900656</v>
      </c>
      <c r="B1382" s="172">
        <f t="shared" si="43"/>
        <v>656</v>
      </c>
    </row>
    <row r="1383" spans="1:2" ht="30" customHeight="1">
      <c r="A1383" s="179" t="str">
        <f t="shared" si="42"/>
        <v>00/01/1900657</v>
      </c>
      <c r="B1383" s="172">
        <f t="shared" si="43"/>
        <v>657</v>
      </c>
    </row>
    <row r="1384" spans="1:2" ht="30" customHeight="1">
      <c r="A1384" s="179" t="str">
        <f t="shared" si="42"/>
        <v>00/01/1900658</v>
      </c>
      <c r="B1384" s="172">
        <f t="shared" si="43"/>
        <v>658</v>
      </c>
    </row>
    <row r="1385" spans="1:2" ht="30" customHeight="1">
      <c r="A1385" s="179" t="str">
        <f t="shared" si="42"/>
        <v>00/01/1900659</v>
      </c>
      <c r="B1385" s="172">
        <f t="shared" si="43"/>
        <v>659</v>
      </c>
    </row>
    <row r="1386" spans="1:2" ht="30" customHeight="1">
      <c r="A1386" s="179" t="str">
        <f t="shared" si="42"/>
        <v>00/01/1900660</v>
      </c>
      <c r="B1386" s="172">
        <f t="shared" si="43"/>
        <v>660</v>
      </c>
    </row>
    <row r="1387" spans="1:2" ht="30" customHeight="1">
      <c r="A1387" s="179" t="str">
        <f t="shared" si="42"/>
        <v>00/01/1900661</v>
      </c>
      <c r="B1387" s="172">
        <f t="shared" si="43"/>
        <v>661</v>
      </c>
    </row>
    <row r="1388" spans="1:2" ht="30" customHeight="1">
      <c r="A1388" s="179" t="str">
        <f t="shared" si="42"/>
        <v>00/01/1900662</v>
      </c>
      <c r="B1388" s="172">
        <f t="shared" si="43"/>
        <v>662</v>
      </c>
    </row>
    <row r="1389" spans="1:2" ht="30" customHeight="1">
      <c r="A1389" s="179" t="str">
        <f t="shared" si="42"/>
        <v>00/01/1900663</v>
      </c>
      <c r="B1389" s="172">
        <f t="shared" si="43"/>
        <v>663</v>
      </c>
    </row>
    <row r="1390" spans="1:2" ht="30" customHeight="1">
      <c r="A1390" s="179" t="str">
        <f t="shared" si="42"/>
        <v>00/01/1900664</v>
      </c>
      <c r="B1390" s="172">
        <f t="shared" si="43"/>
        <v>664</v>
      </c>
    </row>
    <row r="1391" spans="1:2" ht="30" customHeight="1">
      <c r="A1391" s="179" t="str">
        <f t="shared" si="42"/>
        <v>00/01/1900665</v>
      </c>
      <c r="B1391" s="172">
        <f t="shared" si="43"/>
        <v>665</v>
      </c>
    </row>
    <row r="1392" spans="1:2" ht="30" customHeight="1">
      <c r="A1392" s="179" t="str">
        <f t="shared" si="42"/>
        <v>00/01/1900666</v>
      </c>
      <c r="B1392" s="172">
        <f t="shared" si="43"/>
        <v>666</v>
      </c>
    </row>
    <row r="1393" spans="1:2" ht="30" customHeight="1">
      <c r="A1393" s="179" t="str">
        <f t="shared" si="42"/>
        <v>00/01/1900667</v>
      </c>
      <c r="B1393" s="172">
        <f t="shared" si="43"/>
        <v>667</v>
      </c>
    </row>
    <row r="1394" spans="1:2" ht="30" customHeight="1">
      <c r="A1394" s="179" t="str">
        <f t="shared" si="42"/>
        <v>00/01/1900668</v>
      </c>
      <c r="B1394" s="172">
        <f t="shared" si="43"/>
        <v>668</v>
      </c>
    </row>
    <row r="1395" spans="1:2" ht="30" customHeight="1">
      <c r="A1395" s="179" t="str">
        <f t="shared" si="42"/>
        <v>00/01/1900669</v>
      </c>
      <c r="B1395" s="172">
        <f t="shared" si="43"/>
        <v>669</v>
      </c>
    </row>
    <row r="1396" spans="1:2" ht="30" customHeight="1">
      <c r="A1396" s="179" t="str">
        <f t="shared" si="42"/>
        <v>00/01/1900670</v>
      </c>
      <c r="B1396" s="172">
        <f t="shared" si="43"/>
        <v>670</v>
      </c>
    </row>
    <row r="1397" spans="1:2" ht="30" customHeight="1">
      <c r="A1397" s="179" t="str">
        <f t="shared" si="42"/>
        <v>00/01/1900671</v>
      </c>
      <c r="B1397" s="172">
        <f t="shared" si="43"/>
        <v>671</v>
      </c>
    </row>
    <row r="1398" spans="1:2" ht="30" customHeight="1">
      <c r="A1398" s="179" t="str">
        <f t="shared" si="42"/>
        <v>00/01/1900672</v>
      </c>
      <c r="B1398" s="172">
        <f t="shared" si="43"/>
        <v>672</v>
      </c>
    </row>
    <row r="1399" spans="1:2" ht="30" customHeight="1">
      <c r="A1399" s="179" t="str">
        <f t="shared" si="42"/>
        <v>00/01/1900673</v>
      </c>
      <c r="B1399" s="172">
        <f t="shared" si="43"/>
        <v>673</v>
      </c>
    </row>
    <row r="1400" spans="1:2" ht="30" customHeight="1">
      <c r="A1400" s="179" t="str">
        <f t="shared" si="42"/>
        <v>00/01/1900674</v>
      </c>
      <c r="B1400" s="172">
        <f t="shared" si="43"/>
        <v>674</v>
      </c>
    </row>
    <row r="1401" spans="1:2" ht="30" customHeight="1">
      <c r="A1401" s="179" t="str">
        <f t="shared" si="42"/>
        <v>00/01/1900675</v>
      </c>
      <c r="B1401" s="172">
        <f t="shared" si="43"/>
        <v>675</v>
      </c>
    </row>
    <row r="1402" spans="1:2" ht="30" customHeight="1">
      <c r="A1402" s="179" t="str">
        <f t="shared" si="42"/>
        <v>00/01/1900676</v>
      </c>
      <c r="B1402" s="172">
        <f t="shared" si="43"/>
        <v>676</v>
      </c>
    </row>
    <row r="1403" spans="1:2" ht="30" customHeight="1">
      <c r="A1403" s="179" t="str">
        <f t="shared" si="42"/>
        <v>00/01/1900677</v>
      </c>
      <c r="B1403" s="172">
        <f t="shared" si="43"/>
        <v>677</v>
      </c>
    </row>
    <row r="1404" spans="1:2" ht="30" customHeight="1">
      <c r="A1404" s="179" t="str">
        <f t="shared" si="42"/>
        <v>00/01/1900678</v>
      </c>
      <c r="B1404" s="172">
        <f t="shared" si="43"/>
        <v>678</v>
      </c>
    </row>
    <row r="1405" spans="1:2" ht="30" customHeight="1">
      <c r="A1405" s="179" t="str">
        <f t="shared" si="42"/>
        <v>00/01/1900679</v>
      </c>
      <c r="B1405" s="172">
        <f t="shared" si="43"/>
        <v>679</v>
      </c>
    </row>
    <row r="1406" spans="1:2" ht="30" customHeight="1">
      <c r="A1406" s="179" t="str">
        <f t="shared" si="42"/>
        <v>00/01/1900680</v>
      </c>
      <c r="B1406" s="172">
        <f t="shared" si="43"/>
        <v>680</v>
      </c>
    </row>
    <row r="1407" spans="1:2" ht="30" customHeight="1">
      <c r="A1407" s="179" t="str">
        <f t="shared" si="42"/>
        <v>00/01/1900681</v>
      </c>
      <c r="B1407" s="172">
        <f t="shared" si="43"/>
        <v>681</v>
      </c>
    </row>
    <row r="1408" spans="1:2" ht="30" customHeight="1">
      <c r="A1408" s="179" t="str">
        <f t="shared" si="42"/>
        <v>00/01/1900682</v>
      </c>
      <c r="B1408" s="172">
        <f t="shared" si="43"/>
        <v>682</v>
      </c>
    </row>
    <row r="1409" spans="1:2" ht="30" customHeight="1">
      <c r="A1409" s="179" t="str">
        <f t="shared" si="42"/>
        <v>00/01/1900683</v>
      </c>
      <c r="B1409" s="172">
        <f t="shared" si="43"/>
        <v>683</v>
      </c>
    </row>
    <row r="1410" spans="1:2" ht="30" customHeight="1">
      <c r="A1410" s="179" t="str">
        <f t="shared" si="42"/>
        <v>00/01/1900684</v>
      </c>
      <c r="B1410" s="172">
        <f t="shared" si="43"/>
        <v>684</v>
      </c>
    </row>
    <row r="1411" spans="1:2" ht="30" customHeight="1">
      <c r="A1411" s="179" t="str">
        <f t="shared" ref="A1411:A1474" si="44">CONCATENATE(TEXT($G1411,"dd/mm/yyyy"),$B1411)</f>
        <v>00/01/1900685</v>
      </c>
      <c r="B1411" s="172">
        <f t="shared" si="43"/>
        <v>685</v>
      </c>
    </row>
    <row r="1412" spans="1:2" ht="30" customHeight="1">
      <c r="A1412" s="179" t="str">
        <f t="shared" si="44"/>
        <v>00/01/1900686</v>
      </c>
      <c r="B1412" s="172">
        <f t="shared" ref="B1412:B1475" si="45">IF($G1412=$G1411,$B1411+1,1)</f>
        <v>686</v>
      </c>
    </row>
    <row r="1413" spans="1:2" ht="30" customHeight="1">
      <c r="A1413" s="179" t="str">
        <f t="shared" si="44"/>
        <v>00/01/1900687</v>
      </c>
      <c r="B1413" s="172">
        <f t="shared" si="45"/>
        <v>687</v>
      </c>
    </row>
    <row r="1414" spans="1:2" ht="30" customHeight="1">
      <c r="A1414" s="179" t="str">
        <f t="shared" si="44"/>
        <v>00/01/1900688</v>
      </c>
      <c r="B1414" s="172">
        <f t="shared" si="45"/>
        <v>688</v>
      </c>
    </row>
    <row r="1415" spans="1:2" ht="30" customHeight="1">
      <c r="A1415" s="179" t="str">
        <f t="shared" si="44"/>
        <v>00/01/1900689</v>
      </c>
      <c r="B1415" s="172">
        <f t="shared" si="45"/>
        <v>689</v>
      </c>
    </row>
    <row r="1416" spans="1:2" ht="30" customHeight="1">
      <c r="A1416" s="179" t="str">
        <f t="shared" si="44"/>
        <v>00/01/1900690</v>
      </c>
      <c r="B1416" s="172">
        <f t="shared" si="45"/>
        <v>690</v>
      </c>
    </row>
    <row r="1417" spans="1:2" ht="30" customHeight="1">
      <c r="A1417" s="179" t="str">
        <f t="shared" si="44"/>
        <v>00/01/1900691</v>
      </c>
      <c r="B1417" s="172">
        <f t="shared" si="45"/>
        <v>691</v>
      </c>
    </row>
    <row r="1418" spans="1:2" ht="30" customHeight="1">
      <c r="A1418" s="179" t="str">
        <f t="shared" si="44"/>
        <v>00/01/1900692</v>
      </c>
      <c r="B1418" s="172">
        <f t="shared" si="45"/>
        <v>692</v>
      </c>
    </row>
    <row r="1419" spans="1:2" ht="30" customHeight="1">
      <c r="A1419" s="179" t="str">
        <f t="shared" si="44"/>
        <v>00/01/1900693</v>
      </c>
      <c r="B1419" s="172">
        <f t="shared" si="45"/>
        <v>693</v>
      </c>
    </row>
    <row r="1420" spans="1:2" ht="30" customHeight="1">
      <c r="A1420" s="179" t="str">
        <f t="shared" si="44"/>
        <v>00/01/1900694</v>
      </c>
      <c r="B1420" s="172">
        <f t="shared" si="45"/>
        <v>694</v>
      </c>
    </row>
    <row r="1421" spans="1:2" ht="30" customHeight="1">
      <c r="A1421" s="179" t="str">
        <f t="shared" si="44"/>
        <v>00/01/1900695</v>
      </c>
      <c r="B1421" s="172">
        <f t="shared" si="45"/>
        <v>695</v>
      </c>
    </row>
    <row r="1422" spans="1:2" ht="30" customHeight="1">
      <c r="A1422" s="179" t="str">
        <f t="shared" si="44"/>
        <v>00/01/1900696</v>
      </c>
      <c r="B1422" s="172">
        <f t="shared" si="45"/>
        <v>696</v>
      </c>
    </row>
    <row r="1423" spans="1:2" ht="30" customHeight="1">
      <c r="A1423" s="179" t="str">
        <f t="shared" si="44"/>
        <v>00/01/1900697</v>
      </c>
      <c r="B1423" s="172">
        <f t="shared" si="45"/>
        <v>697</v>
      </c>
    </row>
    <row r="1424" spans="1:2" ht="30" customHeight="1">
      <c r="A1424" s="179" t="str">
        <f t="shared" si="44"/>
        <v>00/01/1900698</v>
      </c>
      <c r="B1424" s="172">
        <f t="shared" si="45"/>
        <v>698</v>
      </c>
    </row>
    <row r="1425" spans="1:2" ht="30" customHeight="1">
      <c r="A1425" s="179" t="str">
        <f t="shared" si="44"/>
        <v>00/01/1900699</v>
      </c>
      <c r="B1425" s="172">
        <f t="shared" si="45"/>
        <v>699</v>
      </c>
    </row>
    <row r="1426" spans="1:2" ht="30" customHeight="1">
      <c r="A1426" s="179" t="str">
        <f t="shared" si="44"/>
        <v>00/01/1900700</v>
      </c>
      <c r="B1426" s="172">
        <f t="shared" si="45"/>
        <v>700</v>
      </c>
    </row>
    <row r="1427" spans="1:2" ht="30" customHeight="1">
      <c r="A1427" s="179" t="str">
        <f t="shared" si="44"/>
        <v>00/01/1900701</v>
      </c>
      <c r="B1427" s="172">
        <f t="shared" si="45"/>
        <v>701</v>
      </c>
    </row>
    <row r="1428" spans="1:2" ht="30" customHeight="1">
      <c r="A1428" s="179" t="str">
        <f t="shared" si="44"/>
        <v>00/01/1900702</v>
      </c>
      <c r="B1428" s="172">
        <f t="shared" si="45"/>
        <v>702</v>
      </c>
    </row>
    <row r="1429" spans="1:2" ht="30" customHeight="1">
      <c r="A1429" s="179" t="str">
        <f t="shared" si="44"/>
        <v>00/01/1900703</v>
      </c>
      <c r="B1429" s="172">
        <f t="shared" si="45"/>
        <v>703</v>
      </c>
    </row>
    <row r="1430" spans="1:2" ht="30" customHeight="1">
      <c r="A1430" s="179" t="str">
        <f t="shared" si="44"/>
        <v>00/01/1900704</v>
      </c>
      <c r="B1430" s="172">
        <f t="shared" si="45"/>
        <v>704</v>
      </c>
    </row>
    <row r="1431" spans="1:2" ht="30" customHeight="1">
      <c r="A1431" s="179" t="str">
        <f t="shared" si="44"/>
        <v>00/01/1900705</v>
      </c>
      <c r="B1431" s="172">
        <f t="shared" si="45"/>
        <v>705</v>
      </c>
    </row>
    <row r="1432" spans="1:2" ht="30" customHeight="1">
      <c r="A1432" s="179" t="str">
        <f t="shared" si="44"/>
        <v>00/01/1900706</v>
      </c>
      <c r="B1432" s="172">
        <f t="shared" si="45"/>
        <v>706</v>
      </c>
    </row>
    <row r="1433" spans="1:2" ht="30" customHeight="1">
      <c r="A1433" s="179" t="str">
        <f t="shared" si="44"/>
        <v>00/01/1900707</v>
      </c>
      <c r="B1433" s="172">
        <f t="shared" si="45"/>
        <v>707</v>
      </c>
    </row>
    <row r="1434" spans="1:2" ht="30" customHeight="1">
      <c r="A1434" s="179" t="str">
        <f t="shared" si="44"/>
        <v>00/01/1900708</v>
      </c>
      <c r="B1434" s="172">
        <f t="shared" si="45"/>
        <v>708</v>
      </c>
    </row>
    <row r="1435" spans="1:2" ht="30" customHeight="1">
      <c r="A1435" s="179" t="str">
        <f t="shared" si="44"/>
        <v>00/01/1900709</v>
      </c>
      <c r="B1435" s="172">
        <f t="shared" si="45"/>
        <v>709</v>
      </c>
    </row>
    <row r="1436" spans="1:2" ht="30" customHeight="1">
      <c r="A1436" s="179" t="str">
        <f t="shared" si="44"/>
        <v>00/01/1900710</v>
      </c>
      <c r="B1436" s="172">
        <f t="shared" si="45"/>
        <v>710</v>
      </c>
    </row>
    <row r="1437" spans="1:2" ht="30" customHeight="1">
      <c r="A1437" s="179" t="str">
        <f t="shared" si="44"/>
        <v>00/01/1900711</v>
      </c>
      <c r="B1437" s="172">
        <f t="shared" si="45"/>
        <v>711</v>
      </c>
    </row>
    <row r="1438" spans="1:2" ht="30" customHeight="1">
      <c r="A1438" s="179" t="str">
        <f t="shared" si="44"/>
        <v>00/01/1900712</v>
      </c>
      <c r="B1438" s="172">
        <f t="shared" si="45"/>
        <v>712</v>
      </c>
    </row>
    <row r="1439" spans="1:2" ht="30" customHeight="1">
      <c r="A1439" s="179" t="str">
        <f t="shared" si="44"/>
        <v>00/01/1900713</v>
      </c>
      <c r="B1439" s="172">
        <f t="shared" si="45"/>
        <v>713</v>
      </c>
    </row>
    <row r="1440" spans="1:2" ht="30" customHeight="1">
      <c r="A1440" s="179" t="str">
        <f t="shared" si="44"/>
        <v>00/01/1900714</v>
      </c>
      <c r="B1440" s="172">
        <f t="shared" si="45"/>
        <v>714</v>
      </c>
    </row>
    <row r="1441" spans="1:2" ht="30" customHeight="1">
      <c r="A1441" s="179" t="str">
        <f t="shared" si="44"/>
        <v>00/01/1900715</v>
      </c>
      <c r="B1441" s="172">
        <f t="shared" si="45"/>
        <v>715</v>
      </c>
    </row>
    <row r="1442" spans="1:2" ht="30" customHeight="1">
      <c r="A1442" s="179" t="str">
        <f t="shared" si="44"/>
        <v>00/01/1900716</v>
      </c>
      <c r="B1442" s="172">
        <f t="shared" si="45"/>
        <v>716</v>
      </c>
    </row>
    <row r="1443" spans="1:2" ht="30" customHeight="1">
      <c r="A1443" s="179" t="str">
        <f t="shared" si="44"/>
        <v>00/01/1900717</v>
      </c>
      <c r="B1443" s="172">
        <f t="shared" si="45"/>
        <v>717</v>
      </c>
    </row>
    <row r="1444" spans="1:2" ht="30" customHeight="1">
      <c r="A1444" s="179" t="str">
        <f t="shared" si="44"/>
        <v>00/01/1900718</v>
      </c>
      <c r="B1444" s="172">
        <f t="shared" si="45"/>
        <v>718</v>
      </c>
    </row>
    <row r="1445" spans="1:2" ht="30" customHeight="1">
      <c r="A1445" s="179" t="str">
        <f t="shared" si="44"/>
        <v>00/01/1900719</v>
      </c>
      <c r="B1445" s="172">
        <f t="shared" si="45"/>
        <v>719</v>
      </c>
    </row>
    <row r="1446" spans="1:2" ht="30" customHeight="1">
      <c r="A1446" s="179" t="str">
        <f t="shared" si="44"/>
        <v>00/01/1900720</v>
      </c>
      <c r="B1446" s="172">
        <f t="shared" si="45"/>
        <v>720</v>
      </c>
    </row>
    <row r="1447" spans="1:2" ht="30" customHeight="1">
      <c r="A1447" s="179" t="str">
        <f t="shared" si="44"/>
        <v>00/01/1900721</v>
      </c>
      <c r="B1447" s="172">
        <f t="shared" si="45"/>
        <v>721</v>
      </c>
    </row>
    <row r="1448" spans="1:2" ht="30" customHeight="1">
      <c r="A1448" s="179" t="str">
        <f t="shared" si="44"/>
        <v>00/01/1900722</v>
      </c>
      <c r="B1448" s="172">
        <f t="shared" si="45"/>
        <v>722</v>
      </c>
    </row>
    <row r="1449" spans="1:2" ht="30" customHeight="1">
      <c r="A1449" s="179" t="str">
        <f t="shared" si="44"/>
        <v>00/01/1900723</v>
      </c>
      <c r="B1449" s="172">
        <f t="shared" si="45"/>
        <v>723</v>
      </c>
    </row>
    <row r="1450" spans="1:2" ht="30" customHeight="1">
      <c r="A1450" s="179" t="str">
        <f t="shared" si="44"/>
        <v>00/01/1900724</v>
      </c>
      <c r="B1450" s="172">
        <f t="shared" si="45"/>
        <v>724</v>
      </c>
    </row>
    <row r="1451" spans="1:2" ht="30" customHeight="1">
      <c r="A1451" s="179" t="str">
        <f t="shared" si="44"/>
        <v>00/01/1900725</v>
      </c>
      <c r="B1451" s="172">
        <f t="shared" si="45"/>
        <v>725</v>
      </c>
    </row>
    <row r="1452" spans="1:2" ht="30" customHeight="1">
      <c r="A1452" s="179" t="str">
        <f t="shared" si="44"/>
        <v>00/01/1900726</v>
      </c>
      <c r="B1452" s="172">
        <f t="shared" si="45"/>
        <v>726</v>
      </c>
    </row>
    <row r="1453" spans="1:2" ht="30" customHeight="1">
      <c r="A1453" s="179" t="str">
        <f t="shared" si="44"/>
        <v>00/01/1900727</v>
      </c>
      <c r="B1453" s="172">
        <f t="shared" si="45"/>
        <v>727</v>
      </c>
    </row>
    <row r="1454" spans="1:2" ht="30" customHeight="1">
      <c r="A1454" s="179" t="str">
        <f t="shared" si="44"/>
        <v>00/01/1900728</v>
      </c>
      <c r="B1454" s="172">
        <f t="shared" si="45"/>
        <v>728</v>
      </c>
    </row>
    <row r="1455" spans="1:2" ht="30" customHeight="1">
      <c r="A1455" s="179" t="str">
        <f t="shared" si="44"/>
        <v>00/01/1900729</v>
      </c>
      <c r="B1455" s="172">
        <f t="shared" si="45"/>
        <v>729</v>
      </c>
    </row>
    <row r="1456" spans="1:2" ht="30" customHeight="1">
      <c r="A1456" s="179" t="str">
        <f t="shared" si="44"/>
        <v>00/01/1900730</v>
      </c>
      <c r="B1456" s="172">
        <f t="shared" si="45"/>
        <v>730</v>
      </c>
    </row>
    <row r="1457" spans="1:2" ht="30" customHeight="1">
      <c r="A1457" s="179" t="str">
        <f t="shared" si="44"/>
        <v>00/01/1900731</v>
      </c>
      <c r="B1457" s="172">
        <f t="shared" si="45"/>
        <v>731</v>
      </c>
    </row>
    <row r="1458" spans="1:2" ht="30" customHeight="1">
      <c r="A1458" s="179" t="str">
        <f t="shared" si="44"/>
        <v>00/01/1900732</v>
      </c>
      <c r="B1458" s="172">
        <f t="shared" si="45"/>
        <v>732</v>
      </c>
    </row>
    <row r="1459" spans="1:2" ht="30" customHeight="1">
      <c r="A1459" s="179" t="str">
        <f t="shared" si="44"/>
        <v>00/01/1900733</v>
      </c>
      <c r="B1459" s="172">
        <f t="shared" si="45"/>
        <v>733</v>
      </c>
    </row>
    <row r="1460" spans="1:2" ht="30" customHeight="1">
      <c r="A1460" s="179" t="str">
        <f t="shared" si="44"/>
        <v>00/01/1900734</v>
      </c>
      <c r="B1460" s="172">
        <f t="shared" si="45"/>
        <v>734</v>
      </c>
    </row>
    <row r="1461" spans="1:2" ht="30" customHeight="1">
      <c r="A1461" s="179" t="str">
        <f t="shared" si="44"/>
        <v>00/01/1900735</v>
      </c>
      <c r="B1461" s="172">
        <f t="shared" si="45"/>
        <v>735</v>
      </c>
    </row>
    <row r="1462" spans="1:2" ht="30" customHeight="1">
      <c r="A1462" s="179" t="str">
        <f t="shared" si="44"/>
        <v>00/01/1900736</v>
      </c>
      <c r="B1462" s="172">
        <f t="shared" si="45"/>
        <v>736</v>
      </c>
    </row>
    <row r="1463" spans="1:2" ht="30" customHeight="1">
      <c r="A1463" s="179" t="str">
        <f t="shared" si="44"/>
        <v>00/01/1900737</v>
      </c>
      <c r="B1463" s="172">
        <f t="shared" si="45"/>
        <v>737</v>
      </c>
    </row>
    <row r="1464" spans="1:2" ht="30" customHeight="1">
      <c r="A1464" s="179" t="str">
        <f t="shared" si="44"/>
        <v>00/01/1900738</v>
      </c>
      <c r="B1464" s="172">
        <f t="shared" si="45"/>
        <v>738</v>
      </c>
    </row>
    <row r="1465" spans="1:2" ht="30" customHeight="1">
      <c r="A1465" s="179" t="str">
        <f t="shared" si="44"/>
        <v>00/01/1900739</v>
      </c>
      <c r="B1465" s="172">
        <f t="shared" si="45"/>
        <v>739</v>
      </c>
    </row>
    <row r="1466" spans="1:2" ht="30" customHeight="1">
      <c r="A1466" s="179" t="str">
        <f t="shared" si="44"/>
        <v>00/01/1900740</v>
      </c>
      <c r="B1466" s="172">
        <f t="shared" si="45"/>
        <v>740</v>
      </c>
    </row>
    <row r="1467" spans="1:2" ht="30" customHeight="1">
      <c r="A1467" s="179" t="str">
        <f t="shared" si="44"/>
        <v>00/01/1900741</v>
      </c>
      <c r="B1467" s="172">
        <f t="shared" si="45"/>
        <v>741</v>
      </c>
    </row>
    <row r="1468" spans="1:2" ht="30" customHeight="1">
      <c r="A1468" s="179" t="str">
        <f t="shared" si="44"/>
        <v>00/01/1900742</v>
      </c>
      <c r="B1468" s="172">
        <f t="shared" si="45"/>
        <v>742</v>
      </c>
    </row>
    <row r="1469" spans="1:2" ht="30" customHeight="1">
      <c r="A1469" s="179" t="str">
        <f t="shared" si="44"/>
        <v>00/01/1900743</v>
      </c>
      <c r="B1469" s="172">
        <f t="shared" si="45"/>
        <v>743</v>
      </c>
    </row>
    <row r="1470" spans="1:2" ht="30" customHeight="1">
      <c r="A1470" s="179" t="str">
        <f t="shared" si="44"/>
        <v>00/01/1900744</v>
      </c>
      <c r="B1470" s="172">
        <f t="shared" si="45"/>
        <v>744</v>
      </c>
    </row>
    <row r="1471" spans="1:2" ht="30" customHeight="1">
      <c r="A1471" s="179" t="str">
        <f t="shared" si="44"/>
        <v>00/01/1900745</v>
      </c>
      <c r="B1471" s="172">
        <f t="shared" si="45"/>
        <v>745</v>
      </c>
    </row>
    <row r="1472" spans="1:2" ht="30" customHeight="1">
      <c r="A1472" s="179" t="str">
        <f t="shared" si="44"/>
        <v>00/01/1900746</v>
      </c>
      <c r="B1472" s="172">
        <f t="shared" si="45"/>
        <v>746</v>
      </c>
    </row>
    <row r="1473" spans="1:2" ht="30" customHeight="1">
      <c r="A1473" s="179" t="str">
        <f t="shared" si="44"/>
        <v>00/01/1900747</v>
      </c>
      <c r="B1473" s="172">
        <f t="shared" si="45"/>
        <v>747</v>
      </c>
    </row>
    <row r="1474" spans="1:2" ht="30" customHeight="1">
      <c r="A1474" s="179" t="str">
        <f t="shared" si="44"/>
        <v>00/01/1900748</v>
      </c>
      <c r="B1474" s="172">
        <f t="shared" si="45"/>
        <v>748</v>
      </c>
    </row>
    <row r="1475" spans="1:2" ht="30" customHeight="1">
      <c r="A1475" s="179" t="str">
        <f t="shared" ref="A1475:A1500" si="46">CONCATENATE(TEXT($G1475,"dd/mm/yyyy"),$B1475)</f>
        <v>00/01/1900749</v>
      </c>
      <c r="B1475" s="172">
        <f t="shared" si="45"/>
        <v>749</v>
      </c>
    </row>
    <row r="1476" spans="1:2" ht="30" customHeight="1">
      <c r="A1476" s="179" t="str">
        <f t="shared" si="46"/>
        <v>00/01/1900750</v>
      </c>
      <c r="B1476" s="172">
        <f t="shared" ref="B1476:B1500" si="47">IF($G1476=$G1475,$B1475+1,1)</f>
        <v>750</v>
      </c>
    </row>
    <row r="1477" spans="1:2" ht="30" customHeight="1">
      <c r="A1477" s="179" t="str">
        <f t="shared" si="46"/>
        <v>00/01/1900751</v>
      </c>
      <c r="B1477" s="172">
        <f t="shared" si="47"/>
        <v>751</v>
      </c>
    </row>
    <row r="1478" spans="1:2" ht="30" customHeight="1">
      <c r="A1478" s="179" t="str">
        <f t="shared" si="46"/>
        <v>00/01/1900752</v>
      </c>
      <c r="B1478" s="172">
        <f t="shared" si="47"/>
        <v>752</v>
      </c>
    </row>
    <row r="1479" spans="1:2" ht="30" customHeight="1">
      <c r="A1479" s="179" t="str">
        <f t="shared" si="46"/>
        <v>00/01/1900753</v>
      </c>
      <c r="B1479" s="172">
        <f t="shared" si="47"/>
        <v>753</v>
      </c>
    </row>
    <row r="1480" spans="1:2" ht="30" customHeight="1">
      <c r="A1480" s="179" t="str">
        <f t="shared" si="46"/>
        <v>00/01/1900754</v>
      </c>
      <c r="B1480" s="172">
        <f t="shared" si="47"/>
        <v>754</v>
      </c>
    </row>
    <row r="1481" spans="1:2" ht="30" customHeight="1">
      <c r="A1481" s="179" t="str">
        <f t="shared" si="46"/>
        <v>00/01/1900755</v>
      </c>
      <c r="B1481" s="172">
        <f t="shared" si="47"/>
        <v>755</v>
      </c>
    </row>
    <row r="1482" spans="1:2" ht="30" customHeight="1">
      <c r="A1482" s="179" t="str">
        <f t="shared" si="46"/>
        <v>00/01/1900756</v>
      </c>
      <c r="B1482" s="172">
        <f t="shared" si="47"/>
        <v>756</v>
      </c>
    </row>
    <row r="1483" spans="1:2" ht="30" customHeight="1">
      <c r="A1483" s="179" t="str">
        <f t="shared" si="46"/>
        <v>00/01/1900757</v>
      </c>
      <c r="B1483" s="172">
        <f t="shared" si="47"/>
        <v>757</v>
      </c>
    </row>
    <row r="1484" spans="1:2" ht="30" customHeight="1">
      <c r="A1484" s="179" t="str">
        <f t="shared" si="46"/>
        <v>00/01/1900758</v>
      </c>
      <c r="B1484" s="172">
        <f t="shared" si="47"/>
        <v>758</v>
      </c>
    </row>
    <row r="1485" spans="1:2" ht="30" customHeight="1">
      <c r="A1485" s="179" t="str">
        <f t="shared" si="46"/>
        <v>00/01/1900759</v>
      </c>
      <c r="B1485" s="172">
        <f t="shared" si="47"/>
        <v>759</v>
      </c>
    </row>
    <row r="1486" spans="1:2" ht="30" customHeight="1">
      <c r="A1486" s="179" t="str">
        <f t="shared" si="46"/>
        <v>00/01/1900760</v>
      </c>
      <c r="B1486" s="172">
        <f t="shared" si="47"/>
        <v>760</v>
      </c>
    </row>
    <row r="1487" spans="1:2" ht="30" customHeight="1">
      <c r="A1487" s="179" t="str">
        <f t="shared" si="46"/>
        <v>00/01/1900761</v>
      </c>
      <c r="B1487" s="172">
        <f t="shared" si="47"/>
        <v>761</v>
      </c>
    </row>
    <row r="1488" spans="1:2" ht="30" customHeight="1">
      <c r="A1488" s="179" t="str">
        <f t="shared" si="46"/>
        <v>00/01/1900762</v>
      </c>
      <c r="B1488" s="172">
        <f t="shared" si="47"/>
        <v>762</v>
      </c>
    </row>
    <row r="1489" spans="1:2" ht="30" customHeight="1">
      <c r="A1489" s="179" t="str">
        <f t="shared" si="46"/>
        <v>00/01/1900763</v>
      </c>
      <c r="B1489" s="172">
        <f t="shared" si="47"/>
        <v>763</v>
      </c>
    </row>
    <row r="1490" spans="1:2" ht="30" customHeight="1">
      <c r="A1490" s="179" t="str">
        <f t="shared" si="46"/>
        <v>00/01/1900764</v>
      </c>
      <c r="B1490" s="172">
        <f t="shared" si="47"/>
        <v>764</v>
      </c>
    </row>
    <row r="1491" spans="1:2" ht="30" customHeight="1">
      <c r="A1491" s="179" t="str">
        <f t="shared" si="46"/>
        <v>00/01/1900765</v>
      </c>
      <c r="B1491" s="172">
        <f t="shared" si="47"/>
        <v>765</v>
      </c>
    </row>
    <row r="1492" spans="1:2" ht="30" customHeight="1">
      <c r="A1492" s="179" t="str">
        <f t="shared" si="46"/>
        <v>00/01/1900766</v>
      </c>
      <c r="B1492" s="172">
        <f t="shared" si="47"/>
        <v>766</v>
      </c>
    </row>
    <row r="1493" spans="1:2" ht="30" customHeight="1">
      <c r="A1493" s="179" t="str">
        <f t="shared" si="46"/>
        <v>00/01/1900767</v>
      </c>
      <c r="B1493" s="172">
        <f t="shared" si="47"/>
        <v>767</v>
      </c>
    </row>
    <row r="1494" spans="1:2" ht="30" customHeight="1">
      <c r="A1494" s="179" t="str">
        <f t="shared" si="46"/>
        <v>00/01/1900768</v>
      </c>
      <c r="B1494" s="172">
        <f t="shared" si="47"/>
        <v>768</v>
      </c>
    </row>
    <row r="1495" spans="1:2" ht="30" customHeight="1">
      <c r="A1495" s="179" t="str">
        <f t="shared" si="46"/>
        <v>00/01/1900769</v>
      </c>
      <c r="B1495" s="172">
        <f t="shared" si="47"/>
        <v>769</v>
      </c>
    </row>
    <row r="1496" spans="1:2" ht="30" customHeight="1">
      <c r="A1496" s="179" t="str">
        <f t="shared" si="46"/>
        <v>00/01/1900770</v>
      </c>
      <c r="B1496" s="172">
        <f t="shared" si="47"/>
        <v>770</v>
      </c>
    </row>
    <row r="1497" spans="1:2" ht="30" customHeight="1">
      <c r="A1497" s="179" t="str">
        <f t="shared" si="46"/>
        <v>00/01/1900771</v>
      </c>
      <c r="B1497" s="172">
        <f t="shared" si="47"/>
        <v>771</v>
      </c>
    </row>
    <row r="1498" spans="1:2" ht="30" customHeight="1">
      <c r="A1498" s="179" t="str">
        <f t="shared" si="46"/>
        <v>00/01/1900772</v>
      </c>
      <c r="B1498" s="172">
        <f t="shared" si="47"/>
        <v>772</v>
      </c>
    </row>
    <row r="1499" spans="1:2" ht="30" customHeight="1">
      <c r="A1499" s="179" t="str">
        <f t="shared" si="46"/>
        <v>00/01/1900773</v>
      </c>
      <c r="B1499" s="172">
        <f t="shared" si="47"/>
        <v>773</v>
      </c>
    </row>
    <row r="1500" spans="1:2" ht="30" customHeight="1">
      <c r="A1500" s="179" t="str">
        <f t="shared" si="46"/>
        <v>00/01/1900774</v>
      </c>
      <c r="B1500" s="172">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2023-10-25T16:30:14Z</cp:lastPrinted>
  <dcterms:created xsi:type="dcterms:W3CDTF">2023-02-23T14:47:20Z</dcterms:created>
  <dcterms:modified xsi:type="dcterms:W3CDTF">2023-10-25T17:02:19Z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